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LocalPython\Statistical_Analysis_Lambda_Catalog\"/>
    </mc:Choice>
  </mc:AlternateContent>
  <xr:revisionPtr revIDLastSave="0" documentId="13_ncr:1_{BBE3B60C-7007-4A3A-83F1-F364FB7200A2}" xr6:coauthVersionLast="47" xr6:coauthVersionMax="47" xr10:uidLastSave="{00000000-0000-0000-0000-000000000000}"/>
  <bookViews>
    <workbookView xWindow="375" yWindow="2505" windowWidth="21600" windowHeight="11295" activeTab="2" xr2:uid="{81B942E5-0033-4148-9F57-6D9B583AA62D}"/>
  </bookViews>
  <sheets>
    <sheet name="LAMBDA_functions" sheetId="1" r:id="rId1"/>
    <sheet name="Life Expectancy Data" sheetId="2" r:id="rId2"/>
    <sheet name="Regression" sheetId="3" r:id="rId3"/>
  </sheets>
  <definedNames>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All_Xs" localSheetId="2">LifeExpectancyData[[Adult Mortality]:[Schooling]]</definedName>
    <definedName name="Allow_Intercept" localSheetId="2">Regression!$B$2</definedName>
    <definedName name="alpha" localSheetId="2">Regression!$M$12</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oefficient_Name_Col" localSheetId="2">_xlfn.LAMBDA(_xlpm.All_Xs,_xlop.Filter,_xlfn.LET(_xlpm.n,COLUMNS(_xlpm.All_Xs),_xlpm.headers,TRANSPOSE(OFFSET(_xlpm.All_Xs,-1,0,1,_xlpm.n)),IF(_xlfn.ISOMITTED(_xlpm.Filter),_xlpm.headers,IFERROR(_xlfn._xlws.FILTER(_xlpm.headers,_xlfn.TAKE(_xlpm.Filter,_xlpm.n)),_xlfn.TAKE(_xlpm.headers,1)))))</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 name="Dependent_Var">_xlfn.LAMBDA(_xlpm.Y,_xlop.Filter,_xlfn._xlws.FILTER(_xlpm.Y,IF(_xlfn.ISOMITTED(_xlpm.Filter),TRUE,_xlpm.Filter)))</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DF_Regression">_xlfn.LAMBDA(_xlpm.X_s,COLUMNS(_xlpm.X_s))</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fil" localSheetId="2">LifeExpectancyData[Full_Data]</definedName>
    <definedName name="Gram_Inverse">_xlfn.LAMBDA(_xlpm.X,MINVERSE(MMULT(TRANSPOSE(_xlpm.X),_xlpm.X)))</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Ind_Var_Filter" localSheetId="2">Regression!$B$3:$B$16000</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Observation_Num">_xlfn.LAMBDA(_xlpm.Y,_xlop.Filter,_xlfn.SEQUENCE(ROWS(_xlfn._xlws.FILTER(_xlpm.Y,IF(_xlfn.ISOMITTED(_xlpm.Filter),TRUE,_xlpm.Filter)))))</definedName>
    <definedName name="Observations">_xlfn.LAMBDA(_xlpm.Y,_xlop.Filter,_xlfn.LET(_xlpm.filt_arg,IF(_xlfn.ISOMITTED(_xlpm.Filter),TRUE,_xlpm.Filter),ROWS(_xlfn._xlws.FILTER(_xlpm.Y,_xlpm.filt_arg))))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pred_input" localSheetId="2">Regression!$U$12:INDEX(Regression!$U:$U,12+COLUMNS(Regression!x_s))</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Spearman_R">_xlfn.LAMBDA(_xlpm.xf,_xlpm.yf,_xlop.Filter,_xlfn.LET(_xlpm.baseFilter,IF(_xlfn.ISOMITTED(_xlpm.Filter),TRUE,_xlpm.Filter),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This_row">_xlfn.LAMBDA(_xlpm.array,_xlfn.SEQUENCE(ROWS(_xlpm.array)))</definedName>
    <definedName name="Tolerance">_xlfn.LAMBDA(_xlpm.X_s,_xlop.Allow_Intercept,_xlop.Filter,1/VIF(_xlpm.X_s,_xlpm.Allow_Intercept,_xlpm.Filter))</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2">_xlfn.LET(_xlpm.n,COLUMNS(Regression!All_Xs),_xlpm.sel,IFERROR(_xlfn._xlws.FILTER(_xlfn.SEQUENCE(_xlpm.n),_xlfn.TAKE(Regression!Ind_Var_Filter,_xlpm.n)),1),_xlfn.CHOOSECOLS(Regression!All_Xs,_xlpm.sel))</definedName>
    <definedName name="y" localSheetId="2">LifeExpectancyData[Life expectancy]</definedName>
    <definedName name="Y_Ranked">_xlfn.LAMBDA(_xlpm.Y,_xlop.Filter,_xlfn._xlws.SORT(_xlfn._xlws.FILTER(_xlpm.Y,IF(_xlfn.ISOMITTED(_xlpm.Filter),TRUE,_xlpm.Filter))))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1" i="3" l="1" a="1"/>
  <c r="AA1" i="3" s="1"/>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W2" i="2"/>
  <c r="R21" i="3" a="1"/>
  <c r="R21" i="3"/>
  <c r="Q21" i="3" a="1"/>
  <c r="Q21" i="3"/>
  <c r="P21" i="3" a="1"/>
  <c r="P21" i="3"/>
  <c r="O21" i="3" a="1"/>
  <c r="O21" i="3"/>
  <c r="N21" i="3" a="1"/>
  <c r="N21" i="3"/>
  <c r="M21" i="3" a="1"/>
  <c r="M21" i="3"/>
  <c r="L21" i="3" a="1"/>
  <c r="L21" i="3" s="1"/>
  <c r="N17" i="3" a="1"/>
  <c r="N17" i="3"/>
  <c r="M17" i="3" a="1"/>
  <c r="M17" i="3"/>
  <c r="O16" i="3" a="1"/>
  <c r="O16" i="3"/>
  <c r="N16" i="3" a="1"/>
  <c r="N16" i="3"/>
  <c r="M16" i="3" a="1"/>
  <c r="M16" i="3"/>
  <c r="Q15" i="3" a="1"/>
  <c r="Q15" i="3"/>
  <c r="P15" i="3" a="1"/>
  <c r="P15" i="3"/>
  <c r="O15" i="3" a="1"/>
  <c r="O15" i="3"/>
  <c r="N15" i="3" a="1"/>
  <c r="N15" i="3"/>
  <c r="M15" i="3" a="1"/>
  <c r="M15" i="3"/>
  <c r="T13" i="3" a="1"/>
  <c r="T13" i="3" s="1"/>
  <c r="U12" i="3"/>
  <c r="P10" i="3" a="1"/>
  <c r="P10" i="3"/>
  <c r="P9" i="3" a="1"/>
  <c r="P9" i="3"/>
  <c r="U8" i="3" a="1"/>
  <c r="U8" i="3" s="1"/>
  <c r="P8" i="3" a="1"/>
  <c r="P8" i="3"/>
  <c r="M8" i="3" a="1"/>
  <c r="M8" i="3"/>
  <c r="U7" i="3" a="1"/>
  <c r="U7" i="3" s="1"/>
  <c r="P7" i="3" a="1"/>
  <c r="P7" i="3"/>
  <c r="M7" i="3" a="1"/>
  <c r="M7" i="3"/>
  <c r="U6" i="3" a="1"/>
  <c r="U6" i="3" s="1"/>
  <c r="P6" i="3" a="1"/>
  <c r="P6" i="3"/>
  <c r="M6" i="3" a="1"/>
  <c r="M6" i="3"/>
  <c r="U5" i="3" a="1"/>
  <c r="U5" i="3" s="1"/>
  <c r="P5" i="3" a="1"/>
  <c r="P5" i="3"/>
  <c r="M5" i="3" a="1"/>
  <c r="M5" i="3"/>
  <c r="U4" i="3" a="1"/>
  <c r="U4" i="3" s="1"/>
  <c r="P4" i="3" a="1"/>
  <c r="P4" i="3"/>
  <c r="M4" i="3" a="1"/>
  <c r="M4" i="3"/>
  <c r="AF3" i="3" a="1"/>
  <c r="AF3" i="3" s="1"/>
  <c r="AE3" i="3" a="1"/>
  <c r="AE3" i="3"/>
  <c r="AC3" i="3" a="1"/>
  <c r="AC3" i="3"/>
  <c r="AB3" i="3" a="1"/>
  <c r="AB3" i="3"/>
  <c r="AA3" i="3" a="1"/>
  <c r="AA3" i="3"/>
  <c r="Z3" i="3" a="1"/>
  <c r="Z3" i="3"/>
  <c r="Y3" i="3" a="1"/>
  <c r="Y3" i="3"/>
  <c r="X3" i="3" a="1"/>
  <c r="X3" i="3"/>
  <c r="W3" i="3" a="1"/>
  <c r="W3" i="3"/>
  <c r="U3" i="3" a="1"/>
  <c r="U3" i="3" s="1"/>
  <c r="J3" i="3" a="1"/>
  <c r="J3" i="3"/>
  <c r="I3" i="3" a="1"/>
  <c r="I3" i="3"/>
  <c r="H3" i="3" a="1"/>
  <c r="H3" i="3"/>
  <c r="G3" i="3" a="1"/>
  <c r="G3" i="3"/>
  <c r="F3" i="3" a="1"/>
  <c r="F3" i="3" s="1"/>
  <c r="E3" i="3" a="1"/>
  <c r="E3" i="3"/>
  <c r="D3" i="3" a="1"/>
  <c r="D3" i="3" s="1"/>
  <c r="A3" i="3" a="1"/>
  <c r="A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<sst xmlns="http://schemas.openxmlformats.org/spreadsheetml/2006/main" count="6258" uniqueCount="524">
  <si>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</si>
  <si>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</si>
  <si>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</si>
  <si>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</si>
  <si>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</si>
  <si>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</si>
  <si>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</si>
  <si>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</si>
  <si>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</si>
  <si>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</si>
  <si>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</si>
  <si>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</si>
  <si>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</si>
  <si>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</si>
  <si>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</si>
  <si>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</si>
  <si>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</si>
  <si>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</si>
  <si>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</si>
  <si>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</si>
  <si>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</si>
  <si>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</si>
  <si>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</si>
  <si>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</si>
  <si>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</si>
  <si>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</si>
  <si>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</si>
  <si>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</si>
  <si>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</si>
  <si>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</si>
  <si>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</si>
  <si>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</si>
  <si>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</si>
  <si>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</si>
  <si>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</si>
  <si>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</si>
  <si>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</si>
  <si>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</si>
  <si>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</si>
  <si>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</si>
  <si>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</si>
  <si>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</si>
  <si>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</si>
  <si>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</si>
  <si>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</si>
  <si>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</si>
  <si>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</si>
  <si>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</si>
  <si>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</si>
  <si>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</si>
  <si>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</si>
  <si>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</si>
  <si>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</si>
  <si>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</si>
  <si>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</si>
  <si>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</si>
  <si>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</si>
  <si>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</si>
  <si>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</si>
  <si>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</si>
  <si>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</si>
  <si>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</si>
  <si>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</si>
  <si>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</si>
  <si>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</si>
  <si>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</si>
  <si>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</si>
  <si>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</si>
  <si>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</si>
  <si>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</si>
  <si>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</si>
  <si>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</si>
  <si>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</si>
  <si>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</si>
  <si>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</si>
  <si>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</si>
  <si>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</si>
  <si>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</si>
  <si>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</si>
  <si>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</si>
  <si>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</si>
  <si>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</si>
  <si>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</si>
  <si>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</si>
  <si>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</si>
  <si>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</si>
  <si>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</si>
  <si>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</si>
  <si>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</si>
  <si>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</si>
  <si>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</si>
  <si>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</si>
  <si>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</si>
  <si>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</si>
  <si>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</si>
  <si>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</si>
  <si>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</si>
  <si>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</si>
  <si>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</si>
  <si>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</si>
  <si>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</si>
  <si>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</si>
  <si>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</si>
  <si>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</si>
  <si>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</si>
  <si>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</si>
  <si>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</si>
  <si>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</si>
  <si>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</si>
  <si>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</si>
  <si>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</si>
  <si>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</si>
  <si>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</si>
  <si>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</si>
  <si>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</si>
  <si>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</si>
  <si>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</si>
  <si>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</si>
  <si>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</si>
  <si>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</si>
  <si>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</si>
  <si>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</si>
  <si>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</si>
  <si>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</si>
  <si>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</si>
  <si>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</si>
  <si>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</si>
  <si>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</si>
  <si>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</si>
  <si>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</si>
  <si>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</si>
  <si>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</si>
  <si>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</si>
  <si>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</si>
  <si>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</si>
  <si>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</si>
  <si>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</si>
  <si>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</si>
  <si>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</si>
  <si>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</si>
  <si>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</si>
  <si>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</si>
  <si>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</si>
  <si>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</si>
  <si>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</si>
  <si>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</si>
  <si>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</si>
  <si>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</si>
  <si>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</si>
  <si>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</si>
  <si>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</si>
  <si>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</si>
  <si>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</si>
  <si>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</si>
  <si>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</si>
  <si>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</si>
  <si>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</si>
  <si>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</si>
  <si>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</si>
  <si>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</si>
  <si>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</si>
  <si>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</si>
  <si>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</si>
  <si>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</si>
  <si>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</si>
  <si>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</si>
  <si>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</si>
  <si>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</si>
  <si>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</si>
  <si>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</si>
  <si>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</si>
  <si>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</si>
  <si>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</si>
  <si>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</si>
  <si>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</si>
  <si>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</si>
  <si>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</si>
  <si>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</si>
  <si>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</si>
  <si>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</si>
  <si>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</si>
  <si>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</si>
  <si>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</si>
  <si>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</si>
  <si>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</si>
  <si>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</si>
  <si>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</si>
  <si>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</si>
  <si>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</si>
  <si>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</si>
  <si>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</si>
  <si>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</si>
  <si>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</si>
  <si>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</si>
  <si>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</si>
  <si>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</si>
  <si>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</si>
  <si>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</si>
  <si>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</si>
  <si>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</si>
  <si>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</si>
  <si>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</si>
  <si>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</si>
  <si>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</si>
  <si>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</si>
  <si>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</si>
  <si>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</si>
  <si>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</si>
  <si>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</si>
  <si>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</si>
  <si>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</si>
  <si>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</si>
  <si>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</si>
  <si>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</si>
  <si>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</si>
  <si>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</si>
  <si>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</si>
  <si>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</si>
  <si>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</si>
  <si>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</si>
  <si>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</si>
  <si>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</si>
  <si>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</si>
  <si>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</si>
  <si>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</si>
  <si>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</si>
  <si>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k×1 column vector of Spearman rank correlations between each predictor and Y</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</si>
  <si>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</si>
  <si>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</si>
  <si>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</si>
  <si>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</si>
  <si>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</si>
  <si>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</si>
  <si>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</si>
  <si>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</si>
  <si>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</si>
  <si>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</si>
  <si>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</si>
  <si>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</si>
  <si>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</si>
  <si>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</si>
  <si>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</si>
  <si>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</si>
  <si>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</si>
  <si>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</si>
  <si>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</si>
  <si>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</si>
  <si>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</si>
  <si>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</si>
  <si>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</si>
  <si>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</si>
  <si>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</si>
  <si>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</si>
  <si>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</si>
  <si>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</si>
  <si>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</si>
  <si>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</si>
  <si>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</si>
  <si>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</si>
  <si>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</si>
  <si>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</si>
  <si>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</si>
  <si>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</si>
  <si>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</si>
  <si>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</si>
  <si>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</si>
  <si>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</si>
  <si>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</si>
  <si>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</si>
  <si>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</si>
  <si>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</si>
  <si>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</si>
  <si>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</si>
  <si>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</si>
  <si>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</si>
  <si>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</si>
  <si>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</si>
  <si>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</si>
  <si>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</si>
  <si>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</si>
  <si>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</si>
  <si>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</si>
  <si>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</si>
  <si>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</si>
  <si>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</si>
  <si>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</si>
  <si>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</si>
  <si>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</si>
  <si>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</si>
  <si>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</si>
  <si>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</si>
  <si>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</si>
  <si>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</si>
  <si>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</si>
  <si>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</si>
  <si>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</si>
  <si>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</si>
  <si>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</si>
  <si>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</si>
  <si>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</si>
  <si>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</si>
  <si>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</si>
  <si>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</si>
  <si>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</si>
  <si>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</si>
  <si>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</si>
  <si>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</si>
  <si>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</si>
  <si>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</si>
  <si>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</si>
  <si>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</si>
  <si>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</si>
  <si>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</si>
  <si>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</si>
  <si>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</si>
  <si>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</si>
  <si>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</si>
  <si>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</si>
  <si>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</si>
  <si>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</si>
  <si>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</si>
  <si>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</si>
  <si>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</si>
  <si>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</si>
  <si>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</si>
  <si>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</si>
  <si>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</si>
  <si>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</si>
  <si>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</si>
  <si>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</si>
  <si>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</si>
  <si>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</si>
  <si>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</si>
  <si>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</si>
  <si>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</si>
  <si>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</si>
  <si>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</si>
  <si>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</si>
  <si>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</si>
  <si>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</si>
  <si>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</si>
  <si>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</si>
  <si>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</si>
  <si>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</si>
  <si>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</si>
  <si>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</si>
  <si>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</si>
  <si>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</si>
  <si>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</si>
  <si>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</si>
  <si>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</si>
  <si>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</si>
  <si>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</si>
  <si>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</si>
  <si>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</si>
  <si>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</si>
  <si>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</si>
  <si>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</si>
  <si>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</si>
  <si>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</si>
  <si>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</si>
  <si>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</si>
  <si>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</si>
  <si>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</si>
  <si>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</si>
  <si>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</si>
  <si>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</si>
  <si>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</si>
  <si>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</si>
  <si>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</si>
  <si>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</si>
  <si>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</si>
  <si>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</si>
  <si>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</si>
  <si>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</si>
  <si>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</si>
  <si>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</si>
  <si>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</si>
  <si>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</si>
  <si>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</si>
  <si>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</si>
  <si>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</si>
  <si>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</si>
  <si>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</si>
  <si>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</si>
  <si>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</si>
  <si>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</si>
  <si>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</si>
  <si>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</si>
  <si>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</si>
  <si>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</si>
  <si>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</si>
  <si>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</si>
  <si>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</si>
  <si>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</si>
  <si>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</si>
  <si>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</si>
  <si>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</si>
  <si>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</si>
  <si>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</si>
  <si>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</si>
  <si>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</si>
  <si>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</si>
  <si>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</si>
  <si>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</si>
  <si>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</si>
  <si>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</si>
  <si>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</si>
  <si>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</si>
  <si>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</si>
  <si>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</si>
  <si>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</si>
  <si>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</si>
  <si>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</si>
  <si>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</si>
  <si>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</si>
  <si>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</si>
  <si>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</si>
  <si>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</si>
  <si>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</si>
  <si>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</si>
  <si>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</si>
  <si>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</si>
  <si>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</si>
  <si>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</si>
  <si>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</si>
  <si>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</si>
  <si>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</si>
  <si>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</si>
  <si>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</si>
  <si>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</si>
  <si>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</si>
  <si>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</si>
  <si>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</si>
  <si>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</si>
  <si>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</si>
  <si>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</si>
  <si>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</si>
  <si>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</si>
  <si>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</si>
  <si>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</si>
  <si>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</si>
  <si>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</si>
  <si>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</si>
  <si>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</si>
  <si>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</si>
  <si>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</si>
  <si>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</si>
  <si>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</si>
  <si>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</si>
  <si>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</si>
  <si>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</si>
  <si>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</si>
  <si>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</si>
  <si>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</si>
  <si>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</si>
  <si>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</si>
  <si>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</si>
  <si>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</si>
  <si>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</si>
  <si>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</si>
  <si>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</si>
  <si>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</si>
  <si>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</si>
  <si>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</si>
  <si>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</si>
  <si>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</si>
  <si>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</si>
  <si>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</si>
  <si>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</si>
  <si>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</si>
  <si>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</si>
  <si>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</si>
  <si>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</si>
  <si>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</si>
  <si>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</si>
  <si>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</si>
  <si>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</si>
  <si>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</si>
  <si>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</si>
  <si>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</si>
  <si>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</si>
  <si>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</si>
  <si>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</si>
  <si>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</si>
  <si>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</si>
  <si>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</si>
  <si>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</si>
  <si>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</si>
  <si>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</si>
  <si>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</si>
  <si>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</si>
  <si>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</si>
  <si>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</si>
  <si>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</si>
  <si>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</si>
  <si>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</si>
  <si>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</si>
  <si>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</si>
  <si>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</si>
  <si>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</si>
  <si>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</si>
  <si>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</si>
  <si>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</si>
  <si>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</si>
  <si>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</si>
  <si>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</si>
  <si>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</si>
  <si>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</si>
  <si>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Predicted Y</t>
  </si>
  <si>
    <t>Hat Diagonal</t>
  </si>
  <si>
    <t>Studentized Residuals</t>
  </si>
  <si>
    <t>Studentized Residuals Ranked</t>
  </si>
  <si>
    <t>Cook's Distance</t>
  </si>
  <si>
    <t>=LAMBDA(xf, yf, [Filter],
  LET(
    baseFilter, IF(ISOMITTED(Filter), TRUE, Filter),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</si>
  <si>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[Filter]: boolean array — TRUE includes the row, FALSE excludes it</t>
  </si>
  <si>
    <t>Spearman_R computes the rank (Spearman) correlation between each column of xf and yf. For each predictor column, rows are kept where both that column and yf are numeric (and pass the optional Filter).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</si>
  <si>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Dependent_Var</t>
  </si>
  <si>
    <t>Returns the dependent-variable vector used by residual and diagnostic outputs.</t>
  </si>
  <si>
    <t>Y</t>
  </si>
  <si>
    <t>LOOCV Residual</t>
  </si>
  <si>
    <t>Normal Scores Ranked</t>
  </si>
  <si>
    <t>=LAMBDA(Y, [Filter],
  FILTER(Y, IF(ISOMITTED(Filter), TRUE, Filter))
)</t>
  </si>
  <si>
    <t>filtered dependent variable vector (all rows when Filter is omitted)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</si>
</sst>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CAEDFB"/>
        <bgColor indexed="64"/>
      </patternFill>
    </fill>
    <fill>
      <patternFill patternType="solid">
        <fgColor rgb="FFFBE2D5"/>
        <bgColor indexed="64"/>
      </patternFill>
    </fill>
  </fills>
  <borders count="9">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164"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4" xfId="0" applyFont="1" applyBorder="1"/>
    <xf numFmtId="0" fontId="0" fillId="0" borderId="6" xfId="0" applyBorder="1"/>
    <xf numFmtId="0" fontId="0" fillId="0" borderId="8" xfId="0" applyBorder="1"/>
    <xf numFmtId="0" fontId="1" fillId="0" borderId="6" xfId="0" applyFont="1" applyBorder="1"/>
    <xf numFmtId="0" fontId="1" fillId="2" borderId="0" xfId="0" applyFont="1" applyFill="1"/>
    <xf numFmtId="0" fontId="0" fillId="3" borderId="0" xfId="0" applyFill="1"/>
    <xf numFmtId="0" fontId="1" fillId="2" borderId="7" xfId="0" applyFont="1" applyFill="1" applyBorder="1"/>
    <xf numFmtId="2" fontId="0" fillId="0" borderId="0" xfId="1" applyNumberFormat="1" applyFont="1"/>
  </cellXfs>
  <cellStyles count="2">
    <cellStyle name="Normal" xfId="0" builtinId="0"/>
    <cellStyle name="Percent" xfId="1" builtinId="5"/>
  </cellStyles>
  <dxfs count="27">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lor theme="1"/>
      </font>
      <border>
        <left style="thin">
          <color rgb="FFFF0000"/>
        </left>
        <right style="thin">
          <color rgb="FFFF0000"/>
        </right>
        <top style="thin">
          <color rgb="FFFF0000"/>
        </top>
        <bottom style="thin">
          <color rgb="FFFF0000"/>
        </bottom>
        <vertical/>
        <horizontal/>
      </border>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3654FE-2ADF-4D70-A716-3EC468D99D22}" name="LAMBDAFunctionsCatalog" displayName="LAMBDAFunctionsCatalog" ref="A1:E59" totalsRowShown="0" headerRowDxfId="26" dataDxfId="25">
  <autoFilter ref="A1:E59" xr:uid="{BC3654FE-2ADF-4D70-A716-3EC468D99D22}"/>
  <tableColumns count="5">
    <tableColumn id="1" xr3:uid="{4D7A1F47-9338-40B2-B6A4-6E6BB112E4ED}" name="Function Name" dataDxfId="24"/>
    <tableColumn id="2" xr3:uid="{7C077F56-A3CD-498A-B9C4-C4C4D1D84A8B}" name="Definition" dataDxfId="23"/>
    <tableColumn id="3" xr3:uid="{425387F9-DB6F-475C-905D-5F02E40BE8C4}" name="Arguments" dataDxfId="22"/>
    <tableColumn id="4" xr3:uid="{6410BBE5-D57E-48BF-BC68-0BF7E03E2923}" name="Yields" dataDxfId="21"/>
    <tableColumn id="5" xr3:uid="{42AB9ED3-43FF-453C-B8BA-7325AB1EC491}" name="Description"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A2ACFD-83BB-430E-81A0-96D9658C8392}" name="LifeExpectancyData" displayName="LifeExpectancyData" ref="A1:W2939" totalsRowShown="0">
  <autoFilter ref="A1:W2939" xr:uid="{59A2ACFD-83BB-430E-81A0-96D9658C8392}"/>
  <tableColumns count="23">
    <tableColumn id="1" xr3:uid="{32C5C7AC-0100-4FCD-9CD8-3D574017DB4F}" name="Country"/>
    <tableColumn id="2" xr3:uid="{D39B9E51-5A91-48B6-8E89-E25DBF98BC41}" name="Year"/>
    <tableColumn id="3" xr3:uid="{6A7FE0DA-9609-4EC6-A581-CB222FA6F2DD}" name="Status"/>
    <tableColumn id="4" xr3:uid="{3E34D142-D638-407C-8782-2A73DFB5E255}" name="Life expectancy"/>
    <tableColumn id="5" xr3:uid="{17A15607-43FB-4C77-94CA-ABBC312A7491}" name="Adult Mortality"/>
    <tableColumn id="6" xr3:uid="{5E247DA8-C572-4ADD-B7C5-EF7FBFDE8D1E}" name="infant deaths"/>
    <tableColumn id="7" xr3:uid="{0063CD54-FB0B-4354-AD66-56279C86F301}" name="Alcohol"/>
    <tableColumn id="8" xr3:uid="{851CC4FA-554F-483F-A1AF-B32A2ABA1B8A}" name="percentage expenditure"/>
    <tableColumn id="9" xr3:uid="{6AE2197B-F3B0-455E-978E-1EDEAB39AE76}" name="Hepatitis B"/>
    <tableColumn id="10" xr3:uid="{CC5811DD-ED36-4590-B205-D468969C6367}" name="Measles"/>
    <tableColumn id="11" xr3:uid="{6DC6CD8B-8931-4E46-928E-94103089A92F}" name="BMI"/>
    <tableColumn id="12" xr3:uid="{61197EDD-6FA5-4EA3-A190-B63285EDA585}" name="under-five deaths"/>
    <tableColumn id="13" xr3:uid="{A6810A45-A6C1-4719-90E8-572FBCE7F7E4}" name="Polio"/>
    <tableColumn id="14" xr3:uid="{B6F3F467-2AAE-4C19-9221-D3B50F19D2AA}" name="Total expenditure"/>
    <tableColumn id="15" xr3:uid="{100331DB-CBBB-4151-9FD2-4CEAEF466CAD}" name="Diphtheria"/>
    <tableColumn id="16" xr3:uid="{78C2B6FE-A3B5-4754-A2DA-2C2C166C246D}" name="HIV/AIDS"/>
    <tableColumn id="17" xr3:uid="{32F0E898-CA0D-49E0-811B-6C83A93A375C}" name="GDP"/>
    <tableColumn id="18" xr3:uid="{91AC5328-51B0-42FE-ADFC-177D6E2E8436}" name="Population"/>
    <tableColumn id="19" xr3:uid="{E855B6B5-25DE-4520-A944-12EAE4008C18}" name="thinness 1-19 years"/>
    <tableColumn id="20" xr3:uid="{168D3B6E-F448-41B8-84A7-B82A31A7318E}" name="thinness 5-9 years"/>
    <tableColumn id="21" xr3:uid="{422C944D-604C-4CFC-BB7A-D6E6D5151537}" name="Income composition of resources"/>
    <tableColumn id="22" xr3:uid="{87525A64-FCDD-467D-B8B0-A29513676E86}" name="Schooling"/>
    <tableColumn id="23" xr3:uid="{E720204E-9D8A-49DA-8F71-3FB5BD01BA1A}" name="Full_Data">
      <calculatedColumnFormula>COUNT(LifeExpectancyData[[#This Row],[Life expectancy]:[Schooling]])=19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EFD7-C746-458B-9F76-170306C925A6}">
  <dimension ref="A1:E59"/>
  <sheetViews>
    <sheetView workbookViewId="0">
      <pane ySplit="1" topLeftCell="A56" activePane="bottomLeft" state="frozenSplit"/>
      <selection pane="bottomLeft" activeCell="E57" sqref="E57"/>
    </sheetView>
  </sheetViews>
  <sheetFormatPr defaultRowHeight="15" x14ac:dyDescent="0.25"/>
  <cols>
    <col min="1" max="1" width="18.7109375" customWidth="1"/>
    <col min="2" max="2" width="72.7109375"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50"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35"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35"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65" x14ac:dyDescent="0.25">
      <c r="A21" s="2" t="s">
        <v>85</v>
      </c>
      <c r="B21" s="1" t="s">
        <v>86</v>
      </c>
      <c r="C21" s="2" t="s">
        <v>22</v>
      </c>
      <c r="D21" s="2" t="s">
        <v>87</v>
      </c>
      <c r="E21" s="2" t="s">
        <v>88</v>
      </c>
    </row>
    <row r="22" spans="1:5" ht="180"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300" x14ac:dyDescent="0.25">
      <c r="A29" s="2" t="s">
        <v>118</v>
      </c>
      <c r="B29" s="1" t="s">
        <v>119</v>
      </c>
      <c r="C29" s="2" t="s">
        <v>120</v>
      </c>
      <c r="D29" s="2" t="s">
        <v>121</v>
      </c>
      <c r="E29" s="2" t="s">
        <v>122</v>
      </c>
    </row>
    <row r="30" spans="1:5" ht="120" x14ac:dyDescent="0.25">
      <c r="A30" s="2" t="s">
        <v>123</v>
      </c>
      <c r="B30" s="1" t="s">
        <v>124</v>
      </c>
      <c r="C30" s="2" t="s">
        <v>125</v>
      </c>
      <c r="D30" s="2" t="s">
        <v>126</v>
      </c>
      <c r="E30" s="2" t="s">
        <v>127</v>
      </c>
    </row>
    <row r="31" spans="1:5" ht="405" x14ac:dyDescent="0.25">
      <c r="A31" s="2" t="s">
        <v>128</v>
      </c>
      <c r="B31" s="1" t="s">
        <v>129</v>
      </c>
      <c r="C31" s="2" t="s">
        <v>130</v>
      </c>
      <c r="D31" s="2" t="s">
        <v>131</v>
      </c>
      <c r="E31" s="2" t="s">
        <v>132</v>
      </c>
    </row>
    <row r="32" spans="1:5" ht="60" x14ac:dyDescent="0.25">
      <c r="A32" s="2" t="s">
        <v>133</v>
      </c>
      <c r="B32" s="1" t="s">
        <v>134</v>
      </c>
      <c r="C32" s="2" t="s">
        <v>7</v>
      </c>
      <c r="D32" s="2" t="s">
        <v>135</v>
      </c>
      <c r="E32" s="2" t="s">
        <v>136</v>
      </c>
    </row>
    <row r="33" spans="1:5" ht="90" x14ac:dyDescent="0.25">
      <c r="A33" s="2" t="s">
        <v>137</v>
      </c>
      <c r="B33" s="1" t="s">
        <v>138</v>
      </c>
      <c r="C33" s="2" t="s">
        <v>7</v>
      </c>
      <c r="D33" s="2" t="s">
        <v>139</v>
      </c>
      <c r="E33" s="2" t="s">
        <v>140</v>
      </c>
    </row>
    <row r="34" spans="1:5" ht="60" x14ac:dyDescent="0.25">
      <c r="A34" s="2" t="s">
        <v>141</v>
      </c>
      <c r="B34" s="1" t="s">
        <v>142</v>
      </c>
      <c r="C34" s="2" t="s">
        <v>7</v>
      </c>
      <c r="D34" s="2" t="s">
        <v>143</v>
      </c>
      <c r="E34" s="2" t="s">
        <v>144</v>
      </c>
    </row>
    <row r="35" spans="1:5" ht="75" x14ac:dyDescent="0.25">
      <c r="A35" s="2" t="s">
        <v>517</v>
      </c>
      <c r="B35" s="1" t="s">
        <v>522</v>
      </c>
      <c r="C35" s="2" t="s">
        <v>7</v>
      </c>
      <c r="D35" s="2" t="s">
        <v>523</v>
      </c>
      <c r="E35" s="2" t="s">
        <v>518</v>
      </c>
    </row>
    <row r="36" spans="1:5" ht="120" x14ac:dyDescent="0.25">
      <c r="A36" s="2" t="s">
        <v>145</v>
      </c>
      <c r="B36" s="1" t="s">
        <v>146</v>
      </c>
      <c r="C36" s="2" t="s">
        <v>7</v>
      </c>
      <c r="D36" s="2" t="s">
        <v>147</v>
      </c>
      <c r="E36" s="2" t="s">
        <v>148</v>
      </c>
    </row>
    <row r="37" spans="1:5" ht="165" x14ac:dyDescent="0.25">
      <c r="A37" s="2" t="s">
        <v>149</v>
      </c>
      <c r="B37" s="1" t="s">
        <v>150</v>
      </c>
      <c r="C37" s="2" t="s">
        <v>151</v>
      </c>
      <c r="D37" s="2" t="s">
        <v>152</v>
      </c>
      <c r="E37" s="2" t="s">
        <v>153</v>
      </c>
    </row>
    <row r="38" spans="1:5" ht="105" x14ac:dyDescent="0.25">
      <c r="A38" s="2" t="s">
        <v>154</v>
      </c>
      <c r="B38" s="1" t="s">
        <v>155</v>
      </c>
      <c r="C38" s="2" t="s">
        <v>156</v>
      </c>
      <c r="D38" s="2" t="s">
        <v>157</v>
      </c>
      <c r="E38" s="2" t="s">
        <v>158</v>
      </c>
    </row>
    <row r="39" spans="1:5" ht="135" x14ac:dyDescent="0.25">
      <c r="A39" s="2" t="s">
        <v>159</v>
      </c>
      <c r="B39" s="1" t="s">
        <v>160</v>
      </c>
      <c r="C39" s="2" t="s">
        <v>22</v>
      </c>
      <c r="D39" s="2" t="s">
        <v>161</v>
      </c>
      <c r="E39" s="2" t="s">
        <v>162</v>
      </c>
    </row>
    <row r="40" spans="1:5" ht="120" x14ac:dyDescent="0.25">
      <c r="A40" s="2" t="s">
        <v>163</v>
      </c>
      <c r="B40" s="1" t="s">
        <v>164</v>
      </c>
      <c r="C40" s="2" t="s">
        <v>22</v>
      </c>
      <c r="D40" s="2" t="s">
        <v>165</v>
      </c>
      <c r="E40" s="2" t="s">
        <v>166</v>
      </c>
    </row>
    <row r="41" spans="1:5" ht="120" x14ac:dyDescent="0.25">
      <c r="A41" s="2" t="s">
        <v>167</v>
      </c>
      <c r="B41" s="1" t="s">
        <v>168</v>
      </c>
      <c r="C41" s="2" t="s">
        <v>22</v>
      </c>
      <c r="D41" s="2" t="s">
        <v>169</v>
      </c>
      <c r="E41" s="2" t="s">
        <v>170</v>
      </c>
    </row>
    <row r="42" spans="1:5" ht="105" x14ac:dyDescent="0.25">
      <c r="A42" s="2" t="s">
        <v>171</v>
      </c>
      <c r="B42" s="1" t="s">
        <v>172</v>
      </c>
      <c r="C42" s="2" t="s">
        <v>173</v>
      </c>
      <c r="D42" s="2" t="s">
        <v>174</v>
      </c>
      <c r="E42" s="2" t="s">
        <v>175</v>
      </c>
    </row>
    <row r="43" spans="1:5" ht="210" x14ac:dyDescent="0.25">
      <c r="A43" s="2" t="s">
        <v>176</v>
      </c>
      <c r="B43" s="1" t="s">
        <v>177</v>
      </c>
      <c r="C43" s="2" t="s">
        <v>178</v>
      </c>
      <c r="D43" s="2" t="s">
        <v>179</v>
      </c>
      <c r="E43" s="2" t="s">
        <v>180</v>
      </c>
    </row>
    <row r="44" spans="1:5" ht="195" x14ac:dyDescent="0.25">
      <c r="A44" s="2" t="s">
        <v>181</v>
      </c>
      <c r="B44" s="1" t="s">
        <v>182</v>
      </c>
      <c r="C44" s="2" t="s">
        <v>183</v>
      </c>
      <c r="D44" s="2" t="s">
        <v>184</v>
      </c>
      <c r="E44" s="2" t="s">
        <v>185</v>
      </c>
    </row>
    <row r="45" spans="1:5" ht="150" x14ac:dyDescent="0.25">
      <c r="A45" s="2" t="s">
        <v>186</v>
      </c>
      <c r="B45" s="1" t="s">
        <v>187</v>
      </c>
      <c r="C45" s="2" t="s">
        <v>22</v>
      </c>
      <c r="D45" s="2" t="s">
        <v>188</v>
      </c>
      <c r="E45" s="2" t="s">
        <v>189</v>
      </c>
    </row>
    <row r="46" spans="1:5" ht="150" x14ac:dyDescent="0.25">
      <c r="A46" s="2" t="s">
        <v>190</v>
      </c>
      <c r="B46" s="1" t="s">
        <v>191</v>
      </c>
      <c r="C46" s="2" t="s">
        <v>151</v>
      </c>
      <c r="D46" s="2" t="s">
        <v>192</v>
      </c>
      <c r="E46" s="2" t="s">
        <v>193</v>
      </c>
    </row>
    <row r="47" spans="1:5" ht="135" x14ac:dyDescent="0.25">
      <c r="A47" s="2" t="s">
        <v>194</v>
      </c>
      <c r="B47" s="1" t="s">
        <v>195</v>
      </c>
      <c r="C47" s="2" t="s">
        <v>22</v>
      </c>
      <c r="D47" s="2" t="s">
        <v>196</v>
      </c>
      <c r="E47" s="2" t="s">
        <v>197</v>
      </c>
    </row>
    <row r="48" spans="1:5" ht="120" x14ac:dyDescent="0.25">
      <c r="A48" s="2" t="s">
        <v>198</v>
      </c>
      <c r="B48" s="1" t="s">
        <v>199</v>
      </c>
      <c r="C48" s="2" t="s">
        <v>22</v>
      </c>
      <c r="D48" s="2" t="s">
        <v>200</v>
      </c>
      <c r="E48" s="2" t="s">
        <v>201</v>
      </c>
    </row>
    <row r="49" spans="1:5" ht="135" x14ac:dyDescent="0.25">
      <c r="A49" s="2" t="s">
        <v>202</v>
      </c>
      <c r="B49" s="1" t="s">
        <v>203</v>
      </c>
      <c r="C49" s="2" t="s">
        <v>22</v>
      </c>
      <c r="D49" s="2" t="s">
        <v>204</v>
      </c>
      <c r="E49" s="2" t="s">
        <v>205</v>
      </c>
    </row>
    <row r="50" spans="1:5" ht="120" x14ac:dyDescent="0.25">
      <c r="A50" s="2" t="s">
        <v>206</v>
      </c>
      <c r="B50" s="1" t="s">
        <v>207</v>
      </c>
      <c r="C50" s="2" t="s">
        <v>22</v>
      </c>
      <c r="D50" s="2" t="s">
        <v>208</v>
      </c>
      <c r="E50" s="2" t="s">
        <v>209</v>
      </c>
    </row>
    <row r="51" spans="1:5" ht="135" x14ac:dyDescent="0.25">
      <c r="A51" s="2" t="s">
        <v>210</v>
      </c>
      <c r="B51" s="1" t="s">
        <v>211</v>
      </c>
      <c r="C51" s="2" t="s">
        <v>212</v>
      </c>
      <c r="D51" s="2" t="s">
        <v>213</v>
      </c>
      <c r="E51" s="2" t="s">
        <v>214</v>
      </c>
    </row>
    <row r="52" spans="1:5" ht="150" x14ac:dyDescent="0.25">
      <c r="A52" s="2" t="s">
        <v>215</v>
      </c>
      <c r="B52" s="1" t="s">
        <v>216</v>
      </c>
      <c r="C52" s="2" t="s">
        <v>217</v>
      </c>
      <c r="D52" s="2" t="s">
        <v>218</v>
      </c>
      <c r="E52" s="2" t="s">
        <v>219</v>
      </c>
    </row>
    <row r="53" spans="1:5" ht="150" x14ac:dyDescent="0.25">
      <c r="A53" s="2" t="s">
        <v>220</v>
      </c>
      <c r="B53" s="1" t="s">
        <v>221</v>
      </c>
      <c r="C53" s="2" t="s">
        <v>222</v>
      </c>
      <c r="D53" s="2" t="s">
        <v>223</v>
      </c>
      <c r="E53" s="2" t="s">
        <v>224</v>
      </c>
    </row>
    <row r="54" spans="1:5" ht="315" x14ac:dyDescent="0.25">
      <c r="A54" s="2" t="s">
        <v>225</v>
      </c>
      <c r="B54" s="1" t="s">
        <v>514</v>
      </c>
      <c r="C54" s="2" t="s">
        <v>515</v>
      </c>
      <c r="D54" s="2" t="s">
        <v>226</v>
      </c>
      <c r="E54" s="2" t="s">
        <v>516</v>
      </c>
    </row>
    <row r="55" spans="1:5" ht="135" x14ac:dyDescent="0.25">
      <c r="A55" s="2" t="s">
        <v>227</v>
      </c>
      <c r="B55" s="1" t="s">
        <v>228</v>
      </c>
      <c r="C55" s="2" t="s">
        <v>229</v>
      </c>
      <c r="D55" s="2" t="s">
        <v>230</v>
      </c>
      <c r="E55" s="2" t="s">
        <v>231</v>
      </c>
    </row>
    <row r="56" spans="1:5" ht="150" x14ac:dyDescent="0.25">
      <c r="A56" s="2" t="s">
        <v>232</v>
      </c>
      <c r="B56" s="1" t="s">
        <v>233</v>
      </c>
      <c r="C56" s="2" t="s">
        <v>229</v>
      </c>
      <c r="D56" s="2" t="s">
        <v>234</v>
      </c>
      <c r="E56" s="2" t="s">
        <v>235</v>
      </c>
    </row>
    <row r="57" spans="1:5" ht="165" x14ac:dyDescent="0.25">
      <c r="A57" s="2" t="s">
        <v>236</v>
      </c>
      <c r="B57" s="1" t="s">
        <v>237</v>
      </c>
      <c r="C57" s="2" t="s">
        <v>22</v>
      </c>
      <c r="D57" s="2" t="s">
        <v>238</v>
      </c>
      <c r="E57" s="2" t="s">
        <v>239</v>
      </c>
    </row>
    <row r="58" spans="1:5" ht="150" x14ac:dyDescent="0.25">
      <c r="A58" s="2" t="s">
        <v>240</v>
      </c>
      <c r="B58" s="1" t="s">
        <v>241</v>
      </c>
      <c r="C58" s="2" t="s">
        <v>22</v>
      </c>
      <c r="D58" s="2" t="s">
        <v>242</v>
      </c>
      <c r="E58" s="2" t="s">
        <v>243</v>
      </c>
    </row>
    <row r="59" spans="1:5" ht="150" x14ac:dyDescent="0.25">
      <c r="A59" s="2" t="s">
        <v>244</v>
      </c>
      <c r="B59" s="1" t="s">
        <v>245</v>
      </c>
      <c r="C59" s="2" t="s">
        <v>246</v>
      </c>
      <c r="D59" s="2" t="s">
        <v>247</v>
      </c>
      <c r="E59" s="2" t="s">
        <v>248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9AB9-8F3F-4C35-92C5-46F51479B684}">
  <dimension ref="A1:W2939"/>
  <sheetViews>
    <sheetView topLeftCell="I1" workbookViewId="0">
      <pane ySplit="1" topLeftCell="A2" activePane="bottomLeft" state="frozenSplit"/>
      <selection pane="bottomLeft" activeCell="W3" sqref="W3"/>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249</v>
      </c>
      <c r="B1" t="s">
        <v>250</v>
      </c>
      <c r="C1" t="s">
        <v>251</v>
      </c>
      <c r="D1" t="s">
        <v>252</v>
      </c>
      <c r="E1" t="s">
        <v>253</v>
      </c>
      <c r="F1" t="s">
        <v>254</v>
      </c>
      <c r="G1" t="s">
        <v>255</v>
      </c>
      <c r="H1" t="s">
        <v>256</v>
      </c>
      <c r="I1" t="s">
        <v>257</v>
      </c>
      <c r="J1" t="s">
        <v>258</v>
      </c>
      <c r="K1" t="s">
        <v>259</v>
      </c>
      <c r="L1" t="s">
        <v>260</v>
      </c>
      <c r="M1" t="s">
        <v>261</v>
      </c>
      <c r="N1" t="s">
        <v>262</v>
      </c>
      <c r="O1" t="s">
        <v>263</v>
      </c>
      <c r="P1" t="s">
        <v>264</v>
      </c>
      <c r="Q1" t="s">
        <v>265</v>
      </c>
      <c r="R1" t="s">
        <v>266</v>
      </c>
      <c r="S1" t="s">
        <v>267</v>
      </c>
      <c r="T1" t="s">
        <v>268</v>
      </c>
      <c r="U1" t="s">
        <v>269</v>
      </c>
      <c r="V1" t="s">
        <v>270</v>
      </c>
      <c r="W1" t="s">
        <v>271</v>
      </c>
    </row>
    <row r="2" spans="1:23" x14ac:dyDescent="0.25">
      <c r="A2" t="s">
        <v>272</v>
      </c>
      <c r="B2">
        <v>2015</v>
      </c>
      <c r="C2" t="s">
        <v>273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COUNT(LifeExpectancyData[[#This Row],[Life expectancy]:[Schooling]])=19</f>
        <v>1</v>
      </c>
    </row>
    <row r="3" spans="1:23" x14ac:dyDescent="0.25">
      <c r="A3" t="s">
        <v>272</v>
      </c>
      <c r="B3">
        <v>2014</v>
      </c>
      <c r="C3" t="s">
        <v>273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COUNT(LifeExpectancyData[[#This Row],[Life expectancy]:[Schooling]])=19</f>
        <v>1</v>
      </c>
    </row>
    <row r="4" spans="1:23" x14ac:dyDescent="0.25">
      <c r="A4" t="s">
        <v>272</v>
      </c>
      <c r="B4">
        <v>2013</v>
      </c>
      <c r="C4" t="s">
        <v>273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COUNT(LifeExpectancyData[[#This Row],[Life expectancy]:[Schooling]])=19</f>
        <v>1</v>
      </c>
    </row>
    <row r="5" spans="1:23" x14ac:dyDescent="0.25">
      <c r="A5" t="s">
        <v>272</v>
      </c>
      <c r="B5">
        <v>2012</v>
      </c>
      <c r="C5" t="s">
        <v>273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COUNT(LifeExpectancyData[[#This Row],[Life expectancy]:[Schooling]])=19</f>
        <v>1</v>
      </c>
    </row>
    <row r="6" spans="1:23" x14ac:dyDescent="0.25">
      <c r="A6" t="s">
        <v>272</v>
      </c>
      <c r="B6">
        <v>2011</v>
      </c>
      <c r="C6" t="s">
        <v>273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COUNT(LifeExpectancyData[[#This Row],[Life expectancy]:[Schooling]])=19</f>
        <v>1</v>
      </c>
    </row>
    <row r="7" spans="1:23" x14ac:dyDescent="0.25">
      <c r="A7" t="s">
        <v>272</v>
      </c>
      <c r="B7">
        <v>2010</v>
      </c>
      <c r="C7" t="s">
        <v>273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COUNT(LifeExpectancyData[[#This Row],[Life expectancy]:[Schooling]])=19</f>
        <v>1</v>
      </c>
    </row>
    <row r="8" spans="1:23" x14ac:dyDescent="0.25">
      <c r="A8" t="s">
        <v>272</v>
      </c>
      <c r="B8">
        <v>2009</v>
      </c>
      <c r="C8" t="s">
        <v>273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COUNT(LifeExpectancyData[[#This Row],[Life expectancy]:[Schooling]])=19</f>
        <v>1</v>
      </c>
    </row>
    <row r="9" spans="1:23" x14ac:dyDescent="0.25">
      <c r="A9" t="s">
        <v>272</v>
      </c>
      <c r="B9">
        <v>2008</v>
      </c>
      <c r="C9" t="s">
        <v>273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COUNT(LifeExpectancyData[[#This Row],[Life expectancy]:[Schooling]])=19</f>
        <v>1</v>
      </c>
    </row>
    <row r="10" spans="1:23" x14ac:dyDescent="0.25">
      <c r="A10" t="s">
        <v>272</v>
      </c>
      <c r="B10">
        <v>2007</v>
      </c>
      <c r="C10" t="s">
        <v>273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COUNT(LifeExpectancyData[[#This Row],[Life expectancy]:[Schooling]])=19</f>
        <v>1</v>
      </c>
    </row>
    <row r="11" spans="1:23" x14ac:dyDescent="0.25">
      <c r="A11" t="s">
        <v>272</v>
      </c>
      <c r="B11">
        <v>2006</v>
      </c>
      <c r="C11" t="s">
        <v>273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COUNT(LifeExpectancyData[[#This Row],[Life expectancy]:[Schooling]])=19</f>
        <v>1</v>
      </c>
    </row>
    <row r="12" spans="1:23" x14ac:dyDescent="0.25">
      <c r="A12" t="s">
        <v>272</v>
      </c>
      <c r="B12">
        <v>2005</v>
      </c>
      <c r="C12" t="s">
        <v>273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COUNT(LifeExpectancyData[[#This Row],[Life expectancy]:[Schooling]])=19</f>
        <v>1</v>
      </c>
    </row>
    <row r="13" spans="1:23" x14ac:dyDescent="0.25">
      <c r="A13" t="s">
        <v>272</v>
      </c>
      <c r="B13">
        <v>2004</v>
      </c>
      <c r="C13" t="s">
        <v>273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COUNT(LifeExpectancyData[[#This Row],[Life expectancy]:[Schooling]])=19</f>
        <v>1</v>
      </c>
    </row>
    <row r="14" spans="1:23" x14ac:dyDescent="0.25">
      <c r="A14" t="s">
        <v>272</v>
      </c>
      <c r="B14">
        <v>2003</v>
      </c>
      <c r="C14" t="s">
        <v>273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COUNT(LifeExpectancyData[[#This Row],[Life expectancy]:[Schooling]])=19</f>
        <v>1</v>
      </c>
    </row>
    <row r="15" spans="1:23" x14ac:dyDescent="0.25">
      <c r="A15" t="s">
        <v>272</v>
      </c>
      <c r="B15">
        <v>2002</v>
      </c>
      <c r="C15" t="s">
        <v>273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COUNT(LifeExpectancyData[[#This Row],[Life expectancy]:[Schooling]])=19</f>
        <v>1</v>
      </c>
    </row>
    <row r="16" spans="1:23" x14ac:dyDescent="0.25">
      <c r="A16" t="s">
        <v>272</v>
      </c>
      <c r="B16">
        <v>2001</v>
      </c>
      <c r="C16" t="s">
        <v>273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COUNT(LifeExpectancyData[[#This Row],[Life expectancy]:[Schooling]])=19</f>
        <v>1</v>
      </c>
    </row>
    <row r="17" spans="1:23" x14ac:dyDescent="0.25">
      <c r="A17" t="s">
        <v>272</v>
      </c>
      <c r="B17">
        <v>2000</v>
      </c>
      <c r="C17" t="s">
        <v>273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COUNT(LifeExpectancyData[[#This Row],[Life expectancy]:[Schooling]])=19</f>
        <v>1</v>
      </c>
    </row>
    <row r="18" spans="1:23" x14ac:dyDescent="0.25">
      <c r="A18" t="s">
        <v>274</v>
      </c>
      <c r="B18">
        <v>2015</v>
      </c>
      <c r="C18" t="s">
        <v>273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COUNT(LifeExpectancyData[[#This Row],[Life expectancy]:[Schooling]])=19</f>
        <v>1</v>
      </c>
    </row>
    <row r="19" spans="1:23" x14ac:dyDescent="0.25">
      <c r="A19" t="s">
        <v>274</v>
      </c>
      <c r="B19">
        <v>2014</v>
      </c>
      <c r="C19" t="s">
        <v>273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COUNT(LifeExpectancyData[[#This Row],[Life expectancy]:[Schooling]])=19</f>
        <v>1</v>
      </c>
    </row>
    <row r="20" spans="1:23" x14ac:dyDescent="0.25">
      <c r="A20" t="s">
        <v>274</v>
      </c>
      <c r="B20">
        <v>2013</v>
      </c>
      <c r="C20" t="s">
        <v>273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COUNT(LifeExpectancyData[[#This Row],[Life expectancy]:[Schooling]])=19</f>
        <v>1</v>
      </c>
    </row>
    <row r="21" spans="1:23" x14ac:dyDescent="0.25">
      <c r="A21" t="s">
        <v>274</v>
      </c>
      <c r="B21">
        <v>2012</v>
      </c>
      <c r="C21" t="s">
        <v>273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COUNT(LifeExpectancyData[[#This Row],[Life expectancy]:[Schooling]])=19</f>
        <v>1</v>
      </c>
    </row>
    <row r="22" spans="1:23" x14ac:dyDescent="0.25">
      <c r="A22" t="s">
        <v>274</v>
      </c>
      <c r="B22">
        <v>2011</v>
      </c>
      <c r="C22" t="s">
        <v>273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COUNT(LifeExpectancyData[[#This Row],[Life expectancy]:[Schooling]])=19</f>
        <v>1</v>
      </c>
    </row>
    <row r="23" spans="1:23" x14ac:dyDescent="0.25">
      <c r="A23" t="s">
        <v>274</v>
      </c>
      <c r="B23">
        <v>2010</v>
      </c>
      <c r="C23" t="s">
        <v>273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COUNT(LifeExpectancyData[[#This Row],[Life expectancy]:[Schooling]])=19</f>
        <v>1</v>
      </c>
    </row>
    <row r="24" spans="1:23" x14ac:dyDescent="0.25">
      <c r="A24" t="s">
        <v>274</v>
      </c>
      <c r="B24">
        <v>2009</v>
      </c>
      <c r="C24" t="s">
        <v>273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COUNT(LifeExpectancyData[[#This Row],[Life expectancy]:[Schooling]])=19</f>
        <v>1</v>
      </c>
    </row>
    <row r="25" spans="1:23" x14ac:dyDescent="0.25">
      <c r="A25" t="s">
        <v>274</v>
      </c>
      <c r="B25">
        <v>2008</v>
      </c>
      <c r="C25" t="s">
        <v>273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COUNT(LifeExpectancyData[[#This Row],[Life expectancy]:[Schooling]])=19</f>
        <v>1</v>
      </c>
    </row>
    <row r="26" spans="1:23" x14ac:dyDescent="0.25">
      <c r="A26" t="s">
        <v>274</v>
      </c>
      <c r="B26">
        <v>2007</v>
      </c>
      <c r="C26" t="s">
        <v>273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COUNT(LifeExpectancyData[[#This Row],[Life expectancy]:[Schooling]])=19</f>
        <v>1</v>
      </c>
    </row>
    <row r="27" spans="1:23" x14ac:dyDescent="0.25">
      <c r="A27" t="s">
        <v>274</v>
      </c>
      <c r="B27">
        <v>2006</v>
      </c>
      <c r="C27" t="s">
        <v>273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COUNT(LifeExpectancyData[[#This Row],[Life expectancy]:[Schooling]])=19</f>
        <v>1</v>
      </c>
    </row>
    <row r="28" spans="1:23" x14ac:dyDescent="0.25">
      <c r="A28" t="s">
        <v>274</v>
      </c>
      <c r="B28">
        <v>2005</v>
      </c>
      <c r="C28" t="s">
        <v>273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COUNT(LifeExpectancyData[[#This Row],[Life expectancy]:[Schooling]])=19</f>
        <v>1</v>
      </c>
    </row>
    <row r="29" spans="1:23" x14ac:dyDescent="0.25">
      <c r="A29" t="s">
        <v>274</v>
      </c>
      <c r="B29">
        <v>2004</v>
      </c>
      <c r="C29" t="s">
        <v>273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COUNT(LifeExpectancyData[[#This Row],[Life expectancy]:[Schooling]])=19</f>
        <v>1</v>
      </c>
    </row>
    <row r="30" spans="1:23" x14ac:dyDescent="0.25">
      <c r="A30" t="s">
        <v>274</v>
      </c>
      <c r="B30">
        <v>2003</v>
      </c>
      <c r="C30" t="s">
        <v>273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COUNT(LifeExpectancyData[[#This Row],[Life expectancy]:[Schooling]])=19</f>
        <v>1</v>
      </c>
    </row>
    <row r="31" spans="1:23" x14ac:dyDescent="0.25">
      <c r="A31" t="s">
        <v>274</v>
      </c>
      <c r="B31">
        <v>2002</v>
      </c>
      <c r="C31" t="s">
        <v>273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COUNT(LifeExpectancyData[[#This Row],[Life expectancy]:[Schooling]])=19</f>
        <v>1</v>
      </c>
    </row>
    <row r="32" spans="1:23" x14ac:dyDescent="0.25">
      <c r="A32" t="s">
        <v>274</v>
      </c>
      <c r="B32">
        <v>2001</v>
      </c>
      <c r="C32" t="s">
        <v>273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COUNT(LifeExpectancyData[[#This Row],[Life expectancy]:[Schooling]])=19</f>
        <v>1</v>
      </c>
    </row>
    <row r="33" spans="1:23" x14ac:dyDescent="0.25">
      <c r="A33" t="s">
        <v>274</v>
      </c>
      <c r="B33">
        <v>2000</v>
      </c>
      <c r="C33" t="s">
        <v>273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COUNT(LifeExpectancyData[[#This Row],[Life expectancy]:[Schooling]])=19</f>
        <v>1</v>
      </c>
    </row>
    <row r="34" spans="1:23" x14ac:dyDescent="0.25">
      <c r="A34" t="s">
        <v>275</v>
      </c>
      <c r="B34">
        <v>2015</v>
      </c>
      <c r="C34" t="s">
        <v>273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COUNT(LifeExpectancyData[[#This Row],[Life expectancy]:[Schooling]])=19</f>
        <v>0</v>
      </c>
    </row>
    <row r="35" spans="1:23" x14ac:dyDescent="0.25">
      <c r="A35" t="s">
        <v>275</v>
      </c>
      <c r="B35">
        <v>2014</v>
      </c>
      <c r="C35" t="s">
        <v>273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COUNT(LifeExpectancyData[[#This Row],[Life expectancy]:[Schooling]])=19</f>
        <v>1</v>
      </c>
    </row>
    <row r="36" spans="1:23" x14ac:dyDescent="0.25">
      <c r="A36" t="s">
        <v>275</v>
      </c>
      <c r="B36">
        <v>2013</v>
      </c>
      <c r="C36" t="s">
        <v>273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COUNT(LifeExpectancyData[[#This Row],[Life expectancy]:[Schooling]])=19</f>
        <v>1</v>
      </c>
    </row>
    <row r="37" spans="1:23" x14ac:dyDescent="0.25">
      <c r="A37" t="s">
        <v>275</v>
      </c>
      <c r="B37">
        <v>2012</v>
      </c>
      <c r="C37" t="s">
        <v>273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COUNT(LifeExpectancyData[[#This Row],[Life expectancy]:[Schooling]])=19</f>
        <v>1</v>
      </c>
    </row>
    <row r="38" spans="1:23" x14ac:dyDescent="0.25">
      <c r="A38" t="s">
        <v>275</v>
      </c>
      <c r="B38">
        <v>2011</v>
      </c>
      <c r="C38" t="s">
        <v>273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COUNT(LifeExpectancyData[[#This Row],[Life expectancy]:[Schooling]])=19</f>
        <v>1</v>
      </c>
    </row>
    <row r="39" spans="1:23" x14ac:dyDescent="0.25">
      <c r="A39" t="s">
        <v>275</v>
      </c>
      <c r="B39">
        <v>2010</v>
      </c>
      <c r="C39" t="s">
        <v>273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COUNT(LifeExpectancyData[[#This Row],[Life expectancy]:[Schooling]])=19</f>
        <v>1</v>
      </c>
    </row>
    <row r="40" spans="1:23" x14ac:dyDescent="0.25">
      <c r="A40" t="s">
        <v>275</v>
      </c>
      <c r="B40">
        <v>2009</v>
      </c>
      <c r="C40" t="s">
        <v>273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COUNT(LifeExpectancyData[[#This Row],[Life expectancy]:[Schooling]])=19</f>
        <v>1</v>
      </c>
    </row>
    <row r="41" spans="1:23" x14ac:dyDescent="0.25">
      <c r="A41" t="s">
        <v>275</v>
      </c>
      <c r="B41">
        <v>2008</v>
      </c>
      <c r="C41" t="s">
        <v>273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COUNT(LifeExpectancyData[[#This Row],[Life expectancy]:[Schooling]])=19</f>
        <v>1</v>
      </c>
    </row>
    <row r="42" spans="1:23" x14ac:dyDescent="0.25">
      <c r="A42" t="s">
        <v>275</v>
      </c>
      <c r="B42">
        <v>2007</v>
      </c>
      <c r="C42" t="s">
        <v>273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COUNT(LifeExpectancyData[[#This Row],[Life expectancy]:[Schooling]])=19</f>
        <v>1</v>
      </c>
    </row>
    <row r="43" spans="1:23" x14ac:dyDescent="0.25">
      <c r="A43" t="s">
        <v>275</v>
      </c>
      <c r="B43">
        <v>2006</v>
      </c>
      <c r="C43" t="s">
        <v>273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COUNT(LifeExpectancyData[[#This Row],[Life expectancy]:[Schooling]])=19</f>
        <v>1</v>
      </c>
    </row>
    <row r="44" spans="1:23" x14ac:dyDescent="0.25">
      <c r="A44" t="s">
        <v>275</v>
      </c>
      <c r="B44">
        <v>2005</v>
      </c>
      <c r="C44" t="s">
        <v>273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COUNT(LifeExpectancyData[[#This Row],[Life expectancy]:[Schooling]])=19</f>
        <v>1</v>
      </c>
    </row>
    <row r="45" spans="1:23" x14ac:dyDescent="0.25">
      <c r="A45" t="s">
        <v>275</v>
      </c>
      <c r="B45">
        <v>2004</v>
      </c>
      <c r="C45" t="s">
        <v>273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COUNT(LifeExpectancyData[[#This Row],[Life expectancy]:[Schooling]])=19</f>
        <v>1</v>
      </c>
    </row>
    <row r="46" spans="1:23" x14ac:dyDescent="0.25">
      <c r="A46" t="s">
        <v>275</v>
      </c>
      <c r="B46">
        <v>2003</v>
      </c>
      <c r="C46" t="s">
        <v>273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COUNT(LifeExpectancyData[[#This Row],[Life expectancy]:[Schooling]])=19</f>
        <v>0</v>
      </c>
    </row>
    <row r="47" spans="1:23" x14ac:dyDescent="0.25">
      <c r="A47" t="s">
        <v>275</v>
      </c>
      <c r="B47">
        <v>2002</v>
      </c>
      <c r="C47" t="s">
        <v>273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COUNT(LifeExpectancyData[[#This Row],[Life expectancy]:[Schooling]])=19</f>
        <v>0</v>
      </c>
    </row>
    <row r="48" spans="1:23" x14ac:dyDescent="0.25">
      <c r="A48" t="s">
        <v>275</v>
      </c>
      <c r="B48">
        <v>2001</v>
      </c>
      <c r="C48" t="s">
        <v>273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COUNT(LifeExpectancyData[[#This Row],[Life expectancy]:[Schooling]])=19</f>
        <v>0</v>
      </c>
    </row>
    <row r="49" spans="1:23" x14ac:dyDescent="0.25">
      <c r="A49" t="s">
        <v>275</v>
      </c>
      <c r="B49">
        <v>2000</v>
      </c>
      <c r="C49" t="s">
        <v>273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COUNT(LifeExpectancyData[[#This Row],[Life expectancy]:[Schooling]])=19</f>
        <v>0</v>
      </c>
    </row>
    <row r="50" spans="1:23" x14ac:dyDescent="0.25">
      <c r="A50" t="s">
        <v>276</v>
      </c>
      <c r="B50">
        <v>2015</v>
      </c>
      <c r="C50" t="s">
        <v>273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COUNT(LifeExpectancyData[[#This Row],[Life expectancy]:[Schooling]])=19</f>
        <v>0</v>
      </c>
    </row>
    <row r="51" spans="1:23" x14ac:dyDescent="0.25">
      <c r="A51" t="s">
        <v>276</v>
      </c>
      <c r="B51">
        <v>2014</v>
      </c>
      <c r="C51" t="s">
        <v>273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COUNT(LifeExpectancyData[[#This Row],[Life expectancy]:[Schooling]])=19</f>
        <v>1</v>
      </c>
    </row>
    <row r="52" spans="1:23" x14ac:dyDescent="0.25">
      <c r="A52" t="s">
        <v>276</v>
      </c>
      <c r="B52">
        <v>2013</v>
      </c>
      <c r="C52" t="s">
        <v>273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COUNT(LifeExpectancyData[[#This Row],[Life expectancy]:[Schooling]])=19</f>
        <v>1</v>
      </c>
    </row>
    <row r="53" spans="1:23" x14ac:dyDescent="0.25">
      <c r="A53" t="s">
        <v>276</v>
      </c>
      <c r="B53">
        <v>2012</v>
      </c>
      <c r="C53" t="s">
        <v>273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COUNT(LifeExpectancyData[[#This Row],[Life expectancy]:[Schooling]])=19</f>
        <v>1</v>
      </c>
    </row>
    <row r="54" spans="1:23" x14ac:dyDescent="0.25">
      <c r="A54" t="s">
        <v>276</v>
      </c>
      <c r="B54">
        <v>2011</v>
      </c>
      <c r="C54" t="s">
        <v>273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COUNT(LifeExpectancyData[[#This Row],[Life expectancy]:[Schooling]])=19</f>
        <v>1</v>
      </c>
    </row>
    <row r="55" spans="1:23" x14ac:dyDescent="0.25">
      <c r="A55" t="s">
        <v>276</v>
      </c>
      <c r="B55">
        <v>2010</v>
      </c>
      <c r="C55" t="s">
        <v>273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COUNT(LifeExpectancyData[[#This Row],[Life expectancy]:[Schooling]])=19</f>
        <v>1</v>
      </c>
    </row>
    <row r="56" spans="1:23" x14ac:dyDescent="0.25">
      <c r="A56" t="s">
        <v>276</v>
      </c>
      <c r="B56">
        <v>2009</v>
      </c>
      <c r="C56" t="s">
        <v>273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COUNT(LifeExpectancyData[[#This Row],[Life expectancy]:[Schooling]])=19</f>
        <v>1</v>
      </c>
    </row>
    <row r="57" spans="1:23" x14ac:dyDescent="0.25">
      <c r="A57" t="s">
        <v>276</v>
      </c>
      <c r="B57">
        <v>2008</v>
      </c>
      <c r="C57" t="s">
        <v>273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COUNT(LifeExpectancyData[[#This Row],[Life expectancy]:[Schooling]])=19</f>
        <v>1</v>
      </c>
    </row>
    <row r="58" spans="1:23" x14ac:dyDescent="0.25">
      <c r="A58" t="s">
        <v>276</v>
      </c>
      <c r="B58">
        <v>2007</v>
      </c>
      <c r="C58" t="s">
        <v>273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COUNT(LifeExpectancyData[[#This Row],[Life expectancy]:[Schooling]])=19</f>
        <v>1</v>
      </c>
    </row>
    <row r="59" spans="1:23" x14ac:dyDescent="0.25">
      <c r="A59" t="s">
        <v>276</v>
      </c>
      <c r="B59">
        <v>2006</v>
      </c>
      <c r="C59" t="s">
        <v>273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COUNT(LifeExpectancyData[[#This Row],[Life expectancy]:[Schooling]])=19</f>
        <v>0</v>
      </c>
    </row>
    <row r="60" spans="1:23" x14ac:dyDescent="0.25">
      <c r="A60" t="s">
        <v>276</v>
      </c>
      <c r="B60">
        <v>2005</v>
      </c>
      <c r="C60" t="s">
        <v>273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COUNT(LifeExpectancyData[[#This Row],[Life expectancy]:[Schooling]])=19</f>
        <v>0</v>
      </c>
    </row>
    <row r="61" spans="1:23" x14ac:dyDescent="0.25">
      <c r="A61" t="s">
        <v>276</v>
      </c>
      <c r="B61">
        <v>2004</v>
      </c>
      <c r="C61" t="s">
        <v>273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COUNT(LifeExpectancyData[[#This Row],[Life expectancy]:[Schooling]])=19</f>
        <v>0</v>
      </c>
    </row>
    <row r="62" spans="1:23" x14ac:dyDescent="0.25">
      <c r="A62" t="s">
        <v>276</v>
      </c>
      <c r="B62">
        <v>2003</v>
      </c>
      <c r="C62" t="s">
        <v>273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COUNT(LifeExpectancyData[[#This Row],[Life expectancy]:[Schooling]])=19</f>
        <v>0</v>
      </c>
    </row>
    <row r="63" spans="1:23" x14ac:dyDescent="0.25">
      <c r="A63" t="s">
        <v>276</v>
      </c>
      <c r="B63">
        <v>2002</v>
      </c>
      <c r="C63" t="s">
        <v>273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COUNT(LifeExpectancyData[[#This Row],[Life expectancy]:[Schooling]])=19</f>
        <v>0</v>
      </c>
    </row>
    <row r="64" spans="1:23" x14ac:dyDescent="0.25">
      <c r="A64" t="s">
        <v>276</v>
      </c>
      <c r="B64">
        <v>2001</v>
      </c>
      <c r="C64" t="s">
        <v>273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COUNT(LifeExpectancyData[[#This Row],[Life expectancy]:[Schooling]])=19</f>
        <v>0</v>
      </c>
    </row>
    <row r="65" spans="1:23" x14ac:dyDescent="0.25">
      <c r="A65" t="s">
        <v>276</v>
      </c>
      <c r="B65">
        <v>2000</v>
      </c>
      <c r="C65" t="s">
        <v>273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COUNT(LifeExpectancyData[[#This Row],[Life expectancy]:[Schooling]])=19</f>
        <v>0</v>
      </c>
    </row>
    <row r="66" spans="1:23" x14ac:dyDescent="0.25">
      <c r="A66" t="s">
        <v>277</v>
      </c>
      <c r="B66">
        <v>2015</v>
      </c>
      <c r="C66" t="s">
        <v>273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COUNT(LifeExpectancyData[[#This Row],[Life expectancy]:[Schooling]])=19</f>
        <v>0</v>
      </c>
    </row>
    <row r="67" spans="1:23" x14ac:dyDescent="0.25">
      <c r="A67" t="s">
        <v>277</v>
      </c>
      <c r="B67">
        <v>2014</v>
      </c>
      <c r="C67" t="s">
        <v>273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COUNT(LifeExpectancyData[[#This Row],[Life expectancy]:[Schooling]])=19</f>
        <v>0</v>
      </c>
    </row>
    <row r="68" spans="1:23" x14ac:dyDescent="0.25">
      <c r="A68" t="s">
        <v>277</v>
      </c>
      <c r="B68">
        <v>2013</v>
      </c>
      <c r="C68" t="s">
        <v>273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COUNT(LifeExpectancyData[[#This Row],[Life expectancy]:[Schooling]])=19</f>
        <v>0</v>
      </c>
    </row>
    <row r="69" spans="1:23" x14ac:dyDescent="0.25">
      <c r="A69" t="s">
        <v>277</v>
      </c>
      <c r="B69">
        <v>2012</v>
      </c>
      <c r="C69" t="s">
        <v>273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COUNT(LifeExpectancyData[[#This Row],[Life expectancy]:[Schooling]])=19</f>
        <v>0</v>
      </c>
    </row>
    <row r="70" spans="1:23" x14ac:dyDescent="0.25">
      <c r="A70" t="s">
        <v>277</v>
      </c>
      <c r="B70">
        <v>2011</v>
      </c>
      <c r="C70" t="s">
        <v>273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COUNT(LifeExpectancyData[[#This Row],[Life expectancy]:[Schooling]])=19</f>
        <v>0</v>
      </c>
    </row>
    <row r="71" spans="1:23" x14ac:dyDescent="0.25">
      <c r="A71" t="s">
        <v>277</v>
      </c>
      <c r="B71">
        <v>2010</v>
      </c>
      <c r="C71" t="s">
        <v>273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COUNT(LifeExpectancyData[[#This Row],[Life expectancy]:[Schooling]])=19</f>
        <v>0</v>
      </c>
    </row>
    <row r="72" spans="1:23" x14ac:dyDescent="0.25">
      <c r="A72" t="s">
        <v>277</v>
      </c>
      <c r="B72">
        <v>2009</v>
      </c>
      <c r="C72" t="s">
        <v>273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COUNT(LifeExpectancyData[[#This Row],[Life expectancy]:[Schooling]])=19</f>
        <v>0</v>
      </c>
    </row>
    <row r="73" spans="1:23" x14ac:dyDescent="0.25">
      <c r="A73" t="s">
        <v>277</v>
      </c>
      <c r="B73">
        <v>2008</v>
      </c>
      <c r="C73" t="s">
        <v>273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COUNT(LifeExpectancyData[[#This Row],[Life expectancy]:[Schooling]])=19</f>
        <v>0</v>
      </c>
    </row>
    <row r="74" spans="1:23" x14ac:dyDescent="0.25">
      <c r="A74" t="s">
        <v>277</v>
      </c>
      <c r="B74">
        <v>2007</v>
      </c>
      <c r="C74" t="s">
        <v>273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COUNT(LifeExpectancyData[[#This Row],[Life expectancy]:[Schooling]])=19</f>
        <v>0</v>
      </c>
    </row>
    <row r="75" spans="1:23" x14ac:dyDescent="0.25">
      <c r="A75" t="s">
        <v>277</v>
      </c>
      <c r="B75">
        <v>2006</v>
      </c>
      <c r="C75" t="s">
        <v>273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COUNT(LifeExpectancyData[[#This Row],[Life expectancy]:[Schooling]])=19</f>
        <v>0</v>
      </c>
    </row>
    <row r="76" spans="1:23" x14ac:dyDescent="0.25">
      <c r="A76" t="s">
        <v>277</v>
      </c>
      <c r="B76">
        <v>2005</v>
      </c>
      <c r="C76" t="s">
        <v>273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COUNT(LifeExpectancyData[[#This Row],[Life expectancy]:[Schooling]])=19</f>
        <v>0</v>
      </c>
    </row>
    <row r="77" spans="1:23" x14ac:dyDescent="0.25">
      <c r="A77" t="s">
        <v>277</v>
      </c>
      <c r="B77">
        <v>2004</v>
      </c>
      <c r="C77" t="s">
        <v>273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COUNT(LifeExpectancyData[[#This Row],[Life expectancy]:[Schooling]])=19</f>
        <v>0</v>
      </c>
    </row>
    <row r="78" spans="1:23" x14ac:dyDescent="0.25">
      <c r="A78" t="s">
        <v>277</v>
      </c>
      <c r="B78">
        <v>2003</v>
      </c>
      <c r="C78" t="s">
        <v>273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COUNT(LifeExpectancyData[[#This Row],[Life expectancy]:[Schooling]])=19</f>
        <v>0</v>
      </c>
    </row>
    <row r="79" spans="1:23" x14ac:dyDescent="0.25">
      <c r="A79" t="s">
        <v>277</v>
      </c>
      <c r="B79">
        <v>2002</v>
      </c>
      <c r="C79" t="s">
        <v>273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COUNT(LifeExpectancyData[[#This Row],[Life expectancy]:[Schooling]])=19</f>
        <v>0</v>
      </c>
    </row>
    <row r="80" spans="1:23" x14ac:dyDescent="0.25">
      <c r="A80" t="s">
        <v>277</v>
      </c>
      <c r="B80">
        <v>2001</v>
      </c>
      <c r="C80" t="s">
        <v>273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COUNT(LifeExpectancyData[[#This Row],[Life expectancy]:[Schooling]])=19</f>
        <v>0</v>
      </c>
    </row>
    <row r="81" spans="1:23" x14ac:dyDescent="0.25">
      <c r="A81" t="s">
        <v>277</v>
      </c>
      <c r="B81">
        <v>2000</v>
      </c>
      <c r="C81" t="s">
        <v>273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COUNT(LifeExpectancyData[[#This Row],[Life expectancy]:[Schooling]])=19</f>
        <v>0</v>
      </c>
    </row>
    <row r="82" spans="1:23" x14ac:dyDescent="0.25">
      <c r="A82" t="s">
        <v>278</v>
      </c>
      <c r="B82">
        <v>2015</v>
      </c>
      <c r="C82" t="s">
        <v>273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COUNT(LifeExpectancyData[[#This Row],[Life expectancy]:[Schooling]])=19</f>
        <v>0</v>
      </c>
    </row>
    <row r="83" spans="1:23" x14ac:dyDescent="0.25">
      <c r="A83" t="s">
        <v>278</v>
      </c>
      <c r="B83">
        <v>2014</v>
      </c>
      <c r="C83" t="s">
        <v>273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COUNT(LifeExpectancyData[[#This Row],[Life expectancy]:[Schooling]])=19</f>
        <v>1</v>
      </c>
    </row>
    <row r="84" spans="1:23" x14ac:dyDescent="0.25">
      <c r="A84" t="s">
        <v>278</v>
      </c>
      <c r="B84">
        <v>2013</v>
      </c>
      <c r="C84" t="s">
        <v>273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COUNT(LifeExpectancyData[[#This Row],[Life expectancy]:[Schooling]])=19</f>
        <v>1</v>
      </c>
    </row>
    <row r="85" spans="1:23" x14ac:dyDescent="0.25">
      <c r="A85" t="s">
        <v>278</v>
      </c>
      <c r="B85">
        <v>2012</v>
      </c>
      <c r="C85" t="s">
        <v>273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COUNT(LifeExpectancyData[[#This Row],[Life expectancy]:[Schooling]])=19</f>
        <v>1</v>
      </c>
    </row>
    <row r="86" spans="1:23" x14ac:dyDescent="0.25">
      <c r="A86" t="s">
        <v>278</v>
      </c>
      <c r="B86">
        <v>2011</v>
      </c>
      <c r="C86" t="s">
        <v>273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COUNT(LifeExpectancyData[[#This Row],[Life expectancy]:[Schooling]])=19</f>
        <v>1</v>
      </c>
    </row>
    <row r="87" spans="1:23" x14ac:dyDescent="0.25">
      <c r="A87" t="s">
        <v>278</v>
      </c>
      <c r="B87">
        <v>2010</v>
      </c>
      <c r="C87" t="s">
        <v>273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COUNT(LifeExpectancyData[[#This Row],[Life expectancy]:[Schooling]])=19</f>
        <v>1</v>
      </c>
    </row>
    <row r="88" spans="1:23" x14ac:dyDescent="0.25">
      <c r="A88" t="s">
        <v>278</v>
      </c>
      <c r="B88">
        <v>2009</v>
      </c>
      <c r="C88" t="s">
        <v>273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COUNT(LifeExpectancyData[[#This Row],[Life expectancy]:[Schooling]])=19</f>
        <v>1</v>
      </c>
    </row>
    <row r="89" spans="1:23" x14ac:dyDescent="0.25">
      <c r="A89" t="s">
        <v>278</v>
      </c>
      <c r="B89">
        <v>2008</v>
      </c>
      <c r="C89" t="s">
        <v>273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COUNT(LifeExpectancyData[[#This Row],[Life expectancy]:[Schooling]])=19</f>
        <v>1</v>
      </c>
    </row>
    <row r="90" spans="1:23" x14ac:dyDescent="0.25">
      <c r="A90" t="s">
        <v>278</v>
      </c>
      <c r="B90">
        <v>2007</v>
      </c>
      <c r="C90" t="s">
        <v>273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COUNT(LifeExpectancyData[[#This Row],[Life expectancy]:[Schooling]])=19</f>
        <v>1</v>
      </c>
    </row>
    <row r="91" spans="1:23" x14ac:dyDescent="0.25">
      <c r="A91" t="s">
        <v>278</v>
      </c>
      <c r="B91">
        <v>2006</v>
      </c>
      <c r="C91" t="s">
        <v>273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COUNT(LifeExpectancyData[[#This Row],[Life expectancy]:[Schooling]])=19</f>
        <v>1</v>
      </c>
    </row>
    <row r="92" spans="1:23" x14ac:dyDescent="0.25">
      <c r="A92" t="s">
        <v>278</v>
      </c>
      <c r="B92">
        <v>2005</v>
      </c>
      <c r="C92" t="s">
        <v>273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COUNT(LifeExpectancyData[[#This Row],[Life expectancy]:[Schooling]])=19</f>
        <v>1</v>
      </c>
    </row>
    <row r="93" spans="1:23" x14ac:dyDescent="0.25">
      <c r="A93" t="s">
        <v>278</v>
      </c>
      <c r="B93">
        <v>2004</v>
      </c>
      <c r="C93" t="s">
        <v>273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COUNT(LifeExpectancyData[[#This Row],[Life expectancy]:[Schooling]])=19</f>
        <v>1</v>
      </c>
    </row>
    <row r="94" spans="1:23" x14ac:dyDescent="0.25">
      <c r="A94" t="s">
        <v>278</v>
      </c>
      <c r="B94">
        <v>2003</v>
      </c>
      <c r="C94" t="s">
        <v>273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COUNT(LifeExpectancyData[[#This Row],[Life expectancy]:[Schooling]])=19</f>
        <v>1</v>
      </c>
    </row>
    <row r="95" spans="1:23" x14ac:dyDescent="0.25">
      <c r="A95" t="s">
        <v>278</v>
      </c>
      <c r="B95">
        <v>2002</v>
      </c>
      <c r="C95" t="s">
        <v>273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COUNT(LifeExpectancyData[[#This Row],[Life expectancy]:[Schooling]])=19</f>
        <v>1</v>
      </c>
    </row>
    <row r="96" spans="1:23" x14ac:dyDescent="0.25">
      <c r="A96" t="s">
        <v>278</v>
      </c>
      <c r="B96">
        <v>2001</v>
      </c>
      <c r="C96" t="s">
        <v>273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COUNT(LifeExpectancyData[[#This Row],[Life expectancy]:[Schooling]])=19</f>
        <v>0</v>
      </c>
    </row>
    <row r="97" spans="1:23" x14ac:dyDescent="0.25">
      <c r="A97" t="s">
        <v>278</v>
      </c>
      <c r="B97">
        <v>2000</v>
      </c>
      <c r="C97" t="s">
        <v>273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COUNT(LifeExpectancyData[[#This Row],[Life expectancy]:[Schooling]])=19</f>
        <v>0</v>
      </c>
    </row>
    <row r="98" spans="1:23" x14ac:dyDescent="0.25">
      <c r="A98" t="s">
        <v>279</v>
      </c>
      <c r="B98">
        <v>2015</v>
      </c>
      <c r="C98" t="s">
        <v>273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COUNT(LifeExpectancyData[[#This Row],[Life expectancy]:[Schooling]])=19</f>
        <v>0</v>
      </c>
    </row>
    <row r="99" spans="1:23" x14ac:dyDescent="0.25">
      <c r="A99" t="s">
        <v>279</v>
      </c>
      <c r="B99">
        <v>2014</v>
      </c>
      <c r="C99" t="s">
        <v>273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COUNT(LifeExpectancyData[[#This Row],[Life expectancy]:[Schooling]])=19</f>
        <v>1</v>
      </c>
    </row>
    <row r="100" spans="1:23" x14ac:dyDescent="0.25">
      <c r="A100" t="s">
        <v>279</v>
      </c>
      <c r="B100">
        <v>2013</v>
      </c>
      <c r="C100" t="s">
        <v>273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COUNT(LifeExpectancyData[[#This Row],[Life expectancy]:[Schooling]])=19</f>
        <v>1</v>
      </c>
    </row>
    <row r="101" spans="1:23" x14ac:dyDescent="0.25">
      <c r="A101" t="s">
        <v>279</v>
      </c>
      <c r="B101">
        <v>2012</v>
      </c>
      <c r="C101" t="s">
        <v>273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COUNT(LifeExpectancyData[[#This Row],[Life expectancy]:[Schooling]])=19</f>
        <v>1</v>
      </c>
    </row>
    <row r="102" spans="1:23" x14ac:dyDescent="0.25">
      <c r="A102" t="s">
        <v>279</v>
      </c>
      <c r="B102">
        <v>2011</v>
      </c>
      <c r="C102" t="s">
        <v>273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COUNT(LifeExpectancyData[[#This Row],[Life expectancy]:[Schooling]])=19</f>
        <v>1</v>
      </c>
    </row>
    <row r="103" spans="1:23" x14ac:dyDescent="0.25">
      <c r="A103" t="s">
        <v>279</v>
      </c>
      <c r="B103">
        <v>2010</v>
      </c>
      <c r="C103" t="s">
        <v>273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COUNT(LifeExpectancyData[[#This Row],[Life expectancy]:[Schooling]])=19</f>
        <v>1</v>
      </c>
    </row>
    <row r="104" spans="1:23" x14ac:dyDescent="0.25">
      <c r="A104" t="s">
        <v>279</v>
      </c>
      <c r="B104">
        <v>2009</v>
      </c>
      <c r="C104" t="s">
        <v>273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COUNT(LifeExpectancyData[[#This Row],[Life expectancy]:[Schooling]])=19</f>
        <v>1</v>
      </c>
    </row>
    <row r="105" spans="1:23" x14ac:dyDescent="0.25">
      <c r="A105" t="s">
        <v>279</v>
      </c>
      <c r="B105">
        <v>2008</v>
      </c>
      <c r="C105" t="s">
        <v>273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COUNT(LifeExpectancyData[[#This Row],[Life expectancy]:[Schooling]])=19</f>
        <v>1</v>
      </c>
    </row>
    <row r="106" spans="1:23" x14ac:dyDescent="0.25">
      <c r="A106" t="s">
        <v>279</v>
      </c>
      <c r="B106">
        <v>2007</v>
      </c>
      <c r="C106" t="s">
        <v>273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COUNT(LifeExpectancyData[[#This Row],[Life expectancy]:[Schooling]])=19</f>
        <v>1</v>
      </c>
    </row>
    <row r="107" spans="1:23" x14ac:dyDescent="0.25">
      <c r="A107" t="s">
        <v>279</v>
      </c>
      <c r="B107">
        <v>2006</v>
      </c>
      <c r="C107" t="s">
        <v>273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COUNT(LifeExpectancyData[[#This Row],[Life expectancy]:[Schooling]])=19</f>
        <v>1</v>
      </c>
    </row>
    <row r="108" spans="1:23" x14ac:dyDescent="0.25">
      <c r="A108" t="s">
        <v>279</v>
      </c>
      <c r="B108">
        <v>2005</v>
      </c>
      <c r="C108" t="s">
        <v>273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COUNT(LifeExpectancyData[[#This Row],[Life expectancy]:[Schooling]])=19</f>
        <v>1</v>
      </c>
    </row>
    <row r="109" spans="1:23" x14ac:dyDescent="0.25">
      <c r="A109" t="s">
        <v>279</v>
      </c>
      <c r="B109">
        <v>2004</v>
      </c>
      <c r="C109" t="s">
        <v>273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COUNT(LifeExpectancyData[[#This Row],[Life expectancy]:[Schooling]])=19</f>
        <v>1</v>
      </c>
    </row>
    <row r="110" spans="1:23" x14ac:dyDescent="0.25">
      <c r="A110" t="s">
        <v>279</v>
      </c>
      <c r="B110">
        <v>2003</v>
      </c>
      <c r="C110" t="s">
        <v>273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COUNT(LifeExpectancyData[[#This Row],[Life expectancy]:[Schooling]])=19</f>
        <v>1</v>
      </c>
    </row>
    <row r="111" spans="1:23" x14ac:dyDescent="0.25">
      <c r="A111" t="s">
        <v>279</v>
      </c>
      <c r="B111">
        <v>2002</v>
      </c>
      <c r="C111" t="s">
        <v>273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COUNT(LifeExpectancyData[[#This Row],[Life expectancy]:[Schooling]])=19</f>
        <v>1</v>
      </c>
    </row>
    <row r="112" spans="1:23" x14ac:dyDescent="0.25">
      <c r="A112" t="s">
        <v>279</v>
      </c>
      <c r="B112">
        <v>2001</v>
      </c>
      <c r="C112" t="s">
        <v>273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COUNT(LifeExpectancyData[[#This Row],[Life expectancy]:[Schooling]])=19</f>
        <v>1</v>
      </c>
    </row>
    <row r="113" spans="1:23" x14ac:dyDescent="0.25">
      <c r="A113" t="s">
        <v>279</v>
      </c>
      <c r="B113">
        <v>2000</v>
      </c>
      <c r="C113" t="s">
        <v>273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COUNT(LifeExpectancyData[[#This Row],[Life expectancy]:[Schooling]])=19</f>
        <v>1</v>
      </c>
    </row>
    <row r="114" spans="1:23" x14ac:dyDescent="0.25">
      <c r="A114" t="s">
        <v>280</v>
      </c>
      <c r="B114">
        <v>2015</v>
      </c>
      <c r="C114" t="s">
        <v>281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COUNT(LifeExpectancyData[[#This Row],[Life expectancy]:[Schooling]])=19</f>
        <v>0</v>
      </c>
    </row>
    <row r="115" spans="1:23" x14ac:dyDescent="0.25">
      <c r="A115" t="s">
        <v>280</v>
      </c>
      <c r="B115">
        <v>2014</v>
      </c>
      <c r="C115" t="s">
        <v>281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COUNT(LifeExpectancyData[[#This Row],[Life expectancy]:[Schooling]])=19</f>
        <v>1</v>
      </c>
    </row>
    <row r="116" spans="1:23" x14ac:dyDescent="0.25">
      <c r="A116" t="s">
        <v>280</v>
      </c>
      <c r="B116">
        <v>2013</v>
      </c>
      <c r="C116" t="s">
        <v>281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COUNT(LifeExpectancyData[[#This Row],[Life expectancy]:[Schooling]])=19</f>
        <v>1</v>
      </c>
    </row>
    <row r="117" spans="1:23" x14ac:dyDescent="0.25">
      <c r="A117" t="s">
        <v>280</v>
      </c>
      <c r="B117">
        <v>2012</v>
      </c>
      <c r="C117" t="s">
        <v>281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COUNT(LifeExpectancyData[[#This Row],[Life expectancy]:[Schooling]])=19</f>
        <v>1</v>
      </c>
    </row>
    <row r="118" spans="1:23" x14ac:dyDescent="0.25">
      <c r="A118" t="s">
        <v>280</v>
      </c>
      <c r="B118">
        <v>2011</v>
      </c>
      <c r="C118" t="s">
        <v>281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COUNT(LifeExpectancyData[[#This Row],[Life expectancy]:[Schooling]])=19</f>
        <v>1</v>
      </c>
    </row>
    <row r="119" spans="1:23" x14ac:dyDescent="0.25">
      <c r="A119" t="s">
        <v>280</v>
      </c>
      <c r="B119">
        <v>2010</v>
      </c>
      <c r="C119" t="s">
        <v>281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COUNT(LifeExpectancyData[[#This Row],[Life expectancy]:[Schooling]])=19</f>
        <v>1</v>
      </c>
    </row>
    <row r="120" spans="1:23" x14ac:dyDescent="0.25">
      <c r="A120" t="s">
        <v>280</v>
      </c>
      <c r="B120">
        <v>2009</v>
      </c>
      <c r="C120" t="s">
        <v>281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COUNT(LifeExpectancyData[[#This Row],[Life expectancy]:[Schooling]])=19</f>
        <v>1</v>
      </c>
    </row>
    <row r="121" spans="1:23" x14ac:dyDescent="0.25">
      <c r="A121" t="s">
        <v>280</v>
      </c>
      <c r="B121">
        <v>2008</v>
      </c>
      <c r="C121" t="s">
        <v>281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COUNT(LifeExpectancyData[[#This Row],[Life expectancy]:[Schooling]])=19</f>
        <v>1</v>
      </c>
    </row>
    <row r="122" spans="1:23" x14ac:dyDescent="0.25">
      <c r="A122" t="s">
        <v>280</v>
      </c>
      <c r="B122">
        <v>2007</v>
      </c>
      <c r="C122" t="s">
        <v>281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COUNT(LifeExpectancyData[[#This Row],[Life expectancy]:[Schooling]])=19</f>
        <v>1</v>
      </c>
    </row>
    <row r="123" spans="1:23" x14ac:dyDescent="0.25">
      <c r="A123" t="s">
        <v>280</v>
      </c>
      <c r="B123">
        <v>2006</v>
      </c>
      <c r="C123" t="s">
        <v>281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COUNT(LifeExpectancyData[[#This Row],[Life expectancy]:[Schooling]])=19</f>
        <v>1</v>
      </c>
    </row>
    <row r="124" spans="1:23" x14ac:dyDescent="0.25">
      <c r="A124" t="s">
        <v>280</v>
      </c>
      <c r="B124">
        <v>2005</v>
      </c>
      <c r="C124" t="s">
        <v>281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COUNT(LifeExpectancyData[[#This Row],[Life expectancy]:[Schooling]])=19</f>
        <v>1</v>
      </c>
    </row>
    <row r="125" spans="1:23" x14ac:dyDescent="0.25">
      <c r="A125" t="s">
        <v>280</v>
      </c>
      <c r="B125">
        <v>2004</v>
      </c>
      <c r="C125" t="s">
        <v>281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COUNT(LifeExpectancyData[[#This Row],[Life expectancy]:[Schooling]])=19</f>
        <v>1</v>
      </c>
    </row>
    <row r="126" spans="1:23" x14ac:dyDescent="0.25">
      <c r="A126" t="s">
        <v>280</v>
      </c>
      <c r="B126">
        <v>2003</v>
      </c>
      <c r="C126" t="s">
        <v>281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COUNT(LifeExpectancyData[[#This Row],[Life expectancy]:[Schooling]])=19</f>
        <v>1</v>
      </c>
    </row>
    <row r="127" spans="1:23" x14ac:dyDescent="0.25">
      <c r="A127" t="s">
        <v>280</v>
      </c>
      <c r="B127">
        <v>2002</v>
      </c>
      <c r="C127" t="s">
        <v>281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COUNT(LifeExpectancyData[[#This Row],[Life expectancy]:[Schooling]])=19</f>
        <v>1</v>
      </c>
    </row>
    <row r="128" spans="1:23" x14ac:dyDescent="0.25">
      <c r="A128" t="s">
        <v>280</v>
      </c>
      <c r="B128">
        <v>2001</v>
      </c>
      <c r="C128" t="s">
        <v>281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COUNT(LifeExpectancyData[[#This Row],[Life expectancy]:[Schooling]])=19</f>
        <v>1</v>
      </c>
    </row>
    <row r="129" spans="1:23" x14ac:dyDescent="0.25">
      <c r="A129" t="s">
        <v>280</v>
      </c>
      <c r="B129">
        <v>2000</v>
      </c>
      <c r="C129" t="s">
        <v>281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COUNT(LifeExpectancyData[[#This Row],[Life expectancy]:[Schooling]])=19</f>
        <v>0</v>
      </c>
    </row>
    <row r="130" spans="1:23" x14ac:dyDescent="0.25">
      <c r="A130" t="s">
        <v>282</v>
      </c>
      <c r="B130">
        <v>2015</v>
      </c>
      <c r="C130" t="s">
        <v>281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COUNT(LifeExpectancyData[[#This Row],[Life expectancy]:[Schooling]])=19</f>
        <v>0</v>
      </c>
    </row>
    <row r="131" spans="1:23" x14ac:dyDescent="0.25">
      <c r="A131" t="s">
        <v>282</v>
      </c>
      <c r="B131">
        <v>2014</v>
      </c>
      <c r="C131" t="s">
        <v>281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COUNT(LifeExpectancyData[[#This Row],[Life expectancy]:[Schooling]])=19</f>
        <v>1</v>
      </c>
    </row>
    <row r="132" spans="1:23" x14ac:dyDescent="0.25">
      <c r="A132" t="s">
        <v>282</v>
      </c>
      <c r="B132">
        <v>2013</v>
      </c>
      <c r="C132" t="s">
        <v>281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COUNT(LifeExpectancyData[[#This Row],[Life expectancy]:[Schooling]])=19</f>
        <v>1</v>
      </c>
    </row>
    <row r="133" spans="1:23" x14ac:dyDescent="0.25">
      <c r="A133" t="s">
        <v>282</v>
      </c>
      <c r="B133">
        <v>2012</v>
      </c>
      <c r="C133" t="s">
        <v>281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COUNT(LifeExpectancyData[[#This Row],[Life expectancy]:[Schooling]])=19</f>
        <v>1</v>
      </c>
    </row>
    <row r="134" spans="1:23" x14ac:dyDescent="0.25">
      <c r="A134" t="s">
        <v>282</v>
      </c>
      <c r="B134">
        <v>2011</v>
      </c>
      <c r="C134" t="s">
        <v>281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COUNT(LifeExpectancyData[[#This Row],[Life expectancy]:[Schooling]])=19</f>
        <v>1</v>
      </c>
    </row>
    <row r="135" spans="1:23" x14ac:dyDescent="0.25">
      <c r="A135" t="s">
        <v>282</v>
      </c>
      <c r="B135">
        <v>2010</v>
      </c>
      <c r="C135" t="s">
        <v>281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COUNT(LifeExpectancyData[[#This Row],[Life expectancy]:[Schooling]])=19</f>
        <v>1</v>
      </c>
    </row>
    <row r="136" spans="1:23" x14ac:dyDescent="0.25">
      <c r="A136" t="s">
        <v>282</v>
      </c>
      <c r="B136">
        <v>2009</v>
      </c>
      <c r="C136" t="s">
        <v>281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COUNT(LifeExpectancyData[[#This Row],[Life expectancy]:[Schooling]])=19</f>
        <v>1</v>
      </c>
    </row>
    <row r="137" spans="1:23" x14ac:dyDescent="0.25">
      <c r="A137" t="s">
        <v>282</v>
      </c>
      <c r="B137">
        <v>2008</v>
      </c>
      <c r="C137" t="s">
        <v>281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COUNT(LifeExpectancyData[[#This Row],[Life expectancy]:[Schooling]])=19</f>
        <v>1</v>
      </c>
    </row>
    <row r="138" spans="1:23" x14ac:dyDescent="0.25">
      <c r="A138" t="s">
        <v>282</v>
      </c>
      <c r="B138">
        <v>2007</v>
      </c>
      <c r="C138" t="s">
        <v>281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COUNT(LifeExpectancyData[[#This Row],[Life expectancy]:[Schooling]])=19</f>
        <v>1</v>
      </c>
    </row>
    <row r="139" spans="1:23" x14ac:dyDescent="0.25">
      <c r="A139" t="s">
        <v>282</v>
      </c>
      <c r="B139">
        <v>2006</v>
      </c>
      <c r="C139" t="s">
        <v>281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COUNT(LifeExpectancyData[[#This Row],[Life expectancy]:[Schooling]])=19</f>
        <v>1</v>
      </c>
    </row>
    <row r="140" spans="1:23" x14ac:dyDescent="0.25">
      <c r="A140" t="s">
        <v>282</v>
      </c>
      <c r="B140">
        <v>2005</v>
      </c>
      <c r="C140" t="s">
        <v>281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COUNT(LifeExpectancyData[[#This Row],[Life expectancy]:[Schooling]])=19</f>
        <v>1</v>
      </c>
    </row>
    <row r="141" spans="1:23" x14ac:dyDescent="0.25">
      <c r="A141" t="s">
        <v>282</v>
      </c>
      <c r="B141">
        <v>2004</v>
      </c>
      <c r="C141" t="s">
        <v>281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COUNT(LifeExpectancyData[[#This Row],[Life expectancy]:[Schooling]])=19</f>
        <v>1</v>
      </c>
    </row>
    <row r="142" spans="1:23" x14ac:dyDescent="0.25">
      <c r="A142" t="s">
        <v>282</v>
      </c>
      <c r="B142">
        <v>2003</v>
      </c>
      <c r="C142" t="s">
        <v>281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COUNT(LifeExpectancyData[[#This Row],[Life expectancy]:[Schooling]])=19</f>
        <v>1</v>
      </c>
    </row>
    <row r="143" spans="1:23" x14ac:dyDescent="0.25">
      <c r="A143" t="s">
        <v>282</v>
      </c>
      <c r="B143">
        <v>2002</v>
      </c>
      <c r="C143" t="s">
        <v>281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COUNT(LifeExpectancyData[[#This Row],[Life expectancy]:[Schooling]])=19</f>
        <v>1</v>
      </c>
    </row>
    <row r="144" spans="1:23" x14ac:dyDescent="0.25">
      <c r="A144" t="s">
        <v>282</v>
      </c>
      <c r="B144">
        <v>2001</v>
      </c>
      <c r="C144" t="s">
        <v>281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COUNT(LifeExpectancyData[[#This Row],[Life expectancy]:[Schooling]])=19</f>
        <v>1</v>
      </c>
    </row>
    <row r="145" spans="1:23" x14ac:dyDescent="0.25">
      <c r="A145" t="s">
        <v>282</v>
      </c>
      <c r="B145">
        <v>2000</v>
      </c>
      <c r="C145" t="s">
        <v>281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COUNT(LifeExpectancyData[[#This Row],[Life expectancy]:[Schooling]])=19</f>
        <v>1</v>
      </c>
    </row>
    <row r="146" spans="1:23" x14ac:dyDescent="0.25">
      <c r="A146" t="s">
        <v>283</v>
      </c>
      <c r="B146">
        <v>2015</v>
      </c>
      <c r="C146" t="s">
        <v>273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COUNT(LifeExpectancyData[[#This Row],[Life expectancy]:[Schooling]])=19</f>
        <v>0</v>
      </c>
    </row>
    <row r="147" spans="1:23" x14ac:dyDescent="0.25">
      <c r="A147" t="s">
        <v>283</v>
      </c>
      <c r="B147">
        <v>2014</v>
      </c>
      <c r="C147" t="s">
        <v>273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COUNT(LifeExpectancyData[[#This Row],[Life expectancy]:[Schooling]])=19</f>
        <v>1</v>
      </c>
    </row>
    <row r="148" spans="1:23" x14ac:dyDescent="0.25">
      <c r="A148" t="s">
        <v>283</v>
      </c>
      <c r="B148">
        <v>2013</v>
      </c>
      <c r="C148" t="s">
        <v>273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COUNT(LifeExpectancyData[[#This Row],[Life expectancy]:[Schooling]])=19</f>
        <v>1</v>
      </c>
    </row>
    <row r="149" spans="1:23" x14ac:dyDescent="0.25">
      <c r="A149" t="s">
        <v>283</v>
      </c>
      <c r="B149">
        <v>2012</v>
      </c>
      <c r="C149" t="s">
        <v>273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COUNT(LifeExpectancyData[[#This Row],[Life expectancy]:[Schooling]])=19</f>
        <v>1</v>
      </c>
    </row>
    <row r="150" spans="1:23" x14ac:dyDescent="0.25">
      <c r="A150" t="s">
        <v>283</v>
      </c>
      <c r="B150">
        <v>2011</v>
      </c>
      <c r="C150" t="s">
        <v>273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COUNT(LifeExpectancyData[[#This Row],[Life expectancy]:[Schooling]])=19</f>
        <v>1</v>
      </c>
    </row>
    <row r="151" spans="1:23" x14ac:dyDescent="0.25">
      <c r="A151" t="s">
        <v>283</v>
      </c>
      <c r="B151">
        <v>2010</v>
      </c>
      <c r="C151" t="s">
        <v>273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COUNT(LifeExpectancyData[[#This Row],[Life expectancy]:[Schooling]])=19</f>
        <v>1</v>
      </c>
    </row>
    <row r="152" spans="1:23" x14ac:dyDescent="0.25">
      <c r="A152" t="s">
        <v>283</v>
      </c>
      <c r="B152">
        <v>2009</v>
      </c>
      <c r="C152" t="s">
        <v>273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COUNT(LifeExpectancyData[[#This Row],[Life expectancy]:[Schooling]])=19</f>
        <v>1</v>
      </c>
    </row>
    <row r="153" spans="1:23" x14ac:dyDescent="0.25">
      <c r="A153" t="s">
        <v>283</v>
      </c>
      <c r="B153">
        <v>2008</v>
      </c>
      <c r="C153" t="s">
        <v>273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COUNT(LifeExpectancyData[[#This Row],[Life expectancy]:[Schooling]])=19</f>
        <v>1</v>
      </c>
    </row>
    <row r="154" spans="1:23" x14ac:dyDescent="0.25">
      <c r="A154" t="s">
        <v>283</v>
      </c>
      <c r="B154">
        <v>2007</v>
      </c>
      <c r="C154" t="s">
        <v>273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COUNT(LifeExpectancyData[[#This Row],[Life expectancy]:[Schooling]])=19</f>
        <v>1</v>
      </c>
    </row>
    <row r="155" spans="1:23" x14ac:dyDescent="0.25">
      <c r="A155" t="s">
        <v>283</v>
      </c>
      <c r="B155">
        <v>2006</v>
      </c>
      <c r="C155" t="s">
        <v>273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COUNT(LifeExpectancyData[[#This Row],[Life expectancy]:[Schooling]])=19</f>
        <v>1</v>
      </c>
    </row>
    <row r="156" spans="1:23" x14ac:dyDescent="0.25">
      <c r="A156" t="s">
        <v>283</v>
      </c>
      <c r="B156">
        <v>2005</v>
      </c>
      <c r="C156" t="s">
        <v>273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COUNT(LifeExpectancyData[[#This Row],[Life expectancy]:[Schooling]])=19</f>
        <v>1</v>
      </c>
    </row>
    <row r="157" spans="1:23" x14ac:dyDescent="0.25">
      <c r="A157" t="s">
        <v>283</v>
      </c>
      <c r="B157">
        <v>2004</v>
      </c>
      <c r="C157" t="s">
        <v>273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COUNT(LifeExpectancyData[[#This Row],[Life expectancy]:[Schooling]])=19</f>
        <v>1</v>
      </c>
    </row>
    <row r="158" spans="1:23" x14ac:dyDescent="0.25">
      <c r="A158" t="s">
        <v>283</v>
      </c>
      <c r="B158">
        <v>2003</v>
      </c>
      <c r="C158" t="s">
        <v>273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COUNT(LifeExpectancyData[[#This Row],[Life expectancy]:[Schooling]])=19</f>
        <v>1</v>
      </c>
    </row>
    <row r="159" spans="1:23" x14ac:dyDescent="0.25">
      <c r="A159" t="s">
        <v>283</v>
      </c>
      <c r="B159">
        <v>2002</v>
      </c>
      <c r="C159" t="s">
        <v>273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COUNT(LifeExpectancyData[[#This Row],[Life expectancy]:[Schooling]])=19</f>
        <v>1</v>
      </c>
    </row>
    <row r="160" spans="1:23" x14ac:dyDescent="0.25">
      <c r="A160" t="s">
        <v>283</v>
      </c>
      <c r="B160">
        <v>2001</v>
      </c>
      <c r="C160" t="s">
        <v>273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COUNT(LifeExpectancyData[[#This Row],[Life expectancy]:[Schooling]])=19</f>
        <v>0</v>
      </c>
    </row>
    <row r="161" spans="1:23" x14ac:dyDescent="0.25">
      <c r="A161" t="s">
        <v>283</v>
      </c>
      <c r="B161">
        <v>2000</v>
      </c>
      <c r="C161" t="s">
        <v>273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COUNT(LifeExpectancyData[[#This Row],[Life expectancy]:[Schooling]])=19</f>
        <v>0</v>
      </c>
    </row>
    <row r="162" spans="1:23" x14ac:dyDescent="0.25">
      <c r="A162" t="s">
        <v>284</v>
      </c>
      <c r="B162">
        <v>2015</v>
      </c>
      <c r="C162" t="s">
        <v>273</v>
      </c>
      <c r="D162">
        <v>76.099999999999994</v>
      </c>
      <c r="E162">
        <v>147</v>
      </c>
      <c r="F162">
        <v>0</v>
      </c>
      <c r="H162">
        <v>0</v>
      </c>
      <c r="I162">
        <v>95</v>
      </c>
      <c r="J162">
        <v>0</v>
      </c>
      <c r="K162">
        <v>64.5</v>
      </c>
      <c r="L162">
        <v>0</v>
      </c>
      <c r="M162">
        <v>95</v>
      </c>
      <c r="O162">
        <v>95</v>
      </c>
      <c r="P162">
        <v>0.1</v>
      </c>
      <c r="S162">
        <v>2.5</v>
      </c>
      <c r="T162">
        <v>2.5</v>
      </c>
      <c r="U162">
        <v>0.79</v>
      </c>
      <c r="V162">
        <v>12.6</v>
      </c>
      <c r="W162" t="b">
        <f>COUNT(LifeExpectancyData[[#This Row],[Life expectancy]:[Schooling]])=19</f>
        <v>0</v>
      </c>
    </row>
    <row r="163" spans="1:23" x14ac:dyDescent="0.25">
      <c r="A163" t="s">
        <v>284</v>
      </c>
      <c r="B163">
        <v>2014</v>
      </c>
      <c r="C163" t="s">
        <v>273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COUNT(LifeExpectancyData[[#This Row],[Life expectancy]:[Schooling]])=19</f>
        <v>0</v>
      </c>
    </row>
    <row r="164" spans="1:23" x14ac:dyDescent="0.25">
      <c r="A164" t="s">
        <v>284</v>
      </c>
      <c r="B164">
        <v>2013</v>
      </c>
      <c r="C164" t="s">
        <v>273</v>
      </c>
      <c r="D164">
        <v>74.8</v>
      </c>
      <c r="E164">
        <v>172</v>
      </c>
      <c r="F164">
        <v>0</v>
      </c>
      <c r="G164">
        <v>9.42</v>
      </c>
      <c r="H164">
        <v>0</v>
      </c>
      <c r="I164">
        <v>97</v>
      </c>
      <c r="J164">
        <v>0</v>
      </c>
      <c r="K164">
        <v>63.2</v>
      </c>
      <c r="L164">
        <v>0</v>
      </c>
      <c r="M164">
        <v>97</v>
      </c>
      <c r="N164">
        <v>7.5</v>
      </c>
      <c r="O164">
        <v>97</v>
      </c>
      <c r="P164">
        <v>0.1</v>
      </c>
      <c r="S164">
        <v>2.5</v>
      </c>
      <c r="T164">
        <v>2.5</v>
      </c>
      <c r="U164">
        <v>0.79</v>
      </c>
      <c r="V164">
        <v>12.6</v>
      </c>
      <c r="W164" t="b">
        <f>COUNT(LifeExpectancyData[[#This Row],[Life expectancy]:[Schooling]])=19</f>
        <v>0</v>
      </c>
    </row>
    <row r="165" spans="1:23" x14ac:dyDescent="0.25">
      <c r="A165" t="s">
        <v>284</v>
      </c>
      <c r="B165">
        <v>2012</v>
      </c>
      <c r="C165" t="s">
        <v>273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COUNT(LifeExpectancyData[[#This Row],[Life expectancy]:[Schooling]])=19</f>
        <v>0</v>
      </c>
    </row>
    <row r="166" spans="1:23" x14ac:dyDescent="0.25">
      <c r="A166" t="s">
        <v>284</v>
      </c>
      <c r="B166">
        <v>2011</v>
      </c>
      <c r="C166" t="s">
        <v>273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COUNT(LifeExpectancyData[[#This Row],[Life expectancy]:[Schooling]])=19</f>
        <v>0</v>
      </c>
    </row>
    <row r="167" spans="1:23" x14ac:dyDescent="0.25">
      <c r="A167" t="s">
        <v>284</v>
      </c>
      <c r="B167">
        <v>2010</v>
      </c>
      <c r="C167" t="s">
        <v>273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COUNT(LifeExpectancyData[[#This Row],[Life expectancy]:[Schooling]])=19</f>
        <v>0</v>
      </c>
    </row>
    <row r="168" spans="1:23" x14ac:dyDescent="0.25">
      <c r="A168" t="s">
        <v>284</v>
      </c>
      <c r="B168">
        <v>2009</v>
      </c>
      <c r="C168" t="s">
        <v>273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COUNT(LifeExpectancyData[[#This Row],[Life expectancy]:[Schooling]])=19</f>
        <v>0</v>
      </c>
    </row>
    <row r="169" spans="1:23" x14ac:dyDescent="0.25">
      <c r="A169" t="s">
        <v>284</v>
      </c>
      <c r="B169">
        <v>2008</v>
      </c>
      <c r="C169" t="s">
        <v>273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COUNT(LifeExpectancyData[[#This Row],[Life expectancy]:[Schooling]])=19</f>
        <v>0</v>
      </c>
    </row>
    <row r="170" spans="1:23" x14ac:dyDescent="0.25">
      <c r="A170" t="s">
        <v>284</v>
      </c>
      <c r="B170">
        <v>2007</v>
      </c>
      <c r="C170" t="s">
        <v>273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COUNT(LifeExpectancyData[[#This Row],[Life expectancy]:[Schooling]])=19</f>
        <v>0</v>
      </c>
    </row>
    <row r="171" spans="1:23" x14ac:dyDescent="0.25">
      <c r="A171" t="s">
        <v>284</v>
      </c>
      <c r="B171">
        <v>2006</v>
      </c>
      <c r="C171" t="s">
        <v>273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COUNT(LifeExpectancyData[[#This Row],[Life expectancy]:[Schooling]])=19</f>
        <v>0</v>
      </c>
    </row>
    <row r="172" spans="1:23" x14ac:dyDescent="0.25">
      <c r="A172" t="s">
        <v>284</v>
      </c>
      <c r="B172">
        <v>2005</v>
      </c>
      <c r="C172" t="s">
        <v>273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COUNT(LifeExpectancyData[[#This Row],[Life expectancy]:[Schooling]])=19</f>
        <v>0</v>
      </c>
    </row>
    <row r="173" spans="1:23" x14ac:dyDescent="0.25">
      <c r="A173" t="s">
        <v>284</v>
      </c>
      <c r="B173">
        <v>2004</v>
      </c>
      <c r="C173" t="s">
        <v>273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COUNT(LifeExpectancyData[[#This Row],[Life expectancy]:[Schooling]])=19</f>
        <v>0</v>
      </c>
    </row>
    <row r="174" spans="1:23" x14ac:dyDescent="0.25">
      <c r="A174" t="s">
        <v>284</v>
      </c>
      <c r="B174">
        <v>2003</v>
      </c>
      <c r="C174" t="s">
        <v>273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COUNT(LifeExpectancyData[[#This Row],[Life expectancy]:[Schooling]])=19</f>
        <v>0</v>
      </c>
    </row>
    <row r="175" spans="1:23" x14ac:dyDescent="0.25">
      <c r="A175" t="s">
        <v>284</v>
      </c>
      <c r="B175">
        <v>2002</v>
      </c>
      <c r="C175" t="s">
        <v>273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COUNT(LifeExpectancyData[[#This Row],[Life expectancy]:[Schooling]])=19</f>
        <v>0</v>
      </c>
    </row>
    <row r="176" spans="1:23" x14ac:dyDescent="0.25">
      <c r="A176" t="s">
        <v>284</v>
      </c>
      <c r="B176">
        <v>2001</v>
      </c>
      <c r="C176" t="s">
        <v>273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COUNT(LifeExpectancyData[[#This Row],[Life expectancy]:[Schooling]])=19</f>
        <v>0</v>
      </c>
    </row>
    <row r="177" spans="1:23" x14ac:dyDescent="0.25">
      <c r="A177" t="s">
        <v>284</v>
      </c>
      <c r="B177">
        <v>2000</v>
      </c>
      <c r="C177" t="s">
        <v>273</v>
      </c>
      <c r="D177">
        <v>72.599999999999994</v>
      </c>
      <c r="E177">
        <v>192</v>
      </c>
      <c r="F177">
        <v>0</v>
      </c>
      <c r="G177">
        <v>12.15</v>
      </c>
      <c r="H177">
        <v>0</v>
      </c>
      <c r="J177">
        <v>0</v>
      </c>
      <c r="K177">
        <v>54.4</v>
      </c>
      <c r="L177">
        <v>0</v>
      </c>
      <c r="M177">
        <v>91</v>
      </c>
      <c r="N177">
        <v>5.21</v>
      </c>
      <c r="O177">
        <v>99</v>
      </c>
      <c r="P177">
        <v>0.1</v>
      </c>
      <c r="S177">
        <v>2.7</v>
      </c>
      <c r="T177">
        <v>2.6</v>
      </c>
      <c r="U177">
        <v>0</v>
      </c>
      <c r="V177">
        <v>12</v>
      </c>
      <c r="W177" t="b">
        <f>COUNT(LifeExpectancyData[[#This Row],[Life expectancy]:[Schooling]])=19</f>
        <v>0</v>
      </c>
    </row>
    <row r="178" spans="1:23" x14ac:dyDescent="0.25">
      <c r="A178" t="s">
        <v>285</v>
      </c>
      <c r="B178">
        <v>2015</v>
      </c>
      <c r="C178" t="s">
        <v>273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COUNT(LifeExpectancyData[[#This Row],[Life expectancy]:[Schooling]])=19</f>
        <v>0</v>
      </c>
    </row>
    <row r="179" spans="1:23" x14ac:dyDescent="0.25">
      <c r="A179" t="s">
        <v>285</v>
      </c>
      <c r="B179">
        <v>2014</v>
      </c>
      <c r="C179" t="s">
        <v>273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COUNT(LifeExpectancyData[[#This Row],[Life expectancy]:[Schooling]])=19</f>
        <v>0</v>
      </c>
    </row>
    <row r="180" spans="1:23" x14ac:dyDescent="0.25">
      <c r="A180" t="s">
        <v>285</v>
      </c>
      <c r="B180">
        <v>2013</v>
      </c>
      <c r="C180" t="s">
        <v>273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COUNT(LifeExpectancyData[[#This Row],[Life expectancy]:[Schooling]])=19</f>
        <v>0</v>
      </c>
    </row>
    <row r="181" spans="1:23" x14ac:dyDescent="0.25">
      <c r="A181" t="s">
        <v>285</v>
      </c>
      <c r="B181">
        <v>2012</v>
      </c>
      <c r="C181" t="s">
        <v>273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COUNT(LifeExpectancyData[[#This Row],[Life expectancy]:[Schooling]])=19</f>
        <v>0</v>
      </c>
    </row>
    <row r="182" spans="1:23" x14ac:dyDescent="0.25">
      <c r="A182" t="s">
        <v>285</v>
      </c>
      <c r="B182">
        <v>2011</v>
      </c>
      <c r="C182" t="s">
        <v>273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COUNT(LifeExpectancyData[[#This Row],[Life expectancy]:[Schooling]])=19</f>
        <v>0</v>
      </c>
    </row>
    <row r="183" spans="1:23" x14ac:dyDescent="0.25">
      <c r="A183" t="s">
        <v>285</v>
      </c>
      <c r="B183">
        <v>2010</v>
      </c>
      <c r="C183" t="s">
        <v>273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COUNT(LifeExpectancyData[[#This Row],[Life expectancy]:[Schooling]])=19</f>
        <v>0</v>
      </c>
    </row>
    <row r="184" spans="1:23" x14ac:dyDescent="0.25">
      <c r="A184" t="s">
        <v>285</v>
      </c>
      <c r="B184">
        <v>2009</v>
      </c>
      <c r="C184" t="s">
        <v>273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COUNT(LifeExpectancyData[[#This Row],[Life expectancy]:[Schooling]])=19</f>
        <v>0</v>
      </c>
    </row>
    <row r="185" spans="1:23" x14ac:dyDescent="0.25">
      <c r="A185" t="s">
        <v>285</v>
      </c>
      <c r="B185">
        <v>2008</v>
      </c>
      <c r="C185" t="s">
        <v>273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COUNT(LifeExpectancyData[[#This Row],[Life expectancy]:[Schooling]])=19</f>
        <v>0</v>
      </c>
    </row>
    <row r="186" spans="1:23" x14ac:dyDescent="0.25">
      <c r="A186" t="s">
        <v>285</v>
      </c>
      <c r="B186">
        <v>2007</v>
      </c>
      <c r="C186" t="s">
        <v>273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COUNT(LifeExpectancyData[[#This Row],[Life expectancy]:[Schooling]])=19</f>
        <v>0</v>
      </c>
    </row>
    <row r="187" spans="1:23" x14ac:dyDescent="0.25">
      <c r="A187" t="s">
        <v>285</v>
      </c>
      <c r="B187">
        <v>2006</v>
      </c>
      <c r="C187" t="s">
        <v>273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COUNT(LifeExpectancyData[[#This Row],[Life expectancy]:[Schooling]])=19</f>
        <v>0</v>
      </c>
    </row>
    <row r="188" spans="1:23" x14ac:dyDescent="0.25">
      <c r="A188" t="s">
        <v>285</v>
      </c>
      <c r="B188">
        <v>2005</v>
      </c>
      <c r="C188" t="s">
        <v>273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COUNT(LifeExpectancyData[[#This Row],[Life expectancy]:[Schooling]])=19</f>
        <v>0</v>
      </c>
    </row>
    <row r="189" spans="1:23" x14ac:dyDescent="0.25">
      <c r="A189" t="s">
        <v>285</v>
      </c>
      <c r="B189">
        <v>2004</v>
      </c>
      <c r="C189" t="s">
        <v>273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COUNT(LifeExpectancyData[[#This Row],[Life expectancy]:[Schooling]])=19</f>
        <v>0</v>
      </c>
    </row>
    <row r="190" spans="1:23" x14ac:dyDescent="0.25">
      <c r="A190" t="s">
        <v>285</v>
      </c>
      <c r="B190">
        <v>2003</v>
      </c>
      <c r="C190" t="s">
        <v>273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COUNT(LifeExpectancyData[[#This Row],[Life expectancy]:[Schooling]])=19</f>
        <v>0</v>
      </c>
    </row>
    <row r="191" spans="1:23" x14ac:dyDescent="0.25">
      <c r="A191" t="s">
        <v>285</v>
      </c>
      <c r="B191">
        <v>2002</v>
      </c>
      <c r="C191" t="s">
        <v>273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COUNT(LifeExpectancyData[[#This Row],[Life expectancy]:[Schooling]])=19</f>
        <v>0</v>
      </c>
    </row>
    <row r="192" spans="1:23" x14ac:dyDescent="0.25">
      <c r="A192" t="s">
        <v>285</v>
      </c>
      <c r="B192">
        <v>2001</v>
      </c>
      <c r="C192" t="s">
        <v>273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COUNT(LifeExpectancyData[[#This Row],[Life expectancy]:[Schooling]])=19</f>
        <v>0</v>
      </c>
    </row>
    <row r="193" spans="1:23" x14ac:dyDescent="0.25">
      <c r="A193" t="s">
        <v>285</v>
      </c>
      <c r="B193">
        <v>2000</v>
      </c>
      <c r="C193" t="s">
        <v>273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COUNT(LifeExpectancyData[[#This Row],[Life expectancy]:[Schooling]])=19</f>
        <v>0</v>
      </c>
    </row>
    <row r="194" spans="1:23" x14ac:dyDescent="0.25">
      <c r="A194" t="s">
        <v>286</v>
      </c>
      <c r="B194">
        <v>2015</v>
      </c>
      <c r="C194" t="s">
        <v>273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COUNT(LifeExpectancyData[[#This Row],[Life expectancy]:[Schooling]])=19</f>
        <v>0</v>
      </c>
    </row>
    <row r="195" spans="1:23" x14ac:dyDescent="0.25">
      <c r="A195" t="s">
        <v>286</v>
      </c>
      <c r="B195">
        <v>2014</v>
      </c>
      <c r="C195" t="s">
        <v>273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COUNT(LifeExpectancyData[[#This Row],[Life expectancy]:[Schooling]])=19</f>
        <v>1</v>
      </c>
    </row>
    <row r="196" spans="1:23" x14ac:dyDescent="0.25">
      <c r="A196" t="s">
        <v>286</v>
      </c>
      <c r="B196">
        <v>2013</v>
      </c>
      <c r="C196" t="s">
        <v>273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COUNT(LifeExpectancyData[[#This Row],[Life expectancy]:[Schooling]])=19</f>
        <v>1</v>
      </c>
    </row>
    <row r="197" spans="1:23" x14ac:dyDescent="0.25">
      <c r="A197" t="s">
        <v>286</v>
      </c>
      <c r="B197">
        <v>2012</v>
      </c>
      <c r="C197" t="s">
        <v>273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COUNT(LifeExpectancyData[[#This Row],[Life expectancy]:[Schooling]])=19</f>
        <v>1</v>
      </c>
    </row>
    <row r="198" spans="1:23" x14ac:dyDescent="0.25">
      <c r="A198" t="s">
        <v>286</v>
      </c>
      <c r="B198">
        <v>2011</v>
      </c>
      <c r="C198" t="s">
        <v>273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COUNT(LifeExpectancyData[[#This Row],[Life expectancy]:[Schooling]])=19</f>
        <v>1</v>
      </c>
    </row>
    <row r="199" spans="1:23" x14ac:dyDescent="0.25">
      <c r="A199" t="s">
        <v>286</v>
      </c>
      <c r="B199">
        <v>2010</v>
      </c>
      <c r="C199" t="s">
        <v>273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COUNT(LifeExpectancyData[[#This Row],[Life expectancy]:[Schooling]])=19</f>
        <v>1</v>
      </c>
    </row>
    <row r="200" spans="1:23" x14ac:dyDescent="0.25">
      <c r="A200" t="s">
        <v>286</v>
      </c>
      <c r="B200">
        <v>2009</v>
      </c>
      <c r="C200" t="s">
        <v>273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COUNT(LifeExpectancyData[[#This Row],[Life expectancy]:[Schooling]])=19</f>
        <v>1</v>
      </c>
    </row>
    <row r="201" spans="1:23" x14ac:dyDescent="0.25">
      <c r="A201" t="s">
        <v>286</v>
      </c>
      <c r="B201">
        <v>2008</v>
      </c>
      <c r="C201" t="s">
        <v>273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COUNT(LifeExpectancyData[[#This Row],[Life expectancy]:[Schooling]])=19</f>
        <v>1</v>
      </c>
    </row>
    <row r="202" spans="1:23" x14ac:dyDescent="0.25">
      <c r="A202" t="s">
        <v>286</v>
      </c>
      <c r="B202">
        <v>2007</v>
      </c>
      <c r="C202" t="s">
        <v>273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COUNT(LifeExpectancyData[[#This Row],[Life expectancy]:[Schooling]])=19</f>
        <v>1</v>
      </c>
    </row>
    <row r="203" spans="1:23" x14ac:dyDescent="0.25">
      <c r="A203" t="s">
        <v>286</v>
      </c>
      <c r="B203">
        <v>2006</v>
      </c>
      <c r="C203" t="s">
        <v>273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COUNT(LifeExpectancyData[[#This Row],[Life expectancy]:[Schooling]])=19</f>
        <v>1</v>
      </c>
    </row>
    <row r="204" spans="1:23" x14ac:dyDescent="0.25">
      <c r="A204" t="s">
        <v>286</v>
      </c>
      <c r="B204">
        <v>2005</v>
      </c>
      <c r="C204" t="s">
        <v>273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COUNT(LifeExpectancyData[[#This Row],[Life expectancy]:[Schooling]])=19</f>
        <v>1</v>
      </c>
    </row>
    <row r="205" spans="1:23" x14ac:dyDescent="0.25">
      <c r="A205" t="s">
        <v>286</v>
      </c>
      <c r="B205">
        <v>2004</v>
      </c>
      <c r="C205" t="s">
        <v>273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COUNT(LifeExpectancyData[[#This Row],[Life expectancy]:[Schooling]])=19</f>
        <v>1</v>
      </c>
    </row>
    <row r="206" spans="1:23" x14ac:dyDescent="0.25">
      <c r="A206" t="s">
        <v>286</v>
      </c>
      <c r="B206">
        <v>2003</v>
      </c>
      <c r="C206" t="s">
        <v>273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COUNT(LifeExpectancyData[[#This Row],[Life expectancy]:[Schooling]])=19</f>
        <v>1</v>
      </c>
    </row>
    <row r="207" spans="1:23" x14ac:dyDescent="0.25">
      <c r="A207" t="s">
        <v>286</v>
      </c>
      <c r="B207">
        <v>2002</v>
      </c>
      <c r="C207" t="s">
        <v>273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COUNT(LifeExpectancyData[[#This Row],[Life expectancy]:[Schooling]])=19</f>
        <v>0</v>
      </c>
    </row>
    <row r="208" spans="1:23" x14ac:dyDescent="0.25">
      <c r="A208" t="s">
        <v>286</v>
      </c>
      <c r="B208">
        <v>2001</v>
      </c>
      <c r="C208" t="s">
        <v>273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COUNT(LifeExpectancyData[[#This Row],[Life expectancy]:[Schooling]])=19</f>
        <v>0</v>
      </c>
    </row>
    <row r="209" spans="1:23" x14ac:dyDescent="0.25">
      <c r="A209" t="s">
        <v>286</v>
      </c>
      <c r="B209">
        <v>2000</v>
      </c>
      <c r="C209" t="s">
        <v>273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COUNT(LifeExpectancyData[[#This Row],[Life expectancy]:[Schooling]])=19</f>
        <v>0</v>
      </c>
    </row>
    <row r="210" spans="1:23" x14ac:dyDescent="0.25">
      <c r="A210" t="s">
        <v>287</v>
      </c>
      <c r="B210">
        <v>2015</v>
      </c>
      <c r="C210" t="s">
        <v>273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COUNT(LifeExpectancyData[[#This Row],[Life expectancy]:[Schooling]])=19</f>
        <v>0</v>
      </c>
    </row>
    <row r="211" spans="1:23" x14ac:dyDescent="0.25">
      <c r="A211" t="s">
        <v>287</v>
      </c>
      <c r="B211">
        <v>2014</v>
      </c>
      <c r="C211" t="s">
        <v>273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COUNT(LifeExpectancyData[[#This Row],[Life expectancy]:[Schooling]])=19</f>
        <v>0</v>
      </c>
    </row>
    <row r="212" spans="1:23" x14ac:dyDescent="0.25">
      <c r="A212" t="s">
        <v>287</v>
      </c>
      <c r="B212">
        <v>2013</v>
      </c>
      <c r="C212" t="s">
        <v>273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COUNT(LifeExpectancyData[[#This Row],[Life expectancy]:[Schooling]])=19</f>
        <v>0</v>
      </c>
    </row>
    <row r="213" spans="1:23" x14ac:dyDescent="0.25">
      <c r="A213" t="s">
        <v>287</v>
      </c>
      <c r="B213">
        <v>2012</v>
      </c>
      <c r="C213" t="s">
        <v>273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COUNT(LifeExpectancyData[[#This Row],[Life expectancy]:[Schooling]])=19</f>
        <v>0</v>
      </c>
    </row>
    <row r="214" spans="1:23" x14ac:dyDescent="0.25">
      <c r="A214" t="s">
        <v>287</v>
      </c>
      <c r="B214">
        <v>2011</v>
      </c>
      <c r="C214" t="s">
        <v>273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COUNT(LifeExpectancyData[[#This Row],[Life expectancy]:[Schooling]])=19</f>
        <v>0</v>
      </c>
    </row>
    <row r="215" spans="1:23" x14ac:dyDescent="0.25">
      <c r="A215" t="s">
        <v>287</v>
      </c>
      <c r="B215">
        <v>2010</v>
      </c>
      <c r="C215" t="s">
        <v>273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COUNT(LifeExpectancyData[[#This Row],[Life expectancy]:[Schooling]])=19</f>
        <v>0</v>
      </c>
    </row>
    <row r="216" spans="1:23" x14ac:dyDescent="0.25">
      <c r="A216" t="s">
        <v>287</v>
      </c>
      <c r="B216">
        <v>2009</v>
      </c>
      <c r="C216" t="s">
        <v>273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COUNT(LifeExpectancyData[[#This Row],[Life expectancy]:[Schooling]])=19</f>
        <v>0</v>
      </c>
    </row>
    <row r="217" spans="1:23" x14ac:dyDescent="0.25">
      <c r="A217" t="s">
        <v>287</v>
      </c>
      <c r="B217">
        <v>2008</v>
      </c>
      <c r="C217" t="s">
        <v>273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COUNT(LifeExpectancyData[[#This Row],[Life expectancy]:[Schooling]])=19</f>
        <v>0</v>
      </c>
    </row>
    <row r="218" spans="1:23" x14ac:dyDescent="0.25">
      <c r="A218" t="s">
        <v>287</v>
      </c>
      <c r="B218">
        <v>2007</v>
      </c>
      <c r="C218" t="s">
        <v>273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COUNT(LifeExpectancyData[[#This Row],[Life expectancy]:[Schooling]])=19</f>
        <v>0</v>
      </c>
    </row>
    <row r="219" spans="1:23" x14ac:dyDescent="0.25">
      <c r="A219" t="s">
        <v>287</v>
      </c>
      <c r="B219">
        <v>2006</v>
      </c>
      <c r="C219" t="s">
        <v>273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COUNT(LifeExpectancyData[[#This Row],[Life expectancy]:[Schooling]])=19</f>
        <v>0</v>
      </c>
    </row>
    <row r="220" spans="1:23" x14ac:dyDescent="0.25">
      <c r="A220" t="s">
        <v>287</v>
      </c>
      <c r="B220">
        <v>2005</v>
      </c>
      <c r="C220" t="s">
        <v>273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COUNT(LifeExpectancyData[[#This Row],[Life expectancy]:[Schooling]])=19</f>
        <v>0</v>
      </c>
    </row>
    <row r="221" spans="1:23" x14ac:dyDescent="0.25">
      <c r="A221" t="s">
        <v>287</v>
      </c>
      <c r="B221">
        <v>2004</v>
      </c>
      <c r="C221" t="s">
        <v>273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COUNT(LifeExpectancyData[[#This Row],[Life expectancy]:[Schooling]])=19</f>
        <v>0</v>
      </c>
    </row>
    <row r="222" spans="1:23" x14ac:dyDescent="0.25">
      <c r="A222" t="s">
        <v>287</v>
      </c>
      <c r="B222">
        <v>2003</v>
      </c>
      <c r="C222" t="s">
        <v>273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COUNT(LifeExpectancyData[[#This Row],[Life expectancy]:[Schooling]])=19</f>
        <v>0</v>
      </c>
    </row>
    <row r="223" spans="1:23" x14ac:dyDescent="0.25">
      <c r="A223" t="s">
        <v>287</v>
      </c>
      <c r="B223">
        <v>2002</v>
      </c>
      <c r="C223" t="s">
        <v>273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COUNT(LifeExpectancyData[[#This Row],[Life expectancy]:[Schooling]])=19</f>
        <v>0</v>
      </c>
    </row>
    <row r="224" spans="1:23" x14ac:dyDescent="0.25">
      <c r="A224" t="s">
        <v>287</v>
      </c>
      <c r="B224">
        <v>2001</v>
      </c>
      <c r="C224" t="s">
        <v>273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COUNT(LifeExpectancyData[[#This Row],[Life expectancy]:[Schooling]])=19</f>
        <v>0</v>
      </c>
    </row>
    <row r="225" spans="1:23" x14ac:dyDescent="0.25">
      <c r="A225" t="s">
        <v>287</v>
      </c>
      <c r="B225">
        <v>2000</v>
      </c>
      <c r="C225" t="s">
        <v>273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COUNT(LifeExpectancyData[[#This Row],[Life expectancy]:[Schooling]])=19</f>
        <v>0</v>
      </c>
    </row>
    <row r="226" spans="1:23" x14ac:dyDescent="0.25">
      <c r="A226" t="s">
        <v>288</v>
      </c>
      <c r="B226">
        <v>2015</v>
      </c>
      <c r="C226" t="s">
        <v>273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COUNT(LifeExpectancyData[[#This Row],[Life expectancy]:[Schooling]])=19</f>
        <v>0</v>
      </c>
    </row>
    <row r="227" spans="1:23" x14ac:dyDescent="0.25">
      <c r="A227" t="s">
        <v>288</v>
      </c>
      <c r="B227">
        <v>2014</v>
      </c>
      <c r="C227" t="s">
        <v>273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COUNT(LifeExpectancyData[[#This Row],[Life expectancy]:[Schooling]])=19</f>
        <v>1</v>
      </c>
    </row>
    <row r="228" spans="1:23" x14ac:dyDescent="0.25">
      <c r="A228" t="s">
        <v>288</v>
      </c>
      <c r="B228">
        <v>2013</v>
      </c>
      <c r="C228" t="s">
        <v>273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COUNT(LifeExpectancyData[[#This Row],[Life expectancy]:[Schooling]])=19</f>
        <v>1</v>
      </c>
    </row>
    <row r="229" spans="1:23" x14ac:dyDescent="0.25">
      <c r="A229" t="s">
        <v>288</v>
      </c>
      <c r="B229">
        <v>2012</v>
      </c>
      <c r="C229" t="s">
        <v>273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COUNT(LifeExpectancyData[[#This Row],[Life expectancy]:[Schooling]])=19</f>
        <v>1</v>
      </c>
    </row>
    <row r="230" spans="1:23" x14ac:dyDescent="0.25">
      <c r="A230" t="s">
        <v>288</v>
      </c>
      <c r="B230">
        <v>2011</v>
      </c>
      <c r="C230" t="s">
        <v>273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COUNT(LifeExpectancyData[[#This Row],[Life expectancy]:[Schooling]])=19</f>
        <v>1</v>
      </c>
    </row>
    <row r="231" spans="1:23" x14ac:dyDescent="0.25">
      <c r="A231" t="s">
        <v>288</v>
      </c>
      <c r="B231">
        <v>2010</v>
      </c>
      <c r="C231" t="s">
        <v>273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COUNT(LifeExpectancyData[[#This Row],[Life expectancy]:[Schooling]])=19</f>
        <v>1</v>
      </c>
    </row>
    <row r="232" spans="1:23" x14ac:dyDescent="0.25">
      <c r="A232" t="s">
        <v>288</v>
      </c>
      <c r="B232">
        <v>2009</v>
      </c>
      <c r="C232" t="s">
        <v>273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COUNT(LifeExpectancyData[[#This Row],[Life expectancy]:[Schooling]])=19</f>
        <v>1</v>
      </c>
    </row>
    <row r="233" spans="1:23" x14ac:dyDescent="0.25">
      <c r="A233" t="s">
        <v>288</v>
      </c>
      <c r="B233">
        <v>2008</v>
      </c>
      <c r="C233" t="s">
        <v>273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COUNT(LifeExpectancyData[[#This Row],[Life expectancy]:[Schooling]])=19</f>
        <v>1</v>
      </c>
    </row>
    <row r="234" spans="1:23" x14ac:dyDescent="0.25">
      <c r="A234" t="s">
        <v>288</v>
      </c>
      <c r="B234">
        <v>2007</v>
      </c>
      <c r="C234" t="s">
        <v>273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COUNT(LifeExpectancyData[[#This Row],[Life expectancy]:[Schooling]])=19</f>
        <v>1</v>
      </c>
    </row>
    <row r="235" spans="1:23" x14ac:dyDescent="0.25">
      <c r="A235" t="s">
        <v>288</v>
      </c>
      <c r="B235">
        <v>2006</v>
      </c>
      <c r="C235" t="s">
        <v>273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COUNT(LifeExpectancyData[[#This Row],[Life expectancy]:[Schooling]])=19</f>
        <v>1</v>
      </c>
    </row>
    <row r="236" spans="1:23" x14ac:dyDescent="0.25">
      <c r="A236" t="s">
        <v>288</v>
      </c>
      <c r="B236">
        <v>2005</v>
      </c>
      <c r="C236" t="s">
        <v>273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COUNT(LifeExpectancyData[[#This Row],[Life expectancy]:[Schooling]])=19</f>
        <v>1</v>
      </c>
    </row>
    <row r="237" spans="1:23" x14ac:dyDescent="0.25">
      <c r="A237" t="s">
        <v>288</v>
      </c>
      <c r="B237">
        <v>2004</v>
      </c>
      <c r="C237" t="s">
        <v>273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COUNT(LifeExpectancyData[[#This Row],[Life expectancy]:[Schooling]])=19</f>
        <v>1</v>
      </c>
    </row>
    <row r="238" spans="1:23" x14ac:dyDescent="0.25">
      <c r="A238" t="s">
        <v>288</v>
      </c>
      <c r="B238">
        <v>2003</v>
      </c>
      <c r="C238" t="s">
        <v>273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COUNT(LifeExpectancyData[[#This Row],[Life expectancy]:[Schooling]])=19</f>
        <v>1</v>
      </c>
    </row>
    <row r="239" spans="1:23" x14ac:dyDescent="0.25">
      <c r="A239" t="s">
        <v>288</v>
      </c>
      <c r="B239">
        <v>2002</v>
      </c>
      <c r="C239" t="s">
        <v>273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COUNT(LifeExpectancyData[[#This Row],[Life expectancy]:[Schooling]])=19</f>
        <v>1</v>
      </c>
    </row>
    <row r="240" spans="1:23" x14ac:dyDescent="0.25">
      <c r="A240" t="s">
        <v>288</v>
      </c>
      <c r="B240">
        <v>2001</v>
      </c>
      <c r="C240" t="s">
        <v>273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COUNT(LifeExpectancyData[[#This Row],[Life expectancy]:[Schooling]])=19</f>
        <v>1</v>
      </c>
    </row>
    <row r="241" spans="1:23" x14ac:dyDescent="0.25">
      <c r="A241" t="s">
        <v>288</v>
      </c>
      <c r="B241">
        <v>2000</v>
      </c>
      <c r="C241" t="s">
        <v>273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COUNT(LifeExpectancyData[[#This Row],[Life expectancy]:[Schooling]])=19</f>
        <v>1</v>
      </c>
    </row>
    <row r="242" spans="1:23" x14ac:dyDescent="0.25">
      <c r="A242" t="s">
        <v>289</v>
      </c>
      <c r="B242">
        <v>2015</v>
      </c>
      <c r="C242" t="s">
        <v>281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COUNT(LifeExpectancyData[[#This Row],[Life expectancy]:[Schooling]])=19</f>
        <v>0</v>
      </c>
    </row>
    <row r="243" spans="1:23" x14ac:dyDescent="0.25">
      <c r="A243" t="s">
        <v>289</v>
      </c>
      <c r="B243">
        <v>2014</v>
      </c>
      <c r="C243" t="s">
        <v>281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COUNT(LifeExpectancyData[[#This Row],[Life expectancy]:[Schooling]])=19</f>
        <v>1</v>
      </c>
    </row>
    <row r="244" spans="1:23" x14ac:dyDescent="0.25">
      <c r="A244" t="s">
        <v>289</v>
      </c>
      <c r="B244">
        <v>2013</v>
      </c>
      <c r="C244" t="s">
        <v>281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COUNT(LifeExpectancyData[[#This Row],[Life expectancy]:[Schooling]])=19</f>
        <v>1</v>
      </c>
    </row>
    <row r="245" spans="1:23" x14ac:dyDescent="0.25">
      <c r="A245" t="s">
        <v>289</v>
      </c>
      <c r="B245">
        <v>2012</v>
      </c>
      <c r="C245" t="s">
        <v>281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COUNT(LifeExpectancyData[[#This Row],[Life expectancy]:[Schooling]])=19</f>
        <v>1</v>
      </c>
    </row>
    <row r="246" spans="1:23" x14ac:dyDescent="0.25">
      <c r="A246" t="s">
        <v>289</v>
      </c>
      <c r="B246">
        <v>2011</v>
      </c>
      <c r="C246" t="s">
        <v>281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COUNT(LifeExpectancyData[[#This Row],[Life expectancy]:[Schooling]])=19</f>
        <v>1</v>
      </c>
    </row>
    <row r="247" spans="1:23" x14ac:dyDescent="0.25">
      <c r="A247" t="s">
        <v>289</v>
      </c>
      <c r="B247">
        <v>2010</v>
      </c>
      <c r="C247" t="s">
        <v>281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COUNT(LifeExpectancyData[[#This Row],[Life expectancy]:[Schooling]])=19</f>
        <v>1</v>
      </c>
    </row>
    <row r="248" spans="1:23" x14ac:dyDescent="0.25">
      <c r="A248" t="s">
        <v>289</v>
      </c>
      <c r="B248">
        <v>2009</v>
      </c>
      <c r="C248" t="s">
        <v>281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COUNT(LifeExpectancyData[[#This Row],[Life expectancy]:[Schooling]])=19</f>
        <v>1</v>
      </c>
    </row>
    <row r="249" spans="1:23" x14ac:dyDescent="0.25">
      <c r="A249" t="s">
        <v>289</v>
      </c>
      <c r="B249">
        <v>2008</v>
      </c>
      <c r="C249" t="s">
        <v>281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COUNT(LifeExpectancyData[[#This Row],[Life expectancy]:[Schooling]])=19</f>
        <v>1</v>
      </c>
    </row>
    <row r="250" spans="1:23" x14ac:dyDescent="0.25">
      <c r="A250" t="s">
        <v>289</v>
      </c>
      <c r="B250">
        <v>2007</v>
      </c>
      <c r="C250" t="s">
        <v>281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COUNT(LifeExpectancyData[[#This Row],[Life expectancy]:[Schooling]])=19</f>
        <v>1</v>
      </c>
    </row>
    <row r="251" spans="1:23" x14ac:dyDescent="0.25">
      <c r="A251" t="s">
        <v>289</v>
      </c>
      <c r="B251">
        <v>2006</v>
      </c>
      <c r="C251" t="s">
        <v>281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COUNT(LifeExpectancyData[[#This Row],[Life expectancy]:[Schooling]])=19</f>
        <v>1</v>
      </c>
    </row>
    <row r="252" spans="1:23" x14ac:dyDescent="0.25">
      <c r="A252" t="s">
        <v>289</v>
      </c>
      <c r="B252">
        <v>2005</v>
      </c>
      <c r="C252" t="s">
        <v>281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COUNT(LifeExpectancyData[[#This Row],[Life expectancy]:[Schooling]])=19</f>
        <v>1</v>
      </c>
    </row>
    <row r="253" spans="1:23" x14ac:dyDescent="0.25">
      <c r="A253" t="s">
        <v>289</v>
      </c>
      <c r="B253">
        <v>2004</v>
      </c>
      <c r="C253" t="s">
        <v>281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COUNT(LifeExpectancyData[[#This Row],[Life expectancy]:[Schooling]])=19</f>
        <v>1</v>
      </c>
    </row>
    <row r="254" spans="1:23" x14ac:dyDescent="0.25">
      <c r="A254" t="s">
        <v>289</v>
      </c>
      <c r="B254">
        <v>2003</v>
      </c>
      <c r="C254" t="s">
        <v>281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COUNT(LifeExpectancyData[[#This Row],[Life expectancy]:[Schooling]])=19</f>
        <v>1</v>
      </c>
    </row>
    <row r="255" spans="1:23" x14ac:dyDescent="0.25">
      <c r="A255" t="s">
        <v>289</v>
      </c>
      <c r="B255">
        <v>2002</v>
      </c>
      <c r="C255" t="s">
        <v>281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COUNT(LifeExpectancyData[[#This Row],[Life expectancy]:[Schooling]])=19</f>
        <v>1</v>
      </c>
    </row>
    <row r="256" spans="1:23" x14ac:dyDescent="0.25">
      <c r="A256" t="s">
        <v>289</v>
      </c>
      <c r="B256">
        <v>2001</v>
      </c>
      <c r="C256" t="s">
        <v>281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COUNT(LifeExpectancyData[[#This Row],[Life expectancy]:[Schooling]])=19</f>
        <v>1</v>
      </c>
    </row>
    <row r="257" spans="1:23" x14ac:dyDescent="0.25">
      <c r="A257" t="s">
        <v>289</v>
      </c>
      <c r="B257">
        <v>2000</v>
      </c>
      <c r="C257" t="s">
        <v>281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COUNT(LifeExpectancyData[[#This Row],[Life expectancy]:[Schooling]])=19</f>
        <v>1</v>
      </c>
    </row>
    <row r="258" spans="1:23" x14ac:dyDescent="0.25">
      <c r="A258" t="s">
        <v>290</v>
      </c>
      <c r="B258">
        <v>2015</v>
      </c>
      <c r="C258" t="s">
        <v>273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COUNT(LifeExpectancyData[[#This Row],[Life expectancy]:[Schooling]])=19</f>
        <v>0</v>
      </c>
    </row>
    <row r="259" spans="1:23" x14ac:dyDescent="0.25">
      <c r="A259" t="s">
        <v>290</v>
      </c>
      <c r="B259">
        <v>2014</v>
      </c>
      <c r="C259" t="s">
        <v>273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COUNT(LifeExpectancyData[[#This Row],[Life expectancy]:[Schooling]])=19</f>
        <v>1</v>
      </c>
    </row>
    <row r="260" spans="1:23" x14ac:dyDescent="0.25">
      <c r="A260" t="s">
        <v>290</v>
      </c>
      <c r="B260">
        <v>2013</v>
      </c>
      <c r="C260" t="s">
        <v>273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COUNT(LifeExpectancyData[[#This Row],[Life expectancy]:[Schooling]])=19</f>
        <v>1</v>
      </c>
    </row>
    <row r="261" spans="1:23" x14ac:dyDescent="0.25">
      <c r="A261" t="s">
        <v>290</v>
      </c>
      <c r="B261">
        <v>2012</v>
      </c>
      <c r="C261" t="s">
        <v>273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COUNT(LifeExpectancyData[[#This Row],[Life expectancy]:[Schooling]])=19</f>
        <v>1</v>
      </c>
    </row>
    <row r="262" spans="1:23" x14ac:dyDescent="0.25">
      <c r="A262" t="s">
        <v>290</v>
      </c>
      <c r="B262">
        <v>2011</v>
      </c>
      <c r="C262" t="s">
        <v>273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COUNT(LifeExpectancyData[[#This Row],[Life expectancy]:[Schooling]])=19</f>
        <v>1</v>
      </c>
    </row>
    <row r="263" spans="1:23" x14ac:dyDescent="0.25">
      <c r="A263" t="s">
        <v>290</v>
      </c>
      <c r="B263">
        <v>2010</v>
      </c>
      <c r="C263" t="s">
        <v>273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COUNT(LifeExpectancyData[[#This Row],[Life expectancy]:[Schooling]])=19</f>
        <v>1</v>
      </c>
    </row>
    <row r="264" spans="1:23" x14ac:dyDescent="0.25">
      <c r="A264" t="s">
        <v>290</v>
      </c>
      <c r="B264">
        <v>2009</v>
      </c>
      <c r="C264" t="s">
        <v>273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COUNT(LifeExpectancyData[[#This Row],[Life expectancy]:[Schooling]])=19</f>
        <v>1</v>
      </c>
    </row>
    <row r="265" spans="1:23" x14ac:dyDescent="0.25">
      <c r="A265" t="s">
        <v>290</v>
      </c>
      <c r="B265">
        <v>2008</v>
      </c>
      <c r="C265" t="s">
        <v>273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COUNT(LifeExpectancyData[[#This Row],[Life expectancy]:[Schooling]])=19</f>
        <v>1</v>
      </c>
    </row>
    <row r="266" spans="1:23" x14ac:dyDescent="0.25">
      <c r="A266" t="s">
        <v>290</v>
      </c>
      <c r="B266">
        <v>2007</v>
      </c>
      <c r="C266" t="s">
        <v>273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COUNT(LifeExpectancyData[[#This Row],[Life expectancy]:[Schooling]])=19</f>
        <v>1</v>
      </c>
    </row>
    <row r="267" spans="1:23" x14ac:dyDescent="0.25">
      <c r="A267" t="s">
        <v>290</v>
      </c>
      <c r="B267">
        <v>2006</v>
      </c>
      <c r="C267" t="s">
        <v>273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COUNT(LifeExpectancyData[[#This Row],[Life expectancy]:[Schooling]])=19</f>
        <v>1</v>
      </c>
    </row>
    <row r="268" spans="1:23" x14ac:dyDescent="0.25">
      <c r="A268" t="s">
        <v>290</v>
      </c>
      <c r="B268">
        <v>2005</v>
      </c>
      <c r="C268" t="s">
        <v>273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COUNT(LifeExpectancyData[[#This Row],[Life expectancy]:[Schooling]])=19</f>
        <v>1</v>
      </c>
    </row>
    <row r="269" spans="1:23" x14ac:dyDescent="0.25">
      <c r="A269" t="s">
        <v>290</v>
      </c>
      <c r="B269">
        <v>2004</v>
      </c>
      <c r="C269" t="s">
        <v>273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COUNT(LifeExpectancyData[[#This Row],[Life expectancy]:[Schooling]])=19</f>
        <v>1</v>
      </c>
    </row>
    <row r="270" spans="1:23" x14ac:dyDescent="0.25">
      <c r="A270" t="s">
        <v>290</v>
      </c>
      <c r="B270">
        <v>2003</v>
      </c>
      <c r="C270" t="s">
        <v>273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COUNT(LifeExpectancyData[[#This Row],[Life expectancy]:[Schooling]])=19</f>
        <v>1</v>
      </c>
    </row>
    <row r="271" spans="1:23" x14ac:dyDescent="0.25">
      <c r="A271" t="s">
        <v>290</v>
      </c>
      <c r="B271">
        <v>2002</v>
      </c>
      <c r="C271" t="s">
        <v>273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COUNT(LifeExpectancyData[[#This Row],[Life expectancy]:[Schooling]])=19</f>
        <v>1</v>
      </c>
    </row>
    <row r="272" spans="1:23" x14ac:dyDescent="0.25">
      <c r="A272" t="s">
        <v>290</v>
      </c>
      <c r="B272">
        <v>2001</v>
      </c>
      <c r="C272" t="s">
        <v>273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COUNT(LifeExpectancyData[[#This Row],[Life expectancy]:[Schooling]])=19</f>
        <v>1</v>
      </c>
    </row>
    <row r="273" spans="1:23" x14ac:dyDescent="0.25">
      <c r="A273" t="s">
        <v>290</v>
      </c>
      <c r="B273">
        <v>2000</v>
      </c>
      <c r="C273" t="s">
        <v>273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COUNT(LifeExpectancyData[[#This Row],[Life expectancy]:[Schooling]])=19</f>
        <v>1</v>
      </c>
    </row>
    <row r="274" spans="1:23" x14ac:dyDescent="0.25">
      <c r="A274" t="s">
        <v>291</v>
      </c>
      <c r="B274">
        <v>2015</v>
      </c>
      <c r="C274" t="s">
        <v>273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COUNT(LifeExpectancyData[[#This Row],[Life expectancy]:[Schooling]])=19</f>
        <v>0</v>
      </c>
    </row>
    <row r="275" spans="1:23" x14ac:dyDescent="0.25">
      <c r="A275" t="s">
        <v>291</v>
      </c>
      <c r="B275">
        <v>2014</v>
      </c>
      <c r="C275" t="s">
        <v>273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COUNT(LifeExpectancyData[[#This Row],[Life expectancy]:[Schooling]])=19</f>
        <v>1</v>
      </c>
    </row>
    <row r="276" spans="1:23" x14ac:dyDescent="0.25">
      <c r="A276" t="s">
        <v>291</v>
      </c>
      <c r="B276">
        <v>2013</v>
      </c>
      <c r="C276" t="s">
        <v>273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COUNT(LifeExpectancyData[[#This Row],[Life expectancy]:[Schooling]])=19</f>
        <v>1</v>
      </c>
    </row>
    <row r="277" spans="1:23" x14ac:dyDescent="0.25">
      <c r="A277" t="s">
        <v>291</v>
      </c>
      <c r="B277">
        <v>2012</v>
      </c>
      <c r="C277" t="s">
        <v>273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COUNT(LifeExpectancyData[[#This Row],[Life expectancy]:[Schooling]])=19</f>
        <v>1</v>
      </c>
    </row>
    <row r="278" spans="1:23" x14ac:dyDescent="0.25">
      <c r="A278" t="s">
        <v>291</v>
      </c>
      <c r="B278">
        <v>2011</v>
      </c>
      <c r="C278" t="s">
        <v>273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COUNT(LifeExpectancyData[[#This Row],[Life expectancy]:[Schooling]])=19</f>
        <v>1</v>
      </c>
    </row>
    <row r="279" spans="1:23" x14ac:dyDescent="0.25">
      <c r="A279" t="s">
        <v>291</v>
      </c>
      <c r="B279">
        <v>2010</v>
      </c>
      <c r="C279" t="s">
        <v>273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COUNT(LifeExpectancyData[[#This Row],[Life expectancy]:[Schooling]])=19</f>
        <v>1</v>
      </c>
    </row>
    <row r="280" spans="1:23" x14ac:dyDescent="0.25">
      <c r="A280" t="s">
        <v>291</v>
      </c>
      <c r="B280">
        <v>2009</v>
      </c>
      <c r="C280" t="s">
        <v>273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COUNT(LifeExpectancyData[[#This Row],[Life expectancy]:[Schooling]])=19</f>
        <v>1</v>
      </c>
    </row>
    <row r="281" spans="1:23" x14ac:dyDescent="0.25">
      <c r="A281" t="s">
        <v>291</v>
      </c>
      <c r="B281">
        <v>2008</v>
      </c>
      <c r="C281" t="s">
        <v>273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COUNT(LifeExpectancyData[[#This Row],[Life expectancy]:[Schooling]])=19</f>
        <v>1</v>
      </c>
    </row>
    <row r="282" spans="1:23" x14ac:dyDescent="0.25">
      <c r="A282" t="s">
        <v>291</v>
      </c>
      <c r="B282">
        <v>2007</v>
      </c>
      <c r="C282" t="s">
        <v>273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COUNT(LifeExpectancyData[[#This Row],[Life expectancy]:[Schooling]])=19</f>
        <v>1</v>
      </c>
    </row>
    <row r="283" spans="1:23" x14ac:dyDescent="0.25">
      <c r="A283" t="s">
        <v>291</v>
      </c>
      <c r="B283">
        <v>2006</v>
      </c>
      <c r="C283" t="s">
        <v>273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COUNT(LifeExpectancyData[[#This Row],[Life expectancy]:[Schooling]])=19</f>
        <v>1</v>
      </c>
    </row>
    <row r="284" spans="1:23" x14ac:dyDescent="0.25">
      <c r="A284" t="s">
        <v>291</v>
      </c>
      <c r="B284">
        <v>2005</v>
      </c>
      <c r="C284" t="s">
        <v>273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COUNT(LifeExpectancyData[[#This Row],[Life expectancy]:[Schooling]])=19</f>
        <v>1</v>
      </c>
    </row>
    <row r="285" spans="1:23" x14ac:dyDescent="0.25">
      <c r="A285" t="s">
        <v>291</v>
      </c>
      <c r="B285">
        <v>2004</v>
      </c>
      <c r="C285" t="s">
        <v>273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COUNT(LifeExpectancyData[[#This Row],[Life expectancy]:[Schooling]])=19</f>
        <v>1</v>
      </c>
    </row>
    <row r="286" spans="1:23" x14ac:dyDescent="0.25">
      <c r="A286" t="s">
        <v>291</v>
      </c>
      <c r="B286">
        <v>2003</v>
      </c>
      <c r="C286" t="s">
        <v>273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COUNT(LifeExpectancyData[[#This Row],[Life expectancy]:[Schooling]])=19</f>
        <v>1</v>
      </c>
    </row>
    <row r="287" spans="1:23" x14ac:dyDescent="0.25">
      <c r="A287" t="s">
        <v>291</v>
      </c>
      <c r="B287">
        <v>2002</v>
      </c>
      <c r="C287" t="s">
        <v>273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COUNT(LifeExpectancyData[[#This Row],[Life expectancy]:[Schooling]])=19</f>
        <v>1</v>
      </c>
    </row>
    <row r="288" spans="1:23" x14ac:dyDescent="0.25">
      <c r="A288" t="s">
        <v>291</v>
      </c>
      <c r="B288">
        <v>2001</v>
      </c>
      <c r="C288" t="s">
        <v>273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COUNT(LifeExpectancyData[[#This Row],[Life expectancy]:[Schooling]])=19</f>
        <v>0</v>
      </c>
    </row>
    <row r="289" spans="1:23" x14ac:dyDescent="0.25">
      <c r="A289" t="s">
        <v>291</v>
      </c>
      <c r="B289">
        <v>2000</v>
      </c>
      <c r="C289" t="s">
        <v>273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COUNT(LifeExpectancyData[[#This Row],[Life expectancy]:[Schooling]])=19</f>
        <v>0</v>
      </c>
    </row>
    <row r="290" spans="1:23" x14ac:dyDescent="0.25">
      <c r="A290" t="s">
        <v>292</v>
      </c>
      <c r="B290">
        <v>2015</v>
      </c>
      <c r="C290" t="s">
        <v>273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COUNT(LifeExpectancyData[[#This Row],[Life expectancy]:[Schooling]])=19</f>
        <v>0</v>
      </c>
    </row>
    <row r="291" spans="1:23" x14ac:dyDescent="0.25">
      <c r="A291" t="s">
        <v>292</v>
      </c>
      <c r="B291">
        <v>2014</v>
      </c>
      <c r="C291" t="s">
        <v>273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COUNT(LifeExpectancyData[[#This Row],[Life expectancy]:[Schooling]])=19</f>
        <v>1</v>
      </c>
    </row>
    <row r="292" spans="1:23" x14ac:dyDescent="0.25">
      <c r="A292" t="s">
        <v>292</v>
      </c>
      <c r="B292">
        <v>2013</v>
      </c>
      <c r="C292" t="s">
        <v>273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COUNT(LifeExpectancyData[[#This Row],[Life expectancy]:[Schooling]])=19</f>
        <v>1</v>
      </c>
    </row>
    <row r="293" spans="1:23" x14ac:dyDescent="0.25">
      <c r="A293" t="s">
        <v>292</v>
      </c>
      <c r="B293">
        <v>2012</v>
      </c>
      <c r="C293" t="s">
        <v>273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COUNT(LifeExpectancyData[[#This Row],[Life expectancy]:[Schooling]])=19</f>
        <v>1</v>
      </c>
    </row>
    <row r="294" spans="1:23" x14ac:dyDescent="0.25">
      <c r="A294" t="s">
        <v>292</v>
      </c>
      <c r="B294">
        <v>2011</v>
      </c>
      <c r="C294" t="s">
        <v>273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COUNT(LifeExpectancyData[[#This Row],[Life expectancy]:[Schooling]])=19</f>
        <v>1</v>
      </c>
    </row>
    <row r="295" spans="1:23" x14ac:dyDescent="0.25">
      <c r="A295" t="s">
        <v>292</v>
      </c>
      <c r="B295">
        <v>2010</v>
      </c>
      <c r="C295" t="s">
        <v>273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COUNT(LifeExpectancyData[[#This Row],[Life expectancy]:[Schooling]])=19</f>
        <v>1</v>
      </c>
    </row>
    <row r="296" spans="1:23" x14ac:dyDescent="0.25">
      <c r="A296" t="s">
        <v>292</v>
      </c>
      <c r="B296">
        <v>2009</v>
      </c>
      <c r="C296" t="s">
        <v>273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COUNT(LifeExpectancyData[[#This Row],[Life expectancy]:[Schooling]])=19</f>
        <v>1</v>
      </c>
    </row>
    <row r="297" spans="1:23" x14ac:dyDescent="0.25">
      <c r="A297" t="s">
        <v>292</v>
      </c>
      <c r="B297">
        <v>2008</v>
      </c>
      <c r="C297" t="s">
        <v>273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COUNT(LifeExpectancyData[[#This Row],[Life expectancy]:[Schooling]])=19</f>
        <v>1</v>
      </c>
    </row>
    <row r="298" spans="1:23" x14ac:dyDescent="0.25">
      <c r="A298" t="s">
        <v>292</v>
      </c>
      <c r="B298">
        <v>2007</v>
      </c>
      <c r="C298" t="s">
        <v>273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COUNT(LifeExpectancyData[[#This Row],[Life expectancy]:[Schooling]])=19</f>
        <v>1</v>
      </c>
    </row>
    <row r="299" spans="1:23" x14ac:dyDescent="0.25">
      <c r="A299" t="s">
        <v>292</v>
      </c>
      <c r="B299">
        <v>2006</v>
      </c>
      <c r="C299" t="s">
        <v>273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COUNT(LifeExpectancyData[[#This Row],[Life expectancy]:[Schooling]])=19</f>
        <v>1</v>
      </c>
    </row>
    <row r="300" spans="1:23" x14ac:dyDescent="0.25">
      <c r="A300" t="s">
        <v>292</v>
      </c>
      <c r="B300">
        <v>2005</v>
      </c>
      <c r="C300" t="s">
        <v>273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COUNT(LifeExpectancyData[[#This Row],[Life expectancy]:[Schooling]])=19</f>
        <v>1</v>
      </c>
    </row>
    <row r="301" spans="1:23" x14ac:dyDescent="0.25">
      <c r="A301" t="s">
        <v>292</v>
      </c>
      <c r="B301">
        <v>2004</v>
      </c>
      <c r="C301" t="s">
        <v>273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COUNT(LifeExpectancyData[[#This Row],[Life expectancy]:[Schooling]])=19</f>
        <v>1</v>
      </c>
    </row>
    <row r="302" spans="1:23" x14ac:dyDescent="0.25">
      <c r="A302" t="s">
        <v>292</v>
      </c>
      <c r="B302">
        <v>2003</v>
      </c>
      <c r="C302" t="s">
        <v>273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COUNT(LifeExpectancyData[[#This Row],[Life expectancy]:[Schooling]])=19</f>
        <v>1</v>
      </c>
    </row>
    <row r="303" spans="1:23" x14ac:dyDescent="0.25">
      <c r="A303" t="s">
        <v>292</v>
      </c>
      <c r="B303">
        <v>2002</v>
      </c>
      <c r="C303" t="s">
        <v>273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COUNT(LifeExpectancyData[[#This Row],[Life expectancy]:[Schooling]])=19</f>
        <v>1</v>
      </c>
    </row>
    <row r="304" spans="1:23" x14ac:dyDescent="0.25">
      <c r="A304" t="s">
        <v>292</v>
      </c>
      <c r="B304">
        <v>2001</v>
      </c>
      <c r="C304" t="s">
        <v>273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COUNT(LifeExpectancyData[[#This Row],[Life expectancy]:[Schooling]])=19</f>
        <v>1</v>
      </c>
    </row>
    <row r="305" spans="1:23" x14ac:dyDescent="0.25">
      <c r="A305" t="s">
        <v>292</v>
      </c>
      <c r="B305">
        <v>2000</v>
      </c>
      <c r="C305" t="s">
        <v>273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COUNT(LifeExpectancyData[[#This Row],[Life expectancy]:[Schooling]])=19</f>
        <v>1</v>
      </c>
    </row>
    <row r="306" spans="1:23" x14ac:dyDescent="0.25">
      <c r="A306" t="s">
        <v>293</v>
      </c>
      <c r="B306">
        <v>2015</v>
      </c>
      <c r="C306" t="s">
        <v>273</v>
      </c>
      <c r="D306">
        <v>77</v>
      </c>
      <c r="E306">
        <v>186</v>
      </c>
      <c r="F306">
        <v>8</v>
      </c>
      <c r="H306">
        <v>0</v>
      </c>
      <c r="I306">
        <v>99</v>
      </c>
      <c r="J306">
        <v>0</v>
      </c>
      <c r="K306">
        <v>52.6</v>
      </c>
      <c r="L306">
        <v>10</v>
      </c>
      <c r="M306">
        <v>99</v>
      </c>
      <c r="O306">
        <v>99</v>
      </c>
      <c r="P306">
        <v>0.1</v>
      </c>
      <c r="S306">
        <v>1.2</v>
      </c>
      <c r="T306">
        <v>1.1000000000000001</v>
      </c>
      <c r="U306">
        <v>0.67100000000000004</v>
      </c>
      <c r="V306">
        <v>13.8</v>
      </c>
      <c r="W306" t="b">
        <f>COUNT(LifeExpectancyData[[#This Row],[Life expectancy]:[Schooling]])=19</f>
        <v>0</v>
      </c>
    </row>
    <row r="307" spans="1:23" x14ac:dyDescent="0.25">
      <c r="A307" t="s">
        <v>293</v>
      </c>
      <c r="B307">
        <v>2014</v>
      </c>
      <c r="C307" t="s">
        <v>273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COUNT(LifeExpectancyData[[#This Row],[Life expectancy]:[Schooling]])=19</f>
        <v>0</v>
      </c>
    </row>
    <row r="308" spans="1:23" x14ac:dyDescent="0.25">
      <c r="A308" t="s">
        <v>293</v>
      </c>
      <c r="B308">
        <v>2013</v>
      </c>
      <c r="C308" t="s">
        <v>273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COUNT(LifeExpectancyData[[#This Row],[Life expectancy]:[Schooling]])=19</f>
        <v>0</v>
      </c>
    </row>
    <row r="309" spans="1:23" x14ac:dyDescent="0.25">
      <c r="A309" t="s">
        <v>293</v>
      </c>
      <c r="B309">
        <v>2012</v>
      </c>
      <c r="C309" t="s">
        <v>273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COUNT(LifeExpectancyData[[#This Row],[Life expectancy]:[Schooling]])=19</f>
        <v>0</v>
      </c>
    </row>
    <row r="310" spans="1:23" x14ac:dyDescent="0.25">
      <c r="A310" t="s">
        <v>293</v>
      </c>
      <c r="B310">
        <v>2011</v>
      </c>
      <c r="C310" t="s">
        <v>273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COUNT(LifeExpectancyData[[#This Row],[Life expectancy]:[Schooling]])=19</f>
        <v>0</v>
      </c>
    </row>
    <row r="311" spans="1:23" x14ac:dyDescent="0.25">
      <c r="A311" t="s">
        <v>293</v>
      </c>
      <c r="B311">
        <v>2010</v>
      </c>
      <c r="C311" t="s">
        <v>273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COUNT(LifeExpectancyData[[#This Row],[Life expectancy]:[Schooling]])=19</f>
        <v>0</v>
      </c>
    </row>
    <row r="312" spans="1:23" x14ac:dyDescent="0.25">
      <c r="A312" t="s">
        <v>293</v>
      </c>
      <c r="B312">
        <v>2009</v>
      </c>
      <c r="C312" t="s">
        <v>273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COUNT(LifeExpectancyData[[#This Row],[Life expectancy]:[Schooling]])=19</f>
        <v>0</v>
      </c>
    </row>
    <row r="313" spans="1:23" x14ac:dyDescent="0.25">
      <c r="A313" t="s">
        <v>293</v>
      </c>
      <c r="B313">
        <v>2008</v>
      </c>
      <c r="C313" t="s">
        <v>273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COUNT(LifeExpectancyData[[#This Row],[Life expectancy]:[Schooling]])=19</f>
        <v>0</v>
      </c>
    </row>
    <row r="314" spans="1:23" x14ac:dyDescent="0.25">
      <c r="A314" t="s">
        <v>293</v>
      </c>
      <c r="B314">
        <v>2007</v>
      </c>
      <c r="C314" t="s">
        <v>273</v>
      </c>
      <c r="D314">
        <v>66.8</v>
      </c>
      <c r="E314">
        <v>216</v>
      </c>
      <c r="F314">
        <v>11</v>
      </c>
      <c r="G314">
        <v>3.47</v>
      </c>
      <c r="H314">
        <v>0</v>
      </c>
      <c r="I314">
        <v>84</v>
      </c>
      <c r="J314">
        <v>0</v>
      </c>
      <c r="K314">
        <v>47.3</v>
      </c>
      <c r="L314">
        <v>14</v>
      </c>
      <c r="M314">
        <v>85</v>
      </c>
      <c r="N314">
        <v>4.96</v>
      </c>
      <c r="O314">
        <v>84</v>
      </c>
      <c r="P314">
        <v>0.2</v>
      </c>
      <c r="S314">
        <v>1.3</v>
      </c>
      <c r="T314">
        <v>1.2</v>
      </c>
      <c r="U314">
        <v>0.626</v>
      </c>
      <c r="V314">
        <v>14.1</v>
      </c>
      <c r="W314" t="b">
        <f>COUNT(LifeExpectancyData[[#This Row],[Life expectancy]:[Schooling]])=19</f>
        <v>0</v>
      </c>
    </row>
    <row r="315" spans="1:23" x14ac:dyDescent="0.25">
      <c r="A315" t="s">
        <v>293</v>
      </c>
      <c r="B315">
        <v>2006</v>
      </c>
      <c r="C315" t="s">
        <v>273</v>
      </c>
      <c r="D315">
        <v>66.2</v>
      </c>
      <c r="E315">
        <v>219</v>
      </c>
      <c r="F315">
        <v>11</v>
      </c>
      <c r="G315">
        <v>3.23</v>
      </c>
      <c r="H315">
        <v>0</v>
      </c>
      <c r="I315">
        <v>83</v>
      </c>
      <c r="J315">
        <v>0</v>
      </c>
      <c r="K315">
        <v>46.7</v>
      </c>
      <c r="L315">
        <v>15</v>
      </c>
      <c r="M315">
        <v>82</v>
      </c>
      <c r="N315">
        <v>5.19</v>
      </c>
      <c r="O315">
        <v>83</v>
      </c>
      <c r="P315">
        <v>0.2</v>
      </c>
      <c r="S315">
        <v>1.3</v>
      </c>
      <c r="T315">
        <v>1.2</v>
      </c>
      <c r="U315">
        <v>0.625</v>
      </c>
      <c r="V315">
        <v>14.3</v>
      </c>
      <c r="W315" t="b">
        <f>COUNT(LifeExpectancyData[[#This Row],[Life expectancy]:[Schooling]])=19</f>
        <v>0</v>
      </c>
    </row>
    <row r="316" spans="1:23" x14ac:dyDescent="0.25">
      <c r="A316" t="s">
        <v>293</v>
      </c>
      <c r="B316">
        <v>2005</v>
      </c>
      <c r="C316" t="s">
        <v>273</v>
      </c>
      <c r="D316">
        <v>65.7</v>
      </c>
      <c r="E316">
        <v>222</v>
      </c>
      <c r="F316">
        <v>12</v>
      </c>
      <c r="G316">
        <v>2.86</v>
      </c>
      <c r="H316">
        <v>0</v>
      </c>
      <c r="I316">
        <v>85</v>
      </c>
      <c r="J316">
        <v>0</v>
      </c>
      <c r="K316">
        <v>46</v>
      </c>
      <c r="L316">
        <v>16</v>
      </c>
      <c r="M316">
        <v>84</v>
      </c>
      <c r="N316">
        <v>5.67</v>
      </c>
      <c r="O316">
        <v>85</v>
      </c>
      <c r="P316">
        <v>0.2</v>
      </c>
      <c r="S316">
        <v>1.3</v>
      </c>
      <c r="T316">
        <v>1.2</v>
      </c>
      <c r="U316">
        <v>0.622</v>
      </c>
      <c r="V316">
        <v>14.4</v>
      </c>
      <c r="W316" t="b">
        <f>COUNT(LifeExpectancyData[[#This Row],[Life expectancy]:[Schooling]])=19</f>
        <v>0</v>
      </c>
    </row>
    <row r="317" spans="1:23" x14ac:dyDescent="0.25">
      <c r="A317" t="s">
        <v>293</v>
      </c>
      <c r="B317">
        <v>2004</v>
      </c>
      <c r="C317" t="s">
        <v>273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COUNT(LifeExpectancyData[[#This Row],[Life expectancy]:[Schooling]])=19</f>
        <v>0</v>
      </c>
    </row>
    <row r="318" spans="1:23" x14ac:dyDescent="0.25">
      <c r="A318" t="s">
        <v>293</v>
      </c>
      <c r="B318">
        <v>2003</v>
      </c>
      <c r="C318" t="s">
        <v>273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COUNT(LifeExpectancyData[[#This Row],[Life expectancy]:[Schooling]])=19</f>
        <v>0</v>
      </c>
    </row>
    <row r="319" spans="1:23" x14ac:dyDescent="0.25">
      <c r="A319" t="s">
        <v>293</v>
      </c>
      <c r="B319">
        <v>2002</v>
      </c>
      <c r="C319" t="s">
        <v>273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COUNT(LifeExpectancyData[[#This Row],[Life expectancy]:[Schooling]])=19</f>
        <v>0</v>
      </c>
    </row>
    <row r="320" spans="1:23" x14ac:dyDescent="0.25">
      <c r="A320" t="s">
        <v>293</v>
      </c>
      <c r="B320">
        <v>2001</v>
      </c>
      <c r="C320" t="s">
        <v>273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COUNT(LifeExpectancyData[[#This Row],[Life expectancy]:[Schooling]])=19</f>
        <v>0</v>
      </c>
    </row>
    <row r="321" spans="1:23" x14ac:dyDescent="0.25">
      <c r="A321" t="s">
        <v>293</v>
      </c>
      <c r="B321">
        <v>2000</v>
      </c>
      <c r="C321" t="s">
        <v>273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COUNT(LifeExpectancyData[[#This Row],[Life expectancy]:[Schooling]])=19</f>
        <v>0</v>
      </c>
    </row>
    <row r="322" spans="1:23" x14ac:dyDescent="0.25">
      <c r="A322" t="s">
        <v>294</v>
      </c>
      <c r="B322">
        <v>2015</v>
      </c>
      <c r="C322" t="s">
        <v>273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COUNT(LifeExpectancyData[[#This Row],[Life expectancy]:[Schooling]])=19</f>
        <v>0</v>
      </c>
    </row>
    <row r="323" spans="1:23" x14ac:dyDescent="0.25">
      <c r="A323" t="s">
        <v>294</v>
      </c>
      <c r="B323">
        <v>2014</v>
      </c>
      <c r="C323" t="s">
        <v>273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COUNT(LifeExpectancyData[[#This Row],[Life expectancy]:[Schooling]])=19</f>
        <v>1</v>
      </c>
    </row>
    <row r="324" spans="1:23" x14ac:dyDescent="0.25">
      <c r="A324" t="s">
        <v>294</v>
      </c>
      <c r="B324">
        <v>2013</v>
      </c>
      <c r="C324" t="s">
        <v>273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COUNT(LifeExpectancyData[[#This Row],[Life expectancy]:[Schooling]])=19</f>
        <v>1</v>
      </c>
    </row>
    <row r="325" spans="1:23" x14ac:dyDescent="0.25">
      <c r="A325" t="s">
        <v>294</v>
      </c>
      <c r="B325">
        <v>2012</v>
      </c>
      <c r="C325" t="s">
        <v>273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COUNT(LifeExpectancyData[[#This Row],[Life expectancy]:[Schooling]])=19</f>
        <v>1</v>
      </c>
    </row>
    <row r="326" spans="1:23" x14ac:dyDescent="0.25">
      <c r="A326" t="s">
        <v>294</v>
      </c>
      <c r="B326">
        <v>2011</v>
      </c>
      <c r="C326" t="s">
        <v>273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COUNT(LifeExpectancyData[[#This Row],[Life expectancy]:[Schooling]])=19</f>
        <v>1</v>
      </c>
    </row>
    <row r="327" spans="1:23" x14ac:dyDescent="0.25">
      <c r="A327" t="s">
        <v>294</v>
      </c>
      <c r="B327">
        <v>2010</v>
      </c>
      <c r="C327" t="s">
        <v>273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COUNT(LifeExpectancyData[[#This Row],[Life expectancy]:[Schooling]])=19</f>
        <v>1</v>
      </c>
    </row>
    <row r="328" spans="1:23" x14ac:dyDescent="0.25">
      <c r="A328" t="s">
        <v>294</v>
      </c>
      <c r="B328">
        <v>2009</v>
      </c>
      <c r="C328" t="s">
        <v>273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COUNT(LifeExpectancyData[[#This Row],[Life expectancy]:[Schooling]])=19</f>
        <v>1</v>
      </c>
    </row>
    <row r="329" spans="1:23" x14ac:dyDescent="0.25">
      <c r="A329" t="s">
        <v>294</v>
      </c>
      <c r="B329">
        <v>2008</v>
      </c>
      <c r="C329" t="s">
        <v>273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COUNT(LifeExpectancyData[[#This Row],[Life expectancy]:[Schooling]])=19</f>
        <v>1</v>
      </c>
    </row>
    <row r="330" spans="1:23" x14ac:dyDescent="0.25">
      <c r="A330" t="s">
        <v>294</v>
      </c>
      <c r="B330">
        <v>2007</v>
      </c>
      <c r="C330" t="s">
        <v>273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COUNT(LifeExpectancyData[[#This Row],[Life expectancy]:[Schooling]])=19</f>
        <v>1</v>
      </c>
    </row>
    <row r="331" spans="1:23" x14ac:dyDescent="0.25">
      <c r="A331" t="s">
        <v>294</v>
      </c>
      <c r="B331">
        <v>2006</v>
      </c>
      <c r="C331" t="s">
        <v>273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COUNT(LifeExpectancyData[[#This Row],[Life expectancy]:[Schooling]])=19</f>
        <v>1</v>
      </c>
    </row>
    <row r="332" spans="1:23" x14ac:dyDescent="0.25">
      <c r="A332" t="s">
        <v>294</v>
      </c>
      <c r="B332">
        <v>2005</v>
      </c>
      <c r="C332" t="s">
        <v>273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COUNT(LifeExpectancyData[[#This Row],[Life expectancy]:[Schooling]])=19</f>
        <v>1</v>
      </c>
    </row>
    <row r="333" spans="1:23" x14ac:dyDescent="0.25">
      <c r="A333" t="s">
        <v>294</v>
      </c>
      <c r="B333">
        <v>2004</v>
      </c>
      <c r="C333" t="s">
        <v>273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COUNT(LifeExpectancyData[[#This Row],[Life expectancy]:[Schooling]])=19</f>
        <v>1</v>
      </c>
    </row>
    <row r="334" spans="1:23" x14ac:dyDescent="0.25">
      <c r="A334" t="s">
        <v>294</v>
      </c>
      <c r="B334">
        <v>2003</v>
      </c>
      <c r="C334" t="s">
        <v>273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COUNT(LifeExpectancyData[[#This Row],[Life expectancy]:[Schooling]])=19</f>
        <v>0</v>
      </c>
    </row>
    <row r="335" spans="1:23" x14ac:dyDescent="0.25">
      <c r="A335" t="s">
        <v>294</v>
      </c>
      <c r="B335">
        <v>2002</v>
      </c>
      <c r="C335" t="s">
        <v>273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COUNT(LifeExpectancyData[[#This Row],[Life expectancy]:[Schooling]])=19</f>
        <v>0</v>
      </c>
    </row>
    <row r="336" spans="1:23" x14ac:dyDescent="0.25">
      <c r="A336" t="s">
        <v>294</v>
      </c>
      <c r="B336">
        <v>2001</v>
      </c>
      <c r="C336" t="s">
        <v>273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COUNT(LifeExpectancyData[[#This Row],[Life expectancy]:[Schooling]])=19</f>
        <v>0</v>
      </c>
    </row>
    <row r="337" spans="1:23" x14ac:dyDescent="0.25">
      <c r="A337" t="s">
        <v>294</v>
      </c>
      <c r="B337">
        <v>2000</v>
      </c>
      <c r="C337" t="s">
        <v>273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COUNT(LifeExpectancyData[[#This Row],[Life expectancy]:[Schooling]])=19</f>
        <v>0</v>
      </c>
    </row>
    <row r="338" spans="1:23" x14ac:dyDescent="0.25">
      <c r="A338" t="s">
        <v>295</v>
      </c>
      <c r="B338">
        <v>2015</v>
      </c>
      <c r="C338" t="s">
        <v>273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COUNT(LifeExpectancyData[[#This Row],[Life expectancy]:[Schooling]])=19</f>
        <v>0</v>
      </c>
    </row>
    <row r="339" spans="1:23" x14ac:dyDescent="0.25">
      <c r="A339" t="s">
        <v>295</v>
      </c>
      <c r="B339">
        <v>2014</v>
      </c>
      <c r="C339" t="s">
        <v>273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COUNT(LifeExpectancyData[[#This Row],[Life expectancy]:[Schooling]])=19</f>
        <v>1</v>
      </c>
    </row>
    <row r="340" spans="1:23" x14ac:dyDescent="0.25">
      <c r="A340" t="s">
        <v>295</v>
      </c>
      <c r="B340">
        <v>2013</v>
      </c>
      <c r="C340" t="s">
        <v>273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COUNT(LifeExpectancyData[[#This Row],[Life expectancy]:[Schooling]])=19</f>
        <v>1</v>
      </c>
    </row>
    <row r="341" spans="1:23" x14ac:dyDescent="0.25">
      <c r="A341" t="s">
        <v>295</v>
      </c>
      <c r="B341">
        <v>2012</v>
      </c>
      <c r="C341" t="s">
        <v>273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COUNT(LifeExpectancyData[[#This Row],[Life expectancy]:[Schooling]])=19</f>
        <v>1</v>
      </c>
    </row>
    <row r="342" spans="1:23" x14ac:dyDescent="0.25">
      <c r="A342" t="s">
        <v>295</v>
      </c>
      <c r="B342">
        <v>2011</v>
      </c>
      <c r="C342" t="s">
        <v>273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COUNT(LifeExpectancyData[[#This Row],[Life expectancy]:[Schooling]])=19</f>
        <v>1</v>
      </c>
    </row>
    <row r="343" spans="1:23" x14ac:dyDescent="0.25">
      <c r="A343" t="s">
        <v>295</v>
      </c>
      <c r="B343">
        <v>2010</v>
      </c>
      <c r="C343" t="s">
        <v>273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COUNT(LifeExpectancyData[[#This Row],[Life expectancy]:[Schooling]])=19</f>
        <v>1</v>
      </c>
    </row>
    <row r="344" spans="1:23" x14ac:dyDescent="0.25">
      <c r="A344" t="s">
        <v>295</v>
      </c>
      <c r="B344">
        <v>2009</v>
      </c>
      <c r="C344" t="s">
        <v>273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COUNT(LifeExpectancyData[[#This Row],[Life expectancy]:[Schooling]])=19</f>
        <v>1</v>
      </c>
    </row>
    <row r="345" spans="1:23" x14ac:dyDescent="0.25">
      <c r="A345" t="s">
        <v>295</v>
      </c>
      <c r="B345">
        <v>2008</v>
      </c>
      <c r="C345" t="s">
        <v>273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COUNT(LifeExpectancyData[[#This Row],[Life expectancy]:[Schooling]])=19</f>
        <v>1</v>
      </c>
    </row>
    <row r="346" spans="1:23" x14ac:dyDescent="0.25">
      <c r="A346" t="s">
        <v>295</v>
      </c>
      <c r="B346">
        <v>2007</v>
      </c>
      <c r="C346" t="s">
        <v>273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COUNT(LifeExpectancyData[[#This Row],[Life expectancy]:[Schooling]])=19</f>
        <v>1</v>
      </c>
    </row>
    <row r="347" spans="1:23" x14ac:dyDescent="0.25">
      <c r="A347" t="s">
        <v>295</v>
      </c>
      <c r="B347">
        <v>2006</v>
      </c>
      <c r="C347" t="s">
        <v>273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COUNT(LifeExpectancyData[[#This Row],[Life expectancy]:[Schooling]])=19</f>
        <v>1</v>
      </c>
    </row>
    <row r="348" spans="1:23" x14ac:dyDescent="0.25">
      <c r="A348" t="s">
        <v>295</v>
      </c>
      <c r="B348">
        <v>2005</v>
      </c>
      <c r="C348" t="s">
        <v>273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COUNT(LifeExpectancyData[[#This Row],[Life expectancy]:[Schooling]])=19</f>
        <v>1</v>
      </c>
    </row>
    <row r="349" spans="1:23" x14ac:dyDescent="0.25">
      <c r="A349" t="s">
        <v>295</v>
      </c>
      <c r="B349">
        <v>2004</v>
      </c>
      <c r="C349" t="s">
        <v>273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COUNT(LifeExpectancyData[[#This Row],[Life expectancy]:[Schooling]])=19</f>
        <v>1</v>
      </c>
    </row>
    <row r="350" spans="1:23" x14ac:dyDescent="0.25">
      <c r="A350" t="s">
        <v>295</v>
      </c>
      <c r="B350">
        <v>2003</v>
      </c>
      <c r="C350" t="s">
        <v>273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COUNT(LifeExpectancyData[[#This Row],[Life expectancy]:[Schooling]])=19</f>
        <v>1</v>
      </c>
    </row>
    <row r="351" spans="1:23" x14ac:dyDescent="0.25">
      <c r="A351" t="s">
        <v>295</v>
      </c>
      <c r="B351">
        <v>2002</v>
      </c>
      <c r="C351" t="s">
        <v>273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COUNT(LifeExpectancyData[[#This Row],[Life expectancy]:[Schooling]])=19</f>
        <v>1</v>
      </c>
    </row>
    <row r="352" spans="1:23" x14ac:dyDescent="0.25">
      <c r="A352" t="s">
        <v>295</v>
      </c>
      <c r="B352">
        <v>2001</v>
      </c>
      <c r="C352" t="s">
        <v>273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COUNT(LifeExpectancyData[[#This Row],[Life expectancy]:[Schooling]])=19</f>
        <v>1</v>
      </c>
    </row>
    <row r="353" spans="1:23" x14ac:dyDescent="0.25">
      <c r="A353" t="s">
        <v>295</v>
      </c>
      <c r="B353">
        <v>2000</v>
      </c>
      <c r="C353" t="s">
        <v>273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COUNT(LifeExpectancyData[[#This Row],[Life expectancy]:[Schooling]])=19</f>
        <v>1</v>
      </c>
    </row>
    <row r="354" spans="1:23" x14ac:dyDescent="0.25">
      <c r="A354" t="s">
        <v>296</v>
      </c>
      <c r="B354">
        <v>2015</v>
      </c>
      <c r="C354" t="s">
        <v>273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COUNT(LifeExpectancyData[[#This Row],[Life expectancy]:[Schooling]])=19</f>
        <v>0</v>
      </c>
    </row>
    <row r="355" spans="1:23" x14ac:dyDescent="0.25">
      <c r="A355" t="s">
        <v>296</v>
      </c>
      <c r="B355">
        <v>2014</v>
      </c>
      <c r="C355" t="s">
        <v>273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COUNT(LifeExpectancyData[[#This Row],[Life expectancy]:[Schooling]])=19</f>
        <v>1</v>
      </c>
    </row>
    <row r="356" spans="1:23" x14ac:dyDescent="0.25">
      <c r="A356" t="s">
        <v>296</v>
      </c>
      <c r="B356">
        <v>2013</v>
      </c>
      <c r="C356" t="s">
        <v>273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COUNT(LifeExpectancyData[[#This Row],[Life expectancy]:[Schooling]])=19</f>
        <v>1</v>
      </c>
    </row>
    <row r="357" spans="1:23" x14ac:dyDescent="0.25">
      <c r="A357" t="s">
        <v>296</v>
      </c>
      <c r="B357">
        <v>2012</v>
      </c>
      <c r="C357" t="s">
        <v>273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COUNT(LifeExpectancyData[[#This Row],[Life expectancy]:[Schooling]])=19</f>
        <v>1</v>
      </c>
    </row>
    <row r="358" spans="1:23" x14ac:dyDescent="0.25">
      <c r="A358" t="s">
        <v>296</v>
      </c>
      <c r="B358">
        <v>2011</v>
      </c>
      <c r="C358" t="s">
        <v>273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COUNT(LifeExpectancyData[[#This Row],[Life expectancy]:[Schooling]])=19</f>
        <v>1</v>
      </c>
    </row>
    <row r="359" spans="1:23" x14ac:dyDescent="0.25">
      <c r="A359" t="s">
        <v>296</v>
      </c>
      <c r="B359">
        <v>2010</v>
      </c>
      <c r="C359" t="s">
        <v>273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COUNT(LifeExpectancyData[[#This Row],[Life expectancy]:[Schooling]])=19</f>
        <v>1</v>
      </c>
    </row>
    <row r="360" spans="1:23" x14ac:dyDescent="0.25">
      <c r="A360" t="s">
        <v>296</v>
      </c>
      <c r="B360">
        <v>2009</v>
      </c>
      <c r="C360" t="s">
        <v>273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COUNT(LifeExpectancyData[[#This Row],[Life expectancy]:[Schooling]])=19</f>
        <v>1</v>
      </c>
    </row>
    <row r="361" spans="1:23" x14ac:dyDescent="0.25">
      <c r="A361" t="s">
        <v>296</v>
      </c>
      <c r="B361">
        <v>2008</v>
      </c>
      <c r="C361" t="s">
        <v>273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COUNT(LifeExpectancyData[[#This Row],[Life expectancy]:[Schooling]])=19</f>
        <v>1</v>
      </c>
    </row>
    <row r="362" spans="1:23" x14ac:dyDescent="0.25">
      <c r="A362" t="s">
        <v>296</v>
      </c>
      <c r="B362">
        <v>2007</v>
      </c>
      <c r="C362" t="s">
        <v>273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COUNT(LifeExpectancyData[[#This Row],[Life expectancy]:[Schooling]])=19</f>
        <v>1</v>
      </c>
    </row>
    <row r="363" spans="1:23" x14ac:dyDescent="0.25">
      <c r="A363" t="s">
        <v>296</v>
      </c>
      <c r="B363">
        <v>2006</v>
      </c>
      <c r="C363" t="s">
        <v>273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COUNT(LifeExpectancyData[[#This Row],[Life expectancy]:[Schooling]])=19</f>
        <v>1</v>
      </c>
    </row>
    <row r="364" spans="1:23" x14ac:dyDescent="0.25">
      <c r="A364" t="s">
        <v>296</v>
      </c>
      <c r="B364">
        <v>2005</v>
      </c>
      <c r="C364" t="s">
        <v>273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COUNT(LifeExpectancyData[[#This Row],[Life expectancy]:[Schooling]])=19</f>
        <v>1</v>
      </c>
    </row>
    <row r="365" spans="1:23" x14ac:dyDescent="0.25">
      <c r="A365" t="s">
        <v>296</v>
      </c>
      <c r="B365">
        <v>2004</v>
      </c>
      <c r="C365" t="s">
        <v>273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COUNT(LifeExpectancyData[[#This Row],[Life expectancy]:[Schooling]])=19</f>
        <v>1</v>
      </c>
    </row>
    <row r="366" spans="1:23" x14ac:dyDescent="0.25">
      <c r="A366" t="s">
        <v>296</v>
      </c>
      <c r="B366">
        <v>2003</v>
      </c>
      <c r="C366" t="s">
        <v>273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COUNT(LifeExpectancyData[[#This Row],[Life expectancy]:[Schooling]])=19</f>
        <v>1</v>
      </c>
    </row>
    <row r="367" spans="1:23" x14ac:dyDescent="0.25">
      <c r="A367" t="s">
        <v>296</v>
      </c>
      <c r="B367">
        <v>2002</v>
      </c>
      <c r="C367" t="s">
        <v>273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COUNT(LifeExpectancyData[[#This Row],[Life expectancy]:[Schooling]])=19</f>
        <v>1</v>
      </c>
    </row>
    <row r="368" spans="1:23" x14ac:dyDescent="0.25">
      <c r="A368" t="s">
        <v>296</v>
      </c>
      <c r="B368">
        <v>2001</v>
      </c>
      <c r="C368" t="s">
        <v>273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COUNT(LifeExpectancyData[[#This Row],[Life expectancy]:[Schooling]])=19</f>
        <v>1</v>
      </c>
    </row>
    <row r="369" spans="1:23" x14ac:dyDescent="0.25">
      <c r="A369" t="s">
        <v>296</v>
      </c>
      <c r="B369">
        <v>2000</v>
      </c>
      <c r="C369" t="s">
        <v>273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COUNT(LifeExpectancyData[[#This Row],[Life expectancy]:[Schooling]])=19</f>
        <v>1</v>
      </c>
    </row>
    <row r="370" spans="1:23" x14ac:dyDescent="0.25">
      <c r="A370" t="s">
        <v>297</v>
      </c>
      <c r="B370">
        <v>2015</v>
      </c>
      <c r="C370" t="s">
        <v>273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COUNT(LifeExpectancyData[[#This Row],[Life expectancy]:[Schooling]])=19</f>
        <v>0</v>
      </c>
    </row>
    <row r="371" spans="1:23" x14ac:dyDescent="0.25">
      <c r="A371" t="s">
        <v>297</v>
      </c>
      <c r="B371">
        <v>2014</v>
      </c>
      <c r="C371" t="s">
        <v>273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COUNT(LifeExpectancyData[[#This Row],[Life expectancy]:[Schooling]])=19</f>
        <v>0</v>
      </c>
    </row>
    <row r="372" spans="1:23" x14ac:dyDescent="0.25">
      <c r="A372" t="s">
        <v>297</v>
      </c>
      <c r="B372">
        <v>2013</v>
      </c>
      <c r="C372" t="s">
        <v>273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COUNT(LifeExpectancyData[[#This Row],[Life expectancy]:[Schooling]])=19</f>
        <v>0</v>
      </c>
    </row>
    <row r="373" spans="1:23" x14ac:dyDescent="0.25">
      <c r="A373" t="s">
        <v>297</v>
      </c>
      <c r="B373">
        <v>2012</v>
      </c>
      <c r="C373" t="s">
        <v>273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COUNT(LifeExpectancyData[[#This Row],[Life expectancy]:[Schooling]])=19</f>
        <v>0</v>
      </c>
    </row>
    <row r="374" spans="1:23" x14ac:dyDescent="0.25">
      <c r="A374" t="s">
        <v>297</v>
      </c>
      <c r="B374">
        <v>2011</v>
      </c>
      <c r="C374" t="s">
        <v>273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COUNT(LifeExpectancyData[[#This Row],[Life expectancy]:[Schooling]])=19</f>
        <v>0</v>
      </c>
    </row>
    <row r="375" spans="1:23" x14ac:dyDescent="0.25">
      <c r="A375" t="s">
        <v>297</v>
      </c>
      <c r="B375">
        <v>2010</v>
      </c>
      <c r="C375" t="s">
        <v>273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COUNT(LifeExpectancyData[[#This Row],[Life expectancy]:[Schooling]])=19</f>
        <v>0</v>
      </c>
    </row>
    <row r="376" spans="1:23" x14ac:dyDescent="0.25">
      <c r="A376" t="s">
        <v>297</v>
      </c>
      <c r="B376">
        <v>2009</v>
      </c>
      <c r="C376" t="s">
        <v>273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COUNT(LifeExpectancyData[[#This Row],[Life expectancy]:[Schooling]])=19</f>
        <v>0</v>
      </c>
    </row>
    <row r="377" spans="1:23" x14ac:dyDescent="0.25">
      <c r="A377" t="s">
        <v>297</v>
      </c>
      <c r="B377">
        <v>2008</v>
      </c>
      <c r="C377" t="s">
        <v>273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COUNT(LifeExpectancyData[[#This Row],[Life expectancy]:[Schooling]])=19</f>
        <v>0</v>
      </c>
    </row>
    <row r="378" spans="1:23" x14ac:dyDescent="0.25">
      <c r="A378" t="s">
        <v>297</v>
      </c>
      <c r="B378">
        <v>2007</v>
      </c>
      <c r="C378" t="s">
        <v>273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COUNT(LifeExpectancyData[[#This Row],[Life expectancy]:[Schooling]])=19</f>
        <v>0</v>
      </c>
    </row>
    <row r="379" spans="1:23" x14ac:dyDescent="0.25">
      <c r="A379" t="s">
        <v>297</v>
      </c>
      <c r="B379">
        <v>2006</v>
      </c>
      <c r="C379" t="s">
        <v>273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COUNT(LifeExpectancyData[[#This Row],[Life expectancy]:[Schooling]])=19</f>
        <v>0</v>
      </c>
    </row>
    <row r="380" spans="1:23" x14ac:dyDescent="0.25">
      <c r="A380" t="s">
        <v>297</v>
      </c>
      <c r="B380">
        <v>2005</v>
      </c>
      <c r="C380" t="s">
        <v>273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COUNT(LifeExpectancyData[[#This Row],[Life expectancy]:[Schooling]])=19</f>
        <v>0</v>
      </c>
    </row>
    <row r="381" spans="1:23" x14ac:dyDescent="0.25">
      <c r="A381" t="s">
        <v>297</v>
      </c>
      <c r="B381">
        <v>2004</v>
      </c>
      <c r="C381" t="s">
        <v>273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COUNT(LifeExpectancyData[[#This Row],[Life expectancy]:[Schooling]])=19</f>
        <v>0</v>
      </c>
    </row>
    <row r="382" spans="1:23" x14ac:dyDescent="0.25">
      <c r="A382" t="s">
        <v>297</v>
      </c>
      <c r="B382">
        <v>2003</v>
      </c>
      <c r="C382" t="s">
        <v>273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COUNT(LifeExpectancyData[[#This Row],[Life expectancy]:[Schooling]])=19</f>
        <v>0</v>
      </c>
    </row>
    <row r="383" spans="1:23" x14ac:dyDescent="0.25">
      <c r="A383" t="s">
        <v>297</v>
      </c>
      <c r="B383">
        <v>2002</v>
      </c>
      <c r="C383" t="s">
        <v>273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COUNT(LifeExpectancyData[[#This Row],[Life expectancy]:[Schooling]])=19</f>
        <v>0</v>
      </c>
    </row>
    <row r="384" spans="1:23" x14ac:dyDescent="0.25">
      <c r="A384" t="s">
        <v>297</v>
      </c>
      <c r="B384">
        <v>2001</v>
      </c>
      <c r="C384" t="s">
        <v>273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COUNT(LifeExpectancyData[[#This Row],[Life expectancy]:[Schooling]])=19</f>
        <v>0</v>
      </c>
    </row>
    <row r="385" spans="1:23" x14ac:dyDescent="0.25">
      <c r="A385" t="s">
        <v>297</v>
      </c>
      <c r="B385">
        <v>2000</v>
      </c>
      <c r="C385" t="s">
        <v>273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COUNT(LifeExpectancyData[[#This Row],[Life expectancy]:[Schooling]])=19</f>
        <v>0</v>
      </c>
    </row>
    <row r="386" spans="1:23" x14ac:dyDescent="0.25">
      <c r="A386" t="s">
        <v>298</v>
      </c>
      <c r="B386">
        <v>2015</v>
      </c>
      <c r="C386" t="s">
        <v>281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COUNT(LifeExpectancyData[[#This Row],[Life expectancy]:[Schooling]])=19</f>
        <v>0</v>
      </c>
    </row>
    <row r="387" spans="1:23" x14ac:dyDescent="0.25">
      <c r="A387" t="s">
        <v>298</v>
      </c>
      <c r="B387">
        <v>2014</v>
      </c>
      <c r="C387" t="s">
        <v>281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COUNT(LifeExpectancyData[[#This Row],[Life expectancy]:[Schooling]])=19</f>
        <v>1</v>
      </c>
    </row>
    <row r="388" spans="1:23" x14ac:dyDescent="0.25">
      <c r="A388" t="s">
        <v>298</v>
      </c>
      <c r="B388">
        <v>2013</v>
      </c>
      <c r="C388" t="s">
        <v>281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COUNT(LifeExpectancyData[[#This Row],[Life expectancy]:[Schooling]])=19</f>
        <v>1</v>
      </c>
    </row>
    <row r="389" spans="1:23" x14ac:dyDescent="0.25">
      <c r="A389" t="s">
        <v>298</v>
      </c>
      <c r="B389">
        <v>2012</v>
      </c>
      <c r="C389" t="s">
        <v>281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COUNT(LifeExpectancyData[[#This Row],[Life expectancy]:[Schooling]])=19</f>
        <v>1</v>
      </c>
    </row>
    <row r="390" spans="1:23" x14ac:dyDescent="0.25">
      <c r="A390" t="s">
        <v>298</v>
      </c>
      <c r="B390">
        <v>2011</v>
      </c>
      <c r="C390" t="s">
        <v>281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COUNT(LifeExpectancyData[[#This Row],[Life expectancy]:[Schooling]])=19</f>
        <v>1</v>
      </c>
    </row>
    <row r="391" spans="1:23" x14ac:dyDescent="0.25">
      <c r="A391" t="s">
        <v>298</v>
      </c>
      <c r="B391">
        <v>2010</v>
      </c>
      <c r="C391" t="s">
        <v>281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COUNT(LifeExpectancyData[[#This Row],[Life expectancy]:[Schooling]])=19</f>
        <v>1</v>
      </c>
    </row>
    <row r="392" spans="1:23" x14ac:dyDescent="0.25">
      <c r="A392" t="s">
        <v>298</v>
      </c>
      <c r="B392">
        <v>2009</v>
      </c>
      <c r="C392" t="s">
        <v>281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COUNT(LifeExpectancyData[[#This Row],[Life expectancy]:[Schooling]])=19</f>
        <v>1</v>
      </c>
    </row>
    <row r="393" spans="1:23" x14ac:dyDescent="0.25">
      <c r="A393" t="s">
        <v>298</v>
      </c>
      <c r="B393">
        <v>2008</v>
      </c>
      <c r="C393" t="s">
        <v>281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COUNT(LifeExpectancyData[[#This Row],[Life expectancy]:[Schooling]])=19</f>
        <v>1</v>
      </c>
    </row>
    <row r="394" spans="1:23" x14ac:dyDescent="0.25">
      <c r="A394" t="s">
        <v>298</v>
      </c>
      <c r="B394">
        <v>2007</v>
      </c>
      <c r="C394" t="s">
        <v>281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COUNT(LifeExpectancyData[[#This Row],[Life expectancy]:[Schooling]])=19</f>
        <v>1</v>
      </c>
    </row>
    <row r="395" spans="1:23" x14ac:dyDescent="0.25">
      <c r="A395" t="s">
        <v>298</v>
      </c>
      <c r="B395">
        <v>2006</v>
      </c>
      <c r="C395" t="s">
        <v>281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COUNT(LifeExpectancyData[[#This Row],[Life expectancy]:[Schooling]])=19</f>
        <v>1</v>
      </c>
    </row>
    <row r="396" spans="1:23" x14ac:dyDescent="0.25">
      <c r="A396" t="s">
        <v>298</v>
      </c>
      <c r="B396">
        <v>2005</v>
      </c>
      <c r="C396" t="s">
        <v>281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COUNT(LifeExpectancyData[[#This Row],[Life expectancy]:[Schooling]])=19</f>
        <v>1</v>
      </c>
    </row>
    <row r="397" spans="1:23" x14ac:dyDescent="0.25">
      <c r="A397" t="s">
        <v>298</v>
      </c>
      <c r="B397">
        <v>2004</v>
      </c>
      <c r="C397" t="s">
        <v>281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COUNT(LifeExpectancyData[[#This Row],[Life expectancy]:[Schooling]])=19</f>
        <v>1</v>
      </c>
    </row>
    <row r="398" spans="1:23" x14ac:dyDescent="0.25">
      <c r="A398" t="s">
        <v>298</v>
      </c>
      <c r="B398">
        <v>2003</v>
      </c>
      <c r="C398" t="s">
        <v>281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COUNT(LifeExpectancyData[[#This Row],[Life expectancy]:[Schooling]])=19</f>
        <v>1</v>
      </c>
    </row>
    <row r="399" spans="1:23" x14ac:dyDescent="0.25">
      <c r="A399" t="s">
        <v>298</v>
      </c>
      <c r="B399">
        <v>2002</v>
      </c>
      <c r="C399" t="s">
        <v>281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COUNT(LifeExpectancyData[[#This Row],[Life expectancy]:[Schooling]])=19</f>
        <v>1</v>
      </c>
    </row>
    <row r="400" spans="1:23" x14ac:dyDescent="0.25">
      <c r="A400" t="s">
        <v>298</v>
      </c>
      <c r="B400">
        <v>2001</v>
      </c>
      <c r="C400" t="s">
        <v>281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COUNT(LifeExpectancyData[[#This Row],[Life expectancy]:[Schooling]])=19</f>
        <v>1</v>
      </c>
    </row>
    <row r="401" spans="1:23" x14ac:dyDescent="0.25">
      <c r="A401" t="s">
        <v>298</v>
      </c>
      <c r="B401">
        <v>2000</v>
      </c>
      <c r="C401" t="s">
        <v>281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COUNT(LifeExpectancyData[[#This Row],[Life expectancy]:[Schooling]])=19</f>
        <v>1</v>
      </c>
    </row>
    <row r="402" spans="1:23" x14ac:dyDescent="0.25">
      <c r="A402" t="s">
        <v>299</v>
      </c>
      <c r="B402">
        <v>2015</v>
      </c>
      <c r="C402" t="s">
        <v>273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COUNT(LifeExpectancyData[[#This Row],[Life expectancy]:[Schooling]])=19</f>
        <v>0</v>
      </c>
    </row>
    <row r="403" spans="1:23" x14ac:dyDescent="0.25">
      <c r="A403" t="s">
        <v>299</v>
      </c>
      <c r="B403">
        <v>2014</v>
      </c>
      <c r="C403" t="s">
        <v>273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COUNT(LifeExpectancyData[[#This Row],[Life expectancy]:[Schooling]])=19</f>
        <v>1</v>
      </c>
    </row>
    <row r="404" spans="1:23" x14ac:dyDescent="0.25">
      <c r="A404" t="s">
        <v>299</v>
      </c>
      <c r="B404">
        <v>2013</v>
      </c>
      <c r="C404" t="s">
        <v>273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COUNT(LifeExpectancyData[[#This Row],[Life expectancy]:[Schooling]])=19</f>
        <v>1</v>
      </c>
    </row>
    <row r="405" spans="1:23" x14ac:dyDescent="0.25">
      <c r="A405" t="s">
        <v>299</v>
      </c>
      <c r="B405">
        <v>2012</v>
      </c>
      <c r="C405" t="s">
        <v>273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COUNT(LifeExpectancyData[[#This Row],[Life expectancy]:[Schooling]])=19</f>
        <v>1</v>
      </c>
    </row>
    <row r="406" spans="1:23" x14ac:dyDescent="0.25">
      <c r="A406" t="s">
        <v>299</v>
      </c>
      <c r="B406">
        <v>2011</v>
      </c>
      <c r="C406" t="s">
        <v>273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COUNT(LifeExpectancyData[[#This Row],[Life expectancy]:[Schooling]])=19</f>
        <v>1</v>
      </c>
    </row>
    <row r="407" spans="1:23" x14ac:dyDescent="0.25">
      <c r="A407" t="s">
        <v>299</v>
      </c>
      <c r="B407">
        <v>2010</v>
      </c>
      <c r="C407" t="s">
        <v>273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COUNT(LifeExpectancyData[[#This Row],[Life expectancy]:[Schooling]])=19</f>
        <v>1</v>
      </c>
    </row>
    <row r="408" spans="1:23" x14ac:dyDescent="0.25">
      <c r="A408" t="s">
        <v>299</v>
      </c>
      <c r="B408">
        <v>2009</v>
      </c>
      <c r="C408" t="s">
        <v>273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COUNT(LifeExpectancyData[[#This Row],[Life expectancy]:[Schooling]])=19</f>
        <v>1</v>
      </c>
    </row>
    <row r="409" spans="1:23" x14ac:dyDescent="0.25">
      <c r="A409" t="s">
        <v>299</v>
      </c>
      <c r="B409">
        <v>2008</v>
      </c>
      <c r="C409" t="s">
        <v>273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COUNT(LifeExpectancyData[[#This Row],[Life expectancy]:[Schooling]])=19</f>
        <v>1</v>
      </c>
    </row>
    <row r="410" spans="1:23" x14ac:dyDescent="0.25">
      <c r="A410" t="s">
        <v>299</v>
      </c>
      <c r="B410">
        <v>2007</v>
      </c>
      <c r="C410" t="s">
        <v>273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COUNT(LifeExpectancyData[[#This Row],[Life expectancy]:[Schooling]])=19</f>
        <v>1</v>
      </c>
    </row>
    <row r="411" spans="1:23" x14ac:dyDescent="0.25">
      <c r="A411" t="s">
        <v>299</v>
      </c>
      <c r="B411">
        <v>2006</v>
      </c>
      <c r="C411" t="s">
        <v>273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COUNT(LifeExpectancyData[[#This Row],[Life expectancy]:[Schooling]])=19</f>
        <v>1</v>
      </c>
    </row>
    <row r="412" spans="1:23" x14ac:dyDescent="0.25">
      <c r="A412" t="s">
        <v>299</v>
      </c>
      <c r="B412">
        <v>2005</v>
      </c>
      <c r="C412" t="s">
        <v>273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COUNT(LifeExpectancyData[[#This Row],[Life expectancy]:[Schooling]])=19</f>
        <v>0</v>
      </c>
    </row>
    <row r="413" spans="1:23" x14ac:dyDescent="0.25">
      <c r="A413" t="s">
        <v>299</v>
      </c>
      <c r="B413">
        <v>2004</v>
      </c>
      <c r="C413" t="s">
        <v>273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COUNT(LifeExpectancyData[[#This Row],[Life expectancy]:[Schooling]])=19</f>
        <v>0</v>
      </c>
    </row>
    <row r="414" spans="1:23" x14ac:dyDescent="0.25">
      <c r="A414" t="s">
        <v>299</v>
      </c>
      <c r="B414">
        <v>2003</v>
      </c>
      <c r="C414" t="s">
        <v>273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COUNT(LifeExpectancyData[[#This Row],[Life expectancy]:[Schooling]])=19</f>
        <v>0</v>
      </c>
    </row>
    <row r="415" spans="1:23" x14ac:dyDescent="0.25">
      <c r="A415" t="s">
        <v>299</v>
      </c>
      <c r="B415">
        <v>2002</v>
      </c>
      <c r="C415" t="s">
        <v>273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COUNT(LifeExpectancyData[[#This Row],[Life expectancy]:[Schooling]])=19</f>
        <v>0</v>
      </c>
    </row>
    <row r="416" spans="1:23" x14ac:dyDescent="0.25">
      <c r="A416" t="s">
        <v>299</v>
      </c>
      <c r="B416">
        <v>2001</v>
      </c>
      <c r="C416" t="s">
        <v>273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COUNT(LifeExpectancyData[[#This Row],[Life expectancy]:[Schooling]])=19</f>
        <v>0</v>
      </c>
    </row>
    <row r="417" spans="1:23" x14ac:dyDescent="0.25">
      <c r="A417" t="s">
        <v>299</v>
      </c>
      <c r="B417">
        <v>2000</v>
      </c>
      <c r="C417" t="s">
        <v>273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COUNT(LifeExpectancyData[[#This Row],[Life expectancy]:[Schooling]])=19</f>
        <v>0</v>
      </c>
    </row>
    <row r="418" spans="1:23" x14ac:dyDescent="0.25">
      <c r="A418" t="s">
        <v>300</v>
      </c>
      <c r="B418">
        <v>2015</v>
      </c>
      <c r="C418" t="s">
        <v>273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COUNT(LifeExpectancyData[[#This Row],[Life expectancy]:[Schooling]])=19</f>
        <v>0</v>
      </c>
    </row>
    <row r="419" spans="1:23" x14ac:dyDescent="0.25">
      <c r="A419" t="s">
        <v>300</v>
      </c>
      <c r="B419">
        <v>2014</v>
      </c>
      <c r="C419" t="s">
        <v>273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COUNT(LifeExpectancyData[[#This Row],[Life expectancy]:[Schooling]])=19</f>
        <v>1</v>
      </c>
    </row>
    <row r="420" spans="1:23" x14ac:dyDescent="0.25">
      <c r="A420" t="s">
        <v>300</v>
      </c>
      <c r="B420">
        <v>2013</v>
      </c>
      <c r="C420" t="s">
        <v>273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COUNT(LifeExpectancyData[[#This Row],[Life expectancy]:[Schooling]])=19</f>
        <v>1</v>
      </c>
    </row>
    <row r="421" spans="1:23" x14ac:dyDescent="0.25">
      <c r="A421" t="s">
        <v>300</v>
      </c>
      <c r="B421">
        <v>2012</v>
      </c>
      <c r="C421" t="s">
        <v>273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COUNT(LifeExpectancyData[[#This Row],[Life expectancy]:[Schooling]])=19</f>
        <v>1</v>
      </c>
    </row>
    <row r="422" spans="1:23" x14ac:dyDescent="0.25">
      <c r="A422" t="s">
        <v>300</v>
      </c>
      <c r="B422">
        <v>2011</v>
      </c>
      <c r="C422" t="s">
        <v>273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COUNT(LifeExpectancyData[[#This Row],[Life expectancy]:[Schooling]])=19</f>
        <v>1</v>
      </c>
    </row>
    <row r="423" spans="1:23" x14ac:dyDescent="0.25">
      <c r="A423" t="s">
        <v>300</v>
      </c>
      <c r="B423">
        <v>2010</v>
      </c>
      <c r="C423" t="s">
        <v>273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COUNT(LifeExpectancyData[[#This Row],[Life expectancy]:[Schooling]])=19</f>
        <v>1</v>
      </c>
    </row>
    <row r="424" spans="1:23" x14ac:dyDescent="0.25">
      <c r="A424" t="s">
        <v>300</v>
      </c>
      <c r="B424">
        <v>2009</v>
      </c>
      <c r="C424" t="s">
        <v>273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COUNT(LifeExpectancyData[[#This Row],[Life expectancy]:[Schooling]])=19</f>
        <v>1</v>
      </c>
    </row>
    <row r="425" spans="1:23" x14ac:dyDescent="0.25">
      <c r="A425" t="s">
        <v>300</v>
      </c>
      <c r="B425">
        <v>2008</v>
      </c>
      <c r="C425" t="s">
        <v>273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COUNT(LifeExpectancyData[[#This Row],[Life expectancy]:[Schooling]])=19</f>
        <v>1</v>
      </c>
    </row>
    <row r="426" spans="1:23" x14ac:dyDescent="0.25">
      <c r="A426" t="s">
        <v>300</v>
      </c>
      <c r="B426">
        <v>2007</v>
      </c>
      <c r="C426" t="s">
        <v>273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COUNT(LifeExpectancyData[[#This Row],[Life expectancy]:[Schooling]])=19</f>
        <v>1</v>
      </c>
    </row>
    <row r="427" spans="1:23" x14ac:dyDescent="0.25">
      <c r="A427" t="s">
        <v>300</v>
      </c>
      <c r="B427">
        <v>2006</v>
      </c>
      <c r="C427" t="s">
        <v>273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COUNT(LifeExpectancyData[[#This Row],[Life expectancy]:[Schooling]])=19</f>
        <v>1</v>
      </c>
    </row>
    <row r="428" spans="1:23" x14ac:dyDescent="0.25">
      <c r="A428" t="s">
        <v>300</v>
      </c>
      <c r="B428">
        <v>2005</v>
      </c>
      <c r="C428" t="s">
        <v>273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COUNT(LifeExpectancyData[[#This Row],[Life expectancy]:[Schooling]])=19</f>
        <v>1</v>
      </c>
    </row>
    <row r="429" spans="1:23" x14ac:dyDescent="0.25">
      <c r="A429" t="s">
        <v>300</v>
      </c>
      <c r="B429">
        <v>2004</v>
      </c>
      <c r="C429" t="s">
        <v>273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COUNT(LifeExpectancyData[[#This Row],[Life expectancy]:[Schooling]])=19</f>
        <v>1</v>
      </c>
    </row>
    <row r="430" spans="1:23" x14ac:dyDescent="0.25">
      <c r="A430" t="s">
        <v>300</v>
      </c>
      <c r="B430">
        <v>2003</v>
      </c>
      <c r="C430" t="s">
        <v>273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COUNT(LifeExpectancyData[[#This Row],[Life expectancy]:[Schooling]])=19</f>
        <v>0</v>
      </c>
    </row>
    <row r="431" spans="1:23" x14ac:dyDescent="0.25">
      <c r="A431" t="s">
        <v>300</v>
      </c>
      <c r="B431">
        <v>2002</v>
      </c>
      <c r="C431" t="s">
        <v>273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COUNT(LifeExpectancyData[[#This Row],[Life expectancy]:[Schooling]])=19</f>
        <v>0</v>
      </c>
    </row>
    <row r="432" spans="1:23" x14ac:dyDescent="0.25">
      <c r="A432" t="s">
        <v>300</v>
      </c>
      <c r="B432">
        <v>2001</v>
      </c>
      <c r="C432" t="s">
        <v>273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COUNT(LifeExpectancyData[[#This Row],[Life expectancy]:[Schooling]])=19</f>
        <v>0</v>
      </c>
    </row>
    <row r="433" spans="1:23" x14ac:dyDescent="0.25">
      <c r="A433" t="s">
        <v>300</v>
      </c>
      <c r="B433">
        <v>2000</v>
      </c>
      <c r="C433" t="s">
        <v>273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COUNT(LifeExpectancyData[[#This Row],[Life expectancy]:[Schooling]])=19</f>
        <v>0</v>
      </c>
    </row>
    <row r="434" spans="1:23" x14ac:dyDescent="0.25">
      <c r="A434" t="s">
        <v>301</v>
      </c>
      <c r="B434">
        <v>2015</v>
      </c>
      <c r="C434" t="s">
        <v>273</v>
      </c>
      <c r="D434">
        <v>53.3</v>
      </c>
      <c r="E434">
        <v>397</v>
      </c>
      <c r="F434">
        <v>57</v>
      </c>
      <c r="H434">
        <v>0</v>
      </c>
      <c r="I434">
        <v>83</v>
      </c>
      <c r="J434">
        <v>65</v>
      </c>
      <c r="K434">
        <v>28</v>
      </c>
      <c r="L434">
        <v>79</v>
      </c>
      <c r="M434">
        <v>81</v>
      </c>
      <c r="O434">
        <v>83</v>
      </c>
      <c r="P434">
        <v>1.9</v>
      </c>
      <c r="S434">
        <v>5.5</v>
      </c>
      <c r="T434">
        <v>5.5</v>
      </c>
      <c r="W434" t="b">
        <f>COUNT(LifeExpectancyData[[#This Row],[Life expectancy]:[Schooling]])=19</f>
        <v>0</v>
      </c>
    </row>
    <row r="435" spans="1:23" x14ac:dyDescent="0.25">
      <c r="A435" t="s">
        <v>301</v>
      </c>
      <c r="B435">
        <v>2014</v>
      </c>
      <c r="C435" t="s">
        <v>273</v>
      </c>
      <c r="D435">
        <v>52.8</v>
      </c>
      <c r="E435">
        <v>47</v>
      </c>
      <c r="F435">
        <v>58</v>
      </c>
      <c r="G435">
        <v>0.01</v>
      </c>
      <c r="H435">
        <v>0</v>
      </c>
      <c r="I435">
        <v>76</v>
      </c>
      <c r="J435">
        <v>50</v>
      </c>
      <c r="K435">
        <v>27.4</v>
      </c>
      <c r="L435">
        <v>80</v>
      </c>
      <c r="M435">
        <v>76</v>
      </c>
      <c r="N435">
        <v>5.72</v>
      </c>
      <c r="O435">
        <v>76</v>
      </c>
      <c r="P435">
        <v>2</v>
      </c>
      <c r="S435">
        <v>5.6</v>
      </c>
      <c r="T435">
        <v>5.6</v>
      </c>
      <c r="W435" t="b">
        <f>COUNT(LifeExpectancyData[[#This Row],[Life expectancy]:[Schooling]])=19</f>
        <v>0</v>
      </c>
    </row>
    <row r="436" spans="1:23" x14ac:dyDescent="0.25">
      <c r="A436" t="s">
        <v>301</v>
      </c>
      <c r="B436">
        <v>2013</v>
      </c>
      <c r="C436" t="s">
        <v>273</v>
      </c>
      <c r="D436">
        <v>52.3</v>
      </c>
      <c r="E436">
        <v>412</v>
      </c>
      <c r="F436">
        <v>59</v>
      </c>
      <c r="G436">
        <v>3.15</v>
      </c>
      <c r="H436">
        <v>0</v>
      </c>
      <c r="I436">
        <v>8</v>
      </c>
      <c r="J436">
        <v>48</v>
      </c>
      <c r="K436">
        <v>26.8</v>
      </c>
      <c r="L436">
        <v>81</v>
      </c>
      <c r="M436">
        <v>79</v>
      </c>
      <c r="N436">
        <v>5.81</v>
      </c>
      <c r="O436">
        <v>8</v>
      </c>
      <c r="P436">
        <v>2.4</v>
      </c>
      <c r="S436">
        <v>5.8</v>
      </c>
      <c r="T436">
        <v>5.7</v>
      </c>
      <c r="W436" t="b">
        <f>COUNT(LifeExpectancyData[[#This Row],[Life expectancy]:[Schooling]])=19</f>
        <v>0</v>
      </c>
    </row>
    <row r="437" spans="1:23" x14ac:dyDescent="0.25">
      <c r="A437" t="s">
        <v>301</v>
      </c>
      <c r="B437">
        <v>2012</v>
      </c>
      <c r="C437" t="s">
        <v>273</v>
      </c>
      <c r="D437">
        <v>52</v>
      </c>
      <c r="E437">
        <v>415</v>
      </c>
      <c r="F437">
        <v>59</v>
      </c>
      <c r="G437">
        <v>3.24</v>
      </c>
      <c r="H437">
        <v>0</v>
      </c>
      <c r="I437">
        <v>82</v>
      </c>
      <c r="J437">
        <v>137</v>
      </c>
      <c r="K437">
        <v>26.2</v>
      </c>
      <c r="L437">
        <v>82</v>
      </c>
      <c r="M437">
        <v>83</v>
      </c>
      <c r="N437">
        <v>6.14</v>
      </c>
      <c r="O437">
        <v>82</v>
      </c>
      <c r="P437">
        <v>2.9</v>
      </c>
      <c r="S437">
        <v>5.9</v>
      </c>
      <c r="T437">
        <v>5.9</v>
      </c>
      <c r="W437" t="b">
        <f>COUNT(LifeExpectancyData[[#This Row],[Life expectancy]:[Schooling]])=19</f>
        <v>0</v>
      </c>
    </row>
    <row r="438" spans="1:23" x14ac:dyDescent="0.25">
      <c r="A438" t="s">
        <v>301</v>
      </c>
      <c r="B438">
        <v>2011</v>
      </c>
      <c r="C438" t="s">
        <v>273</v>
      </c>
      <c r="D438">
        <v>51.7</v>
      </c>
      <c r="E438">
        <v>419</v>
      </c>
      <c r="F438">
        <v>60</v>
      </c>
      <c r="G438">
        <v>3.13</v>
      </c>
      <c r="H438">
        <v>0</v>
      </c>
      <c r="I438">
        <v>62</v>
      </c>
      <c r="J438">
        <v>628</v>
      </c>
      <c r="K438">
        <v>25.6</v>
      </c>
      <c r="L438">
        <v>83</v>
      </c>
      <c r="M438">
        <v>58</v>
      </c>
      <c r="N438">
        <v>6.42</v>
      </c>
      <c r="O438">
        <v>62</v>
      </c>
      <c r="P438">
        <v>3.3</v>
      </c>
      <c r="S438">
        <v>6.1</v>
      </c>
      <c r="T438">
        <v>6</v>
      </c>
      <c r="W438" t="b">
        <f>COUNT(LifeExpectancyData[[#This Row],[Life expectancy]:[Schooling]])=19</f>
        <v>0</v>
      </c>
    </row>
    <row r="439" spans="1:23" x14ac:dyDescent="0.25">
      <c r="A439" t="s">
        <v>301</v>
      </c>
      <c r="B439">
        <v>2010</v>
      </c>
      <c r="C439" t="s">
        <v>273</v>
      </c>
      <c r="D439">
        <v>51.5</v>
      </c>
      <c r="E439">
        <v>417</v>
      </c>
      <c r="F439">
        <v>60</v>
      </c>
      <c r="G439">
        <v>3.15</v>
      </c>
      <c r="H439">
        <v>0</v>
      </c>
      <c r="I439">
        <v>85</v>
      </c>
      <c r="J439">
        <v>441</v>
      </c>
      <c r="K439">
        <v>25</v>
      </c>
      <c r="L439">
        <v>84</v>
      </c>
      <c r="M439">
        <v>81</v>
      </c>
      <c r="N439">
        <v>6.32</v>
      </c>
      <c r="O439">
        <v>85</v>
      </c>
      <c r="P439">
        <v>3.3</v>
      </c>
      <c r="S439">
        <v>6.3</v>
      </c>
      <c r="T439">
        <v>6.2</v>
      </c>
      <c r="W439" t="b">
        <f>COUNT(LifeExpectancyData[[#This Row],[Life expectancy]:[Schooling]])=19</f>
        <v>0</v>
      </c>
    </row>
    <row r="440" spans="1:23" x14ac:dyDescent="0.25">
      <c r="A440" t="s">
        <v>301</v>
      </c>
      <c r="B440">
        <v>2009</v>
      </c>
      <c r="C440" t="s">
        <v>273</v>
      </c>
      <c r="D440">
        <v>51</v>
      </c>
      <c r="E440">
        <v>426</v>
      </c>
      <c r="F440">
        <v>60</v>
      </c>
      <c r="G440">
        <v>2.92</v>
      </c>
      <c r="H440">
        <v>0</v>
      </c>
      <c r="I440">
        <v>81</v>
      </c>
      <c r="J440">
        <v>183</v>
      </c>
      <c r="K440">
        <v>24.4</v>
      </c>
      <c r="L440">
        <v>84</v>
      </c>
      <c r="M440">
        <v>77</v>
      </c>
      <c r="N440">
        <v>6.41</v>
      </c>
      <c r="O440">
        <v>81</v>
      </c>
      <c r="P440">
        <v>3.7</v>
      </c>
      <c r="S440">
        <v>6.5</v>
      </c>
      <c r="T440">
        <v>6.4</v>
      </c>
      <c r="W440" t="b">
        <f>COUNT(LifeExpectancyData[[#This Row],[Life expectancy]:[Schooling]])=19</f>
        <v>0</v>
      </c>
    </row>
    <row r="441" spans="1:23" x14ac:dyDescent="0.25">
      <c r="A441" t="s">
        <v>301</v>
      </c>
      <c r="B441">
        <v>2008</v>
      </c>
      <c r="C441" t="s">
        <v>273</v>
      </c>
      <c r="D441">
        <v>54</v>
      </c>
      <c r="E441">
        <v>437</v>
      </c>
      <c r="F441">
        <v>60</v>
      </c>
      <c r="G441">
        <v>2.69</v>
      </c>
      <c r="H441">
        <v>0</v>
      </c>
      <c r="I441">
        <v>74</v>
      </c>
      <c r="J441">
        <v>12</v>
      </c>
      <c r="K441">
        <v>23.8</v>
      </c>
      <c r="L441">
        <v>85</v>
      </c>
      <c r="M441">
        <v>58</v>
      </c>
      <c r="N441">
        <v>6.21</v>
      </c>
      <c r="O441">
        <v>74</v>
      </c>
      <c r="P441">
        <v>4.0999999999999996</v>
      </c>
      <c r="S441">
        <v>6.6</v>
      </c>
      <c r="T441">
        <v>6.6</v>
      </c>
      <c r="W441" t="b">
        <f>COUNT(LifeExpectancyData[[#This Row],[Life expectancy]:[Schooling]])=19</f>
        <v>0</v>
      </c>
    </row>
    <row r="442" spans="1:23" x14ac:dyDescent="0.25">
      <c r="A442" t="s">
        <v>301</v>
      </c>
      <c r="B442">
        <v>2007</v>
      </c>
      <c r="C442" t="s">
        <v>273</v>
      </c>
      <c r="D442">
        <v>49.9</v>
      </c>
      <c r="E442">
        <v>443</v>
      </c>
      <c r="F442">
        <v>61</v>
      </c>
      <c r="G442">
        <v>2.58</v>
      </c>
      <c r="H442">
        <v>0</v>
      </c>
      <c r="I442">
        <v>76</v>
      </c>
      <c r="J442">
        <v>5</v>
      </c>
      <c r="K442">
        <v>23.2</v>
      </c>
      <c r="L442">
        <v>87</v>
      </c>
      <c r="M442">
        <v>75</v>
      </c>
      <c r="N442">
        <v>6.35</v>
      </c>
      <c r="O442">
        <v>76</v>
      </c>
      <c r="P442">
        <v>5.3</v>
      </c>
      <c r="S442">
        <v>6.8</v>
      </c>
      <c r="T442">
        <v>6.7</v>
      </c>
      <c r="W442" t="b">
        <f>COUNT(LifeExpectancyData[[#This Row],[Life expectancy]:[Schooling]])=19</f>
        <v>0</v>
      </c>
    </row>
    <row r="443" spans="1:23" x14ac:dyDescent="0.25">
      <c r="A443" t="s">
        <v>301</v>
      </c>
      <c r="B443">
        <v>2006</v>
      </c>
      <c r="C443" t="s">
        <v>273</v>
      </c>
      <c r="D443">
        <v>49.4</v>
      </c>
      <c r="E443">
        <v>452</v>
      </c>
      <c r="F443">
        <v>62</v>
      </c>
      <c r="G443">
        <v>2.65</v>
      </c>
      <c r="H443">
        <v>0</v>
      </c>
      <c r="I443">
        <v>77</v>
      </c>
      <c r="J443">
        <v>11</v>
      </c>
      <c r="K443">
        <v>22.6</v>
      </c>
      <c r="L443">
        <v>89</v>
      </c>
      <c r="M443">
        <v>76</v>
      </c>
      <c r="N443">
        <v>5.87</v>
      </c>
      <c r="O443">
        <v>77</v>
      </c>
      <c r="P443">
        <v>5.8</v>
      </c>
      <c r="S443">
        <v>7</v>
      </c>
      <c r="T443">
        <v>6.9</v>
      </c>
      <c r="W443" t="b">
        <f>COUNT(LifeExpectancyData[[#This Row],[Life expectancy]:[Schooling]])=19</f>
        <v>0</v>
      </c>
    </row>
    <row r="444" spans="1:23" x14ac:dyDescent="0.25">
      <c r="A444" t="s">
        <v>301</v>
      </c>
      <c r="B444">
        <v>2005</v>
      </c>
      <c r="C444" t="s">
        <v>273</v>
      </c>
      <c r="D444">
        <v>48.7</v>
      </c>
      <c r="E444">
        <v>466</v>
      </c>
      <c r="F444">
        <v>63</v>
      </c>
      <c r="G444">
        <v>3.11</v>
      </c>
      <c r="H444">
        <v>0</v>
      </c>
      <c r="I444">
        <v>76</v>
      </c>
      <c r="J444">
        <v>115</v>
      </c>
      <c r="K444">
        <v>22.1</v>
      </c>
      <c r="L444">
        <v>90</v>
      </c>
      <c r="M444">
        <v>87</v>
      </c>
      <c r="N444">
        <v>5.39</v>
      </c>
      <c r="O444">
        <v>76</v>
      </c>
      <c r="P444">
        <v>6.1</v>
      </c>
      <c r="S444">
        <v>7.2</v>
      </c>
      <c r="T444">
        <v>7.1</v>
      </c>
      <c r="W444" t="b">
        <f>COUNT(LifeExpectancyData[[#This Row],[Life expectancy]:[Schooling]])=19</f>
        <v>0</v>
      </c>
    </row>
    <row r="445" spans="1:23" x14ac:dyDescent="0.25">
      <c r="A445" t="s">
        <v>301</v>
      </c>
      <c r="B445">
        <v>2004</v>
      </c>
      <c r="C445" t="s">
        <v>273</v>
      </c>
      <c r="D445">
        <v>48.2</v>
      </c>
      <c r="E445">
        <v>472</v>
      </c>
      <c r="F445">
        <v>64</v>
      </c>
      <c r="G445">
        <v>3.08</v>
      </c>
      <c r="H445">
        <v>0</v>
      </c>
      <c r="I445">
        <v>67</v>
      </c>
      <c r="J445">
        <v>3466</v>
      </c>
      <c r="K445">
        <v>21.5</v>
      </c>
      <c r="L445">
        <v>91</v>
      </c>
      <c r="M445">
        <v>76</v>
      </c>
      <c r="N445">
        <v>5.24</v>
      </c>
      <c r="O445">
        <v>67</v>
      </c>
      <c r="P445">
        <v>6.5</v>
      </c>
      <c r="S445">
        <v>7.3</v>
      </c>
      <c r="T445">
        <v>7.3</v>
      </c>
      <c r="W445" t="b">
        <f>COUNT(LifeExpectancyData[[#This Row],[Life expectancy]:[Schooling]])=19</f>
        <v>0</v>
      </c>
    </row>
    <row r="446" spans="1:23" x14ac:dyDescent="0.25">
      <c r="A446" t="s">
        <v>301</v>
      </c>
      <c r="B446">
        <v>2003</v>
      </c>
      <c r="C446" t="s">
        <v>273</v>
      </c>
      <c r="D446">
        <v>48</v>
      </c>
      <c r="E446">
        <v>473</v>
      </c>
      <c r="F446">
        <v>64</v>
      </c>
      <c r="G446">
        <v>3.12</v>
      </c>
      <c r="H446">
        <v>0</v>
      </c>
      <c r="I446">
        <v>63</v>
      </c>
      <c r="J446">
        <v>4770</v>
      </c>
      <c r="K446">
        <v>2.9</v>
      </c>
      <c r="L446">
        <v>92</v>
      </c>
      <c r="M446">
        <v>68</v>
      </c>
      <c r="N446">
        <v>4.6500000000000004</v>
      </c>
      <c r="O446">
        <v>61</v>
      </c>
      <c r="P446">
        <v>6.7</v>
      </c>
      <c r="S446">
        <v>7.5</v>
      </c>
      <c r="T446">
        <v>7.5</v>
      </c>
      <c r="W446" t="b">
        <f>COUNT(LifeExpectancyData[[#This Row],[Life expectancy]:[Schooling]])=19</f>
        <v>0</v>
      </c>
    </row>
    <row r="447" spans="1:23" x14ac:dyDescent="0.25">
      <c r="A447" t="s">
        <v>301</v>
      </c>
      <c r="B447">
        <v>2002</v>
      </c>
      <c r="C447" t="s">
        <v>273</v>
      </c>
      <c r="D447">
        <v>47.7</v>
      </c>
      <c r="E447">
        <v>473</v>
      </c>
      <c r="F447">
        <v>65</v>
      </c>
      <c r="G447">
        <v>3.13</v>
      </c>
      <c r="H447">
        <v>0</v>
      </c>
      <c r="I447">
        <v>48</v>
      </c>
      <c r="J447">
        <v>5882</v>
      </c>
      <c r="K447">
        <v>2.4</v>
      </c>
      <c r="L447">
        <v>93</v>
      </c>
      <c r="M447">
        <v>7</v>
      </c>
      <c r="N447">
        <v>4.47</v>
      </c>
      <c r="O447">
        <v>64</v>
      </c>
      <c r="P447">
        <v>6.9</v>
      </c>
      <c r="S447">
        <v>7.7</v>
      </c>
      <c r="T447">
        <v>7.7</v>
      </c>
      <c r="W447" t="b">
        <f>COUNT(LifeExpectancyData[[#This Row],[Life expectancy]:[Schooling]])=19</f>
        <v>0</v>
      </c>
    </row>
    <row r="448" spans="1:23" x14ac:dyDescent="0.25">
      <c r="A448" t="s">
        <v>301</v>
      </c>
      <c r="B448">
        <v>2001</v>
      </c>
      <c r="C448" t="s">
        <v>273</v>
      </c>
      <c r="D448">
        <v>47.8</v>
      </c>
      <c r="E448">
        <v>467</v>
      </c>
      <c r="F448">
        <v>65</v>
      </c>
      <c r="G448">
        <v>3.15</v>
      </c>
      <c r="H448">
        <v>0</v>
      </c>
      <c r="I448">
        <v>1</v>
      </c>
      <c r="J448">
        <v>5790</v>
      </c>
      <c r="K448">
        <v>19.899999999999999</v>
      </c>
      <c r="L448">
        <v>94</v>
      </c>
      <c r="M448">
        <v>7</v>
      </c>
      <c r="N448">
        <v>4.8499999999999996</v>
      </c>
      <c r="O448">
        <v>66</v>
      </c>
      <c r="P448">
        <v>7</v>
      </c>
      <c r="S448">
        <v>7.9</v>
      </c>
      <c r="T448">
        <v>7.9</v>
      </c>
      <c r="W448" t="b">
        <f>COUNT(LifeExpectancyData[[#This Row],[Life expectancy]:[Schooling]])=19</f>
        <v>0</v>
      </c>
    </row>
    <row r="449" spans="1:23" x14ac:dyDescent="0.25">
      <c r="A449" t="s">
        <v>301</v>
      </c>
      <c r="B449">
        <v>2000</v>
      </c>
      <c r="C449" t="s">
        <v>273</v>
      </c>
      <c r="D449">
        <v>47.9</v>
      </c>
      <c r="E449">
        <v>461</v>
      </c>
      <c r="F449">
        <v>67</v>
      </c>
      <c r="G449">
        <v>3.45</v>
      </c>
      <c r="H449">
        <v>0</v>
      </c>
      <c r="J449">
        <v>5729</v>
      </c>
      <c r="K449">
        <v>19.399999999999999</v>
      </c>
      <c r="L449">
        <v>95</v>
      </c>
      <c r="M449">
        <v>66</v>
      </c>
      <c r="N449">
        <v>6</v>
      </c>
      <c r="O449">
        <v>65</v>
      </c>
      <c r="P449">
        <v>7.1</v>
      </c>
      <c r="S449">
        <v>8.1</v>
      </c>
      <c r="T449">
        <v>8.1</v>
      </c>
      <c r="W449" t="b">
        <f>COUNT(LifeExpectancyData[[#This Row],[Life expectancy]:[Schooling]])=19</f>
        <v>0</v>
      </c>
    </row>
    <row r="450" spans="1:23" x14ac:dyDescent="0.25">
      <c r="A450" t="s">
        <v>302</v>
      </c>
      <c r="B450">
        <v>2015</v>
      </c>
      <c r="C450" t="s">
        <v>273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COUNT(LifeExpectancyData[[#This Row],[Life expectancy]:[Schooling]])=19</f>
        <v>0</v>
      </c>
    </row>
    <row r="451" spans="1:23" x14ac:dyDescent="0.25">
      <c r="A451" t="s">
        <v>302</v>
      </c>
      <c r="B451">
        <v>2014</v>
      </c>
      <c r="C451" t="s">
        <v>273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COUNT(LifeExpectancyData[[#This Row],[Life expectancy]:[Schooling]])=19</f>
        <v>1</v>
      </c>
    </row>
    <row r="452" spans="1:23" x14ac:dyDescent="0.25">
      <c r="A452" t="s">
        <v>302</v>
      </c>
      <c r="B452">
        <v>2013</v>
      </c>
      <c r="C452" t="s">
        <v>273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COUNT(LifeExpectancyData[[#This Row],[Life expectancy]:[Schooling]])=19</f>
        <v>1</v>
      </c>
    </row>
    <row r="453" spans="1:23" x14ac:dyDescent="0.25">
      <c r="A453" t="s">
        <v>302</v>
      </c>
      <c r="B453">
        <v>2012</v>
      </c>
      <c r="C453" t="s">
        <v>273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COUNT(LifeExpectancyData[[#This Row],[Life expectancy]:[Schooling]])=19</f>
        <v>1</v>
      </c>
    </row>
    <row r="454" spans="1:23" x14ac:dyDescent="0.25">
      <c r="A454" t="s">
        <v>302</v>
      </c>
      <c r="B454">
        <v>2011</v>
      </c>
      <c r="C454" t="s">
        <v>273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COUNT(LifeExpectancyData[[#This Row],[Life expectancy]:[Schooling]])=19</f>
        <v>1</v>
      </c>
    </row>
    <row r="455" spans="1:23" x14ac:dyDescent="0.25">
      <c r="A455" t="s">
        <v>302</v>
      </c>
      <c r="B455">
        <v>2010</v>
      </c>
      <c r="C455" t="s">
        <v>273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COUNT(LifeExpectancyData[[#This Row],[Life expectancy]:[Schooling]])=19</f>
        <v>1</v>
      </c>
    </row>
    <row r="456" spans="1:23" x14ac:dyDescent="0.25">
      <c r="A456" t="s">
        <v>302</v>
      </c>
      <c r="B456">
        <v>2009</v>
      </c>
      <c r="C456" t="s">
        <v>273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COUNT(LifeExpectancyData[[#This Row],[Life expectancy]:[Schooling]])=19</f>
        <v>1</v>
      </c>
    </row>
    <row r="457" spans="1:23" x14ac:dyDescent="0.25">
      <c r="A457" t="s">
        <v>302</v>
      </c>
      <c r="B457">
        <v>2008</v>
      </c>
      <c r="C457" t="s">
        <v>273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COUNT(LifeExpectancyData[[#This Row],[Life expectancy]:[Schooling]])=19</f>
        <v>1</v>
      </c>
    </row>
    <row r="458" spans="1:23" x14ac:dyDescent="0.25">
      <c r="A458" t="s">
        <v>302</v>
      </c>
      <c r="B458">
        <v>2007</v>
      </c>
      <c r="C458" t="s">
        <v>273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COUNT(LifeExpectancyData[[#This Row],[Life expectancy]:[Schooling]])=19</f>
        <v>1</v>
      </c>
    </row>
    <row r="459" spans="1:23" x14ac:dyDescent="0.25">
      <c r="A459" t="s">
        <v>302</v>
      </c>
      <c r="B459">
        <v>2006</v>
      </c>
      <c r="C459" t="s">
        <v>273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COUNT(LifeExpectancyData[[#This Row],[Life expectancy]:[Schooling]])=19</f>
        <v>1</v>
      </c>
    </row>
    <row r="460" spans="1:23" x14ac:dyDescent="0.25">
      <c r="A460" t="s">
        <v>302</v>
      </c>
      <c r="B460">
        <v>2005</v>
      </c>
      <c r="C460" t="s">
        <v>273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COUNT(LifeExpectancyData[[#This Row],[Life expectancy]:[Schooling]])=19</f>
        <v>1</v>
      </c>
    </row>
    <row r="461" spans="1:23" x14ac:dyDescent="0.25">
      <c r="A461" t="s">
        <v>302</v>
      </c>
      <c r="B461">
        <v>2004</v>
      </c>
      <c r="C461" t="s">
        <v>273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COUNT(LifeExpectancyData[[#This Row],[Life expectancy]:[Schooling]])=19</f>
        <v>1</v>
      </c>
    </row>
    <row r="462" spans="1:23" x14ac:dyDescent="0.25">
      <c r="A462" t="s">
        <v>302</v>
      </c>
      <c r="B462">
        <v>2003</v>
      </c>
      <c r="C462" t="s">
        <v>273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COUNT(LifeExpectancyData[[#This Row],[Life expectancy]:[Schooling]])=19</f>
        <v>1</v>
      </c>
    </row>
    <row r="463" spans="1:23" x14ac:dyDescent="0.25">
      <c r="A463" t="s">
        <v>302</v>
      </c>
      <c r="B463">
        <v>2002</v>
      </c>
      <c r="C463" t="s">
        <v>273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COUNT(LifeExpectancyData[[#This Row],[Life expectancy]:[Schooling]])=19</f>
        <v>1</v>
      </c>
    </row>
    <row r="464" spans="1:23" x14ac:dyDescent="0.25">
      <c r="A464" t="s">
        <v>302</v>
      </c>
      <c r="B464">
        <v>2001</v>
      </c>
      <c r="C464" t="s">
        <v>273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COUNT(LifeExpectancyData[[#This Row],[Life expectancy]:[Schooling]])=19</f>
        <v>0</v>
      </c>
    </row>
    <row r="465" spans="1:23" x14ac:dyDescent="0.25">
      <c r="A465" t="s">
        <v>302</v>
      </c>
      <c r="B465">
        <v>2000</v>
      </c>
      <c r="C465" t="s">
        <v>273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COUNT(LifeExpectancyData[[#This Row],[Life expectancy]:[Schooling]])=19</f>
        <v>0</v>
      </c>
    </row>
    <row r="466" spans="1:23" x14ac:dyDescent="0.25">
      <c r="A466" t="s">
        <v>303</v>
      </c>
      <c r="B466">
        <v>2015</v>
      </c>
      <c r="C466" t="s">
        <v>273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COUNT(LifeExpectancyData[[#This Row],[Life expectancy]:[Schooling]])=19</f>
        <v>0</v>
      </c>
    </row>
    <row r="467" spans="1:23" x14ac:dyDescent="0.25">
      <c r="A467" t="s">
        <v>303</v>
      </c>
      <c r="B467">
        <v>2014</v>
      </c>
      <c r="C467" t="s">
        <v>273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COUNT(LifeExpectancyData[[#This Row],[Life expectancy]:[Schooling]])=19</f>
        <v>1</v>
      </c>
    </row>
    <row r="468" spans="1:23" x14ac:dyDescent="0.25">
      <c r="A468" t="s">
        <v>303</v>
      </c>
      <c r="B468">
        <v>2013</v>
      </c>
      <c r="C468" t="s">
        <v>273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COUNT(LifeExpectancyData[[#This Row],[Life expectancy]:[Schooling]])=19</f>
        <v>1</v>
      </c>
    </row>
    <row r="469" spans="1:23" x14ac:dyDescent="0.25">
      <c r="A469" t="s">
        <v>303</v>
      </c>
      <c r="B469">
        <v>2012</v>
      </c>
      <c r="C469" t="s">
        <v>273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COUNT(LifeExpectancyData[[#This Row],[Life expectancy]:[Schooling]])=19</f>
        <v>1</v>
      </c>
    </row>
    <row r="470" spans="1:23" x14ac:dyDescent="0.25">
      <c r="A470" t="s">
        <v>303</v>
      </c>
      <c r="B470">
        <v>2011</v>
      </c>
      <c r="C470" t="s">
        <v>273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COUNT(LifeExpectancyData[[#This Row],[Life expectancy]:[Schooling]])=19</f>
        <v>1</v>
      </c>
    </row>
    <row r="471" spans="1:23" x14ac:dyDescent="0.25">
      <c r="A471" t="s">
        <v>303</v>
      </c>
      <c r="B471">
        <v>2010</v>
      </c>
      <c r="C471" t="s">
        <v>273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COUNT(LifeExpectancyData[[#This Row],[Life expectancy]:[Schooling]])=19</f>
        <v>1</v>
      </c>
    </row>
    <row r="472" spans="1:23" x14ac:dyDescent="0.25">
      <c r="A472" t="s">
        <v>303</v>
      </c>
      <c r="B472">
        <v>2009</v>
      </c>
      <c r="C472" t="s">
        <v>273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COUNT(LifeExpectancyData[[#This Row],[Life expectancy]:[Schooling]])=19</f>
        <v>1</v>
      </c>
    </row>
    <row r="473" spans="1:23" x14ac:dyDescent="0.25">
      <c r="A473" t="s">
        <v>303</v>
      </c>
      <c r="B473">
        <v>2008</v>
      </c>
      <c r="C473" t="s">
        <v>273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COUNT(LifeExpectancyData[[#This Row],[Life expectancy]:[Schooling]])=19</f>
        <v>1</v>
      </c>
    </row>
    <row r="474" spans="1:23" x14ac:dyDescent="0.25">
      <c r="A474" t="s">
        <v>303</v>
      </c>
      <c r="B474">
        <v>2007</v>
      </c>
      <c r="C474" t="s">
        <v>273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COUNT(LifeExpectancyData[[#This Row],[Life expectancy]:[Schooling]])=19</f>
        <v>1</v>
      </c>
    </row>
    <row r="475" spans="1:23" x14ac:dyDescent="0.25">
      <c r="A475" t="s">
        <v>303</v>
      </c>
      <c r="B475">
        <v>2006</v>
      </c>
      <c r="C475" t="s">
        <v>273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COUNT(LifeExpectancyData[[#This Row],[Life expectancy]:[Schooling]])=19</f>
        <v>1</v>
      </c>
    </row>
    <row r="476" spans="1:23" x14ac:dyDescent="0.25">
      <c r="A476" t="s">
        <v>303</v>
      </c>
      <c r="B476">
        <v>2005</v>
      </c>
      <c r="C476" t="s">
        <v>273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COUNT(LifeExpectancyData[[#This Row],[Life expectancy]:[Schooling]])=19</f>
        <v>0</v>
      </c>
    </row>
    <row r="477" spans="1:23" x14ac:dyDescent="0.25">
      <c r="A477" t="s">
        <v>303</v>
      </c>
      <c r="B477">
        <v>2004</v>
      </c>
      <c r="C477" t="s">
        <v>273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COUNT(LifeExpectancyData[[#This Row],[Life expectancy]:[Schooling]])=19</f>
        <v>0</v>
      </c>
    </row>
    <row r="478" spans="1:23" x14ac:dyDescent="0.25">
      <c r="A478" t="s">
        <v>303</v>
      </c>
      <c r="B478">
        <v>2003</v>
      </c>
      <c r="C478" t="s">
        <v>273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COUNT(LifeExpectancyData[[#This Row],[Life expectancy]:[Schooling]])=19</f>
        <v>0</v>
      </c>
    </row>
    <row r="479" spans="1:23" x14ac:dyDescent="0.25">
      <c r="A479" t="s">
        <v>303</v>
      </c>
      <c r="B479">
        <v>2002</v>
      </c>
      <c r="C479" t="s">
        <v>273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COUNT(LifeExpectancyData[[#This Row],[Life expectancy]:[Schooling]])=19</f>
        <v>0</v>
      </c>
    </row>
    <row r="480" spans="1:23" x14ac:dyDescent="0.25">
      <c r="A480" t="s">
        <v>303</v>
      </c>
      <c r="B480">
        <v>2001</v>
      </c>
      <c r="C480" t="s">
        <v>273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COUNT(LifeExpectancyData[[#This Row],[Life expectancy]:[Schooling]])=19</f>
        <v>0</v>
      </c>
    </row>
    <row r="481" spans="1:23" x14ac:dyDescent="0.25">
      <c r="A481" t="s">
        <v>303</v>
      </c>
      <c r="B481">
        <v>2000</v>
      </c>
      <c r="C481" t="s">
        <v>273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COUNT(LifeExpectancyData[[#This Row],[Life expectancy]:[Schooling]])=19</f>
        <v>0</v>
      </c>
    </row>
    <row r="482" spans="1:23" x14ac:dyDescent="0.25">
      <c r="A482" t="s">
        <v>304</v>
      </c>
      <c r="B482">
        <v>2015</v>
      </c>
      <c r="C482" t="s">
        <v>273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COUNT(LifeExpectancyData[[#This Row],[Life expectancy]:[Schooling]])=19</f>
        <v>0</v>
      </c>
    </row>
    <row r="483" spans="1:23" x14ac:dyDescent="0.25">
      <c r="A483" t="s">
        <v>304</v>
      </c>
      <c r="B483">
        <v>2014</v>
      </c>
      <c r="C483" t="s">
        <v>273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COUNT(LifeExpectancyData[[#This Row],[Life expectancy]:[Schooling]])=19</f>
        <v>1</v>
      </c>
    </row>
    <row r="484" spans="1:23" x14ac:dyDescent="0.25">
      <c r="A484" t="s">
        <v>304</v>
      </c>
      <c r="B484">
        <v>2013</v>
      </c>
      <c r="C484" t="s">
        <v>273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COUNT(LifeExpectancyData[[#This Row],[Life expectancy]:[Schooling]])=19</f>
        <v>1</v>
      </c>
    </row>
    <row r="485" spans="1:23" x14ac:dyDescent="0.25">
      <c r="A485" t="s">
        <v>304</v>
      </c>
      <c r="B485">
        <v>2012</v>
      </c>
      <c r="C485" t="s">
        <v>273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COUNT(LifeExpectancyData[[#This Row],[Life expectancy]:[Schooling]])=19</f>
        <v>1</v>
      </c>
    </row>
    <row r="486" spans="1:23" x14ac:dyDescent="0.25">
      <c r="A486" t="s">
        <v>304</v>
      </c>
      <c r="B486">
        <v>2011</v>
      </c>
      <c r="C486" t="s">
        <v>273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COUNT(LifeExpectancyData[[#This Row],[Life expectancy]:[Schooling]])=19</f>
        <v>1</v>
      </c>
    </row>
    <row r="487" spans="1:23" x14ac:dyDescent="0.25">
      <c r="A487" t="s">
        <v>304</v>
      </c>
      <c r="B487">
        <v>2010</v>
      </c>
      <c r="C487" t="s">
        <v>273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COUNT(LifeExpectancyData[[#This Row],[Life expectancy]:[Schooling]])=19</f>
        <v>1</v>
      </c>
    </row>
    <row r="488" spans="1:23" x14ac:dyDescent="0.25">
      <c r="A488" t="s">
        <v>304</v>
      </c>
      <c r="B488">
        <v>2009</v>
      </c>
      <c r="C488" t="s">
        <v>273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COUNT(LifeExpectancyData[[#This Row],[Life expectancy]:[Schooling]])=19</f>
        <v>1</v>
      </c>
    </row>
    <row r="489" spans="1:23" x14ac:dyDescent="0.25">
      <c r="A489" t="s">
        <v>304</v>
      </c>
      <c r="B489">
        <v>2008</v>
      </c>
      <c r="C489" t="s">
        <v>273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COUNT(LifeExpectancyData[[#This Row],[Life expectancy]:[Schooling]])=19</f>
        <v>1</v>
      </c>
    </row>
    <row r="490" spans="1:23" x14ac:dyDescent="0.25">
      <c r="A490" t="s">
        <v>304</v>
      </c>
      <c r="B490">
        <v>2007</v>
      </c>
      <c r="C490" t="s">
        <v>273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COUNT(LifeExpectancyData[[#This Row],[Life expectancy]:[Schooling]])=19</f>
        <v>1</v>
      </c>
    </row>
    <row r="491" spans="1:23" x14ac:dyDescent="0.25">
      <c r="A491" t="s">
        <v>304</v>
      </c>
      <c r="B491">
        <v>2006</v>
      </c>
      <c r="C491" t="s">
        <v>273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COUNT(LifeExpectancyData[[#This Row],[Life expectancy]:[Schooling]])=19</f>
        <v>1</v>
      </c>
    </row>
    <row r="492" spans="1:23" x14ac:dyDescent="0.25">
      <c r="A492" t="s">
        <v>304</v>
      </c>
      <c r="B492">
        <v>2005</v>
      </c>
      <c r="C492" t="s">
        <v>273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COUNT(LifeExpectancyData[[#This Row],[Life expectancy]:[Schooling]])=19</f>
        <v>1</v>
      </c>
    </row>
    <row r="493" spans="1:23" x14ac:dyDescent="0.25">
      <c r="A493" t="s">
        <v>304</v>
      </c>
      <c r="B493">
        <v>2004</v>
      </c>
      <c r="C493" t="s">
        <v>273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COUNT(LifeExpectancyData[[#This Row],[Life expectancy]:[Schooling]])=19</f>
        <v>0</v>
      </c>
    </row>
    <row r="494" spans="1:23" x14ac:dyDescent="0.25">
      <c r="A494" t="s">
        <v>304</v>
      </c>
      <c r="B494">
        <v>2003</v>
      </c>
      <c r="C494" t="s">
        <v>273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COUNT(LifeExpectancyData[[#This Row],[Life expectancy]:[Schooling]])=19</f>
        <v>0</v>
      </c>
    </row>
    <row r="495" spans="1:23" x14ac:dyDescent="0.25">
      <c r="A495" t="s">
        <v>304</v>
      </c>
      <c r="B495">
        <v>2002</v>
      </c>
      <c r="C495" t="s">
        <v>273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COUNT(LifeExpectancyData[[#This Row],[Life expectancy]:[Schooling]])=19</f>
        <v>0</v>
      </c>
    </row>
    <row r="496" spans="1:23" x14ac:dyDescent="0.25">
      <c r="A496" t="s">
        <v>304</v>
      </c>
      <c r="B496">
        <v>2001</v>
      </c>
      <c r="C496" t="s">
        <v>273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COUNT(LifeExpectancyData[[#This Row],[Life expectancy]:[Schooling]])=19</f>
        <v>0</v>
      </c>
    </row>
    <row r="497" spans="1:23" x14ac:dyDescent="0.25">
      <c r="A497" t="s">
        <v>304</v>
      </c>
      <c r="B497">
        <v>2000</v>
      </c>
      <c r="C497" t="s">
        <v>273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COUNT(LifeExpectancyData[[#This Row],[Life expectancy]:[Schooling]])=19</f>
        <v>0</v>
      </c>
    </row>
    <row r="498" spans="1:23" x14ac:dyDescent="0.25">
      <c r="A498" t="s">
        <v>305</v>
      </c>
      <c r="B498">
        <v>2015</v>
      </c>
      <c r="C498" t="s">
        <v>273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COUNT(LifeExpectancyData[[#This Row],[Life expectancy]:[Schooling]])=19</f>
        <v>0</v>
      </c>
    </row>
    <row r="499" spans="1:23" x14ac:dyDescent="0.25">
      <c r="A499" t="s">
        <v>305</v>
      </c>
      <c r="B499">
        <v>2014</v>
      </c>
      <c r="C499" t="s">
        <v>273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COUNT(LifeExpectancyData[[#This Row],[Life expectancy]:[Schooling]])=19</f>
        <v>1</v>
      </c>
    </row>
    <row r="500" spans="1:23" x14ac:dyDescent="0.25">
      <c r="A500" t="s">
        <v>305</v>
      </c>
      <c r="B500">
        <v>2013</v>
      </c>
      <c r="C500" t="s">
        <v>273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COUNT(LifeExpectancyData[[#This Row],[Life expectancy]:[Schooling]])=19</f>
        <v>1</v>
      </c>
    </row>
    <row r="501" spans="1:23" x14ac:dyDescent="0.25">
      <c r="A501" t="s">
        <v>305</v>
      </c>
      <c r="B501">
        <v>2012</v>
      </c>
      <c r="C501" t="s">
        <v>273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COUNT(LifeExpectancyData[[#This Row],[Life expectancy]:[Schooling]])=19</f>
        <v>1</v>
      </c>
    </row>
    <row r="502" spans="1:23" x14ac:dyDescent="0.25">
      <c r="A502" t="s">
        <v>305</v>
      </c>
      <c r="B502">
        <v>2011</v>
      </c>
      <c r="C502" t="s">
        <v>273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COUNT(LifeExpectancyData[[#This Row],[Life expectancy]:[Schooling]])=19</f>
        <v>1</v>
      </c>
    </row>
    <row r="503" spans="1:23" x14ac:dyDescent="0.25">
      <c r="A503" t="s">
        <v>305</v>
      </c>
      <c r="B503">
        <v>2010</v>
      </c>
      <c r="C503" t="s">
        <v>273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COUNT(LifeExpectancyData[[#This Row],[Life expectancy]:[Schooling]])=19</f>
        <v>1</v>
      </c>
    </row>
    <row r="504" spans="1:23" x14ac:dyDescent="0.25">
      <c r="A504" t="s">
        <v>305</v>
      </c>
      <c r="B504">
        <v>2009</v>
      </c>
      <c r="C504" t="s">
        <v>273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COUNT(LifeExpectancyData[[#This Row],[Life expectancy]:[Schooling]])=19</f>
        <v>1</v>
      </c>
    </row>
    <row r="505" spans="1:23" x14ac:dyDescent="0.25">
      <c r="A505" t="s">
        <v>305</v>
      </c>
      <c r="B505">
        <v>2008</v>
      </c>
      <c r="C505" t="s">
        <v>273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COUNT(LifeExpectancyData[[#This Row],[Life expectancy]:[Schooling]])=19</f>
        <v>1</v>
      </c>
    </row>
    <row r="506" spans="1:23" x14ac:dyDescent="0.25">
      <c r="A506" t="s">
        <v>305</v>
      </c>
      <c r="B506">
        <v>2007</v>
      </c>
      <c r="C506" t="s">
        <v>273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COUNT(LifeExpectancyData[[#This Row],[Life expectancy]:[Schooling]])=19</f>
        <v>1</v>
      </c>
    </row>
    <row r="507" spans="1:23" x14ac:dyDescent="0.25">
      <c r="A507" t="s">
        <v>305</v>
      </c>
      <c r="B507">
        <v>2006</v>
      </c>
      <c r="C507" t="s">
        <v>273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COUNT(LifeExpectancyData[[#This Row],[Life expectancy]:[Schooling]])=19</f>
        <v>1</v>
      </c>
    </row>
    <row r="508" spans="1:23" x14ac:dyDescent="0.25">
      <c r="A508" t="s">
        <v>305</v>
      </c>
      <c r="B508">
        <v>2005</v>
      </c>
      <c r="C508" t="s">
        <v>273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COUNT(LifeExpectancyData[[#This Row],[Life expectancy]:[Schooling]])=19</f>
        <v>1</v>
      </c>
    </row>
    <row r="509" spans="1:23" x14ac:dyDescent="0.25">
      <c r="A509" t="s">
        <v>305</v>
      </c>
      <c r="B509">
        <v>2004</v>
      </c>
      <c r="C509" t="s">
        <v>273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COUNT(LifeExpectancyData[[#This Row],[Life expectancy]:[Schooling]])=19</f>
        <v>1</v>
      </c>
    </row>
    <row r="510" spans="1:23" x14ac:dyDescent="0.25">
      <c r="A510" t="s">
        <v>305</v>
      </c>
      <c r="B510">
        <v>2003</v>
      </c>
      <c r="C510" t="s">
        <v>273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COUNT(LifeExpectancyData[[#This Row],[Life expectancy]:[Schooling]])=19</f>
        <v>1</v>
      </c>
    </row>
    <row r="511" spans="1:23" x14ac:dyDescent="0.25">
      <c r="A511" t="s">
        <v>305</v>
      </c>
      <c r="B511">
        <v>2002</v>
      </c>
      <c r="C511" t="s">
        <v>273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COUNT(LifeExpectancyData[[#This Row],[Life expectancy]:[Schooling]])=19</f>
        <v>0</v>
      </c>
    </row>
    <row r="512" spans="1:23" x14ac:dyDescent="0.25">
      <c r="A512" t="s">
        <v>305</v>
      </c>
      <c r="B512">
        <v>2001</v>
      </c>
      <c r="C512" t="s">
        <v>273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COUNT(LifeExpectancyData[[#This Row],[Life expectancy]:[Schooling]])=19</f>
        <v>0</v>
      </c>
    </row>
    <row r="513" spans="1:23" x14ac:dyDescent="0.25">
      <c r="A513" t="s">
        <v>305</v>
      </c>
      <c r="B513">
        <v>2000</v>
      </c>
      <c r="C513" t="s">
        <v>273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COUNT(LifeExpectancyData[[#This Row],[Life expectancy]:[Schooling]])=19</f>
        <v>0</v>
      </c>
    </row>
    <row r="514" spans="1:23" x14ac:dyDescent="0.25">
      <c r="A514" t="s">
        <v>306</v>
      </c>
      <c r="B514">
        <v>2015</v>
      </c>
      <c r="C514" t="s">
        <v>273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COUNT(LifeExpectancyData[[#This Row],[Life expectancy]:[Schooling]])=19</f>
        <v>0</v>
      </c>
    </row>
    <row r="515" spans="1:23" x14ac:dyDescent="0.25">
      <c r="A515" t="s">
        <v>306</v>
      </c>
      <c r="B515">
        <v>2014</v>
      </c>
      <c r="C515" t="s">
        <v>273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COUNT(LifeExpectancyData[[#This Row],[Life expectancy]:[Schooling]])=19</f>
        <v>1</v>
      </c>
    </row>
    <row r="516" spans="1:23" x14ac:dyDescent="0.25">
      <c r="A516" t="s">
        <v>306</v>
      </c>
      <c r="B516">
        <v>2013</v>
      </c>
      <c r="C516" t="s">
        <v>273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COUNT(LifeExpectancyData[[#This Row],[Life expectancy]:[Schooling]])=19</f>
        <v>1</v>
      </c>
    </row>
    <row r="517" spans="1:23" x14ac:dyDescent="0.25">
      <c r="A517" t="s">
        <v>306</v>
      </c>
      <c r="B517">
        <v>2012</v>
      </c>
      <c r="C517" t="s">
        <v>273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COUNT(LifeExpectancyData[[#This Row],[Life expectancy]:[Schooling]])=19</f>
        <v>1</v>
      </c>
    </row>
    <row r="518" spans="1:23" x14ac:dyDescent="0.25">
      <c r="A518" t="s">
        <v>306</v>
      </c>
      <c r="B518">
        <v>2011</v>
      </c>
      <c r="C518" t="s">
        <v>273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COUNT(LifeExpectancyData[[#This Row],[Life expectancy]:[Schooling]])=19</f>
        <v>1</v>
      </c>
    </row>
    <row r="519" spans="1:23" x14ac:dyDescent="0.25">
      <c r="A519" t="s">
        <v>306</v>
      </c>
      <c r="B519">
        <v>2010</v>
      </c>
      <c r="C519" t="s">
        <v>273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COUNT(LifeExpectancyData[[#This Row],[Life expectancy]:[Schooling]])=19</f>
        <v>1</v>
      </c>
    </row>
    <row r="520" spans="1:23" x14ac:dyDescent="0.25">
      <c r="A520" t="s">
        <v>306</v>
      </c>
      <c r="B520">
        <v>2009</v>
      </c>
      <c r="C520" t="s">
        <v>273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COUNT(LifeExpectancyData[[#This Row],[Life expectancy]:[Schooling]])=19</f>
        <v>1</v>
      </c>
    </row>
    <row r="521" spans="1:23" x14ac:dyDescent="0.25">
      <c r="A521" t="s">
        <v>306</v>
      </c>
      <c r="B521">
        <v>2008</v>
      </c>
      <c r="C521" t="s">
        <v>273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COUNT(LifeExpectancyData[[#This Row],[Life expectancy]:[Schooling]])=19</f>
        <v>0</v>
      </c>
    </row>
    <row r="522" spans="1:23" x14ac:dyDescent="0.25">
      <c r="A522" t="s">
        <v>306</v>
      </c>
      <c r="B522">
        <v>2007</v>
      </c>
      <c r="C522" t="s">
        <v>273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COUNT(LifeExpectancyData[[#This Row],[Life expectancy]:[Schooling]])=19</f>
        <v>0</v>
      </c>
    </row>
    <row r="523" spans="1:23" x14ac:dyDescent="0.25">
      <c r="A523" t="s">
        <v>306</v>
      </c>
      <c r="B523">
        <v>2006</v>
      </c>
      <c r="C523" t="s">
        <v>273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COUNT(LifeExpectancyData[[#This Row],[Life expectancy]:[Schooling]])=19</f>
        <v>0</v>
      </c>
    </row>
    <row r="524" spans="1:23" x14ac:dyDescent="0.25">
      <c r="A524" t="s">
        <v>306</v>
      </c>
      <c r="B524">
        <v>2005</v>
      </c>
      <c r="C524" t="s">
        <v>273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COUNT(LifeExpectancyData[[#This Row],[Life expectancy]:[Schooling]])=19</f>
        <v>0</v>
      </c>
    </row>
    <row r="525" spans="1:23" x14ac:dyDescent="0.25">
      <c r="A525" t="s">
        <v>306</v>
      </c>
      <c r="B525">
        <v>2004</v>
      </c>
      <c r="C525" t="s">
        <v>273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COUNT(LifeExpectancyData[[#This Row],[Life expectancy]:[Schooling]])=19</f>
        <v>0</v>
      </c>
    </row>
    <row r="526" spans="1:23" x14ac:dyDescent="0.25">
      <c r="A526" t="s">
        <v>306</v>
      </c>
      <c r="B526">
        <v>2003</v>
      </c>
      <c r="C526" t="s">
        <v>273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COUNT(LifeExpectancyData[[#This Row],[Life expectancy]:[Schooling]])=19</f>
        <v>0</v>
      </c>
    </row>
    <row r="527" spans="1:23" x14ac:dyDescent="0.25">
      <c r="A527" t="s">
        <v>306</v>
      </c>
      <c r="B527">
        <v>2002</v>
      </c>
      <c r="C527" t="s">
        <v>273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COUNT(LifeExpectancyData[[#This Row],[Life expectancy]:[Schooling]])=19</f>
        <v>0</v>
      </c>
    </row>
    <row r="528" spans="1:23" x14ac:dyDescent="0.25">
      <c r="A528" t="s">
        <v>306</v>
      </c>
      <c r="B528">
        <v>2001</v>
      </c>
      <c r="C528" t="s">
        <v>273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COUNT(LifeExpectancyData[[#This Row],[Life expectancy]:[Schooling]])=19</f>
        <v>0</v>
      </c>
    </row>
    <row r="529" spans="1:23" x14ac:dyDescent="0.25">
      <c r="A529" t="s">
        <v>306</v>
      </c>
      <c r="B529">
        <v>2000</v>
      </c>
      <c r="C529" t="s">
        <v>273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COUNT(LifeExpectancyData[[#This Row],[Life expectancy]:[Schooling]])=19</f>
        <v>0</v>
      </c>
    </row>
    <row r="530" spans="1:23" x14ac:dyDescent="0.25">
      <c r="A530" t="s">
        <v>307</v>
      </c>
      <c r="B530">
        <v>2015</v>
      </c>
      <c r="C530" t="s">
        <v>273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COUNT(LifeExpectancyData[[#This Row],[Life expectancy]:[Schooling]])=19</f>
        <v>0</v>
      </c>
    </row>
    <row r="531" spans="1:23" x14ac:dyDescent="0.25">
      <c r="A531" t="s">
        <v>307</v>
      </c>
      <c r="B531">
        <v>2014</v>
      </c>
      <c r="C531" t="s">
        <v>273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COUNT(LifeExpectancyData[[#This Row],[Life expectancy]:[Schooling]])=19</f>
        <v>1</v>
      </c>
    </row>
    <row r="532" spans="1:23" x14ac:dyDescent="0.25">
      <c r="A532" t="s">
        <v>307</v>
      </c>
      <c r="B532">
        <v>2013</v>
      </c>
      <c r="C532" t="s">
        <v>273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COUNT(LifeExpectancyData[[#This Row],[Life expectancy]:[Schooling]])=19</f>
        <v>1</v>
      </c>
    </row>
    <row r="533" spans="1:23" x14ac:dyDescent="0.25">
      <c r="A533" t="s">
        <v>307</v>
      </c>
      <c r="B533">
        <v>2012</v>
      </c>
      <c r="C533" t="s">
        <v>273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COUNT(LifeExpectancyData[[#This Row],[Life expectancy]:[Schooling]])=19</f>
        <v>1</v>
      </c>
    </row>
    <row r="534" spans="1:23" x14ac:dyDescent="0.25">
      <c r="A534" t="s">
        <v>307</v>
      </c>
      <c r="B534">
        <v>2011</v>
      </c>
      <c r="C534" t="s">
        <v>273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COUNT(LifeExpectancyData[[#This Row],[Life expectancy]:[Schooling]])=19</f>
        <v>1</v>
      </c>
    </row>
    <row r="535" spans="1:23" x14ac:dyDescent="0.25">
      <c r="A535" t="s">
        <v>307</v>
      </c>
      <c r="B535">
        <v>2010</v>
      </c>
      <c r="C535" t="s">
        <v>273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COUNT(LifeExpectancyData[[#This Row],[Life expectancy]:[Schooling]])=19</f>
        <v>1</v>
      </c>
    </row>
    <row r="536" spans="1:23" x14ac:dyDescent="0.25">
      <c r="A536" t="s">
        <v>307</v>
      </c>
      <c r="B536">
        <v>2009</v>
      </c>
      <c r="C536" t="s">
        <v>273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COUNT(LifeExpectancyData[[#This Row],[Life expectancy]:[Schooling]])=19</f>
        <v>1</v>
      </c>
    </row>
    <row r="537" spans="1:23" x14ac:dyDescent="0.25">
      <c r="A537" t="s">
        <v>307</v>
      </c>
      <c r="B537">
        <v>2008</v>
      </c>
      <c r="C537" t="s">
        <v>273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COUNT(LifeExpectancyData[[#This Row],[Life expectancy]:[Schooling]])=19</f>
        <v>1</v>
      </c>
    </row>
    <row r="538" spans="1:23" x14ac:dyDescent="0.25">
      <c r="A538" t="s">
        <v>307</v>
      </c>
      <c r="B538">
        <v>2007</v>
      </c>
      <c r="C538" t="s">
        <v>273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COUNT(LifeExpectancyData[[#This Row],[Life expectancy]:[Schooling]])=19</f>
        <v>0</v>
      </c>
    </row>
    <row r="539" spans="1:23" x14ac:dyDescent="0.25">
      <c r="A539" t="s">
        <v>307</v>
      </c>
      <c r="B539">
        <v>2006</v>
      </c>
      <c r="C539" t="s">
        <v>273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COUNT(LifeExpectancyData[[#This Row],[Life expectancy]:[Schooling]])=19</f>
        <v>0</v>
      </c>
    </row>
    <row r="540" spans="1:23" x14ac:dyDescent="0.25">
      <c r="A540" t="s">
        <v>307</v>
      </c>
      <c r="B540">
        <v>2005</v>
      </c>
      <c r="C540" t="s">
        <v>273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COUNT(LifeExpectancyData[[#This Row],[Life expectancy]:[Schooling]])=19</f>
        <v>0</v>
      </c>
    </row>
    <row r="541" spans="1:23" x14ac:dyDescent="0.25">
      <c r="A541" t="s">
        <v>307</v>
      </c>
      <c r="B541">
        <v>2004</v>
      </c>
      <c r="C541" t="s">
        <v>273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COUNT(LifeExpectancyData[[#This Row],[Life expectancy]:[Schooling]])=19</f>
        <v>0</v>
      </c>
    </row>
    <row r="542" spans="1:23" x14ac:dyDescent="0.25">
      <c r="A542" t="s">
        <v>307</v>
      </c>
      <c r="B542">
        <v>2003</v>
      </c>
      <c r="C542" t="s">
        <v>273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COUNT(LifeExpectancyData[[#This Row],[Life expectancy]:[Schooling]])=19</f>
        <v>0</v>
      </c>
    </row>
    <row r="543" spans="1:23" x14ac:dyDescent="0.25">
      <c r="A543" t="s">
        <v>307</v>
      </c>
      <c r="B543">
        <v>2002</v>
      </c>
      <c r="C543" t="s">
        <v>273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COUNT(LifeExpectancyData[[#This Row],[Life expectancy]:[Schooling]])=19</f>
        <v>0</v>
      </c>
    </row>
    <row r="544" spans="1:23" x14ac:dyDescent="0.25">
      <c r="A544" t="s">
        <v>307</v>
      </c>
      <c r="B544">
        <v>2001</v>
      </c>
      <c r="C544" t="s">
        <v>273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COUNT(LifeExpectancyData[[#This Row],[Life expectancy]:[Schooling]])=19</f>
        <v>0</v>
      </c>
    </row>
    <row r="545" spans="1:23" x14ac:dyDescent="0.25">
      <c r="A545" t="s">
        <v>307</v>
      </c>
      <c r="B545">
        <v>2000</v>
      </c>
      <c r="C545" t="s">
        <v>273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COUNT(LifeExpectancyData[[#This Row],[Life expectancy]:[Schooling]])=19</f>
        <v>0</v>
      </c>
    </row>
    <row r="546" spans="1:23" x14ac:dyDescent="0.25">
      <c r="A546" t="s">
        <v>308</v>
      </c>
      <c r="B546">
        <v>2015</v>
      </c>
      <c r="C546" t="s">
        <v>273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COUNT(LifeExpectancyData[[#This Row],[Life expectancy]:[Schooling]])=19</f>
        <v>0</v>
      </c>
    </row>
    <row r="547" spans="1:23" x14ac:dyDescent="0.25">
      <c r="A547" t="s">
        <v>308</v>
      </c>
      <c r="B547">
        <v>2014</v>
      </c>
      <c r="C547" t="s">
        <v>273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COUNT(LifeExpectancyData[[#This Row],[Life expectancy]:[Schooling]])=19</f>
        <v>1</v>
      </c>
    </row>
    <row r="548" spans="1:23" x14ac:dyDescent="0.25">
      <c r="A548" t="s">
        <v>308</v>
      </c>
      <c r="B548">
        <v>2013</v>
      </c>
      <c r="C548" t="s">
        <v>273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COUNT(LifeExpectancyData[[#This Row],[Life expectancy]:[Schooling]])=19</f>
        <v>1</v>
      </c>
    </row>
    <row r="549" spans="1:23" x14ac:dyDescent="0.25">
      <c r="A549" t="s">
        <v>308</v>
      </c>
      <c r="B549">
        <v>2012</v>
      </c>
      <c r="C549" t="s">
        <v>273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COUNT(LifeExpectancyData[[#This Row],[Life expectancy]:[Schooling]])=19</f>
        <v>1</v>
      </c>
    </row>
    <row r="550" spans="1:23" x14ac:dyDescent="0.25">
      <c r="A550" t="s">
        <v>308</v>
      </c>
      <c r="B550">
        <v>2011</v>
      </c>
      <c r="C550" t="s">
        <v>273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COUNT(LifeExpectancyData[[#This Row],[Life expectancy]:[Schooling]])=19</f>
        <v>1</v>
      </c>
    </row>
    <row r="551" spans="1:23" x14ac:dyDescent="0.25">
      <c r="A551" t="s">
        <v>308</v>
      </c>
      <c r="B551">
        <v>2010</v>
      </c>
      <c r="C551" t="s">
        <v>273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COUNT(LifeExpectancyData[[#This Row],[Life expectancy]:[Schooling]])=19</f>
        <v>1</v>
      </c>
    </row>
    <row r="552" spans="1:23" x14ac:dyDescent="0.25">
      <c r="A552" t="s">
        <v>308</v>
      </c>
      <c r="B552">
        <v>2009</v>
      </c>
      <c r="C552" t="s">
        <v>273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COUNT(LifeExpectancyData[[#This Row],[Life expectancy]:[Schooling]])=19</f>
        <v>1</v>
      </c>
    </row>
    <row r="553" spans="1:23" x14ac:dyDescent="0.25">
      <c r="A553" t="s">
        <v>308</v>
      </c>
      <c r="B553">
        <v>2008</v>
      </c>
      <c r="C553" t="s">
        <v>273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COUNT(LifeExpectancyData[[#This Row],[Life expectancy]:[Schooling]])=19</f>
        <v>1</v>
      </c>
    </row>
    <row r="554" spans="1:23" x14ac:dyDescent="0.25">
      <c r="A554" t="s">
        <v>308</v>
      </c>
      <c r="B554">
        <v>2007</v>
      </c>
      <c r="C554" t="s">
        <v>273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COUNT(LifeExpectancyData[[#This Row],[Life expectancy]:[Schooling]])=19</f>
        <v>1</v>
      </c>
    </row>
    <row r="555" spans="1:23" x14ac:dyDescent="0.25">
      <c r="A555" t="s">
        <v>308</v>
      </c>
      <c r="B555">
        <v>2006</v>
      </c>
      <c r="C555" t="s">
        <v>273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COUNT(LifeExpectancyData[[#This Row],[Life expectancy]:[Schooling]])=19</f>
        <v>1</v>
      </c>
    </row>
    <row r="556" spans="1:23" x14ac:dyDescent="0.25">
      <c r="A556" t="s">
        <v>308</v>
      </c>
      <c r="B556">
        <v>2005</v>
      </c>
      <c r="C556" t="s">
        <v>273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COUNT(LifeExpectancyData[[#This Row],[Life expectancy]:[Schooling]])=19</f>
        <v>0</v>
      </c>
    </row>
    <row r="557" spans="1:23" x14ac:dyDescent="0.25">
      <c r="A557" t="s">
        <v>308</v>
      </c>
      <c r="B557">
        <v>2004</v>
      </c>
      <c r="C557" t="s">
        <v>273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COUNT(LifeExpectancyData[[#This Row],[Life expectancy]:[Schooling]])=19</f>
        <v>0</v>
      </c>
    </row>
    <row r="558" spans="1:23" x14ac:dyDescent="0.25">
      <c r="A558" t="s">
        <v>308</v>
      </c>
      <c r="B558">
        <v>2003</v>
      </c>
      <c r="C558" t="s">
        <v>273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COUNT(LifeExpectancyData[[#This Row],[Life expectancy]:[Schooling]])=19</f>
        <v>0</v>
      </c>
    </row>
    <row r="559" spans="1:23" x14ac:dyDescent="0.25">
      <c r="A559" t="s">
        <v>308</v>
      </c>
      <c r="B559">
        <v>2002</v>
      </c>
      <c r="C559" t="s">
        <v>273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COUNT(LifeExpectancyData[[#This Row],[Life expectancy]:[Schooling]])=19</f>
        <v>0</v>
      </c>
    </row>
    <row r="560" spans="1:23" x14ac:dyDescent="0.25">
      <c r="A560" t="s">
        <v>308</v>
      </c>
      <c r="B560">
        <v>2001</v>
      </c>
      <c r="C560" t="s">
        <v>273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COUNT(LifeExpectancyData[[#This Row],[Life expectancy]:[Schooling]])=19</f>
        <v>0</v>
      </c>
    </row>
    <row r="561" spans="1:23" x14ac:dyDescent="0.25">
      <c r="A561" t="s">
        <v>308</v>
      </c>
      <c r="B561">
        <v>2000</v>
      </c>
      <c r="C561" t="s">
        <v>273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COUNT(LifeExpectancyData[[#This Row],[Life expectancy]:[Schooling]])=19</f>
        <v>0</v>
      </c>
    </row>
    <row r="562" spans="1:23" x14ac:dyDescent="0.25">
      <c r="A562" t="s">
        <v>309</v>
      </c>
      <c r="B562">
        <v>2015</v>
      </c>
      <c r="C562" t="s">
        <v>273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COUNT(LifeExpectancyData[[#This Row],[Life expectancy]:[Schooling]])=19</f>
        <v>0</v>
      </c>
    </row>
    <row r="563" spans="1:23" x14ac:dyDescent="0.25">
      <c r="A563" t="s">
        <v>309</v>
      </c>
      <c r="B563">
        <v>2014</v>
      </c>
      <c r="C563" t="s">
        <v>273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COUNT(LifeExpectancyData[[#This Row],[Life expectancy]:[Schooling]])=19</f>
        <v>1</v>
      </c>
    </row>
    <row r="564" spans="1:23" x14ac:dyDescent="0.25">
      <c r="A564" t="s">
        <v>309</v>
      </c>
      <c r="B564">
        <v>2013</v>
      </c>
      <c r="C564" t="s">
        <v>273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COUNT(LifeExpectancyData[[#This Row],[Life expectancy]:[Schooling]])=19</f>
        <v>1</v>
      </c>
    </row>
    <row r="565" spans="1:23" x14ac:dyDescent="0.25">
      <c r="A565" t="s">
        <v>309</v>
      </c>
      <c r="B565">
        <v>2012</v>
      </c>
      <c r="C565" t="s">
        <v>273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COUNT(LifeExpectancyData[[#This Row],[Life expectancy]:[Schooling]])=19</f>
        <v>1</v>
      </c>
    </row>
    <row r="566" spans="1:23" x14ac:dyDescent="0.25">
      <c r="A566" t="s">
        <v>309</v>
      </c>
      <c r="B566">
        <v>2011</v>
      </c>
      <c r="C566" t="s">
        <v>273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COUNT(LifeExpectancyData[[#This Row],[Life expectancy]:[Schooling]])=19</f>
        <v>1</v>
      </c>
    </row>
    <row r="567" spans="1:23" x14ac:dyDescent="0.25">
      <c r="A567" t="s">
        <v>309</v>
      </c>
      <c r="B567">
        <v>2010</v>
      </c>
      <c r="C567" t="s">
        <v>273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COUNT(LifeExpectancyData[[#This Row],[Life expectancy]:[Schooling]])=19</f>
        <v>1</v>
      </c>
    </row>
    <row r="568" spans="1:23" x14ac:dyDescent="0.25">
      <c r="A568" t="s">
        <v>309</v>
      </c>
      <c r="B568">
        <v>2009</v>
      </c>
      <c r="C568" t="s">
        <v>273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COUNT(LifeExpectancyData[[#This Row],[Life expectancy]:[Schooling]])=19</f>
        <v>1</v>
      </c>
    </row>
    <row r="569" spans="1:23" x14ac:dyDescent="0.25">
      <c r="A569" t="s">
        <v>309</v>
      </c>
      <c r="B569">
        <v>2008</v>
      </c>
      <c r="C569" t="s">
        <v>273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COUNT(LifeExpectancyData[[#This Row],[Life expectancy]:[Schooling]])=19</f>
        <v>1</v>
      </c>
    </row>
    <row r="570" spans="1:23" x14ac:dyDescent="0.25">
      <c r="A570" t="s">
        <v>309</v>
      </c>
      <c r="B570">
        <v>2007</v>
      </c>
      <c r="C570" t="s">
        <v>273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COUNT(LifeExpectancyData[[#This Row],[Life expectancy]:[Schooling]])=19</f>
        <v>1</v>
      </c>
    </row>
    <row r="571" spans="1:23" x14ac:dyDescent="0.25">
      <c r="A571" t="s">
        <v>309</v>
      </c>
      <c r="B571">
        <v>2006</v>
      </c>
      <c r="C571" t="s">
        <v>273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COUNT(LifeExpectancyData[[#This Row],[Life expectancy]:[Schooling]])=19</f>
        <v>1</v>
      </c>
    </row>
    <row r="572" spans="1:23" x14ac:dyDescent="0.25">
      <c r="A572" t="s">
        <v>309</v>
      </c>
      <c r="B572">
        <v>2005</v>
      </c>
      <c r="C572" t="s">
        <v>273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COUNT(LifeExpectancyData[[#This Row],[Life expectancy]:[Schooling]])=19</f>
        <v>1</v>
      </c>
    </row>
    <row r="573" spans="1:23" x14ac:dyDescent="0.25">
      <c r="A573" t="s">
        <v>309</v>
      </c>
      <c r="B573">
        <v>2004</v>
      </c>
      <c r="C573" t="s">
        <v>273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COUNT(LifeExpectancyData[[#This Row],[Life expectancy]:[Schooling]])=19</f>
        <v>1</v>
      </c>
    </row>
    <row r="574" spans="1:23" x14ac:dyDescent="0.25">
      <c r="A574" t="s">
        <v>309</v>
      </c>
      <c r="B574">
        <v>2003</v>
      </c>
      <c r="C574" t="s">
        <v>273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COUNT(LifeExpectancyData[[#This Row],[Life expectancy]:[Schooling]])=19</f>
        <v>1</v>
      </c>
    </row>
    <row r="575" spans="1:23" x14ac:dyDescent="0.25">
      <c r="A575" t="s">
        <v>309</v>
      </c>
      <c r="B575">
        <v>2002</v>
      </c>
      <c r="C575" t="s">
        <v>273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COUNT(LifeExpectancyData[[#This Row],[Life expectancy]:[Schooling]])=19</f>
        <v>1</v>
      </c>
    </row>
    <row r="576" spans="1:23" x14ac:dyDescent="0.25">
      <c r="A576" t="s">
        <v>309</v>
      </c>
      <c r="B576">
        <v>2001</v>
      </c>
      <c r="C576" t="s">
        <v>273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COUNT(LifeExpectancyData[[#This Row],[Life expectancy]:[Schooling]])=19</f>
        <v>1</v>
      </c>
    </row>
    <row r="577" spans="1:23" x14ac:dyDescent="0.25">
      <c r="A577" t="s">
        <v>309</v>
      </c>
      <c r="B577">
        <v>2000</v>
      </c>
      <c r="C577" t="s">
        <v>273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COUNT(LifeExpectancyData[[#This Row],[Life expectancy]:[Schooling]])=19</f>
        <v>1</v>
      </c>
    </row>
    <row r="578" spans="1:23" x14ac:dyDescent="0.25">
      <c r="A578" t="s">
        <v>310</v>
      </c>
      <c r="B578">
        <v>2015</v>
      </c>
      <c r="C578" t="s">
        <v>273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COUNT(LifeExpectancyData[[#This Row],[Life expectancy]:[Schooling]])=19</f>
        <v>0</v>
      </c>
    </row>
    <row r="579" spans="1:23" x14ac:dyDescent="0.25">
      <c r="A579" t="s">
        <v>310</v>
      </c>
      <c r="B579">
        <v>2014</v>
      </c>
      <c r="C579" t="s">
        <v>273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COUNT(LifeExpectancyData[[#This Row],[Life expectancy]:[Schooling]])=19</f>
        <v>1</v>
      </c>
    </row>
    <row r="580" spans="1:23" x14ac:dyDescent="0.25">
      <c r="A580" t="s">
        <v>310</v>
      </c>
      <c r="B580">
        <v>2013</v>
      </c>
      <c r="C580" t="s">
        <v>273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COUNT(LifeExpectancyData[[#This Row],[Life expectancy]:[Schooling]])=19</f>
        <v>1</v>
      </c>
    </row>
    <row r="581" spans="1:23" x14ac:dyDescent="0.25">
      <c r="A581" t="s">
        <v>310</v>
      </c>
      <c r="B581">
        <v>2012</v>
      </c>
      <c r="C581" t="s">
        <v>273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COUNT(LifeExpectancyData[[#This Row],[Life expectancy]:[Schooling]])=19</f>
        <v>1</v>
      </c>
    </row>
    <row r="582" spans="1:23" x14ac:dyDescent="0.25">
      <c r="A582" t="s">
        <v>310</v>
      </c>
      <c r="B582">
        <v>2011</v>
      </c>
      <c r="C582" t="s">
        <v>273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COUNT(LifeExpectancyData[[#This Row],[Life expectancy]:[Schooling]])=19</f>
        <v>1</v>
      </c>
    </row>
    <row r="583" spans="1:23" x14ac:dyDescent="0.25">
      <c r="A583" t="s">
        <v>310</v>
      </c>
      <c r="B583">
        <v>2010</v>
      </c>
      <c r="C583" t="s">
        <v>273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COUNT(LifeExpectancyData[[#This Row],[Life expectancy]:[Schooling]])=19</f>
        <v>1</v>
      </c>
    </row>
    <row r="584" spans="1:23" x14ac:dyDescent="0.25">
      <c r="A584" t="s">
        <v>310</v>
      </c>
      <c r="B584">
        <v>2009</v>
      </c>
      <c r="C584" t="s">
        <v>273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COUNT(LifeExpectancyData[[#This Row],[Life expectancy]:[Schooling]])=19</f>
        <v>1</v>
      </c>
    </row>
    <row r="585" spans="1:23" x14ac:dyDescent="0.25">
      <c r="A585" t="s">
        <v>310</v>
      </c>
      <c r="B585">
        <v>2008</v>
      </c>
      <c r="C585" t="s">
        <v>273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COUNT(LifeExpectancyData[[#This Row],[Life expectancy]:[Schooling]])=19</f>
        <v>1</v>
      </c>
    </row>
    <row r="586" spans="1:23" x14ac:dyDescent="0.25">
      <c r="A586" t="s">
        <v>310</v>
      </c>
      <c r="B586">
        <v>2007</v>
      </c>
      <c r="C586" t="s">
        <v>273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COUNT(LifeExpectancyData[[#This Row],[Life expectancy]:[Schooling]])=19</f>
        <v>1</v>
      </c>
    </row>
    <row r="587" spans="1:23" x14ac:dyDescent="0.25">
      <c r="A587" t="s">
        <v>310</v>
      </c>
      <c r="B587">
        <v>2006</v>
      </c>
      <c r="C587" t="s">
        <v>273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COUNT(LifeExpectancyData[[#This Row],[Life expectancy]:[Schooling]])=19</f>
        <v>1</v>
      </c>
    </row>
    <row r="588" spans="1:23" x14ac:dyDescent="0.25">
      <c r="A588" t="s">
        <v>310</v>
      </c>
      <c r="B588">
        <v>2005</v>
      </c>
      <c r="C588" t="s">
        <v>273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COUNT(LifeExpectancyData[[#This Row],[Life expectancy]:[Schooling]])=19</f>
        <v>1</v>
      </c>
    </row>
    <row r="589" spans="1:23" x14ac:dyDescent="0.25">
      <c r="A589" t="s">
        <v>310</v>
      </c>
      <c r="B589">
        <v>2004</v>
      </c>
      <c r="C589" t="s">
        <v>273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COUNT(LifeExpectancyData[[#This Row],[Life expectancy]:[Schooling]])=19</f>
        <v>1</v>
      </c>
    </row>
    <row r="590" spans="1:23" x14ac:dyDescent="0.25">
      <c r="A590" t="s">
        <v>310</v>
      </c>
      <c r="B590">
        <v>2003</v>
      </c>
      <c r="C590" t="s">
        <v>273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COUNT(LifeExpectancyData[[#This Row],[Life expectancy]:[Schooling]])=19</f>
        <v>1</v>
      </c>
    </row>
    <row r="591" spans="1:23" x14ac:dyDescent="0.25">
      <c r="A591" t="s">
        <v>310</v>
      </c>
      <c r="B591">
        <v>2002</v>
      </c>
      <c r="C591" t="s">
        <v>273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COUNT(LifeExpectancyData[[#This Row],[Life expectancy]:[Schooling]])=19</f>
        <v>1</v>
      </c>
    </row>
    <row r="592" spans="1:23" x14ac:dyDescent="0.25">
      <c r="A592" t="s">
        <v>310</v>
      </c>
      <c r="B592">
        <v>2001</v>
      </c>
      <c r="C592" t="s">
        <v>273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COUNT(LifeExpectancyData[[#This Row],[Life expectancy]:[Schooling]])=19</f>
        <v>1</v>
      </c>
    </row>
    <row r="593" spans="1:23" x14ac:dyDescent="0.25">
      <c r="A593" t="s">
        <v>310</v>
      </c>
      <c r="B593">
        <v>2000</v>
      </c>
      <c r="C593" t="s">
        <v>273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COUNT(LifeExpectancyData[[#This Row],[Life expectancy]:[Schooling]])=19</f>
        <v>1</v>
      </c>
    </row>
    <row r="594" spans="1:23" x14ac:dyDescent="0.25">
      <c r="A594" t="s">
        <v>311</v>
      </c>
      <c r="B594">
        <v>2015</v>
      </c>
      <c r="C594" t="s">
        <v>273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COUNT(LifeExpectancyData[[#This Row],[Life expectancy]:[Schooling]])=19</f>
        <v>0</v>
      </c>
    </row>
    <row r="595" spans="1:23" x14ac:dyDescent="0.25">
      <c r="A595" t="s">
        <v>311</v>
      </c>
      <c r="B595">
        <v>2014</v>
      </c>
      <c r="C595" t="s">
        <v>273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COUNT(LifeExpectancyData[[#This Row],[Life expectancy]:[Schooling]])=19</f>
        <v>1</v>
      </c>
    </row>
    <row r="596" spans="1:23" x14ac:dyDescent="0.25">
      <c r="A596" t="s">
        <v>311</v>
      </c>
      <c r="B596">
        <v>2013</v>
      </c>
      <c r="C596" t="s">
        <v>273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COUNT(LifeExpectancyData[[#This Row],[Life expectancy]:[Schooling]])=19</f>
        <v>1</v>
      </c>
    </row>
    <row r="597" spans="1:23" x14ac:dyDescent="0.25">
      <c r="A597" t="s">
        <v>311</v>
      </c>
      <c r="B597">
        <v>2012</v>
      </c>
      <c r="C597" t="s">
        <v>273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COUNT(LifeExpectancyData[[#This Row],[Life expectancy]:[Schooling]])=19</f>
        <v>1</v>
      </c>
    </row>
    <row r="598" spans="1:23" x14ac:dyDescent="0.25">
      <c r="A598" t="s">
        <v>311</v>
      </c>
      <c r="B598">
        <v>2011</v>
      </c>
      <c r="C598" t="s">
        <v>273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COUNT(LifeExpectancyData[[#This Row],[Life expectancy]:[Schooling]])=19</f>
        <v>1</v>
      </c>
    </row>
    <row r="599" spans="1:23" x14ac:dyDescent="0.25">
      <c r="A599" t="s">
        <v>311</v>
      </c>
      <c r="B599">
        <v>2010</v>
      </c>
      <c r="C599" t="s">
        <v>273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COUNT(LifeExpectancyData[[#This Row],[Life expectancy]:[Schooling]])=19</f>
        <v>1</v>
      </c>
    </row>
    <row r="600" spans="1:23" x14ac:dyDescent="0.25">
      <c r="A600" t="s">
        <v>311</v>
      </c>
      <c r="B600">
        <v>2009</v>
      </c>
      <c r="C600" t="s">
        <v>273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COUNT(LifeExpectancyData[[#This Row],[Life expectancy]:[Schooling]])=19</f>
        <v>1</v>
      </c>
    </row>
    <row r="601" spans="1:23" x14ac:dyDescent="0.25">
      <c r="A601" t="s">
        <v>311</v>
      </c>
      <c r="B601">
        <v>2008</v>
      </c>
      <c r="C601" t="s">
        <v>273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COUNT(LifeExpectancyData[[#This Row],[Life expectancy]:[Schooling]])=19</f>
        <v>1</v>
      </c>
    </row>
    <row r="602" spans="1:23" x14ac:dyDescent="0.25">
      <c r="A602" t="s">
        <v>311</v>
      </c>
      <c r="B602">
        <v>2007</v>
      </c>
      <c r="C602" t="s">
        <v>273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COUNT(LifeExpectancyData[[#This Row],[Life expectancy]:[Schooling]])=19</f>
        <v>1</v>
      </c>
    </row>
    <row r="603" spans="1:23" x14ac:dyDescent="0.25">
      <c r="A603" t="s">
        <v>311</v>
      </c>
      <c r="B603">
        <v>2006</v>
      </c>
      <c r="C603" t="s">
        <v>273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COUNT(LifeExpectancyData[[#This Row],[Life expectancy]:[Schooling]])=19</f>
        <v>1</v>
      </c>
    </row>
    <row r="604" spans="1:23" x14ac:dyDescent="0.25">
      <c r="A604" t="s">
        <v>311</v>
      </c>
      <c r="B604">
        <v>2005</v>
      </c>
      <c r="C604" t="s">
        <v>273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COUNT(LifeExpectancyData[[#This Row],[Life expectancy]:[Schooling]])=19</f>
        <v>1</v>
      </c>
    </row>
    <row r="605" spans="1:23" x14ac:dyDescent="0.25">
      <c r="A605" t="s">
        <v>311</v>
      </c>
      <c r="B605">
        <v>2004</v>
      </c>
      <c r="C605" t="s">
        <v>273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COUNT(LifeExpectancyData[[#This Row],[Life expectancy]:[Schooling]])=19</f>
        <v>1</v>
      </c>
    </row>
    <row r="606" spans="1:23" x14ac:dyDescent="0.25">
      <c r="A606" t="s">
        <v>311</v>
      </c>
      <c r="B606">
        <v>2003</v>
      </c>
      <c r="C606" t="s">
        <v>273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COUNT(LifeExpectancyData[[#This Row],[Life expectancy]:[Schooling]])=19</f>
        <v>1</v>
      </c>
    </row>
    <row r="607" spans="1:23" x14ac:dyDescent="0.25">
      <c r="A607" t="s">
        <v>311</v>
      </c>
      <c r="B607">
        <v>2002</v>
      </c>
      <c r="C607" t="s">
        <v>273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COUNT(LifeExpectancyData[[#This Row],[Life expectancy]:[Schooling]])=19</f>
        <v>0</v>
      </c>
    </row>
    <row r="608" spans="1:23" x14ac:dyDescent="0.25">
      <c r="A608" t="s">
        <v>311</v>
      </c>
      <c r="B608">
        <v>2001</v>
      </c>
      <c r="C608" t="s">
        <v>273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COUNT(LifeExpectancyData[[#This Row],[Life expectancy]:[Schooling]])=19</f>
        <v>0</v>
      </c>
    </row>
    <row r="609" spans="1:23" x14ac:dyDescent="0.25">
      <c r="A609" t="s">
        <v>311</v>
      </c>
      <c r="B609">
        <v>2000</v>
      </c>
      <c r="C609" t="s">
        <v>273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COUNT(LifeExpectancyData[[#This Row],[Life expectancy]:[Schooling]])=19</f>
        <v>0</v>
      </c>
    </row>
    <row r="610" spans="1:23" x14ac:dyDescent="0.25">
      <c r="A610" t="s">
        <v>312</v>
      </c>
      <c r="B610">
        <v>2015</v>
      </c>
      <c r="C610" t="s">
        <v>273</v>
      </c>
      <c r="D610">
        <v>64.7</v>
      </c>
      <c r="E610">
        <v>267</v>
      </c>
      <c r="F610">
        <v>7</v>
      </c>
      <c r="H610">
        <v>0</v>
      </c>
      <c r="I610">
        <v>8</v>
      </c>
      <c r="J610">
        <v>1359</v>
      </c>
      <c r="K610">
        <v>27.4</v>
      </c>
      <c r="L610">
        <v>10</v>
      </c>
      <c r="M610">
        <v>8</v>
      </c>
      <c r="O610">
        <v>8</v>
      </c>
      <c r="P610">
        <v>2.8</v>
      </c>
      <c r="S610">
        <v>7.5</v>
      </c>
      <c r="T610">
        <v>7.1</v>
      </c>
      <c r="U610">
        <v>0.59</v>
      </c>
      <c r="V610">
        <v>11.1</v>
      </c>
      <c r="W610" t="b">
        <f>COUNT(LifeExpectancyData[[#This Row],[Life expectancy]:[Schooling]])=19</f>
        <v>0</v>
      </c>
    </row>
    <row r="611" spans="1:23" x14ac:dyDescent="0.25">
      <c r="A611" t="s">
        <v>312</v>
      </c>
      <c r="B611">
        <v>2014</v>
      </c>
      <c r="C611" t="s">
        <v>273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COUNT(LifeExpectancyData[[#This Row],[Life expectancy]:[Schooling]])=19</f>
        <v>0</v>
      </c>
    </row>
    <row r="612" spans="1:23" x14ac:dyDescent="0.25">
      <c r="A612" t="s">
        <v>312</v>
      </c>
      <c r="B612">
        <v>2013</v>
      </c>
      <c r="C612" t="s">
        <v>273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COUNT(LifeExpectancyData[[#This Row],[Life expectancy]:[Schooling]])=19</f>
        <v>0</v>
      </c>
    </row>
    <row r="613" spans="1:23" x14ac:dyDescent="0.25">
      <c r="A613" t="s">
        <v>312</v>
      </c>
      <c r="B613">
        <v>2012</v>
      </c>
      <c r="C613" t="s">
        <v>273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COUNT(LifeExpectancyData[[#This Row],[Life expectancy]:[Schooling]])=19</f>
        <v>0</v>
      </c>
    </row>
    <row r="614" spans="1:23" x14ac:dyDescent="0.25">
      <c r="A614" t="s">
        <v>312</v>
      </c>
      <c r="B614">
        <v>2011</v>
      </c>
      <c r="C614" t="s">
        <v>273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COUNT(LifeExpectancyData[[#This Row],[Life expectancy]:[Schooling]])=19</f>
        <v>0</v>
      </c>
    </row>
    <row r="615" spans="1:23" x14ac:dyDescent="0.25">
      <c r="A615" t="s">
        <v>312</v>
      </c>
      <c r="B615">
        <v>2010</v>
      </c>
      <c r="C615" t="s">
        <v>273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COUNT(LifeExpectancyData[[#This Row],[Life expectancy]:[Schooling]])=19</f>
        <v>0</v>
      </c>
    </row>
    <row r="616" spans="1:23" x14ac:dyDescent="0.25">
      <c r="A616" t="s">
        <v>312</v>
      </c>
      <c r="B616">
        <v>2009</v>
      </c>
      <c r="C616" t="s">
        <v>273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COUNT(LifeExpectancyData[[#This Row],[Life expectancy]:[Schooling]])=19</f>
        <v>0</v>
      </c>
    </row>
    <row r="617" spans="1:23" x14ac:dyDescent="0.25">
      <c r="A617" t="s">
        <v>312</v>
      </c>
      <c r="B617">
        <v>2008</v>
      </c>
      <c r="C617" t="s">
        <v>273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COUNT(LifeExpectancyData[[#This Row],[Life expectancy]:[Schooling]])=19</f>
        <v>0</v>
      </c>
    </row>
    <row r="618" spans="1:23" x14ac:dyDescent="0.25">
      <c r="A618" t="s">
        <v>312</v>
      </c>
      <c r="B618">
        <v>2007</v>
      </c>
      <c r="C618" t="s">
        <v>273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COUNT(LifeExpectancyData[[#This Row],[Life expectancy]:[Schooling]])=19</f>
        <v>0</v>
      </c>
    </row>
    <row r="619" spans="1:23" x14ac:dyDescent="0.25">
      <c r="A619" t="s">
        <v>312</v>
      </c>
      <c r="B619">
        <v>2006</v>
      </c>
      <c r="C619" t="s">
        <v>273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COUNT(LifeExpectancyData[[#This Row],[Life expectancy]:[Schooling]])=19</f>
        <v>0</v>
      </c>
    </row>
    <row r="620" spans="1:23" x14ac:dyDescent="0.25">
      <c r="A620" t="s">
        <v>312</v>
      </c>
      <c r="B620">
        <v>2005</v>
      </c>
      <c r="C620" t="s">
        <v>273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COUNT(LifeExpectancyData[[#This Row],[Life expectancy]:[Schooling]])=19</f>
        <v>0</v>
      </c>
    </row>
    <row r="621" spans="1:23" x14ac:dyDescent="0.25">
      <c r="A621" t="s">
        <v>312</v>
      </c>
      <c r="B621">
        <v>2004</v>
      </c>
      <c r="C621" t="s">
        <v>273</v>
      </c>
      <c r="D621">
        <v>54.1</v>
      </c>
      <c r="E621">
        <v>48</v>
      </c>
      <c r="F621">
        <v>9</v>
      </c>
      <c r="G621">
        <v>2.58</v>
      </c>
      <c r="H621">
        <v>0</v>
      </c>
      <c r="J621">
        <v>3524</v>
      </c>
      <c r="K621">
        <v>21.2</v>
      </c>
      <c r="L621">
        <v>13</v>
      </c>
      <c r="M621">
        <v>67</v>
      </c>
      <c r="N621">
        <v>2.56</v>
      </c>
      <c r="O621">
        <v>67</v>
      </c>
      <c r="P621">
        <v>6.3</v>
      </c>
      <c r="S621">
        <v>9</v>
      </c>
      <c r="T621">
        <v>8.6</v>
      </c>
      <c r="U621">
        <v>0.497</v>
      </c>
      <c r="V621">
        <v>9.1999999999999993</v>
      </c>
      <c r="W621" t="b">
        <f>COUNT(LifeExpectancyData[[#This Row],[Life expectancy]:[Schooling]])=19</f>
        <v>0</v>
      </c>
    </row>
    <row r="622" spans="1:23" x14ac:dyDescent="0.25">
      <c r="A622" t="s">
        <v>312</v>
      </c>
      <c r="B622">
        <v>2003</v>
      </c>
      <c r="C622" t="s">
        <v>273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COUNT(LifeExpectancyData[[#This Row],[Life expectancy]:[Schooling]])=19</f>
        <v>0</v>
      </c>
    </row>
    <row r="623" spans="1:23" x14ac:dyDescent="0.25">
      <c r="A623" t="s">
        <v>312</v>
      </c>
      <c r="B623">
        <v>2002</v>
      </c>
      <c r="C623" t="s">
        <v>273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COUNT(LifeExpectancyData[[#This Row],[Life expectancy]:[Schooling]])=19</f>
        <v>0</v>
      </c>
    </row>
    <row r="624" spans="1:23" x14ac:dyDescent="0.25">
      <c r="A624" t="s">
        <v>312</v>
      </c>
      <c r="B624">
        <v>2001</v>
      </c>
      <c r="C624" t="s">
        <v>273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COUNT(LifeExpectancyData[[#This Row],[Life expectancy]:[Schooling]])=19</f>
        <v>0</v>
      </c>
    </row>
    <row r="625" spans="1:23" x14ac:dyDescent="0.25">
      <c r="A625" t="s">
        <v>312</v>
      </c>
      <c r="B625">
        <v>2000</v>
      </c>
      <c r="C625" t="s">
        <v>273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COUNT(LifeExpectancyData[[#This Row],[Life expectancy]:[Schooling]])=19</f>
        <v>0</v>
      </c>
    </row>
    <row r="626" spans="1:23" x14ac:dyDescent="0.25">
      <c r="A626" t="s">
        <v>313</v>
      </c>
      <c r="B626">
        <v>2013</v>
      </c>
      <c r="C626" t="s">
        <v>273</v>
      </c>
      <c r="F626">
        <v>0</v>
      </c>
      <c r="G626">
        <v>0.01</v>
      </c>
      <c r="H626">
        <v>0</v>
      </c>
      <c r="I626">
        <v>98</v>
      </c>
      <c r="J626">
        <v>0</v>
      </c>
      <c r="K626">
        <v>82.8</v>
      </c>
      <c r="L626">
        <v>0</v>
      </c>
      <c r="M626">
        <v>98</v>
      </c>
      <c r="N626">
        <v>3.58</v>
      </c>
      <c r="O626">
        <v>98</v>
      </c>
      <c r="P626">
        <v>0.1</v>
      </c>
      <c r="S626">
        <v>0.1</v>
      </c>
      <c r="T626">
        <v>0.1</v>
      </c>
      <c r="W626" t="b">
        <f>COUNT(LifeExpectancyData[[#This Row],[Life expectancy]:[Schooling]])=19</f>
        <v>0</v>
      </c>
    </row>
    <row r="627" spans="1:23" x14ac:dyDescent="0.25">
      <c r="A627" t="s">
        <v>314</v>
      </c>
      <c r="B627">
        <v>2015</v>
      </c>
      <c r="C627" t="s">
        <v>273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COUNT(LifeExpectancyData[[#This Row],[Life expectancy]:[Schooling]])=19</f>
        <v>0</v>
      </c>
    </row>
    <row r="628" spans="1:23" x14ac:dyDescent="0.25">
      <c r="A628" t="s">
        <v>314</v>
      </c>
      <c r="B628">
        <v>2014</v>
      </c>
      <c r="C628" t="s">
        <v>273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COUNT(LifeExpectancyData[[#This Row],[Life expectancy]:[Schooling]])=19</f>
        <v>1</v>
      </c>
    </row>
    <row r="629" spans="1:23" x14ac:dyDescent="0.25">
      <c r="A629" t="s">
        <v>314</v>
      </c>
      <c r="B629">
        <v>2013</v>
      </c>
      <c r="C629" t="s">
        <v>273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COUNT(LifeExpectancyData[[#This Row],[Life expectancy]:[Schooling]])=19</f>
        <v>1</v>
      </c>
    </row>
    <row r="630" spans="1:23" x14ac:dyDescent="0.25">
      <c r="A630" t="s">
        <v>314</v>
      </c>
      <c r="B630">
        <v>2012</v>
      </c>
      <c r="C630" t="s">
        <v>273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COUNT(LifeExpectancyData[[#This Row],[Life expectancy]:[Schooling]])=19</f>
        <v>1</v>
      </c>
    </row>
    <row r="631" spans="1:23" x14ac:dyDescent="0.25">
      <c r="A631" t="s">
        <v>314</v>
      </c>
      <c r="B631">
        <v>2011</v>
      </c>
      <c r="C631" t="s">
        <v>273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COUNT(LifeExpectancyData[[#This Row],[Life expectancy]:[Schooling]])=19</f>
        <v>1</v>
      </c>
    </row>
    <row r="632" spans="1:23" x14ac:dyDescent="0.25">
      <c r="A632" t="s">
        <v>314</v>
      </c>
      <c r="B632">
        <v>2010</v>
      </c>
      <c r="C632" t="s">
        <v>273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COUNT(LifeExpectancyData[[#This Row],[Life expectancy]:[Schooling]])=19</f>
        <v>1</v>
      </c>
    </row>
    <row r="633" spans="1:23" x14ac:dyDescent="0.25">
      <c r="A633" t="s">
        <v>314</v>
      </c>
      <c r="B633">
        <v>2009</v>
      </c>
      <c r="C633" t="s">
        <v>273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COUNT(LifeExpectancyData[[#This Row],[Life expectancy]:[Schooling]])=19</f>
        <v>1</v>
      </c>
    </row>
    <row r="634" spans="1:23" x14ac:dyDescent="0.25">
      <c r="A634" t="s">
        <v>314</v>
      </c>
      <c r="B634">
        <v>2008</v>
      </c>
      <c r="C634" t="s">
        <v>273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COUNT(LifeExpectancyData[[#This Row],[Life expectancy]:[Schooling]])=19</f>
        <v>1</v>
      </c>
    </row>
    <row r="635" spans="1:23" x14ac:dyDescent="0.25">
      <c r="A635" t="s">
        <v>314</v>
      </c>
      <c r="B635">
        <v>2007</v>
      </c>
      <c r="C635" t="s">
        <v>273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COUNT(LifeExpectancyData[[#This Row],[Life expectancy]:[Schooling]])=19</f>
        <v>1</v>
      </c>
    </row>
    <row r="636" spans="1:23" x14ac:dyDescent="0.25">
      <c r="A636" t="s">
        <v>314</v>
      </c>
      <c r="B636">
        <v>2006</v>
      </c>
      <c r="C636" t="s">
        <v>273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COUNT(LifeExpectancyData[[#This Row],[Life expectancy]:[Schooling]])=19</f>
        <v>1</v>
      </c>
    </row>
    <row r="637" spans="1:23" x14ac:dyDescent="0.25">
      <c r="A637" t="s">
        <v>314</v>
      </c>
      <c r="B637">
        <v>2005</v>
      </c>
      <c r="C637" t="s">
        <v>273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COUNT(LifeExpectancyData[[#This Row],[Life expectancy]:[Schooling]])=19</f>
        <v>1</v>
      </c>
    </row>
    <row r="638" spans="1:23" x14ac:dyDescent="0.25">
      <c r="A638" t="s">
        <v>314</v>
      </c>
      <c r="B638">
        <v>2004</v>
      </c>
      <c r="C638" t="s">
        <v>273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COUNT(LifeExpectancyData[[#This Row],[Life expectancy]:[Schooling]])=19</f>
        <v>1</v>
      </c>
    </row>
    <row r="639" spans="1:23" x14ac:dyDescent="0.25">
      <c r="A639" t="s">
        <v>314</v>
      </c>
      <c r="B639">
        <v>2003</v>
      </c>
      <c r="C639" t="s">
        <v>273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COUNT(LifeExpectancyData[[#This Row],[Life expectancy]:[Schooling]])=19</f>
        <v>1</v>
      </c>
    </row>
    <row r="640" spans="1:23" x14ac:dyDescent="0.25">
      <c r="A640" t="s">
        <v>314</v>
      </c>
      <c r="B640">
        <v>2002</v>
      </c>
      <c r="C640" t="s">
        <v>273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COUNT(LifeExpectancyData[[#This Row],[Life expectancy]:[Schooling]])=19</f>
        <v>1</v>
      </c>
    </row>
    <row r="641" spans="1:23" x14ac:dyDescent="0.25">
      <c r="A641" t="s">
        <v>314</v>
      </c>
      <c r="B641">
        <v>2001</v>
      </c>
      <c r="C641" t="s">
        <v>273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COUNT(LifeExpectancyData[[#This Row],[Life expectancy]:[Schooling]])=19</f>
        <v>1</v>
      </c>
    </row>
    <row r="642" spans="1:23" x14ac:dyDescent="0.25">
      <c r="A642" t="s">
        <v>314</v>
      </c>
      <c r="B642">
        <v>2000</v>
      </c>
      <c r="C642" t="s">
        <v>273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COUNT(LifeExpectancyData[[#This Row],[Life expectancy]:[Schooling]])=19</f>
        <v>1</v>
      </c>
    </row>
    <row r="643" spans="1:23" x14ac:dyDescent="0.25">
      <c r="A643" t="s">
        <v>315</v>
      </c>
      <c r="B643">
        <v>2015</v>
      </c>
      <c r="C643" t="s">
        <v>281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COUNT(LifeExpectancyData[[#This Row],[Life expectancy]:[Schooling]])=19</f>
        <v>0</v>
      </c>
    </row>
    <row r="644" spans="1:23" x14ac:dyDescent="0.25">
      <c r="A644" t="s">
        <v>315</v>
      </c>
      <c r="B644">
        <v>2014</v>
      </c>
      <c r="C644" t="s">
        <v>281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COUNT(LifeExpectancyData[[#This Row],[Life expectancy]:[Schooling]])=19</f>
        <v>1</v>
      </c>
    </row>
    <row r="645" spans="1:23" x14ac:dyDescent="0.25">
      <c r="A645" t="s">
        <v>315</v>
      </c>
      <c r="B645">
        <v>2013</v>
      </c>
      <c r="C645" t="s">
        <v>281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COUNT(LifeExpectancyData[[#This Row],[Life expectancy]:[Schooling]])=19</f>
        <v>1</v>
      </c>
    </row>
    <row r="646" spans="1:23" x14ac:dyDescent="0.25">
      <c r="A646" t="s">
        <v>315</v>
      </c>
      <c r="B646">
        <v>2012</v>
      </c>
      <c r="C646" t="s">
        <v>281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COUNT(LifeExpectancyData[[#This Row],[Life expectancy]:[Schooling]])=19</f>
        <v>1</v>
      </c>
    </row>
    <row r="647" spans="1:23" x14ac:dyDescent="0.25">
      <c r="A647" t="s">
        <v>315</v>
      </c>
      <c r="B647">
        <v>2011</v>
      </c>
      <c r="C647" t="s">
        <v>281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COUNT(LifeExpectancyData[[#This Row],[Life expectancy]:[Schooling]])=19</f>
        <v>1</v>
      </c>
    </row>
    <row r="648" spans="1:23" x14ac:dyDescent="0.25">
      <c r="A648" t="s">
        <v>315</v>
      </c>
      <c r="B648">
        <v>2010</v>
      </c>
      <c r="C648" t="s">
        <v>281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COUNT(LifeExpectancyData[[#This Row],[Life expectancy]:[Schooling]])=19</f>
        <v>1</v>
      </c>
    </row>
    <row r="649" spans="1:23" x14ac:dyDescent="0.25">
      <c r="A649" t="s">
        <v>315</v>
      </c>
      <c r="B649">
        <v>2009</v>
      </c>
      <c r="C649" t="s">
        <v>281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COUNT(LifeExpectancyData[[#This Row],[Life expectancy]:[Schooling]])=19</f>
        <v>1</v>
      </c>
    </row>
    <row r="650" spans="1:23" x14ac:dyDescent="0.25">
      <c r="A650" t="s">
        <v>315</v>
      </c>
      <c r="B650">
        <v>2008</v>
      </c>
      <c r="C650" t="s">
        <v>281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COUNT(LifeExpectancyData[[#This Row],[Life expectancy]:[Schooling]])=19</f>
        <v>1</v>
      </c>
    </row>
    <row r="651" spans="1:23" x14ac:dyDescent="0.25">
      <c r="A651" t="s">
        <v>315</v>
      </c>
      <c r="B651">
        <v>2007</v>
      </c>
      <c r="C651" t="s">
        <v>281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COUNT(LifeExpectancyData[[#This Row],[Life expectancy]:[Schooling]])=19</f>
        <v>1</v>
      </c>
    </row>
    <row r="652" spans="1:23" x14ac:dyDescent="0.25">
      <c r="A652" t="s">
        <v>315</v>
      </c>
      <c r="B652">
        <v>2006</v>
      </c>
      <c r="C652" t="s">
        <v>281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COUNT(LifeExpectancyData[[#This Row],[Life expectancy]:[Schooling]])=19</f>
        <v>0</v>
      </c>
    </row>
    <row r="653" spans="1:23" x14ac:dyDescent="0.25">
      <c r="A653" t="s">
        <v>315</v>
      </c>
      <c r="B653">
        <v>2005</v>
      </c>
      <c r="C653" t="s">
        <v>281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COUNT(LifeExpectancyData[[#This Row],[Life expectancy]:[Schooling]])=19</f>
        <v>0</v>
      </c>
    </row>
    <row r="654" spans="1:23" x14ac:dyDescent="0.25">
      <c r="A654" t="s">
        <v>315</v>
      </c>
      <c r="B654">
        <v>2004</v>
      </c>
      <c r="C654" t="s">
        <v>281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COUNT(LifeExpectancyData[[#This Row],[Life expectancy]:[Schooling]])=19</f>
        <v>0</v>
      </c>
    </row>
    <row r="655" spans="1:23" x14ac:dyDescent="0.25">
      <c r="A655" t="s">
        <v>315</v>
      </c>
      <c r="B655">
        <v>2003</v>
      </c>
      <c r="C655" t="s">
        <v>281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COUNT(LifeExpectancyData[[#This Row],[Life expectancy]:[Schooling]])=19</f>
        <v>0</v>
      </c>
    </row>
    <row r="656" spans="1:23" x14ac:dyDescent="0.25">
      <c r="A656" t="s">
        <v>315</v>
      </c>
      <c r="B656">
        <v>2002</v>
      </c>
      <c r="C656" t="s">
        <v>281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COUNT(LifeExpectancyData[[#This Row],[Life expectancy]:[Schooling]])=19</f>
        <v>0</v>
      </c>
    </row>
    <row r="657" spans="1:23" x14ac:dyDescent="0.25">
      <c r="A657" t="s">
        <v>315</v>
      </c>
      <c r="B657">
        <v>2001</v>
      </c>
      <c r="C657" t="s">
        <v>281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COUNT(LifeExpectancyData[[#This Row],[Life expectancy]:[Schooling]])=19</f>
        <v>0</v>
      </c>
    </row>
    <row r="658" spans="1:23" x14ac:dyDescent="0.25">
      <c r="A658" t="s">
        <v>315</v>
      </c>
      <c r="B658">
        <v>2000</v>
      </c>
      <c r="C658" t="s">
        <v>281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COUNT(LifeExpectancyData[[#This Row],[Life expectancy]:[Schooling]])=19</f>
        <v>0</v>
      </c>
    </row>
    <row r="659" spans="1:23" x14ac:dyDescent="0.25">
      <c r="A659" t="s">
        <v>316</v>
      </c>
      <c r="B659">
        <v>2015</v>
      </c>
      <c r="C659" t="s">
        <v>273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COUNT(LifeExpectancyData[[#This Row],[Life expectancy]:[Schooling]])=19</f>
        <v>0</v>
      </c>
    </row>
    <row r="660" spans="1:23" x14ac:dyDescent="0.25">
      <c r="A660" t="s">
        <v>316</v>
      </c>
      <c r="B660">
        <v>2014</v>
      </c>
      <c r="C660" t="s">
        <v>273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COUNT(LifeExpectancyData[[#This Row],[Life expectancy]:[Schooling]])=19</f>
        <v>0</v>
      </c>
    </row>
    <row r="661" spans="1:23" x14ac:dyDescent="0.25">
      <c r="A661" t="s">
        <v>316</v>
      </c>
      <c r="B661">
        <v>2013</v>
      </c>
      <c r="C661" t="s">
        <v>273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COUNT(LifeExpectancyData[[#This Row],[Life expectancy]:[Schooling]])=19</f>
        <v>0</v>
      </c>
    </row>
    <row r="662" spans="1:23" x14ac:dyDescent="0.25">
      <c r="A662" t="s">
        <v>316</v>
      </c>
      <c r="B662">
        <v>2012</v>
      </c>
      <c r="C662" t="s">
        <v>273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COUNT(LifeExpectancyData[[#This Row],[Life expectancy]:[Schooling]])=19</f>
        <v>0</v>
      </c>
    </row>
    <row r="663" spans="1:23" x14ac:dyDescent="0.25">
      <c r="A663" t="s">
        <v>316</v>
      </c>
      <c r="B663">
        <v>2011</v>
      </c>
      <c r="C663" t="s">
        <v>273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COUNT(LifeExpectancyData[[#This Row],[Life expectancy]:[Schooling]])=19</f>
        <v>0</v>
      </c>
    </row>
    <row r="664" spans="1:23" x14ac:dyDescent="0.25">
      <c r="A664" t="s">
        <v>316</v>
      </c>
      <c r="B664">
        <v>2010</v>
      </c>
      <c r="C664" t="s">
        <v>273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COUNT(LifeExpectancyData[[#This Row],[Life expectancy]:[Schooling]])=19</f>
        <v>0</v>
      </c>
    </row>
    <row r="665" spans="1:23" x14ac:dyDescent="0.25">
      <c r="A665" t="s">
        <v>316</v>
      </c>
      <c r="B665">
        <v>2009</v>
      </c>
      <c r="C665" t="s">
        <v>273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COUNT(LifeExpectancyData[[#This Row],[Life expectancy]:[Schooling]])=19</f>
        <v>0</v>
      </c>
    </row>
    <row r="666" spans="1:23" x14ac:dyDescent="0.25">
      <c r="A666" t="s">
        <v>316</v>
      </c>
      <c r="B666">
        <v>2008</v>
      </c>
      <c r="C666" t="s">
        <v>273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COUNT(LifeExpectancyData[[#This Row],[Life expectancy]:[Schooling]])=19</f>
        <v>0</v>
      </c>
    </row>
    <row r="667" spans="1:23" x14ac:dyDescent="0.25">
      <c r="A667" t="s">
        <v>316</v>
      </c>
      <c r="B667">
        <v>2007</v>
      </c>
      <c r="C667" t="s">
        <v>273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COUNT(LifeExpectancyData[[#This Row],[Life expectancy]:[Schooling]])=19</f>
        <v>0</v>
      </c>
    </row>
    <row r="668" spans="1:23" x14ac:dyDescent="0.25">
      <c r="A668" t="s">
        <v>316</v>
      </c>
      <c r="B668">
        <v>2006</v>
      </c>
      <c r="C668" t="s">
        <v>273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COUNT(LifeExpectancyData[[#This Row],[Life expectancy]:[Schooling]])=19</f>
        <v>0</v>
      </c>
    </row>
    <row r="669" spans="1:23" x14ac:dyDescent="0.25">
      <c r="A669" t="s">
        <v>316</v>
      </c>
      <c r="B669">
        <v>2005</v>
      </c>
      <c r="C669" t="s">
        <v>273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COUNT(LifeExpectancyData[[#This Row],[Life expectancy]:[Schooling]])=19</f>
        <v>0</v>
      </c>
    </row>
    <row r="670" spans="1:23" x14ac:dyDescent="0.25">
      <c r="A670" t="s">
        <v>316</v>
      </c>
      <c r="B670">
        <v>2004</v>
      </c>
      <c r="C670" t="s">
        <v>273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COUNT(LifeExpectancyData[[#This Row],[Life expectancy]:[Schooling]])=19</f>
        <v>0</v>
      </c>
    </row>
    <row r="671" spans="1:23" x14ac:dyDescent="0.25">
      <c r="A671" t="s">
        <v>316</v>
      </c>
      <c r="B671">
        <v>2003</v>
      </c>
      <c r="C671" t="s">
        <v>273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COUNT(LifeExpectancyData[[#This Row],[Life expectancy]:[Schooling]])=19</f>
        <v>0</v>
      </c>
    </row>
    <row r="672" spans="1:23" x14ac:dyDescent="0.25">
      <c r="A672" t="s">
        <v>316</v>
      </c>
      <c r="B672">
        <v>2002</v>
      </c>
      <c r="C672" t="s">
        <v>273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COUNT(LifeExpectancyData[[#This Row],[Life expectancy]:[Schooling]])=19</f>
        <v>0</v>
      </c>
    </row>
    <row r="673" spans="1:23" x14ac:dyDescent="0.25">
      <c r="A673" t="s">
        <v>316</v>
      </c>
      <c r="B673">
        <v>2001</v>
      </c>
      <c r="C673" t="s">
        <v>273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COUNT(LifeExpectancyData[[#This Row],[Life expectancy]:[Schooling]])=19</f>
        <v>0</v>
      </c>
    </row>
    <row r="674" spans="1:23" x14ac:dyDescent="0.25">
      <c r="A674" t="s">
        <v>316</v>
      </c>
      <c r="B674">
        <v>2000</v>
      </c>
      <c r="C674" t="s">
        <v>273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COUNT(LifeExpectancyData[[#This Row],[Life expectancy]:[Schooling]])=19</f>
        <v>0</v>
      </c>
    </row>
    <row r="675" spans="1:23" x14ac:dyDescent="0.25">
      <c r="A675" t="s">
        <v>317</v>
      </c>
      <c r="B675">
        <v>2015</v>
      </c>
      <c r="C675" t="s">
        <v>281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COUNT(LifeExpectancyData[[#This Row],[Life expectancy]:[Schooling]])=19</f>
        <v>0</v>
      </c>
    </row>
    <row r="676" spans="1:23" x14ac:dyDescent="0.25">
      <c r="A676" t="s">
        <v>317</v>
      </c>
      <c r="B676">
        <v>2014</v>
      </c>
      <c r="C676" t="s">
        <v>281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COUNT(LifeExpectancyData[[#This Row],[Life expectancy]:[Schooling]])=19</f>
        <v>1</v>
      </c>
    </row>
    <row r="677" spans="1:23" x14ac:dyDescent="0.25">
      <c r="A677" t="s">
        <v>317</v>
      </c>
      <c r="B677">
        <v>2013</v>
      </c>
      <c r="C677" t="s">
        <v>281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COUNT(LifeExpectancyData[[#This Row],[Life expectancy]:[Schooling]])=19</f>
        <v>1</v>
      </c>
    </row>
    <row r="678" spans="1:23" x14ac:dyDescent="0.25">
      <c r="A678" t="s">
        <v>317</v>
      </c>
      <c r="B678">
        <v>2012</v>
      </c>
      <c r="C678" t="s">
        <v>281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COUNT(LifeExpectancyData[[#This Row],[Life expectancy]:[Schooling]])=19</f>
        <v>1</v>
      </c>
    </row>
    <row r="679" spans="1:23" x14ac:dyDescent="0.25">
      <c r="A679" t="s">
        <v>317</v>
      </c>
      <c r="B679">
        <v>2011</v>
      </c>
      <c r="C679" t="s">
        <v>281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COUNT(LifeExpectancyData[[#This Row],[Life expectancy]:[Schooling]])=19</f>
        <v>1</v>
      </c>
    </row>
    <row r="680" spans="1:23" x14ac:dyDescent="0.25">
      <c r="A680" t="s">
        <v>317</v>
      </c>
      <c r="B680">
        <v>2010</v>
      </c>
      <c r="C680" t="s">
        <v>281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COUNT(LifeExpectancyData[[#This Row],[Life expectancy]:[Schooling]])=19</f>
        <v>1</v>
      </c>
    </row>
    <row r="681" spans="1:23" x14ac:dyDescent="0.25">
      <c r="A681" t="s">
        <v>317</v>
      </c>
      <c r="B681">
        <v>2009</v>
      </c>
      <c r="C681" t="s">
        <v>281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COUNT(LifeExpectancyData[[#This Row],[Life expectancy]:[Schooling]])=19</f>
        <v>1</v>
      </c>
    </row>
    <row r="682" spans="1:23" x14ac:dyDescent="0.25">
      <c r="A682" t="s">
        <v>317</v>
      </c>
      <c r="B682">
        <v>2008</v>
      </c>
      <c r="C682" t="s">
        <v>281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COUNT(LifeExpectancyData[[#This Row],[Life expectancy]:[Schooling]])=19</f>
        <v>1</v>
      </c>
    </row>
    <row r="683" spans="1:23" x14ac:dyDescent="0.25">
      <c r="A683" t="s">
        <v>317</v>
      </c>
      <c r="B683">
        <v>2007</v>
      </c>
      <c r="C683" t="s">
        <v>281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COUNT(LifeExpectancyData[[#This Row],[Life expectancy]:[Schooling]])=19</f>
        <v>1</v>
      </c>
    </row>
    <row r="684" spans="1:23" x14ac:dyDescent="0.25">
      <c r="A684" t="s">
        <v>317</v>
      </c>
      <c r="B684">
        <v>2006</v>
      </c>
      <c r="C684" t="s">
        <v>281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COUNT(LifeExpectancyData[[#This Row],[Life expectancy]:[Schooling]])=19</f>
        <v>1</v>
      </c>
    </row>
    <row r="685" spans="1:23" x14ac:dyDescent="0.25">
      <c r="A685" t="s">
        <v>317</v>
      </c>
      <c r="B685">
        <v>2005</v>
      </c>
      <c r="C685" t="s">
        <v>281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COUNT(LifeExpectancyData[[#This Row],[Life expectancy]:[Schooling]])=19</f>
        <v>1</v>
      </c>
    </row>
    <row r="686" spans="1:23" x14ac:dyDescent="0.25">
      <c r="A686" t="s">
        <v>317</v>
      </c>
      <c r="B686">
        <v>2004</v>
      </c>
      <c r="C686" t="s">
        <v>281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COUNT(LifeExpectancyData[[#This Row],[Life expectancy]:[Schooling]])=19</f>
        <v>1</v>
      </c>
    </row>
    <row r="687" spans="1:23" x14ac:dyDescent="0.25">
      <c r="A687" t="s">
        <v>317</v>
      </c>
      <c r="B687">
        <v>2003</v>
      </c>
      <c r="C687" t="s">
        <v>281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COUNT(LifeExpectancyData[[#This Row],[Life expectancy]:[Schooling]])=19</f>
        <v>1</v>
      </c>
    </row>
    <row r="688" spans="1:23" x14ac:dyDescent="0.25">
      <c r="A688" t="s">
        <v>317</v>
      </c>
      <c r="B688">
        <v>2002</v>
      </c>
      <c r="C688" t="s">
        <v>281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COUNT(LifeExpectancyData[[#This Row],[Life expectancy]:[Schooling]])=19</f>
        <v>1</v>
      </c>
    </row>
    <row r="689" spans="1:23" x14ac:dyDescent="0.25">
      <c r="A689" t="s">
        <v>317</v>
      </c>
      <c r="B689">
        <v>2001</v>
      </c>
      <c r="C689" t="s">
        <v>281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COUNT(LifeExpectancyData[[#This Row],[Life expectancy]:[Schooling]])=19</f>
        <v>1</v>
      </c>
    </row>
    <row r="690" spans="1:23" x14ac:dyDescent="0.25">
      <c r="A690" t="s">
        <v>317</v>
      </c>
      <c r="B690">
        <v>2000</v>
      </c>
      <c r="C690" t="s">
        <v>281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COUNT(LifeExpectancyData[[#This Row],[Life expectancy]:[Schooling]])=19</f>
        <v>1</v>
      </c>
    </row>
    <row r="691" spans="1:23" x14ac:dyDescent="0.25">
      <c r="A691" t="s">
        <v>318</v>
      </c>
      <c r="B691">
        <v>2015</v>
      </c>
      <c r="C691" t="s">
        <v>281</v>
      </c>
      <c r="D691">
        <v>78.8</v>
      </c>
      <c r="E691">
        <v>86</v>
      </c>
      <c r="F691">
        <v>0</v>
      </c>
      <c r="H691">
        <v>0</v>
      </c>
      <c r="I691">
        <v>97</v>
      </c>
      <c r="J691">
        <v>9</v>
      </c>
      <c r="K691">
        <v>66.099999999999994</v>
      </c>
      <c r="L691">
        <v>0</v>
      </c>
      <c r="M691">
        <v>97</v>
      </c>
      <c r="O691">
        <v>97</v>
      </c>
      <c r="P691">
        <v>0.1</v>
      </c>
      <c r="S691">
        <v>1.8</v>
      </c>
      <c r="T691">
        <v>1.8</v>
      </c>
      <c r="W691" t="b">
        <f>COUNT(LifeExpectancyData[[#This Row],[Life expectancy]:[Schooling]])=19</f>
        <v>0</v>
      </c>
    </row>
    <row r="692" spans="1:23" x14ac:dyDescent="0.25">
      <c r="A692" t="s">
        <v>318</v>
      </c>
      <c r="B692">
        <v>2014</v>
      </c>
      <c r="C692" t="s">
        <v>281</v>
      </c>
      <c r="D692">
        <v>78.599999999999994</v>
      </c>
      <c r="E692">
        <v>88</v>
      </c>
      <c r="F692">
        <v>0</v>
      </c>
      <c r="G692">
        <v>12.68</v>
      </c>
      <c r="H692">
        <v>0</v>
      </c>
      <c r="I692">
        <v>99</v>
      </c>
      <c r="J692">
        <v>222</v>
      </c>
      <c r="K692">
        <v>65.599999999999994</v>
      </c>
      <c r="L692">
        <v>0</v>
      </c>
      <c r="M692">
        <v>99</v>
      </c>
      <c r="N692">
        <v>7.41</v>
      </c>
      <c r="O692">
        <v>97</v>
      </c>
      <c r="P692">
        <v>0.1</v>
      </c>
      <c r="S692">
        <v>1.8</v>
      </c>
      <c r="T692">
        <v>1.9</v>
      </c>
      <c r="W692" t="b">
        <f>COUNT(LifeExpectancyData[[#This Row],[Life expectancy]:[Schooling]])=19</f>
        <v>0</v>
      </c>
    </row>
    <row r="693" spans="1:23" x14ac:dyDescent="0.25">
      <c r="A693" t="s">
        <v>318</v>
      </c>
      <c r="B693">
        <v>2013</v>
      </c>
      <c r="C693" t="s">
        <v>281</v>
      </c>
      <c r="D693">
        <v>78.2</v>
      </c>
      <c r="E693">
        <v>9</v>
      </c>
      <c r="F693">
        <v>0</v>
      </c>
      <c r="G693">
        <v>12.45</v>
      </c>
      <c r="H693">
        <v>0</v>
      </c>
      <c r="I693">
        <v>99</v>
      </c>
      <c r="J693">
        <v>15</v>
      </c>
      <c r="K693">
        <v>65.099999999999994</v>
      </c>
      <c r="L693">
        <v>0</v>
      </c>
      <c r="M693">
        <v>99</v>
      </c>
      <c r="N693">
        <v>7.49</v>
      </c>
      <c r="O693">
        <v>98</v>
      </c>
      <c r="P693">
        <v>0.1</v>
      </c>
      <c r="S693">
        <v>1.8</v>
      </c>
      <c r="T693">
        <v>1.9</v>
      </c>
      <c r="W693" t="b">
        <f>COUNT(LifeExpectancyData[[#This Row],[Life expectancy]:[Schooling]])=19</f>
        <v>0</v>
      </c>
    </row>
    <row r="694" spans="1:23" x14ac:dyDescent="0.25">
      <c r="A694" t="s">
        <v>318</v>
      </c>
      <c r="B694">
        <v>2012</v>
      </c>
      <c r="C694" t="s">
        <v>281</v>
      </c>
      <c r="D694">
        <v>78</v>
      </c>
      <c r="E694">
        <v>93</v>
      </c>
      <c r="F694">
        <v>0</v>
      </c>
      <c r="G694">
        <v>12.71</v>
      </c>
      <c r="H694">
        <v>0</v>
      </c>
      <c r="I694">
        <v>99</v>
      </c>
      <c r="J694">
        <v>22</v>
      </c>
      <c r="K694">
        <v>64.5</v>
      </c>
      <c r="L694">
        <v>0</v>
      </c>
      <c r="M694">
        <v>99</v>
      </c>
      <c r="N694">
        <v>7.55</v>
      </c>
      <c r="O694">
        <v>99</v>
      </c>
      <c r="P694">
        <v>0.1</v>
      </c>
      <c r="S694">
        <v>1.8</v>
      </c>
      <c r="T694">
        <v>1.9</v>
      </c>
      <c r="W694" t="b">
        <f>COUNT(LifeExpectancyData[[#This Row],[Life expectancy]:[Schooling]])=19</f>
        <v>0</v>
      </c>
    </row>
    <row r="695" spans="1:23" x14ac:dyDescent="0.25">
      <c r="A695" t="s">
        <v>318</v>
      </c>
      <c r="B695">
        <v>2011</v>
      </c>
      <c r="C695" t="s">
        <v>281</v>
      </c>
      <c r="D695">
        <v>77.8</v>
      </c>
      <c r="E695">
        <v>97</v>
      </c>
      <c r="F695">
        <v>0</v>
      </c>
      <c r="G695">
        <v>12.43</v>
      </c>
      <c r="H695">
        <v>0</v>
      </c>
      <c r="I695">
        <v>99</v>
      </c>
      <c r="J695">
        <v>17</v>
      </c>
      <c r="K695">
        <v>64</v>
      </c>
      <c r="L695">
        <v>0</v>
      </c>
      <c r="M695">
        <v>99</v>
      </c>
      <c r="N695">
        <v>7.5</v>
      </c>
      <c r="O695">
        <v>99</v>
      </c>
      <c r="P695">
        <v>0.1</v>
      </c>
      <c r="S695">
        <v>1.9</v>
      </c>
      <c r="T695">
        <v>1.9</v>
      </c>
      <c r="W695" t="b">
        <f>COUNT(LifeExpectancyData[[#This Row],[Life expectancy]:[Schooling]])=19</f>
        <v>0</v>
      </c>
    </row>
    <row r="696" spans="1:23" x14ac:dyDescent="0.25">
      <c r="A696" t="s">
        <v>318</v>
      </c>
      <c r="B696">
        <v>2010</v>
      </c>
      <c r="C696" t="s">
        <v>281</v>
      </c>
      <c r="D696">
        <v>77.5</v>
      </c>
      <c r="E696">
        <v>99</v>
      </c>
      <c r="F696">
        <v>0</v>
      </c>
      <c r="G696">
        <v>12.69</v>
      </c>
      <c r="H696">
        <v>0</v>
      </c>
      <c r="I696">
        <v>99</v>
      </c>
      <c r="J696">
        <v>0</v>
      </c>
      <c r="K696">
        <v>63.6</v>
      </c>
      <c r="L696">
        <v>0</v>
      </c>
      <c r="M696">
        <v>99</v>
      </c>
      <c r="N696">
        <v>7.43</v>
      </c>
      <c r="O696">
        <v>99</v>
      </c>
      <c r="P696">
        <v>0.1</v>
      </c>
      <c r="S696">
        <v>1.9</v>
      </c>
      <c r="T696">
        <v>2</v>
      </c>
      <c r="W696" t="b">
        <f>COUNT(LifeExpectancyData[[#This Row],[Life expectancy]:[Schooling]])=19</f>
        <v>0</v>
      </c>
    </row>
    <row r="697" spans="1:23" x14ac:dyDescent="0.25">
      <c r="A697" t="s">
        <v>318</v>
      </c>
      <c r="B697">
        <v>2009</v>
      </c>
      <c r="C697" t="s">
        <v>281</v>
      </c>
      <c r="D697">
        <v>77.099999999999994</v>
      </c>
      <c r="E697">
        <v>12</v>
      </c>
      <c r="F697">
        <v>0</v>
      </c>
      <c r="G697">
        <v>13.23</v>
      </c>
      <c r="H697">
        <v>0</v>
      </c>
      <c r="I697">
        <v>99</v>
      </c>
      <c r="J697">
        <v>5</v>
      </c>
      <c r="K697">
        <v>63.1</v>
      </c>
      <c r="L697">
        <v>0</v>
      </c>
      <c r="M697">
        <v>99</v>
      </c>
      <c r="N697">
        <v>7.85</v>
      </c>
      <c r="O697">
        <v>99</v>
      </c>
      <c r="P697">
        <v>0.1</v>
      </c>
      <c r="S697">
        <v>1.9</v>
      </c>
      <c r="T697">
        <v>2</v>
      </c>
      <c r="W697" t="b">
        <f>COUNT(LifeExpectancyData[[#This Row],[Life expectancy]:[Schooling]])=19</f>
        <v>0</v>
      </c>
    </row>
    <row r="698" spans="1:23" x14ac:dyDescent="0.25">
      <c r="A698" t="s">
        <v>318</v>
      </c>
      <c r="B698">
        <v>2008</v>
      </c>
      <c r="C698" t="s">
        <v>281</v>
      </c>
      <c r="D698">
        <v>77</v>
      </c>
      <c r="E698">
        <v>16</v>
      </c>
      <c r="F698">
        <v>0</v>
      </c>
      <c r="G698">
        <v>13.25</v>
      </c>
      <c r="H698">
        <v>0</v>
      </c>
      <c r="I698">
        <v>99</v>
      </c>
      <c r="J698">
        <v>2</v>
      </c>
      <c r="K698">
        <v>62.6</v>
      </c>
      <c r="L698">
        <v>0</v>
      </c>
      <c r="M698">
        <v>99</v>
      </c>
      <c r="N698">
        <v>6.82</v>
      </c>
      <c r="O698">
        <v>99</v>
      </c>
      <c r="P698">
        <v>0.1</v>
      </c>
      <c r="S698">
        <v>1.9</v>
      </c>
      <c r="T698">
        <v>2</v>
      </c>
      <c r="W698" t="b">
        <f>COUNT(LifeExpectancyData[[#This Row],[Life expectancy]:[Schooling]])=19</f>
        <v>0</v>
      </c>
    </row>
    <row r="699" spans="1:23" x14ac:dyDescent="0.25">
      <c r="A699" t="s">
        <v>318</v>
      </c>
      <c r="B699">
        <v>2007</v>
      </c>
      <c r="C699" t="s">
        <v>281</v>
      </c>
      <c r="D699">
        <v>76.8</v>
      </c>
      <c r="E699">
        <v>17</v>
      </c>
      <c r="F699">
        <v>0</v>
      </c>
      <c r="G699">
        <v>13.43</v>
      </c>
      <c r="H699">
        <v>0</v>
      </c>
      <c r="I699">
        <v>99</v>
      </c>
      <c r="J699">
        <v>2</v>
      </c>
      <c r="K699">
        <v>62.2</v>
      </c>
      <c r="L699">
        <v>0</v>
      </c>
      <c r="M699">
        <v>99</v>
      </c>
      <c r="N699">
        <v>6.52</v>
      </c>
      <c r="O699">
        <v>99</v>
      </c>
      <c r="P699">
        <v>0.1</v>
      </c>
      <c r="S699">
        <v>2</v>
      </c>
      <c r="T699">
        <v>2.1</v>
      </c>
      <c r="W699" t="b">
        <f>COUNT(LifeExpectancyData[[#This Row],[Life expectancy]:[Schooling]])=19</f>
        <v>0</v>
      </c>
    </row>
    <row r="700" spans="1:23" x14ac:dyDescent="0.25">
      <c r="A700" t="s">
        <v>318</v>
      </c>
      <c r="B700">
        <v>2006</v>
      </c>
      <c r="C700" t="s">
        <v>281</v>
      </c>
      <c r="D700">
        <v>76.5</v>
      </c>
      <c r="E700">
        <v>19</v>
      </c>
      <c r="F700">
        <v>0</v>
      </c>
      <c r="G700">
        <v>13.03</v>
      </c>
      <c r="H700">
        <v>0</v>
      </c>
      <c r="I700">
        <v>98</v>
      </c>
      <c r="J700">
        <v>7</v>
      </c>
      <c r="K700">
        <v>61.8</v>
      </c>
      <c r="L700">
        <v>0</v>
      </c>
      <c r="M700">
        <v>98</v>
      </c>
      <c r="N700">
        <v>6.69</v>
      </c>
      <c r="O700">
        <v>98</v>
      </c>
      <c r="P700">
        <v>0.1</v>
      </c>
      <c r="S700">
        <v>2</v>
      </c>
      <c r="T700">
        <v>2.1</v>
      </c>
      <c r="W700" t="b">
        <f>COUNT(LifeExpectancyData[[#This Row],[Life expectancy]:[Schooling]])=19</f>
        <v>0</v>
      </c>
    </row>
    <row r="701" spans="1:23" x14ac:dyDescent="0.25">
      <c r="A701" t="s">
        <v>318</v>
      </c>
      <c r="B701">
        <v>2005</v>
      </c>
      <c r="C701" t="s">
        <v>281</v>
      </c>
      <c r="D701">
        <v>75.900000000000006</v>
      </c>
      <c r="E701">
        <v>114</v>
      </c>
      <c r="F701">
        <v>0</v>
      </c>
      <c r="G701">
        <v>13.19</v>
      </c>
      <c r="H701">
        <v>0</v>
      </c>
      <c r="I701">
        <v>99</v>
      </c>
      <c r="J701">
        <v>0</v>
      </c>
      <c r="K701">
        <v>61.3</v>
      </c>
      <c r="L701">
        <v>0</v>
      </c>
      <c r="M701">
        <v>96</v>
      </c>
      <c r="N701">
        <v>6.93</v>
      </c>
      <c r="O701">
        <v>97</v>
      </c>
      <c r="P701">
        <v>0.1</v>
      </c>
      <c r="S701">
        <v>2.1</v>
      </c>
      <c r="T701">
        <v>2.1</v>
      </c>
      <c r="W701" t="b">
        <f>COUNT(LifeExpectancyData[[#This Row],[Life expectancy]:[Schooling]])=19</f>
        <v>0</v>
      </c>
    </row>
    <row r="702" spans="1:23" x14ac:dyDescent="0.25">
      <c r="A702" t="s">
        <v>318</v>
      </c>
      <c r="B702">
        <v>2004</v>
      </c>
      <c r="C702" t="s">
        <v>281</v>
      </c>
      <c r="D702">
        <v>75.8</v>
      </c>
      <c r="E702">
        <v>116</v>
      </c>
      <c r="F702">
        <v>0</v>
      </c>
      <c r="G702">
        <v>13.24</v>
      </c>
      <c r="H702">
        <v>0</v>
      </c>
      <c r="I702">
        <v>98</v>
      </c>
      <c r="J702">
        <v>17</v>
      </c>
      <c r="K702">
        <v>6.8</v>
      </c>
      <c r="L702">
        <v>0</v>
      </c>
      <c r="M702">
        <v>96</v>
      </c>
      <c r="N702">
        <v>6.9</v>
      </c>
      <c r="O702">
        <v>98</v>
      </c>
      <c r="P702">
        <v>0.1</v>
      </c>
      <c r="S702">
        <v>2.1</v>
      </c>
      <c r="T702">
        <v>2.2000000000000002</v>
      </c>
      <c r="W702" t="b">
        <f>COUNT(LifeExpectancyData[[#This Row],[Life expectancy]:[Schooling]])=19</f>
        <v>0</v>
      </c>
    </row>
    <row r="703" spans="1:23" x14ac:dyDescent="0.25">
      <c r="A703" t="s">
        <v>318</v>
      </c>
      <c r="B703">
        <v>2003</v>
      </c>
      <c r="C703" t="s">
        <v>281</v>
      </c>
      <c r="D703">
        <v>75.2</v>
      </c>
      <c r="E703">
        <v>122</v>
      </c>
      <c r="F703">
        <v>0</v>
      </c>
      <c r="G703">
        <v>13.01</v>
      </c>
      <c r="H703">
        <v>0</v>
      </c>
      <c r="I703">
        <v>92</v>
      </c>
      <c r="J703">
        <v>30</v>
      </c>
      <c r="K703">
        <v>6.4</v>
      </c>
      <c r="L703">
        <v>0</v>
      </c>
      <c r="M703">
        <v>97</v>
      </c>
      <c r="N703">
        <v>7.13</v>
      </c>
      <c r="O703">
        <v>97</v>
      </c>
      <c r="P703">
        <v>0.1</v>
      </c>
      <c r="S703">
        <v>2.2000000000000002</v>
      </c>
      <c r="T703">
        <v>2.2000000000000002</v>
      </c>
      <c r="W703" t="b">
        <f>COUNT(LifeExpectancyData[[#This Row],[Life expectancy]:[Schooling]])=19</f>
        <v>0</v>
      </c>
    </row>
    <row r="704" spans="1:23" x14ac:dyDescent="0.25">
      <c r="A704" t="s">
        <v>318</v>
      </c>
      <c r="B704">
        <v>2002</v>
      </c>
      <c r="C704" t="s">
        <v>281</v>
      </c>
      <c r="D704">
        <v>75.3</v>
      </c>
      <c r="E704">
        <v>12</v>
      </c>
      <c r="F704">
        <v>0</v>
      </c>
      <c r="G704">
        <v>13.47</v>
      </c>
      <c r="H704">
        <v>0</v>
      </c>
      <c r="I704">
        <v>86</v>
      </c>
      <c r="J704">
        <v>4</v>
      </c>
      <c r="K704">
        <v>59.9</v>
      </c>
      <c r="L704">
        <v>0</v>
      </c>
      <c r="M704">
        <v>97</v>
      </c>
      <c r="N704">
        <v>6.8</v>
      </c>
      <c r="O704">
        <v>98</v>
      </c>
      <c r="P704">
        <v>0.1</v>
      </c>
      <c r="S704">
        <v>2.2000000000000002</v>
      </c>
      <c r="T704">
        <v>2.2999999999999998</v>
      </c>
      <c r="W704" t="b">
        <f>COUNT(LifeExpectancyData[[#This Row],[Life expectancy]:[Schooling]])=19</f>
        <v>0</v>
      </c>
    </row>
    <row r="705" spans="1:23" x14ac:dyDescent="0.25">
      <c r="A705" t="s">
        <v>318</v>
      </c>
      <c r="B705">
        <v>2001</v>
      </c>
      <c r="C705" t="s">
        <v>281</v>
      </c>
      <c r="D705">
        <v>75.099999999999994</v>
      </c>
      <c r="E705">
        <v>123</v>
      </c>
      <c r="F705">
        <v>0</v>
      </c>
      <c r="G705">
        <v>13.36</v>
      </c>
      <c r="H705">
        <v>0</v>
      </c>
      <c r="J705">
        <v>6</v>
      </c>
      <c r="K705">
        <v>59.4</v>
      </c>
      <c r="L705">
        <v>0</v>
      </c>
      <c r="M705">
        <v>97</v>
      </c>
      <c r="N705">
        <v>6.42</v>
      </c>
      <c r="O705">
        <v>98</v>
      </c>
      <c r="P705">
        <v>0.1</v>
      </c>
      <c r="S705">
        <v>2.2000000000000002</v>
      </c>
      <c r="T705">
        <v>2.2999999999999998</v>
      </c>
      <c r="W705" t="b">
        <f>COUNT(LifeExpectancyData[[#This Row],[Life expectancy]:[Schooling]])=19</f>
        <v>0</v>
      </c>
    </row>
    <row r="706" spans="1:23" x14ac:dyDescent="0.25">
      <c r="A706" t="s">
        <v>318</v>
      </c>
      <c r="B706">
        <v>2000</v>
      </c>
      <c r="C706" t="s">
        <v>281</v>
      </c>
      <c r="D706">
        <v>74.7</v>
      </c>
      <c r="E706">
        <v>126</v>
      </c>
      <c r="F706">
        <v>0</v>
      </c>
      <c r="G706">
        <v>13.22</v>
      </c>
      <c r="H706">
        <v>0</v>
      </c>
      <c r="J706">
        <v>9</v>
      </c>
      <c r="K706">
        <v>59</v>
      </c>
      <c r="L706">
        <v>0</v>
      </c>
      <c r="M706">
        <v>98</v>
      </c>
      <c r="N706">
        <v>6.31</v>
      </c>
      <c r="O706">
        <v>98</v>
      </c>
      <c r="P706">
        <v>0.1</v>
      </c>
      <c r="S706">
        <v>2.2999999999999998</v>
      </c>
      <c r="T706">
        <v>2.2999999999999998</v>
      </c>
      <c r="W706" t="b">
        <f>COUNT(LifeExpectancyData[[#This Row],[Life expectancy]:[Schooling]])=19</f>
        <v>0</v>
      </c>
    </row>
    <row r="707" spans="1:23" x14ac:dyDescent="0.25">
      <c r="A707" t="s">
        <v>319</v>
      </c>
      <c r="B707">
        <v>2015</v>
      </c>
      <c r="C707" t="s">
        <v>273</v>
      </c>
      <c r="D707">
        <v>76</v>
      </c>
      <c r="E707">
        <v>139</v>
      </c>
      <c r="F707">
        <v>6</v>
      </c>
      <c r="H707">
        <v>0</v>
      </c>
      <c r="I707">
        <v>96</v>
      </c>
      <c r="J707">
        <v>0</v>
      </c>
      <c r="K707">
        <v>32.9</v>
      </c>
      <c r="L707">
        <v>7</v>
      </c>
      <c r="M707">
        <v>99</v>
      </c>
      <c r="O707">
        <v>96</v>
      </c>
      <c r="P707">
        <v>0.1</v>
      </c>
      <c r="S707">
        <v>4.9000000000000004</v>
      </c>
      <c r="T707">
        <v>4.9000000000000004</v>
      </c>
      <c r="W707" t="b">
        <f>COUNT(LifeExpectancyData[[#This Row],[Life expectancy]:[Schooling]])=19</f>
        <v>0</v>
      </c>
    </row>
    <row r="708" spans="1:23" x14ac:dyDescent="0.25">
      <c r="A708" t="s">
        <v>319</v>
      </c>
      <c r="B708">
        <v>2014</v>
      </c>
      <c r="C708" t="s">
        <v>273</v>
      </c>
      <c r="D708">
        <v>73</v>
      </c>
      <c r="E708">
        <v>142</v>
      </c>
      <c r="F708">
        <v>6</v>
      </c>
      <c r="G708">
        <v>0.01</v>
      </c>
      <c r="H708">
        <v>0</v>
      </c>
      <c r="I708">
        <v>93</v>
      </c>
      <c r="J708">
        <v>3</v>
      </c>
      <c r="K708">
        <v>32.4</v>
      </c>
      <c r="L708">
        <v>8</v>
      </c>
      <c r="M708">
        <v>99</v>
      </c>
      <c r="O708">
        <v>93</v>
      </c>
      <c r="P708">
        <v>0.1</v>
      </c>
      <c r="S708">
        <v>4.9000000000000004</v>
      </c>
      <c r="T708">
        <v>4.9000000000000004</v>
      </c>
      <c r="W708" t="b">
        <f>COUNT(LifeExpectancyData[[#This Row],[Life expectancy]:[Schooling]])=19</f>
        <v>0</v>
      </c>
    </row>
    <row r="709" spans="1:23" x14ac:dyDescent="0.25">
      <c r="A709" t="s">
        <v>319</v>
      </c>
      <c r="B709">
        <v>2013</v>
      </c>
      <c r="C709" t="s">
        <v>273</v>
      </c>
      <c r="D709">
        <v>71</v>
      </c>
      <c r="E709">
        <v>146</v>
      </c>
      <c r="F709">
        <v>6</v>
      </c>
      <c r="G709">
        <v>3.35</v>
      </c>
      <c r="H709">
        <v>0</v>
      </c>
      <c r="I709">
        <v>93</v>
      </c>
      <c r="J709">
        <v>0</v>
      </c>
      <c r="K709">
        <v>31.8</v>
      </c>
      <c r="L709">
        <v>8</v>
      </c>
      <c r="M709">
        <v>99</v>
      </c>
      <c r="O709">
        <v>93</v>
      </c>
      <c r="P709">
        <v>0.1</v>
      </c>
      <c r="S709">
        <v>5</v>
      </c>
      <c r="T709">
        <v>5</v>
      </c>
      <c r="W709" t="b">
        <f>COUNT(LifeExpectancyData[[#This Row],[Life expectancy]:[Schooling]])=19</f>
        <v>0</v>
      </c>
    </row>
    <row r="710" spans="1:23" x14ac:dyDescent="0.25">
      <c r="A710" t="s">
        <v>319</v>
      </c>
      <c r="B710">
        <v>2012</v>
      </c>
      <c r="C710" t="s">
        <v>273</v>
      </c>
      <c r="D710">
        <v>69.8</v>
      </c>
      <c r="E710">
        <v>149</v>
      </c>
      <c r="F710">
        <v>7</v>
      </c>
      <c r="G710">
        <v>3.61</v>
      </c>
      <c r="H710">
        <v>0</v>
      </c>
      <c r="I710">
        <v>96</v>
      </c>
      <c r="J710">
        <v>0</v>
      </c>
      <c r="K710">
        <v>31.3</v>
      </c>
      <c r="L710">
        <v>9</v>
      </c>
      <c r="M710">
        <v>99</v>
      </c>
      <c r="O710">
        <v>96</v>
      </c>
      <c r="P710">
        <v>0.1</v>
      </c>
      <c r="S710">
        <v>5.0999999999999996</v>
      </c>
      <c r="T710">
        <v>5.0999999999999996</v>
      </c>
      <c r="W710" t="b">
        <f>COUNT(LifeExpectancyData[[#This Row],[Life expectancy]:[Schooling]])=19</f>
        <v>0</v>
      </c>
    </row>
    <row r="711" spans="1:23" x14ac:dyDescent="0.25">
      <c r="A711" t="s">
        <v>319</v>
      </c>
      <c r="B711">
        <v>2011</v>
      </c>
      <c r="C711" t="s">
        <v>273</v>
      </c>
      <c r="D711">
        <v>69.400000000000006</v>
      </c>
      <c r="E711">
        <v>153</v>
      </c>
      <c r="F711">
        <v>8</v>
      </c>
      <c r="G711">
        <v>3.39</v>
      </c>
      <c r="H711">
        <v>0</v>
      </c>
      <c r="I711">
        <v>94</v>
      </c>
      <c r="J711">
        <v>0</v>
      </c>
      <c r="K711">
        <v>3.8</v>
      </c>
      <c r="L711">
        <v>10</v>
      </c>
      <c r="M711">
        <v>99</v>
      </c>
      <c r="O711">
        <v>94</v>
      </c>
      <c r="P711">
        <v>0.1</v>
      </c>
      <c r="S711">
        <v>5.0999999999999996</v>
      </c>
      <c r="T711">
        <v>5.2</v>
      </c>
      <c r="W711" t="b">
        <f>COUNT(LifeExpectancyData[[#This Row],[Life expectancy]:[Schooling]])=19</f>
        <v>0</v>
      </c>
    </row>
    <row r="712" spans="1:23" x14ac:dyDescent="0.25">
      <c r="A712" t="s">
        <v>319</v>
      </c>
      <c r="B712">
        <v>2010</v>
      </c>
      <c r="C712" t="s">
        <v>273</v>
      </c>
      <c r="D712">
        <v>69</v>
      </c>
      <c r="E712">
        <v>157</v>
      </c>
      <c r="F712">
        <v>8</v>
      </c>
      <c r="G712">
        <v>3.12</v>
      </c>
      <c r="H712">
        <v>0</v>
      </c>
      <c r="I712">
        <v>93</v>
      </c>
      <c r="J712">
        <v>0</v>
      </c>
      <c r="K712">
        <v>3.3</v>
      </c>
      <c r="L712">
        <v>10</v>
      </c>
      <c r="M712">
        <v>99</v>
      </c>
      <c r="O712">
        <v>93</v>
      </c>
      <c r="P712">
        <v>0.1</v>
      </c>
      <c r="S712">
        <v>5.2</v>
      </c>
      <c r="T712">
        <v>5.2</v>
      </c>
      <c r="W712" t="b">
        <f>COUNT(LifeExpectancyData[[#This Row],[Life expectancy]:[Schooling]])=19</f>
        <v>0</v>
      </c>
    </row>
    <row r="713" spans="1:23" x14ac:dyDescent="0.25">
      <c r="A713" t="s">
        <v>319</v>
      </c>
      <c r="B713">
        <v>2009</v>
      </c>
      <c r="C713" t="s">
        <v>273</v>
      </c>
      <c r="D713">
        <v>68.7</v>
      </c>
      <c r="E713">
        <v>161</v>
      </c>
      <c r="F713">
        <v>9</v>
      </c>
      <c r="G713">
        <v>3.35</v>
      </c>
      <c r="H713">
        <v>0</v>
      </c>
      <c r="I713">
        <v>93</v>
      </c>
      <c r="J713">
        <v>0</v>
      </c>
      <c r="K713">
        <v>29.7</v>
      </c>
      <c r="L713">
        <v>11</v>
      </c>
      <c r="M713">
        <v>98</v>
      </c>
      <c r="O713">
        <v>93</v>
      </c>
      <c r="P713">
        <v>0.1</v>
      </c>
      <c r="S713">
        <v>5.3</v>
      </c>
      <c r="T713">
        <v>5.3</v>
      </c>
      <c r="W713" t="b">
        <f>COUNT(LifeExpectancyData[[#This Row],[Life expectancy]:[Schooling]])=19</f>
        <v>0</v>
      </c>
    </row>
    <row r="714" spans="1:23" x14ac:dyDescent="0.25">
      <c r="A714" t="s">
        <v>319</v>
      </c>
      <c r="B714">
        <v>2008</v>
      </c>
      <c r="C714" t="s">
        <v>273</v>
      </c>
      <c r="D714">
        <v>68.599999999999994</v>
      </c>
      <c r="E714">
        <v>164</v>
      </c>
      <c r="F714">
        <v>9</v>
      </c>
      <c r="G714">
        <v>3.16</v>
      </c>
      <c r="H714">
        <v>0</v>
      </c>
      <c r="I714">
        <v>92</v>
      </c>
      <c r="J714">
        <v>8</v>
      </c>
      <c r="K714">
        <v>29.2</v>
      </c>
      <c r="L714">
        <v>12</v>
      </c>
      <c r="M714">
        <v>98</v>
      </c>
      <c r="O714">
        <v>92</v>
      </c>
      <c r="P714">
        <v>0.1</v>
      </c>
      <c r="S714">
        <v>5.4</v>
      </c>
      <c r="T714">
        <v>5.4</v>
      </c>
      <c r="W714" t="b">
        <f>COUNT(LifeExpectancyData[[#This Row],[Life expectancy]:[Schooling]])=19</f>
        <v>0</v>
      </c>
    </row>
    <row r="715" spans="1:23" x14ac:dyDescent="0.25">
      <c r="A715" t="s">
        <v>319</v>
      </c>
      <c r="B715">
        <v>2007</v>
      </c>
      <c r="C715" t="s">
        <v>273</v>
      </c>
      <c r="D715">
        <v>68.5</v>
      </c>
      <c r="E715">
        <v>166</v>
      </c>
      <c r="F715">
        <v>9</v>
      </c>
      <c r="G715">
        <v>3.13</v>
      </c>
      <c r="H715">
        <v>0</v>
      </c>
      <c r="I715">
        <v>92</v>
      </c>
      <c r="J715">
        <v>3550</v>
      </c>
      <c r="K715">
        <v>28.7</v>
      </c>
      <c r="L715">
        <v>12</v>
      </c>
      <c r="M715">
        <v>99</v>
      </c>
      <c r="O715">
        <v>92</v>
      </c>
      <c r="P715">
        <v>0.1</v>
      </c>
      <c r="S715">
        <v>5.5</v>
      </c>
      <c r="T715">
        <v>5.5</v>
      </c>
      <c r="W715" t="b">
        <f>COUNT(LifeExpectancyData[[#This Row],[Life expectancy]:[Schooling]])=19</f>
        <v>0</v>
      </c>
    </row>
    <row r="716" spans="1:23" x14ac:dyDescent="0.25">
      <c r="A716" t="s">
        <v>319</v>
      </c>
      <c r="B716">
        <v>2006</v>
      </c>
      <c r="C716" t="s">
        <v>273</v>
      </c>
      <c r="D716">
        <v>68.5</v>
      </c>
      <c r="E716">
        <v>165</v>
      </c>
      <c r="F716">
        <v>10</v>
      </c>
      <c r="G716">
        <v>3.28</v>
      </c>
      <c r="H716">
        <v>0</v>
      </c>
      <c r="I716">
        <v>96</v>
      </c>
      <c r="J716">
        <v>0</v>
      </c>
      <c r="K716">
        <v>28.2</v>
      </c>
      <c r="L716">
        <v>12</v>
      </c>
      <c r="M716">
        <v>98</v>
      </c>
      <c r="O716">
        <v>89</v>
      </c>
      <c r="P716">
        <v>0.1</v>
      </c>
      <c r="S716">
        <v>5.6</v>
      </c>
      <c r="T716">
        <v>5.6</v>
      </c>
      <c r="W716" t="b">
        <f>COUNT(LifeExpectancyData[[#This Row],[Life expectancy]:[Schooling]])=19</f>
        <v>0</v>
      </c>
    </row>
    <row r="717" spans="1:23" x14ac:dyDescent="0.25">
      <c r="A717" t="s">
        <v>319</v>
      </c>
      <c r="B717">
        <v>2005</v>
      </c>
      <c r="C717" t="s">
        <v>273</v>
      </c>
      <c r="D717">
        <v>68.5</v>
      </c>
      <c r="E717">
        <v>165</v>
      </c>
      <c r="F717">
        <v>10</v>
      </c>
      <c r="G717">
        <v>3.21</v>
      </c>
      <c r="H717">
        <v>0</v>
      </c>
      <c r="I717">
        <v>92</v>
      </c>
      <c r="J717">
        <v>0</v>
      </c>
      <c r="K717">
        <v>27.7</v>
      </c>
      <c r="L717">
        <v>13</v>
      </c>
      <c r="M717">
        <v>97</v>
      </c>
      <c r="O717">
        <v>79</v>
      </c>
      <c r="P717">
        <v>0.1</v>
      </c>
      <c r="S717">
        <v>5.7</v>
      </c>
      <c r="T717">
        <v>5.7</v>
      </c>
      <c r="W717" t="b">
        <f>COUNT(LifeExpectancyData[[#This Row],[Life expectancy]:[Schooling]])=19</f>
        <v>0</v>
      </c>
    </row>
    <row r="718" spans="1:23" x14ac:dyDescent="0.25">
      <c r="A718" t="s">
        <v>319</v>
      </c>
      <c r="B718">
        <v>2004</v>
      </c>
      <c r="C718" t="s">
        <v>273</v>
      </c>
      <c r="D718">
        <v>68.400000000000006</v>
      </c>
      <c r="E718">
        <v>165</v>
      </c>
      <c r="F718">
        <v>11</v>
      </c>
      <c r="G718">
        <v>3.13</v>
      </c>
      <c r="H718">
        <v>0</v>
      </c>
      <c r="I718">
        <v>98</v>
      </c>
      <c r="J718">
        <v>0</v>
      </c>
      <c r="K718">
        <v>27.2</v>
      </c>
      <c r="L718">
        <v>14</v>
      </c>
      <c r="M718">
        <v>99</v>
      </c>
      <c r="O718">
        <v>72</v>
      </c>
      <c r="P718">
        <v>0.1</v>
      </c>
      <c r="S718">
        <v>5.7</v>
      </c>
      <c r="T718">
        <v>5.7</v>
      </c>
      <c r="W718" t="b">
        <f>COUNT(LifeExpectancyData[[#This Row],[Life expectancy]:[Schooling]])=19</f>
        <v>0</v>
      </c>
    </row>
    <row r="719" spans="1:23" x14ac:dyDescent="0.25">
      <c r="A719" t="s">
        <v>319</v>
      </c>
      <c r="B719">
        <v>2003</v>
      </c>
      <c r="C719" t="s">
        <v>273</v>
      </c>
      <c r="D719">
        <v>68.099999999999994</v>
      </c>
      <c r="E719">
        <v>165</v>
      </c>
      <c r="F719">
        <v>12</v>
      </c>
      <c r="G719">
        <v>3.13</v>
      </c>
      <c r="H719">
        <v>0</v>
      </c>
      <c r="I719">
        <v>27</v>
      </c>
      <c r="J719">
        <v>0</v>
      </c>
      <c r="K719">
        <v>26.7</v>
      </c>
      <c r="L719">
        <v>15</v>
      </c>
      <c r="M719">
        <v>99</v>
      </c>
      <c r="O719">
        <v>68</v>
      </c>
      <c r="P719">
        <v>0.1</v>
      </c>
      <c r="S719">
        <v>5.8</v>
      </c>
      <c r="T719">
        <v>5.8</v>
      </c>
      <c r="W719" t="b">
        <f>COUNT(LifeExpectancyData[[#This Row],[Life expectancy]:[Schooling]])=19</f>
        <v>0</v>
      </c>
    </row>
    <row r="720" spans="1:23" x14ac:dyDescent="0.25">
      <c r="A720" t="s">
        <v>319</v>
      </c>
      <c r="B720">
        <v>2002</v>
      </c>
      <c r="C720" t="s">
        <v>273</v>
      </c>
      <c r="D720">
        <v>67.599999999999994</v>
      </c>
      <c r="E720">
        <v>167</v>
      </c>
      <c r="F720">
        <v>14</v>
      </c>
      <c r="G720">
        <v>3.08</v>
      </c>
      <c r="H720">
        <v>0</v>
      </c>
      <c r="J720">
        <v>0</v>
      </c>
      <c r="K720">
        <v>26.2</v>
      </c>
      <c r="L720">
        <v>18</v>
      </c>
      <c r="M720">
        <v>99</v>
      </c>
      <c r="O720">
        <v>64</v>
      </c>
      <c r="P720">
        <v>0.1</v>
      </c>
      <c r="S720">
        <v>5.9</v>
      </c>
      <c r="T720">
        <v>5.9</v>
      </c>
      <c r="W720" t="b">
        <f>COUNT(LifeExpectancyData[[#This Row],[Life expectancy]:[Schooling]])=19</f>
        <v>0</v>
      </c>
    </row>
    <row r="721" spans="1:23" x14ac:dyDescent="0.25">
      <c r="A721" t="s">
        <v>319</v>
      </c>
      <c r="B721">
        <v>2001</v>
      </c>
      <c r="C721" t="s">
        <v>273</v>
      </c>
      <c r="D721">
        <v>66.599999999999994</v>
      </c>
      <c r="E721">
        <v>177</v>
      </c>
      <c r="F721">
        <v>16</v>
      </c>
      <c r="G721">
        <v>2.5299999999999998</v>
      </c>
      <c r="H721">
        <v>0</v>
      </c>
      <c r="J721">
        <v>0</v>
      </c>
      <c r="K721">
        <v>25.7</v>
      </c>
      <c r="L721">
        <v>21</v>
      </c>
      <c r="M721">
        <v>98</v>
      </c>
      <c r="O721">
        <v>62</v>
      </c>
      <c r="P721">
        <v>0.1</v>
      </c>
      <c r="S721">
        <v>5.9</v>
      </c>
      <c r="T721">
        <v>6</v>
      </c>
      <c r="W721" t="b">
        <f>COUNT(LifeExpectancyData[[#This Row],[Life expectancy]:[Schooling]])=19</f>
        <v>0</v>
      </c>
    </row>
    <row r="722" spans="1:23" x14ac:dyDescent="0.25">
      <c r="A722" t="s">
        <v>319</v>
      </c>
      <c r="B722">
        <v>2000</v>
      </c>
      <c r="C722" t="s">
        <v>273</v>
      </c>
      <c r="D722">
        <v>65.400000000000006</v>
      </c>
      <c r="E722">
        <v>192</v>
      </c>
      <c r="F722">
        <v>18</v>
      </c>
      <c r="G722">
        <v>3.52</v>
      </c>
      <c r="H722">
        <v>0</v>
      </c>
      <c r="J722">
        <v>0</v>
      </c>
      <c r="K722">
        <v>25.2</v>
      </c>
      <c r="L722">
        <v>25</v>
      </c>
      <c r="M722">
        <v>93</v>
      </c>
      <c r="O722">
        <v>56</v>
      </c>
      <c r="P722">
        <v>0.1</v>
      </c>
      <c r="S722">
        <v>6</v>
      </c>
      <c r="T722">
        <v>6</v>
      </c>
      <c r="W722" t="b">
        <f>COUNT(LifeExpectancyData[[#This Row],[Life expectancy]:[Schooling]])=19</f>
        <v>0</v>
      </c>
    </row>
    <row r="723" spans="1:23" x14ac:dyDescent="0.25">
      <c r="A723" t="s">
        <v>320</v>
      </c>
      <c r="B723">
        <v>2015</v>
      </c>
      <c r="C723" t="s">
        <v>273</v>
      </c>
      <c r="D723">
        <v>59.8</v>
      </c>
      <c r="E723">
        <v>258</v>
      </c>
      <c r="F723">
        <v>236</v>
      </c>
      <c r="H723">
        <v>0</v>
      </c>
      <c r="I723">
        <v>81</v>
      </c>
      <c r="J723">
        <v>5020</v>
      </c>
      <c r="K723">
        <v>21.6</v>
      </c>
      <c r="L723">
        <v>308</v>
      </c>
      <c r="M723">
        <v>78</v>
      </c>
      <c r="O723">
        <v>81</v>
      </c>
      <c r="P723">
        <v>1.1000000000000001</v>
      </c>
      <c r="S723">
        <v>9.5</v>
      </c>
      <c r="T723">
        <v>9.3000000000000007</v>
      </c>
      <c r="W723" t="b">
        <f>COUNT(LifeExpectancyData[[#This Row],[Life expectancy]:[Schooling]])=19</f>
        <v>0</v>
      </c>
    </row>
    <row r="724" spans="1:23" x14ac:dyDescent="0.25">
      <c r="A724" t="s">
        <v>320</v>
      </c>
      <c r="B724">
        <v>2014</v>
      </c>
      <c r="C724" t="s">
        <v>273</v>
      </c>
      <c r="D724">
        <v>59.3</v>
      </c>
      <c r="E724">
        <v>266</v>
      </c>
      <c r="F724">
        <v>237</v>
      </c>
      <c r="G724">
        <v>0.01</v>
      </c>
      <c r="H724">
        <v>0</v>
      </c>
      <c r="I724">
        <v>8</v>
      </c>
      <c r="J724">
        <v>33711</v>
      </c>
      <c r="K724">
        <v>21.1</v>
      </c>
      <c r="L724">
        <v>312</v>
      </c>
      <c r="M724">
        <v>79</v>
      </c>
      <c r="N724">
        <v>4.33</v>
      </c>
      <c r="O724">
        <v>8</v>
      </c>
      <c r="P724">
        <v>1.1000000000000001</v>
      </c>
      <c r="S724">
        <v>9.6999999999999993</v>
      </c>
      <c r="T724">
        <v>9.5</v>
      </c>
      <c r="W724" t="b">
        <f>COUNT(LifeExpectancyData[[#This Row],[Life expectancy]:[Schooling]])=19</f>
        <v>0</v>
      </c>
    </row>
    <row r="725" spans="1:23" x14ac:dyDescent="0.25">
      <c r="A725" t="s">
        <v>320</v>
      </c>
      <c r="B725">
        <v>2013</v>
      </c>
      <c r="C725" t="s">
        <v>273</v>
      </c>
      <c r="D725">
        <v>58.8</v>
      </c>
      <c r="E725">
        <v>272</v>
      </c>
      <c r="F725">
        <v>238</v>
      </c>
      <c r="G725">
        <v>0.01</v>
      </c>
      <c r="H725">
        <v>0</v>
      </c>
      <c r="I725">
        <v>74</v>
      </c>
      <c r="J725">
        <v>88381</v>
      </c>
      <c r="K725">
        <v>2.6</v>
      </c>
      <c r="L725">
        <v>314</v>
      </c>
      <c r="M725">
        <v>74</v>
      </c>
      <c r="N725">
        <v>3.89</v>
      </c>
      <c r="O725">
        <v>74</v>
      </c>
      <c r="P725">
        <v>1.2</v>
      </c>
      <c r="S725">
        <v>9.9</v>
      </c>
      <c r="T725">
        <v>9.6</v>
      </c>
      <c r="W725" t="b">
        <f>COUNT(LifeExpectancyData[[#This Row],[Life expectancy]:[Schooling]])=19</f>
        <v>0</v>
      </c>
    </row>
    <row r="726" spans="1:23" x14ac:dyDescent="0.25">
      <c r="A726" t="s">
        <v>320</v>
      </c>
      <c r="B726">
        <v>2012</v>
      </c>
      <c r="C726" t="s">
        <v>273</v>
      </c>
      <c r="D726">
        <v>58.3</v>
      </c>
      <c r="E726">
        <v>277</v>
      </c>
      <c r="F726">
        <v>239</v>
      </c>
      <c r="G726">
        <v>0.01</v>
      </c>
      <c r="H726">
        <v>0</v>
      </c>
      <c r="I726">
        <v>75</v>
      </c>
      <c r="J726">
        <v>72029</v>
      </c>
      <c r="K726">
        <v>2.1</v>
      </c>
      <c r="L726">
        <v>317</v>
      </c>
      <c r="M726">
        <v>76</v>
      </c>
      <c r="N726">
        <v>3.77</v>
      </c>
      <c r="O726">
        <v>75</v>
      </c>
      <c r="P726">
        <v>1.5</v>
      </c>
      <c r="S726">
        <v>1</v>
      </c>
      <c r="T726">
        <v>9.8000000000000007</v>
      </c>
      <c r="W726" t="b">
        <f>COUNT(LifeExpectancyData[[#This Row],[Life expectancy]:[Schooling]])=19</f>
        <v>0</v>
      </c>
    </row>
    <row r="727" spans="1:23" x14ac:dyDescent="0.25">
      <c r="A727" t="s">
        <v>320</v>
      </c>
      <c r="B727">
        <v>2011</v>
      </c>
      <c r="C727" t="s">
        <v>273</v>
      </c>
      <c r="D727">
        <v>57.9</v>
      </c>
      <c r="E727">
        <v>278</v>
      </c>
      <c r="F727">
        <v>239</v>
      </c>
      <c r="G727">
        <v>1.82</v>
      </c>
      <c r="H727">
        <v>0</v>
      </c>
      <c r="I727">
        <v>74</v>
      </c>
      <c r="J727">
        <v>133802</v>
      </c>
      <c r="K727">
        <v>19.600000000000001</v>
      </c>
      <c r="L727">
        <v>319</v>
      </c>
      <c r="M727">
        <v>77</v>
      </c>
      <c r="N727">
        <v>3.53</v>
      </c>
      <c r="O727">
        <v>74</v>
      </c>
      <c r="P727">
        <v>1.6</v>
      </c>
      <c r="S727">
        <v>1.2</v>
      </c>
      <c r="T727">
        <v>1</v>
      </c>
      <c r="W727" t="b">
        <f>COUNT(LifeExpectancyData[[#This Row],[Life expectancy]:[Schooling]])=19</f>
        <v>0</v>
      </c>
    </row>
    <row r="728" spans="1:23" x14ac:dyDescent="0.25">
      <c r="A728" t="s">
        <v>320</v>
      </c>
      <c r="B728">
        <v>2010</v>
      </c>
      <c r="C728" t="s">
        <v>273</v>
      </c>
      <c r="D728">
        <v>57.4</v>
      </c>
      <c r="E728">
        <v>283</v>
      </c>
      <c r="F728">
        <v>239</v>
      </c>
      <c r="G728">
        <v>1.81</v>
      </c>
      <c r="H728">
        <v>0</v>
      </c>
      <c r="I728">
        <v>6</v>
      </c>
      <c r="J728">
        <v>5407</v>
      </c>
      <c r="K728">
        <v>19.100000000000001</v>
      </c>
      <c r="L728">
        <v>321</v>
      </c>
      <c r="M728">
        <v>76</v>
      </c>
      <c r="N728">
        <v>4.4000000000000004</v>
      </c>
      <c r="O728">
        <v>6</v>
      </c>
      <c r="P728">
        <v>1.6</v>
      </c>
      <c r="S728">
        <v>1.4</v>
      </c>
      <c r="T728">
        <v>1.2</v>
      </c>
      <c r="W728" t="b">
        <f>COUNT(LifeExpectancyData[[#This Row],[Life expectancy]:[Schooling]])=19</f>
        <v>0</v>
      </c>
    </row>
    <row r="729" spans="1:23" x14ac:dyDescent="0.25">
      <c r="A729" t="s">
        <v>320</v>
      </c>
      <c r="B729">
        <v>2009</v>
      </c>
      <c r="C729" t="s">
        <v>273</v>
      </c>
      <c r="D729">
        <v>56.7</v>
      </c>
      <c r="E729">
        <v>292</v>
      </c>
      <c r="F729">
        <v>238</v>
      </c>
      <c r="G729">
        <v>2.13</v>
      </c>
      <c r="H729">
        <v>0</v>
      </c>
      <c r="I729">
        <v>72</v>
      </c>
      <c r="J729">
        <v>57</v>
      </c>
      <c r="K729">
        <v>18.600000000000001</v>
      </c>
      <c r="L729">
        <v>323</v>
      </c>
      <c r="M729">
        <v>78</v>
      </c>
      <c r="N729">
        <v>5.61</v>
      </c>
      <c r="O729">
        <v>72</v>
      </c>
      <c r="P729">
        <v>1.7</v>
      </c>
      <c r="S729">
        <v>1.6</v>
      </c>
      <c r="T729">
        <v>1.4</v>
      </c>
      <c r="W729" t="b">
        <f>COUNT(LifeExpectancyData[[#This Row],[Life expectancy]:[Schooling]])=19</f>
        <v>0</v>
      </c>
    </row>
    <row r="730" spans="1:23" x14ac:dyDescent="0.25">
      <c r="A730" t="s">
        <v>320</v>
      </c>
      <c r="B730">
        <v>2008</v>
      </c>
      <c r="C730" t="s">
        <v>273</v>
      </c>
      <c r="D730">
        <v>56.3</v>
      </c>
      <c r="E730">
        <v>295</v>
      </c>
      <c r="F730">
        <v>237</v>
      </c>
      <c r="G730">
        <v>2.09</v>
      </c>
      <c r="H730">
        <v>0</v>
      </c>
      <c r="I730">
        <v>65</v>
      </c>
      <c r="J730">
        <v>12461</v>
      </c>
      <c r="K730">
        <v>18.2</v>
      </c>
      <c r="L730">
        <v>324</v>
      </c>
      <c r="M730">
        <v>64</v>
      </c>
      <c r="N730">
        <v>4.46</v>
      </c>
      <c r="O730">
        <v>65</v>
      </c>
      <c r="P730">
        <v>1.8</v>
      </c>
      <c r="S730">
        <v>1.8</v>
      </c>
      <c r="T730">
        <v>1.7</v>
      </c>
      <c r="W730" t="b">
        <f>COUNT(LifeExpectancyData[[#This Row],[Life expectancy]:[Schooling]])=19</f>
        <v>0</v>
      </c>
    </row>
    <row r="731" spans="1:23" x14ac:dyDescent="0.25">
      <c r="A731" t="s">
        <v>320</v>
      </c>
      <c r="B731">
        <v>2007</v>
      </c>
      <c r="C731" t="s">
        <v>273</v>
      </c>
      <c r="D731">
        <v>55.7</v>
      </c>
      <c r="E731">
        <v>299</v>
      </c>
      <c r="F731">
        <v>236</v>
      </c>
      <c r="G731">
        <v>1.52</v>
      </c>
      <c r="H731">
        <v>0</v>
      </c>
      <c r="I731">
        <v>7</v>
      </c>
      <c r="J731">
        <v>55577</v>
      </c>
      <c r="K731">
        <v>17.8</v>
      </c>
      <c r="L731">
        <v>326</v>
      </c>
      <c r="M731">
        <v>72</v>
      </c>
      <c r="N731">
        <v>3.61</v>
      </c>
      <c r="O731">
        <v>7</v>
      </c>
      <c r="P731">
        <v>1.9</v>
      </c>
      <c r="S731">
        <v>11.1</v>
      </c>
      <c r="T731">
        <v>1.9</v>
      </c>
      <c r="W731" t="b">
        <f>COUNT(LifeExpectancyData[[#This Row],[Life expectancy]:[Schooling]])=19</f>
        <v>0</v>
      </c>
    </row>
    <row r="732" spans="1:23" x14ac:dyDescent="0.25">
      <c r="A732" t="s">
        <v>320</v>
      </c>
      <c r="B732">
        <v>2006</v>
      </c>
      <c r="C732" t="s">
        <v>273</v>
      </c>
      <c r="D732">
        <v>55</v>
      </c>
      <c r="E732">
        <v>36</v>
      </c>
      <c r="F732">
        <v>235</v>
      </c>
      <c r="G732">
        <v>1.53</v>
      </c>
      <c r="H732">
        <v>0</v>
      </c>
      <c r="J732">
        <v>80123</v>
      </c>
      <c r="K732">
        <v>17.3</v>
      </c>
      <c r="L732">
        <v>327</v>
      </c>
      <c r="M732">
        <v>62</v>
      </c>
      <c r="N732">
        <v>3.39</v>
      </c>
      <c r="O732">
        <v>62</v>
      </c>
      <c r="P732">
        <v>2</v>
      </c>
      <c r="S732">
        <v>11.3</v>
      </c>
      <c r="T732">
        <v>11.1</v>
      </c>
      <c r="W732" t="b">
        <f>COUNT(LifeExpectancyData[[#This Row],[Life expectancy]:[Schooling]])=19</f>
        <v>0</v>
      </c>
    </row>
    <row r="733" spans="1:23" x14ac:dyDescent="0.25">
      <c r="A733" t="s">
        <v>320</v>
      </c>
      <c r="B733">
        <v>2005</v>
      </c>
      <c r="C733" t="s">
        <v>273</v>
      </c>
      <c r="D733">
        <v>54.3</v>
      </c>
      <c r="E733">
        <v>314</v>
      </c>
      <c r="F733">
        <v>233</v>
      </c>
      <c r="G733">
        <v>1.43</v>
      </c>
      <c r="H733">
        <v>0</v>
      </c>
      <c r="J733">
        <v>182485</v>
      </c>
      <c r="K733">
        <v>16.899999999999999</v>
      </c>
      <c r="L733">
        <v>329</v>
      </c>
      <c r="M733">
        <v>6</v>
      </c>
      <c r="N733">
        <v>3.14</v>
      </c>
      <c r="O733">
        <v>6</v>
      </c>
      <c r="P733">
        <v>2</v>
      </c>
      <c r="S733">
        <v>11.5</v>
      </c>
      <c r="T733">
        <v>11.3</v>
      </c>
      <c r="W733" t="b">
        <f>COUNT(LifeExpectancyData[[#This Row],[Life expectancy]:[Schooling]])=19</f>
        <v>0</v>
      </c>
    </row>
    <row r="734" spans="1:23" x14ac:dyDescent="0.25">
      <c r="A734" t="s">
        <v>320</v>
      </c>
      <c r="B734">
        <v>2004</v>
      </c>
      <c r="C734" t="s">
        <v>273</v>
      </c>
      <c r="D734">
        <v>53.5</v>
      </c>
      <c r="E734">
        <v>323</v>
      </c>
      <c r="F734">
        <v>232</v>
      </c>
      <c r="G734">
        <v>1.44</v>
      </c>
      <c r="H734">
        <v>0</v>
      </c>
      <c r="J734">
        <v>44934</v>
      </c>
      <c r="K734">
        <v>16.5</v>
      </c>
      <c r="L734">
        <v>330</v>
      </c>
      <c r="M734">
        <v>52</v>
      </c>
      <c r="N734">
        <v>3.34</v>
      </c>
      <c r="O734">
        <v>54</v>
      </c>
      <c r="P734">
        <v>2.1</v>
      </c>
      <c r="S734">
        <v>11.7</v>
      </c>
      <c r="T734">
        <v>11.5</v>
      </c>
      <c r="W734" t="b">
        <f>COUNT(LifeExpectancyData[[#This Row],[Life expectancy]:[Schooling]])=19</f>
        <v>0</v>
      </c>
    </row>
    <row r="735" spans="1:23" x14ac:dyDescent="0.25">
      <c r="A735" t="s">
        <v>320</v>
      </c>
      <c r="B735">
        <v>2003</v>
      </c>
      <c r="C735" t="s">
        <v>273</v>
      </c>
      <c r="D735">
        <v>52.8</v>
      </c>
      <c r="E735">
        <v>332</v>
      </c>
      <c r="F735">
        <v>231</v>
      </c>
      <c r="G735">
        <v>1.83</v>
      </c>
      <c r="H735">
        <v>0</v>
      </c>
      <c r="J735">
        <v>21956</v>
      </c>
      <c r="K735">
        <v>16.100000000000001</v>
      </c>
      <c r="L735">
        <v>331</v>
      </c>
      <c r="M735">
        <v>47</v>
      </c>
      <c r="N735">
        <v>3.2</v>
      </c>
      <c r="O735">
        <v>41</v>
      </c>
      <c r="P735">
        <v>2.2000000000000002</v>
      </c>
      <c r="S735">
        <v>11.9</v>
      </c>
      <c r="T735">
        <v>11.7</v>
      </c>
      <c r="W735" t="b">
        <f>COUNT(LifeExpectancyData[[#This Row],[Life expectancy]:[Schooling]])=19</f>
        <v>0</v>
      </c>
    </row>
    <row r="736" spans="1:23" x14ac:dyDescent="0.25">
      <c r="A736" t="s">
        <v>320</v>
      </c>
      <c r="B736">
        <v>2002</v>
      </c>
      <c r="C736" t="s">
        <v>273</v>
      </c>
      <c r="D736">
        <v>52.1</v>
      </c>
      <c r="E736">
        <v>341</v>
      </c>
      <c r="F736">
        <v>229</v>
      </c>
      <c r="G736">
        <v>1.85</v>
      </c>
      <c r="H736">
        <v>0</v>
      </c>
      <c r="J736">
        <v>30466</v>
      </c>
      <c r="K736">
        <v>15.7</v>
      </c>
      <c r="L736">
        <v>331</v>
      </c>
      <c r="M736">
        <v>4</v>
      </c>
      <c r="N736">
        <v>2.59</v>
      </c>
      <c r="O736">
        <v>38</v>
      </c>
      <c r="P736">
        <v>2.4</v>
      </c>
      <c r="S736">
        <v>12.1</v>
      </c>
      <c r="T736">
        <v>11.9</v>
      </c>
      <c r="W736" t="b">
        <f>COUNT(LifeExpectancyData[[#This Row],[Life expectancy]:[Schooling]])=19</f>
        <v>0</v>
      </c>
    </row>
    <row r="737" spans="1:23" x14ac:dyDescent="0.25">
      <c r="A737" t="s">
        <v>320</v>
      </c>
      <c r="B737">
        <v>2001</v>
      </c>
      <c r="C737" t="s">
        <v>273</v>
      </c>
      <c r="D737">
        <v>51.8</v>
      </c>
      <c r="E737">
        <v>34</v>
      </c>
      <c r="F737">
        <v>227</v>
      </c>
      <c r="G737">
        <v>1.9</v>
      </c>
      <c r="H737">
        <v>0</v>
      </c>
      <c r="J737">
        <v>8072</v>
      </c>
      <c r="K737">
        <v>15.3</v>
      </c>
      <c r="L737">
        <v>332</v>
      </c>
      <c r="M737">
        <v>3</v>
      </c>
      <c r="N737">
        <v>2.67</v>
      </c>
      <c r="O737">
        <v>3</v>
      </c>
      <c r="P737">
        <v>2.4</v>
      </c>
      <c r="S737">
        <v>12.2</v>
      </c>
      <c r="T737">
        <v>12.1</v>
      </c>
      <c r="W737" t="b">
        <f>COUNT(LifeExpectancyData[[#This Row],[Life expectancy]:[Schooling]])=19</f>
        <v>0</v>
      </c>
    </row>
    <row r="738" spans="1:23" x14ac:dyDescent="0.25">
      <c r="A738" t="s">
        <v>320</v>
      </c>
      <c r="B738">
        <v>2000</v>
      </c>
      <c r="C738" t="s">
        <v>273</v>
      </c>
      <c r="D738">
        <v>51.3</v>
      </c>
      <c r="E738">
        <v>346</v>
      </c>
      <c r="F738">
        <v>226</v>
      </c>
      <c r="G738">
        <v>1.98</v>
      </c>
      <c r="H738">
        <v>0</v>
      </c>
      <c r="J738">
        <v>8282</v>
      </c>
      <c r="K738">
        <v>14.9</v>
      </c>
      <c r="L738">
        <v>332</v>
      </c>
      <c r="M738">
        <v>42</v>
      </c>
      <c r="N738">
        <v>1.45</v>
      </c>
      <c r="O738">
        <v>4</v>
      </c>
      <c r="P738">
        <v>2.5</v>
      </c>
      <c r="S738">
        <v>12.4</v>
      </c>
      <c r="T738">
        <v>12.3</v>
      </c>
      <c r="W738" t="b">
        <f>COUNT(LifeExpectancyData[[#This Row],[Life expectancy]:[Schooling]])=19</f>
        <v>0</v>
      </c>
    </row>
    <row r="739" spans="1:23" x14ac:dyDescent="0.25">
      <c r="A739" t="s">
        <v>321</v>
      </c>
      <c r="B739">
        <v>2015</v>
      </c>
      <c r="C739" t="s">
        <v>281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COUNT(LifeExpectancyData[[#This Row],[Life expectancy]:[Schooling]])=19</f>
        <v>0</v>
      </c>
    </row>
    <row r="740" spans="1:23" x14ac:dyDescent="0.25">
      <c r="A740" t="s">
        <v>321</v>
      </c>
      <c r="B740">
        <v>2014</v>
      </c>
      <c r="C740" t="s">
        <v>281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COUNT(LifeExpectancyData[[#This Row],[Life expectancy]:[Schooling]])=19</f>
        <v>0</v>
      </c>
    </row>
    <row r="741" spans="1:23" x14ac:dyDescent="0.25">
      <c r="A741" t="s">
        <v>321</v>
      </c>
      <c r="B741">
        <v>2013</v>
      </c>
      <c r="C741" t="s">
        <v>281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COUNT(LifeExpectancyData[[#This Row],[Life expectancy]:[Schooling]])=19</f>
        <v>0</v>
      </c>
    </row>
    <row r="742" spans="1:23" x14ac:dyDescent="0.25">
      <c r="A742" t="s">
        <v>321</v>
      </c>
      <c r="B742">
        <v>2012</v>
      </c>
      <c r="C742" t="s">
        <v>281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COUNT(LifeExpectancyData[[#This Row],[Life expectancy]:[Schooling]])=19</f>
        <v>0</v>
      </c>
    </row>
    <row r="743" spans="1:23" x14ac:dyDescent="0.25">
      <c r="A743" t="s">
        <v>321</v>
      </c>
      <c r="B743">
        <v>2011</v>
      </c>
      <c r="C743" t="s">
        <v>281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COUNT(LifeExpectancyData[[#This Row],[Life expectancy]:[Schooling]])=19</f>
        <v>0</v>
      </c>
    </row>
    <row r="744" spans="1:23" x14ac:dyDescent="0.25">
      <c r="A744" t="s">
        <v>321</v>
      </c>
      <c r="B744">
        <v>2010</v>
      </c>
      <c r="C744" t="s">
        <v>281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COUNT(LifeExpectancyData[[#This Row],[Life expectancy]:[Schooling]])=19</f>
        <v>0</v>
      </c>
    </row>
    <row r="745" spans="1:23" x14ac:dyDescent="0.25">
      <c r="A745" t="s">
        <v>321</v>
      </c>
      <c r="B745">
        <v>2009</v>
      </c>
      <c r="C745" t="s">
        <v>281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COUNT(LifeExpectancyData[[#This Row],[Life expectancy]:[Schooling]])=19</f>
        <v>0</v>
      </c>
    </row>
    <row r="746" spans="1:23" x14ac:dyDescent="0.25">
      <c r="A746" t="s">
        <v>321</v>
      </c>
      <c r="B746">
        <v>2008</v>
      </c>
      <c r="C746" t="s">
        <v>281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COUNT(LifeExpectancyData[[#This Row],[Life expectancy]:[Schooling]])=19</f>
        <v>0</v>
      </c>
    </row>
    <row r="747" spans="1:23" x14ac:dyDescent="0.25">
      <c r="A747" t="s">
        <v>321</v>
      </c>
      <c r="B747">
        <v>2007</v>
      </c>
      <c r="C747" t="s">
        <v>281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COUNT(LifeExpectancyData[[#This Row],[Life expectancy]:[Schooling]])=19</f>
        <v>0</v>
      </c>
    </row>
    <row r="748" spans="1:23" x14ac:dyDescent="0.25">
      <c r="A748" t="s">
        <v>321</v>
      </c>
      <c r="B748">
        <v>2006</v>
      </c>
      <c r="C748" t="s">
        <v>281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COUNT(LifeExpectancyData[[#This Row],[Life expectancy]:[Schooling]])=19</f>
        <v>0</v>
      </c>
    </row>
    <row r="749" spans="1:23" x14ac:dyDescent="0.25">
      <c r="A749" t="s">
        <v>321</v>
      </c>
      <c r="B749">
        <v>2005</v>
      </c>
      <c r="C749" t="s">
        <v>281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COUNT(LifeExpectancyData[[#This Row],[Life expectancy]:[Schooling]])=19</f>
        <v>0</v>
      </c>
    </row>
    <row r="750" spans="1:23" x14ac:dyDescent="0.25">
      <c r="A750" t="s">
        <v>321</v>
      </c>
      <c r="B750">
        <v>2004</v>
      </c>
      <c r="C750" t="s">
        <v>281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COUNT(LifeExpectancyData[[#This Row],[Life expectancy]:[Schooling]])=19</f>
        <v>0</v>
      </c>
    </row>
    <row r="751" spans="1:23" x14ac:dyDescent="0.25">
      <c r="A751" t="s">
        <v>321</v>
      </c>
      <c r="B751">
        <v>2003</v>
      </c>
      <c r="C751" t="s">
        <v>281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COUNT(LifeExpectancyData[[#This Row],[Life expectancy]:[Schooling]])=19</f>
        <v>0</v>
      </c>
    </row>
    <row r="752" spans="1:23" x14ac:dyDescent="0.25">
      <c r="A752" t="s">
        <v>321</v>
      </c>
      <c r="B752">
        <v>2002</v>
      </c>
      <c r="C752" t="s">
        <v>281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COUNT(LifeExpectancyData[[#This Row],[Life expectancy]:[Schooling]])=19</f>
        <v>0</v>
      </c>
    </row>
    <row r="753" spans="1:23" x14ac:dyDescent="0.25">
      <c r="A753" t="s">
        <v>321</v>
      </c>
      <c r="B753">
        <v>2001</v>
      </c>
      <c r="C753" t="s">
        <v>281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COUNT(LifeExpectancyData[[#This Row],[Life expectancy]:[Schooling]])=19</f>
        <v>0</v>
      </c>
    </row>
    <row r="754" spans="1:23" x14ac:dyDescent="0.25">
      <c r="A754" t="s">
        <v>321</v>
      </c>
      <c r="B754">
        <v>2000</v>
      </c>
      <c r="C754" t="s">
        <v>281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COUNT(LifeExpectancyData[[#This Row],[Life expectancy]:[Schooling]])=19</f>
        <v>0</v>
      </c>
    </row>
    <row r="755" spans="1:23" x14ac:dyDescent="0.25">
      <c r="A755" t="s">
        <v>322</v>
      </c>
      <c r="B755">
        <v>2015</v>
      </c>
      <c r="C755" t="s">
        <v>273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COUNT(LifeExpectancyData[[#This Row],[Life expectancy]:[Schooling]])=19</f>
        <v>0</v>
      </c>
    </row>
    <row r="756" spans="1:23" x14ac:dyDescent="0.25">
      <c r="A756" t="s">
        <v>322</v>
      </c>
      <c r="B756">
        <v>2014</v>
      </c>
      <c r="C756" t="s">
        <v>273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COUNT(LifeExpectancyData[[#This Row],[Life expectancy]:[Schooling]])=19</f>
        <v>1</v>
      </c>
    </row>
    <row r="757" spans="1:23" x14ac:dyDescent="0.25">
      <c r="A757" t="s">
        <v>322</v>
      </c>
      <c r="B757">
        <v>2013</v>
      </c>
      <c r="C757" t="s">
        <v>273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COUNT(LifeExpectancyData[[#This Row],[Life expectancy]:[Schooling]])=19</f>
        <v>1</v>
      </c>
    </row>
    <row r="758" spans="1:23" x14ac:dyDescent="0.25">
      <c r="A758" t="s">
        <v>322</v>
      </c>
      <c r="B758">
        <v>2012</v>
      </c>
      <c r="C758" t="s">
        <v>273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COUNT(LifeExpectancyData[[#This Row],[Life expectancy]:[Schooling]])=19</f>
        <v>1</v>
      </c>
    </row>
    <row r="759" spans="1:23" x14ac:dyDescent="0.25">
      <c r="A759" t="s">
        <v>322</v>
      </c>
      <c r="B759">
        <v>2011</v>
      </c>
      <c r="C759" t="s">
        <v>273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COUNT(LifeExpectancyData[[#This Row],[Life expectancy]:[Schooling]])=19</f>
        <v>1</v>
      </c>
    </row>
    <row r="760" spans="1:23" x14ac:dyDescent="0.25">
      <c r="A760" t="s">
        <v>322</v>
      </c>
      <c r="B760">
        <v>2010</v>
      </c>
      <c r="C760" t="s">
        <v>273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COUNT(LifeExpectancyData[[#This Row],[Life expectancy]:[Schooling]])=19</f>
        <v>1</v>
      </c>
    </row>
    <row r="761" spans="1:23" x14ac:dyDescent="0.25">
      <c r="A761" t="s">
        <v>322</v>
      </c>
      <c r="B761">
        <v>2009</v>
      </c>
      <c r="C761" t="s">
        <v>273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COUNT(LifeExpectancyData[[#This Row],[Life expectancy]:[Schooling]])=19</f>
        <v>1</v>
      </c>
    </row>
    <row r="762" spans="1:23" x14ac:dyDescent="0.25">
      <c r="A762" t="s">
        <v>322</v>
      </c>
      <c r="B762">
        <v>2008</v>
      </c>
      <c r="C762" t="s">
        <v>273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COUNT(LifeExpectancyData[[#This Row],[Life expectancy]:[Schooling]])=19</f>
        <v>1</v>
      </c>
    </row>
    <row r="763" spans="1:23" x14ac:dyDescent="0.25">
      <c r="A763" t="s">
        <v>322</v>
      </c>
      <c r="B763">
        <v>2007</v>
      </c>
      <c r="C763" t="s">
        <v>273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COUNT(LifeExpectancyData[[#This Row],[Life expectancy]:[Schooling]])=19</f>
        <v>1</v>
      </c>
    </row>
    <row r="764" spans="1:23" x14ac:dyDescent="0.25">
      <c r="A764" t="s">
        <v>322</v>
      </c>
      <c r="B764">
        <v>2006</v>
      </c>
      <c r="C764" t="s">
        <v>273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COUNT(LifeExpectancyData[[#This Row],[Life expectancy]:[Schooling]])=19</f>
        <v>0</v>
      </c>
    </row>
    <row r="765" spans="1:23" x14ac:dyDescent="0.25">
      <c r="A765" t="s">
        <v>322</v>
      </c>
      <c r="B765">
        <v>2005</v>
      </c>
      <c r="C765" t="s">
        <v>273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COUNT(LifeExpectancyData[[#This Row],[Life expectancy]:[Schooling]])=19</f>
        <v>0</v>
      </c>
    </row>
    <row r="766" spans="1:23" x14ac:dyDescent="0.25">
      <c r="A766" t="s">
        <v>322</v>
      </c>
      <c r="B766">
        <v>2004</v>
      </c>
      <c r="C766" t="s">
        <v>273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COUNT(LifeExpectancyData[[#This Row],[Life expectancy]:[Schooling]])=19</f>
        <v>0</v>
      </c>
    </row>
    <row r="767" spans="1:23" x14ac:dyDescent="0.25">
      <c r="A767" t="s">
        <v>322</v>
      </c>
      <c r="B767">
        <v>2003</v>
      </c>
      <c r="C767" t="s">
        <v>273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COUNT(LifeExpectancyData[[#This Row],[Life expectancy]:[Schooling]])=19</f>
        <v>0</v>
      </c>
    </row>
    <row r="768" spans="1:23" x14ac:dyDescent="0.25">
      <c r="A768" t="s">
        <v>322</v>
      </c>
      <c r="B768">
        <v>2002</v>
      </c>
      <c r="C768" t="s">
        <v>273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COUNT(LifeExpectancyData[[#This Row],[Life expectancy]:[Schooling]])=19</f>
        <v>0</v>
      </c>
    </row>
    <row r="769" spans="1:23" x14ac:dyDescent="0.25">
      <c r="A769" t="s">
        <v>322</v>
      </c>
      <c r="B769">
        <v>2001</v>
      </c>
      <c r="C769" t="s">
        <v>273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COUNT(LifeExpectancyData[[#This Row],[Life expectancy]:[Schooling]])=19</f>
        <v>0</v>
      </c>
    </row>
    <row r="770" spans="1:23" x14ac:dyDescent="0.25">
      <c r="A770" t="s">
        <v>322</v>
      </c>
      <c r="B770">
        <v>2000</v>
      </c>
      <c r="C770" t="s">
        <v>273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COUNT(LifeExpectancyData[[#This Row],[Life expectancy]:[Schooling]])=19</f>
        <v>0</v>
      </c>
    </row>
    <row r="771" spans="1:23" x14ac:dyDescent="0.25">
      <c r="A771" t="s">
        <v>323</v>
      </c>
      <c r="B771">
        <v>2013</v>
      </c>
      <c r="C771" t="s">
        <v>273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COUNT(LifeExpectancyData[[#This Row],[Life expectancy]:[Schooling]])=19</f>
        <v>0</v>
      </c>
    </row>
    <row r="772" spans="1:23" x14ac:dyDescent="0.25">
      <c r="A772" t="s">
        <v>324</v>
      </c>
      <c r="B772">
        <v>2015</v>
      </c>
      <c r="C772" t="s">
        <v>273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COUNT(LifeExpectancyData[[#This Row],[Life expectancy]:[Schooling]])=19</f>
        <v>0</v>
      </c>
    </row>
    <row r="773" spans="1:23" x14ac:dyDescent="0.25">
      <c r="A773" t="s">
        <v>324</v>
      </c>
      <c r="B773">
        <v>2014</v>
      </c>
      <c r="C773" t="s">
        <v>273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COUNT(LifeExpectancyData[[#This Row],[Life expectancy]:[Schooling]])=19</f>
        <v>1</v>
      </c>
    </row>
    <row r="774" spans="1:23" x14ac:dyDescent="0.25">
      <c r="A774" t="s">
        <v>324</v>
      </c>
      <c r="B774">
        <v>2013</v>
      </c>
      <c r="C774" t="s">
        <v>273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COUNT(LifeExpectancyData[[#This Row],[Life expectancy]:[Schooling]])=19</f>
        <v>1</v>
      </c>
    </row>
    <row r="775" spans="1:23" x14ac:dyDescent="0.25">
      <c r="A775" t="s">
        <v>324</v>
      </c>
      <c r="B775">
        <v>2012</v>
      </c>
      <c r="C775" t="s">
        <v>273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COUNT(LifeExpectancyData[[#This Row],[Life expectancy]:[Schooling]])=19</f>
        <v>1</v>
      </c>
    </row>
    <row r="776" spans="1:23" x14ac:dyDescent="0.25">
      <c r="A776" t="s">
        <v>324</v>
      </c>
      <c r="B776">
        <v>2011</v>
      </c>
      <c r="C776" t="s">
        <v>273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COUNT(LifeExpectancyData[[#This Row],[Life expectancy]:[Schooling]])=19</f>
        <v>1</v>
      </c>
    </row>
    <row r="777" spans="1:23" x14ac:dyDescent="0.25">
      <c r="A777" t="s">
        <v>324</v>
      </c>
      <c r="B777">
        <v>2010</v>
      </c>
      <c r="C777" t="s">
        <v>273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COUNT(LifeExpectancyData[[#This Row],[Life expectancy]:[Schooling]])=19</f>
        <v>1</v>
      </c>
    </row>
    <row r="778" spans="1:23" x14ac:dyDescent="0.25">
      <c r="A778" t="s">
        <v>324</v>
      </c>
      <c r="B778">
        <v>2009</v>
      </c>
      <c r="C778" t="s">
        <v>273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COUNT(LifeExpectancyData[[#This Row],[Life expectancy]:[Schooling]])=19</f>
        <v>1</v>
      </c>
    </row>
    <row r="779" spans="1:23" x14ac:dyDescent="0.25">
      <c r="A779" t="s">
        <v>324</v>
      </c>
      <c r="B779">
        <v>2008</v>
      </c>
      <c r="C779" t="s">
        <v>273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COUNT(LifeExpectancyData[[#This Row],[Life expectancy]:[Schooling]])=19</f>
        <v>1</v>
      </c>
    </row>
    <row r="780" spans="1:23" x14ac:dyDescent="0.25">
      <c r="A780" t="s">
        <v>324</v>
      </c>
      <c r="B780">
        <v>2007</v>
      </c>
      <c r="C780" t="s">
        <v>273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COUNT(LifeExpectancyData[[#This Row],[Life expectancy]:[Schooling]])=19</f>
        <v>1</v>
      </c>
    </row>
    <row r="781" spans="1:23" x14ac:dyDescent="0.25">
      <c r="A781" t="s">
        <v>324</v>
      </c>
      <c r="B781">
        <v>2006</v>
      </c>
      <c r="C781" t="s">
        <v>273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COUNT(LifeExpectancyData[[#This Row],[Life expectancy]:[Schooling]])=19</f>
        <v>1</v>
      </c>
    </row>
    <row r="782" spans="1:23" x14ac:dyDescent="0.25">
      <c r="A782" t="s">
        <v>324</v>
      </c>
      <c r="B782">
        <v>2005</v>
      </c>
      <c r="C782" t="s">
        <v>273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COUNT(LifeExpectancyData[[#This Row],[Life expectancy]:[Schooling]])=19</f>
        <v>1</v>
      </c>
    </row>
    <row r="783" spans="1:23" x14ac:dyDescent="0.25">
      <c r="A783" t="s">
        <v>324</v>
      </c>
      <c r="B783">
        <v>2004</v>
      </c>
      <c r="C783" t="s">
        <v>273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COUNT(LifeExpectancyData[[#This Row],[Life expectancy]:[Schooling]])=19</f>
        <v>1</v>
      </c>
    </row>
    <row r="784" spans="1:23" x14ac:dyDescent="0.25">
      <c r="A784" t="s">
        <v>324</v>
      </c>
      <c r="B784">
        <v>2003</v>
      </c>
      <c r="C784" t="s">
        <v>273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COUNT(LifeExpectancyData[[#This Row],[Life expectancy]:[Schooling]])=19</f>
        <v>1</v>
      </c>
    </row>
    <row r="785" spans="1:23" x14ac:dyDescent="0.25">
      <c r="A785" t="s">
        <v>324</v>
      </c>
      <c r="B785">
        <v>2002</v>
      </c>
      <c r="C785" t="s">
        <v>273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COUNT(LifeExpectancyData[[#This Row],[Life expectancy]:[Schooling]])=19</f>
        <v>1</v>
      </c>
    </row>
    <row r="786" spans="1:23" x14ac:dyDescent="0.25">
      <c r="A786" t="s">
        <v>324</v>
      </c>
      <c r="B786">
        <v>2001</v>
      </c>
      <c r="C786" t="s">
        <v>273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COUNT(LifeExpectancyData[[#This Row],[Life expectancy]:[Schooling]])=19</f>
        <v>1</v>
      </c>
    </row>
    <row r="787" spans="1:23" x14ac:dyDescent="0.25">
      <c r="A787" t="s">
        <v>324</v>
      </c>
      <c r="B787">
        <v>2000</v>
      </c>
      <c r="C787" t="s">
        <v>273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COUNT(LifeExpectancyData[[#This Row],[Life expectancy]:[Schooling]])=19</f>
        <v>1</v>
      </c>
    </row>
    <row r="788" spans="1:23" x14ac:dyDescent="0.25">
      <c r="A788" t="s">
        <v>325</v>
      </c>
      <c r="B788">
        <v>2015</v>
      </c>
      <c r="C788" t="s">
        <v>273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COUNT(LifeExpectancyData[[#This Row],[Life expectancy]:[Schooling]])=19</f>
        <v>0</v>
      </c>
    </row>
    <row r="789" spans="1:23" x14ac:dyDescent="0.25">
      <c r="A789" t="s">
        <v>325</v>
      </c>
      <c r="B789">
        <v>2014</v>
      </c>
      <c r="C789" t="s">
        <v>273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COUNT(LifeExpectancyData[[#This Row],[Life expectancy]:[Schooling]])=19</f>
        <v>1</v>
      </c>
    </row>
    <row r="790" spans="1:23" x14ac:dyDescent="0.25">
      <c r="A790" t="s">
        <v>325</v>
      </c>
      <c r="B790">
        <v>2013</v>
      </c>
      <c r="C790" t="s">
        <v>273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COUNT(LifeExpectancyData[[#This Row],[Life expectancy]:[Schooling]])=19</f>
        <v>1</v>
      </c>
    </row>
    <row r="791" spans="1:23" x14ac:dyDescent="0.25">
      <c r="A791" t="s">
        <v>325</v>
      </c>
      <c r="B791">
        <v>2012</v>
      </c>
      <c r="C791" t="s">
        <v>273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COUNT(LifeExpectancyData[[#This Row],[Life expectancy]:[Schooling]])=19</f>
        <v>1</v>
      </c>
    </row>
    <row r="792" spans="1:23" x14ac:dyDescent="0.25">
      <c r="A792" t="s">
        <v>325</v>
      </c>
      <c r="B792">
        <v>2011</v>
      </c>
      <c r="C792" t="s">
        <v>273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COUNT(LifeExpectancyData[[#This Row],[Life expectancy]:[Schooling]])=19</f>
        <v>1</v>
      </c>
    </row>
    <row r="793" spans="1:23" x14ac:dyDescent="0.25">
      <c r="A793" t="s">
        <v>325</v>
      </c>
      <c r="B793">
        <v>2010</v>
      </c>
      <c r="C793" t="s">
        <v>273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COUNT(LifeExpectancyData[[#This Row],[Life expectancy]:[Schooling]])=19</f>
        <v>1</v>
      </c>
    </row>
    <row r="794" spans="1:23" x14ac:dyDescent="0.25">
      <c r="A794" t="s">
        <v>325</v>
      </c>
      <c r="B794">
        <v>2009</v>
      </c>
      <c r="C794" t="s">
        <v>273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COUNT(LifeExpectancyData[[#This Row],[Life expectancy]:[Schooling]])=19</f>
        <v>1</v>
      </c>
    </row>
    <row r="795" spans="1:23" x14ac:dyDescent="0.25">
      <c r="A795" t="s">
        <v>325</v>
      </c>
      <c r="B795">
        <v>2008</v>
      </c>
      <c r="C795" t="s">
        <v>273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COUNT(LifeExpectancyData[[#This Row],[Life expectancy]:[Schooling]])=19</f>
        <v>1</v>
      </c>
    </row>
    <row r="796" spans="1:23" x14ac:dyDescent="0.25">
      <c r="A796" t="s">
        <v>325</v>
      </c>
      <c r="B796">
        <v>2007</v>
      </c>
      <c r="C796" t="s">
        <v>273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COUNT(LifeExpectancyData[[#This Row],[Life expectancy]:[Schooling]])=19</f>
        <v>1</v>
      </c>
    </row>
    <row r="797" spans="1:23" x14ac:dyDescent="0.25">
      <c r="A797" t="s">
        <v>325</v>
      </c>
      <c r="B797">
        <v>2006</v>
      </c>
      <c r="C797" t="s">
        <v>273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COUNT(LifeExpectancyData[[#This Row],[Life expectancy]:[Schooling]])=19</f>
        <v>1</v>
      </c>
    </row>
    <row r="798" spans="1:23" x14ac:dyDescent="0.25">
      <c r="A798" t="s">
        <v>325</v>
      </c>
      <c r="B798">
        <v>2005</v>
      </c>
      <c r="C798" t="s">
        <v>273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COUNT(LifeExpectancyData[[#This Row],[Life expectancy]:[Schooling]])=19</f>
        <v>1</v>
      </c>
    </row>
    <row r="799" spans="1:23" x14ac:dyDescent="0.25">
      <c r="A799" t="s">
        <v>325</v>
      </c>
      <c r="B799">
        <v>2004</v>
      </c>
      <c r="C799" t="s">
        <v>273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COUNT(LifeExpectancyData[[#This Row],[Life expectancy]:[Schooling]])=19</f>
        <v>1</v>
      </c>
    </row>
    <row r="800" spans="1:23" x14ac:dyDescent="0.25">
      <c r="A800" t="s">
        <v>325</v>
      </c>
      <c r="B800">
        <v>2003</v>
      </c>
      <c r="C800" t="s">
        <v>273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COUNT(LifeExpectancyData[[#This Row],[Life expectancy]:[Schooling]])=19</f>
        <v>1</v>
      </c>
    </row>
    <row r="801" spans="1:23" x14ac:dyDescent="0.25">
      <c r="A801" t="s">
        <v>325</v>
      </c>
      <c r="B801">
        <v>2002</v>
      </c>
      <c r="C801" t="s">
        <v>273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COUNT(LifeExpectancyData[[#This Row],[Life expectancy]:[Schooling]])=19</f>
        <v>1</v>
      </c>
    </row>
    <row r="802" spans="1:23" x14ac:dyDescent="0.25">
      <c r="A802" t="s">
        <v>325</v>
      </c>
      <c r="B802">
        <v>2001</v>
      </c>
      <c r="C802" t="s">
        <v>273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COUNT(LifeExpectancyData[[#This Row],[Life expectancy]:[Schooling]])=19</f>
        <v>1</v>
      </c>
    </row>
    <row r="803" spans="1:23" x14ac:dyDescent="0.25">
      <c r="A803" t="s">
        <v>325</v>
      </c>
      <c r="B803">
        <v>2000</v>
      </c>
      <c r="C803" t="s">
        <v>273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COUNT(LifeExpectancyData[[#This Row],[Life expectancy]:[Schooling]])=19</f>
        <v>1</v>
      </c>
    </row>
    <row r="804" spans="1:23" x14ac:dyDescent="0.25">
      <c r="A804" t="s">
        <v>326</v>
      </c>
      <c r="B804">
        <v>2015</v>
      </c>
      <c r="C804" t="s">
        <v>273</v>
      </c>
      <c r="D804">
        <v>79</v>
      </c>
      <c r="E804">
        <v>159</v>
      </c>
      <c r="F804">
        <v>51</v>
      </c>
      <c r="H804">
        <v>0</v>
      </c>
      <c r="I804">
        <v>93</v>
      </c>
      <c r="J804">
        <v>5432</v>
      </c>
      <c r="K804">
        <v>61.1</v>
      </c>
      <c r="L804">
        <v>60</v>
      </c>
      <c r="M804">
        <v>93</v>
      </c>
      <c r="O804">
        <v>93</v>
      </c>
      <c r="P804">
        <v>0.1</v>
      </c>
      <c r="S804">
        <v>2.8</v>
      </c>
      <c r="T804">
        <v>2.8</v>
      </c>
      <c r="U804">
        <v>0.68799999999999994</v>
      </c>
      <c r="V804">
        <v>13.1</v>
      </c>
      <c r="W804" t="b">
        <f>COUNT(LifeExpectancyData[[#This Row],[Life expectancy]:[Schooling]])=19</f>
        <v>0</v>
      </c>
    </row>
    <row r="805" spans="1:23" x14ac:dyDescent="0.25">
      <c r="A805" t="s">
        <v>326</v>
      </c>
      <c r="B805">
        <v>2014</v>
      </c>
      <c r="C805" t="s">
        <v>273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COUNT(LifeExpectancyData[[#This Row],[Life expectancy]:[Schooling]])=19</f>
        <v>0</v>
      </c>
    </row>
    <row r="806" spans="1:23" x14ac:dyDescent="0.25">
      <c r="A806" t="s">
        <v>326</v>
      </c>
      <c r="B806">
        <v>2013</v>
      </c>
      <c r="C806" t="s">
        <v>273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COUNT(LifeExpectancyData[[#This Row],[Life expectancy]:[Schooling]])=19</f>
        <v>0</v>
      </c>
    </row>
    <row r="807" spans="1:23" x14ac:dyDescent="0.25">
      <c r="A807" t="s">
        <v>326</v>
      </c>
      <c r="B807">
        <v>2012</v>
      </c>
      <c r="C807" t="s">
        <v>273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COUNT(LifeExpectancyData[[#This Row],[Life expectancy]:[Schooling]])=19</f>
        <v>0</v>
      </c>
    </row>
    <row r="808" spans="1:23" x14ac:dyDescent="0.25">
      <c r="A808" t="s">
        <v>326</v>
      </c>
      <c r="B808">
        <v>2011</v>
      </c>
      <c r="C808" t="s">
        <v>273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COUNT(LifeExpectancyData[[#This Row],[Life expectancy]:[Schooling]])=19</f>
        <v>0</v>
      </c>
    </row>
    <row r="809" spans="1:23" x14ac:dyDescent="0.25">
      <c r="A809" t="s">
        <v>326</v>
      </c>
      <c r="B809">
        <v>2010</v>
      </c>
      <c r="C809" t="s">
        <v>273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COUNT(LifeExpectancyData[[#This Row],[Life expectancy]:[Schooling]])=19</f>
        <v>0</v>
      </c>
    </row>
    <row r="810" spans="1:23" x14ac:dyDescent="0.25">
      <c r="A810" t="s">
        <v>326</v>
      </c>
      <c r="B810">
        <v>2009</v>
      </c>
      <c r="C810" t="s">
        <v>273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COUNT(LifeExpectancyData[[#This Row],[Life expectancy]:[Schooling]])=19</f>
        <v>0</v>
      </c>
    </row>
    <row r="811" spans="1:23" x14ac:dyDescent="0.25">
      <c r="A811" t="s">
        <v>326</v>
      </c>
      <c r="B811">
        <v>2008</v>
      </c>
      <c r="C811" t="s">
        <v>273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COUNT(LifeExpectancyData[[#This Row],[Life expectancy]:[Schooling]])=19</f>
        <v>0</v>
      </c>
    </row>
    <row r="812" spans="1:23" x14ac:dyDescent="0.25">
      <c r="A812" t="s">
        <v>326</v>
      </c>
      <c r="B812">
        <v>2007</v>
      </c>
      <c r="C812" t="s">
        <v>273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COUNT(LifeExpectancyData[[#This Row],[Life expectancy]:[Schooling]])=19</f>
        <v>0</v>
      </c>
    </row>
    <row r="813" spans="1:23" x14ac:dyDescent="0.25">
      <c r="A813" t="s">
        <v>326</v>
      </c>
      <c r="B813">
        <v>2006</v>
      </c>
      <c r="C813" t="s">
        <v>273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COUNT(LifeExpectancyData[[#This Row],[Life expectancy]:[Schooling]])=19</f>
        <v>0</v>
      </c>
    </row>
    <row r="814" spans="1:23" x14ac:dyDescent="0.25">
      <c r="A814" t="s">
        <v>326</v>
      </c>
      <c r="B814">
        <v>2005</v>
      </c>
      <c r="C814" t="s">
        <v>273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COUNT(LifeExpectancyData[[#This Row],[Life expectancy]:[Schooling]])=19</f>
        <v>0</v>
      </c>
    </row>
    <row r="815" spans="1:23" x14ac:dyDescent="0.25">
      <c r="A815" t="s">
        <v>326</v>
      </c>
      <c r="B815">
        <v>2004</v>
      </c>
      <c r="C815" t="s">
        <v>273</v>
      </c>
      <c r="D815">
        <v>69</v>
      </c>
      <c r="E815">
        <v>176</v>
      </c>
      <c r="F815">
        <v>57</v>
      </c>
      <c r="G815">
        <v>0.16</v>
      </c>
      <c r="H815">
        <v>0</v>
      </c>
      <c r="I815">
        <v>97</v>
      </c>
      <c r="J815">
        <v>80</v>
      </c>
      <c r="K815">
        <v>52.9</v>
      </c>
      <c r="L815">
        <v>70</v>
      </c>
      <c r="M815">
        <v>97</v>
      </c>
      <c r="N815">
        <v>5.21</v>
      </c>
      <c r="O815">
        <v>97</v>
      </c>
      <c r="P815">
        <v>0.1</v>
      </c>
      <c r="S815">
        <v>3.3</v>
      </c>
      <c r="T815">
        <v>3.2</v>
      </c>
      <c r="U815">
        <v>0.623</v>
      </c>
      <c r="V815">
        <v>11.2</v>
      </c>
      <c r="W815" t="b">
        <f>COUNT(LifeExpectancyData[[#This Row],[Life expectancy]:[Schooling]])=19</f>
        <v>0</v>
      </c>
    </row>
    <row r="816" spans="1:23" x14ac:dyDescent="0.25">
      <c r="A816" t="s">
        <v>326</v>
      </c>
      <c r="B816">
        <v>2003</v>
      </c>
      <c r="C816" t="s">
        <v>273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COUNT(LifeExpectancyData[[#This Row],[Life expectancy]:[Schooling]])=19</f>
        <v>0</v>
      </c>
    </row>
    <row r="817" spans="1:23" x14ac:dyDescent="0.25">
      <c r="A817" t="s">
        <v>326</v>
      </c>
      <c r="B817">
        <v>2002</v>
      </c>
      <c r="C817" t="s">
        <v>273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COUNT(LifeExpectancyData[[#This Row],[Life expectancy]:[Schooling]])=19</f>
        <v>0</v>
      </c>
    </row>
    <row r="818" spans="1:23" x14ac:dyDescent="0.25">
      <c r="A818" t="s">
        <v>326</v>
      </c>
      <c r="B818">
        <v>2001</v>
      </c>
      <c r="C818" t="s">
        <v>273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COUNT(LifeExpectancyData[[#This Row],[Life expectancy]:[Schooling]])=19</f>
        <v>0</v>
      </c>
    </row>
    <row r="819" spans="1:23" x14ac:dyDescent="0.25">
      <c r="A819" t="s">
        <v>326</v>
      </c>
      <c r="B819">
        <v>2000</v>
      </c>
      <c r="C819" t="s">
        <v>273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COUNT(LifeExpectancyData[[#This Row],[Life expectancy]:[Schooling]])=19</f>
        <v>0</v>
      </c>
    </row>
    <row r="820" spans="1:23" x14ac:dyDescent="0.25">
      <c r="A820" t="s">
        <v>327</v>
      </c>
      <c r="B820">
        <v>2015</v>
      </c>
      <c r="C820" t="s">
        <v>273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COUNT(LifeExpectancyData[[#This Row],[Life expectancy]:[Schooling]])=19</f>
        <v>0</v>
      </c>
    </row>
    <row r="821" spans="1:23" x14ac:dyDescent="0.25">
      <c r="A821" t="s">
        <v>327</v>
      </c>
      <c r="B821">
        <v>2014</v>
      </c>
      <c r="C821" t="s">
        <v>273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COUNT(LifeExpectancyData[[#This Row],[Life expectancy]:[Schooling]])=19</f>
        <v>1</v>
      </c>
    </row>
    <row r="822" spans="1:23" x14ac:dyDescent="0.25">
      <c r="A822" t="s">
        <v>327</v>
      </c>
      <c r="B822">
        <v>2013</v>
      </c>
      <c r="C822" t="s">
        <v>273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COUNT(LifeExpectancyData[[#This Row],[Life expectancy]:[Schooling]])=19</f>
        <v>1</v>
      </c>
    </row>
    <row r="823" spans="1:23" x14ac:dyDescent="0.25">
      <c r="A823" t="s">
        <v>327</v>
      </c>
      <c r="B823">
        <v>2012</v>
      </c>
      <c r="C823" t="s">
        <v>273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COUNT(LifeExpectancyData[[#This Row],[Life expectancy]:[Schooling]])=19</f>
        <v>1</v>
      </c>
    </row>
    <row r="824" spans="1:23" x14ac:dyDescent="0.25">
      <c r="A824" t="s">
        <v>327</v>
      </c>
      <c r="B824">
        <v>2011</v>
      </c>
      <c r="C824" t="s">
        <v>273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COUNT(LifeExpectancyData[[#This Row],[Life expectancy]:[Schooling]])=19</f>
        <v>1</v>
      </c>
    </row>
    <row r="825" spans="1:23" x14ac:dyDescent="0.25">
      <c r="A825" t="s">
        <v>327</v>
      </c>
      <c r="B825">
        <v>2010</v>
      </c>
      <c r="C825" t="s">
        <v>273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COUNT(LifeExpectancyData[[#This Row],[Life expectancy]:[Schooling]])=19</f>
        <v>1</v>
      </c>
    </row>
    <row r="826" spans="1:23" x14ac:dyDescent="0.25">
      <c r="A826" t="s">
        <v>327</v>
      </c>
      <c r="B826">
        <v>2009</v>
      </c>
      <c r="C826" t="s">
        <v>273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COUNT(LifeExpectancyData[[#This Row],[Life expectancy]:[Schooling]])=19</f>
        <v>1</v>
      </c>
    </row>
    <row r="827" spans="1:23" x14ac:dyDescent="0.25">
      <c r="A827" t="s">
        <v>327</v>
      </c>
      <c r="B827">
        <v>2008</v>
      </c>
      <c r="C827" t="s">
        <v>273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COUNT(LifeExpectancyData[[#This Row],[Life expectancy]:[Schooling]])=19</f>
        <v>1</v>
      </c>
    </row>
    <row r="828" spans="1:23" x14ac:dyDescent="0.25">
      <c r="A828" t="s">
        <v>327</v>
      </c>
      <c r="B828">
        <v>2007</v>
      </c>
      <c r="C828" t="s">
        <v>273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COUNT(LifeExpectancyData[[#This Row],[Life expectancy]:[Schooling]])=19</f>
        <v>1</v>
      </c>
    </row>
    <row r="829" spans="1:23" x14ac:dyDescent="0.25">
      <c r="A829" t="s">
        <v>327</v>
      </c>
      <c r="B829">
        <v>2006</v>
      </c>
      <c r="C829" t="s">
        <v>273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COUNT(LifeExpectancyData[[#This Row],[Life expectancy]:[Schooling]])=19</f>
        <v>1</v>
      </c>
    </row>
    <row r="830" spans="1:23" x14ac:dyDescent="0.25">
      <c r="A830" t="s">
        <v>327</v>
      </c>
      <c r="B830">
        <v>2005</v>
      </c>
      <c r="C830" t="s">
        <v>273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COUNT(LifeExpectancyData[[#This Row],[Life expectancy]:[Schooling]])=19</f>
        <v>1</v>
      </c>
    </row>
    <row r="831" spans="1:23" x14ac:dyDescent="0.25">
      <c r="A831" t="s">
        <v>327</v>
      </c>
      <c r="B831">
        <v>2004</v>
      </c>
      <c r="C831" t="s">
        <v>273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COUNT(LifeExpectancyData[[#This Row],[Life expectancy]:[Schooling]])=19</f>
        <v>1</v>
      </c>
    </row>
    <row r="832" spans="1:23" x14ac:dyDescent="0.25">
      <c r="A832" t="s">
        <v>327</v>
      </c>
      <c r="B832">
        <v>2003</v>
      </c>
      <c r="C832" t="s">
        <v>273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COUNT(LifeExpectancyData[[#This Row],[Life expectancy]:[Schooling]])=19</f>
        <v>1</v>
      </c>
    </row>
    <row r="833" spans="1:23" x14ac:dyDescent="0.25">
      <c r="A833" t="s">
        <v>327</v>
      </c>
      <c r="B833">
        <v>2002</v>
      </c>
      <c r="C833" t="s">
        <v>273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COUNT(LifeExpectancyData[[#This Row],[Life expectancy]:[Schooling]])=19</f>
        <v>1</v>
      </c>
    </row>
    <row r="834" spans="1:23" x14ac:dyDescent="0.25">
      <c r="A834" t="s">
        <v>327</v>
      </c>
      <c r="B834">
        <v>2001</v>
      </c>
      <c r="C834" t="s">
        <v>273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COUNT(LifeExpectancyData[[#This Row],[Life expectancy]:[Schooling]])=19</f>
        <v>1</v>
      </c>
    </row>
    <row r="835" spans="1:23" x14ac:dyDescent="0.25">
      <c r="A835" t="s">
        <v>327</v>
      </c>
      <c r="B835">
        <v>2000</v>
      </c>
      <c r="C835" t="s">
        <v>273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COUNT(LifeExpectancyData[[#This Row],[Life expectancy]:[Schooling]])=19</f>
        <v>1</v>
      </c>
    </row>
    <row r="836" spans="1:23" x14ac:dyDescent="0.25">
      <c r="A836" t="s">
        <v>328</v>
      </c>
      <c r="B836">
        <v>2015</v>
      </c>
      <c r="C836" t="s">
        <v>273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COUNT(LifeExpectancyData[[#This Row],[Life expectancy]:[Schooling]])=19</f>
        <v>0</v>
      </c>
    </row>
    <row r="837" spans="1:23" x14ac:dyDescent="0.25">
      <c r="A837" t="s">
        <v>328</v>
      </c>
      <c r="B837">
        <v>2014</v>
      </c>
      <c r="C837" t="s">
        <v>273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COUNT(LifeExpectancyData[[#This Row],[Life expectancy]:[Schooling]])=19</f>
        <v>1</v>
      </c>
    </row>
    <row r="838" spans="1:23" x14ac:dyDescent="0.25">
      <c r="A838" t="s">
        <v>328</v>
      </c>
      <c r="B838">
        <v>2013</v>
      </c>
      <c r="C838" t="s">
        <v>273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COUNT(LifeExpectancyData[[#This Row],[Life expectancy]:[Schooling]])=19</f>
        <v>0</v>
      </c>
    </row>
    <row r="839" spans="1:23" x14ac:dyDescent="0.25">
      <c r="A839" t="s">
        <v>328</v>
      </c>
      <c r="B839">
        <v>2012</v>
      </c>
      <c r="C839" t="s">
        <v>273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COUNT(LifeExpectancyData[[#This Row],[Life expectancy]:[Schooling]])=19</f>
        <v>0</v>
      </c>
    </row>
    <row r="840" spans="1:23" x14ac:dyDescent="0.25">
      <c r="A840" t="s">
        <v>328</v>
      </c>
      <c r="B840">
        <v>2011</v>
      </c>
      <c r="C840" t="s">
        <v>273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COUNT(LifeExpectancyData[[#This Row],[Life expectancy]:[Schooling]])=19</f>
        <v>0</v>
      </c>
    </row>
    <row r="841" spans="1:23" x14ac:dyDescent="0.25">
      <c r="A841" t="s">
        <v>328</v>
      </c>
      <c r="B841">
        <v>2010</v>
      </c>
      <c r="C841" t="s">
        <v>273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COUNT(LifeExpectancyData[[#This Row],[Life expectancy]:[Schooling]])=19</f>
        <v>0</v>
      </c>
    </row>
    <row r="842" spans="1:23" x14ac:dyDescent="0.25">
      <c r="A842" t="s">
        <v>328</v>
      </c>
      <c r="B842">
        <v>2009</v>
      </c>
      <c r="C842" t="s">
        <v>273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COUNT(LifeExpectancyData[[#This Row],[Life expectancy]:[Schooling]])=19</f>
        <v>0</v>
      </c>
    </row>
    <row r="843" spans="1:23" x14ac:dyDescent="0.25">
      <c r="A843" t="s">
        <v>328</v>
      </c>
      <c r="B843">
        <v>2008</v>
      </c>
      <c r="C843" t="s">
        <v>273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COUNT(LifeExpectancyData[[#This Row],[Life expectancy]:[Schooling]])=19</f>
        <v>0</v>
      </c>
    </row>
    <row r="844" spans="1:23" x14ac:dyDescent="0.25">
      <c r="A844" t="s">
        <v>328</v>
      </c>
      <c r="B844">
        <v>2007</v>
      </c>
      <c r="C844" t="s">
        <v>273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COUNT(LifeExpectancyData[[#This Row],[Life expectancy]:[Schooling]])=19</f>
        <v>0</v>
      </c>
    </row>
    <row r="845" spans="1:23" x14ac:dyDescent="0.25">
      <c r="A845" t="s">
        <v>328</v>
      </c>
      <c r="B845">
        <v>2006</v>
      </c>
      <c r="C845" t="s">
        <v>273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COUNT(LifeExpectancyData[[#This Row],[Life expectancy]:[Schooling]])=19</f>
        <v>0</v>
      </c>
    </row>
    <row r="846" spans="1:23" x14ac:dyDescent="0.25">
      <c r="A846" t="s">
        <v>328</v>
      </c>
      <c r="B846">
        <v>2005</v>
      </c>
      <c r="C846" t="s">
        <v>273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COUNT(LifeExpectancyData[[#This Row],[Life expectancy]:[Schooling]])=19</f>
        <v>0</v>
      </c>
    </row>
    <row r="847" spans="1:23" x14ac:dyDescent="0.25">
      <c r="A847" t="s">
        <v>328</v>
      </c>
      <c r="B847">
        <v>2004</v>
      </c>
      <c r="C847" t="s">
        <v>273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COUNT(LifeExpectancyData[[#This Row],[Life expectancy]:[Schooling]])=19</f>
        <v>0</v>
      </c>
    </row>
    <row r="848" spans="1:23" x14ac:dyDescent="0.25">
      <c r="A848" t="s">
        <v>328</v>
      </c>
      <c r="B848">
        <v>2003</v>
      </c>
      <c r="C848" t="s">
        <v>273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COUNT(LifeExpectancyData[[#This Row],[Life expectancy]:[Schooling]])=19</f>
        <v>0</v>
      </c>
    </row>
    <row r="849" spans="1:23" x14ac:dyDescent="0.25">
      <c r="A849" t="s">
        <v>328</v>
      </c>
      <c r="B849">
        <v>2002</v>
      </c>
      <c r="C849" t="s">
        <v>273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COUNT(LifeExpectancyData[[#This Row],[Life expectancy]:[Schooling]])=19</f>
        <v>0</v>
      </c>
    </row>
    <row r="850" spans="1:23" x14ac:dyDescent="0.25">
      <c r="A850" t="s">
        <v>328</v>
      </c>
      <c r="B850">
        <v>2001</v>
      </c>
      <c r="C850" t="s">
        <v>273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COUNT(LifeExpectancyData[[#This Row],[Life expectancy]:[Schooling]])=19</f>
        <v>0</v>
      </c>
    </row>
    <row r="851" spans="1:23" x14ac:dyDescent="0.25">
      <c r="A851" t="s">
        <v>328</v>
      </c>
      <c r="B851">
        <v>2000</v>
      </c>
      <c r="C851" t="s">
        <v>273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COUNT(LifeExpectancyData[[#This Row],[Life expectancy]:[Schooling]])=19</f>
        <v>0</v>
      </c>
    </row>
    <row r="852" spans="1:23" x14ac:dyDescent="0.25">
      <c r="A852" t="s">
        <v>329</v>
      </c>
      <c r="B852">
        <v>2015</v>
      </c>
      <c r="C852" t="s">
        <v>273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COUNT(LifeExpectancyData[[#This Row],[Life expectancy]:[Schooling]])=19</f>
        <v>0</v>
      </c>
    </row>
    <row r="853" spans="1:23" x14ac:dyDescent="0.25">
      <c r="A853" t="s">
        <v>329</v>
      </c>
      <c r="B853">
        <v>2014</v>
      </c>
      <c r="C853" t="s">
        <v>273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COUNT(LifeExpectancyData[[#This Row],[Life expectancy]:[Schooling]])=19</f>
        <v>0</v>
      </c>
    </row>
    <row r="854" spans="1:23" x14ac:dyDescent="0.25">
      <c r="A854" t="s">
        <v>329</v>
      </c>
      <c r="B854">
        <v>2013</v>
      </c>
      <c r="C854" t="s">
        <v>273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COUNT(LifeExpectancyData[[#This Row],[Life expectancy]:[Schooling]])=19</f>
        <v>0</v>
      </c>
    </row>
    <row r="855" spans="1:23" x14ac:dyDescent="0.25">
      <c r="A855" t="s">
        <v>329</v>
      </c>
      <c r="B855">
        <v>2012</v>
      </c>
      <c r="C855" t="s">
        <v>273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COUNT(LifeExpectancyData[[#This Row],[Life expectancy]:[Schooling]])=19</f>
        <v>0</v>
      </c>
    </row>
    <row r="856" spans="1:23" x14ac:dyDescent="0.25">
      <c r="A856" t="s">
        <v>329</v>
      </c>
      <c r="B856">
        <v>2011</v>
      </c>
      <c r="C856" t="s">
        <v>273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COUNT(LifeExpectancyData[[#This Row],[Life expectancy]:[Schooling]])=19</f>
        <v>1</v>
      </c>
    </row>
    <row r="857" spans="1:23" x14ac:dyDescent="0.25">
      <c r="A857" t="s">
        <v>329</v>
      </c>
      <c r="B857">
        <v>2010</v>
      </c>
      <c r="C857" t="s">
        <v>273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COUNT(LifeExpectancyData[[#This Row],[Life expectancy]:[Schooling]])=19</f>
        <v>1</v>
      </c>
    </row>
    <row r="858" spans="1:23" x14ac:dyDescent="0.25">
      <c r="A858" t="s">
        <v>329</v>
      </c>
      <c r="B858">
        <v>2009</v>
      </c>
      <c r="C858" t="s">
        <v>273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COUNT(LifeExpectancyData[[#This Row],[Life expectancy]:[Schooling]])=19</f>
        <v>1</v>
      </c>
    </row>
    <row r="859" spans="1:23" x14ac:dyDescent="0.25">
      <c r="A859" t="s">
        <v>329</v>
      </c>
      <c r="B859">
        <v>2008</v>
      </c>
      <c r="C859" t="s">
        <v>273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COUNT(LifeExpectancyData[[#This Row],[Life expectancy]:[Schooling]])=19</f>
        <v>1</v>
      </c>
    </row>
    <row r="860" spans="1:23" x14ac:dyDescent="0.25">
      <c r="A860" t="s">
        <v>329</v>
      </c>
      <c r="B860">
        <v>2007</v>
      </c>
      <c r="C860" t="s">
        <v>273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COUNT(LifeExpectancyData[[#This Row],[Life expectancy]:[Schooling]])=19</f>
        <v>1</v>
      </c>
    </row>
    <row r="861" spans="1:23" x14ac:dyDescent="0.25">
      <c r="A861" t="s">
        <v>329</v>
      </c>
      <c r="B861">
        <v>2006</v>
      </c>
      <c r="C861" t="s">
        <v>273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COUNT(LifeExpectancyData[[#This Row],[Life expectancy]:[Schooling]])=19</f>
        <v>1</v>
      </c>
    </row>
    <row r="862" spans="1:23" x14ac:dyDescent="0.25">
      <c r="A862" t="s">
        <v>329</v>
      </c>
      <c r="B862">
        <v>2005</v>
      </c>
      <c r="C862" t="s">
        <v>273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COUNT(LifeExpectancyData[[#This Row],[Life expectancy]:[Schooling]])=19</f>
        <v>1</v>
      </c>
    </row>
    <row r="863" spans="1:23" x14ac:dyDescent="0.25">
      <c r="A863" t="s">
        <v>329</v>
      </c>
      <c r="B863">
        <v>2004</v>
      </c>
      <c r="C863" t="s">
        <v>273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COUNT(LifeExpectancyData[[#This Row],[Life expectancy]:[Schooling]])=19</f>
        <v>1</v>
      </c>
    </row>
    <row r="864" spans="1:23" x14ac:dyDescent="0.25">
      <c r="A864" t="s">
        <v>329</v>
      </c>
      <c r="B864">
        <v>2003</v>
      </c>
      <c r="C864" t="s">
        <v>273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COUNT(LifeExpectancyData[[#This Row],[Life expectancy]:[Schooling]])=19</f>
        <v>1</v>
      </c>
    </row>
    <row r="865" spans="1:23" x14ac:dyDescent="0.25">
      <c r="A865" t="s">
        <v>329</v>
      </c>
      <c r="B865">
        <v>2002</v>
      </c>
      <c r="C865" t="s">
        <v>273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COUNT(LifeExpectancyData[[#This Row],[Life expectancy]:[Schooling]])=19</f>
        <v>1</v>
      </c>
    </row>
    <row r="866" spans="1:23" x14ac:dyDescent="0.25">
      <c r="A866" t="s">
        <v>329</v>
      </c>
      <c r="B866">
        <v>2001</v>
      </c>
      <c r="C866" t="s">
        <v>273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COUNT(LifeExpectancyData[[#This Row],[Life expectancy]:[Schooling]])=19</f>
        <v>0</v>
      </c>
    </row>
    <row r="867" spans="1:23" x14ac:dyDescent="0.25">
      <c r="A867" t="s">
        <v>329</v>
      </c>
      <c r="B867">
        <v>2000</v>
      </c>
      <c r="C867" t="s">
        <v>273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COUNT(LifeExpectancyData[[#This Row],[Life expectancy]:[Schooling]])=19</f>
        <v>0</v>
      </c>
    </row>
    <row r="868" spans="1:23" x14ac:dyDescent="0.25">
      <c r="A868" t="s">
        <v>330</v>
      </c>
      <c r="B868">
        <v>2015</v>
      </c>
      <c r="C868" t="s">
        <v>273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COUNT(LifeExpectancyData[[#This Row],[Life expectancy]:[Schooling]])=19</f>
        <v>0</v>
      </c>
    </row>
    <row r="869" spans="1:23" x14ac:dyDescent="0.25">
      <c r="A869" t="s">
        <v>330</v>
      </c>
      <c r="B869">
        <v>2014</v>
      </c>
      <c r="C869" t="s">
        <v>273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COUNT(LifeExpectancyData[[#This Row],[Life expectancy]:[Schooling]])=19</f>
        <v>1</v>
      </c>
    </row>
    <row r="870" spans="1:23" x14ac:dyDescent="0.25">
      <c r="A870" t="s">
        <v>330</v>
      </c>
      <c r="B870">
        <v>2013</v>
      </c>
      <c r="C870" t="s">
        <v>273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COUNT(LifeExpectancyData[[#This Row],[Life expectancy]:[Schooling]])=19</f>
        <v>1</v>
      </c>
    </row>
    <row r="871" spans="1:23" x14ac:dyDescent="0.25">
      <c r="A871" t="s">
        <v>330</v>
      </c>
      <c r="B871">
        <v>2012</v>
      </c>
      <c r="C871" t="s">
        <v>273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COUNT(LifeExpectancyData[[#This Row],[Life expectancy]:[Schooling]])=19</f>
        <v>1</v>
      </c>
    </row>
    <row r="872" spans="1:23" x14ac:dyDescent="0.25">
      <c r="A872" t="s">
        <v>330</v>
      </c>
      <c r="B872">
        <v>2011</v>
      </c>
      <c r="C872" t="s">
        <v>273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COUNT(LifeExpectancyData[[#This Row],[Life expectancy]:[Schooling]])=19</f>
        <v>1</v>
      </c>
    </row>
    <row r="873" spans="1:23" x14ac:dyDescent="0.25">
      <c r="A873" t="s">
        <v>330</v>
      </c>
      <c r="B873">
        <v>2010</v>
      </c>
      <c r="C873" t="s">
        <v>273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COUNT(LifeExpectancyData[[#This Row],[Life expectancy]:[Schooling]])=19</f>
        <v>1</v>
      </c>
    </row>
    <row r="874" spans="1:23" x14ac:dyDescent="0.25">
      <c r="A874" t="s">
        <v>330</v>
      </c>
      <c r="B874">
        <v>2009</v>
      </c>
      <c r="C874" t="s">
        <v>273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COUNT(LifeExpectancyData[[#This Row],[Life expectancy]:[Schooling]])=19</f>
        <v>1</v>
      </c>
    </row>
    <row r="875" spans="1:23" x14ac:dyDescent="0.25">
      <c r="A875" t="s">
        <v>330</v>
      </c>
      <c r="B875">
        <v>2008</v>
      </c>
      <c r="C875" t="s">
        <v>273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COUNT(LifeExpectancyData[[#This Row],[Life expectancy]:[Schooling]])=19</f>
        <v>1</v>
      </c>
    </row>
    <row r="876" spans="1:23" x14ac:dyDescent="0.25">
      <c r="A876" t="s">
        <v>330</v>
      </c>
      <c r="B876">
        <v>2007</v>
      </c>
      <c r="C876" t="s">
        <v>273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COUNT(LifeExpectancyData[[#This Row],[Life expectancy]:[Schooling]])=19</f>
        <v>1</v>
      </c>
    </row>
    <row r="877" spans="1:23" x14ac:dyDescent="0.25">
      <c r="A877" t="s">
        <v>330</v>
      </c>
      <c r="B877">
        <v>2006</v>
      </c>
      <c r="C877" t="s">
        <v>273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COUNT(LifeExpectancyData[[#This Row],[Life expectancy]:[Schooling]])=19</f>
        <v>1</v>
      </c>
    </row>
    <row r="878" spans="1:23" x14ac:dyDescent="0.25">
      <c r="A878" t="s">
        <v>330</v>
      </c>
      <c r="B878">
        <v>2005</v>
      </c>
      <c r="C878" t="s">
        <v>273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COUNT(LifeExpectancyData[[#This Row],[Life expectancy]:[Schooling]])=19</f>
        <v>1</v>
      </c>
    </row>
    <row r="879" spans="1:23" x14ac:dyDescent="0.25">
      <c r="A879" t="s">
        <v>330</v>
      </c>
      <c r="B879">
        <v>2004</v>
      </c>
      <c r="C879" t="s">
        <v>273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COUNT(LifeExpectancyData[[#This Row],[Life expectancy]:[Schooling]])=19</f>
        <v>1</v>
      </c>
    </row>
    <row r="880" spans="1:23" x14ac:dyDescent="0.25">
      <c r="A880" t="s">
        <v>330</v>
      </c>
      <c r="B880">
        <v>2003</v>
      </c>
      <c r="C880" t="s">
        <v>273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COUNT(LifeExpectancyData[[#This Row],[Life expectancy]:[Schooling]])=19</f>
        <v>0</v>
      </c>
    </row>
    <row r="881" spans="1:23" x14ac:dyDescent="0.25">
      <c r="A881" t="s">
        <v>330</v>
      </c>
      <c r="B881">
        <v>2002</v>
      </c>
      <c r="C881" t="s">
        <v>273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COUNT(LifeExpectancyData[[#This Row],[Life expectancy]:[Schooling]])=19</f>
        <v>0</v>
      </c>
    </row>
    <row r="882" spans="1:23" x14ac:dyDescent="0.25">
      <c r="A882" t="s">
        <v>330</v>
      </c>
      <c r="B882">
        <v>2001</v>
      </c>
      <c r="C882" t="s">
        <v>273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COUNT(LifeExpectancyData[[#This Row],[Life expectancy]:[Schooling]])=19</f>
        <v>0</v>
      </c>
    </row>
    <row r="883" spans="1:23" x14ac:dyDescent="0.25">
      <c r="A883" t="s">
        <v>330</v>
      </c>
      <c r="B883">
        <v>2000</v>
      </c>
      <c r="C883" t="s">
        <v>273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COUNT(LifeExpectancyData[[#This Row],[Life expectancy]:[Schooling]])=19</f>
        <v>0</v>
      </c>
    </row>
    <row r="884" spans="1:23" x14ac:dyDescent="0.25">
      <c r="A884" t="s">
        <v>331</v>
      </c>
      <c r="B884">
        <v>2015</v>
      </c>
      <c r="C884" t="s">
        <v>273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COUNT(LifeExpectancyData[[#This Row],[Life expectancy]:[Schooling]])=19</f>
        <v>0</v>
      </c>
    </row>
    <row r="885" spans="1:23" x14ac:dyDescent="0.25">
      <c r="A885" t="s">
        <v>331</v>
      </c>
      <c r="B885">
        <v>2014</v>
      </c>
      <c r="C885" t="s">
        <v>273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COUNT(LifeExpectancyData[[#This Row],[Life expectancy]:[Schooling]])=19</f>
        <v>1</v>
      </c>
    </row>
    <row r="886" spans="1:23" x14ac:dyDescent="0.25">
      <c r="A886" t="s">
        <v>331</v>
      </c>
      <c r="B886">
        <v>2013</v>
      </c>
      <c r="C886" t="s">
        <v>273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COUNT(LifeExpectancyData[[#This Row],[Life expectancy]:[Schooling]])=19</f>
        <v>1</v>
      </c>
    </row>
    <row r="887" spans="1:23" x14ac:dyDescent="0.25">
      <c r="A887" t="s">
        <v>331</v>
      </c>
      <c r="B887">
        <v>2012</v>
      </c>
      <c r="C887" t="s">
        <v>273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COUNT(LifeExpectancyData[[#This Row],[Life expectancy]:[Schooling]])=19</f>
        <v>1</v>
      </c>
    </row>
    <row r="888" spans="1:23" x14ac:dyDescent="0.25">
      <c r="A888" t="s">
        <v>331</v>
      </c>
      <c r="B888">
        <v>2011</v>
      </c>
      <c r="C888" t="s">
        <v>273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COUNT(LifeExpectancyData[[#This Row],[Life expectancy]:[Schooling]])=19</f>
        <v>1</v>
      </c>
    </row>
    <row r="889" spans="1:23" x14ac:dyDescent="0.25">
      <c r="A889" t="s">
        <v>331</v>
      </c>
      <c r="B889">
        <v>2010</v>
      </c>
      <c r="C889" t="s">
        <v>273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COUNT(LifeExpectancyData[[#This Row],[Life expectancy]:[Schooling]])=19</f>
        <v>1</v>
      </c>
    </row>
    <row r="890" spans="1:23" x14ac:dyDescent="0.25">
      <c r="A890" t="s">
        <v>331</v>
      </c>
      <c r="B890">
        <v>2009</v>
      </c>
      <c r="C890" t="s">
        <v>273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COUNT(LifeExpectancyData[[#This Row],[Life expectancy]:[Schooling]])=19</f>
        <v>1</v>
      </c>
    </row>
    <row r="891" spans="1:23" x14ac:dyDescent="0.25">
      <c r="A891" t="s">
        <v>331</v>
      </c>
      <c r="B891">
        <v>2008</v>
      </c>
      <c r="C891" t="s">
        <v>273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COUNT(LifeExpectancyData[[#This Row],[Life expectancy]:[Schooling]])=19</f>
        <v>1</v>
      </c>
    </row>
    <row r="892" spans="1:23" x14ac:dyDescent="0.25">
      <c r="A892" t="s">
        <v>331</v>
      </c>
      <c r="B892">
        <v>2007</v>
      </c>
      <c r="C892" t="s">
        <v>273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COUNT(LifeExpectancyData[[#This Row],[Life expectancy]:[Schooling]])=19</f>
        <v>1</v>
      </c>
    </row>
    <row r="893" spans="1:23" x14ac:dyDescent="0.25">
      <c r="A893" t="s">
        <v>331</v>
      </c>
      <c r="B893">
        <v>2006</v>
      </c>
      <c r="C893" t="s">
        <v>273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COUNT(LifeExpectancyData[[#This Row],[Life expectancy]:[Schooling]])=19</f>
        <v>0</v>
      </c>
    </row>
    <row r="894" spans="1:23" x14ac:dyDescent="0.25">
      <c r="A894" t="s">
        <v>331</v>
      </c>
      <c r="B894">
        <v>2005</v>
      </c>
      <c r="C894" t="s">
        <v>273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COUNT(LifeExpectancyData[[#This Row],[Life expectancy]:[Schooling]])=19</f>
        <v>0</v>
      </c>
    </row>
    <row r="895" spans="1:23" x14ac:dyDescent="0.25">
      <c r="A895" t="s">
        <v>331</v>
      </c>
      <c r="B895">
        <v>2004</v>
      </c>
      <c r="C895" t="s">
        <v>273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COUNT(LifeExpectancyData[[#This Row],[Life expectancy]:[Schooling]])=19</f>
        <v>0</v>
      </c>
    </row>
    <row r="896" spans="1:23" x14ac:dyDescent="0.25">
      <c r="A896" t="s">
        <v>331</v>
      </c>
      <c r="B896">
        <v>2003</v>
      </c>
      <c r="C896" t="s">
        <v>273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COUNT(LifeExpectancyData[[#This Row],[Life expectancy]:[Schooling]])=19</f>
        <v>0</v>
      </c>
    </row>
    <row r="897" spans="1:23" x14ac:dyDescent="0.25">
      <c r="A897" t="s">
        <v>331</v>
      </c>
      <c r="B897">
        <v>2002</v>
      </c>
      <c r="C897" t="s">
        <v>273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COUNT(LifeExpectancyData[[#This Row],[Life expectancy]:[Schooling]])=19</f>
        <v>0</v>
      </c>
    </row>
    <row r="898" spans="1:23" x14ac:dyDescent="0.25">
      <c r="A898" t="s">
        <v>331</v>
      </c>
      <c r="B898">
        <v>2001</v>
      </c>
      <c r="C898" t="s">
        <v>273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COUNT(LifeExpectancyData[[#This Row],[Life expectancy]:[Schooling]])=19</f>
        <v>0</v>
      </c>
    </row>
    <row r="899" spans="1:23" x14ac:dyDescent="0.25">
      <c r="A899" t="s">
        <v>331</v>
      </c>
      <c r="B899">
        <v>2000</v>
      </c>
      <c r="C899" t="s">
        <v>273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COUNT(LifeExpectancyData[[#This Row],[Life expectancy]:[Schooling]])=19</f>
        <v>0</v>
      </c>
    </row>
    <row r="900" spans="1:23" x14ac:dyDescent="0.25">
      <c r="A900" t="s">
        <v>332</v>
      </c>
      <c r="B900">
        <v>2015</v>
      </c>
      <c r="C900" t="s">
        <v>273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COUNT(LifeExpectancyData[[#This Row],[Life expectancy]:[Schooling]])=19</f>
        <v>0</v>
      </c>
    </row>
    <row r="901" spans="1:23" x14ac:dyDescent="0.25">
      <c r="A901" t="s">
        <v>332</v>
      </c>
      <c r="B901">
        <v>2014</v>
      </c>
      <c r="C901" t="s">
        <v>273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COUNT(LifeExpectancyData[[#This Row],[Life expectancy]:[Schooling]])=19</f>
        <v>1</v>
      </c>
    </row>
    <row r="902" spans="1:23" x14ac:dyDescent="0.25">
      <c r="A902" t="s">
        <v>332</v>
      </c>
      <c r="B902">
        <v>2013</v>
      </c>
      <c r="C902" t="s">
        <v>273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COUNT(LifeExpectancyData[[#This Row],[Life expectancy]:[Schooling]])=19</f>
        <v>1</v>
      </c>
    </row>
    <row r="903" spans="1:23" x14ac:dyDescent="0.25">
      <c r="A903" t="s">
        <v>332</v>
      </c>
      <c r="B903">
        <v>2012</v>
      </c>
      <c r="C903" t="s">
        <v>273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COUNT(LifeExpectancyData[[#This Row],[Life expectancy]:[Schooling]])=19</f>
        <v>1</v>
      </c>
    </row>
    <row r="904" spans="1:23" x14ac:dyDescent="0.25">
      <c r="A904" t="s">
        <v>332</v>
      </c>
      <c r="B904">
        <v>2011</v>
      </c>
      <c r="C904" t="s">
        <v>273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COUNT(LifeExpectancyData[[#This Row],[Life expectancy]:[Schooling]])=19</f>
        <v>1</v>
      </c>
    </row>
    <row r="905" spans="1:23" x14ac:dyDescent="0.25">
      <c r="A905" t="s">
        <v>332</v>
      </c>
      <c r="B905">
        <v>2010</v>
      </c>
      <c r="C905" t="s">
        <v>273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COUNT(LifeExpectancyData[[#This Row],[Life expectancy]:[Schooling]])=19</f>
        <v>1</v>
      </c>
    </row>
    <row r="906" spans="1:23" x14ac:dyDescent="0.25">
      <c r="A906" t="s">
        <v>332</v>
      </c>
      <c r="B906">
        <v>2009</v>
      </c>
      <c r="C906" t="s">
        <v>273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COUNT(LifeExpectancyData[[#This Row],[Life expectancy]:[Schooling]])=19</f>
        <v>1</v>
      </c>
    </row>
    <row r="907" spans="1:23" x14ac:dyDescent="0.25">
      <c r="A907" t="s">
        <v>332</v>
      </c>
      <c r="B907">
        <v>2008</v>
      </c>
      <c r="C907" t="s">
        <v>273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COUNT(LifeExpectancyData[[#This Row],[Life expectancy]:[Schooling]])=19</f>
        <v>1</v>
      </c>
    </row>
    <row r="908" spans="1:23" x14ac:dyDescent="0.25">
      <c r="A908" t="s">
        <v>332</v>
      </c>
      <c r="B908">
        <v>2007</v>
      </c>
      <c r="C908" t="s">
        <v>273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COUNT(LifeExpectancyData[[#This Row],[Life expectancy]:[Schooling]])=19</f>
        <v>1</v>
      </c>
    </row>
    <row r="909" spans="1:23" x14ac:dyDescent="0.25">
      <c r="A909" t="s">
        <v>332</v>
      </c>
      <c r="B909">
        <v>2006</v>
      </c>
      <c r="C909" t="s">
        <v>273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COUNT(LifeExpectancyData[[#This Row],[Life expectancy]:[Schooling]])=19</f>
        <v>1</v>
      </c>
    </row>
    <row r="910" spans="1:23" x14ac:dyDescent="0.25">
      <c r="A910" t="s">
        <v>332</v>
      </c>
      <c r="B910">
        <v>2005</v>
      </c>
      <c r="C910" t="s">
        <v>273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COUNT(LifeExpectancyData[[#This Row],[Life expectancy]:[Schooling]])=19</f>
        <v>1</v>
      </c>
    </row>
    <row r="911" spans="1:23" x14ac:dyDescent="0.25">
      <c r="A911" t="s">
        <v>332</v>
      </c>
      <c r="B911">
        <v>2004</v>
      </c>
      <c r="C911" t="s">
        <v>273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COUNT(LifeExpectancyData[[#This Row],[Life expectancy]:[Schooling]])=19</f>
        <v>1</v>
      </c>
    </row>
    <row r="912" spans="1:23" x14ac:dyDescent="0.25">
      <c r="A912" t="s">
        <v>332</v>
      </c>
      <c r="B912">
        <v>2003</v>
      </c>
      <c r="C912" t="s">
        <v>273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COUNT(LifeExpectancyData[[#This Row],[Life expectancy]:[Schooling]])=19</f>
        <v>1</v>
      </c>
    </row>
    <row r="913" spans="1:23" x14ac:dyDescent="0.25">
      <c r="A913" t="s">
        <v>332</v>
      </c>
      <c r="B913">
        <v>2002</v>
      </c>
      <c r="C913" t="s">
        <v>273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COUNT(LifeExpectancyData[[#This Row],[Life expectancy]:[Schooling]])=19</f>
        <v>1</v>
      </c>
    </row>
    <row r="914" spans="1:23" x14ac:dyDescent="0.25">
      <c r="A914" t="s">
        <v>332</v>
      </c>
      <c r="B914">
        <v>2001</v>
      </c>
      <c r="C914" t="s">
        <v>273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COUNT(LifeExpectancyData[[#This Row],[Life expectancy]:[Schooling]])=19</f>
        <v>1</v>
      </c>
    </row>
    <row r="915" spans="1:23" x14ac:dyDescent="0.25">
      <c r="A915" t="s">
        <v>332</v>
      </c>
      <c r="B915">
        <v>2000</v>
      </c>
      <c r="C915" t="s">
        <v>273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COUNT(LifeExpectancyData[[#This Row],[Life expectancy]:[Schooling]])=19</f>
        <v>1</v>
      </c>
    </row>
    <row r="916" spans="1:23" x14ac:dyDescent="0.25">
      <c r="A916" t="s">
        <v>333</v>
      </c>
      <c r="B916">
        <v>2015</v>
      </c>
      <c r="C916" t="s">
        <v>273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COUNT(LifeExpectancyData[[#This Row],[Life expectancy]:[Schooling]])=19</f>
        <v>0</v>
      </c>
    </row>
    <row r="917" spans="1:23" x14ac:dyDescent="0.25">
      <c r="A917" t="s">
        <v>333</v>
      </c>
      <c r="B917">
        <v>2014</v>
      </c>
      <c r="C917" t="s">
        <v>273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COUNT(LifeExpectancyData[[#This Row],[Life expectancy]:[Schooling]])=19</f>
        <v>0</v>
      </c>
    </row>
    <row r="918" spans="1:23" x14ac:dyDescent="0.25">
      <c r="A918" t="s">
        <v>333</v>
      </c>
      <c r="B918">
        <v>2013</v>
      </c>
      <c r="C918" t="s">
        <v>273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COUNT(LifeExpectancyData[[#This Row],[Life expectancy]:[Schooling]])=19</f>
        <v>0</v>
      </c>
    </row>
    <row r="919" spans="1:23" x14ac:dyDescent="0.25">
      <c r="A919" t="s">
        <v>333</v>
      </c>
      <c r="B919">
        <v>2012</v>
      </c>
      <c r="C919" t="s">
        <v>273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COUNT(LifeExpectancyData[[#This Row],[Life expectancy]:[Schooling]])=19</f>
        <v>0</v>
      </c>
    </row>
    <row r="920" spans="1:23" x14ac:dyDescent="0.25">
      <c r="A920" t="s">
        <v>333</v>
      </c>
      <c r="B920">
        <v>2011</v>
      </c>
      <c r="C920" t="s">
        <v>273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COUNT(LifeExpectancyData[[#This Row],[Life expectancy]:[Schooling]])=19</f>
        <v>0</v>
      </c>
    </row>
    <row r="921" spans="1:23" x14ac:dyDescent="0.25">
      <c r="A921" t="s">
        <v>333</v>
      </c>
      <c r="B921">
        <v>2010</v>
      </c>
      <c r="C921" t="s">
        <v>273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COUNT(LifeExpectancyData[[#This Row],[Life expectancy]:[Schooling]])=19</f>
        <v>0</v>
      </c>
    </row>
    <row r="922" spans="1:23" x14ac:dyDescent="0.25">
      <c r="A922" t="s">
        <v>333</v>
      </c>
      <c r="B922">
        <v>2009</v>
      </c>
      <c r="C922" t="s">
        <v>273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COUNT(LifeExpectancyData[[#This Row],[Life expectancy]:[Schooling]])=19</f>
        <v>0</v>
      </c>
    </row>
    <row r="923" spans="1:23" x14ac:dyDescent="0.25">
      <c r="A923" t="s">
        <v>333</v>
      </c>
      <c r="B923">
        <v>2008</v>
      </c>
      <c r="C923" t="s">
        <v>273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COUNT(LifeExpectancyData[[#This Row],[Life expectancy]:[Schooling]])=19</f>
        <v>0</v>
      </c>
    </row>
    <row r="924" spans="1:23" x14ac:dyDescent="0.25">
      <c r="A924" t="s">
        <v>333</v>
      </c>
      <c r="B924">
        <v>2007</v>
      </c>
      <c r="C924" t="s">
        <v>273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COUNT(LifeExpectancyData[[#This Row],[Life expectancy]:[Schooling]])=19</f>
        <v>0</v>
      </c>
    </row>
    <row r="925" spans="1:23" x14ac:dyDescent="0.25">
      <c r="A925" t="s">
        <v>333</v>
      </c>
      <c r="B925">
        <v>2006</v>
      </c>
      <c r="C925" t="s">
        <v>273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COUNT(LifeExpectancyData[[#This Row],[Life expectancy]:[Schooling]])=19</f>
        <v>0</v>
      </c>
    </row>
    <row r="926" spans="1:23" x14ac:dyDescent="0.25">
      <c r="A926" t="s">
        <v>333</v>
      </c>
      <c r="B926">
        <v>2005</v>
      </c>
      <c r="C926" t="s">
        <v>273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COUNT(LifeExpectancyData[[#This Row],[Life expectancy]:[Schooling]])=19</f>
        <v>0</v>
      </c>
    </row>
    <row r="927" spans="1:23" x14ac:dyDescent="0.25">
      <c r="A927" t="s">
        <v>333</v>
      </c>
      <c r="B927">
        <v>2004</v>
      </c>
      <c r="C927" t="s">
        <v>273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COUNT(LifeExpectancyData[[#This Row],[Life expectancy]:[Schooling]])=19</f>
        <v>0</v>
      </c>
    </row>
    <row r="928" spans="1:23" x14ac:dyDescent="0.25">
      <c r="A928" t="s">
        <v>333</v>
      </c>
      <c r="B928">
        <v>2003</v>
      </c>
      <c r="C928" t="s">
        <v>273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COUNT(LifeExpectancyData[[#This Row],[Life expectancy]:[Schooling]])=19</f>
        <v>0</v>
      </c>
    </row>
    <row r="929" spans="1:23" x14ac:dyDescent="0.25">
      <c r="A929" t="s">
        <v>333</v>
      </c>
      <c r="B929">
        <v>2002</v>
      </c>
      <c r="C929" t="s">
        <v>273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COUNT(LifeExpectancyData[[#This Row],[Life expectancy]:[Schooling]])=19</f>
        <v>0</v>
      </c>
    </row>
    <row r="930" spans="1:23" x14ac:dyDescent="0.25">
      <c r="A930" t="s">
        <v>333</v>
      </c>
      <c r="B930">
        <v>2001</v>
      </c>
      <c r="C930" t="s">
        <v>273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COUNT(LifeExpectancyData[[#This Row],[Life expectancy]:[Schooling]])=19</f>
        <v>0</v>
      </c>
    </row>
    <row r="931" spans="1:23" x14ac:dyDescent="0.25">
      <c r="A931" t="s">
        <v>333</v>
      </c>
      <c r="B931">
        <v>2000</v>
      </c>
      <c r="C931" t="s">
        <v>273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COUNT(LifeExpectancyData[[#This Row],[Life expectancy]:[Schooling]])=19</f>
        <v>0</v>
      </c>
    </row>
    <row r="932" spans="1:23" x14ac:dyDescent="0.25">
      <c r="A932" t="s">
        <v>334</v>
      </c>
      <c r="B932">
        <v>2015</v>
      </c>
      <c r="C932" t="s">
        <v>273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COUNT(LifeExpectancyData[[#This Row],[Life expectancy]:[Schooling]])=19</f>
        <v>0</v>
      </c>
    </row>
    <row r="933" spans="1:23" x14ac:dyDescent="0.25">
      <c r="A933" t="s">
        <v>334</v>
      </c>
      <c r="B933">
        <v>2014</v>
      </c>
      <c r="C933" t="s">
        <v>273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COUNT(LifeExpectancyData[[#This Row],[Life expectancy]:[Schooling]])=19</f>
        <v>1</v>
      </c>
    </row>
    <row r="934" spans="1:23" x14ac:dyDescent="0.25">
      <c r="A934" t="s">
        <v>334</v>
      </c>
      <c r="B934">
        <v>2013</v>
      </c>
      <c r="C934" t="s">
        <v>273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COUNT(LifeExpectancyData[[#This Row],[Life expectancy]:[Schooling]])=19</f>
        <v>1</v>
      </c>
    </row>
    <row r="935" spans="1:23" x14ac:dyDescent="0.25">
      <c r="A935" t="s">
        <v>334</v>
      </c>
      <c r="B935">
        <v>2012</v>
      </c>
      <c r="C935" t="s">
        <v>273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COUNT(LifeExpectancyData[[#This Row],[Life expectancy]:[Schooling]])=19</f>
        <v>1</v>
      </c>
    </row>
    <row r="936" spans="1:23" x14ac:dyDescent="0.25">
      <c r="A936" t="s">
        <v>334</v>
      </c>
      <c r="B936">
        <v>2011</v>
      </c>
      <c r="C936" t="s">
        <v>273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COUNT(LifeExpectancyData[[#This Row],[Life expectancy]:[Schooling]])=19</f>
        <v>1</v>
      </c>
    </row>
    <row r="937" spans="1:23" x14ac:dyDescent="0.25">
      <c r="A937" t="s">
        <v>334</v>
      </c>
      <c r="B937">
        <v>2010</v>
      </c>
      <c r="C937" t="s">
        <v>273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COUNT(LifeExpectancyData[[#This Row],[Life expectancy]:[Schooling]])=19</f>
        <v>1</v>
      </c>
    </row>
    <row r="938" spans="1:23" x14ac:dyDescent="0.25">
      <c r="A938" t="s">
        <v>334</v>
      </c>
      <c r="B938">
        <v>2009</v>
      </c>
      <c r="C938" t="s">
        <v>273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COUNT(LifeExpectancyData[[#This Row],[Life expectancy]:[Schooling]])=19</f>
        <v>1</v>
      </c>
    </row>
    <row r="939" spans="1:23" x14ac:dyDescent="0.25">
      <c r="A939" t="s">
        <v>334</v>
      </c>
      <c r="B939">
        <v>2008</v>
      </c>
      <c r="C939" t="s">
        <v>273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COUNT(LifeExpectancyData[[#This Row],[Life expectancy]:[Schooling]])=19</f>
        <v>1</v>
      </c>
    </row>
    <row r="940" spans="1:23" x14ac:dyDescent="0.25">
      <c r="A940" t="s">
        <v>334</v>
      </c>
      <c r="B940">
        <v>2007</v>
      </c>
      <c r="C940" t="s">
        <v>273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COUNT(LifeExpectancyData[[#This Row],[Life expectancy]:[Schooling]])=19</f>
        <v>1</v>
      </c>
    </row>
    <row r="941" spans="1:23" x14ac:dyDescent="0.25">
      <c r="A941" t="s">
        <v>334</v>
      </c>
      <c r="B941">
        <v>2006</v>
      </c>
      <c r="C941" t="s">
        <v>273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COUNT(LifeExpectancyData[[#This Row],[Life expectancy]:[Schooling]])=19</f>
        <v>1</v>
      </c>
    </row>
    <row r="942" spans="1:23" x14ac:dyDescent="0.25">
      <c r="A942" t="s">
        <v>334</v>
      </c>
      <c r="B942">
        <v>2005</v>
      </c>
      <c r="C942" t="s">
        <v>273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COUNT(LifeExpectancyData[[#This Row],[Life expectancy]:[Schooling]])=19</f>
        <v>1</v>
      </c>
    </row>
    <row r="943" spans="1:23" x14ac:dyDescent="0.25">
      <c r="A943" t="s">
        <v>334</v>
      </c>
      <c r="B943">
        <v>2004</v>
      </c>
      <c r="C943" t="s">
        <v>273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COUNT(LifeExpectancyData[[#This Row],[Life expectancy]:[Schooling]])=19</f>
        <v>1</v>
      </c>
    </row>
    <row r="944" spans="1:23" x14ac:dyDescent="0.25">
      <c r="A944" t="s">
        <v>334</v>
      </c>
      <c r="B944">
        <v>2003</v>
      </c>
      <c r="C944" t="s">
        <v>273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COUNT(LifeExpectancyData[[#This Row],[Life expectancy]:[Schooling]])=19</f>
        <v>1</v>
      </c>
    </row>
    <row r="945" spans="1:23" x14ac:dyDescent="0.25">
      <c r="A945" t="s">
        <v>334</v>
      </c>
      <c r="B945">
        <v>2002</v>
      </c>
      <c r="C945" t="s">
        <v>273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COUNT(LifeExpectancyData[[#This Row],[Life expectancy]:[Schooling]])=19</f>
        <v>1</v>
      </c>
    </row>
    <row r="946" spans="1:23" x14ac:dyDescent="0.25">
      <c r="A946" t="s">
        <v>334</v>
      </c>
      <c r="B946">
        <v>2001</v>
      </c>
      <c r="C946" t="s">
        <v>273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COUNT(LifeExpectancyData[[#This Row],[Life expectancy]:[Schooling]])=19</f>
        <v>1</v>
      </c>
    </row>
    <row r="947" spans="1:23" x14ac:dyDescent="0.25">
      <c r="A947" t="s">
        <v>334</v>
      </c>
      <c r="B947">
        <v>2000</v>
      </c>
      <c r="C947" t="s">
        <v>273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COUNT(LifeExpectancyData[[#This Row],[Life expectancy]:[Schooling]])=19</f>
        <v>1</v>
      </c>
    </row>
    <row r="948" spans="1:23" x14ac:dyDescent="0.25">
      <c r="A948" t="s">
        <v>335</v>
      </c>
      <c r="B948">
        <v>2015</v>
      </c>
      <c r="C948" t="s">
        <v>273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COUNT(LifeExpectancyData[[#This Row],[Life expectancy]:[Schooling]])=19</f>
        <v>0</v>
      </c>
    </row>
    <row r="949" spans="1:23" x14ac:dyDescent="0.25">
      <c r="A949" t="s">
        <v>335</v>
      </c>
      <c r="B949">
        <v>2014</v>
      </c>
      <c r="C949" t="s">
        <v>273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COUNT(LifeExpectancyData[[#This Row],[Life expectancy]:[Schooling]])=19</f>
        <v>1</v>
      </c>
    </row>
    <row r="950" spans="1:23" x14ac:dyDescent="0.25">
      <c r="A950" t="s">
        <v>335</v>
      </c>
      <c r="B950">
        <v>2013</v>
      </c>
      <c r="C950" t="s">
        <v>273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COUNT(LifeExpectancyData[[#This Row],[Life expectancy]:[Schooling]])=19</f>
        <v>1</v>
      </c>
    </row>
    <row r="951" spans="1:23" x14ac:dyDescent="0.25">
      <c r="A951" t="s">
        <v>335</v>
      </c>
      <c r="B951">
        <v>2012</v>
      </c>
      <c r="C951" t="s">
        <v>273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COUNT(LifeExpectancyData[[#This Row],[Life expectancy]:[Schooling]])=19</f>
        <v>1</v>
      </c>
    </row>
    <row r="952" spans="1:23" x14ac:dyDescent="0.25">
      <c r="A952" t="s">
        <v>335</v>
      </c>
      <c r="B952">
        <v>2011</v>
      </c>
      <c r="C952" t="s">
        <v>273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COUNT(LifeExpectancyData[[#This Row],[Life expectancy]:[Schooling]])=19</f>
        <v>1</v>
      </c>
    </row>
    <row r="953" spans="1:23" x14ac:dyDescent="0.25">
      <c r="A953" t="s">
        <v>335</v>
      </c>
      <c r="B953">
        <v>2010</v>
      </c>
      <c r="C953" t="s">
        <v>273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COUNT(LifeExpectancyData[[#This Row],[Life expectancy]:[Schooling]])=19</f>
        <v>1</v>
      </c>
    </row>
    <row r="954" spans="1:23" x14ac:dyDescent="0.25">
      <c r="A954" t="s">
        <v>335</v>
      </c>
      <c r="B954">
        <v>2009</v>
      </c>
      <c r="C954" t="s">
        <v>273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COUNT(LifeExpectancyData[[#This Row],[Life expectancy]:[Schooling]])=19</f>
        <v>1</v>
      </c>
    </row>
    <row r="955" spans="1:23" x14ac:dyDescent="0.25">
      <c r="A955" t="s">
        <v>335</v>
      </c>
      <c r="B955">
        <v>2008</v>
      </c>
      <c r="C955" t="s">
        <v>273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COUNT(LifeExpectancyData[[#This Row],[Life expectancy]:[Schooling]])=19</f>
        <v>1</v>
      </c>
    </row>
    <row r="956" spans="1:23" x14ac:dyDescent="0.25">
      <c r="A956" t="s">
        <v>335</v>
      </c>
      <c r="B956">
        <v>2007</v>
      </c>
      <c r="C956" t="s">
        <v>273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COUNT(LifeExpectancyData[[#This Row],[Life expectancy]:[Schooling]])=19</f>
        <v>1</v>
      </c>
    </row>
    <row r="957" spans="1:23" x14ac:dyDescent="0.25">
      <c r="A957" t="s">
        <v>335</v>
      </c>
      <c r="B957">
        <v>2006</v>
      </c>
      <c r="C957" t="s">
        <v>273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COUNT(LifeExpectancyData[[#This Row],[Life expectancy]:[Schooling]])=19</f>
        <v>1</v>
      </c>
    </row>
    <row r="958" spans="1:23" x14ac:dyDescent="0.25">
      <c r="A958" t="s">
        <v>335</v>
      </c>
      <c r="B958">
        <v>2005</v>
      </c>
      <c r="C958" t="s">
        <v>273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COUNT(LifeExpectancyData[[#This Row],[Life expectancy]:[Schooling]])=19</f>
        <v>1</v>
      </c>
    </row>
    <row r="959" spans="1:23" x14ac:dyDescent="0.25">
      <c r="A959" t="s">
        <v>335</v>
      </c>
      <c r="B959">
        <v>2004</v>
      </c>
      <c r="C959" t="s">
        <v>273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COUNT(LifeExpectancyData[[#This Row],[Life expectancy]:[Schooling]])=19</f>
        <v>0</v>
      </c>
    </row>
    <row r="960" spans="1:23" x14ac:dyDescent="0.25">
      <c r="A960" t="s">
        <v>335</v>
      </c>
      <c r="B960">
        <v>2003</v>
      </c>
      <c r="C960" t="s">
        <v>273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COUNT(LifeExpectancyData[[#This Row],[Life expectancy]:[Schooling]])=19</f>
        <v>0</v>
      </c>
    </row>
    <row r="961" spans="1:23" x14ac:dyDescent="0.25">
      <c r="A961" t="s">
        <v>335</v>
      </c>
      <c r="B961">
        <v>2002</v>
      </c>
      <c r="C961" t="s">
        <v>273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COUNT(LifeExpectancyData[[#This Row],[Life expectancy]:[Schooling]])=19</f>
        <v>0</v>
      </c>
    </row>
    <row r="962" spans="1:23" x14ac:dyDescent="0.25">
      <c r="A962" t="s">
        <v>335</v>
      </c>
      <c r="B962">
        <v>2001</v>
      </c>
      <c r="C962" t="s">
        <v>273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COUNT(LifeExpectancyData[[#This Row],[Life expectancy]:[Schooling]])=19</f>
        <v>0</v>
      </c>
    </row>
    <row r="963" spans="1:23" x14ac:dyDescent="0.25">
      <c r="A963" t="s">
        <v>335</v>
      </c>
      <c r="B963">
        <v>2000</v>
      </c>
      <c r="C963" t="s">
        <v>273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COUNT(LifeExpectancyData[[#This Row],[Life expectancy]:[Schooling]])=19</f>
        <v>0</v>
      </c>
    </row>
    <row r="964" spans="1:23" x14ac:dyDescent="0.25">
      <c r="A964" t="s">
        <v>336</v>
      </c>
      <c r="B964">
        <v>2015</v>
      </c>
      <c r="C964" t="s">
        <v>273</v>
      </c>
      <c r="D964">
        <v>61.1</v>
      </c>
      <c r="E964">
        <v>262</v>
      </c>
      <c r="F964">
        <v>3</v>
      </c>
      <c r="H964">
        <v>0</v>
      </c>
      <c r="I964">
        <v>97</v>
      </c>
      <c r="J964">
        <v>71</v>
      </c>
      <c r="K964">
        <v>27.3</v>
      </c>
      <c r="L964">
        <v>5</v>
      </c>
      <c r="M964">
        <v>96</v>
      </c>
      <c r="O964">
        <v>97</v>
      </c>
      <c r="P964">
        <v>1.7</v>
      </c>
      <c r="S964">
        <v>7.3</v>
      </c>
      <c r="T964">
        <v>7.2</v>
      </c>
      <c r="U964">
        <v>0.45</v>
      </c>
      <c r="V964">
        <v>8.9</v>
      </c>
      <c r="W964" t="b">
        <f>COUNT(LifeExpectancyData[[#This Row],[Life expectancy]:[Schooling]])=19</f>
        <v>0</v>
      </c>
    </row>
    <row r="965" spans="1:23" x14ac:dyDescent="0.25">
      <c r="A965" t="s">
        <v>336</v>
      </c>
      <c r="B965">
        <v>2014</v>
      </c>
      <c r="C965" t="s">
        <v>273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COUNT(LifeExpectancyData[[#This Row],[Life expectancy]:[Schooling]])=19</f>
        <v>0</v>
      </c>
    </row>
    <row r="966" spans="1:23" x14ac:dyDescent="0.25">
      <c r="A966" t="s">
        <v>336</v>
      </c>
      <c r="B966">
        <v>2013</v>
      </c>
      <c r="C966" t="s">
        <v>273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COUNT(LifeExpectancyData[[#This Row],[Life expectancy]:[Schooling]])=19</f>
        <v>0</v>
      </c>
    </row>
    <row r="967" spans="1:23" x14ac:dyDescent="0.25">
      <c r="A967" t="s">
        <v>336</v>
      </c>
      <c r="B967">
        <v>2012</v>
      </c>
      <c r="C967" t="s">
        <v>273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COUNT(LifeExpectancyData[[#This Row],[Life expectancy]:[Schooling]])=19</f>
        <v>0</v>
      </c>
    </row>
    <row r="968" spans="1:23" x14ac:dyDescent="0.25">
      <c r="A968" t="s">
        <v>336</v>
      </c>
      <c r="B968">
        <v>2011</v>
      </c>
      <c r="C968" t="s">
        <v>273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COUNT(LifeExpectancyData[[#This Row],[Life expectancy]:[Schooling]])=19</f>
        <v>0</v>
      </c>
    </row>
    <row r="969" spans="1:23" x14ac:dyDescent="0.25">
      <c r="A969" t="s">
        <v>336</v>
      </c>
      <c r="B969">
        <v>2010</v>
      </c>
      <c r="C969" t="s">
        <v>273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COUNT(LifeExpectancyData[[#This Row],[Life expectancy]:[Schooling]])=19</f>
        <v>0</v>
      </c>
    </row>
    <row r="970" spans="1:23" x14ac:dyDescent="0.25">
      <c r="A970" t="s">
        <v>336</v>
      </c>
      <c r="B970">
        <v>2009</v>
      </c>
      <c r="C970" t="s">
        <v>273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COUNT(LifeExpectancyData[[#This Row],[Life expectancy]:[Schooling]])=19</f>
        <v>0</v>
      </c>
    </row>
    <row r="971" spans="1:23" x14ac:dyDescent="0.25">
      <c r="A971" t="s">
        <v>336</v>
      </c>
      <c r="B971">
        <v>2008</v>
      </c>
      <c r="C971" t="s">
        <v>273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COUNT(LifeExpectancyData[[#This Row],[Life expectancy]:[Schooling]])=19</f>
        <v>0</v>
      </c>
    </row>
    <row r="972" spans="1:23" x14ac:dyDescent="0.25">
      <c r="A972" t="s">
        <v>336</v>
      </c>
      <c r="B972">
        <v>2007</v>
      </c>
      <c r="C972" t="s">
        <v>273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COUNT(LifeExpectancyData[[#This Row],[Life expectancy]:[Schooling]])=19</f>
        <v>0</v>
      </c>
    </row>
    <row r="973" spans="1:23" x14ac:dyDescent="0.25">
      <c r="A973" t="s">
        <v>336</v>
      </c>
      <c r="B973">
        <v>2006</v>
      </c>
      <c r="C973" t="s">
        <v>273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COUNT(LifeExpectancyData[[#This Row],[Life expectancy]:[Schooling]])=19</f>
        <v>0</v>
      </c>
    </row>
    <row r="974" spans="1:23" x14ac:dyDescent="0.25">
      <c r="A974" t="s">
        <v>336</v>
      </c>
      <c r="B974">
        <v>2005</v>
      </c>
      <c r="C974" t="s">
        <v>273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COUNT(LifeExpectancyData[[#This Row],[Life expectancy]:[Schooling]])=19</f>
        <v>0</v>
      </c>
    </row>
    <row r="975" spans="1:23" x14ac:dyDescent="0.25">
      <c r="A975" t="s">
        <v>336</v>
      </c>
      <c r="B975">
        <v>2004</v>
      </c>
      <c r="C975" t="s">
        <v>273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COUNT(LifeExpectancyData[[#This Row],[Life expectancy]:[Schooling]])=19</f>
        <v>0</v>
      </c>
    </row>
    <row r="976" spans="1:23" x14ac:dyDescent="0.25">
      <c r="A976" t="s">
        <v>336</v>
      </c>
      <c r="B976">
        <v>2003</v>
      </c>
      <c r="C976" t="s">
        <v>273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COUNT(LifeExpectancyData[[#This Row],[Life expectancy]:[Schooling]])=19</f>
        <v>0</v>
      </c>
    </row>
    <row r="977" spans="1:23" x14ac:dyDescent="0.25">
      <c r="A977" t="s">
        <v>336</v>
      </c>
      <c r="B977">
        <v>2002</v>
      </c>
      <c r="C977" t="s">
        <v>273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COUNT(LifeExpectancyData[[#This Row],[Life expectancy]:[Schooling]])=19</f>
        <v>0</v>
      </c>
    </row>
    <row r="978" spans="1:23" x14ac:dyDescent="0.25">
      <c r="A978" t="s">
        <v>336</v>
      </c>
      <c r="B978">
        <v>2001</v>
      </c>
      <c r="C978" t="s">
        <v>273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COUNT(LifeExpectancyData[[#This Row],[Life expectancy]:[Schooling]])=19</f>
        <v>0</v>
      </c>
    </row>
    <row r="979" spans="1:23" x14ac:dyDescent="0.25">
      <c r="A979" t="s">
        <v>336</v>
      </c>
      <c r="B979">
        <v>2000</v>
      </c>
      <c r="C979" t="s">
        <v>273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COUNT(LifeExpectancyData[[#This Row],[Life expectancy]:[Schooling]])=19</f>
        <v>0</v>
      </c>
    </row>
    <row r="980" spans="1:23" x14ac:dyDescent="0.25">
      <c r="A980" t="s">
        <v>337</v>
      </c>
      <c r="B980">
        <v>2015</v>
      </c>
      <c r="C980" t="s">
        <v>273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COUNT(LifeExpectancyData[[#This Row],[Life expectancy]:[Schooling]])=19</f>
        <v>0</v>
      </c>
    </row>
    <row r="981" spans="1:23" x14ac:dyDescent="0.25">
      <c r="A981" t="s">
        <v>337</v>
      </c>
      <c r="B981">
        <v>2014</v>
      </c>
      <c r="C981" t="s">
        <v>273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COUNT(LifeExpectancyData[[#This Row],[Life expectancy]:[Schooling]])=19</f>
        <v>1</v>
      </c>
    </row>
    <row r="982" spans="1:23" x14ac:dyDescent="0.25">
      <c r="A982" t="s">
        <v>337</v>
      </c>
      <c r="B982">
        <v>2013</v>
      </c>
      <c r="C982" t="s">
        <v>273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COUNT(LifeExpectancyData[[#This Row],[Life expectancy]:[Schooling]])=19</f>
        <v>1</v>
      </c>
    </row>
    <row r="983" spans="1:23" x14ac:dyDescent="0.25">
      <c r="A983" t="s">
        <v>337</v>
      </c>
      <c r="B983">
        <v>2012</v>
      </c>
      <c r="C983" t="s">
        <v>273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COUNT(LifeExpectancyData[[#This Row],[Life expectancy]:[Schooling]])=19</f>
        <v>1</v>
      </c>
    </row>
    <row r="984" spans="1:23" x14ac:dyDescent="0.25">
      <c r="A984" t="s">
        <v>337</v>
      </c>
      <c r="B984">
        <v>2011</v>
      </c>
      <c r="C984" t="s">
        <v>273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COUNT(LifeExpectancyData[[#This Row],[Life expectancy]:[Schooling]])=19</f>
        <v>1</v>
      </c>
    </row>
    <row r="985" spans="1:23" x14ac:dyDescent="0.25">
      <c r="A985" t="s">
        <v>337</v>
      </c>
      <c r="B985">
        <v>2010</v>
      </c>
      <c r="C985" t="s">
        <v>273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COUNT(LifeExpectancyData[[#This Row],[Life expectancy]:[Schooling]])=19</f>
        <v>1</v>
      </c>
    </row>
    <row r="986" spans="1:23" x14ac:dyDescent="0.25">
      <c r="A986" t="s">
        <v>337</v>
      </c>
      <c r="B986">
        <v>2009</v>
      </c>
      <c r="C986" t="s">
        <v>273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COUNT(LifeExpectancyData[[#This Row],[Life expectancy]:[Schooling]])=19</f>
        <v>1</v>
      </c>
    </row>
    <row r="987" spans="1:23" x14ac:dyDescent="0.25">
      <c r="A987" t="s">
        <v>337</v>
      </c>
      <c r="B987">
        <v>2008</v>
      </c>
      <c r="C987" t="s">
        <v>273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COUNT(LifeExpectancyData[[#This Row],[Life expectancy]:[Schooling]])=19</f>
        <v>1</v>
      </c>
    </row>
    <row r="988" spans="1:23" x14ac:dyDescent="0.25">
      <c r="A988" t="s">
        <v>337</v>
      </c>
      <c r="B988">
        <v>2007</v>
      </c>
      <c r="C988" t="s">
        <v>273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COUNT(LifeExpectancyData[[#This Row],[Life expectancy]:[Schooling]])=19</f>
        <v>1</v>
      </c>
    </row>
    <row r="989" spans="1:23" x14ac:dyDescent="0.25">
      <c r="A989" t="s">
        <v>337</v>
      </c>
      <c r="B989">
        <v>2006</v>
      </c>
      <c r="C989" t="s">
        <v>273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COUNT(LifeExpectancyData[[#This Row],[Life expectancy]:[Schooling]])=19</f>
        <v>1</v>
      </c>
    </row>
    <row r="990" spans="1:23" x14ac:dyDescent="0.25">
      <c r="A990" t="s">
        <v>337</v>
      </c>
      <c r="B990">
        <v>2005</v>
      </c>
      <c r="C990" t="s">
        <v>273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COUNT(LifeExpectancyData[[#This Row],[Life expectancy]:[Schooling]])=19</f>
        <v>1</v>
      </c>
    </row>
    <row r="991" spans="1:23" x14ac:dyDescent="0.25">
      <c r="A991" t="s">
        <v>337</v>
      </c>
      <c r="B991">
        <v>2004</v>
      </c>
      <c r="C991" t="s">
        <v>273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COUNT(LifeExpectancyData[[#This Row],[Life expectancy]:[Schooling]])=19</f>
        <v>1</v>
      </c>
    </row>
    <row r="992" spans="1:23" x14ac:dyDescent="0.25">
      <c r="A992" t="s">
        <v>337</v>
      </c>
      <c r="B992">
        <v>2003</v>
      </c>
      <c r="C992" t="s">
        <v>273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COUNT(LifeExpectancyData[[#This Row],[Life expectancy]:[Schooling]])=19</f>
        <v>1</v>
      </c>
    </row>
    <row r="993" spans="1:23" x14ac:dyDescent="0.25">
      <c r="A993" t="s">
        <v>337</v>
      </c>
      <c r="B993">
        <v>2002</v>
      </c>
      <c r="C993" t="s">
        <v>273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COUNT(LifeExpectancyData[[#This Row],[Life expectancy]:[Schooling]])=19</f>
        <v>1</v>
      </c>
    </row>
    <row r="994" spans="1:23" x14ac:dyDescent="0.25">
      <c r="A994" t="s">
        <v>337</v>
      </c>
      <c r="B994">
        <v>2001</v>
      </c>
      <c r="C994" t="s">
        <v>273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COUNT(LifeExpectancyData[[#This Row],[Life expectancy]:[Schooling]])=19</f>
        <v>1</v>
      </c>
    </row>
    <row r="995" spans="1:23" x14ac:dyDescent="0.25">
      <c r="A995" t="s">
        <v>337</v>
      </c>
      <c r="B995">
        <v>2000</v>
      </c>
      <c r="C995" t="s">
        <v>273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COUNT(LifeExpectancyData[[#This Row],[Life expectancy]:[Schooling]])=19</f>
        <v>1</v>
      </c>
    </row>
    <row r="996" spans="1:23" x14ac:dyDescent="0.25">
      <c r="A996" t="s">
        <v>338</v>
      </c>
      <c r="B996">
        <v>2015</v>
      </c>
      <c r="C996" t="s">
        <v>281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COUNT(LifeExpectancyData[[#This Row],[Life expectancy]:[Schooling]])=19</f>
        <v>0</v>
      </c>
    </row>
    <row r="997" spans="1:23" x14ac:dyDescent="0.25">
      <c r="A997" t="s">
        <v>338</v>
      </c>
      <c r="B997">
        <v>2014</v>
      </c>
      <c r="C997" t="s">
        <v>281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COUNT(LifeExpectancyData[[#This Row],[Life expectancy]:[Schooling]])=19</f>
        <v>1</v>
      </c>
    </row>
    <row r="998" spans="1:23" x14ac:dyDescent="0.25">
      <c r="A998" t="s">
        <v>338</v>
      </c>
      <c r="B998">
        <v>2013</v>
      </c>
      <c r="C998" t="s">
        <v>281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COUNT(LifeExpectancyData[[#This Row],[Life expectancy]:[Schooling]])=19</f>
        <v>1</v>
      </c>
    </row>
    <row r="999" spans="1:23" x14ac:dyDescent="0.25">
      <c r="A999" t="s">
        <v>338</v>
      </c>
      <c r="B999">
        <v>2012</v>
      </c>
      <c r="C999" t="s">
        <v>281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COUNT(LifeExpectancyData[[#This Row],[Life expectancy]:[Schooling]])=19</f>
        <v>1</v>
      </c>
    </row>
    <row r="1000" spans="1:23" x14ac:dyDescent="0.25">
      <c r="A1000" t="s">
        <v>338</v>
      </c>
      <c r="B1000">
        <v>2011</v>
      </c>
      <c r="C1000" t="s">
        <v>281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COUNT(LifeExpectancyData[[#This Row],[Life expectancy]:[Schooling]])=19</f>
        <v>1</v>
      </c>
    </row>
    <row r="1001" spans="1:23" x14ac:dyDescent="0.25">
      <c r="A1001" t="s">
        <v>338</v>
      </c>
      <c r="B1001">
        <v>2010</v>
      </c>
      <c r="C1001" t="s">
        <v>281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COUNT(LifeExpectancyData[[#This Row],[Life expectancy]:[Schooling]])=19</f>
        <v>1</v>
      </c>
    </row>
    <row r="1002" spans="1:23" x14ac:dyDescent="0.25">
      <c r="A1002" t="s">
        <v>338</v>
      </c>
      <c r="B1002">
        <v>2009</v>
      </c>
      <c r="C1002" t="s">
        <v>281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COUNT(LifeExpectancyData[[#This Row],[Life expectancy]:[Schooling]])=19</f>
        <v>1</v>
      </c>
    </row>
    <row r="1003" spans="1:23" x14ac:dyDescent="0.25">
      <c r="A1003" t="s">
        <v>338</v>
      </c>
      <c r="B1003">
        <v>2008</v>
      </c>
      <c r="C1003" t="s">
        <v>281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COUNT(LifeExpectancyData[[#This Row],[Life expectancy]:[Schooling]])=19</f>
        <v>1</v>
      </c>
    </row>
    <row r="1004" spans="1:23" x14ac:dyDescent="0.25">
      <c r="A1004" t="s">
        <v>338</v>
      </c>
      <c r="B1004">
        <v>2007</v>
      </c>
      <c r="C1004" t="s">
        <v>281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COUNT(LifeExpectancyData[[#This Row],[Life expectancy]:[Schooling]])=19</f>
        <v>1</v>
      </c>
    </row>
    <row r="1005" spans="1:23" x14ac:dyDescent="0.25">
      <c r="A1005" t="s">
        <v>338</v>
      </c>
      <c r="B1005">
        <v>2006</v>
      </c>
      <c r="C1005" t="s">
        <v>281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COUNT(LifeExpectancyData[[#This Row],[Life expectancy]:[Schooling]])=19</f>
        <v>1</v>
      </c>
    </row>
    <row r="1006" spans="1:23" x14ac:dyDescent="0.25">
      <c r="A1006" t="s">
        <v>338</v>
      </c>
      <c r="B1006">
        <v>2005</v>
      </c>
      <c r="C1006" t="s">
        <v>281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COUNT(LifeExpectancyData[[#This Row],[Life expectancy]:[Schooling]])=19</f>
        <v>1</v>
      </c>
    </row>
    <row r="1007" spans="1:23" x14ac:dyDescent="0.25">
      <c r="A1007" t="s">
        <v>338</v>
      </c>
      <c r="B1007">
        <v>2004</v>
      </c>
      <c r="C1007" t="s">
        <v>281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COUNT(LifeExpectancyData[[#This Row],[Life expectancy]:[Schooling]])=19</f>
        <v>1</v>
      </c>
    </row>
    <row r="1008" spans="1:23" x14ac:dyDescent="0.25">
      <c r="A1008" t="s">
        <v>338</v>
      </c>
      <c r="B1008">
        <v>2003</v>
      </c>
      <c r="C1008" t="s">
        <v>281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COUNT(LifeExpectancyData[[#This Row],[Life expectancy]:[Schooling]])=19</f>
        <v>1</v>
      </c>
    </row>
    <row r="1009" spans="1:23" x14ac:dyDescent="0.25">
      <c r="A1009" t="s">
        <v>338</v>
      </c>
      <c r="B1009">
        <v>2002</v>
      </c>
      <c r="C1009" t="s">
        <v>281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COUNT(LifeExpectancyData[[#This Row],[Life expectancy]:[Schooling]])=19</f>
        <v>1</v>
      </c>
    </row>
    <row r="1010" spans="1:23" x14ac:dyDescent="0.25">
      <c r="A1010" t="s">
        <v>338</v>
      </c>
      <c r="B1010">
        <v>2001</v>
      </c>
      <c r="C1010" t="s">
        <v>281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COUNT(LifeExpectancyData[[#This Row],[Life expectancy]:[Schooling]])=19</f>
        <v>1</v>
      </c>
    </row>
    <row r="1011" spans="1:23" x14ac:dyDescent="0.25">
      <c r="A1011" t="s">
        <v>338</v>
      </c>
      <c r="B1011">
        <v>2000</v>
      </c>
      <c r="C1011" t="s">
        <v>281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COUNT(LifeExpectancyData[[#This Row],[Life expectancy]:[Schooling]])=19</f>
        <v>1</v>
      </c>
    </row>
    <row r="1012" spans="1:23" x14ac:dyDescent="0.25">
      <c r="A1012" t="s">
        <v>339</v>
      </c>
      <c r="B1012">
        <v>2015</v>
      </c>
      <c r="C1012" t="s">
        <v>273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COUNT(LifeExpectancyData[[#This Row],[Life expectancy]:[Schooling]])=19</f>
        <v>0</v>
      </c>
    </row>
    <row r="1013" spans="1:23" x14ac:dyDescent="0.25">
      <c r="A1013" t="s">
        <v>339</v>
      </c>
      <c r="B1013">
        <v>2014</v>
      </c>
      <c r="C1013" t="s">
        <v>273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COUNT(LifeExpectancyData[[#This Row],[Life expectancy]:[Schooling]])=19</f>
        <v>1</v>
      </c>
    </row>
    <row r="1014" spans="1:23" x14ac:dyDescent="0.25">
      <c r="A1014" t="s">
        <v>339</v>
      </c>
      <c r="B1014">
        <v>2013</v>
      </c>
      <c r="C1014" t="s">
        <v>273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COUNT(LifeExpectancyData[[#This Row],[Life expectancy]:[Schooling]])=19</f>
        <v>1</v>
      </c>
    </row>
    <row r="1015" spans="1:23" x14ac:dyDescent="0.25">
      <c r="A1015" t="s">
        <v>339</v>
      </c>
      <c r="B1015">
        <v>2012</v>
      </c>
      <c r="C1015" t="s">
        <v>273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COUNT(LifeExpectancyData[[#This Row],[Life expectancy]:[Schooling]])=19</f>
        <v>1</v>
      </c>
    </row>
    <row r="1016" spans="1:23" x14ac:dyDescent="0.25">
      <c r="A1016" t="s">
        <v>339</v>
      </c>
      <c r="B1016">
        <v>2011</v>
      </c>
      <c r="C1016" t="s">
        <v>273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COUNT(LifeExpectancyData[[#This Row],[Life expectancy]:[Schooling]])=19</f>
        <v>1</v>
      </c>
    </row>
    <row r="1017" spans="1:23" x14ac:dyDescent="0.25">
      <c r="A1017" t="s">
        <v>339</v>
      </c>
      <c r="B1017">
        <v>2010</v>
      </c>
      <c r="C1017" t="s">
        <v>273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COUNT(LifeExpectancyData[[#This Row],[Life expectancy]:[Schooling]])=19</f>
        <v>1</v>
      </c>
    </row>
    <row r="1018" spans="1:23" x14ac:dyDescent="0.25">
      <c r="A1018" t="s">
        <v>339</v>
      </c>
      <c r="B1018">
        <v>2009</v>
      </c>
      <c r="C1018" t="s">
        <v>273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COUNT(LifeExpectancyData[[#This Row],[Life expectancy]:[Schooling]])=19</f>
        <v>1</v>
      </c>
    </row>
    <row r="1019" spans="1:23" x14ac:dyDescent="0.25">
      <c r="A1019" t="s">
        <v>339</v>
      </c>
      <c r="B1019">
        <v>2008</v>
      </c>
      <c r="C1019" t="s">
        <v>273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COUNT(LifeExpectancyData[[#This Row],[Life expectancy]:[Schooling]])=19</f>
        <v>1</v>
      </c>
    </row>
    <row r="1020" spans="1:23" x14ac:dyDescent="0.25">
      <c r="A1020" t="s">
        <v>339</v>
      </c>
      <c r="B1020">
        <v>2007</v>
      </c>
      <c r="C1020" t="s">
        <v>273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COUNT(LifeExpectancyData[[#This Row],[Life expectancy]:[Schooling]])=19</f>
        <v>1</v>
      </c>
    </row>
    <row r="1021" spans="1:23" x14ac:dyDescent="0.25">
      <c r="A1021" t="s">
        <v>339</v>
      </c>
      <c r="B1021">
        <v>2006</v>
      </c>
      <c r="C1021" t="s">
        <v>273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COUNT(LifeExpectancyData[[#This Row],[Life expectancy]:[Schooling]])=19</f>
        <v>1</v>
      </c>
    </row>
    <row r="1022" spans="1:23" x14ac:dyDescent="0.25">
      <c r="A1022" t="s">
        <v>339</v>
      </c>
      <c r="B1022">
        <v>2005</v>
      </c>
      <c r="C1022" t="s">
        <v>273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COUNT(LifeExpectancyData[[#This Row],[Life expectancy]:[Schooling]])=19</f>
        <v>1</v>
      </c>
    </row>
    <row r="1023" spans="1:23" x14ac:dyDescent="0.25">
      <c r="A1023" t="s">
        <v>339</v>
      </c>
      <c r="B1023">
        <v>2004</v>
      </c>
      <c r="C1023" t="s">
        <v>273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COUNT(LifeExpectancyData[[#This Row],[Life expectancy]:[Schooling]])=19</f>
        <v>1</v>
      </c>
    </row>
    <row r="1024" spans="1:23" x14ac:dyDescent="0.25">
      <c r="A1024" t="s">
        <v>339</v>
      </c>
      <c r="B1024">
        <v>2003</v>
      </c>
      <c r="C1024" t="s">
        <v>273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COUNT(LifeExpectancyData[[#This Row],[Life expectancy]:[Schooling]])=19</f>
        <v>1</v>
      </c>
    </row>
    <row r="1025" spans="1:23" x14ac:dyDescent="0.25">
      <c r="A1025" t="s">
        <v>339</v>
      </c>
      <c r="B1025">
        <v>2002</v>
      </c>
      <c r="C1025" t="s">
        <v>273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COUNT(LifeExpectancyData[[#This Row],[Life expectancy]:[Schooling]])=19</f>
        <v>1</v>
      </c>
    </row>
    <row r="1026" spans="1:23" x14ac:dyDescent="0.25">
      <c r="A1026" t="s">
        <v>339</v>
      </c>
      <c r="B1026">
        <v>2001</v>
      </c>
      <c r="C1026" t="s">
        <v>273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COUNT(LifeExpectancyData[[#This Row],[Life expectancy]:[Schooling]])=19</f>
        <v>0</v>
      </c>
    </row>
    <row r="1027" spans="1:23" x14ac:dyDescent="0.25">
      <c r="A1027" t="s">
        <v>339</v>
      </c>
      <c r="B1027">
        <v>2000</v>
      </c>
      <c r="C1027" t="s">
        <v>273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COUNT(LifeExpectancyData[[#This Row],[Life expectancy]:[Schooling]])=19</f>
        <v>0</v>
      </c>
    </row>
    <row r="1028" spans="1:23" x14ac:dyDescent="0.25">
      <c r="A1028" t="s">
        <v>340</v>
      </c>
      <c r="B1028">
        <v>2015</v>
      </c>
      <c r="C1028" t="s">
        <v>273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COUNT(LifeExpectancyData[[#This Row],[Life expectancy]:[Schooling]])=19</f>
        <v>0</v>
      </c>
    </row>
    <row r="1029" spans="1:23" x14ac:dyDescent="0.25">
      <c r="A1029" t="s">
        <v>340</v>
      </c>
      <c r="B1029">
        <v>2014</v>
      </c>
      <c r="C1029" t="s">
        <v>273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COUNT(LifeExpectancyData[[#This Row],[Life expectancy]:[Schooling]])=19</f>
        <v>1</v>
      </c>
    </row>
    <row r="1030" spans="1:23" x14ac:dyDescent="0.25">
      <c r="A1030" t="s">
        <v>340</v>
      </c>
      <c r="B1030">
        <v>2013</v>
      </c>
      <c r="C1030" t="s">
        <v>273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COUNT(LifeExpectancyData[[#This Row],[Life expectancy]:[Schooling]])=19</f>
        <v>1</v>
      </c>
    </row>
    <row r="1031" spans="1:23" x14ac:dyDescent="0.25">
      <c r="A1031" t="s">
        <v>340</v>
      </c>
      <c r="B1031">
        <v>2012</v>
      </c>
      <c r="C1031" t="s">
        <v>273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COUNT(LifeExpectancyData[[#This Row],[Life expectancy]:[Schooling]])=19</f>
        <v>1</v>
      </c>
    </row>
    <row r="1032" spans="1:23" x14ac:dyDescent="0.25">
      <c r="A1032" t="s">
        <v>340</v>
      </c>
      <c r="B1032">
        <v>2011</v>
      </c>
      <c r="C1032" t="s">
        <v>273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COUNT(LifeExpectancyData[[#This Row],[Life expectancy]:[Schooling]])=19</f>
        <v>1</v>
      </c>
    </row>
    <row r="1033" spans="1:23" x14ac:dyDescent="0.25">
      <c r="A1033" t="s">
        <v>340</v>
      </c>
      <c r="B1033">
        <v>2010</v>
      </c>
      <c r="C1033" t="s">
        <v>273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COUNT(LifeExpectancyData[[#This Row],[Life expectancy]:[Schooling]])=19</f>
        <v>1</v>
      </c>
    </row>
    <row r="1034" spans="1:23" x14ac:dyDescent="0.25">
      <c r="A1034" t="s">
        <v>340</v>
      </c>
      <c r="B1034">
        <v>2009</v>
      </c>
      <c r="C1034" t="s">
        <v>273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COUNT(LifeExpectancyData[[#This Row],[Life expectancy]:[Schooling]])=19</f>
        <v>1</v>
      </c>
    </row>
    <row r="1035" spans="1:23" x14ac:dyDescent="0.25">
      <c r="A1035" t="s">
        <v>340</v>
      </c>
      <c r="B1035">
        <v>2008</v>
      </c>
      <c r="C1035" t="s">
        <v>273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COUNT(LifeExpectancyData[[#This Row],[Life expectancy]:[Schooling]])=19</f>
        <v>1</v>
      </c>
    </row>
    <row r="1036" spans="1:23" x14ac:dyDescent="0.25">
      <c r="A1036" t="s">
        <v>340</v>
      </c>
      <c r="B1036">
        <v>2007</v>
      </c>
      <c r="C1036" t="s">
        <v>273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COUNT(LifeExpectancyData[[#This Row],[Life expectancy]:[Schooling]])=19</f>
        <v>1</v>
      </c>
    </row>
    <row r="1037" spans="1:23" x14ac:dyDescent="0.25">
      <c r="A1037" t="s">
        <v>340</v>
      </c>
      <c r="B1037">
        <v>2006</v>
      </c>
      <c r="C1037" t="s">
        <v>273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COUNT(LifeExpectancyData[[#This Row],[Life expectancy]:[Schooling]])=19</f>
        <v>1</v>
      </c>
    </row>
    <row r="1038" spans="1:23" x14ac:dyDescent="0.25">
      <c r="A1038" t="s">
        <v>340</v>
      </c>
      <c r="B1038">
        <v>2005</v>
      </c>
      <c r="C1038" t="s">
        <v>273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COUNT(LifeExpectancyData[[#This Row],[Life expectancy]:[Schooling]])=19</f>
        <v>1</v>
      </c>
    </row>
    <row r="1039" spans="1:23" x14ac:dyDescent="0.25">
      <c r="A1039" t="s">
        <v>340</v>
      </c>
      <c r="B1039">
        <v>2004</v>
      </c>
      <c r="C1039" t="s">
        <v>273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COUNT(LifeExpectancyData[[#This Row],[Life expectancy]:[Schooling]])=19</f>
        <v>1</v>
      </c>
    </row>
    <row r="1040" spans="1:23" x14ac:dyDescent="0.25">
      <c r="A1040" t="s">
        <v>340</v>
      </c>
      <c r="B1040">
        <v>2003</v>
      </c>
      <c r="C1040" t="s">
        <v>273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COUNT(LifeExpectancyData[[#This Row],[Life expectancy]:[Schooling]])=19</f>
        <v>1</v>
      </c>
    </row>
    <row r="1041" spans="1:23" x14ac:dyDescent="0.25">
      <c r="A1041" t="s">
        <v>340</v>
      </c>
      <c r="B1041">
        <v>2002</v>
      </c>
      <c r="C1041" t="s">
        <v>273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COUNT(LifeExpectancyData[[#This Row],[Life expectancy]:[Schooling]])=19</f>
        <v>1</v>
      </c>
    </row>
    <row r="1042" spans="1:23" x14ac:dyDescent="0.25">
      <c r="A1042" t="s">
        <v>340</v>
      </c>
      <c r="B1042">
        <v>2001</v>
      </c>
      <c r="C1042" t="s">
        <v>273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COUNT(LifeExpectancyData[[#This Row],[Life expectancy]:[Schooling]])=19</f>
        <v>1</v>
      </c>
    </row>
    <row r="1043" spans="1:23" x14ac:dyDescent="0.25">
      <c r="A1043" t="s">
        <v>340</v>
      </c>
      <c r="B1043">
        <v>2000</v>
      </c>
      <c r="C1043" t="s">
        <v>273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COUNT(LifeExpectancyData[[#This Row],[Life expectancy]:[Schooling]])=19</f>
        <v>1</v>
      </c>
    </row>
    <row r="1044" spans="1:23" x14ac:dyDescent="0.25">
      <c r="A1044" t="s">
        <v>341</v>
      </c>
      <c r="B1044">
        <v>2015</v>
      </c>
      <c r="C1044" t="s">
        <v>273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COUNT(LifeExpectancyData[[#This Row],[Life expectancy]:[Schooling]])=19</f>
        <v>0</v>
      </c>
    </row>
    <row r="1045" spans="1:23" x14ac:dyDescent="0.25">
      <c r="A1045" t="s">
        <v>341</v>
      </c>
      <c r="B1045">
        <v>2014</v>
      </c>
      <c r="C1045" t="s">
        <v>273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COUNT(LifeExpectancyData[[#This Row],[Life expectancy]:[Schooling]])=19</f>
        <v>0</v>
      </c>
    </row>
    <row r="1046" spans="1:23" x14ac:dyDescent="0.25">
      <c r="A1046" t="s">
        <v>341</v>
      </c>
      <c r="B1046">
        <v>2013</v>
      </c>
      <c r="C1046" t="s">
        <v>273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COUNT(LifeExpectancyData[[#This Row],[Life expectancy]:[Schooling]])=19</f>
        <v>0</v>
      </c>
    </row>
    <row r="1047" spans="1:23" x14ac:dyDescent="0.25">
      <c r="A1047" t="s">
        <v>341</v>
      </c>
      <c r="B1047">
        <v>2012</v>
      </c>
      <c r="C1047" t="s">
        <v>273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COUNT(LifeExpectancyData[[#This Row],[Life expectancy]:[Schooling]])=19</f>
        <v>0</v>
      </c>
    </row>
    <row r="1048" spans="1:23" x14ac:dyDescent="0.25">
      <c r="A1048" t="s">
        <v>341</v>
      </c>
      <c r="B1048">
        <v>2011</v>
      </c>
      <c r="C1048" t="s">
        <v>273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COUNT(LifeExpectancyData[[#This Row],[Life expectancy]:[Schooling]])=19</f>
        <v>0</v>
      </c>
    </row>
    <row r="1049" spans="1:23" x14ac:dyDescent="0.25">
      <c r="A1049" t="s">
        <v>341</v>
      </c>
      <c r="B1049">
        <v>2010</v>
      </c>
      <c r="C1049" t="s">
        <v>273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COUNT(LifeExpectancyData[[#This Row],[Life expectancy]:[Schooling]])=19</f>
        <v>0</v>
      </c>
    </row>
    <row r="1050" spans="1:23" x14ac:dyDescent="0.25">
      <c r="A1050" t="s">
        <v>341</v>
      </c>
      <c r="B1050">
        <v>2009</v>
      </c>
      <c r="C1050" t="s">
        <v>273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COUNT(LifeExpectancyData[[#This Row],[Life expectancy]:[Schooling]])=19</f>
        <v>0</v>
      </c>
    </row>
    <row r="1051" spans="1:23" x14ac:dyDescent="0.25">
      <c r="A1051" t="s">
        <v>341</v>
      </c>
      <c r="B1051">
        <v>2008</v>
      </c>
      <c r="C1051" t="s">
        <v>273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COUNT(LifeExpectancyData[[#This Row],[Life expectancy]:[Schooling]])=19</f>
        <v>0</v>
      </c>
    </row>
    <row r="1052" spans="1:23" x14ac:dyDescent="0.25">
      <c r="A1052" t="s">
        <v>341</v>
      </c>
      <c r="B1052">
        <v>2007</v>
      </c>
      <c r="C1052" t="s">
        <v>273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COUNT(LifeExpectancyData[[#This Row],[Life expectancy]:[Schooling]])=19</f>
        <v>0</v>
      </c>
    </row>
    <row r="1053" spans="1:23" x14ac:dyDescent="0.25">
      <c r="A1053" t="s">
        <v>341</v>
      </c>
      <c r="B1053">
        <v>2006</v>
      </c>
      <c r="C1053" t="s">
        <v>273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COUNT(LifeExpectancyData[[#This Row],[Life expectancy]:[Schooling]])=19</f>
        <v>0</v>
      </c>
    </row>
    <row r="1054" spans="1:23" x14ac:dyDescent="0.25">
      <c r="A1054" t="s">
        <v>341</v>
      </c>
      <c r="B1054">
        <v>2005</v>
      </c>
      <c r="C1054" t="s">
        <v>273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COUNT(LifeExpectancyData[[#This Row],[Life expectancy]:[Schooling]])=19</f>
        <v>0</v>
      </c>
    </row>
    <row r="1055" spans="1:23" x14ac:dyDescent="0.25">
      <c r="A1055" t="s">
        <v>341</v>
      </c>
      <c r="B1055">
        <v>2004</v>
      </c>
      <c r="C1055" t="s">
        <v>273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COUNT(LifeExpectancyData[[#This Row],[Life expectancy]:[Schooling]])=19</f>
        <v>0</v>
      </c>
    </row>
    <row r="1056" spans="1:23" x14ac:dyDescent="0.25">
      <c r="A1056" t="s">
        <v>341</v>
      </c>
      <c r="B1056">
        <v>2003</v>
      </c>
      <c r="C1056" t="s">
        <v>273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COUNT(LifeExpectancyData[[#This Row],[Life expectancy]:[Schooling]])=19</f>
        <v>0</v>
      </c>
    </row>
    <row r="1057" spans="1:23" x14ac:dyDescent="0.25">
      <c r="A1057" t="s">
        <v>341</v>
      </c>
      <c r="B1057">
        <v>2002</v>
      </c>
      <c r="C1057" t="s">
        <v>273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COUNT(LifeExpectancyData[[#This Row],[Life expectancy]:[Schooling]])=19</f>
        <v>0</v>
      </c>
    </row>
    <row r="1058" spans="1:23" x14ac:dyDescent="0.25">
      <c r="A1058" t="s">
        <v>341</v>
      </c>
      <c r="B1058">
        <v>2001</v>
      </c>
      <c r="C1058" t="s">
        <v>273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COUNT(LifeExpectancyData[[#This Row],[Life expectancy]:[Schooling]])=19</f>
        <v>0</v>
      </c>
    </row>
    <row r="1059" spans="1:23" x14ac:dyDescent="0.25">
      <c r="A1059" t="s">
        <v>341</v>
      </c>
      <c r="B1059">
        <v>2000</v>
      </c>
      <c r="C1059" t="s">
        <v>273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COUNT(LifeExpectancyData[[#This Row],[Life expectancy]:[Schooling]])=19</f>
        <v>0</v>
      </c>
    </row>
    <row r="1060" spans="1:23" x14ac:dyDescent="0.25">
      <c r="A1060" t="s">
        <v>342</v>
      </c>
      <c r="B1060">
        <v>2015</v>
      </c>
      <c r="C1060" t="s">
        <v>273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COUNT(LifeExpectancyData[[#This Row],[Life expectancy]:[Schooling]])=19</f>
        <v>0</v>
      </c>
    </row>
    <row r="1061" spans="1:23" x14ac:dyDescent="0.25">
      <c r="A1061" t="s">
        <v>342</v>
      </c>
      <c r="B1061">
        <v>2014</v>
      </c>
      <c r="C1061" t="s">
        <v>273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COUNT(LifeExpectancyData[[#This Row],[Life expectancy]:[Schooling]])=19</f>
        <v>1</v>
      </c>
    </row>
    <row r="1062" spans="1:23" x14ac:dyDescent="0.25">
      <c r="A1062" t="s">
        <v>342</v>
      </c>
      <c r="B1062">
        <v>2013</v>
      </c>
      <c r="C1062" t="s">
        <v>273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COUNT(LifeExpectancyData[[#This Row],[Life expectancy]:[Schooling]])=19</f>
        <v>1</v>
      </c>
    </row>
    <row r="1063" spans="1:23" x14ac:dyDescent="0.25">
      <c r="A1063" t="s">
        <v>342</v>
      </c>
      <c r="B1063">
        <v>2012</v>
      </c>
      <c r="C1063" t="s">
        <v>273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COUNT(LifeExpectancyData[[#This Row],[Life expectancy]:[Schooling]])=19</f>
        <v>1</v>
      </c>
    </row>
    <row r="1064" spans="1:23" x14ac:dyDescent="0.25">
      <c r="A1064" t="s">
        <v>342</v>
      </c>
      <c r="B1064">
        <v>2011</v>
      </c>
      <c r="C1064" t="s">
        <v>273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COUNT(LifeExpectancyData[[#This Row],[Life expectancy]:[Schooling]])=19</f>
        <v>1</v>
      </c>
    </row>
    <row r="1065" spans="1:23" x14ac:dyDescent="0.25">
      <c r="A1065" t="s">
        <v>342</v>
      </c>
      <c r="B1065">
        <v>2010</v>
      </c>
      <c r="C1065" t="s">
        <v>273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COUNT(LifeExpectancyData[[#This Row],[Life expectancy]:[Schooling]])=19</f>
        <v>1</v>
      </c>
    </row>
    <row r="1066" spans="1:23" x14ac:dyDescent="0.25">
      <c r="A1066" t="s">
        <v>342</v>
      </c>
      <c r="B1066">
        <v>2009</v>
      </c>
      <c r="C1066" t="s">
        <v>273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COUNT(LifeExpectancyData[[#This Row],[Life expectancy]:[Schooling]])=19</f>
        <v>1</v>
      </c>
    </row>
    <row r="1067" spans="1:23" x14ac:dyDescent="0.25">
      <c r="A1067" t="s">
        <v>342</v>
      </c>
      <c r="B1067">
        <v>2008</v>
      </c>
      <c r="C1067" t="s">
        <v>273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COUNT(LifeExpectancyData[[#This Row],[Life expectancy]:[Schooling]])=19</f>
        <v>1</v>
      </c>
    </row>
    <row r="1068" spans="1:23" x14ac:dyDescent="0.25">
      <c r="A1068" t="s">
        <v>342</v>
      </c>
      <c r="B1068">
        <v>2007</v>
      </c>
      <c r="C1068" t="s">
        <v>273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COUNT(LifeExpectancyData[[#This Row],[Life expectancy]:[Schooling]])=19</f>
        <v>1</v>
      </c>
    </row>
    <row r="1069" spans="1:23" x14ac:dyDescent="0.25">
      <c r="A1069" t="s">
        <v>342</v>
      </c>
      <c r="B1069">
        <v>2006</v>
      </c>
      <c r="C1069" t="s">
        <v>273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COUNT(LifeExpectancyData[[#This Row],[Life expectancy]:[Schooling]])=19</f>
        <v>1</v>
      </c>
    </row>
    <row r="1070" spans="1:23" x14ac:dyDescent="0.25">
      <c r="A1070" t="s">
        <v>342</v>
      </c>
      <c r="B1070">
        <v>2005</v>
      </c>
      <c r="C1070" t="s">
        <v>273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COUNT(LifeExpectancyData[[#This Row],[Life expectancy]:[Schooling]])=19</f>
        <v>1</v>
      </c>
    </row>
    <row r="1071" spans="1:23" x14ac:dyDescent="0.25">
      <c r="A1071" t="s">
        <v>342</v>
      </c>
      <c r="B1071">
        <v>2004</v>
      </c>
      <c r="C1071" t="s">
        <v>273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COUNT(LifeExpectancyData[[#This Row],[Life expectancy]:[Schooling]])=19</f>
        <v>0</v>
      </c>
    </row>
    <row r="1072" spans="1:23" x14ac:dyDescent="0.25">
      <c r="A1072" t="s">
        <v>342</v>
      </c>
      <c r="B1072">
        <v>2003</v>
      </c>
      <c r="C1072" t="s">
        <v>273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COUNT(LifeExpectancyData[[#This Row],[Life expectancy]:[Schooling]])=19</f>
        <v>0</v>
      </c>
    </row>
    <row r="1073" spans="1:23" x14ac:dyDescent="0.25">
      <c r="A1073" t="s">
        <v>342</v>
      </c>
      <c r="B1073">
        <v>2002</v>
      </c>
      <c r="C1073" t="s">
        <v>273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COUNT(LifeExpectancyData[[#This Row],[Life expectancy]:[Schooling]])=19</f>
        <v>0</v>
      </c>
    </row>
    <row r="1074" spans="1:23" x14ac:dyDescent="0.25">
      <c r="A1074" t="s">
        <v>342</v>
      </c>
      <c r="B1074">
        <v>2001</v>
      </c>
      <c r="C1074" t="s">
        <v>273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COUNT(LifeExpectancyData[[#This Row],[Life expectancy]:[Schooling]])=19</f>
        <v>0</v>
      </c>
    </row>
    <row r="1075" spans="1:23" x14ac:dyDescent="0.25">
      <c r="A1075" t="s">
        <v>342</v>
      </c>
      <c r="B1075">
        <v>2000</v>
      </c>
      <c r="C1075" t="s">
        <v>273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COUNT(LifeExpectancyData[[#This Row],[Life expectancy]:[Schooling]])=19</f>
        <v>0</v>
      </c>
    </row>
    <row r="1076" spans="1:23" x14ac:dyDescent="0.25">
      <c r="A1076" t="s">
        <v>343</v>
      </c>
      <c r="B1076">
        <v>2015</v>
      </c>
      <c r="C1076" t="s">
        <v>273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COUNT(LifeExpectancyData[[#This Row],[Life expectancy]:[Schooling]])=19</f>
        <v>0</v>
      </c>
    </row>
    <row r="1077" spans="1:23" x14ac:dyDescent="0.25">
      <c r="A1077" t="s">
        <v>343</v>
      </c>
      <c r="B1077">
        <v>2014</v>
      </c>
      <c r="C1077" t="s">
        <v>273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COUNT(LifeExpectancyData[[#This Row],[Life expectancy]:[Schooling]])=19</f>
        <v>1</v>
      </c>
    </row>
    <row r="1078" spans="1:23" x14ac:dyDescent="0.25">
      <c r="A1078" t="s">
        <v>343</v>
      </c>
      <c r="B1078">
        <v>2013</v>
      </c>
      <c r="C1078" t="s">
        <v>273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COUNT(LifeExpectancyData[[#This Row],[Life expectancy]:[Schooling]])=19</f>
        <v>1</v>
      </c>
    </row>
    <row r="1079" spans="1:23" x14ac:dyDescent="0.25">
      <c r="A1079" t="s">
        <v>343</v>
      </c>
      <c r="B1079">
        <v>2012</v>
      </c>
      <c r="C1079" t="s">
        <v>273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COUNT(LifeExpectancyData[[#This Row],[Life expectancy]:[Schooling]])=19</f>
        <v>1</v>
      </c>
    </row>
    <row r="1080" spans="1:23" x14ac:dyDescent="0.25">
      <c r="A1080" t="s">
        <v>343</v>
      </c>
      <c r="B1080">
        <v>2011</v>
      </c>
      <c r="C1080" t="s">
        <v>273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COUNT(LifeExpectancyData[[#This Row],[Life expectancy]:[Schooling]])=19</f>
        <v>1</v>
      </c>
    </row>
    <row r="1081" spans="1:23" x14ac:dyDescent="0.25">
      <c r="A1081" t="s">
        <v>343</v>
      </c>
      <c r="B1081">
        <v>2010</v>
      </c>
      <c r="C1081" t="s">
        <v>273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COUNT(LifeExpectancyData[[#This Row],[Life expectancy]:[Schooling]])=19</f>
        <v>1</v>
      </c>
    </row>
    <row r="1082" spans="1:23" x14ac:dyDescent="0.25">
      <c r="A1082" t="s">
        <v>343</v>
      </c>
      <c r="B1082">
        <v>2009</v>
      </c>
      <c r="C1082" t="s">
        <v>273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COUNT(LifeExpectancyData[[#This Row],[Life expectancy]:[Schooling]])=19</f>
        <v>1</v>
      </c>
    </row>
    <row r="1083" spans="1:23" x14ac:dyDescent="0.25">
      <c r="A1083" t="s">
        <v>343</v>
      </c>
      <c r="B1083">
        <v>2008</v>
      </c>
      <c r="C1083" t="s">
        <v>273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COUNT(LifeExpectancyData[[#This Row],[Life expectancy]:[Schooling]])=19</f>
        <v>1</v>
      </c>
    </row>
    <row r="1084" spans="1:23" x14ac:dyDescent="0.25">
      <c r="A1084" t="s">
        <v>343</v>
      </c>
      <c r="B1084">
        <v>2007</v>
      </c>
      <c r="C1084" t="s">
        <v>273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COUNT(LifeExpectancyData[[#This Row],[Life expectancy]:[Schooling]])=19</f>
        <v>1</v>
      </c>
    </row>
    <row r="1085" spans="1:23" x14ac:dyDescent="0.25">
      <c r="A1085" t="s">
        <v>343</v>
      </c>
      <c r="B1085">
        <v>2006</v>
      </c>
      <c r="C1085" t="s">
        <v>273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COUNT(LifeExpectancyData[[#This Row],[Life expectancy]:[Schooling]])=19</f>
        <v>0</v>
      </c>
    </row>
    <row r="1086" spans="1:23" x14ac:dyDescent="0.25">
      <c r="A1086" t="s">
        <v>343</v>
      </c>
      <c r="B1086">
        <v>2005</v>
      </c>
      <c r="C1086" t="s">
        <v>273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COUNT(LifeExpectancyData[[#This Row],[Life expectancy]:[Schooling]])=19</f>
        <v>0</v>
      </c>
    </row>
    <row r="1087" spans="1:23" x14ac:dyDescent="0.25">
      <c r="A1087" t="s">
        <v>343</v>
      </c>
      <c r="B1087">
        <v>2004</v>
      </c>
      <c r="C1087" t="s">
        <v>273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COUNT(LifeExpectancyData[[#This Row],[Life expectancy]:[Schooling]])=19</f>
        <v>0</v>
      </c>
    </row>
    <row r="1088" spans="1:23" x14ac:dyDescent="0.25">
      <c r="A1088" t="s">
        <v>343</v>
      </c>
      <c r="B1088">
        <v>2003</v>
      </c>
      <c r="C1088" t="s">
        <v>273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COUNT(LifeExpectancyData[[#This Row],[Life expectancy]:[Schooling]])=19</f>
        <v>0</v>
      </c>
    </row>
    <row r="1089" spans="1:23" x14ac:dyDescent="0.25">
      <c r="A1089" t="s">
        <v>343</v>
      </c>
      <c r="B1089">
        <v>2002</v>
      </c>
      <c r="C1089" t="s">
        <v>273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COUNT(LifeExpectancyData[[#This Row],[Life expectancy]:[Schooling]])=19</f>
        <v>0</v>
      </c>
    </row>
    <row r="1090" spans="1:23" x14ac:dyDescent="0.25">
      <c r="A1090" t="s">
        <v>343</v>
      </c>
      <c r="B1090">
        <v>2001</v>
      </c>
      <c r="C1090" t="s">
        <v>273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COUNT(LifeExpectancyData[[#This Row],[Life expectancy]:[Schooling]])=19</f>
        <v>0</v>
      </c>
    </row>
    <row r="1091" spans="1:23" x14ac:dyDescent="0.25">
      <c r="A1091" t="s">
        <v>343</v>
      </c>
      <c r="B1091">
        <v>2000</v>
      </c>
      <c r="C1091" t="s">
        <v>273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COUNT(LifeExpectancyData[[#This Row],[Life expectancy]:[Schooling]])=19</f>
        <v>0</v>
      </c>
    </row>
    <row r="1092" spans="1:23" x14ac:dyDescent="0.25">
      <c r="A1092" t="s">
        <v>344</v>
      </c>
      <c r="B1092">
        <v>2015</v>
      </c>
      <c r="C1092" t="s">
        <v>273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COUNT(LifeExpectancyData[[#This Row],[Life expectancy]:[Schooling]])=19</f>
        <v>0</v>
      </c>
    </row>
    <row r="1093" spans="1:23" x14ac:dyDescent="0.25">
      <c r="A1093" t="s">
        <v>344</v>
      </c>
      <c r="B1093">
        <v>2014</v>
      </c>
      <c r="C1093" t="s">
        <v>273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COUNT(LifeExpectancyData[[#This Row],[Life expectancy]:[Schooling]])=19</f>
        <v>1</v>
      </c>
    </row>
    <row r="1094" spans="1:23" x14ac:dyDescent="0.25">
      <c r="A1094" t="s">
        <v>344</v>
      </c>
      <c r="B1094">
        <v>2013</v>
      </c>
      <c r="C1094" t="s">
        <v>273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COUNT(LifeExpectancyData[[#This Row],[Life expectancy]:[Schooling]])=19</f>
        <v>1</v>
      </c>
    </row>
    <row r="1095" spans="1:23" x14ac:dyDescent="0.25">
      <c r="A1095" t="s">
        <v>344</v>
      </c>
      <c r="B1095">
        <v>2012</v>
      </c>
      <c r="C1095" t="s">
        <v>273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COUNT(LifeExpectancyData[[#This Row],[Life expectancy]:[Schooling]])=19</f>
        <v>1</v>
      </c>
    </row>
    <row r="1096" spans="1:23" x14ac:dyDescent="0.25">
      <c r="A1096" t="s">
        <v>344</v>
      </c>
      <c r="B1096">
        <v>2011</v>
      </c>
      <c r="C1096" t="s">
        <v>273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COUNT(LifeExpectancyData[[#This Row],[Life expectancy]:[Schooling]])=19</f>
        <v>1</v>
      </c>
    </row>
    <row r="1097" spans="1:23" x14ac:dyDescent="0.25">
      <c r="A1097" t="s">
        <v>344</v>
      </c>
      <c r="B1097">
        <v>2010</v>
      </c>
      <c r="C1097" t="s">
        <v>273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COUNT(LifeExpectancyData[[#This Row],[Life expectancy]:[Schooling]])=19</f>
        <v>1</v>
      </c>
    </row>
    <row r="1098" spans="1:23" x14ac:dyDescent="0.25">
      <c r="A1098" t="s">
        <v>344</v>
      </c>
      <c r="B1098">
        <v>2009</v>
      </c>
      <c r="C1098" t="s">
        <v>273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COUNT(LifeExpectancyData[[#This Row],[Life expectancy]:[Schooling]])=19</f>
        <v>1</v>
      </c>
    </row>
    <row r="1099" spans="1:23" x14ac:dyDescent="0.25">
      <c r="A1099" t="s">
        <v>344</v>
      </c>
      <c r="B1099">
        <v>2008</v>
      </c>
      <c r="C1099" t="s">
        <v>273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COUNT(LifeExpectancyData[[#This Row],[Life expectancy]:[Schooling]])=19</f>
        <v>0</v>
      </c>
    </row>
    <row r="1100" spans="1:23" x14ac:dyDescent="0.25">
      <c r="A1100" t="s">
        <v>344</v>
      </c>
      <c r="B1100">
        <v>2007</v>
      </c>
      <c r="C1100" t="s">
        <v>273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COUNT(LifeExpectancyData[[#This Row],[Life expectancy]:[Schooling]])=19</f>
        <v>0</v>
      </c>
    </row>
    <row r="1101" spans="1:23" x14ac:dyDescent="0.25">
      <c r="A1101" t="s">
        <v>344</v>
      </c>
      <c r="B1101">
        <v>2006</v>
      </c>
      <c r="C1101" t="s">
        <v>273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COUNT(LifeExpectancyData[[#This Row],[Life expectancy]:[Schooling]])=19</f>
        <v>0</v>
      </c>
    </row>
    <row r="1102" spans="1:23" x14ac:dyDescent="0.25">
      <c r="A1102" t="s">
        <v>344</v>
      </c>
      <c r="B1102">
        <v>2005</v>
      </c>
      <c r="C1102" t="s">
        <v>273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COUNT(LifeExpectancyData[[#This Row],[Life expectancy]:[Schooling]])=19</f>
        <v>0</v>
      </c>
    </row>
    <row r="1103" spans="1:23" x14ac:dyDescent="0.25">
      <c r="A1103" t="s">
        <v>344</v>
      </c>
      <c r="B1103">
        <v>2004</v>
      </c>
      <c r="C1103" t="s">
        <v>273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COUNT(LifeExpectancyData[[#This Row],[Life expectancy]:[Schooling]])=19</f>
        <v>0</v>
      </c>
    </row>
    <row r="1104" spans="1:23" x14ac:dyDescent="0.25">
      <c r="A1104" t="s">
        <v>344</v>
      </c>
      <c r="B1104">
        <v>2003</v>
      </c>
      <c r="C1104" t="s">
        <v>273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COUNT(LifeExpectancyData[[#This Row],[Life expectancy]:[Schooling]])=19</f>
        <v>0</v>
      </c>
    </row>
    <row r="1105" spans="1:23" x14ac:dyDescent="0.25">
      <c r="A1105" t="s">
        <v>344</v>
      </c>
      <c r="B1105">
        <v>2002</v>
      </c>
      <c r="C1105" t="s">
        <v>273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COUNT(LifeExpectancyData[[#This Row],[Life expectancy]:[Schooling]])=19</f>
        <v>0</v>
      </c>
    </row>
    <row r="1106" spans="1:23" x14ac:dyDescent="0.25">
      <c r="A1106" t="s">
        <v>344</v>
      </c>
      <c r="B1106">
        <v>2001</v>
      </c>
      <c r="C1106" t="s">
        <v>273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COUNT(LifeExpectancyData[[#This Row],[Life expectancy]:[Schooling]])=19</f>
        <v>0</v>
      </c>
    </row>
    <row r="1107" spans="1:23" x14ac:dyDescent="0.25">
      <c r="A1107" t="s">
        <v>344</v>
      </c>
      <c r="B1107">
        <v>2000</v>
      </c>
      <c r="C1107" t="s">
        <v>273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COUNT(LifeExpectancyData[[#This Row],[Life expectancy]:[Schooling]])=19</f>
        <v>0</v>
      </c>
    </row>
    <row r="1108" spans="1:23" x14ac:dyDescent="0.25">
      <c r="A1108" t="s">
        <v>345</v>
      </c>
      <c r="B1108">
        <v>2015</v>
      </c>
      <c r="C1108" t="s">
        <v>273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COUNT(LifeExpectancyData[[#This Row],[Life expectancy]:[Schooling]])=19</f>
        <v>0</v>
      </c>
    </row>
    <row r="1109" spans="1:23" x14ac:dyDescent="0.25">
      <c r="A1109" t="s">
        <v>345</v>
      </c>
      <c r="B1109">
        <v>2014</v>
      </c>
      <c r="C1109" t="s">
        <v>273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COUNT(LifeExpectancyData[[#This Row],[Life expectancy]:[Schooling]])=19</f>
        <v>1</v>
      </c>
    </row>
    <row r="1110" spans="1:23" x14ac:dyDescent="0.25">
      <c r="A1110" t="s">
        <v>345</v>
      </c>
      <c r="B1110">
        <v>2013</v>
      </c>
      <c r="C1110" t="s">
        <v>273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COUNT(LifeExpectancyData[[#This Row],[Life expectancy]:[Schooling]])=19</f>
        <v>1</v>
      </c>
    </row>
    <row r="1111" spans="1:23" x14ac:dyDescent="0.25">
      <c r="A1111" t="s">
        <v>345</v>
      </c>
      <c r="B1111">
        <v>2012</v>
      </c>
      <c r="C1111" t="s">
        <v>273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COUNT(LifeExpectancyData[[#This Row],[Life expectancy]:[Schooling]])=19</f>
        <v>1</v>
      </c>
    </row>
    <row r="1112" spans="1:23" x14ac:dyDescent="0.25">
      <c r="A1112" t="s">
        <v>345</v>
      </c>
      <c r="B1112">
        <v>2011</v>
      </c>
      <c r="C1112" t="s">
        <v>273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COUNT(LifeExpectancyData[[#This Row],[Life expectancy]:[Schooling]])=19</f>
        <v>1</v>
      </c>
    </row>
    <row r="1113" spans="1:23" x14ac:dyDescent="0.25">
      <c r="A1113" t="s">
        <v>345</v>
      </c>
      <c r="B1113">
        <v>2010</v>
      </c>
      <c r="C1113" t="s">
        <v>273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COUNT(LifeExpectancyData[[#This Row],[Life expectancy]:[Schooling]])=19</f>
        <v>1</v>
      </c>
    </row>
    <row r="1114" spans="1:23" x14ac:dyDescent="0.25">
      <c r="A1114" t="s">
        <v>345</v>
      </c>
      <c r="B1114">
        <v>2009</v>
      </c>
      <c r="C1114" t="s">
        <v>273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COUNT(LifeExpectancyData[[#This Row],[Life expectancy]:[Schooling]])=19</f>
        <v>1</v>
      </c>
    </row>
    <row r="1115" spans="1:23" x14ac:dyDescent="0.25">
      <c r="A1115" t="s">
        <v>345</v>
      </c>
      <c r="B1115">
        <v>2008</v>
      </c>
      <c r="C1115" t="s">
        <v>273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COUNT(LifeExpectancyData[[#This Row],[Life expectancy]:[Schooling]])=19</f>
        <v>1</v>
      </c>
    </row>
    <row r="1116" spans="1:23" x14ac:dyDescent="0.25">
      <c r="A1116" t="s">
        <v>345</v>
      </c>
      <c r="B1116">
        <v>2007</v>
      </c>
      <c r="C1116" t="s">
        <v>273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COUNT(LifeExpectancyData[[#This Row],[Life expectancy]:[Schooling]])=19</f>
        <v>1</v>
      </c>
    </row>
    <row r="1117" spans="1:23" x14ac:dyDescent="0.25">
      <c r="A1117" t="s">
        <v>345</v>
      </c>
      <c r="B1117">
        <v>2006</v>
      </c>
      <c r="C1117" t="s">
        <v>273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COUNT(LifeExpectancyData[[#This Row],[Life expectancy]:[Schooling]])=19</f>
        <v>1</v>
      </c>
    </row>
    <row r="1118" spans="1:23" x14ac:dyDescent="0.25">
      <c r="A1118" t="s">
        <v>345</v>
      </c>
      <c r="B1118">
        <v>2005</v>
      </c>
      <c r="C1118" t="s">
        <v>273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COUNT(LifeExpectancyData[[#This Row],[Life expectancy]:[Schooling]])=19</f>
        <v>1</v>
      </c>
    </row>
    <row r="1119" spans="1:23" x14ac:dyDescent="0.25">
      <c r="A1119" t="s">
        <v>345</v>
      </c>
      <c r="B1119">
        <v>2004</v>
      </c>
      <c r="C1119" t="s">
        <v>273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COUNT(LifeExpectancyData[[#This Row],[Life expectancy]:[Schooling]])=19</f>
        <v>1</v>
      </c>
    </row>
    <row r="1120" spans="1:23" x14ac:dyDescent="0.25">
      <c r="A1120" t="s">
        <v>345</v>
      </c>
      <c r="B1120">
        <v>2003</v>
      </c>
      <c r="C1120" t="s">
        <v>273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COUNT(LifeExpectancyData[[#This Row],[Life expectancy]:[Schooling]])=19</f>
        <v>1</v>
      </c>
    </row>
    <row r="1121" spans="1:23" x14ac:dyDescent="0.25">
      <c r="A1121" t="s">
        <v>345</v>
      </c>
      <c r="B1121">
        <v>2002</v>
      </c>
      <c r="C1121" t="s">
        <v>273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COUNT(LifeExpectancyData[[#This Row],[Life expectancy]:[Schooling]])=19</f>
        <v>1</v>
      </c>
    </row>
    <row r="1122" spans="1:23" x14ac:dyDescent="0.25">
      <c r="A1122" t="s">
        <v>345</v>
      </c>
      <c r="B1122">
        <v>2001</v>
      </c>
      <c r="C1122" t="s">
        <v>273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COUNT(LifeExpectancyData[[#This Row],[Life expectancy]:[Schooling]])=19</f>
        <v>1</v>
      </c>
    </row>
    <row r="1123" spans="1:23" x14ac:dyDescent="0.25">
      <c r="A1123" t="s">
        <v>345</v>
      </c>
      <c r="B1123">
        <v>2000</v>
      </c>
      <c r="C1123" t="s">
        <v>273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COUNT(LifeExpectancyData[[#This Row],[Life expectancy]:[Schooling]])=19</f>
        <v>0</v>
      </c>
    </row>
    <row r="1124" spans="1:23" x14ac:dyDescent="0.25">
      <c r="A1124" t="s">
        <v>346</v>
      </c>
      <c r="B1124">
        <v>2015</v>
      </c>
      <c r="C1124" t="s">
        <v>273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COUNT(LifeExpectancyData[[#This Row],[Life expectancy]:[Schooling]])=19</f>
        <v>0</v>
      </c>
    </row>
    <row r="1125" spans="1:23" x14ac:dyDescent="0.25">
      <c r="A1125" t="s">
        <v>346</v>
      </c>
      <c r="B1125">
        <v>2014</v>
      </c>
      <c r="C1125" t="s">
        <v>273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COUNT(LifeExpectancyData[[#This Row],[Life expectancy]:[Schooling]])=19</f>
        <v>1</v>
      </c>
    </row>
    <row r="1126" spans="1:23" x14ac:dyDescent="0.25">
      <c r="A1126" t="s">
        <v>346</v>
      </c>
      <c r="B1126">
        <v>2013</v>
      </c>
      <c r="C1126" t="s">
        <v>273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COUNT(LifeExpectancyData[[#This Row],[Life expectancy]:[Schooling]])=19</f>
        <v>1</v>
      </c>
    </row>
    <row r="1127" spans="1:23" x14ac:dyDescent="0.25">
      <c r="A1127" t="s">
        <v>346</v>
      </c>
      <c r="B1127">
        <v>2012</v>
      </c>
      <c r="C1127" t="s">
        <v>273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COUNT(LifeExpectancyData[[#This Row],[Life expectancy]:[Schooling]])=19</f>
        <v>0</v>
      </c>
    </row>
    <row r="1128" spans="1:23" x14ac:dyDescent="0.25">
      <c r="A1128" t="s">
        <v>346</v>
      </c>
      <c r="B1128">
        <v>2011</v>
      </c>
      <c r="C1128" t="s">
        <v>273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COUNT(LifeExpectancyData[[#This Row],[Life expectancy]:[Schooling]])=19</f>
        <v>0</v>
      </c>
    </row>
    <row r="1129" spans="1:23" x14ac:dyDescent="0.25">
      <c r="A1129" t="s">
        <v>346</v>
      </c>
      <c r="B1129">
        <v>2010</v>
      </c>
      <c r="C1129" t="s">
        <v>273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COUNT(LifeExpectancyData[[#This Row],[Life expectancy]:[Schooling]])=19</f>
        <v>0</v>
      </c>
    </row>
    <row r="1130" spans="1:23" x14ac:dyDescent="0.25">
      <c r="A1130" t="s">
        <v>346</v>
      </c>
      <c r="B1130">
        <v>2009</v>
      </c>
      <c r="C1130" t="s">
        <v>273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COUNT(LifeExpectancyData[[#This Row],[Life expectancy]:[Schooling]])=19</f>
        <v>0</v>
      </c>
    </row>
    <row r="1131" spans="1:23" x14ac:dyDescent="0.25">
      <c r="A1131" t="s">
        <v>346</v>
      </c>
      <c r="B1131">
        <v>2008</v>
      </c>
      <c r="C1131" t="s">
        <v>273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COUNT(LifeExpectancyData[[#This Row],[Life expectancy]:[Schooling]])=19</f>
        <v>0</v>
      </c>
    </row>
    <row r="1132" spans="1:23" x14ac:dyDescent="0.25">
      <c r="A1132" t="s">
        <v>346</v>
      </c>
      <c r="B1132">
        <v>2007</v>
      </c>
      <c r="C1132" t="s">
        <v>273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COUNT(LifeExpectancyData[[#This Row],[Life expectancy]:[Schooling]])=19</f>
        <v>0</v>
      </c>
    </row>
    <row r="1133" spans="1:23" x14ac:dyDescent="0.25">
      <c r="A1133" t="s">
        <v>346</v>
      </c>
      <c r="B1133">
        <v>2006</v>
      </c>
      <c r="C1133" t="s">
        <v>273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COUNT(LifeExpectancyData[[#This Row],[Life expectancy]:[Schooling]])=19</f>
        <v>0</v>
      </c>
    </row>
    <row r="1134" spans="1:23" x14ac:dyDescent="0.25">
      <c r="A1134" t="s">
        <v>346</v>
      </c>
      <c r="B1134">
        <v>2005</v>
      </c>
      <c r="C1134" t="s">
        <v>273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COUNT(LifeExpectancyData[[#This Row],[Life expectancy]:[Schooling]])=19</f>
        <v>0</v>
      </c>
    </row>
    <row r="1135" spans="1:23" x14ac:dyDescent="0.25">
      <c r="A1135" t="s">
        <v>346</v>
      </c>
      <c r="B1135">
        <v>2004</v>
      </c>
      <c r="C1135" t="s">
        <v>273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COUNT(LifeExpectancyData[[#This Row],[Life expectancy]:[Schooling]])=19</f>
        <v>0</v>
      </c>
    </row>
    <row r="1136" spans="1:23" x14ac:dyDescent="0.25">
      <c r="A1136" t="s">
        <v>346</v>
      </c>
      <c r="B1136">
        <v>2003</v>
      </c>
      <c r="C1136" t="s">
        <v>273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COUNT(LifeExpectancyData[[#This Row],[Life expectancy]:[Schooling]])=19</f>
        <v>0</v>
      </c>
    </row>
    <row r="1137" spans="1:23" x14ac:dyDescent="0.25">
      <c r="A1137" t="s">
        <v>346</v>
      </c>
      <c r="B1137">
        <v>2002</v>
      </c>
      <c r="C1137" t="s">
        <v>273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COUNT(LifeExpectancyData[[#This Row],[Life expectancy]:[Schooling]])=19</f>
        <v>0</v>
      </c>
    </row>
    <row r="1138" spans="1:23" x14ac:dyDescent="0.25">
      <c r="A1138" t="s">
        <v>346</v>
      </c>
      <c r="B1138">
        <v>2001</v>
      </c>
      <c r="C1138" t="s">
        <v>273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COUNT(LifeExpectancyData[[#This Row],[Life expectancy]:[Schooling]])=19</f>
        <v>0</v>
      </c>
    </row>
    <row r="1139" spans="1:23" x14ac:dyDescent="0.25">
      <c r="A1139" t="s">
        <v>346</v>
      </c>
      <c r="B1139">
        <v>2000</v>
      </c>
      <c r="C1139" t="s">
        <v>273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COUNT(LifeExpectancyData[[#This Row],[Life expectancy]:[Schooling]])=19</f>
        <v>0</v>
      </c>
    </row>
    <row r="1140" spans="1:23" x14ac:dyDescent="0.25">
      <c r="A1140" t="s">
        <v>347</v>
      </c>
      <c r="B1140">
        <v>2015</v>
      </c>
      <c r="C1140" t="s">
        <v>273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COUNT(LifeExpectancyData[[#This Row],[Life expectancy]:[Schooling]])=19</f>
        <v>0</v>
      </c>
    </row>
    <row r="1141" spans="1:23" x14ac:dyDescent="0.25">
      <c r="A1141" t="s">
        <v>347</v>
      </c>
      <c r="B1141">
        <v>2014</v>
      </c>
      <c r="C1141" t="s">
        <v>273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COUNT(LifeExpectancyData[[#This Row],[Life expectancy]:[Schooling]])=19</f>
        <v>1</v>
      </c>
    </row>
    <row r="1142" spans="1:23" x14ac:dyDescent="0.25">
      <c r="A1142" t="s">
        <v>347</v>
      </c>
      <c r="B1142">
        <v>2013</v>
      </c>
      <c r="C1142" t="s">
        <v>273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COUNT(LifeExpectancyData[[#This Row],[Life expectancy]:[Schooling]])=19</f>
        <v>1</v>
      </c>
    </row>
    <row r="1143" spans="1:23" x14ac:dyDescent="0.25">
      <c r="A1143" t="s">
        <v>347</v>
      </c>
      <c r="B1143">
        <v>2012</v>
      </c>
      <c r="C1143" t="s">
        <v>273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COUNT(LifeExpectancyData[[#This Row],[Life expectancy]:[Schooling]])=19</f>
        <v>1</v>
      </c>
    </row>
    <row r="1144" spans="1:23" x14ac:dyDescent="0.25">
      <c r="A1144" t="s">
        <v>347</v>
      </c>
      <c r="B1144">
        <v>2011</v>
      </c>
      <c r="C1144" t="s">
        <v>273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COUNT(LifeExpectancyData[[#This Row],[Life expectancy]:[Schooling]])=19</f>
        <v>1</v>
      </c>
    </row>
    <row r="1145" spans="1:23" x14ac:dyDescent="0.25">
      <c r="A1145" t="s">
        <v>347</v>
      </c>
      <c r="B1145">
        <v>2010</v>
      </c>
      <c r="C1145" t="s">
        <v>273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COUNT(LifeExpectancyData[[#This Row],[Life expectancy]:[Schooling]])=19</f>
        <v>1</v>
      </c>
    </row>
    <row r="1146" spans="1:23" x14ac:dyDescent="0.25">
      <c r="A1146" t="s">
        <v>347</v>
      </c>
      <c r="B1146">
        <v>2009</v>
      </c>
      <c r="C1146" t="s">
        <v>273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COUNT(LifeExpectancyData[[#This Row],[Life expectancy]:[Schooling]])=19</f>
        <v>1</v>
      </c>
    </row>
    <row r="1147" spans="1:23" x14ac:dyDescent="0.25">
      <c r="A1147" t="s">
        <v>347</v>
      </c>
      <c r="B1147">
        <v>2008</v>
      </c>
      <c r="C1147" t="s">
        <v>273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COUNT(LifeExpectancyData[[#This Row],[Life expectancy]:[Schooling]])=19</f>
        <v>1</v>
      </c>
    </row>
    <row r="1148" spans="1:23" x14ac:dyDescent="0.25">
      <c r="A1148" t="s">
        <v>347</v>
      </c>
      <c r="B1148">
        <v>2007</v>
      </c>
      <c r="C1148" t="s">
        <v>273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COUNT(LifeExpectancyData[[#This Row],[Life expectancy]:[Schooling]])=19</f>
        <v>1</v>
      </c>
    </row>
    <row r="1149" spans="1:23" x14ac:dyDescent="0.25">
      <c r="A1149" t="s">
        <v>347</v>
      </c>
      <c r="B1149">
        <v>2006</v>
      </c>
      <c r="C1149" t="s">
        <v>273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COUNT(LifeExpectancyData[[#This Row],[Life expectancy]:[Schooling]])=19</f>
        <v>1</v>
      </c>
    </row>
    <row r="1150" spans="1:23" x14ac:dyDescent="0.25">
      <c r="A1150" t="s">
        <v>347</v>
      </c>
      <c r="B1150">
        <v>2005</v>
      </c>
      <c r="C1150" t="s">
        <v>273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COUNT(LifeExpectancyData[[#This Row],[Life expectancy]:[Schooling]])=19</f>
        <v>1</v>
      </c>
    </row>
    <row r="1151" spans="1:23" x14ac:dyDescent="0.25">
      <c r="A1151" t="s">
        <v>347</v>
      </c>
      <c r="B1151">
        <v>2004</v>
      </c>
      <c r="C1151" t="s">
        <v>273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COUNT(LifeExpectancyData[[#This Row],[Life expectancy]:[Schooling]])=19</f>
        <v>1</v>
      </c>
    </row>
    <row r="1152" spans="1:23" x14ac:dyDescent="0.25">
      <c r="A1152" t="s">
        <v>347</v>
      </c>
      <c r="B1152">
        <v>2003</v>
      </c>
      <c r="C1152" t="s">
        <v>273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COUNT(LifeExpectancyData[[#This Row],[Life expectancy]:[Schooling]])=19</f>
        <v>1</v>
      </c>
    </row>
    <row r="1153" spans="1:23" x14ac:dyDescent="0.25">
      <c r="A1153" t="s">
        <v>347</v>
      </c>
      <c r="B1153">
        <v>2002</v>
      </c>
      <c r="C1153" t="s">
        <v>273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COUNT(LifeExpectancyData[[#This Row],[Life expectancy]:[Schooling]])=19</f>
        <v>1</v>
      </c>
    </row>
    <row r="1154" spans="1:23" x14ac:dyDescent="0.25">
      <c r="A1154" t="s">
        <v>347</v>
      </c>
      <c r="B1154">
        <v>2001</v>
      </c>
      <c r="C1154" t="s">
        <v>273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COUNT(LifeExpectancyData[[#This Row],[Life expectancy]:[Schooling]])=19</f>
        <v>1</v>
      </c>
    </row>
    <row r="1155" spans="1:23" x14ac:dyDescent="0.25">
      <c r="A1155" t="s">
        <v>347</v>
      </c>
      <c r="B1155">
        <v>2000</v>
      </c>
      <c r="C1155" t="s">
        <v>273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COUNT(LifeExpectancyData[[#This Row],[Life expectancy]:[Schooling]])=19</f>
        <v>1</v>
      </c>
    </row>
    <row r="1156" spans="1:23" x14ac:dyDescent="0.25">
      <c r="A1156" t="s">
        <v>348</v>
      </c>
      <c r="B1156">
        <v>2015</v>
      </c>
      <c r="C1156" t="s">
        <v>281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COUNT(LifeExpectancyData[[#This Row],[Life expectancy]:[Schooling]])=19</f>
        <v>0</v>
      </c>
    </row>
    <row r="1157" spans="1:23" x14ac:dyDescent="0.25">
      <c r="A1157" t="s">
        <v>348</v>
      </c>
      <c r="B1157">
        <v>2014</v>
      </c>
      <c r="C1157" t="s">
        <v>281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COUNT(LifeExpectancyData[[#This Row],[Life expectancy]:[Schooling]])=19</f>
        <v>0</v>
      </c>
    </row>
    <row r="1158" spans="1:23" x14ac:dyDescent="0.25">
      <c r="A1158" t="s">
        <v>348</v>
      </c>
      <c r="B1158">
        <v>2013</v>
      </c>
      <c r="C1158" t="s">
        <v>281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COUNT(LifeExpectancyData[[#This Row],[Life expectancy]:[Schooling]])=19</f>
        <v>0</v>
      </c>
    </row>
    <row r="1159" spans="1:23" x14ac:dyDescent="0.25">
      <c r="A1159" t="s">
        <v>348</v>
      </c>
      <c r="B1159">
        <v>2012</v>
      </c>
      <c r="C1159" t="s">
        <v>281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COUNT(LifeExpectancyData[[#This Row],[Life expectancy]:[Schooling]])=19</f>
        <v>0</v>
      </c>
    </row>
    <row r="1160" spans="1:23" x14ac:dyDescent="0.25">
      <c r="A1160" t="s">
        <v>348</v>
      </c>
      <c r="B1160">
        <v>2011</v>
      </c>
      <c r="C1160" t="s">
        <v>281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COUNT(LifeExpectancyData[[#This Row],[Life expectancy]:[Schooling]])=19</f>
        <v>0</v>
      </c>
    </row>
    <row r="1161" spans="1:23" x14ac:dyDescent="0.25">
      <c r="A1161" t="s">
        <v>348</v>
      </c>
      <c r="B1161">
        <v>2010</v>
      </c>
      <c r="C1161" t="s">
        <v>281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COUNT(LifeExpectancyData[[#This Row],[Life expectancy]:[Schooling]])=19</f>
        <v>0</v>
      </c>
    </row>
    <row r="1162" spans="1:23" x14ac:dyDescent="0.25">
      <c r="A1162" t="s">
        <v>348</v>
      </c>
      <c r="B1162">
        <v>2009</v>
      </c>
      <c r="C1162" t="s">
        <v>281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COUNT(LifeExpectancyData[[#This Row],[Life expectancy]:[Schooling]])=19</f>
        <v>0</v>
      </c>
    </row>
    <row r="1163" spans="1:23" x14ac:dyDescent="0.25">
      <c r="A1163" t="s">
        <v>348</v>
      </c>
      <c r="B1163">
        <v>2008</v>
      </c>
      <c r="C1163" t="s">
        <v>281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COUNT(LifeExpectancyData[[#This Row],[Life expectancy]:[Schooling]])=19</f>
        <v>0</v>
      </c>
    </row>
    <row r="1164" spans="1:23" x14ac:dyDescent="0.25">
      <c r="A1164" t="s">
        <v>348</v>
      </c>
      <c r="B1164">
        <v>2007</v>
      </c>
      <c r="C1164" t="s">
        <v>281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COUNT(LifeExpectancyData[[#This Row],[Life expectancy]:[Schooling]])=19</f>
        <v>0</v>
      </c>
    </row>
    <row r="1165" spans="1:23" x14ac:dyDescent="0.25">
      <c r="A1165" t="s">
        <v>348</v>
      </c>
      <c r="B1165">
        <v>2006</v>
      </c>
      <c r="C1165" t="s">
        <v>281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COUNT(LifeExpectancyData[[#This Row],[Life expectancy]:[Schooling]])=19</f>
        <v>0</v>
      </c>
    </row>
    <row r="1166" spans="1:23" x14ac:dyDescent="0.25">
      <c r="A1166" t="s">
        <v>348</v>
      </c>
      <c r="B1166">
        <v>2005</v>
      </c>
      <c r="C1166" t="s">
        <v>281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COUNT(LifeExpectancyData[[#This Row],[Life expectancy]:[Schooling]])=19</f>
        <v>0</v>
      </c>
    </row>
    <row r="1167" spans="1:23" x14ac:dyDescent="0.25">
      <c r="A1167" t="s">
        <v>348</v>
      </c>
      <c r="B1167">
        <v>2004</v>
      </c>
      <c r="C1167" t="s">
        <v>281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COUNT(LifeExpectancyData[[#This Row],[Life expectancy]:[Schooling]])=19</f>
        <v>0</v>
      </c>
    </row>
    <row r="1168" spans="1:23" x14ac:dyDescent="0.25">
      <c r="A1168" t="s">
        <v>348</v>
      </c>
      <c r="B1168">
        <v>2003</v>
      </c>
      <c r="C1168" t="s">
        <v>281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COUNT(LifeExpectancyData[[#This Row],[Life expectancy]:[Schooling]])=19</f>
        <v>0</v>
      </c>
    </row>
    <row r="1169" spans="1:23" x14ac:dyDescent="0.25">
      <c r="A1169" t="s">
        <v>348</v>
      </c>
      <c r="B1169">
        <v>2002</v>
      </c>
      <c r="C1169" t="s">
        <v>281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COUNT(LifeExpectancyData[[#This Row],[Life expectancy]:[Schooling]])=19</f>
        <v>0</v>
      </c>
    </row>
    <row r="1170" spans="1:23" x14ac:dyDescent="0.25">
      <c r="A1170" t="s">
        <v>348</v>
      </c>
      <c r="B1170">
        <v>2001</v>
      </c>
      <c r="C1170" t="s">
        <v>281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COUNT(LifeExpectancyData[[#This Row],[Life expectancy]:[Schooling]])=19</f>
        <v>0</v>
      </c>
    </row>
    <row r="1171" spans="1:23" x14ac:dyDescent="0.25">
      <c r="A1171" t="s">
        <v>348</v>
      </c>
      <c r="B1171">
        <v>2000</v>
      </c>
      <c r="C1171" t="s">
        <v>281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COUNT(LifeExpectancyData[[#This Row],[Life expectancy]:[Schooling]])=19</f>
        <v>0</v>
      </c>
    </row>
    <row r="1172" spans="1:23" x14ac:dyDescent="0.25">
      <c r="A1172" t="s">
        <v>349</v>
      </c>
      <c r="B1172">
        <v>2015</v>
      </c>
      <c r="C1172" t="s">
        <v>281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COUNT(LifeExpectancyData[[#This Row],[Life expectancy]:[Schooling]])=19</f>
        <v>0</v>
      </c>
    </row>
    <row r="1173" spans="1:23" x14ac:dyDescent="0.25">
      <c r="A1173" t="s">
        <v>349</v>
      </c>
      <c r="B1173">
        <v>2014</v>
      </c>
      <c r="C1173" t="s">
        <v>281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COUNT(LifeExpectancyData[[#This Row],[Life expectancy]:[Schooling]])=19</f>
        <v>0</v>
      </c>
    </row>
    <row r="1174" spans="1:23" x14ac:dyDescent="0.25">
      <c r="A1174" t="s">
        <v>349</v>
      </c>
      <c r="B1174">
        <v>2013</v>
      </c>
      <c r="C1174" t="s">
        <v>281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COUNT(LifeExpectancyData[[#This Row],[Life expectancy]:[Schooling]])=19</f>
        <v>0</v>
      </c>
    </row>
    <row r="1175" spans="1:23" x14ac:dyDescent="0.25">
      <c r="A1175" t="s">
        <v>349</v>
      </c>
      <c r="B1175">
        <v>2012</v>
      </c>
      <c r="C1175" t="s">
        <v>281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COUNT(LifeExpectancyData[[#This Row],[Life expectancy]:[Schooling]])=19</f>
        <v>0</v>
      </c>
    </row>
    <row r="1176" spans="1:23" x14ac:dyDescent="0.25">
      <c r="A1176" t="s">
        <v>349</v>
      </c>
      <c r="B1176">
        <v>2011</v>
      </c>
      <c r="C1176" t="s">
        <v>281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COUNT(LifeExpectancyData[[#This Row],[Life expectancy]:[Schooling]])=19</f>
        <v>0</v>
      </c>
    </row>
    <row r="1177" spans="1:23" x14ac:dyDescent="0.25">
      <c r="A1177" t="s">
        <v>349</v>
      </c>
      <c r="B1177">
        <v>2010</v>
      </c>
      <c r="C1177" t="s">
        <v>281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COUNT(LifeExpectancyData[[#This Row],[Life expectancy]:[Schooling]])=19</f>
        <v>0</v>
      </c>
    </row>
    <row r="1178" spans="1:23" x14ac:dyDescent="0.25">
      <c r="A1178" t="s">
        <v>349</v>
      </c>
      <c r="B1178">
        <v>2009</v>
      </c>
      <c r="C1178" t="s">
        <v>281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COUNT(LifeExpectancyData[[#This Row],[Life expectancy]:[Schooling]])=19</f>
        <v>0</v>
      </c>
    </row>
    <row r="1179" spans="1:23" x14ac:dyDescent="0.25">
      <c r="A1179" t="s">
        <v>349</v>
      </c>
      <c r="B1179">
        <v>2008</v>
      </c>
      <c r="C1179" t="s">
        <v>281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COUNT(LifeExpectancyData[[#This Row],[Life expectancy]:[Schooling]])=19</f>
        <v>0</v>
      </c>
    </row>
    <row r="1180" spans="1:23" x14ac:dyDescent="0.25">
      <c r="A1180" t="s">
        <v>349</v>
      </c>
      <c r="B1180">
        <v>2007</v>
      </c>
      <c r="C1180" t="s">
        <v>281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COUNT(LifeExpectancyData[[#This Row],[Life expectancy]:[Schooling]])=19</f>
        <v>0</v>
      </c>
    </row>
    <row r="1181" spans="1:23" x14ac:dyDescent="0.25">
      <c r="A1181" t="s">
        <v>349</v>
      </c>
      <c r="B1181">
        <v>2006</v>
      </c>
      <c r="C1181" t="s">
        <v>281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COUNT(LifeExpectancyData[[#This Row],[Life expectancy]:[Schooling]])=19</f>
        <v>0</v>
      </c>
    </row>
    <row r="1182" spans="1:23" x14ac:dyDescent="0.25">
      <c r="A1182" t="s">
        <v>349</v>
      </c>
      <c r="B1182">
        <v>2005</v>
      </c>
      <c r="C1182" t="s">
        <v>281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COUNT(LifeExpectancyData[[#This Row],[Life expectancy]:[Schooling]])=19</f>
        <v>0</v>
      </c>
    </row>
    <row r="1183" spans="1:23" x14ac:dyDescent="0.25">
      <c r="A1183" t="s">
        <v>349</v>
      </c>
      <c r="B1183">
        <v>2004</v>
      </c>
      <c r="C1183" t="s">
        <v>281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COUNT(LifeExpectancyData[[#This Row],[Life expectancy]:[Schooling]])=19</f>
        <v>0</v>
      </c>
    </row>
    <row r="1184" spans="1:23" x14ac:dyDescent="0.25">
      <c r="A1184" t="s">
        <v>349</v>
      </c>
      <c r="B1184">
        <v>2003</v>
      </c>
      <c r="C1184" t="s">
        <v>281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COUNT(LifeExpectancyData[[#This Row],[Life expectancy]:[Schooling]])=19</f>
        <v>0</v>
      </c>
    </row>
    <row r="1185" spans="1:23" x14ac:dyDescent="0.25">
      <c r="A1185" t="s">
        <v>349</v>
      </c>
      <c r="B1185">
        <v>2002</v>
      </c>
      <c r="C1185" t="s">
        <v>281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COUNT(LifeExpectancyData[[#This Row],[Life expectancy]:[Schooling]])=19</f>
        <v>0</v>
      </c>
    </row>
    <row r="1186" spans="1:23" x14ac:dyDescent="0.25">
      <c r="A1186" t="s">
        <v>349</v>
      </c>
      <c r="B1186">
        <v>2001</v>
      </c>
      <c r="C1186" t="s">
        <v>281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COUNT(LifeExpectancyData[[#This Row],[Life expectancy]:[Schooling]])=19</f>
        <v>0</v>
      </c>
    </row>
    <row r="1187" spans="1:23" x14ac:dyDescent="0.25">
      <c r="A1187" t="s">
        <v>349</v>
      </c>
      <c r="B1187">
        <v>2000</v>
      </c>
      <c r="C1187" t="s">
        <v>281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COUNT(LifeExpectancyData[[#This Row],[Life expectancy]:[Schooling]])=19</f>
        <v>0</v>
      </c>
    </row>
    <row r="1188" spans="1:23" x14ac:dyDescent="0.25">
      <c r="A1188" t="s">
        <v>350</v>
      </c>
      <c r="B1188">
        <v>2015</v>
      </c>
      <c r="C1188" t="s">
        <v>273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COUNT(LifeExpectancyData[[#This Row],[Life expectancy]:[Schooling]])=19</f>
        <v>0</v>
      </c>
    </row>
    <row r="1189" spans="1:23" x14ac:dyDescent="0.25">
      <c r="A1189" t="s">
        <v>350</v>
      </c>
      <c r="B1189">
        <v>2014</v>
      </c>
      <c r="C1189" t="s">
        <v>273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COUNT(LifeExpectancyData[[#This Row],[Life expectancy]:[Schooling]])=19</f>
        <v>1</v>
      </c>
    </row>
    <row r="1190" spans="1:23" x14ac:dyDescent="0.25">
      <c r="A1190" t="s">
        <v>350</v>
      </c>
      <c r="B1190">
        <v>2013</v>
      </c>
      <c r="C1190" t="s">
        <v>273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COUNT(LifeExpectancyData[[#This Row],[Life expectancy]:[Schooling]])=19</f>
        <v>1</v>
      </c>
    </row>
    <row r="1191" spans="1:23" x14ac:dyDescent="0.25">
      <c r="A1191" t="s">
        <v>350</v>
      </c>
      <c r="B1191">
        <v>2012</v>
      </c>
      <c r="C1191" t="s">
        <v>273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COUNT(LifeExpectancyData[[#This Row],[Life expectancy]:[Schooling]])=19</f>
        <v>1</v>
      </c>
    </row>
    <row r="1192" spans="1:23" x14ac:dyDescent="0.25">
      <c r="A1192" t="s">
        <v>350</v>
      </c>
      <c r="B1192">
        <v>2011</v>
      </c>
      <c r="C1192" t="s">
        <v>273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COUNT(LifeExpectancyData[[#This Row],[Life expectancy]:[Schooling]])=19</f>
        <v>1</v>
      </c>
    </row>
    <row r="1193" spans="1:23" x14ac:dyDescent="0.25">
      <c r="A1193" t="s">
        <v>350</v>
      </c>
      <c r="B1193">
        <v>2010</v>
      </c>
      <c r="C1193" t="s">
        <v>273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COUNT(LifeExpectancyData[[#This Row],[Life expectancy]:[Schooling]])=19</f>
        <v>1</v>
      </c>
    </row>
    <row r="1194" spans="1:23" x14ac:dyDescent="0.25">
      <c r="A1194" t="s">
        <v>350</v>
      </c>
      <c r="B1194">
        <v>2009</v>
      </c>
      <c r="C1194" t="s">
        <v>273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COUNT(LifeExpectancyData[[#This Row],[Life expectancy]:[Schooling]])=19</f>
        <v>1</v>
      </c>
    </row>
    <row r="1195" spans="1:23" x14ac:dyDescent="0.25">
      <c r="A1195" t="s">
        <v>350</v>
      </c>
      <c r="B1195">
        <v>2008</v>
      </c>
      <c r="C1195" t="s">
        <v>273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COUNT(LifeExpectancyData[[#This Row],[Life expectancy]:[Schooling]])=19</f>
        <v>1</v>
      </c>
    </row>
    <row r="1196" spans="1:23" x14ac:dyDescent="0.25">
      <c r="A1196" t="s">
        <v>350</v>
      </c>
      <c r="B1196">
        <v>2007</v>
      </c>
      <c r="C1196" t="s">
        <v>273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COUNT(LifeExpectancyData[[#This Row],[Life expectancy]:[Schooling]])=19</f>
        <v>1</v>
      </c>
    </row>
    <row r="1197" spans="1:23" x14ac:dyDescent="0.25">
      <c r="A1197" t="s">
        <v>350</v>
      </c>
      <c r="B1197">
        <v>2006</v>
      </c>
      <c r="C1197" t="s">
        <v>273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COUNT(LifeExpectancyData[[#This Row],[Life expectancy]:[Schooling]])=19</f>
        <v>1</v>
      </c>
    </row>
    <row r="1198" spans="1:23" x14ac:dyDescent="0.25">
      <c r="A1198" t="s">
        <v>350</v>
      </c>
      <c r="B1198">
        <v>2005</v>
      </c>
      <c r="C1198" t="s">
        <v>273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COUNT(LifeExpectancyData[[#This Row],[Life expectancy]:[Schooling]])=19</f>
        <v>1</v>
      </c>
    </row>
    <row r="1199" spans="1:23" x14ac:dyDescent="0.25">
      <c r="A1199" t="s">
        <v>350</v>
      </c>
      <c r="B1199">
        <v>2004</v>
      </c>
      <c r="C1199" t="s">
        <v>273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COUNT(LifeExpectancyData[[#This Row],[Life expectancy]:[Schooling]])=19</f>
        <v>1</v>
      </c>
    </row>
    <row r="1200" spans="1:23" x14ac:dyDescent="0.25">
      <c r="A1200" t="s">
        <v>350</v>
      </c>
      <c r="B1200">
        <v>2003</v>
      </c>
      <c r="C1200" t="s">
        <v>273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COUNT(LifeExpectancyData[[#This Row],[Life expectancy]:[Schooling]])=19</f>
        <v>0</v>
      </c>
    </row>
    <row r="1201" spans="1:23" x14ac:dyDescent="0.25">
      <c r="A1201" t="s">
        <v>350</v>
      </c>
      <c r="B1201">
        <v>2002</v>
      </c>
      <c r="C1201" t="s">
        <v>273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COUNT(LifeExpectancyData[[#This Row],[Life expectancy]:[Schooling]])=19</f>
        <v>0</v>
      </c>
    </row>
    <row r="1202" spans="1:23" x14ac:dyDescent="0.25">
      <c r="A1202" t="s">
        <v>350</v>
      </c>
      <c r="B1202">
        <v>2001</v>
      </c>
      <c r="C1202" t="s">
        <v>273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COUNT(LifeExpectancyData[[#This Row],[Life expectancy]:[Schooling]])=19</f>
        <v>0</v>
      </c>
    </row>
    <row r="1203" spans="1:23" x14ac:dyDescent="0.25">
      <c r="A1203" t="s">
        <v>350</v>
      </c>
      <c r="B1203">
        <v>2000</v>
      </c>
      <c r="C1203" t="s">
        <v>273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COUNT(LifeExpectancyData[[#This Row],[Life expectancy]:[Schooling]])=19</f>
        <v>0</v>
      </c>
    </row>
    <row r="1204" spans="1:23" x14ac:dyDescent="0.25">
      <c r="A1204" t="s">
        <v>351</v>
      </c>
      <c r="B1204">
        <v>2015</v>
      </c>
      <c r="C1204" t="s">
        <v>273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COUNT(LifeExpectancyData[[#This Row],[Life expectancy]:[Schooling]])=19</f>
        <v>0</v>
      </c>
    </row>
    <row r="1205" spans="1:23" x14ac:dyDescent="0.25">
      <c r="A1205" t="s">
        <v>351</v>
      </c>
      <c r="B1205">
        <v>2014</v>
      </c>
      <c r="C1205" t="s">
        <v>273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COUNT(LifeExpectancyData[[#This Row],[Life expectancy]:[Schooling]])=19</f>
        <v>1</v>
      </c>
    </row>
    <row r="1206" spans="1:23" x14ac:dyDescent="0.25">
      <c r="A1206" t="s">
        <v>351</v>
      </c>
      <c r="B1206">
        <v>2013</v>
      </c>
      <c r="C1206" t="s">
        <v>273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COUNT(LifeExpectancyData[[#This Row],[Life expectancy]:[Schooling]])=19</f>
        <v>1</v>
      </c>
    </row>
    <row r="1207" spans="1:23" x14ac:dyDescent="0.25">
      <c r="A1207" t="s">
        <v>351</v>
      </c>
      <c r="B1207">
        <v>2012</v>
      </c>
      <c r="C1207" t="s">
        <v>273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COUNT(LifeExpectancyData[[#This Row],[Life expectancy]:[Schooling]])=19</f>
        <v>1</v>
      </c>
    </row>
    <row r="1208" spans="1:23" x14ac:dyDescent="0.25">
      <c r="A1208" t="s">
        <v>351</v>
      </c>
      <c r="B1208">
        <v>2011</v>
      </c>
      <c r="C1208" t="s">
        <v>273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COUNT(LifeExpectancyData[[#This Row],[Life expectancy]:[Schooling]])=19</f>
        <v>1</v>
      </c>
    </row>
    <row r="1209" spans="1:23" x14ac:dyDescent="0.25">
      <c r="A1209" t="s">
        <v>351</v>
      </c>
      <c r="B1209">
        <v>2010</v>
      </c>
      <c r="C1209" t="s">
        <v>273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COUNT(LifeExpectancyData[[#This Row],[Life expectancy]:[Schooling]])=19</f>
        <v>1</v>
      </c>
    </row>
    <row r="1210" spans="1:23" x14ac:dyDescent="0.25">
      <c r="A1210" t="s">
        <v>351</v>
      </c>
      <c r="B1210">
        <v>2009</v>
      </c>
      <c r="C1210" t="s">
        <v>273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COUNT(LifeExpectancyData[[#This Row],[Life expectancy]:[Schooling]])=19</f>
        <v>1</v>
      </c>
    </row>
    <row r="1211" spans="1:23" x14ac:dyDescent="0.25">
      <c r="A1211" t="s">
        <v>351</v>
      </c>
      <c r="B1211">
        <v>2008</v>
      </c>
      <c r="C1211" t="s">
        <v>273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COUNT(LifeExpectancyData[[#This Row],[Life expectancy]:[Schooling]])=19</f>
        <v>1</v>
      </c>
    </row>
    <row r="1212" spans="1:23" x14ac:dyDescent="0.25">
      <c r="A1212" t="s">
        <v>351</v>
      </c>
      <c r="B1212">
        <v>2007</v>
      </c>
      <c r="C1212" t="s">
        <v>273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COUNT(LifeExpectancyData[[#This Row],[Life expectancy]:[Schooling]])=19</f>
        <v>1</v>
      </c>
    </row>
    <row r="1213" spans="1:23" x14ac:dyDescent="0.25">
      <c r="A1213" t="s">
        <v>351</v>
      </c>
      <c r="B1213">
        <v>2006</v>
      </c>
      <c r="C1213" t="s">
        <v>273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COUNT(LifeExpectancyData[[#This Row],[Life expectancy]:[Schooling]])=19</f>
        <v>1</v>
      </c>
    </row>
    <row r="1214" spans="1:23" x14ac:dyDescent="0.25">
      <c r="A1214" t="s">
        <v>351</v>
      </c>
      <c r="B1214">
        <v>2005</v>
      </c>
      <c r="C1214" t="s">
        <v>273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COUNT(LifeExpectancyData[[#This Row],[Life expectancy]:[Schooling]])=19</f>
        <v>1</v>
      </c>
    </row>
    <row r="1215" spans="1:23" x14ac:dyDescent="0.25">
      <c r="A1215" t="s">
        <v>351</v>
      </c>
      <c r="B1215">
        <v>2004</v>
      </c>
      <c r="C1215" t="s">
        <v>273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COUNT(LifeExpectancyData[[#This Row],[Life expectancy]:[Schooling]])=19</f>
        <v>1</v>
      </c>
    </row>
    <row r="1216" spans="1:23" x14ac:dyDescent="0.25">
      <c r="A1216" t="s">
        <v>351</v>
      </c>
      <c r="B1216">
        <v>2003</v>
      </c>
      <c r="C1216" t="s">
        <v>273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COUNT(LifeExpectancyData[[#This Row],[Life expectancy]:[Schooling]])=19</f>
        <v>1</v>
      </c>
    </row>
    <row r="1217" spans="1:23" x14ac:dyDescent="0.25">
      <c r="A1217" t="s">
        <v>351</v>
      </c>
      <c r="B1217">
        <v>2002</v>
      </c>
      <c r="C1217" t="s">
        <v>273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COUNT(LifeExpectancyData[[#This Row],[Life expectancy]:[Schooling]])=19</f>
        <v>1</v>
      </c>
    </row>
    <row r="1218" spans="1:23" x14ac:dyDescent="0.25">
      <c r="A1218" t="s">
        <v>351</v>
      </c>
      <c r="B1218">
        <v>2001</v>
      </c>
      <c r="C1218" t="s">
        <v>273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COUNT(LifeExpectancyData[[#This Row],[Life expectancy]:[Schooling]])=19</f>
        <v>1</v>
      </c>
    </row>
    <row r="1219" spans="1:23" x14ac:dyDescent="0.25">
      <c r="A1219" t="s">
        <v>351</v>
      </c>
      <c r="B1219">
        <v>2000</v>
      </c>
      <c r="C1219" t="s">
        <v>273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COUNT(LifeExpectancyData[[#This Row],[Life expectancy]:[Schooling]])=19</f>
        <v>1</v>
      </c>
    </row>
    <row r="1220" spans="1:23" x14ac:dyDescent="0.25">
      <c r="A1220" t="s">
        <v>352</v>
      </c>
      <c r="B1220">
        <v>2015</v>
      </c>
      <c r="C1220" t="s">
        <v>273</v>
      </c>
      <c r="D1220">
        <v>75.5</v>
      </c>
      <c r="E1220">
        <v>83</v>
      </c>
      <c r="F1220">
        <v>18</v>
      </c>
      <c r="H1220">
        <v>0</v>
      </c>
      <c r="I1220">
        <v>98</v>
      </c>
      <c r="J1220">
        <v>615</v>
      </c>
      <c r="K1220">
        <v>59.7</v>
      </c>
      <c r="L1220">
        <v>21</v>
      </c>
      <c r="M1220">
        <v>98</v>
      </c>
      <c r="O1220">
        <v>98</v>
      </c>
      <c r="P1220">
        <v>0.1</v>
      </c>
      <c r="S1220">
        <v>8.5</v>
      </c>
      <c r="T1220">
        <v>8.6</v>
      </c>
      <c r="U1220">
        <v>0.77400000000000002</v>
      </c>
      <c r="V1220">
        <v>14.8</v>
      </c>
      <c r="W1220" t="b">
        <f>COUNT(LifeExpectancyData[[#This Row],[Life expectancy]:[Schooling]])=19</f>
        <v>0</v>
      </c>
    </row>
    <row r="1221" spans="1:23" x14ac:dyDescent="0.25">
      <c r="A1221" t="s">
        <v>352</v>
      </c>
      <c r="B1221">
        <v>2014</v>
      </c>
      <c r="C1221" t="s">
        <v>273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COUNT(LifeExpectancyData[[#This Row],[Life expectancy]:[Schooling]])=19</f>
        <v>0</v>
      </c>
    </row>
    <row r="1222" spans="1:23" x14ac:dyDescent="0.25">
      <c r="A1222" t="s">
        <v>352</v>
      </c>
      <c r="B1222">
        <v>2013</v>
      </c>
      <c r="C1222" t="s">
        <v>273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COUNT(LifeExpectancyData[[#This Row],[Life expectancy]:[Schooling]])=19</f>
        <v>0</v>
      </c>
    </row>
    <row r="1223" spans="1:23" x14ac:dyDescent="0.25">
      <c r="A1223" t="s">
        <v>352</v>
      </c>
      <c r="B1223">
        <v>2012</v>
      </c>
      <c r="C1223" t="s">
        <v>273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COUNT(LifeExpectancyData[[#This Row],[Life expectancy]:[Schooling]])=19</f>
        <v>0</v>
      </c>
    </row>
    <row r="1224" spans="1:23" x14ac:dyDescent="0.25">
      <c r="A1224" t="s">
        <v>352</v>
      </c>
      <c r="B1224">
        <v>2011</v>
      </c>
      <c r="C1224" t="s">
        <v>273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COUNT(LifeExpectancyData[[#This Row],[Life expectancy]:[Schooling]])=19</f>
        <v>0</v>
      </c>
    </row>
    <row r="1225" spans="1:23" x14ac:dyDescent="0.25">
      <c r="A1225" t="s">
        <v>352</v>
      </c>
      <c r="B1225">
        <v>2010</v>
      </c>
      <c r="C1225" t="s">
        <v>273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COUNT(LifeExpectancyData[[#This Row],[Life expectancy]:[Schooling]])=19</f>
        <v>0</v>
      </c>
    </row>
    <row r="1226" spans="1:23" x14ac:dyDescent="0.25">
      <c r="A1226" t="s">
        <v>352</v>
      </c>
      <c r="B1226">
        <v>2009</v>
      </c>
      <c r="C1226" t="s">
        <v>273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COUNT(LifeExpectancyData[[#This Row],[Life expectancy]:[Schooling]])=19</f>
        <v>0</v>
      </c>
    </row>
    <row r="1227" spans="1:23" x14ac:dyDescent="0.25">
      <c r="A1227" t="s">
        <v>352</v>
      </c>
      <c r="B1227">
        <v>2008</v>
      </c>
      <c r="C1227" t="s">
        <v>273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COUNT(LifeExpectancyData[[#This Row],[Life expectancy]:[Schooling]])=19</f>
        <v>0</v>
      </c>
    </row>
    <row r="1228" spans="1:23" x14ac:dyDescent="0.25">
      <c r="A1228" t="s">
        <v>352</v>
      </c>
      <c r="B1228">
        <v>2007</v>
      </c>
      <c r="C1228" t="s">
        <v>273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COUNT(LifeExpectancyData[[#This Row],[Life expectancy]:[Schooling]])=19</f>
        <v>0</v>
      </c>
    </row>
    <row r="1229" spans="1:23" x14ac:dyDescent="0.25">
      <c r="A1229" t="s">
        <v>352</v>
      </c>
      <c r="B1229">
        <v>2006</v>
      </c>
      <c r="C1229" t="s">
        <v>273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COUNT(LifeExpectancyData[[#This Row],[Life expectancy]:[Schooling]])=19</f>
        <v>0</v>
      </c>
    </row>
    <row r="1230" spans="1:23" x14ac:dyDescent="0.25">
      <c r="A1230" t="s">
        <v>352</v>
      </c>
      <c r="B1230">
        <v>2005</v>
      </c>
      <c r="C1230" t="s">
        <v>273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COUNT(LifeExpectancyData[[#This Row],[Life expectancy]:[Schooling]])=19</f>
        <v>0</v>
      </c>
    </row>
    <row r="1231" spans="1:23" x14ac:dyDescent="0.25">
      <c r="A1231" t="s">
        <v>352</v>
      </c>
      <c r="B1231">
        <v>2004</v>
      </c>
      <c r="C1231" t="s">
        <v>273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COUNT(LifeExpectancyData[[#This Row],[Life expectancy]:[Schooling]])=19</f>
        <v>0</v>
      </c>
    </row>
    <row r="1232" spans="1:23" x14ac:dyDescent="0.25">
      <c r="A1232" t="s">
        <v>352</v>
      </c>
      <c r="B1232">
        <v>2003</v>
      </c>
      <c r="C1232" t="s">
        <v>273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COUNT(LifeExpectancyData[[#This Row],[Life expectancy]:[Schooling]])=19</f>
        <v>0</v>
      </c>
    </row>
    <row r="1233" spans="1:23" x14ac:dyDescent="0.25">
      <c r="A1233" t="s">
        <v>352</v>
      </c>
      <c r="B1233">
        <v>2002</v>
      </c>
      <c r="C1233" t="s">
        <v>273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COUNT(LifeExpectancyData[[#This Row],[Life expectancy]:[Schooling]])=19</f>
        <v>0</v>
      </c>
    </row>
    <row r="1234" spans="1:23" x14ac:dyDescent="0.25">
      <c r="A1234" t="s">
        <v>352</v>
      </c>
      <c r="B1234">
        <v>2001</v>
      </c>
      <c r="C1234" t="s">
        <v>273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COUNT(LifeExpectancyData[[#This Row],[Life expectancy]:[Schooling]])=19</f>
        <v>0</v>
      </c>
    </row>
    <row r="1235" spans="1:23" x14ac:dyDescent="0.25">
      <c r="A1235" t="s">
        <v>352</v>
      </c>
      <c r="B1235">
        <v>2000</v>
      </c>
      <c r="C1235" t="s">
        <v>273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COUNT(LifeExpectancyData[[#This Row],[Life expectancy]:[Schooling]])=19</f>
        <v>0</v>
      </c>
    </row>
    <row r="1236" spans="1:23" x14ac:dyDescent="0.25">
      <c r="A1236" t="s">
        <v>353</v>
      </c>
      <c r="B1236">
        <v>2015</v>
      </c>
      <c r="C1236" t="s">
        <v>273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COUNT(LifeExpectancyData[[#This Row],[Life expectancy]:[Schooling]])=19</f>
        <v>0</v>
      </c>
    </row>
    <row r="1237" spans="1:23" x14ac:dyDescent="0.25">
      <c r="A1237" t="s">
        <v>353</v>
      </c>
      <c r="B1237">
        <v>2014</v>
      </c>
      <c r="C1237" t="s">
        <v>273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COUNT(LifeExpectancyData[[#This Row],[Life expectancy]:[Schooling]])=19</f>
        <v>1</v>
      </c>
    </row>
    <row r="1238" spans="1:23" x14ac:dyDescent="0.25">
      <c r="A1238" t="s">
        <v>353</v>
      </c>
      <c r="B1238">
        <v>2013</v>
      </c>
      <c r="C1238" t="s">
        <v>273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COUNT(LifeExpectancyData[[#This Row],[Life expectancy]:[Schooling]])=19</f>
        <v>1</v>
      </c>
    </row>
    <row r="1239" spans="1:23" x14ac:dyDescent="0.25">
      <c r="A1239" t="s">
        <v>353</v>
      </c>
      <c r="B1239">
        <v>2012</v>
      </c>
      <c r="C1239" t="s">
        <v>273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COUNT(LifeExpectancyData[[#This Row],[Life expectancy]:[Schooling]])=19</f>
        <v>1</v>
      </c>
    </row>
    <row r="1240" spans="1:23" x14ac:dyDescent="0.25">
      <c r="A1240" t="s">
        <v>353</v>
      </c>
      <c r="B1240">
        <v>2011</v>
      </c>
      <c r="C1240" t="s">
        <v>273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COUNT(LifeExpectancyData[[#This Row],[Life expectancy]:[Schooling]])=19</f>
        <v>1</v>
      </c>
    </row>
    <row r="1241" spans="1:23" x14ac:dyDescent="0.25">
      <c r="A1241" t="s">
        <v>353</v>
      </c>
      <c r="B1241">
        <v>2010</v>
      </c>
      <c r="C1241" t="s">
        <v>273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COUNT(LifeExpectancyData[[#This Row],[Life expectancy]:[Schooling]])=19</f>
        <v>1</v>
      </c>
    </row>
    <row r="1242" spans="1:23" x14ac:dyDescent="0.25">
      <c r="A1242" t="s">
        <v>353</v>
      </c>
      <c r="B1242">
        <v>2009</v>
      </c>
      <c r="C1242" t="s">
        <v>273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COUNT(LifeExpectancyData[[#This Row],[Life expectancy]:[Schooling]])=19</f>
        <v>1</v>
      </c>
    </row>
    <row r="1243" spans="1:23" x14ac:dyDescent="0.25">
      <c r="A1243" t="s">
        <v>353</v>
      </c>
      <c r="B1243">
        <v>2008</v>
      </c>
      <c r="C1243" t="s">
        <v>273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COUNT(LifeExpectancyData[[#This Row],[Life expectancy]:[Schooling]])=19</f>
        <v>1</v>
      </c>
    </row>
    <row r="1244" spans="1:23" x14ac:dyDescent="0.25">
      <c r="A1244" t="s">
        <v>353</v>
      </c>
      <c r="B1244">
        <v>2007</v>
      </c>
      <c r="C1244" t="s">
        <v>273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COUNT(LifeExpectancyData[[#This Row],[Life expectancy]:[Schooling]])=19</f>
        <v>1</v>
      </c>
    </row>
    <row r="1245" spans="1:23" x14ac:dyDescent="0.25">
      <c r="A1245" t="s">
        <v>353</v>
      </c>
      <c r="B1245">
        <v>2006</v>
      </c>
      <c r="C1245" t="s">
        <v>273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COUNT(LifeExpectancyData[[#This Row],[Life expectancy]:[Schooling]])=19</f>
        <v>1</v>
      </c>
    </row>
    <row r="1246" spans="1:23" x14ac:dyDescent="0.25">
      <c r="A1246" t="s">
        <v>353</v>
      </c>
      <c r="B1246">
        <v>2005</v>
      </c>
      <c r="C1246" t="s">
        <v>273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COUNT(LifeExpectancyData[[#This Row],[Life expectancy]:[Schooling]])=19</f>
        <v>1</v>
      </c>
    </row>
    <row r="1247" spans="1:23" x14ac:dyDescent="0.25">
      <c r="A1247" t="s">
        <v>353</v>
      </c>
      <c r="B1247">
        <v>2004</v>
      </c>
      <c r="C1247" t="s">
        <v>273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COUNT(LifeExpectancyData[[#This Row],[Life expectancy]:[Schooling]])=19</f>
        <v>1</v>
      </c>
    </row>
    <row r="1248" spans="1:23" x14ac:dyDescent="0.25">
      <c r="A1248" t="s">
        <v>353</v>
      </c>
      <c r="B1248">
        <v>2003</v>
      </c>
      <c r="C1248" t="s">
        <v>273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COUNT(LifeExpectancyData[[#This Row],[Life expectancy]:[Schooling]])=19</f>
        <v>0</v>
      </c>
    </row>
    <row r="1249" spans="1:23" x14ac:dyDescent="0.25">
      <c r="A1249" t="s">
        <v>353</v>
      </c>
      <c r="B1249">
        <v>2002</v>
      </c>
      <c r="C1249" t="s">
        <v>273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COUNT(LifeExpectancyData[[#This Row],[Life expectancy]:[Schooling]])=19</f>
        <v>0</v>
      </c>
    </row>
    <row r="1250" spans="1:23" x14ac:dyDescent="0.25">
      <c r="A1250" t="s">
        <v>353</v>
      </c>
      <c r="B1250">
        <v>2001</v>
      </c>
      <c r="C1250" t="s">
        <v>273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COUNT(LifeExpectancyData[[#This Row],[Life expectancy]:[Schooling]])=19</f>
        <v>0</v>
      </c>
    </row>
    <row r="1251" spans="1:23" x14ac:dyDescent="0.25">
      <c r="A1251" t="s">
        <v>353</v>
      </c>
      <c r="B1251">
        <v>2000</v>
      </c>
      <c r="C1251" t="s">
        <v>273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COUNT(LifeExpectancyData[[#This Row],[Life expectancy]:[Schooling]])=19</f>
        <v>0</v>
      </c>
    </row>
    <row r="1252" spans="1:23" x14ac:dyDescent="0.25">
      <c r="A1252" t="s">
        <v>354</v>
      </c>
      <c r="B1252">
        <v>2015</v>
      </c>
      <c r="C1252" t="s">
        <v>281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COUNT(LifeExpectancyData[[#This Row],[Life expectancy]:[Schooling]])=19</f>
        <v>0</v>
      </c>
    </row>
    <row r="1253" spans="1:23" x14ac:dyDescent="0.25">
      <c r="A1253" t="s">
        <v>354</v>
      </c>
      <c r="B1253">
        <v>2014</v>
      </c>
      <c r="C1253" t="s">
        <v>281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COUNT(LifeExpectancyData[[#This Row],[Life expectancy]:[Schooling]])=19</f>
        <v>1</v>
      </c>
    </row>
    <row r="1254" spans="1:23" x14ac:dyDescent="0.25">
      <c r="A1254" t="s">
        <v>354</v>
      </c>
      <c r="B1254">
        <v>2013</v>
      </c>
      <c r="C1254" t="s">
        <v>281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COUNT(LifeExpectancyData[[#This Row],[Life expectancy]:[Schooling]])=19</f>
        <v>1</v>
      </c>
    </row>
    <row r="1255" spans="1:23" x14ac:dyDescent="0.25">
      <c r="A1255" t="s">
        <v>354</v>
      </c>
      <c r="B1255">
        <v>2012</v>
      </c>
      <c r="C1255" t="s">
        <v>281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COUNT(LifeExpectancyData[[#This Row],[Life expectancy]:[Schooling]])=19</f>
        <v>1</v>
      </c>
    </row>
    <row r="1256" spans="1:23" x14ac:dyDescent="0.25">
      <c r="A1256" t="s">
        <v>354</v>
      </c>
      <c r="B1256">
        <v>2011</v>
      </c>
      <c r="C1256" t="s">
        <v>281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COUNT(LifeExpectancyData[[#This Row],[Life expectancy]:[Schooling]])=19</f>
        <v>1</v>
      </c>
    </row>
    <row r="1257" spans="1:23" x14ac:dyDescent="0.25">
      <c r="A1257" t="s">
        <v>354</v>
      </c>
      <c r="B1257">
        <v>2010</v>
      </c>
      <c r="C1257" t="s">
        <v>281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COUNT(LifeExpectancyData[[#This Row],[Life expectancy]:[Schooling]])=19</f>
        <v>1</v>
      </c>
    </row>
    <row r="1258" spans="1:23" x14ac:dyDescent="0.25">
      <c r="A1258" t="s">
        <v>354</v>
      </c>
      <c r="B1258">
        <v>2009</v>
      </c>
      <c r="C1258" t="s">
        <v>281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COUNT(LifeExpectancyData[[#This Row],[Life expectancy]:[Schooling]])=19</f>
        <v>0</v>
      </c>
    </row>
    <row r="1259" spans="1:23" x14ac:dyDescent="0.25">
      <c r="A1259" t="s">
        <v>354</v>
      </c>
      <c r="B1259">
        <v>2008</v>
      </c>
      <c r="C1259" t="s">
        <v>281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COUNT(LifeExpectancyData[[#This Row],[Life expectancy]:[Schooling]])=19</f>
        <v>0</v>
      </c>
    </row>
    <row r="1260" spans="1:23" x14ac:dyDescent="0.25">
      <c r="A1260" t="s">
        <v>354</v>
      </c>
      <c r="B1260">
        <v>2007</v>
      </c>
      <c r="C1260" t="s">
        <v>281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COUNT(LifeExpectancyData[[#This Row],[Life expectancy]:[Schooling]])=19</f>
        <v>0</v>
      </c>
    </row>
    <row r="1261" spans="1:23" x14ac:dyDescent="0.25">
      <c r="A1261" t="s">
        <v>354</v>
      </c>
      <c r="B1261">
        <v>2006</v>
      </c>
      <c r="C1261" t="s">
        <v>281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COUNT(LifeExpectancyData[[#This Row],[Life expectancy]:[Schooling]])=19</f>
        <v>0</v>
      </c>
    </row>
    <row r="1262" spans="1:23" x14ac:dyDescent="0.25">
      <c r="A1262" t="s">
        <v>354</v>
      </c>
      <c r="B1262">
        <v>2005</v>
      </c>
      <c r="C1262" t="s">
        <v>281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COUNT(LifeExpectancyData[[#This Row],[Life expectancy]:[Schooling]])=19</f>
        <v>0</v>
      </c>
    </row>
    <row r="1263" spans="1:23" x14ac:dyDescent="0.25">
      <c r="A1263" t="s">
        <v>354</v>
      </c>
      <c r="B1263">
        <v>2004</v>
      </c>
      <c r="C1263" t="s">
        <v>281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COUNT(LifeExpectancyData[[#This Row],[Life expectancy]:[Schooling]])=19</f>
        <v>0</v>
      </c>
    </row>
    <row r="1264" spans="1:23" x14ac:dyDescent="0.25">
      <c r="A1264" t="s">
        <v>354</v>
      </c>
      <c r="B1264">
        <v>2003</v>
      </c>
      <c r="C1264" t="s">
        <v>281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COUNT(LifeExpectancyData[[#This Row],[Life expectancy]:[Schooling]])=19</f>
        <v>0</v>
      </c>
    </row>
    <row r="1265" spans="1:23" x14ac:dyDescent="0.25">
      <c r="A1265" t="s">
        <v>354</v>
      </c>
      <c r="B1265">
        <v>2002</v>
      </c>
      <c r="C1265" t="s">
        <v>281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COUNT(LifeExpectancyData[[#This Row],[Life expectancy]:[Schooling]])=19</f>
        <v>0</v>
      </c>
    </row>
    <row r="1266" spans="1:23" x14ac:dyDescent="0.25">
      <c r="A1266" t="s">
        <v>354</v>
      </c>
      <c r="B1266">
        <v>2001</v>
      </c>
      <c r="C1266" t="s">
        <v>281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COUNT(LifeExpectancyData[[#This Row],[Life expectancy]:[Schooling]])=19</f>
        <v>0</v>
      </c>
    </row>
    <row r="1267" spans="1:23" x14ac:dyDescent="0.25">
      <c r="A1267" t="s">
        <v>354</v>
      </c>
      <c r="B1267">
        <v>2000</v>
      </c>
      <c r="C1267" t="s">
        <v>281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COUNT(LifeExpectancyData[[#This Row],[Life expectancy]:[Schooling]])=19</f>
        <v>0</v>
      </c>
    </row>
    <row r="1268" spans="1:23" x14ac:dyDescent="0.25">
      <c r="A1268" t="s">
        <v>355</v>
      </c>
      <c r="B1268">
        <v>2015</v>
      </c>
      <c r="C1268" t="s">
        <v>273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COUNT(LifeExpectancyData[[#This Row],[Life expectancy]:[Schooling]])=19</f>
        <v>0</v>
      </c>
    </row>
    <row r="1269" spans="1:23" x14ac:dyDescent="0.25">
      <c r="A1269" t="s">
        <v>355</v>
      </c>
      <c r="B1269">
        <v>2014</v>
      </c>
      <c r="C1269" t="s">
        <v>273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COUNT(LifeExpectancyData[[#This Row],[Life expectancy]:[Schooling]])=19</f>
        <v>1</v>
      </c>
    </row>
    <row r="1270" spans="1:23" x14ac:dyDescent="0.25">
      <c r="A1270" t="s">
        <v>355</v>
      </c>
      <c r="B1270">
        <v>2013</v>
      </c>
      <c r="C1270" t="s">
        <v>273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COUNT(LifeExpectancyData[[#This Row],[Life expectancy]:[Schooling]])=19</f>
        <v>1</v>
      </c>
    </row>
    <row r="1271" spans="1:23" x14ac:dyDescent="0.25">
      <c r="A1271" t="s">
        <v>355</v>
      </c>
      <c r="B1271">
        <v>2012</v>
      </c>
      <c r="C1271" t="s">
        <v>273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COUNT(LifeExpectancyData[[#This Row],[Life expectancy]:[Schooling]])=19</f>
        <v>1</v>
      </c>
    </row>
    <row r="1272" spans="1:23" x14ac:dyDescent="0.25">
      <c r="A1272" t="s">
        <v>355</v>
      </c>
      <c r="B1272">
        <v>2011</v>
      </c>
      <c r="C1272" t="s">
        <v>273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COUNT(LifeExpectancyData[[#This Row],[Life expectancy]:[Schooling]])=19</f>
        <v>1</v>
      </c>
    </row>
    <row r="1273" spans="1:23" x14ac:dyDescent="0.25">
      <c r="A1273" t="s">
        <v>355</v>
      </c>
      <c r="B1273">
        <v>2010</v>
      </c>
      <c r="C1273" t="s">
        <v>273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COUNT(LifeExpectancyData[[#This Row],[Life expectancy]:[Schooling]])=19</f>
        <v>1</v>
      </c>
    </row>
    <row r="1274" spans="1:23" x14ac:dyDescent="0.25">
      <c r="A1274" t="s">
        <v>355</v>
      </c>
      <c r="B1274">
        <v>2009</v>
      </c>
      <c r="C1274" t="s">
        <v>273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COUNT(LifeExpectancyData[[#This Row],[Life expectancy]:[Schooling]])=19</f>
        <v>1</v>
      </c>
    </row>
    <row r="1275" spans="1:23" x14ac:dyDescent="0.25">
      <c r="A1275" t="s">
        <v>355</v>
      </c>
      <c r="B1275">
        <v>2008</v>
      </c>
      <c r="C1275" t="s">
        <v>273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COUNT(LifeExpectancyData[[#This Row],[Life expectancy]:[Schooling]])=19</f>
        <v>1</v>
      </c>
    </row>
    <row r="1276" spans="1:23" x14ac:dyDescent="0.25">
      <c r="A1276" t="s">
        <v>355</v>
      </c>
      <c r="B1276">
        <v>2007</v>
      </c>
      <c r="C1276" t="s">
        <v>273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COUNT(LifeExpectancyData[[#This Row],[Life expectancy]:[Schooling]])=19</f>
        <v>1</v>
      </c>
    </row>
    <row r="1277" spans="1:23" x14ac:dyDescent="0.25">
      <c r="A1277" t="s">
        <v>355</v>
      </c>
      <c r="B1277">
        <v>2006</v>
      </c>
      <c r="C1277" t="s">
        <v>273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COUNT(LifeExpectancyData[[#This Row],[Life expectancy]:[Schooling]])=19</f>
        <v>1</v>
      </c>
    </row>
    <row r="1278" spans="1:23" x14ac:dyDescent="0.25">
      <c r="A1278" t="s">
        <v>355</v>
      </c>
      <c r="B1278">
        <v>2005</v>
      </c>
      <c r="C1278" t="s">
        <v>273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COUNT(LifeExpectancyData[[#This Row],[Life expectancy]:[Schooling]])=19</f>
        <v>1</v>
      </c>
    </row>
    <row r="1279" spans="1:23" x14ac:dyDescent="0.25">
      <c r="A1279" t="s">
        <v>355</v>
      </c>
      <c r="B1279">
        <v>2004</v>
      </c>
      <c r="C1279" t="s">
        <v>273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COUNT(LifeExpectancyData[[#This Row],[Life expectancy]:[Schooling]])=19</f>
        <v>1</v>
      </c>
    </row>
    <row r="1280" spans="1:23" x14ac:dyDescent="0.25">
      <c r="A1280" t="s">
        <v>355</v>
      </c>
      <c r="B1280">
        <v>2003</v>
      </c>
      <c r="C1280" t="s">
        <v>273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COUNT(LifeExpectancyData[[#This Row],[Life expectancy]:[Schooling]])=19</f>
        <v>1</v>
      </c>
    </row>
    <row r="1281" spans="1:23" x14ac:dyDescent="0.25">
      <c r="A1281" t="s">
        <v>355</v>
      </c>
      <c r="B1281">
        <v>2002</v>
      </c>
      <c r="C1281" t="s">
        <v>273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COUNT(LifeExpectancyData[[#This Row],[Life expectancy]:[Schooling]])=19</f>
        <v>1</v>
      </c>
    </row>
    <row r="1282" spans="1:23" x14ac:dyDescent="0.25">
      <c r="A1282" t="s">
        <v>355</v>
      </c>
      <c r="B1282">
        <v>2001</v>
      </c>
      <c r="C1282" t="s">
        <v>273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COUNT(LifeExpectancyData[[#This Row],[Life expectancy]:[Schooling]])=19</f>
        <v>1</v>
      </c>
    </row>
    <row r="1283" spans="1:23" x14ac:dyDescent="0.25">
      <c r="A1283" t="s">
        <v>355</v>
      </c>
      <c r="B1283">
        <v>2000</v>
      </c>
      <c r="C1283" t="s">
        <v>273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COUNT(LifeExpectancyData[[#This Row],[Life expectancy]:[Schooling]])=19</f>
        <v>1</v>
      </c>
    </row>
    <row r="1284" spans="1:23" x14ac:dyDescent="0.25">
      <c r="A1284" t="s">
        <v>356</v>
      </c>
      <c r="B1284">
        <v>2015</v>
      </c>
      <c r="C1284" t="s">
        <v>281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COUNT(LifeExpectancyData[[#This Row],[Life expectancy]:[Schooling]])=19</f>
        <v>0</v>
      </c>
    </row>
    <row r="1285" spans="1:23" x14ac:dyDescent="0.25">
      <c r="A1285" t="s">
        <v>356</v>
      </c>
      <c r="B1285">
        <v>2014</v>
      </c>
      <c r="C1285" t="s">
        <v>281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COUNT(LifeExpectancyData[[#This Row],[Life expectancy]:[Schooling]])=19</f>
        <v>1</v>
      </c>
    </row>
    <row r="1286" spans="1:23" x14ac:dyDescent="0.25">
      <c r="A1286" t="s">
        <v>356</v>
      </c>
      <c r="B1286">
        <v>2013</v>
      </c>
      <c r="C1286" t="s">
        <v>281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COUNT(LifeExpectancyData[[#This Row],[Life expectancy]:[Schooling]])=19</f>
        <v>1</v>
      </c>
    </row>
    <row r="1287" spans="1:23" x14ac:dyDescent="0.25">
      <c r="A1287" t="s">
        <v>356</v>
      </c>
      <c r="B1287">
        <v>2012</v>
      </c>
      <c r="C1287" t="s">
        <v>281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COUNT(LifeExpectancyData[[#This Row],[Life expectancy]:[Schooling]])=19</f>
        <v>1</v>
      </c>
    </row>
    <row r="1288" spans="1:23" x14ac:dyDescent="0.25">
      <c r="A1288" t="s">
        <v>356</v>
      </c>
      <c r="B1288">
        <v>2011</v>
      </c>
      <c r="C1288" t="s">
        <v>281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COUNT(LifeExpectancyData[[#This Row],[Life expectancy]:[Schooling]])=19</f>
        <v>1</v>
      </c>
    </row>
    <row r="1289" spans="1:23" x14ac:dyDescent="0.25">
      <c r="A1289" t="s">
        <v>356</v>
      </c>
      <c r="B1289">
        <v>2010</v>
      </c>
      <c r="C1289" t="s">
        <v>281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COUNT(LifeExpectancyData[[#This Row],[Life expectancy]:[Schooling]])=19</f>
        <v>1</v>
      </c>
    </row>
    <row r="1290" spans="1:23" x14ac:dyDescent="0.25">
      <c r="A1290" t="s">
        <v>356</v>
      </c>
      <c r="B1290">
        <v>2009</v>
      </c>
      <c r="C1290" t="s">
        <v>281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COUNT(LifeExpectancyData[[#This Row],[Life expectancy]:[Schooling]])=19</f>
        <v>1</v>
      </c>
    </row>
    <row r="1291" spans="1:23" x14ac:dyDescent="0.25">
      <c r="A1291" t="s">
        <v>356</v>
      </c>
      <c r="B1291">
        <v>2008</v>
      </c>
      <c r="C1291" t="s">
        <v>281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COUNT(LifeExpectancyData[[#This Row],[Life expectancy]:[Schooling]])=19</f>
        <v>1</v>
      </c>
    </row>
    <row r="1292" spans="1:23" x14ac:dyDescent="0.25">
      <c r="A1292" t="s">
        <v>356</v>
      </c>
      <c r="B1292">
        <v>2007</v>
      </c>
      <c r="C1292" t="s">
        <v>281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COUNT(LifeExpectancyData[[#This Row],[Life expectancy]:[Schooling]])=19</f>
        <v>1</v>
      </c>
    </row>
    <row r="1293" spans="1:23" x14ac:dyDescent="0.25">
      <c r="A1293" t="s">
        <v>356</v>
      </c>
      <c r="B1293">
        <v>2006</v>
      </c>
      <c r="C1293" t="s">
        <v>281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COUNT(LifeExpectancyData[[#This Row],[Life expectancy]:[Schooling]])=19</f>
        <v>1</v>
      </c>
    </row>
    <row r="1294" spans="1:23" x14ac:dyDescent="0.25">
      <c r="A1294" t="s">
        <v>356</v>
      </c>
      <c r="B1294">
        <v>2005</v>
      </c>
      <c r="C1294" t="s">
        <v>281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COUNT(LifeExpectancyData[[#This Row],[Life expectancy]:[Schooling]])=19</f>
        <v>1</v>
      </c>
    </row>
    <row r="1295" spans="1:23" x14ac:dyDescent="0.25">
      <c r="A1295" t="s">
        <v>356</v>
      </c>
      <c r="B1295">
        <v>2004</v>
      </c>
      <c r="C1295" t="s">
        <v>281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COUNT(LifeExpectancyData[[#This Row],[Life expectancy]:[Schooling]])=19</f>
        <v>1</v>
      </c>
    </row>
    <row r="1296" spans="1:23" x14ac:dyDescent="0.25">
      <c r="A1296" t="s">
        <v>356</v>
      </c>
      <c r="B1296">
        <v>2003</v>
      </c>
      <c r="C1296" t="s">
        <v>281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COUNT(LifeExpectancyData[[#This Row],[Life expectancy]:[Schooling]])=19</f>
        <v>1</v>
      </c>
    </row>
    <row r="1297" spans="1:23" x14ac:dyDescent="0.25">
      <c r="A1297" t="s">
        <v>356</v>
      </c>
      <c r="B1297">
        <v>2002</v>
      </c>
      <c r="C1297" t="s">
        <v>281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COUNT(LifeExpectancyData[[#This Row],[Life expectancy]:[Schooling]])=19</f>
        <v>1</v>
      </c>
    </row>
    <row r="1298" spans="1:23" x14ac:dyDescent="0.25">
      <c r="A1298" t="s">
        <v>356</v>
      </c>
      <c r="B1298">
        <v>2001</v>
      </c>
      <c r="C1298" t="s">
        <v>281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COUNT(LifeExpectancyData[[#This Row],[Life expectancy]:[Schooling]])=19</f>
        <v>1</v>
      </c>
    </row>
    <row r="1299" spans="1:23" x14ac:dyDescent="0.25">
      <c r="A1299" t="s">
        <v>356</v>
      </c>
      <c r="B1299">
        <v>2000</v>
      </c>
      <c r="C1299" t="s">
        <v>281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COUNT(LifeExpectancyData[[#This Row],[Life expectancy]:[Schooling]])=19</f>
        <v>1</v>
      </c>
    </row>
    <row r="1300" spans="1:23" x14ac:dyDescent="0.25">
      <c r="A1300" t="s">
        <v>357</v>
      </c>
      <c r="B1300">
        <v>2015</v>
      </c>
      <c r="C1300" t="s">
        <v>273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COUNT(LifeExpectancyData[[#This Row],[Life expectancy]:[Schooling]])=19</f>
        <v>0</v>
      </c>
    </row>
    <row r="1301" spans="1:23" x14ac:dyDescent="0.25">
      <c r="A1301" t="s">
        <v>357</v>
      </c>
      <c r="B1301">
        <v>2014</v>
      </c>
      <c r="C1301" t="s">
        <v>273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COUNT(LifeExpectancyData[[#This Row],[Life expectancy]:[Schooling]])=19</f>
        <v>1</v>
      </c>
    </row>
    <row r="1302" spans="1:23" x14ac:dyDescent="0.25">
      <c r="A1302" t="s">
        <v>357</v>
      </c>
      <c r="B1302">
        <v>2013</v>
      </c>
      <c r="C1302" t="s">
        <v>273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COUNT(LifeExpectancyData[[#This Row],[Life expectancy]:[Schooling]])=19</f>
        <v>1</v>
      </c>
    </row>
    <row r="1303" spans="1:23" x14ac:dyDescent="0.25">
      <c r="A1303" t="s">
        <v>357</v>
      </c>
      <c r="B1303">
        <v>2012</v>
      </c>
      <c r="C1303" t="s">
        <v>273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COUNT(LifeExpectancyData[[#This Row],[Life expectancy]:[Schooling]])=19</f>
        <v>1</v>
      </c>
    </row>
    <row r="1304" spans="1:23" x14ac:dyDescent="0.25">
      <c r="A1304" t="s">
        <v>357</v>
      </c>
      <c r="B1304">
        <v>2011</v>
      </c>
      <c r="C1304" t="s">
        <v>273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COUNT(LifeExpectancyData[[#This Row],[Life expectancy]:[Schooling]])=19</f>
        <v>1</v>
      </c>
    </row>
    <row r="1305" spans="1:23" x14ac:dyDescent="0.25">
      <c r="A1305" t="s">
        <v>357</v>
      </c>
      <c r="B1305">
        <v>2010</v>
      </c>
      <c r="C1305" t="s">
        <v>273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COUNT(LifeExpectancyData[[#This Row],[Life expectancy]:[Schooling]])=19</f>
        <v>1</v>
      </c>
    </row>
    <row r="1306" spans="1:23" x14ac:dyDescent="0.25">
      <c r="A1306" t="s">
        <v>357</v>
      </c>
      <c r="B1306">
        <v>2009</v>
      </c>
      <c r="C1306" t="s">
        <v>273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COUNT(LifeExpectancyData[[#This Row],[Life expectancy]:[Schooling]])=19</f>
        <v>1</v>
      </c>
    </row>
    <row r="1307" spans="1:23" x14ac:dyDescent="0.25">
      <c r="A1307" t="s">
        <v>357</v>
      </c>
      <c r="B1307">
        <v>2008</v>
      </c>
      <c r="C1307" t="s">
        <v>273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COUNT(LifeExpectancyData[[#This Row],[Life expectancy]:[Schooling]])=19</f>
        <v>1</v>
      </c>
    </row>
    <row r="1308" spans="1:23" x14ac:dyDescent="0.25">
      <c r="A1308" t="s">
        <v>357</v>
      </c>
      <c r="B1308">
        <v>2007</v>
      </c>
      <c r="C1308" t="s">
        <v>273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COUNT(LifeExpectancyData[[#This Row],[Life expectancy]:[Schooling]])=19</f>
        <v>1</v>
      </c>
    </row>
    <row r="1309" spans="1:23" x14ac:dyDescent="0.25">
      <c r="A1309" t="s">
        <v>357</v>
      </c>
      <c r="B1309">
        <v>2006</v>
      </c>
      <c r="C1309" t="s">
        <v>273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COUNT(LifeExpectancyData[[#This Row],[Life expectancy]:[Schooling]])=19</f>
        <v>1</v>
      </c>
    </row>
    <row r="1310" spans="1:23" x14ac:dyDescent="0.25">
      <c r="A1310" t="s">
        <v>357</v>
      </c>
      <c r="B1310">
        <v>2005</v>
      </c>
      <c r="C1310" t="s">
        <v>273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COUNT(LifeExpectancyData[[#This Row],[Life expectancy]:[Schooling]])=19</f>
        <v>1</v>
      </c>
    </row>
    <row r="1311" spans="1:23" x14ac:dyDescent="0.25">
      <c r="A1311" t="s">
        <v>357</v>
      </c>
      <c r="B1311">
        <v>2004</v>
      </c>
      <c r="C1311" t="s">
        <v>273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COUNT(LifeExpectancyData[[#This Row],[Life expectancy]:[Schooling]])=19</f>
        <v>1</v>
      </c>
    </row>
    <row r="1312" spans="1:23" x14ac:dyDescent="0.25">
      <c r="A1312" t="s">
        <v>357</v>
      </c>
      <c r="B1312">
        <v>2003</v>
      </c>
      <c r="C1312" t="s">
        <v>273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COUNT(LifeExpectancyData[[#This Row],[Life expectancy]:[Schooling]])=19</f>
        <v>1</v>
      </c>
    </row>
    <row r="1313" spans="1:23" x14ac:dyDescent="0.25">
      <c r="A1313" t="s">
        <v>357</v>
      </c>
      <c r="B1313">
        <v>2002</v>
      </c>
      <c r="C1313" t="s">
        <v>273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COUNT(LifeExpectancyData[[#This Row],[Life expectancy]:[Schooling]])=19</f>
        <v>0</v>
      </c>
    </row>
    <row r="1314" spans="1:23" x14ac:dyDescent="0.25">
      <c r="A1314" t="s">
        <v>357</v>
      </c>
      <c r="B1314">
        <v>2001</v>
      </c>
      <c r="C1314" t="s">
        <v>273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COUNT(LifeExpectancyData[[#This Row],[Life expectancy]:[Schooling]])=19</f>
        <v>0</v>
      </c>
    </row>
    <row r="1315" spans="1:23" x14ac:dyDescent="0.25">
      <c r="A1315" t="s">
        <v>357</v>
      </c>
      <c r="B1315">
        <v>2000</v>
      </c>
      <c r="C1315" t="s">
        <v>273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COUNT(LifeExpectancyData[[#This Row],[Life expectancy]:[Schooling]])=19</f>
        <v>0</v>
      </c>
    </row>
    <row r="1316" spans="1:23" x14ac:dyDescent="0.25">
      <c r="A1316" t="s">
        <v>358</v>
      </c>
      <c r="B1316">
        <v>2015</v>
      </c>
      <c r="C1316" t="s">
        <v>281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COUNT(LifeExpectancyData[[#This Row],[Life expectancy]:[Schooling]])=19</f>
        <v>0</v>
      </c>
    </row>
    <row r="1317" spans="1:23" x14ac:dyDescent="0.25">
      <c r="A1317" t="s">
        <v>358</v>
      </c>
      <c r="B1317">
        <v>2014</v>
      </c>
      <c r="C1317" t="s">
        <v>281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COUNT(LifeExpectancyData[[#This Row],[Life expectancy]:[Schooling]])=19</f>
        <v>0</v>
      </c>
    </row>
    <row r="1318" spans="1:23" x14ac:dyDescent="0.25">
      <c r="A1318" t="s">
        <v>358</v>
      </c>
      <c r="B1318">
        <v>2013</v>
      </c>
      <c r="C1318" t="s">
        <v>281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COUNT(LifeExpectancyData[[#This Row],[Life expectancy]:[Schooling]])=19</f>
        <v>0</v>
      </c>
    </row>
    <row r="1319" spans="1:23" x14ac:dyDescent="0.25">
      <c r="A1319" t="s">
        <v>358</v>
      </c>
      <c r="B1319">
        <v>2012</v>
      </c>
      <c r="C1319" t="s">
        <v>281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COUNT(LifeExpectancyData[[#This Row],[Life expectancy]:[Schooling]])=19</f>
        <v>0</v>
      </c>
    </row>
    <row r="1320" spans="1:23" x14ac:dyDescent="0.25">
      <c r="A1320" t="s">
        <v>358</v>
      </c>
      <c r="B1320">
        <v>2011</v>
      </c>
      <c r="C1320" t="s">
        <v>281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COUNT(LifeExpectancyData[[#This Row],[Life expectancy]:[Schooling]])=19</f>
        <v>0</v>
      </c>
    </row>
    <row r="1321" spans="1:23" x14ac:dyDescent="0.25">
      <c r="A1321" t="s">
        <v>358</v>
      </c>
      <c r="B1321">
        <v>2010</v>
      </c>
      <c r="C1321" t="s">
        <v>281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COUNT(LifeExpectancyData[[#This Row],[Life expectancy]:[Schooling]])=19</f>
        <v>0</v>
      </c>
    </row>
    <row r="1322" spans="1:23" x14ac:dyDescent="0.25">
      <c r="A1322" t="s">
        <v>358</v>
      </c>
      <c r="B1322">
        <v>2009</v>
      </c>
      <c r="C1322" t="s">
        <v>281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COUNT(LifeExpectancyData[[#This Row],[Life expectancy]:[Schooling]])=19</f>
        <v>0</v>
      </c>
    </row>
    <row r="1323" spans="1:23" x14ac:dyDescent="0.25">
      <c r="A1323" t="s">
        <v>358</v>
      </c>
      <c r="B1323">
        <v>2008</v>
      </c>
      <c r="C1323" t="s">
        <v>281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COUNT(LifeExpectancyData[[#This Row],[Life expectancy]:[Schooling]])=19</f>
        <v>0</v>
      </c>
    </row>
    <row r="1324" spans="1:23" x14ac:dyDescent="0.25">
      <c r="A1324" t="s">
        <v>358</v>
      </c>
      <c r="B1324">
        <v>2007</v>
      </c>
      <c r="C1324" t="s">
        <v>281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COUNT(LifeExpectancyData[[#This Row],[Life expectancy]:[Schooling]])=19</f>
        <v>0</v>
      </c>
    </row>
    <row r="1325" spans="1:23" x14ac:dyDescent="0.25">
      <c r="A1325" t="s">
        <v>358</v>
      </c>
      <c r="B1325">
        <v>2006</v>
      </c>
      <c r="C1325" t="s">
        <v>281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COUNT(LifeExpectancyData[[#This Row],[Life expectancy]:[Schooling]])=19</f>
        <v>0</v>
      </c>
    </row>
    <row r="1326" spans="1:23" x14ac:dyDescent="0.25">
      <c r="A1326" t="s">
        <v>358</v>
      </c>
      <c r="B1326">
        <v>2005</v>
      </c>
      <c r="C1326" t="s">
        <v>281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COUNT(LifeExpectancyData[[#This Row],[Life expectancy]:[Schooling]])=19</f>
        <v>0</v>
      </c>
    </row>
    <row r="1327" spans="1:23" x14ac:dyDescent="0.25">
      <c r="A1327" t="s">
        <v>358</v>
      </c>
      <c r="B1327">
        <v>2004</v>
      </c>
      <c r="C1327" t="s">
        <v>281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COUNT(LifeExpectancyData[[#This Row],[Life expectancy]:[Schooling]])=19</f>
        <v>0</v>
      </c>
    </row>
    <row r="1328" spans="1:23" x14ac:dyDescent="0.25">
      <c r="A1328" t="s">
        <v>358</v>
      </c>
      <c r="B1328">
        <v>2003</v>
      </c>
      <c r="C1328" t="s">
        <v>281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COUNT(LifeExpectancyData[[#This Row],[Life expectancy]:[Schooling]])=19</f>
        <v>0</v>
      </c>
    </row>
    <row r="1329" spans="1:23" x14ac:dyDescent="0.25">
      <c r="A1329" t="s">
        <v>358</v>
      </c>
      <c r="B1329">
        <v>2002</v>
      </c>
      <c r="C1329" t="s">
        <v>281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COUNT(LifeExpectancyData[[#This Row],[Life expectancy]:[Schooling]])=19</f>
        <v>0</v>
      </c>
    </row>
    <row r="1330" spans="1:23" x14ac:dyDescent="0.25">
      <c r="A1330" t="s">
        <v>358</v>
      </c>
      <c r="B1330">
        <v>2001</v>
      </c>
      <c r="C1330" t="s">
        <v>281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COUNT(LifeExpectancyData[[#This Row],[Life expectancy]:[Schooling]])=19</f>
        <v>0</v>
      </c>
    </row>
    <row r="1331" spans="1:23" x14ac:dyDescent="0.25">
      <c r="A1331" t="s">
        <v>358</v>
      </c>
      <c r="B1331">
        <v>2000</v>
      </c>
      <c r="C1331" t="s">
        <v>281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COUNT(LifeExpectancyData[[#This Row],[Life expectancy]:[Schooling]])=19</f>
        <v>0</v>
      </c>
    </row>
    <row r="1332" spans="1:23" x14ac:dyDescent="0.25">
      <c r="A1332" t="s">
        <v>359</v>
      </c>
      <c r="B1332">
        <v>2015</v>
      </c>
      <c r="C1332" t="s">
        <v>273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COUNT(LifeExpectancyData[[#This Row],[Life expectancy]:[Schooling]])=19</f>
        <v>0</v>
      </c>
    </row>
    <row r="1333" spans="1:23" x14ac:dyDescent="0.25">
      <c r="A1333" t="s">
        <v>359</v>
      </c>
      <c r="B1333">
        <v>2014</v>
      </c>
      <c r="C1333" t="s">
        <v>273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COUNT(LifeExpectancyData[[#This Row],[Life expectancy]:[Schooling]])=19</f>
        <v>1</v>
      </c>
    </row>
    <row r="1334" spans="1:23" x14ac:dyDescent="0.25">
      <c r="A1334" t="s">
        <v>359</v>
      </c>
      <c r="B1334">
        <v>2013</v>
      </c>
      <c r="C1334" t="s">
        <v>273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COUNT(LifeExpectancyData[[#This Row],[Life expectancy]:[Schooling]])=19</f>
        <v>1</v>
      </c>
    </row>
    <row r="1335" spans="1:23" x14ac:dyDescent="0.25">
      <c r="A1335" t="s">
        <v>359</v>
      </c>
      <c r="B1335">
        <v>2012</v>
      </c>
      <c r="C1335" t="s">
        <v>273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COUNT(LifeExpectancyData[[#This Row],[Life expectancy]:[Schooling]])=19</f>
        <v>1</v>
      </c>
    </row>
    <row r="1336" spans="1:23" x14ac:dyDescent="0.25">
      <c r="A1336" t="s">
        <v>359</v>
      </c>
      <c r="B1336">
        <v>2011</v>
      </c>
      <c r="C1336" t="s">
        <v>273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COUNT(LifeExpectancyData[[#This Row],[Life expectancy]:[Schooling]])=19</f>
        <v>1</v>
      </c>
    </row>
    <row r="1337" spans="1:23" x14ac:dyDescent="0.25">
      <c r="A1337" t="s">
        <v>359</v>
      </c>
      <c r="B1337">
        <v>2010</v>
      </c>
      <c r="C1337" t="s">
        <v>273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COUNT(LifeExpectancyData[[#This Row],[Life expectancy]:[Schooling]])=19</f>
        <v>1</v>
      </c>
    </row>
    <row r="1338" spans="1:23" x14ac:dyDescent="0.25">
      <c r="A1338" t="s">
        <v>359</v>
      </c>
      <c r="B1338">
        <v>2009</v>
      </c>
      <c r="C1338" t="s">
        <v>273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COUNT(LifeExpectancyData[[#This Row],[Life expectancy]:[Schooling]])=19</f>
        <v>1</v>
      </c>
    </row>
    <row r="1339" spans="1:23" x14ac:dyDescent="0.25">
      <c r="A1339" t="s">
        <v>359</v>
      </c>
      <c r="B1339">
        <v>2008</v>
      </c>
      <c r="C1339" t="s">
        <v>273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COUNT(LifeExpectancyData[[#This Row],[Life expectancy]:[Schooling]])=19</f>
        <v>1</v>
      </c>
    </row>
    <row r="1340" spans="1:23" x14ac:dyDescent="0.25">
      <c r="A1340" t="s">
        <v>359</v>
      </c>
      <c r="B1340">
        <v>2007</v>
      </c>
      <c r="C1340" t="s">
        <v>273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COUNT(LifeExpectancyData[[#This Row],[Life expectancy]:[Schooling]])=19</f>
        <v>1</v>
      </c>
    </row>
    <row r="1341" spans="1:23" x14ac:dyDescent="0.25">
      <c r="A1341" t="s">
        <v>359</v>
      </c>
      <c r="B1341">
        <v>2006</v>
      </c>
      <c r="C1341" t="s">
        <v>273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COUNT(LifeExpectancyData[[#This Row],[Life expectancy]:[Schooling]])=19</f>
        <v>1</v>
      </c>
    </row>
    <row r="1342" spans="1:23" x14ac:dyDescent="0.25">
      <c r="A1342" t="s">
        <v>359</v>
      </c>
      <c r="B1342">
        <v>2005</v>
      </c>
      <c r="C1342" t="s">
        <v>273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COUNT(LifeExpectancyData[[#This Row],[Life expectancy]:[Schooling]])=19</f>
        <v>1</v>
      </c>
    </row>
    <row r="1343" spans="1:23" x14ac:dyDescent="0.25">
      <c r="A1343" t="s">
        <v>359</v>
      </c>
      <c r="B1343">
        <v>2004</v>
      </c>
      <c r="C1343" t="s">
        <v>273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COUNT(LifeExpectancyData[[#This Row],[Life expectancy]:[Schooling]])=19</f>
        <v>1</v>
      </c>
    </row>
    <row r="1344" spans="1:23" x14ac:dyDescent="0.25">
      <c r="A1344" t="s">
        <v>359</v>
      </c>
      <c r="B1344">
        <v>2003</v>
      </c>
      <c r="C1344" t="s">
        <v>273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COUNT(LifeExpectancyData[[#This Row],[Life expectancy]:[Schooling]])=19</f>
        <v>1</v>
      </c>
    </row>
    <row r="1345" spans="1:23" x14ac:dyDescent="0.25">
      <c r="A1345" t="s">
        <v>359</v>
      </c>
      <c r="B1345">
        <v>2002</v>
      </c>
      <c r="C1345" t="s">
        <v>273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COUNT(LifeExpectancyData[[#This Row],[Life expectancy]:[Schooling]])=19</f>
        <v>1</v>
      </c>
    </row>
    <row r="1346" spans="1:23" x14ac:dyDescent="0.25">
      <c r="A1346" t="s">
        <v>359</v>
      </c>
      <c r="B1346">
        <v>2001</v>
      </c>
      <c r="C1346" t="s">
        <v>273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COUNT(LifeExpectancyData[[#This Row],[Life expectancy]:[Schooling]])=19</f>
        <v>1</v>
      </c>
    </row>
    <row r="1347" spans="1:23" x14ac:dyDescent="0.25">
      <c r="A1347" t="s">
        <v>359</v>
      </c>
      <c r="B1347">
        <v>2000</v>
      </c>
      <c r="C1347" t="s">
        <v>273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COUNT(LifeExpectancyData[[#This Row],[Life expectancy]:[Schooling]])=19</f>
        <v>1</v>
      </c>
    </row>
    <row r="1348" spans="1:23" x14ac:dyDescent="0.25">
      <c r="A1348" t="s">
        <v>360</v>
      </c>
      <c r="B1348">
        <v>2015</v>
      </c>
      <c r="C1348" t="s">
        <v>273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COUNT(LifeExpectancyData[[#This Row],[Life expectancy]:[Schooling]])=19</f>
        <v>0</v>
      </c>
    </row>
    <row r="1349" spans="1:23" x14ac:dyDescent="0.25">
      <c r="A1349" t="s">
        <v>360</v>
      </c>
      <c r="B1349">
        <v>2014</v>
      </c>
      <c r="C1349" t="s">
        <v>273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COUNT(LifeExpectancyData[[#This Row],[Life expectancy]:[Schooling]])=19</f>
        <v>1</v>
      </c>
    </row>
    <row r="1350" spans="1:23" x14ac:dyDescent="0.25">
      <c r="A1350" t="s">
        <v>360</v>
      </c>
      <c r="B1350">
        <v>2013</v>
      </c>
      <c r="C1350" t="s">
        <v>273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COUNT(LifeExpectancyData[[#This Row],[Life expectancy]:[Schooling]])=19</f>
        <v>1</v>
      </c>
    </row>
    <row r="1351" spans="1:23" x14ac:dyDescent="0.25">
      <c r="A1351" t="s">
        <v>360</v>
      </c>
      <c r="B1351">
        <v>2012</v>
      </c>
      <c r="C1351" t="s">
        <v>273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COUNT(LifeExpectancyData[[#This Row],[Life expectancy]:[Schooling]])=19</f>
        <v>1</v>
      </c>
    </row>
    <row r="1352" spans="1:23" x14ac:dyDescent="0.25">
      <c r="A1352" t="s">
        <v>360</v>
      </c>
      <c r="B1352">
        <v>2011</v>
      </c>
      <c r="C1352" t="s">
        <v>273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COUNT(LifeExpectancyData[[#This Row],[Life expectancy]:[Schooling]])=19</f>
        <v>1</v>
      </c>
    </row>
    <row r="1353" spans="1:23" x14ac:dyDescent="0.25">
      <c r="A1353" t="s">
        <v>360</v>
      </c>
      <c r="B1353">
        <v>2010</v>
      </c>
      <c r="C1353" t="s">
        <v>273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COUNT(LifeExpectancyData[[#This Row],[Life expectancy]:[Schooling]])=19</f>
        <v>1</v>
      </c>
    </row>
    <row r="1354" spans="1:23" x14ac:dyDescent="0.25">
      <c r="A1354" t="s">
        <v>360</v>
      </c>
      <c r="B1354">
        <v>2009</v>
      </c>
      <c r="C1354" t="s">
        <v>273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COUNT(LifeExpectancyData[[#This Row],[Life expectancy]:[Schooling]])=19</f>
        <v>1</v>
      </c>
    </row>
    <row r="1355" spans="1:23" x14ac:dyDescent="0.25">
      <c r="A1355" t="s">
        <v>360</v>
      </c>
      <c r="B1355">
        <v>2008</v>
      </c>
      <c r="C1355" t="s">
        <v>273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COUNT(LifeExpectancyData[[#This Row],[Life expectancy]:[Schooling]])=19</f>
        <v>1</v>
      </c>
    </row>
    <row r="1356" spans="1:23" x14ac:dyDescent="0.25">
      <c r="A1356" t="s">
        <v>360</v>
      </c>
      <c r="B1356">
        <v>2007</v>
      </c>
      <c r="C1356" t="s">
        <v>273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COUNT(LifeExpectancyData[[#This Row],[Life expectancy]:[Schooling]])=19</f>
        <v>1</v>
      </c>
    </row>
    <row r="1357" spans="1:23" x14ac:dyDescent="0.25">
      <c r="A1357" t="s">
        <v>360</v>
      </c>
      <c r="B1357">
        <v>2006</v>
      </c>
      <c r="C1357" t="s">
        <v>273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COUNT(LifeExpectancyData[[#This Row],[Life expectancy]:[Schooling]])=19</f>
        <v>1</v>
      </c>
    </row>
    <row r="1358" spans="1:23" x14ac:dyDescent="0.25">
      <c r="A1358" t="s">
        <v>360</v>
      </c>
      <c r="B1358">
        <v>2005</v>
      </c>
      <c r="C1358" t="s">
        <v>273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COUNT(LifeExpectancyData[[#This Row],[Life expectancy]:[Schooling]])=19</f>
        <v>1</v>
      </c>
    </row>
    <row r="1359" spans="1:23" x14ac:dyDescent="0.25">
      <c r="A1359" t="s">
        <v>360</v>
      </c>
      <c r="B1359">
        <v>2004</v>
      </c>
      <c r="C1359" t="s">
        <v>273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COUNT(LifeExpectancyData[[#This Row],[Life expectancy]:[Schooling]])=19</f>
        <v>1</v>
      </c>
    </row>
    <row r="1360" spans="1:23" x14ac:dyDescent="0.25">
      <c r="A1360" t="s">
        <v>360</v>
      </c>
      <c r="B1360">
        <v>2003</v>
      </c>
      <c r="C1360" t="s">
        <v>273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COUNT(LifeExpectancyData[[#This Row],[Life expectancy]:[Schooling]])=19</f>
        <v>1</v>
      </c>
    </row>
    <row r="1361" spans="1:23" x14ac:dyDescent="0.25">
      <c r="A1361" t="s">
        <v>360</v>
      </c>
      <c r="B1361">
        <v>2002</v>
      </c>
      <c r="C1361" t="s">
        <v>273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COUNT(LifeExpectancyData[[#This Row],[Life expectancy]:[Schooling]])=19</f>
        <v>1</v>
      </c>
    </row>
    <row r="1362" spans="1:23" x14ac:dyDescent="0.25">
      <c r="A1362" t="s">
        <v>360</v>
      </c>
      <c r="B1362">
        <v>2001</v>
      </c>
      <c r="C1362" t="s">
        <v>273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COUNT(LifeExpectancyData[[#This Row],[Life expectancy]:[Schooling]])=19</f>
        <v>1</v>
      </c>
    </row>
    <row r="1363" spans="1:23" x14ac:dyDescent="0.25">
      <c r="A1363" t="s">
        <v>360</v>
      </c>
      <c r="B1363">
        <v>2000</v>
      </c>
      <c r="C1363" t="s">
        <v>273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COUNT(LifeExpectancyData[[#This Row],[Life expectancy]:[Schooling]])=19</f>
        <v>1</v>
      </c>
    </row>
    <row r="1364" spans="1:23" x14ac:dyDescent="0.25">
      <c r="A1364" t="s">
        <v>361</v>
      </c>
      <c r="B1364">
        <v>2015</v>
      </c>
      <c r="C1364" t="s">
        <v>273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COUNT(LifeExpectancyData[[#This Row],[Life expectancy]:[Schooling]])=19</f>
        <v>0</v>
      </c>
    </row>
    <row r="1365" spans="1:23" x14ac:dyDescent="0.25">
      <c r="A1365" t="s">
        <v>361</v>
      </c>
      <c r="B1365">
        <v>2014</v>
      </c>
      <c r="C1365" t="s">
        <v>273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COUNT(LifeExpectancyData[[#This Row],[Life expectancy]:[Schooling]])=19</f>
        <v>1</v>
      </c>
    </row>
    <row r="1366" spans="1:23" x14ac:dyDescent="0.25">
      <c r="A1366" t="s">
        <v>361</v>
      </c>
      <c r="B1366">
        <v>2013</v>
      </c>
      <c r="C1366" t="s">
        <v>273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COUNT(LifeExpectancyData[[#This Row],[Life expectancy]:[Schooling]])=19</f>
        <v>1</v>
      </c>
    </row>
    <row r="1367" spans="1:23" x14ac:dyDescent="0.25">
      <c r="A1367" t="s">
        <v>361</v>
      </c>
      <c r="B1367">
        <v>2012</v>
      </c>
      <c r="C1367" t="s">
        <v>273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COUNT(LifeExpectancyData[[#This Row],[Life expectancy]:[Schooling]])=19</f>
        <v>1</v>
      </c>
    </row>
    <row r="1368" spans="1:23" x14ac:dyDescent="0.25">
      <c r="A1368" t="s">
        <v>361</v>
      </c>
      <c r="B1368">
        <v>2011</v>
      </c>
      <c r="C1368" t="s">
        <v>273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COUNT(LifeExpectancyData[[#This Row],[Life expectancy]:[Schooling]])=19</f>
        <v>1</v>
      </c>
    </row>
    <row r="1369" spans="1:23" x14ac:dyDescent="0.25">
      <c r="A1369" t="s">
        <v>361</v>
      </c>
      <c r="B1369">
        <v>2010</v>
      </c>
      <c r="C1369" t="s">
        <v>273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COUNT(LifeExpectancyData[[#This Row],[Life expectancy]:[Schooling]])=19</f>
        <v>1</v>
      </c>
    </row>
    <row r="1370" spans="1:23" x14ac:dyDescent="0.25">
      <c r="A1370" t="s">
        <v>361</v>
      </c>
      <c r="B1370">
        <v>2009</v>
      </c>
      <c r="C1370" t="s">
        <v>273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COUNT(LifeExpectancyData[[#This Row],[Life expectancy]:[Schooling]])=19</f>
        <v>1</v>
      </c>
    </row>
    <row r="1371" spans="1:23" x14ac:dyDescent="0.25">
      <c r="A1371" t="s">
        <v>361</v>
      </c>
      <c r="B1371">
        <v>2008</v>
      </c>
      <c r="C1371" t="s">
        <v>273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COUNT(LifeExpectancyData[[#This Row],[Life expectancy]:[Schooling]])=19</f>
        <v>1</v>
      </c>
    </row>
    <row r="1372" spans="1:23" x14ac:dyDescent="0.25">
      <c r="A1372" t="s">
        <v>361</v>
      </c>
      <c r="B1372">
        <v>2007</v>
      </c>
      <c r="C1372" t="s">
        <v>273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COUNT(LifeExpectancyData[[#This Row],[Life expectancy]:[Schooling]])=19</f>
        <v>1</v>
      </c>
    </row>
    <row r="1373" spans="1:23" x14ac:dyDescent="0.25">
      <c r="A1373" t="s">
        <v>361</v>
      </c>
      <c r="B1373">
        <v>2006</v>
      </c>
      <c r="C1373" t="s">
        <v>273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COUNT(LifeExpectancyData[[#This Row],[Life expectancy]:[Schooling]])=19</f>
        <v>1</v>
      </c>
    </row>
    <row r="1374" spans="1:23" x14ac:dyDescent="0.25">
      <c r="A1374" t="s">
        <v>361</v>
      </c>
      <c r="B1374">
        <v>2005</v>
      </c>
      <c r="C1374" t="s">
        <v>273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COUNT(LifeExpectancyData[[#This Row],[Life expectancy]:[Schooling]])=19</f>
        <v>1</v>
      </c>
    </row>
    <row r="1375" spans="1:23" x14ac:dyDescent="0.25">
      <c r="A1375" t="s">
        <v>361</v>
      </c>
      <c r="B1375">
        <v>2004</v>
      </c>
      <c r="C1375" t="s">
        <v>273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COUNT(LifeExpectancyData[[#This Row],[Life expectancy]:[Schooling]])=19</f>
        <v>1</v>
      </c>
    </row>
    <row r="1376" spans="1:23" x14ac:dyDescent="0.25">
      <c r="A1376" t="s">
        <v>361</v>
      </c>
      <c r="B1376">
        <v>2003</v>
      </c>
      <c r="C1376" t="s">
        <v>273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COUNT(LifeExpectancyData[[#This Row],[Life expectancy]:[Schooling]])=19</f>
        <v>1</v>
      </c>
    </row>
    <row r="1377" spans="1:23" x14ac:dyDescent="0.25">
      <c r="A1377" t="s">
        <v>361</v>
      </c>
      <c r="B1377">
        <v>2002</v>
      </c>
      <c r="C1377" t="s">
        <v>273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COUNT(LifeExpectancyData[[#This Row],[Life expectancy]:[Schooling]])=19</f>
        <v>1</v>
      </c>
    </row>
    <row r="1378" spans="1:23" x14ac:dyDescent="0.25">
      <c r="A1378" t="s">
        <v>361</v>
      </c>
      <c r="B1378">
        <v>2001</v>
      </c>
      <c r="C1378" t="s">
        <v>273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COUNT(LifeExpectancyData[[#This Row],[Life expectancy]:[Schooling]])=19</f>
        <v>0</v>
      </c>
    </row>
    <row r="1379" spans="1:23" x14ac:dyDescent="0.25">
      <c r="A1379" t="s">
        <v>361</v>
      </c>
      <c r="B1379">
        <v>2000</v>
      </c>
      <c r="C1379" t="s">
        <v>273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COUNT(LifeExpectancyData[[#This Row],[Life expectancy]:[Schooling]])=19</f>
        <v>0</v>
      </c>
    </row>
    <row r="1380" spans="1:23" x14ac:dyDescent="0.25">
      <c r="A1380" t="s">
        <v>362</v>
      </c>
      <c r="B1380">
        <v>2015</v>
      </c>
      <c r="C1380" t="s">
        <v>273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COUNT(LifeExpectancyData[[#This Row],[Life expectancy]:[Schooling]])=19</f>
        <v>0</v>
      </c>
    </row>
    <row r="1381" spans="1:23" x14ac:dyDescent="0.25">
      <c r="A1381" t="s">
        <v>362</v>
      </c>
      <c r="B1381">
        <v>2014</v>
      </c>
      <c r="C1381" t="s">
        <v>273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COUNT(LifeExpectancyData[[#This Row],[Life expectancy]:[Schooling]])=19</f>
        <v>1</v>
      </c>
    </row>
    <row r="1382" spans="1:23" x14ac:dyDescent="0.25">
      <c r="A1382" t="s">
        <v>362</v>
      </c>
      <c r="B1382">
        <v>2013</v>
      </c>
      <c r="C1382" t="s">
        <v>273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COUNT(LifeExpectancyData[[#This Row],[Life expectancy]:[Schooling]])=19</f>
        <v>1</v>
      </c>
    </row>
    <row r="1383" spans="1:23" x14ac:dyDescent="0.25">
      <c r="A1383" t="s">
        <v>362</v>
      </c>
      <c r="B1383">
        <v>2012</v>
      </c>
      <c r="C1383" t="s">
        <v>273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COUNT(LifeExpectancyData[[#This Row],[Life expectancy]:[Schooling]])=19</f>
        <v>1</v>
      </c>
    </row>
    <row r="1384" spans="1:23" x14ac:dyDescent="0.25">
      <c r="A1384" t="s">
        <v>362</v>
      </c>
      <c r="B1384">
        <v>2011</v>
      </c>
      <c r="C1384" t="s">
        <v>273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COUNT(LifeExpectancyData[[#This Row],[Life expectancy]:[Schooling]])=19</f>
        <v>1</v>
      </c>
    </row>
    <row r="1385" spans="1:23" x14ac:dyDescent="0.25">
      <c r="A1385" t="s">
        <v>362</v>
      </c>
      <c r="B1385">
        <v>2010</v>
      </c>
      <c r="C1385" t="s">
        <v>273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COUNT(LifeExpectancyData[[#This Row],[Life expectancy]:[Schooling]])=19</f>
        <v>1</v>
      </c>
    </row>
    <row r="1386" spans="1:23" x14ac:dyDescent="0.25">
      <c r="A1386" t="s">
        <v>362</v>
      </c>
      <c r="B1386">
        <v>2009</v>
      </c>
      <c r="C1386" t="s">
        <v>273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COUNT(LifeExpectancyData[[#This Row],[Life expectancy]:[Schooling]])=19</f>
        <v>1</v>
      </c>
    </row>
    <row r="1387" spans="1:23" x14ac:dyDescent="0.25">
      <c r="A1387" t="s">
        <v>362</v>
      </c>
      <c r="B1387">
        <v>2008</v>
      </c>
      <c r="C1387" t="s">
        <v>273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COUNT(LifeExpectancyData[[#This Row],[Life expectancy]:[Schooling]])=19</f>
        <v>1</v>
      </c>
    </row>
    <row r="1388" spans="1:23" x14ac:dyDescent="0.25">
      <c r="A1388" t="s">
        <v>362</v>
      </c>
      <c r="B1388">
        <v>2007</v>
      </c>
      <c r="C1388" t="s">
        <v>273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COUNT(LifeExpectancyData[[#This Row],[Life expectancy]:[Schooling]])=19</f>
        <v>1</v>
      </c>
    </row>
    <row r="1389" spans="1:23" x14ac:dyDescent="0.25">
      <c r="A1389" t="s">
        <v>362</v>
      </c>
      <c r="B1389">
        <v>2006</v>
      </c>
      <c r="C1389" t="s">
        <v>273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COUNT(LifeExpectancyData[[#This Row],[Life expectancy]:[Schooling]])=19</f>
        <v>1</v>
      </c>
    </row>
    <row r="1390" spans="1:23" x14ac:dyDescent="0.25">
      <c r="A1390" t="s">
        <v>362</v>
      </c>
      <c r="B1390">
        <v>2005</v>
      </c>
      <c r="C1390" t="s">
        <v>273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COUNT(LifeExpectancyData[[#This Row],[Life expectancy]:[Schooling]])=19</f>
        <v>1</v>
      </c>
    </row>
    <row r="1391" spans="1:23" x14ac:dyDescent="0.25">
      <c r="A1391" t="s">
        <v>362</v>
      </c>
      <c r="B1391">
        <v>2004</v>
      </c>
      <c r="C1391" t="s">
        <v>273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COUNT(LifeExpectancyData[[#This Row],[Life expectancy]:[Schooling]])=19</f>
        <v>1</v>
      </c>
    </row>
    <row r="1392" spans="1:23" x14ac:dyDescent="0.25">
      <c r="A1392" t="s">
        <v>362</v>
      </c>
      <c r="B1392">
        <v>2003</v>
      </c>
      <c r="C1392" t="s">
        <v>273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COUNT(LifeExpectancyData[[#This Row],[Life expectancy]:[Schooling]])=19</f>
        <v>1</v>
      </c>
    </row>
    <row r="1393" spans="1:23" x14ac:dyDescent="0.25">
      <c r="A1393" t="s">
        <v>362</v>
      </c>
      <c r="B1393">
        <v>2002</v>
      </c>
      <c r="C1393" t="s">
        <v>273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COUNT(LifeExpectancyData[[#This Row],[Life expectancy]:[Schooling]])=19</f>
        <v>1</v>
      </c>
    </row>
    <row r="1394" spans="1:23" x14ac:dyDescent="0.25">
      <c r="A1394" t="s">
        <v>362</v>
      </c>
      <c r="B1394">
        <v>2001</v>
      </c>
      <c r="C1394" t="s">
        <v>273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COUNT(LifeExpectancyData[[#This Row],[Life expectancy]:[Schooling]])=19</f>
        <v>1</v>
      </c>
    </row>
    <row r="1395" spans="1:23" x14ac:dyDescent="0.25">
      <c r="A1395" t="s">
        <v>362</v>
      </c>
      <c r="B1395">
        <v>2000</v>
      </c>
      <c r="C1395" t="s">
        <v>273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COUNT(LifeExpectancyData[[#This Row],[Life expectancy]:[Schooling]])=19</f>
        <v>1</v>
      </c>
    </row>
    <row r="1396" spans="1:23" x14ac:dyDescent="0.25">
      <c r="A1396" t="s">
        <v>363</v>
      </c>
      <c r="B1396">
        <v>2015</v>
      </c>
      <c r="C1396" t="s">
        <v>273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COUNT(LifeExpectancyData[[#This Row],[Life expectancy]:[Schooling]])=19</f>
        <v>0</v>
      </c>
    </row>
    <row r="1397" spans="1:23" x14ac:dyDescent="0.25">
      <c r="A1397" t="s">
        <v>363</v>
      </c>
      <c r="B1397">
        <v>2014</v>
      </c>
      <c r="C1397" t="s">
        <v>273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COUNT(LifeExpectancyData[[#This Row],[Life expectancy]:[Schooling]])=19</f>
        <v>0</v>
      </c>
    </row>
    <row r="1398" spans="1:23" x14ac:dyDescent="0.25">
      <c r="A1398" t="s">
        <v>363</v>
      </c>
      <c r="B1398">
        <v>2013</v>
      </c>
      <c r="C1398" t="s">
        <v>273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COUNT(LifeExpectancyData[[#This Row],[Life expectancy]:[Schooling]])=19</f>
        <v>0</v>
      </c>
    </row>
    <row r="1399" spans="1:23" x14ac:dyDescent="0.25">
      <c r="A1399" t="s">
        <v>363</v>
      </c>
      <c r="B1399">
        <v>2012</v>
      </c>
      <c r="C1399" t="s">
        <v>273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COUNT(LifeExpectancyData[[#This Row],[Life expectancy]:[Schooling]])=19</f>
        <v>0</v>
      </c>
    </row>
    <row r="1400" spans="1:23" x14ac:dyDescent="0.25">
      <c r="A1400" t="s">
        <v>363</v>
      </c>
      <c r="B1400">
        <v>2011</v>
      </c>
      <c r="C1400" t="s">
        <v>273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COUNT(LifeExpectancyData[[#This Row],[Life expectancy]:[Schooling]])=19</f>
        <v>0</v>
      </c>
    </row>
    <row r="1401" spans="1:23" x14ac:dyDescent="0.25">
      <c r="A1401" t="s">
        <v>363</v>
      </c>
      <c r="B1401">
        <v>2010</v>
      </c>
      <c r="C1401" t="s">
        <v>273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COUNT(LifeExpectancyData[[#This Row],[Life expectancy]:[Schooling]])=19</f>
        <v>0</v>
      </c>
    </row>
    <row r="1402" spans="1:23" x14ac:dyDescent="0.25">
      <c r="A1402" t="s">
        <v>363</v>
      </c>
      <c r="B1402">
        <v>2009</v>
      </c>
      <c r="C1402" t="s">
        <v>273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COUNT(LifeExpectancyData[[#This Row],[Life expectancy]:[Schooling]])=19</f>
        <v>0</v>
      </c>
    </row>
    <row r="1403" spans="1:23" x14ac:dyDescent="0.25">
      <c r="A1403" t="s">
        <v>363</v>
      </c>
      <c r="B1403">
        <v>2008</v>
      </c>
      <c r="C1403" t="s">
        <v>273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COUNT(LifeExpectancyData[[#This Row],[Life expectancy]:[Schooling]])=19</f>
        <v>0</v>
      </c>
    </row>
    <row r="1404" spans="1:23" x14ac:dyDescent="0.25">
      <c r="A1404" t="s">
        <v>363</v>
      </c>
      <c r="B1404">
        <v>2007</v>
      </c>
      <c r="C1404" t="s">
        <v>273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COUNT(LifeExpectancyData[[#This Row],[Life expectancy]:[Schooling]])=19</f>
        <v>0</v>
      </c>
    </row>
    <row r="1405" spans="1:23" x14ac:dyDescent="0.25">
      <c r="A1405" t="s">
        <v>363</v>
      </c>
      <c r="B1405">
        <v>2006</v>
      </c>
      <c r="C1405" t="s">
        <v>273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COUNT(LifeExpectancyData[[#This Row],[Life expectancy]:[Schooling]])=19</f>
        <v>0</v>
      </c>
    </row>
    <row r="1406" spans="1:23" x14ac:dyDescent="0.25">
      <c r="A1406" t="s">
        <v>363</v>
      </c>
      <c r="B1406">
        <v>2005</v>
      </c>
      <c r="C1406" t="s">
        <v>273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COUNT(LifeExpectancyData[[#This Row],[Life expectancy]:[Schooling]])=19</f>
        <v>0</v>
      </c>
    </row>
    <row r="1407" spans="1:23" x14ac:dyDescent="0.25">
      <c r="A1407" t="s">
        <v>363</v>
      </c>
      <c r="B1407">
        <v>2004</v>
      </c>
      <c r="C1407" t="s">
        <v>273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COUNT(LifeExpectancyData[[#This Row],[Life expectancy]:[Schooling]])=19</f>
        <v>0</v>
      </c>
    </row>
    <row r="1408" spans="1:23" x14ac:dyDescent="0.25">
      <c r="A1408" t="s">
        <v>363</v>
      </c>
      <c r="B1408">
        <v>2003</v>
      </c>
      <c r="C1408" t="s">
        <v>273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COUNT(LifeExpectancyData[[#This Row],[Life expectancy]:[Schooling]])=19</f>
        <v>0</v>
      </c>
    </row>
    <row r="1409" spans="1:23" x14ac:dyDescent="0.25">
      <c r="A1409" t="s">
        <v>363</v>
      </c>
      <c r="B1409">
        <v>2002</v>
      </c>
      <c r="C1409" t="s">
        <v>273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COUNT(LifeExpectancyData[[#This Row],[Life expectancy]:[Schooling]])=19</f>
        <v>0</v>
      </c>
    </row>
    <row r="1410" spans="1:23" x14ac:dyDescent="0.25">
      <c r="A1410" t="s">
        <v>363</v>
      </c>
      <c r="B1410">
        <v>2001</v>
      </c>
      <c r="C1410" t="s">
        <v>273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COUNT(LifeExpectancyData[[#This Row],[Life expectancy]:[Schooling]])=19</f>
        <v>0</v>
      </c>
    </row>
    <row r="1411" spans="1:23" x14ac:dyDescent="0.25">
      <c r="A1411" t="s">
        <v>363</v>
      </c>
      <c r="B1411">
        <v>2000</v>
      </c>
      <c r="C1411" t="s">
        <v>273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COUNT(LifeExpectancyData[[#This Row],[Life expectancy]:[Schooling]])=19</f>
        <v>0</v>
      </c>
    </row>
    <row r="1412" spans="1:23" x14ac:dyDescent="0.25">
      <c r="A1412" t="s">
        <v>364</v>
      </c>
      <c r="B1412">
        <v>2015</v>
      </c>
      <c r="C1412" t="s">
        <v>273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COUNT(LifeExpectancyData[[#This Row],[Life expectancy]:[Schooling]])=19</f>
        <v>0</v>
      </c>
    </row>
    <row r="1413" spans="1:23" x14ac:dyDescent="0.25">
      <c r="A1413" t="s">
        <v>364</v>
      </c>
      <c r="B1413">
        <v>2014</v>
      </c>
      <c r="C1413" t="s">
        <v>273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COUNT(LifeExpectancyData[[#This Row],[Life expectancy]:[Schooling]])=19</f>
        <v>0</v>
      </c>
    </row>
    <row r="1414" spans="1:23" x14ac:dyDescent="0.25">
      <c r="A1414" t="s">
        <v>364</v>
      </c>
      <c r="B1414">
        <v>2013</v>
      </c>
      <c r="C1414" t="s">
        <v>273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COUNT(LifeExpectancyData[[#This Row],[Life expectancy]:[Schooling]])=19</f>
        <v>0</v>
      </c>
    </row>
    <row r="1415" spans="1:23" x14ac:dyDescent="0.25">
      <c r="A1415" t="s">
        <v>364</v>
      </c>
      <c r="B1415">
        <v>2012</v>
      </c>
      <c r="C1415" t="s">
        <v>273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COUNT(LifeExpectancyData[[#This Row],[Life expectancy]:[Schooling]])=19</f>
        <v>0</v>
      </c>
    </row>
    <row r="1416" spans="1:23" x14ac:dyDescent="0.25">
      <c r="A1416" t="s">
        <v>364</v>
      </c>
      <c r="B1416">
        <v>2011</v>
      </c>
      <c r="C1416" t="s">
        <v>273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COUNT(LifeExpectancyData[[#This Row],[Life expectancy]:[Schooling]])=19</f>
        <v>0</v>
      </c>
    </row>
    <row r="1417" spans="1:23" x14ac:dyDescent="0.25">
      <c r="A1417" t="s">
        <v>364</v>
      </c>
      <c r="B1417">
        <v>2010</v>
      </c>
      <c r="C1417" t="s">
        <v>273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COUNT(LifeExpectancyData[[#This Row],[Life expectancy]:[Schooling]])=19</f>
        <v>0</v>
      </c>
    </row>
    <row r="1418" spans="1:23" x14ac:dyDescent="0.25">
      <c r="A1418" t="s">
        <v>364</v>
      </c>
      <c r="B1418">
        <v>2009</v>
      </c>
      <c r="C1418" t="s">
        <v>273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COUNT(LifeExpectancyData[[#This Row],[Life expectancy]:[Schooling]])=19</f>
        <v>0</v>
      </c>
    </row>
    <row r="1419" spans="1:23" x14ac:dyDescent="0.25">
      <c r="A1419" t="s">
        <v>364</v>
      </c>
      <c r="B1419">
        <v>2008</v>
      </c>
      <c r="C1419" t="s">
        <v>273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COUNT(LifeExpectancyData[[#This Row],[Life expectancy]:[Schooling]])=19</f>
        <v>0</v>
      </c>
    </row>
    <row r="1420" spans="1:23" x14ac:dyDescent="0.25">
      <c r="A1420" t="s">
        <v>364</v>
      </c>
      <c r="B1420">
        <v>2007</v>
      </c>
      <c r="C1420" t="s">
        <v>273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COUNT(LifeExpectancyData[[#This Row],[Life expectancy]:[Schooling]])=19</f>
        <v>0</v>
      </c>
    </row>
    <row r="1421" spans="1:23" x14ac:dyDescent="0.25">
      <c r="A1421" t="s">
        <v>364</v>
      </c>
      <c r="B1421">
        <v>2006</v>
      </c>
      <c r="C1421" t="s">
        <v>273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COUNT(LifeExpectancyData[[#This Row],[Life expectancy]:[Schooling]])=19</f>
        <v>0</v>
      </c>
    </row>
    <row r="1422" spans="1:23" x14ac:dyDescent="0.25">
      <c r="A1422" t="s">
        <v>364</v>
      </c>
      <c r="B1422">
        <v>2005</v>
      </c>
      <c r="C1422" t="s">
        <v>273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COUNT(LifeExpectancyData[[#This Row],[Life expectancy]:[Schooling]])=19</f>
        <v>0</v>
      </c>
    </row>
    <row r="1423" spans="1:23" x14ac:dyDescent="0.25">
      <c r="A1423" t="s">
        <v>364</v>
      </c>
      <c r="B1423">
        <v>2004</v>
      </c>
      <c r="C1423" t="s">
        <v>273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COUNT(LifeExpectancyData[[#This Row],[Life expectancy]:[Schooling]])=19</f>
        <v>0</v>
      </c>
    </row>
    <row r="1424" spans="1:23" x14ac:dyDescent="0.25">
      <c r="A1424" t="s">
        <v>364</v>
      </c>
      <c r="B1424">
        <v>2003</v>
      </c>
      <c r="C1424" t="s">
        <v>273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COUNT(LifeExpectancyData[[#This Row],[Life expectancy]:[Schooling]])=19</f>
        <v>0</v>
      </c>
    </row>
    <row r="1425" spans="1:23" x14ac:dyDescent="0.25">
      <c r="A1425" t="s">
        <v>364</v>
      </c>
      <c r="B1425">
        <v>2002</v>
      </c>
      <c r="C1425" t="s">
        <v>273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COUNT(LifeExpectancyData[[#This Row],[Life expectancy]:[Schooling]])=19</f>
        <v>0</v>
      </c>
    </row>
    <row r="1426" spans="1:23" x14ac:dyDescent="0.25">
      <c r="A1426" t="s">
        <v>364</v>
      </c>
      <c r="B1426">
        <v>2001</v>
      </c>
      <c r="C1426" t="s">
        <v>273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COUNT(LifeExpectancyData[[#This Row],[Life expectancy]:[Schooling]])=19</f>
        <v>0</v>
      </c>
    </row>
    <row r="1427" spans="1:23" x14ac:dyDescent="0.25">
      <c r="A1427" t="s">
        <v>364</v>
      </c>
      <c r="B1427">
        <v>2000</v>
      </c>
      <c r="C1427" t="s">
        <v>273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COUNT(LifeExpectancyData[[#This Row],[Life expectancy]:[Schooling]])=19</f>
        <v>0</v>
      </c>
    </row>
    <row r="1428" spans="1:23" x14ac:dyDescent="0.25">
      <c r="A1428" t="s">
        <v>365</v>
      </c>
      <c r="B1428">
        <v>2015</v>
      </c>
      <c r="C1428" t="s">
        <v>273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COUNT(LifeExpectancyData[[#This Row],[Life expectancy]:[Schooling]])=19</f>
        <v>0</v>
      </c>
    </row>
    <row r="1429" spans="1:23" x14ac:dyDescent="0.25">
      <c r="A1429" t="s">
        <v>365</v>
      </c>
      <c r="B1429">
        <v>2014</v>
      </c>
      <c r="C1429" t="s">
        <v>273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COUNT(LifeExpectancyData[[#This Row],[Life expectancy]:[Schooling]])=19</f>
        <v>0</v>
      </c>
    </row>
    <row r="1430" spans="1:23" x14ac:dyDescent="0.25">
      <c r="A1430" t="s">
        <v>365</v>
      </c>
      <c r="B1430">
        <v>2013</v>
      </c>
      <c r="C1430" t="s">
        <v>273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COUNT(LifeExpectancyData[[#This Row],[Life expectancy]:[Schooling]])=19</f>
        <v>0</v>
      </c>
    </row>
    <row r="1431" spans="1:23" x14ac:dyDescent="0.25">
      <c r="A1431" t="s">
        <v>365</v>
      </c>
      <c r="B1431">
        <v>2012</v>
      </c>
      <c r="C1431" t="s">
        <v>273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COUNT(LifeExpectancyData[[#This Row],[Life expectancy]:[Schooling]])=19</f>
        <v>0</v>
      </c>
    </row>
    <row r="1432" spans="1:23" x14ac:dyDescent="0.25">
      <c r="A1432" t="s">
        <v>365</v>
      </c>
      <c r="B1432">
        <v>2011</v>
      </c>
      <c r="C1432" t="s">
        <v>273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COUNT(LifeExpectancyData[[#This Row],[Life expectancy]:[Schooling]])=19</f>
        <v>0</v>
      </c>
    </row>
    <row r="1433" spans="1:23" x14ac:dyDescent="0.25">
      <c r="A1433" t="s">
        <v>365</v>
      </c>
      <c r="B1433">
        <v>2010</v>
      </c>
      <c r="C1433" t="s">
        <v>273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COUNT(LifeExpectancyData[[#This Row],[Life expectancy]:[Schooling]])=19</f>
        <v>0</v>
      </c>
    </row>
    <row r="1434" spans="1:23" x14ac:dyDescent="0.25">
      <c r="A1434" t="s">
        <v>365</v>
      </c>
      <c r="B1434">
        <v>2009</v>
      </c>
      <c r="C1434" t="s">
        <v>273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COUNT(LifeExpectancyData[[#This Row],[Life expectancy]:[Schooling]])=19</f>
        <v>0</v>
      </c>
    </row>
    <row r="1435" spans="1:23" x14ac:dyDescent="0.25">
      <c r="A1435" t="s">
        <v>365</v>
      </c>
      <c r="B1435">
        <v>2008</v>
      </c>
      <c r="C1435" t="s">
        <v>273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COUNT(LifeExpectancyData[[#This Row],[Life expectancy]:[Schooling]])=19</f>
        <v>0</v>
      </c>
    </row>
    <row r="1436" spans="1:23" x14ac:dyDescent="0.25">
      <c r="A1436" t="s">
        <v>365</v>
      </c>
      <c r="B1436">
        <v>2007</v>
      </c>
      <c r="C1436" t="s">
        <v>273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COUNT(LifeExpectancyData[[#This Row],[Life expectancy]:[Schooling]])=19</f>
        <v>0</v>
      </c>
    </row>
    <row r="1437" spans="1:23" x14ac:dyDescent="0.25">
      <c r="A1437" t="s">
        <v>365</v>
      </c>
      <c r="B1437">
        <v>2006</v>
      </c>
      <c r="C1437" t="s">
        <v>273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COUNT(LifeExpectancyData[[#This Row],[Life expectancy]:[Schooling]])=19</f>
        <v>0</v>
      </c>
    </row>
    <row r="1438" spans="1:23" x14ac:dyDescent="0.25">
      <c r="A1438" t="s">
        <v>365</v>
      </c>
      <c r="B1438">
        <v>2005</v>
      </c>
      <c r="C1438" t="s">
        <v>273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COUNT(LifeExpectancyData[[#This Row],[Life expectancy]:[Schooling]])=19</f>
        <v>0</v>
      </c>
    </row>
    <row r="1439" spans="1:23" x14ac:dyDescent="0.25">
      <c r="A1439" t="s">
        <v>365</v>
      </c>
      <c r="B1439">
        <v>2004</v>
      </c>
      <c r="C1439" t="s">
        <v>273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COUNT(LifeExpectancyData[[#This Row],[Life expectancy]:[Schooling]])=19</f>
        <v>0</v>
      </c>
    </row>
    <row r="1440" spans="1:23" x14ac:dyDescent="0.25">
      <c r="A1440" t="s">
        <v>365</v>
      </c>
      <c r="B1440">
        <v>2003</v>
      </c>
      <c r="C1440" t="s">
        <v>273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COUNT(LifeExpectancyData[[#This Row],[Life expectancy]:[Schooling]])=19</f>
        <v>0</v>
      </c>
    </row>
    <row r="1441" spans="1:23" x14ac:dyDescent="0.25">
      <c r="A1441" t="s">
        <v>365</v>
      </c>
      <c r="B1441">
        <v>2002</v>
      </c>
      <c r="C1441" t="s">
        <v>273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COUNT(LifeExpectancyData[[#This Row],[Life expectancy]:[Schooling]])=19</f>
        <v>0</v>
      </c>
    </row>
    <row r="1442" spans="1:23" x14ac:dyDescent="0.25">
      <c r="A1442" t="s">
        <v>365</v>
      </c>
      <c r="B1442">
        <v>2001</v>
      </c>
      <c r="C1442" t="s">
        <v>273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COUNT(LifeExpectancyData[[#This Row],[Life expectancy]:[Schooling]])=19</f>
        <v>0</v>
      </c>
    </row>
    <row r="1443" spans="1:23" x14ac:dyDescent="0.25">
      <c r="A1443" t="s">
        <v>365</v>
      </c>
      <c r="B1443">
        <v>2000</v>
      </c>
      <c r="C1443" t="s">
        <v>273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COUNT(LifeExpectancyData[[#This Row],[Life expectancy]:[Schooling]])=19</f>
        <v>0</v>
      </c>
    </row>
    <row r="1444" spans="1:23" x14ac:dyDescent="0.25">
      <c r="A1444" t="s">
        <v>366</v>
      </c>
      <c r="B1444">
        <v>2015</v>
      </c>
      <c r="C1444" t="s">
        <v>281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COUNT(LifeExpectancyData[[#This Row],[Life expectancy]:[Schooling]])=19</f>
        <v>0</v>
      </c>
    </row>
    <row r="1445" spans="1:23" x14ac:dyDescent="0.25">
      <c r="A1445" t="s">
        <v>366</v>
      </c>
      <c r="B1445">
        <v>2014</v>
      </c>
      <c r="C1445" t="s">
        <v>281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COUNT(LifeExpectancyData[[#This Row],[Life expectancy]:[Schooling]])=19</f>
        <v>1</v>
      </c>
    </row>
    <row r="1446" spans="1:23" x14ac:dyDescent="0.25">
      <c r="A1446" t="s">
        <v>366</v>
      </c>
      <c r="B1446">
        <v>2013</v>
      </c>
      <c r="C1446" t="s">
        <v>281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COUNT(LifeExpectancyData[[#This Row],[Life expectancy]:[Schooling]])=19</f>
        <v>1</v>
      </c>
    </row>
    <row r="1447" spans="1:23" x14ac:dyDescent="0.25">
      <c r="A1447" t="s">
        <v>366</v>
      </c>
      <c r="B1447">
        <v>2012</v>
      </c>
      <c r="C1447" t="s">
        <v>281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COUNT(LifeExpectancyData[[#This Row],[Life expectancy]:[Schooling]])=19</f>
        <v>1</v>
      </c>
    </row>
    <row r="1448" spans="1:23" x14ac:dyDescent="0.25">
      <c r="A1448" t="s">
        <v>366</v>
      </c>
      <c r="B1448">
        <v>2011</v>
      </c>
      <c r="C1448" t="s">
        <v>281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COUNT(LifeExpectancyData[[#This Row],[Life expectancy]:[Schooling]])=19</f>
        <v>1</v>
      </c>
    </row>
    <row r="1449" spans="1:23" x14ac:dyDescent="0.25">
      <c r="A1449" t="s">
        <v>366</v>
      </c>
      <c r="B1449">
        <v>2010</v>
      </c>
      <c r="C1449" t="s">
        <v>281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COUNT(LifeExpectancyData[[#This Row],[Life expectancy]:[Schooling]])=19</f>
        <v>1</v>
      </c>
    </row>
    <row r="1450" spans="1:23" x14ac:dyDescent="0.25">
      <c r="A1450" t="s">
        <v>366</v>
      </c>
      <c r="B1450">
        <v>2009</v>
      </c>
      <c r="C1450" t="s">
        <v>281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COUNT(LifeExpectancyData[[#This Row],[Life expectancy]:[Schooling]])=19</f>
        <v>1</v>
      </c>
    </row>
    <row r="1451" spans="1:23" x14ac:dyDescent="0.25">
      <c r="A1451" t="s">
        <v>366</v>
      </c>
      <c r="B1451">
        <v>2008</v>
      </c>
      <c r="C1451" t="s">
        <v>281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COUNT(LifeExpectancyData[[#This Row],[Life expectancy]:[Schooling]])=19</f>
        <v>1</v>
      </c>
    </row>
    <row r="1452" spans="1:23" x14ac:dyDescent="0.25">
      <c r="A1452" t="s">
        <v>366</v>
      </c>
      <c r="B1452">
        <v>2007</v>
      </c>
      <c r="C1452" t="s">
        <v>281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COUNT(LifeExpectancyData[[#This Row],[Life expectancy]:[Schooling]])=19</f>
        <v>1</v>
      </c>
    </row>
    <row r="1453" spans="1:23" x14ac:dyDescent="0.25">
      <c r="A1453" t="s">
        <v>366</v>
      </c>
      <c r="B1453">
        <v>2006</v>
      </c>
      <c r="C1453" t="s">
        <v>281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COUNT(LifeExpectancyData[[#This Row],[Life expectancy]:[Schooling]])=19</f>
        <v>1</v>
      </c>
    </row>
    <row r="1454" spans="1:23" x14ac:dyDescent="0.25">
      <c r="A1454" t="s">
        <v>366</v>
      </c>
      <c r="B1454">
        <v>2005</v>
      </c>
      <c r="C1454" t="s">
        <v>281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COUNT(LifeExpectancyData[[#This Row],[Life expectancy]:[Schooling]])=19</f>
        <v>1</v>
      </c>
    </row>
    <row r="1455" spans="1:23" x14ac:dyDescent="0.25">
      <c r="A1455" t="s">
        <v>366</v>
      </c>
      <c r="B1455">
        <v>2004</v>
      </c>
      <c r="C1455" t="s">
        <v>281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COUNT(LifeExpectancyData[[#This Row],[Life expectancy]:[Schooling]])=19</f>
        <v>1</v>
      </c>
    </row>
    <row r="1456" spans="1:23" x14ac:dyDescent="0.25">
      <c r="A1456" t="s">
        <v>366</v>
      </c>
      <c r="B1456">
        <v>2003</v>
      </c>
      <c r="C1456" t="s">
        <v>281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COUNT(LifeExpectancyData[[#This Row],[Life expectancy]:[Schooling]])=19</f>
        <v>1</v>
      </c>
    </row>
    <row r="1457" spans="1:23" x14ac:dyDescent="0.25">
      <c r="A1457" t="s">
        <v>366</v>
      </c>
      <c r="B1457">
        <v>2002</v>
      </c>
      <c r="C1457" t="s">
        <v>281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COUNT(LifeExpectancyData[[#This Row],[Life expectancy]:[Schooling]])=19</f>
        <v>1</v>
      </c>
    </row>
    <row r="1458" spans="1:23" x14ac:dyDescent="0.25">
      <c r="A1458" t="s">
        <v>366</v>
      </c>
      <c r="B1458">
        <v>2001</v>
      </c>
      <c r="C1458" t="s">
        <v>281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COUNT(LifeExpectancyData[[#This Row],[Life expectancy]:[Schooling]])=19</f>
        <v>1</v>
      </c>
    </row>
    <row r="1459" spans="1:23" x14ac:dyDescent="0.25">
      <c r="A1459" t="s">
        <v>366</v>
      </c>
      <c r="B1459">
        <v>2000</v>
      </c>
      <c r="C1459" t="s">
        <v>281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COUNT(LifeExpectancyData[[#This Row],[Life expectancy]:[Schooling]])=19</f>
        <v>1</v>
      </c>
    </row>
    <row r="1460" spans="1:23" x14ac:dyDescent="0.25">
      <c r="A1460" t="s">
        <v>367</v>
      </c>
      <c r="B1460">
        <v>2015</v>
      </c>
      <c r="C1460" t="s">
        <v>273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COUNT(LifeExpectancyData[[#This Row],[Life expectancy]:[Schooling]])=19</f>
        <v>0</v>
      </c>
    </row>
    <row r="1461" spans="1:23" x14ac:dyDescent="0.25">
      <c r="A1461" t="s">
        <v>367</v>
      </c>
      <c r="B1461">
        <v>2014</v>
      </c>
      <c r="C1461" t="s">
        <v>273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COUNT(LifeExpectancyData[[#This Row],[Life expectancy]:[Schooling]])=19</f>
        <v>1</v>
      </c>
    </row>
    <row r="1462" spans="1:23" x14ac:dyDescent="0.25">
      <c r="A1462" t="s">
        <v>367</v>
      </c>
      <c r="B1462">
        <v>2013</v>
      </c>
      <c r="C1462" t="s">
        <v>273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COUNT(LifeExpectancyData[[#This Row],[Life expectancy]:[Schooling]])=19</f>
        <v>1</v>
      </c>
    </row>
    <row r="1463" spans="1:23" x14ac:dyDescent="0.25">
      <c r="A1463" t="s">
        <v>367</v>
      </c>
      <c r="B1463">
        <v>2012</v>
      </c>
      <c r="C1463" t="s">
        <v>273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COUNT(LifeExpectancyData[[#This Row],[Life expectancy]:[Schooling]])=19</f>
        <v>1</v>
      </c>
    </row>
    <row r="1464" spans="1:23" x14ac:dyDescent="0.25">
      <c r="A1464" t="s">
        <v>367</v>
      </c>
      <c r="B1464">
        <v>2011</v>
      </c>
      <c r="C1464" t="s">
        <v>273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COUNT(LifeExpectancyData[[#This Row],[Life expectancy]:[Schooling]])=19</f>
        <v>1</v>
      </c>
    </row>
    <row r="1465" spans="1:23" x14ac:dyDescent="0.25">
      <c r="A1465" t="s">
        <v>367</v>
      </c>
      <c r="B1465">
        <v>2010</v>
      </c>
      <c r="C1465" t="s">
        <v>273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COUNT(LifeExpectancyData[[#This Row],[Life expectancy]:[Schooling]])=19</f>
        <v>1</v>
      </c>
    </row>
    <row r="1466" spans="1:23" x14ac:dyDescent="0.25">
      <c r="A1466" t="s">
        <v>367</v>
      </c>
      <c r="B1466">
        <v>2009</v>
      </c>
      <c r="C1466" t="s">
        <v>273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COUNT(LifeExpectancyData[[#This Row],[Life expectancy]:[Schooling]])=19</f>
        <v>1</v>
      </c>
    </row>
    <row r="1467" spans="1:23" x14ac:dyDescent="0.25">
      <c r="A1467" t="s">
        <v>367</v>
      </c>
      <c r="B1467">
        <v>2008</v>
      </c>
      <c r="C1467" t="s">
        <v>273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COUNT(LifeExpectancyData[[#This Row],[Life expectancy]:[Schooling]])=19</f>
        <v>1</v>
      </c>
    </row>
    <row r="1468" spans="1:23" x14ac:dyDescent="0.25">
      <c r="A1468" t="s">
        <v>367</v>
      </c>
      <c r="B1468">
        <v>2007</v>
      </c>
      <c r="C1468" t="s">
        <v>273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COUNT(LifeExpectancyData[[#This Row],[Life expectancy]:[Schooling]])=19</f>
        <v>1</v>
      </c>
    </row>
    <row r="1469" spans="1:23" x14ac:dyDescent="0.25">
      <c r="A1469" t="s">
        <v>367</v>
      </c>
      <c r="B1469">
        <v>2006</v>
      </c>
      <c r="C1469" t="s">
        <v>273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COUNT(LifeExpectancyData[[#This Row],[Life expectancy]:[Schooling]])=19</f>
        <v>1</v>
      </c>
    </row>
    <row r="1470" spans="1:23" x14ac:dyDescent="0.25">
      <c r="A1470" t="s">
        <v>367</v>
      </c>
      <c r="B1470">
        <v>2005</v>
      </c>
      <c r="C1470" t="s">
        <v>273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COUNT(LifeExpectancyData[[#This Row],[Life expectancy]:[Schooling]])=19</f>
        <v>1</v>
      </c>
    </row>
    <row r="1471" spans="1:23" x14ac:dyDescent="0.25">
      <c r="A1471" t="s">
        <v>367</v>
      </c>
      <c r="B1471">
        <v>2004</v>
      </c>
      <c r="C1471" t="s">
        <v>273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COUNT(LifeExpectancyData[[#This Row],[Life expectancy]:[Schooling]])=19</f>
        <v>1</v>
      </c>
    </row>
    <row r="1472" spans="1:23" x14ac:dyDescent="0.25">
      <c r="A1472" t="s">
        <v>367</v>
      </c>
      <c r="B1472">
        <v>2003</v>
      </c>
      <c r="C1472" t="s">
        <v>273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COUNT(LifeExpectancyData[[#This Row],[Life expectancy]:[Schooling]])=19</f>
        <v>1</v>
      </c>
    </row>
    <row r="1473" spans="1:23" x14ac:dyDescent="0.25">
      <c r="A1473" t="s">
        <v>367</v>
      </c>
      <c r="B1473">
        <v>2002</v>
      </c>
      <c r="C1473" t="s">
        <v>273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COUNT(LifeExpectancyData[[#This Row],[Life expectancy]:[Schooling]])=19</f>
        <v>1</v>
      </c>
    </row>
    <row r="1474" spans="1:23" x14ac:dyDescent="0.25">
      <c r="A1474" t="s">
        <v>367</v>
      </c>
      <c r="B1474">
        <v>2001</v>
      </c>
      <c r="C1474" t="s">
        <v>273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COUNT(LifeExpectancyData[[#This Row],[Life expectancy]:[Schooling]])=19</f>
        <v>1</v>
      </c>
    </row>
    <row r="1475" spans="1:23" x14ac:dyDescent="0.25">
      <c r="A1475" t="s">
        <v>367</v>
      </c>
      <c r="B1475">
        <v>2000</v>
      </c>
      <c r="C1475" t="s">
        <v>273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COUNT(LifeExpectancyData[[#This Row],[Life expectancy]:[Schooling]])=19</f>
        <v>1</v>
      </c>
    </row>
    <row r="1476" spans="1:23" x14ac:dyDescent="0.25">
      <c r="A1476" t="s">
        <v>368</v>
      </c>
      <c r="B1476">
        <v>2015</v>
      </c>
      <c r="C1476" t="s">
        <v>273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COUNT(LifeExpectancyData[[#This Row],[Life expectancy]:[Schooling]])=19</f>
        <v>0</v>
      </c>
    </row>
    <row r="1477" spans="1:23" x14ac:dyDescent="0.25">
      <c r="A1477" t="s">
        <v>368</v>
      </c>
      <c r="B1477">
        <v>2014</v>
      </c>
      <c r="C1477" t="s">
        <v>273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COUNT(LifeExpectancyData[[#This Row],[Life expectancy]:[Schooling]])=19</f>
        <v>1</v>
      </c>
    </row>
    <row r="1478" spans="1:23" x14ac:dyDescent="0.25">
      <c r="A1478" t="s">
        <v>368</v>
      </c>
      <c r="B1478">
        <v>2013</v>
      </c>
      <c r="C1478" t="s">
        <v>273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COUNT(LifeExpectancyData[[#This Row],[Life expectancy]:[Schooling]])=19</f>
        <v>1</v>
      </c>
    </row>
    <row r="1479" spans="1:23" x14ac:dyDescent="0.25">
      <c r="A1479" t="s">
        <v>368</v>
      </c>
      <c r="B1479">
        <v>2012</v>
      </c>
      <c r="C1479" t="s">
        <v>273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COUNT(LifeExpectancyData[[#This Row],[Life expectancy]:[Schooling]])=19</f>
        <v>1</v>
      </c>
    </row>
    <row r="1480" spans="1:23" x14ac:dyDescent="0.25">
      <c r="A1480" t="s">
        <v>368</v>
      </c>
      <c r="B1480">
        <v>2011</v>
      </c>
      <c r="C1480" t="s">
        <v>273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COUNT(LifeExpectancyData[[#This Row],[Life expectancy]:[Schooling]])=19</f>
        <v>1</v>
      </c>
    </row>
    <row r="1481" spans="1:23" x14ac:dyDescent="0.25">
      <c r="A1481" t="s">
        <v>368</v>
      </c>
      <c r="B1481">
        <v>2010</v>
      </c>
      <c r="C1481" t="s">
        <v>273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COUNT(LifeExpectancyData[[#This Row],[Life expectancy]:[Schooling]])=19</f>
        <v>1</v>
      </c>
    </row>
    <row r="1482" spans="1:23" x14ac:dyDescent="0.25">
      <c r="A1482" t="s">
        <v>368</v>
      </c>
      <c r="B1482">
        <v>2009</v>
      </c>
      <c r="C1482" t="s">
        <v>273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COUNT(LifeExpectancyData[[#This Row],[Life expectancy]:[Schooling]])=19</f>
        <v>1</v>
      </c>
    </row>
    <row r="1483" spans="1:23" x14ac:dyDescent="0.25">
      <c r="A1483" t="s">
        <v>368</v>
      </c>
      <c r="B1483">
        <v>2008</v>
      </c>
      <c r="C1483" t="s">
        <v>273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COUNT(LifeExpectancyData[[#This Row],[Life expectancy]:[Schooling]])=19</f>
        <v>1</v>
      </c>
    </row>
    <row r="1484" spans="1:23" x14ac:dyDescent="0.25">
      <c r="A1484" t="s">
        <v>368</v>
      </c>
      <c r="B1484">
        <v>2007</v>
      </c>
      <c r="C1484" t="s">
        <v>273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COUNT(LifeExpectancyData[[#This Row],[Life expectancy]:[Schooling]])=19</f>
        <v>1</v>
      </c>
    </row>
    <row r="1485" spans="1:23" x14ac:dyDescent="0.25">
      <c r="A1485" t="s">
        <v>368</v>
      </c>
      <c r="B1485">
        <v>2006</v>
      </c>
      <c r="C1485" t="s">
        <v>273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COUNT(LifeExpectancyData[[#This Row],[Life expectancy]:[Schooling]])=19</f>
        <v>1</v>
      </c>
    </row>
    <row r="1486" spans="1:23" x14ac:dyDescent="0.25">
      <c r="A1486" t="s">
        <v>368</v>
      </c>
      <c r="B1486">
        <v>2005</v>
      </c>
      <c r="C1486" t="s">
        <v>273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COUNT(LifeExpectancyData[[#This Row],[Life expectancy]:[Schooling]])=19</f>
        <v>1</v>
      </c>
    </row>
    <row r="1487" spans="1:23" x14ac:dyDescent="0.25">
      <c r="A1487" t="s">
        <v>368</v>
      </c>
      <c r="B1487">
        <v>2004</v>
      </c>
      <c r="C1487" t="s">
        <v>273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COUNT(LifeExpectancyData[[#This Row],[Life expectancy]:[Schooling]])=19</f>
        <v>1</v>
      </c>
    </row>
    <row r="1488" spans="1:23" x14ac:dyDescent="0.25">
      <c r="A1488" t="s">
        <v>368</v>
      </c>
      <c r="B1488">
        <v>2003</v>
      </c>
      <c r="C1488" t="s">
        <v>273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COUNT(LifeExpectancyData[[#This Row],[Life expectancy]:[Schooling]])=19</f>
        <v>1</v>
      </c>
    </row>
    <row r="1489" spans="1:23" x14ac:dyDescent="0.25">
      <c r="A1489" t="s">
        <v>368</v>
      </c>
      <c r="B1489">
        <v>2002</v>
      </c>
      <c r="C1489" t="s">
        <v>273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COUNT(LifeExpectancyData[[#This Row],[Life expectancy]:[Schooling]])=19</f>
        <v>0</v>
      </c>
    </row>
    <row r="1490" spans="1:23" x14ac:dyDescent="0.25">
      <c r="A1490" t="s">
        <v>368</v>
      </c>
      <c r="B1490">
        <v>2001</v>
      </c>
      <c r="C1490" t="s">
        <v>273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COUNT(LifeExpectancyData[[#This Row],[Life expectancy]:[Schooling]])=19</f>
        <v>0</v>
      </c>
    </row>
    <row r="1491" spans="1:23" x14ac:dyDescent="0.25">
      <c r="A1491" t="s">
        <v>368</v>
      </c>
      <c r="B1491">
        <v>2000</v>
      </c>
      <c r="C1491" t="s">
        <v>273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COUNT(LifeExpectancyData[[#This Row],[Life expectancy]:[Schooling]])=19</f>
        <v>0</v>
      </c>
    </row>
    <row r="1492" spans="1:23" x14ac:dyDescent="0.25">
      <c r="A1492" t="s">
        <v>369</v>
      </c>
      <c r="B1492">
        <v>2015</v>
      </c>
      <c r="C1492" t="s">
        <v>273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COUNT(LifeExpectancyData[[#This Row],[Life expectancy]:[Schooling]])=19</f>
        <v>0</v>
      </c>
    </row>
    <row r="1493" spans="1:23" x14ac:dyDescent="0.25">
      <c r="A1493" t="s">
        <v>369</v>
      </c>
      <c r="B1493">
        <v>2014</v>
      </c>
      <c r="C1493" t="s">
        <v>273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COUNT(LifeExpectancyData[[#This Row],[Life expectancy]:[Schooling]])=19</f>
        <v>1</v>
      </c>
    </row>
    <row r="1494" spans="1:23" x14ac:dyDescent="0.25">
      <c r="A1494" t="s">
        <v>369</v>
      </c>
      <c r="B1494">
        <v>2013</v>
      </c>
      <c r="C1494" t="s">
        <v>273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COUNT(LifeExpectancyData[[#This Row],[Life expectancy]:[Schooling]])=19</f>
        <v>1</v>
      </c>
    </row>
    <row r="1495" spans="1:23" x14ac:dyDescent="0.25">
      <c r="A1495" t="s">
        <v>369</v>
      </c>
      <c r="B1495">
        <v>2012</v>
      </c>
      <c r="C1495" t="s">
        <v>273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COUNT(LifeExpectancyData[[#This Row],[Life expectancy]:[Schooling]])=19</f>
        <v>1</v>
      </c>
    </row>
    <row r="1496" spans="1:23" x14ac:dyDescent="0.25">
      <c r="A1496" t="s">
        <v>369</v>
      </c>
      <c r="B1496">
        <v>2011</v>
      </c>
      <c r="C1496" t="s">
        <v>273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COUNT(LifeExpectancyData[[#This Row],[Life expectancy]:[Schooling]])=19</f>
        <v>1</v>
      </c>
    </row>
    <row r="1497" spans="1:23" x14ac:dyDescent="0.25">
      <c r="A1497" t="s">
        <v>369</v>
      </c>
      <c r="B1497">
        <v>2010</v>
      </c>
      <c r="C1497" t="s">
        <v>273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COUNT(LifeExpectancyData[[#This Row],[Life expectancy]:[Schooling]])=19</f>
        <v>1</v>
      </c>
    </row>
    <row r="1498" spans="1:23" x14ac:dyDescent="0.25">
      <c r="A1498" t="s">
        <v>369</v>
      </c>
      <c r="B1498">
        <v>2009</v>
      </c>
      <c r="C1498" t="s">
        <v>273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COUNT(LifeExpectancyData[[#This Row],[Life expectancy]:[Schooling]])=19</f>
        <v>1</v>
      </c>
    </row>
    <row r="1499" spans="1:23" x14ac:dyDescent="0.25">
      <c r="A1499" t="s">
        <v>369</v>
      </c>
      <c r="B1499">
        <v>2008</v>
      </c>
      <c r="C1499" t="s">
        <v>273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COUNT(LifeExpectancyData[[#This Row],[Life expectancy]:[Schooling]])=19</f>
        <v>1</v>
      </c>
    </row>
    <row r="1500" spans="1:23" x14ac:dyDescent="0.25">
      <c r="A1500" t="s">
        <v>369</v>
      </c>
      <c r="B1500">
        <v>2007</v>
      </c>
      <c r="C1500" t="s">
        <v>273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COUNT(LifeExpectancyData[[#This Row],[Life expectancy]:[Schooling]])=19</f>
        <v>0</v>
      </c>
    </row>
    <row r="1501" spans="1:23" x14ac:dyDescent="0.25">
      <c r="A1501" t="s">
        <v>369</v>
      </c>
      <c r="B1501">
        <v>2006</v>
      </c>
      <c r="C1501" t="s">
        <v>273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COUNT(LifeExpectancyData[[#This Row],[Life expectancy]:[Schooling]])=19</f>
        <v>0</v>
      </c>
    </row>
    <row r="1502" spans="1:23" x14ac:dyDescent="0.25">
      <c r="A1502" t="s">
        <v>369</v>
      </c>
      <c r="B1502">
        <v>2005</v>
      </c>
      <c r="C1502" t="s">
        <v>273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COUNT(LifeExpectancyData[[#This Row],[Life expectancy]:[Schooling]])=19</f>
        <v>0</v>
      </c>
    </row>
    <row r="1503" spans="1:23" x14ac:dyDescent="0.25">
      <c r="A1503" t="s">
        <v>369</v>
      </c>
      <c r="B1503">
        <v>2004</v>
      </c>
      <c r="C1503" t="s">
        <v>273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COUNT(LifeExpectancyData[[#This Row],[Life expectancy]:[Schooling]])=19</f>
        <v>0</v>
      </c>
    </row>
    <row r="1504" spans="1:23" x14ac:dyDescent="0.25">
      <c r="A1504" t="s">
        <v>369</v>
      </c>
      <c r="B1504">
        <v>2003</v>
      </c>
      <c r="C1504" t="s">
        <v>273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COUNT(LifeExpectancyData[[#This Row],[Life expectancy]:[Schooling]])=19</f>
        <v>0</v>
      </c>
    </row>
    <row r="1505" spans="1:23" x14ac:dyDescent="0.25">
      <c r="A1505" t="s">
        <v>369</v>
      </c>
      <c r="B1505">
        <v>2002</v>
      </c>
      <c r="C1505" t="s">
        <v>273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COUNT(LifeExpectancyData[[#This Row],[Life expectancy]:[Schooling]])=19</f>
        <v>0</v>
      </c>
    </row>
    <row r="1506" spans="1:23" x14ac:dyDescent="0.25">
      <c r="A1506" t="s">
        <v>369</v>
      </c>
      <c r="B1506">
        <v>2001</v>
      </c>
      <c r="C1506" t="s">
        <v>273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COUNT(LifeExpectancyData[[#This Row],[Life expectancy]:[Schooling]])=19</f>
        <v>0</v>
      </c>
    </row>
    <row r="1507" spans="1:23" x14ac:dyDescent="0.25">
      <c r="A1507" t="s">
        <v>369</v>
      </c>
      <c r="B1507">
        <v>2000</v>
      </c>
      <c r="C1507" t="s">
        <v>273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COUNT(LifeExpectancyData[[#This Row],[Life expectancy]:[Schooling]])=19</f>
        <v>0</v>
      </c>
    </row>
    <row r="1508" spans="1:23" x14ac:dyDescent="0.25">
      <c r="A1508" t="s">
        <v>370</v>
      </c>
      <c r="B1508">
        <v>2015</v>
      </c>
      <c r="C1508" t="s">
        <v>273</v>
      </c>
      <c r="D1508">
        <v>72.7</v>
      </c>
      <c r="E1508">
        <v>138</v>
      </c>
      <c r="F1508">
        <v>1</v>
      </c>
      <c r="H1508">
        <v>0</v>
      </c>
      <c r="I1508">
        <v>97</v>
      </c>
      <c r="J1508">
        <v>82</v>
      </c>
      <c r="K1508">
        <v>64.8</v>
      </c>
      <c r="L1508">
        <v>2</v>
      </c>
      <c r="M1508">
        <v>97</v>
      </c>
      <c r="O1508">
        <v>97</v>
      </c>
      <c r="P1508">
        <v>0.1</v>
      </c>
      <c r="S1508">
        <v>5.8</v>
      </c>
      <c r="T1508">
        <v>5.5</v>
      </c>
      <c r="U1508">
        <v>0.71899999999999997</v>
      </c>
      <c r="V1508">
        <v>13.4</v>
      </c>
      <c r="W1508" t="b">
        <f>COUNT(LifeExpectancyData[[#This Row],[Life expectancy]:[Schooling]])=19</f>
        <v>0</v>
      </c>
    </row>
    <row r="1509" spans="1:23" x14ac:dyDescent="0.25">
      <c r="A1509" t="s">
        <v>370</v>
      </c>
      <c r="B1509">
        <v>2014</v>
      </c>
      <c r="C1509" t="s">
        <v>273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COUNT(LifeExpectancyData[[#This Row],[Life expectancy]:[Schooling]])=19</f>
        <v>0</v>
      </c>
    </row>
    <row r="1510" spans="1:23" x14ac:dyDescent="0.25">
      <c r="A1510" t="s">
        <v>370</v>
      </c>
      <c r="B1510">
        <v>2013</v>
      </c>
      <c r="C1510" t="s">
        <v>273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COUNT(LifeExpectancyData[[#This Row],[Life expectancy]:[Schooling]])=19</f>
        <v>0</v>
      </c>
    </row>
    <row r="1511" spans="1:23" x14ac:dyDescent="0.25">
      <c r="A1511" t="s">
        <v>370</v>
      </c>
      <c r="B1511">
        <v>2012</v>
      </c>
      <c r="C1511" t="s">
        <v>273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COUNT(LifeExpectancyData[[#This Row],[Life expectancy]:[Schooling]])=19</f>
        <v>0</v>
      </c>
    </row>
    <row r="1512" spans="1:23" x14ac:dyDescent="0.25">
      <c r="A1512" t="s">
        <v>370</v>
      </c>
      <c r="B1512">
        <v>2011</v>
      </c>
      <c r="C1512" t="s">
        <v>273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COUNT(LifeExpectancyData[[#This Row],[Life expectancy]:[Schooling]])=19</f>
        <v>0</v>
      </c>
    </row>
    <row r="1513" spans="1:23" x14ac:dyDescent="0.25">
      <c r="A1513" t="s">
        <v>370</v>
      </c>
      <c r="B1513">
        <v>2010</v>
      </c>
      <c r="C1513" t="s">
        <v>273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COUNT(LifeExpectancyData[[#This Row],[Life expectancy]:[Schooling]])=19</f>
        <v>0</v>
      </c>
    </row>
    <row r="1514" spans="1:23" x14ac:dyDescent="0.25">
      <c r="A1514" t="s">
        <v>370</v>
      </c>
      <c r="B1514">
        <v>2009</v>
      </c>
      <c r="C1514" t="s">
        <v>273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COUNT(LifeExpectancyData[[#This Row],[Life expectancy]:[Schooling]])=19</f>
        <v>0</v>
      </c>
    </row>
    <row r="1515" spans="1:23" x14ac:dyDescent="0.25">
      <c r="A1515" t="s">
        <v>370</v>
      </c>
      <c r="B1515">
        <v>2008</v>
      </c>
      <c r="C1515" t="s">
        <v>273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COUNT(LifeExpectancyData[[#This Row],[Life expectancy]:[Schooling]])=19</f>
        <v>0</v>
      </c>
    </row>
    <row r="1516" spans="1:23" x14ac:dyDescent="0.25">
      <c r="A1516" t="s">
        <v>370</v>
      </c>
      <c r="B1516">
        <v>2007</v>
      </c>
      <c r="C1516" t="s">
        <v>273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COUNT(LifeExpectancyData[[#This Row],[Life expectancy]:[Schooling]])=19</f>
        <v>0</v>
      </c>
    </row>
    <row r="1517" spans="1:23" x14ac:dyDescent="0.25">
      <c r="A1517" t="s">
        <v>370</v>
      </c>
      <c r="B1517">
        <v>2006</v>
      </c>
      <c r="C1517" t="s">
        <v>273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COUNT(LifeExpectancyData[[#This Row],[Life expectancy]:[Schooling]])=19</f>
        <v>0</v>
      </c>
    </row>
    <row r="1518" spans="1:23" x14ac:dyDescent="0.25">
      <c r="A1518" t="s">
        <v>370</v>
      </c>
      <c r="B1518">
        <v>2005</v>
      </c>
      <c r="C1518" t="s">
        <v>273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COUNT(LifeExpectancyData[[#This Row],[Life expectancy]:[Schooling]])=19</f>
        <v>0</v>
      </c>
    </row>
    <row r="1519" spans="1:23" x14ac:dyDescent="0.25">
      <c r="A1519" t="s">
        <v>370</v>
      </c>
      <c r="B1519">
        <v>2004</v>
      </c>
      <c r="C1519" t="s">
        <v>273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COUNT(LifeExpectancyData[[#This Row],[Life expectancy]:[Schooling]])=19</f>
        <v>0</v>
      </c>
    </row>
    <row r="1520" spans="1:23" x14ac:dyDescent="0.25">
      <c r="A1520" t="s">
        <v>370</v>
      </c>
      <c r="B1520">
        <v>2003</v>
      </c>
      <c r="C1520" t="s">
        <v>273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COUNT(LifeExpectancyData[[#This Row],[Life expectancy]:[Schooling]])=19</f>
        <v>0</v>
      </c>
    </row>
    <row r="1521" spans="1:23" x14ac:dyDescent="0.25">
      <c r="A1521" t="s">
        <v>370</v>
      </c>
      <c r="B1521">
        <v>2002</v>
      </c>
      <c r="C1521" t="s">
        <v>273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COUNT(LifeExpectancyData[[#This Row],[Life expectancy]:[Schooling]])=19</f>
        <v>0</v>
      </c>
    </row>
    <row r="1522" spans="1:23" x14ac:dyDescent="0.25">
      <c r="A1522" t="s">
        <v>370</v>
      </c>
      <c r="B1522">
        <v>2001</v>
      </c>
      <c r="C1522" t="s">
        <v>273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COUNT(LifeExpectancyData[[#This Row],[Life expectancy]:[Schooling]])=19</f>
        <v>0</v>
      </c>
    </row>
    <row r="1523" spans="1:23" x14ac:dyDescent="0.25">
      <c r="A1523" t="s">
        <v>370</v>
      </c>
      <c r="B1523">
        <v>2000</v>
      </c>
      <c r="C1523" t="s">
        <v>273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COUNT(LifeExpectancyData[[#This Row],[Life expectancy]:[Schooling]])=19</f>
        <v>0</v>
      </c>
    </row>
    <row r="1524" spans="1:23" x14ac:dyDescent="0.25">
      <c r="A1524" t="s">
        <v>371</v>
      </c>
      <c r="B1524">
        <v>2015</v>
      </c>
      <c r="C1524" t="s">
        <v>281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COUNT(LifeExpectancyData[[#This Row],[Life expectancy]:[Schooling]])=19</f>
        <v>0</v>
      </c>
    </row>
    <row r="1525" spans="1:23" x14ac:dyDescent="0.25">
      <c r="A1525" t="s">
        <v>371</v>
      </c>
      <c r="B1525">
        <v>2014</v>
      </c>
      <c r="C1525" t="s">
        <v>281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COUNT(LifeExpectancyData[[#This Row],[Life expectancy]:[Schooling]])=19</f>
        <v>1</v>
      </c>
    </row>
    <row r="1526" spans="1:23" x14ac:dyDescent="0.25">
      <c r="A1526" t="s">
        <v>371</v>
      </c>
      <c r="B1526">
        <v>2013</v>
      </c>
      <c r="C1526" t="s">
        <v>281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COUNT(LifeExpectancyData[[#This Row],[Life expectancy]:[Schooling]])=19</f>
        <v>1</v>
      </c>
    </row>
    <row r="1527" spans="1:23" x14ac:dyDescent="0.25">
      <c r="A1527" t="s">
        <v>371</v>
      </c>
      <c r="B1527">
        <v>2012</v>
      </c>
      <c r="C1527" t="s">
        <v>281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COUNT(LifeExpectancyData[[#This Row],[Life expectancy]:[Schooling]])=19</f>
        <v>1</v>
      </c>
    </row>
    <row r="1528" spans="1:23" x14ac:dyDescent="0.25">
      <c r="A1528" t="s">
        <v>371</v>
      </c>
      <c r="B1528">
        <v>2011</v>
      </c>
      <c r="C1528" t="s">
        <v>281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COUNT(LifeExpectancyData[[#This Row],[Life expectancy]:[Schooling]])=19</f>
        <v>1</v>
      </c>
    </row>
    <row r="1529" spans="1:23" x14ac:dyDescent="0.25">
      <c r="A1529" t="s">
        <v>371</v>
      </c>
      <c r="B1529">
        <v>2010</v>
      </c>
      <c r="C1529" t="s">
        <v>281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COUNT(LifeExpectancyData[[#This Row],[Life expectancy]:[Schooling]])=19</f>
        <v>1</v>
      </c>
    </row>
    <row r="1530" spans="1:23" x14ac:dyDescent="0.25">
      <c r="A1530" t="s">
        <v>371</v>
      </c>
      <c r="B1530">
        <v>2009</v>
      </c>
      <c r="C1530" t="s">
        <v>281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COUNT(LifeExpectancyData[[#This Row],[Life expectancy]:[Schooling]])=19</f>
        <v>1</v>
      </c>
    </row>
    <row r="1531" spans="1:23" x14ac:dyDescent="0.25">
      <c r="A1531" t="s">
        <v>371</v>
      </c>
      <c r="B1531">
        <v>2008</v>
      </c>
      <c r="C1531" t="s">
        <v>281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COUNT(LifeExpectancyData[[#This Row],[Life expectancy]:[Schooling]])=19</f>
        <v>1</v>
      </c>
    </row>
    <row r="1532" spans="1:23" x14ac:dyDescent="0.25">
      <c r="A1532" t="s">
        <v>371</v>
      </c>
      <c r="B1532">
        <v>2007</v>
      </c>
      <c r="C1532" t="s">
        <v>281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COUNT(LifeExpectancyData[[#This Row],[Life expectancy]:[Schooling]])=19</f>
        <v>1</v>
      </c>
    </row>
    <row r="1533" spans="1:23" x14ac:dyDescent="0.25">
      <c r="A1533" t="s">
        <v>371</v>
      </c>
      <c r="B1533">
        <v>2006</v>
      </c>
      <c r="C1533" t="s">
        <v>281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COUNT(LifeExpectancyData[[#This Row],[Life expectancy]:[Schooling]])=19</f>
        <v>1</v>
      </c>
    </row>
    <row r="1534" spans="1:23" x14ac:dyDescent="0.25">
      <c r="A1534" t="s">
        <v>371</v>
      </c>
      <c r="B1534">
        <v>2005</v>
      </c>
      <c r="C1534" t="s">
        <v>281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COUNT(LifeExpectancyData[[#This Row],[Life expectancy]:[Schooling]])=19</f>
        <v>1</v>
      </c>
    </row>
    <row r="1535" spans="1:23" x14ac:dyDescent="0.25">
      <c r="A1535" t="s">
        <v>371</v>
      </c>
      <c r="B1535">
        <v>2004</v>
      </c>
      <c r="C1535" t="s">
        <v>281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COUNT(LifeExpectancyData[[#This Row],[Life expectancy]:[Schooling]])=19</f>
        <v>1</v>
      </c>
    </row>
    <row r="1536" spans="1:23" x14ac:dyDescent="0.25">
      <c r="A1536" t="s">
        <v>371</v>
      </c>
      <c r="B1536">
        <v>2003</v>
      </c>
      <c r="C1536" t="s">
        <v>281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COUNT(LifeExpectancyData[[#This Row],[Life expectancy]:[Schooling]])=19</f>
        <v>1</v>
      </c>
    </row>
    <row r="1537" spans="1:23" x14ac:dyDescent="0.25">
      <c r="A1537" t="s">
        <v>371</v>
      </c>
      <c r="B1537">
        <v>2002</v>
      </c>
      <c r="C1537" t="s">
        <v>281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COUNT(LifeExpectancyData[[#This Row],[Life expectancy]:[Schooling]])=19</f>
        <v>1</v>
      </c>
    </row>
    <row r="1538" spans="1:23" x14ac:dyDescent="0.25">
      <c r="A1538" t="s">
        <v>371</v>
      </c>
      <c r="B1538">
        <v>2001</v>
      </c>
      <c r="C1538" t="s">
        <v>281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COUNT(LifeExpectancyData[[#This Row],[Life expectancy]:[Schooling]])=19</f>
        <v>1</v>
      </c>
    </row>
    <row r="1539" spans="1:23" x14ac:dyDescent="0.25">
      <c r="A1539" t="s">
        <v>371</v>
      </c>
      <c r="B1539">
        <v>2000</v>
      </c>
      <c r="C1539" t="s">
        <v>281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COUNT(LifeExpectancyData[[#This Row],[Life expectancy]:[Schooling]])=19</f>
        <v>1</v>
      </c>
    </row>
    <row r="1540" spans="1:23" x14ac:dyDescent="0.25">
      <c r="A1540" t="s">
        <v>372</v>
      </c>
      <c r="B1540">
        <v>2015</v>
      </c>
      <c r="C1540" t="s">
        <v>281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COUNT(LifeExpectancyData[[#This Row],[Life expectancy]:[Schooling]])=19</f>
        <v>0</v>
      </c>
    </row>
    <row r="1541" spans="1:23" x14ac:dyDescent="0.25">
      <c r="A1541" t="s">
        <v>372</v>
      </c>
      <c r="B1541">
        <v>2014</v>
      </c>
      <c r="C1541" t="s">
        <v>281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COUNT(LifeExpectancyData[[#This Row],[Life expectancy]:[Schooling]])=19</f>
        <v>1</v>
      </c>
    </row>
    <row r="1542" spans="1:23" x14ac:dyDescent="0.25">
      <c r="A1542" t="s">
        <v>372</v>
      </c>
      <c r="B1542">
        <v>2013</v>
      </c>
      <c r="C1542" t="s">
        <v>281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COUNT(LifeExpectancyData[[#This Row],[Life expectancy]:[Schooling]])=19</f>
        <v>1</v>
      </c>
    </row>
    <row r="1543" spans="1:23" x14ac:dyDescent="0.25">
      <c r="A1543" t="s">
        <v>372</v>
      </c>
      <c r="B1543">
        <v>2012</v>
      </c>
      <c r="C1543" t="s">
        <v>281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COUNT(LifeExpectancyData[[#This Row],[Life expectancy]:[Schooling]])=19</f>
        <v>1</v>
      </c>
    </row>
    <row r="1544" spans="1:23" x14ac:dyDescent="0.25">
      <c r="A1544" t="s">
        <v>372</v>
      </c>
      <c r="B1544">
        <v>2011</v>
      </c>
      <c r="C1544" t="s">
        <v>281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COUNT(LifeExpectancyData[[#This Row],[Life expectancy]:[Schooling]])=19</f>
        <v>1</v>
      </c>
    </row>
    <row r="1545" spans="1:23" x14ac:dyDescent="0.25">
      <c r="A1545" t="s">
        <v>372</v>
      </c>
      <c r="B1545">
        <v>2010</v>
      </c>
      <c r="C1545" t="s">
        <v>281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COUNT(LifeExpectancyData[[#This Row],[Life expectancy]:[Schooling]])=19</f>
        <v>1</v>
      </c>
    </row>
    <row r="1546" spans="1:23" x14ac:dyDescent="0.25">
      <c r="A1546" t="s">
        <v>372</v>
      </c>
      <c r="B1546">
        <v>2009</v>
      </c>
      <c r="C1546" t="s">
        <v>281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COUNT(LifeExpectancyData[[#This Row],[Life expectancy]:[Schooling]])=19</f>
        <v>1</v>
      </c>
    </row>
    <row r="1547" spans="1:23" x14ac:dyDescent="0.25">
      <c r="A1547" t="s">
        <v>372</v>
      </c>
      <c r="B1547">
        <v>2008</v>
      </c>
      <c r="C1547" t="s">
        <v>281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COUNT(LifeExpectancyData[[#This Row],[Life expectancy]:[Schooling]])=19</f>
        <v>1</v>
      </c>
    </row>
    <row r="1548" spans="1:23" x14ac:dyDescent="0.25">
      <c r="A1548" t="s">
        <v>372</v>
      </c>
      <c r="B1548">
        <v>2007</v>
      </c>
      <c r="C1548" t="s">
        <v>281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COUNT(LifeExpectancyData[[#This Row],[Life expectancy]:[Schooling]])=19</f>
        <v>1</v>
      </c>
    </row>
    <row r="1549" spans="1:23" x14ac:dyDescent="0.25">
      <c r="A1549" t="s">
        <v>372</v>
      </c>
      <c r="B1549">
        <v>2006</v>
      </c>
      <c r="C1549" t="s">
        <v>281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COUNT(LifeExpectancyData[[#This Row],[Life expectancy]:[Schooling]])=19</f>
        <v>1</v>
      </c>
    </row>
    <row r="1550" spans="1:23" x14ac:dyDescent="0.25">
      <c r="A1550" t="s">
        <v>372</v>
      </c>
      <c r="B1550">
        <v>2005</v>
      </c>
      <c r="C1550" t="s">
        <v>281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COUNT(LifeExpectancyData[[#This Row],[Life expectancy]:[Schooling]])=19</f>
        <v>1</v>
      </c>
    </row>
    <row r="1551" spans="1:23" x14ac:dyDescent="0.25">
      <c r="A1551" t="s">
        <v>372</v>
      </c>
      <c r="B1551">
        <v>2004</v>
      </c>
      <c r="C1551" t="s">
        <v>281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COUNT(LifeExpectancyData[[#This Row],[Life expectancy]:[Schooling]])=19</f>
        <v>1</v>
      </c>
    </row>
    <row r="1552" spans="1:23" x14ac:dyDescent="0.25">
      <c r="A1552" t="s">
        <v>372</v>
      </c>
      <c r="B1552">
        <v>2003</v>
      </c>
      <c r="C1552" t="s">
        <v>281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COUNT(LifeExpectancyData[[#This Row],[Life expectancy]:[Schooling]])=19</f>
        <v>1</v>
      </c>
    </row>
    <row r="1553" spans="1:23" x14ac:dyDescent="0.25">
      <c r="A1553" t="s">
        <v>372</v>
      </c>
      <c r="B1553">
        <v>2002</v>
      </c>
      <c r="C1553" t="s">
        <v>281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COUNT(LifeExpectancyData[[#This Row],[Life expectancy]:[Schooling]])=19</f>
        <v>1</v>
      </c>
    </row>
    <row r="1554" spans="1:23" x14ac:dyDescent="0.25">
      <c r="A1554" t="s">
        <v>372</v>
      </c>
      <c r="B1554">
        <v>2001</v>
      </c>
      <c r="C1554" t="s">
        <v>281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COUNT(LifeExpectancyData[[#This Row],[Life expectancy]:[Schooling]])=19</f>
        <v>1</v>
      </c>
    </row>
    <row r="1555" spans="1:23" x14ac:dyDescent="0.25">
      <c r="A1555" t="s">
        <v>372</v>
      </c>
      <c r="B1555">
        <v>2000</v>
      </c>
      <c r="C1555" t="s">
        <v>281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COUNT(LifeExpectancyData[[#This Row],[Life expectancy]:[Schooling]])=19</f>
        <v>1</v>
      </c>
    </row>
    <row r="1556" spans="1:23" x14ac:dyDescent="0.25">
      <c r="A1556" t="s">
        <v>373</v>
      </c>
      <c r="B1556">
        <v>2015</v>
      </c>
      <c r="C1556" t="s">
        <v>273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COUNT(LifeExpectancyData[[#This Row],[Life expectancy]:[Schooling]])=19</f>
        <v>0</v>
      </c>
    </row>
    <row r="1557" spans="1:23" x14ac:dyDescent="0.25">
      <c r="A1557" t="s">
        <v>373</v>
      </c>
      <c r="B1557">
        <v>2014</v>
      </c>
      <c r="C1557" t="s">
        <v>273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COUNT(LifeExpectancyData[[#This Row],[Life expectancy]:[Schooling]])=19</f>
        <v>1</v>
      </c>
    </row>
    <row r="1558" spans="1:23" x14ac:dyDescent="0.25">
      <c r="A1558" t="s">
        <v>373</v>
      </c>
      <c r="B1558">
        <v>2013</v>
      </c>
      <c r="C1558" t="s">
        <v>273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COUNT(LifeExpectancyData[[#This Row],[Life expectancy]:[Schooling]])=19</f>
        <v>1</v>
      </c>
    </row>
    <row r="1559" spans="1:23" x14ac:dyDescent="0.25">
      <c r="A1559" t="s">
        <v>373</v>
      </c>
      <c r="B1559">
        <v>2012</v>
      </c>
      <c r="C1559" t="s">
        <v>273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COUNT(LifeExpectancyData[[#This Row],[Life expectancy]:[Schooling]])=19</f>
        <v>1</v>
      </c>
    </row>
    <row r="1560" spans="1:23" x14ac:dyDescent="0.25">
      <c r="A1560" t="s">
        <v>373</v>
      </c>
      <c r="B1560">
        <v>2011</v>
      </c>
      <c r="C1560" t="s">
        <v>273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COUNT(LifeExpectancyData[[#This Row],[Life expectancy]:[Schooling]])=19</f>
        <v>1</v>
      </c>
    </row>
    <row r="1561" spans="1:23" x14ac:dyDescent="0.25">
      <c r="A1561" t="s">
        <v>373</v>
      </c>
      <c r="B1561">
        <v>2010</v>
      </c>
      <c r="C1561" t="s">
        <v>273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COUNT(LifeExpectancyData[[#This Row],[Life expectancy]:[Schooling]])=19</f>
        <v>1</v>
      </c>
    </row>
    <row r="1562" spans="1:23" x14ac:dyDescent="0.25">
      <c r="A1562" t="s">
        <v>373</v>
      </c>
      <c r="B1562">
        <v>2009</v>
      </c>
      <c r="C1562" t="s">
        <v>273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COUNT(LifeExpectancyData[[#This Row],[Life expectancy]:[Schooling]])=19</f>
        <v>1</v>
      </c>
    </row>
    <row r="1563" spans="1:23" x14ac:dyDescent="0.25">
      <c r="A1563" t="s">
        <v>373</v>
      </c>
      <c r="B1563">
        <v>2008</v>
      </c>
      <c r="C1563" t="s">
        <v>273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COUNT(LifeExpectancyData[[#This Row],[Life expectancy]:[Schooling]])=19</f>
        <v>1</v>
      </c>
    </row>
    <row r="1564" spans="1:23" x14ac:dyDescent="0.25">
      <c r="A1564" t="s">
        <v>373</v>
      </c>
      <c r="B1564">
        <v>2007</v>
      </c>
      <c r="C1564" t="s">
        <v>273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COUNT(LifeExpectancyData[[#This Row],[Life expectancy]:[Schooling]])=19</f>
        <v>1</v>
      </c>
    </row>
    <row r="1565" spans="1:23" x14ac:dyDescent="0.25">
      <c r="A1565" t="s">
        <v>373</v>
      </c>
      <c r="B1565">
        <v>2006</v>
      </c>
      <c r="C1565" t="s">
        <v>273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COUNT(LifeExpectancyData[[#This Row],[Life expectancy]:[Schooling]])=19</f>
        <v>1</v>
      </c>
    </row>
    <row r="1566" spans="1:23" x14ac:dyDescent="0.25">
      <c r="A1566" t="s">
        <v>373</v>
      </c>
      <c r="B1566">
        <v>2005</v>
      </c>
      <c r="C1566" t="s">
        <v>273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COUNT(LifeExpectancyData[[#This Row],[Life expectancy]:[Schooling]])=19</f>
        <v>1</v>
      </c>
    </row>
    <row r="1567" spans="1:23" x14ac:dyDescent="0.25">
      <c r="A1567" t="s">
        <v>373</v>
      </c>
      <c r="B1567">
        <v>2004</v>
      </c>
      <c r="C1567" t="s">
        <v>273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COUNT(LifeExpectancyData[[#This Row],[Life expectancy]:[Schooling]])=19</f>
        <v>1</v>
      </c>
    </row>
    <row r="1568" spans="1:23" x14ac:dyDescent="0.25">
      <c r="A1568" t="s">
        <v>373</v>
      </c>
      <c r="B1568">
        <v>2003</v>
      </c>
      <c r="C1568" t="s">
        <v>273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COUNT(LifeExpectancyData[[#This Row],[Life expectancy]:[Schooling]])=19</f>
        <v>1</v>
      </c>
    </row>
    <row r="1569" spans="1:23" x14ac:dyDescent="0.25">
      <c r="A1569" t="s">
        <v>373</v>
      </c>
      <c r="B1569">
        <v>2002</v>
      </c>
      <c r="C1569" t="s">
        <v>273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COUNT(LifeExpectancyData[[#This Row],[Life expectancy]:[Schooling]])=19</f>
        <v>1</v>
      </c>
    </row>
    <row r="1570" spans="1:23" x14ac:dyDescent="0.25">
      <c r="A1570" t="s">
        <v>373</v>
      </c>
      <c r="B1570">
        <v>2001</v>
      </c>
      <c r="C1570" t="s">
        <v>273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COUNT(LifeExpectancyData[[#This Row],[Life expectancy]:[Schooling]])=19</f>
        <v>0</v>
      </c>
    </row>
    <row r="1571" spans="1:23" x14ac:dyDescent="0.25">
      <c r="A1571" t="s">
        <v>373</v>
      </c>
      <c r="B1571">
        <v>2000</v>
      </c>
      <c r="C1571" t="s">
        <v>273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COUNT(LifeExpectancyData[[#This Row],[Life expectancy]:[Schooling]])=19</f>
        <v>0</v>
      </c>
    </row>
    <row r="1572" spans="1:23" x14ac:dyDescent="0.25">
      <c r="A1572" t="s">
        <v>374</v>
      </c>
      <c r="B1572">
        <v>2015</v>
      </c>
      <c r="C1572" t="s">
        <v>273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COUNT(LifeExpectancyData[[#This Row],[Life expectancy]:[Schooling]])=19</f>
        <v>0</v>
      </c>
    </row>
    <row r="1573" spans="1:23" x14ac:dyDescent="0.25">
      <c r="A1573" t="s">
        <v>374</v>
      </c>
      <c r="B1573">
        <v>2014</v>
      </c>
      <c r="C1573" t="s">
        <v>273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COUNT(LifeExpectancyData[[#This Row],[Life expectancy]:[Schooling]])=19</f>
        <v>1</v>
      </c>
    </row>
    <row r="1574" spans="1:23" x14ac:dyDescent="0.25">
      <c r="A1574" t="s">
        <v>374</v>
      </c>
      <c r="B1574">
        <v>2013</v>
      </c>
      <c r="C1574" t="s">
        <v>273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COUNT(LifeExpectancyData[[#This Row],[Life expectancy]:[Schooling]])=19</f>
        <v>1</v>
      </c>
    </row>
    <row r="1575" spans="1:23" x14ac:dyDescent="0.25">
      <c r="A1575" t="s">
        <v>374</v>
      </c>
      <c r="B1575">
        <v>2012</v>
      </c>
      <c r="C1575" t="s">
        <v>273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COUNT(LifeExpectancyData[[#This Row],[Life expectancy]:[Schooling]])=19</f>
        <v>1</v>
      </c>
    </row>
    <row r="1576" spans="1:23" x14ac:dyDescent="0.25">
      <c r="A1576" t="s">
        <v>374</v>
      </c>
      <c r="B1576">
        <v>2011</v>
      </c>
      <c r="C1576" t="s">
        <v>273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COUNT(LifeExpectancyData[[#This Row],[Life expectancy]:[Schooling]])=19</f>
        <v>1</v>
      </c>
    </row>
    <row r="1577" spans="1:23" x14ac:dyDescent="0.25">
      <c r="A1577" t="s">
        <v>374</v>
      </c>
      <c r="B1577">
        <v>2010</v>
      </c>
      <c r="C1577" t="s">
        <v>273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COUNT(LifeExpectancyData[[#This Row],[Life expectancy]:[Schooling]])=19</f>
        <v>1</v>
      </c>
    </row>
    <row r="1578" spans="1:23" x14ac:dyDescent="0.25">
      <c r="A1578" t="s">
        <v>374</v>
      </c>
      <c r="B1578">
        <v>2009</v>
      </c>
      <c r="C1578" t="s">
        <v>273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COUNT(LifeExpectancyData[[#This Row],[Life expectancy]:[Schooling]])=19</f>
        <v>1</v>
      </c>
    </row>
    <row r="1579" spans="1:23" x14ac:dyDescent="0.25">
      <c r="A1579" t="s">
        <v>374</v>
      </c>
      <c r="B1579">
        <v>2008</v>
      </c>
      <c r="C1579" t="s">
        <v>273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COUNT(LifeExpectancyData[[#This Row],[Life expectancy]:[Schooling]])=19</f>
        <v>1</v>
      </c>
    </row>
    <row r="1580" spans="1:23" x14ac:dyDescent="0.25">
      <c r="A1580" t="s">
        <v>374</v>
      </c>
      <c r="B1580">
        <v>2007</v>
      </c>
      <c r="C1580" t="s">
        <v>273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COUNT(LifeExpectancyData[[#This Row],[Life expectancy]:[Schooling]])=19</f>
        <v>1</v>
      </c>
    </row>
    <row r="1581" spans="1:23" x14ac:dyDescent="0.25">
      <c r="A1581" t="s">
        <v>374</v>
      </c>
      <c r="B1581">
        <v>2006</v>
      </c>
      <c r="C1581" t="s">
        <v>273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COUNT(LifeExpectancyData[[#This Row],[Life expectancy]:[Schooling]])=19</f>
        <v>1</v>
      </c>
    </row>
    <row r="1582" spans="1:23" x14ac:dyDescent="0.25">
      <c r="A1582" t="s">
        <v>374</v>
      </c>
      <c r="B1582">
        <v>2005</v>
      </c>
      <c r="C1582" t="s">
        <v>273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COUNT(LifeExpectancyData[[#This Row],[Life expectancy]:[Schooling]])=19</f>
        <v>1</v>
      </c>
    </row>
    <row r="1583" spans="1:23" x14ac:dyDescent="0.25">
      <c r="A1583" t="s">
        <v>374</v>
      </c>
      <c r="B1583">
        <v>2004</v>
      </c>
      <c r="C1583" t="s">
        <v>273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COUNT(LifeExpectancyData[[#This Row],[Life expectancy]:[Schooling]])=19</f>
        <v>1</v>
      </c>
    </row>
    <row r="1584" spans="1:23" x14ac:dyDescent="0.25">
      <c r="A1584" t="s">
        <v>374</v>
      </c>
      <c r="B1584">
        <v>2003</v>
      </c>
      <c r="C1584" t="s">
        <v>273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COUNT(LifeExpectancyData[[#This Row],[Life expectancy]:[Schooling]])=19</f>
        <v>1</v>
      </c>
    </row>
    <row r="1585" spans="1:23" x14ac:dyDescent="0.25">
      <c r="A1585" t="s">
        <v>374</v>
      </c>
      <c r="B1585">
        <v>2002</v>
      </c>
      <c r="C1585" t="s">
        <v>273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COUNT(LifeExpectancyData[[#This Row],[Life expectancy]:[Schooling]])=19</f>
        <v>1</v>
      </c>
    </row>
    <row r="1586" spans="1:23" x14ac:dyDescent="0.25">
      <c r="A1586" t="s">
        <v>374</v>
      </c>
      <c r="B1586">
        <v>2001</v>
      </c>
      <c r="C1586" t="s">
        <v>273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COUNT(LifeExpectancyData[[#This Row],[Life expectancy]:[Schooling]])=19</f>
        <v>0</v>
      </c>
    </row>
    <row r="1587" spans="1:23" x14ac:dyDescent="0.25">
      <c r="A1587" t="s">
        <v>374</v>
      </c>
      <c r="B1587">
        <v>2000</v>
      </c>
      <c r="C1587" t="s">
        <v>273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COUNT(LifeExpectancyData[[#This Row],[Life expectancy]:[Schooling]])=19</f>
        <v>0</v>
      </c>
    </row>
    <row r="1588" spans="1:23" x14ac:dyDescent="0.25">
      <c r="A1588" t="s">
        <v>375</v>
      </c>
      <c r="B1588">
        <v>2015</v>
      </c>
      <c r="C1588" t="s">
        <v>273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COUNT(LifeExpectancyData[[#This Row],[Life expectancy]:[Schooling]])=19</f>
        <v>0</v>
      </c>
    </row>
    <row r="1589" spans="1:23" x14ac:dyDescent="0.25">
      <c r="A1589" t="s">
        <v>375</v>
      </c>
      <c r="B1589">
        <v>2014</v>
      </c>
      <c r="C1589" t="s">
        <v>273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COUNT(LifeExpectancyData[[#This Row],[Life expectancy]:[Schooling]])=19</f>
        <v>1</v>
      </c>
    </row>
    <row r="1590" spans="1:23" x14ac:dyDescent="0.25">
      <c r="A1590" t="s">
        <v>375</v>
      </c>
      <c r="B1590">
        <v>2013</v>
      </c>
      <c r="C1590" t="s">
        <v>273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COUNT(LifeExpectancyData[[#This Row],[Life expectancy]:[Schooling]])=19</f>
        <v>1</v>
      </c>
    </row>
    <row r="1591" spans="1:23" x14ac:dyDescent="0.25">
      <c r="A1591" t="s">
        <v>375</v>
      </c>
      <c r="B1591">
        <v>2012</v>
      </c>
      <c r="C1591" t="s">
        <v>273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COUNT(LifeExpectancyData[[#This Row],[Life expectancy]:[Schooling]])=19</f>
        <v>1</v>
      </c>
    </row>
    <row r="1592" spans="1:23" x14ac:dyDescent="0.25">
      <c r="A1592" t="s">
        <v>375</v>
      </c>
      <c r="B1592">
        <v>2011</v>
      </c>
      <c r="C1592" t="s">
        <v>273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COUNT(LifeExpectancyData[[#This Row],[Life expectancy]:[Schooling]])=19</f>
        <v>1</v>
      </c>
    </row>
    <row r="1593" spans="1:23" x14ac:dyDescent="0.25">
      <c r="A1593" t="s">
        <v>375</v>
      </c>
      <c r="B1593">
        <v>2010</v>
      </c>
      <c r="C1593" t="s">
        <v>273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COUNT(LifeExpectancyData[[#This Row],[Life expectancy]:[Schooling]])=19</f>
        <v>1</v>
      </c>
    </row>
    <row r="1594" spans="1:23" x14ac:dyDescent="0.25">
      <c r="A1594" t="s">
        <v>375</v>
      </c>
      <c r="B1594">
        <v>2009</v>
      </c>
      <c r="C1594" t="s">
        <v>273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COUNT(LifeExpectancyData[[#This Row],[Life expectancy]:[Schooling]])=19</f>
        <v>1</v>
      </c>
    </row>
    <row r="1595" spans="1:23" x14ac:dyDescent="0.25">
      <c r="A1595" t="s">
        <v>375</v>
      </c>
      <c r="B1595">
        <v>2008</v>
      </c>
      <c r="C1595" t="s">
        <v>273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COUNT(LifeExpectancyData[[#This Row],[Life expectancy]:[Schooling]])=19</f>
        <v>1</v>
      </c>
    </row>
    <row r="1596" spans="1:23" x14ac:dyDescent="0.25">
      <c r="A1596" t="s">
        <v>375</v>
      </c>
      <c r="B1596">
        <v>2007</v>
      </c>
      <c r="C1596" t="s">
        <v>273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COUNT(LifeExpectancyData[[#This Row],[Life expectancy]:[Schooling]])=19</f>
        <v>1</v>
      </c>
    </row>
    <row r="1597" spans="1:23" x14ac:dyDescent="0.25">
      <c r="A1597" t="s">
        <v>375</v>
      </c>
      <c r="B1597">
        <v>2006</v>
      </c>
      <c r="C1597" t="s">
        <v>273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COUNT(LifeExpectancyData[[#This Row],[Life expectancy]:[Schooling]])=19</f>
        <v>1</v>
      </c>
    </row>
    <row r="1598" spans="1:23" x14ac:dyDescent="0.25">
      <c r="A1598" t="s">
        <v>375</v>
      </c>
      <c r="B1598">
        <v>2005</v>
      </c>
      <c r="C1598" t="s">
        <v>273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COUNT(LifeExpectancyData[[#This Row],[Life expectancy]:[Schooling]])=19</f>
        <v>1</v>
      </c>
    </row>
    <row r="1599" spans="1:23" x14ac:dyDescent="0.25">
      <c r="A1599" t="s">
        <v>375</v>
      </c>
      <c r="B1599">
        <v>2004</v>
      </c>
      <c r="C1599" t="s">
        <v>273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COUNT(LifeExpectancyData[[#This Row],[Life expectancy]:[Schooling]])=19</f>
        <v>1</v>
      </c>
    </row>
    <row r="1600" spans="1:23" x14ac:dyDescent="0.25">
      <c r="A1600" t="s">
        <v>375</v>
      </c>
      <c r="B1600">
        <v>2003</v>
      </c>
      <c r="C1600" t="s">
        <v>273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COUNT(LifeExpectancyData[[#This Row],[Life expectancy]:[Schooling]])=19</f>
        <v>1</v>
      </c>
    </row>
    <row r="1601" spans="1:23" x14ac:dyDescent="0.25">
      <c r="A1601" t="s">
        <v>375</v>
      </c>
      <c r="B1601">
        <v>2002</v>
      </c>
      <c r="C1601" t="s">
        <v>273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COUNT(LifeExpectancyData[[#This Row],[Life expectancy]:[Schooling]])=19</f>
        <v>1</v>
      </c>
    </row>
    <row r="1602" spans="1:23" x14ac:dyDescent="0.25">
      <c r="A1602" t="s">
        <v>375</v>
      </c>
      <c r="B1602">
        <v>2001</v>
      </c>
      <c r="C1602" t="s">
        <v>273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COUNT(LifeExpectancyData[[#This Row],[Life expectancy]:[Schooling]])=19</f>
        <v>1</v>
      </c>
    </row>
    <row r="1603" spans="1:23" x14ac:dyDescent="0.25">
      <c r="A1603" t="s">
        <v>375</v>
      </c>
      <c r="B1603">
        <v>2000</v>
      </c>
      <c r="C1603" t="s">
        <v>273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COUNT(LifeExpectancyData[[#This Row],[Life expectancy]:[Schooling]])=19</f>
        <v>1</v>
      </c>
    </row>
    <row r="1604" spans="1:23" x14ac:dyDescent="0.25">
      <c r="A1604" t="s">
        <v>376</v>
      </c>
      <c r="B1604">
        <v>2015</v>
      </c>
      <c r="C1604" t="s">
        <v>273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COUNT(LifeExpectancyData[[#This Row],[Life expectancy]:[Schooling]])=19</f>
        <v>0</v>
      </c>
    </row>
    <row r="1605" spans="1:23" x14ac:dyDescent="0.25">
      <c r="A1605" t="s">
        <v>376</v>
      </c>
      <c r="B1605">
        <v>2014</v>
      </c>
      <c r="C1605" t="s">
        <v>273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COUNT(LifeExpectancyData[[#This Row],[Life expectancy]:[Schooling]])=19</f>
        <v>1</v>
      </c>
    </row>
    <row r="1606" spans="1:23" x14ac:dyDescent="0.25">
      <c r="A1606" t="s">
        <v>376</v>
      </c>
      <c r="B1606">
        <v>2013</v>
      </c>
      <c r="C1606" t="s">
        <v>273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COUNT(LifeExpectancyData[[#This Row],[Life expectancy]:[Schooling]])=19</f>
        <v>1</v>
      </c>
    </row>
    <row r="1607" spans="1:23" x14ac:dyDescent="0.25">
      <c r="A1607" t="s">
        <v>376</v>
      </c>
      <c r="B1607">
        <v>2012</v>
      </c>
      <c r="C1607" t="s">
        <v>273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COUNT(LifeExpectancyData[[#This Row],[Life expectancy]:[Schooling]])=19</f>
        <v>1</v>
      </c>
    </row>
    <row r="1608" spans="1:23" x14ac:dyDescent="0.25">
      <c r="A1608" t="s">
        <v>376</v>
      </c>
      <c r="B1608">
        <v>2011</v>
      </c>
      <c r="C1608" t="s">
        <v>273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COUNT(LifeExpectancyData[[#This Row],[Life expectancy]:[Schooling]])=19</f>
        <v>1</v>
      </c>
    </row>
    <row r="1609" spans="1:23" x14ac:dyDescent="0.25">
      <c r="A1609" t="s">
        <v>376</v>
      </c>
      <c r="B1609">
        <v>2010</v>
      </c>
      <c r="C1609" t="s">
        <v>273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COUNT(LifeExpectancyData[[#This Row],[Life expectancy]:[Schooling]])=19</f>
        <v>1</v>
      </c>
    </row>
    <row r="1610" spans="1:23" x14ac:dyDescent="0.25">
      <c r="A1610" t="s">
        <v>376</v>
      </c>
      <c r="B1610">
        <v>2009</v>
      </c>
      <c r="C1610" t="s">
        <v>273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COUNT(LifeExpectancyData[[#This Row],[Life expectancy]:[Schooling]])=19</f>
        <v>1</v>
      </c>
    </row>
    <row r="1611" spans="1:23" x14ac:dyDescent="0.25">
      <c r="A1611" t="s">
        <v>376</v>
      </c>
      <c r="B1611">
        <v>2008</v>
      </c>
      <c r="C1611" t="s">
        <v>273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COUNT(LifeExpectancyData[[#This Row],[Life expectancy]:[Schooling]])=19</f>
        <v>1</v>
      </c>
    </row>
    <row r="1612" spans="1:23" x14ac:dyDescent="0.25">
      <c r="A1612" t="s">
        <v>376</v>
      </c>
      <c r="B1612">
        <v>2007</v>
      </c>
      <c r="C1612" t="s">
        <v>273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COUNT(LifeExpectancyData[[#This Row],[Life expectancy]:[Schooling]])=19</f>
        <v>1</v>
      </c>
    </row>
    <row r="1613" spans="1:23" x14ac:dyDescent="0.25">
      <c r="A1613" t="s">
        <v>376</v>
      </c>
      <c r="B1613">
        <v>2006</v>
      </c>
      <c r="C1613" t="s">
        <v>273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COUNT(LifeExpectancyData[[#This Row],[Life expectancy]:[Schooling]])=19</f>
        <v>1</v>
      </c>
    </row>
    <row r="1614" spans="1:23" x14ac:dyDescent="0.25">
      <c r="A1614" t="s">
        <v>376</v>
      </c>
      <c r="B1614">
        <v>2005</v>
      </c>
      <c r="C1614" t="s">
        <v>273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COUNT(LifeExpectancyData[[#This Row],[Life expectancy]:[Schooling]])=19</f>
        <v>1</v>
      </c>
    </row>
    <row r="1615" spans="1:23" x14ac:dyDescent="0.25">
      <c r="A1615" t="s">
        <v>376</v>
      </c>
      <c r="B1615">
        <v>2004</v>
      </c>
      <c r="C1615" t="s">
        <v>273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COUNT(LifeExpectancyData[[#This Row],[Life expectancy]:[Schooling]])=19</f>
        <v>1</v>
      </c>
    </row>
    <row r="1616" spans="1:23" x14ac:dyDescent="0.25">
      <c r="A1616" t="s">
        <v>376</v>
      </c>
      <c r="B1616">
        <v>2003</v>
      </c>
      <c r="C1616" t="s">
        <v>273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COUNT(LifeExpectancyData[[#This Row],[Life expectancy]:[Schooling]])=19</f>
        <v>1</v>
      </c>
    </row>
    <row r="1617" spans="1:23" x14ac:dyDescent="0.25">
      <c r="A1617" t="s">
        <v>376</v>
      </c>
      <c r="B1617">
        <v>2002</v>
      </c>
      <c r="C1617" t="s">
        <v>273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COUNT(LifeExpectancyData[[#This Row],[Life expectancy]:[Schooling]])=19</f>
        <v>1</v>
      </c>
    </row>
    <row r="1618" spans="1:23" x14ac:dyDescent="0.25">
      <c r="A1618" t="s">
        <v>376</v>
      </c>
      <c r="B1618">
        <v>2001</v>
      </c>
      <c r="C1618" t="s">
        <v>273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COUNT(LifeExpectancyData[[#This Row],[Life expectancy]:[Schooling]])=19</f>
        <v>1</v>
      </c>
    </row>
    <row r="1619" spans="1:23" x14ac:dyDescent="0.25">
      <c r="A1619" t="s">
        <v>376</v>
      </c>
      <c r="B1619">
        <v>2000</v>
      </c>
      <c r="C1619" t="s">
        <v>273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COUNT(LifeExpectancyData[[#This Row],[Life expectancy]:[Schooling]])=19</f>
        <v>1</v>
      </c>
    </row>
    <row r="1620" spans="1:23" x14ac:dyDescent="0.25">
      <c r="A1620" t="s">
        <v>377</v>
      </c>
      <c r="B1620">
        <v>2015</v>
      </c>
      <c r="C1620" t="s">
        <v>273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COUNT(LifeExpectancyData[[#This Row],[Life expectancy]:[Schooling]])=19</f>
        <v>0</v>
      </c>
    </row>
    <row r="1621" spans="1:23" x14ac:dyDescent="0.25">
      <c r="A1621" t="s">
        <v>377</v>
      </c>
      <c r="B1621">
        <v>2014</v>
      </c>
      <c r="C1621" t="s">
        <v>273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COUNT(LifeExpectancyData[[#This Row],[Life expectancy]:[Schooling]])=19</f>
        <v>1</v>
      </c>
    </row>
    <row r="1622" spans="1:23" x14ac:dyDescent="0.25">
      <c r="A1622" t="s">
        <v>377</v>
      </c>
      <c r="B1622">
        <v>2013</v>
      </c>
      <c r="C1622" t="s">
        <v>273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COUNT(LifeExpectancyData[[#This Row],[Life expectancy]:[Schooling]])=19</f>
        <v>1</v>
      </c>
    </row>
    <row r="1623" spans="1:23" x14ac:dyDescent="0.25">
      <c r="A1623" t="s">
        <v>377</v>
      </c>
      <c r="B1623">
        <v>2012</v>
      </c>
      <c r="C1623" t="s">
        <v>273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COUNT(LifeExpectancyData[[#This Row],[Life expectancy]:[Schooling]])=19</f>
        <v>1</v>
      </c>
    </row>
    <row r="1624" spans="1:23" x14ac:dyDescent="0.25">
      <c r="A1624" t="s">
        <v>377</v>
      </c>
      <c r="B1624">
        <v>2011</v>
      </c>
      <c r="C1624" t="s">
        <v>273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COUNT(LifeExpectancyData[[#This Row],[Life expectancy]:[Schooling]])=19</f>
        <v>1</v>
      </c>
    </row>
    <row r="1625" spans="1:23" x14ac:dyDescent="0.25">
      <c r="A1625" t="s">
        <v>377</v>
      </c>
      <c r="B1625">
        <v>2010</v>
      </c>
      <c r="C1625" t="s">
        <v>273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COUNT(LifeExpectancyData[[#This Row],[Life expectancy]:[Schooling]])=19</f>
        <v>1</v>
      </c>
    </row>
    <row r="1626" spans="1:23" x14ac:dyDescent="0.25">
      <c r="A1626" t="s">
        <v>377</v>
      </c>
      <c r="B1626">
        <v>2009</v>
      </c>
      <c r="C1626" t="s">
        <v>273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COUNT(LifeExpectancyData[[#This Row],[Life expectancy]:[Schooling]])=19</f>
        <v>1</v>
      </c>
    </row>
    <row r="1627" spans="1:23" x14ac:dyDescent="0.25">
      <c r="A1627" t="s">
        <v>377</v>
      </c>
      <c r="B1627">
        <v>2008</v>
      </c>
      <c r="C1627" t="s">
        <v>273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COUNT(LifeExpectancyData[[#This Row],[Life expectancy]:[Schooling]])=19</f>
        <v>1</v>
      </c>
    </row>
    <row r="1628" spans="1:23" x14ac:dyDescent="0.25">
      <c r="A1628" t="s">
        <v>377</v>
      </c>
      <c r="B1628">
        <v>2007</v>
      </c>
      <c r="C1628" t="s">
        <v>273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COUNT(LifeExpectancyData[[#This Row],[Life expectancy]:[Schooling]])=19</f>
        <v>1</v>
      </c>
    </row>
    <row r="1629" spans="1:23" x14ac:dyDescent="0.25">
      <c r="A1629" t="s">
        <v>377</v>
      </c>
      <c r="B1629">
        <v>2006</v>
      </c>
      <c r="C1629" t="s">
        <v>273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COUNT(LifeExpectancyData[[#This Row],[Life expectancy]:[Schooling]])=19</f>
        <v>1</v>
      </c>
    </row>
    <row r="1630" spans="1:23" x14ac:dyDescent="0.25">
      <c r="A1630" t="s">
        <v>377</v>
      </c>
      <c r="B1630">
        <v>2005</v>
      </c>
      <c r="C1630" t="s">
        <v>273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COUNT(LifeExpectancyData[[#This Row],[Life expectancy]:[Schooling]])=19</f>
        <v>1</v>
      </c>
    </row>
    <row r="1631" spans="1:23" x14ac:dyDescent="0.25">
      <c r="A1631" t="s">
        <v>377</v>
      </c>
      <c r="B1631">
        <v>2004</v>
      </c>
      <c r="C1631" t="s">
        <v>273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COUNT(LifeExpectancyData[[#This Row],[Life expectancy]:[Schooling]])=19</f>
        <v>1</v>
      </c>
    </row>
    <row r="1632" spans="1:23" x14ac:dyDescent="0.25">
      <c r="A1632" t="s">
        <v>377</v>
      </c>
      <c r="B1632">
        <v>2003</v>
      </c>
      <c r="C1632" t="s">
        <v>273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COUNT(LifeExpectancyData[[#This Row],[Life expectancy]:[Schooling]])=19</f>
        <v>1</v>
      </c>
    </row>
    <row r="1633" spans="1:23" x14ac:dyDescent="0.25">
      <c r="A1633" t="s">
        <v>377</v>
      </c>
      <c r="B1633">
        <v>2002</v>
      </c>
      <c r="C1633" t="s">
        <v>273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COUNT(LifeExpectancyData[[#This Row],[Life expectancy]:[Schooling]])=19</f>
        <v>0</v>
      </c>
    </row>
    <row r="1634" spans="1:23" x14ac:dyDescent="0.25">
      <c r="A1634" t="s">
        <v>377</v>
      </c>
      <c r="B1634">
        <v>2001</v>
      </c>
      <c r="C1634" t="s">
        <v>273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COUNT(LifeExpectancyData[[#This Row],[Life expectancy]:[Schooling]])=19</f>
        <v>0</v>
      </c>
    </row>
    <row r="1635" spans="1:23" x14ac:dyDescent="0.25">
      <c r="A1635" t="s">
        <v>377</v>
      </c>
      <c r="B1635">
        <v>2000</v>
      </c>
      <c r="C1635" t="s">
        <v>273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COUNT(LifeExpectancyData[[#This Row],[Life expectancy]:[Schooling]])=19</f>
        <v>0</v>
      </c>
    </row>
    <row r="1636" spans="1:23" x14ac:dyDescent="0.25">
      <c r="A1636" t="s">
        <v>378</v>
      </c>
      <c r="B1636">
        <v>2015</v>
      </c>
      <c r="C1636" t="s">
        <v>281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COUNT(LifeExpectancyData[[#This Row],[Life expectancy]:[Schooling]])=19</f>
        <v>0</v>
      </c>
    </row>
    <row r="1637" spans="1:23" x14ac:dyDescent="0.25">
      <c r="A1637" t="s">
        <v>378</v>
      </c>
      <c r="B1637">
        <v>2014</v>
      </c>
      <c r="C1637" t="s">
        <v>281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COUNT(LifeExpectancyData[[#This Row],[Life expectancy]:[Schooling]])=19</f>
        <v>1</v>
      </c>
    </row>
    <row r="1638" spans="1:23" x14ac:dyDescent="0.25">
      <c r="A1638" t="s">
        <v>378</v>
      </c>
      <c r="B1638">
        <v>2013</v>
      </c>
      <c r="C1638" t="s">
        <v>281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COUNT(LifeExpectancyData[[#This Row],[Life expectancy]:[Schooling]])=19</f>
        <v>1</v>
      </c>
    </row>
    <row r="1639" spans="1:23" x14ac:dyDescent="0.25">
      <c r="A1639" t="s">
        <v>378</v>
      </c>
      <c r="B1639">
        <v>2012</v>
      </c>
      <c r="C1639" t="s">
        <v>281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COUNT(LifeExpectancyData[[#This Row],[Life expectancy]:[Schooling]])=19</f>
        <v>1</v>
      </c>
    </row>
    <row r="1640" spans="1:23" x14ac:dyDescent="0.25">
      <c r="A1640" t="s">
        <v>378</v>
      </c>
      <c r="B1640">
        <v>2011</v>
      </c>
      <c r="C1640" t="s">
        <v>281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COUNT(LifeExpectancyData[[#This Row],[Life expectancy]:[Schooling]])=19</f>
        <v>1</v>
      </c>
    </row>
    <row r="1641" spans="1:23" x14ac:dyDescent="0.25">
      <c r="A1641" t="s">
        <v>378</v>
      </c>
      <c r="B1641">
        <v>2010</v>
      </c>
      <c r="C1641" t="s">
        <v>281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COUNT(LifeExpectancyData[[#This Row],[Life expectancy]:[Schooling]])=19</f>
        <v>1</v>
      </c>
    </row>
    <row r="1642" spans="1:23" x14ac:dyDescent="0.25">
      <c r="A1642" t="s">
        <v>378</v>
      </c>
      <c r="B1642">
        <v>2009</v>
      </c>
      <c r="C1642" t="s">
        <v>281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COUNT(LifeExpectancyData[[#This Row],[Life expectancy]:[Schooling]])=19</f>
        <v>1</v>
      </c>
    </row>
    <row r="1643" spans="1:23" x14ac:dyDescent="0.25">
      <c r="A1643" t="s">
        <v>378</v>
      </c>
      <c r="B1643">
        <v>2008</v>
      </c>
      <c r="C1643" t="s">
        <v>281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COUNT(LifeExpectancyData[[#This Row],[Life expectancy]:[Schooling]])=19</f>
        <v>1</v>
      </c>
    </row>
    <row r="1644" spans="1:23" x14ac:dyDescent="0.25">
      <c r="A1644" t="s">
        <v>378</v>
      </c>
      <c r="B1644">
        <v>2007</v>
      </c>
      <c r="C1644" t="s">
        <v>281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COUNT(LifeExpectancyData[[#This Row],[Life expectancy]:[Schooling]])=19</f>
        <v>1</v>
      </c>
    </row>
    <row r="1645" spans="1:23" x14ac:dyDescent="0.25">
      <c r="A1645" t="s">
        <v>378</v>
      </c>
      <c r="B1645">
        <v>2006</v>
      </c>
      <c r="C1645" t="s">
        <v>281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COUNT(LifeExpectancyData[[#This Row],[Life expectancy]:[Schooling]])=19</f>
        <v>1</v>
      </c>
    </row>
    <row r="1646" spans="1:23" x14ac:dyDescent="0.25">
      <c r="A1646" t="s">
        <v>378</v>
      </c>
      <c r="B1646">
        <v>2005</v>
      </c>
      <c r="C1646" t="s">
        <v>281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COUNT(LifeExpectancyData[[#This Row],[Life expectancy]:[Schooling]])=19</f>
        <v>1</v>
      </c>
    </row>
    <row r="1647" spans="1:23" x14ac:dyDescent="0.25">
      <c r="A1647" t="s">
        <v>378</v>
      </c>
      <c r="B1647">
        <v>2004</v>
      </c>
      <c r="C1647" t="s">
        <v>281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COUNT(LifeExpectancyData[[#This Row],[Life expectancy]:[Schooling]])=19</f>
        <v>1</v>
      </c>
    </row>
    <row r="1648" spans="1:23" x14ac:dyDescent="0.25">
      <c r="A1648" t="s">
        <v>378</v>
      </c>
      <c r="B1648">
        <v>2003</v>
      </c>
      <c r="C1648" t="s">
        <v>281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COUNT(LifeExpectancyData[[#This Row],[Life expectancy]:[Schooling]])=19</f>
        <v>1</v>
      </c>
    </row>
    <row r="1649" spans="1:23" x14ac:dyDescent="0.25">
      <c r="A1649" t="s">
        <v>378</v>
      </c>
      <c r="B1649">
        <v>2002</v>
      </c>
      <c r="C1649" t="s">
        <v>281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COUNT(LifeExpectancyData[[#This Row],[Life expectancy]:[Schooling]])=19</f>
        <v>0</v>
      </c>
    </row>
    <row r="1650" spans="1:23" x14ac:dyDescent="0.25">
      <c r="A1650" t="s">
        <v>378</v>
      </c>
      <c r="B1650">
        <v>2001</v>
      </c>
      <c r="C1650" t="s">
        <v>281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COUNT(LifeExpectancyData[[#This Row],[Life expectancy]:[Schooling]])=19</f>
        <v>0</v>
      </c>
    </row>
    <row r="1651" spans="1:23" x14ac:dyDescent="0.25">
      <c r="A1651" t="s">
        <v>378</v>
      </c>
      <c r="B1651">
        <v>2000</v>
      </c>
      <c r="C1651" t="s">
        <v>281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COUNT(LifeExpectancyData[[#This Row],[Life expectancy]:[Schooling]])=19</f>
        <v>0</v>
      </c>
    </row>
    <row r="1652" spans="1:23" x14ac:dyDescent="0.25">
      <c r="A1652" t="s">
        <v>379</v>
      </c>
      <c r="B1652">
        <v>2013</v>
      </c>
      <c r="C1652" t="s">
        <v>273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COUNT(LifeExpectancyData[[#This Row],[Life expectancy]:[Schooling]])=19</f>
        <v>0</v>
      </c>
    </row>
    <row r="1653" spans="1:23" x14ac:dyDescent="0.25">
      <c r="A1653" t="s">
        <v>380</v>
      </c>
      <c r="B1653">
        <v>2015</v>
      </c>
      <c r="C1653" t="s">
        <v>273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COUNT(LifeExpectancyData[[#This Row],[Life expectancy]:[Schooling]])=19</f>
        <v>0</v>
      </c>
    </row>
    <row r="1654" spans="1:23" x14ac:dyDescent="0.25">
      <c r="A1654" t="s">
        <v>380</v>
      </c>
      <c r="B1654">
        <v>2014</v>
      </c>
      <c r="C1654" t="s">
        <v>273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COUNT(LifeExpectancyData[[#This Row],[Life expectancy]:[Schooling]])=19</f>
        <v>1</v>
      </c>
    </row>
    <row r="1655" spans="1:23" x14ac:dyDescent="0.25">
      <c r="A1655" t="s">
        <v>380</v>
      </c>
      <c r="B1655">
        <v>2013</v>
      </c>
      <c r="C1655" t="s">
        <v>273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COUNT(LifeExpectancyData[[#This Row],[Life expectancy]:[Schooling]])=19</f>
        <v>1</v>
      </c>
    </row>
    <row r="1656" spans="1:23" x14ac:dyDescent="0.25">
      <c r="A1656" t="s">
        <v>380</v>
      </c>
      <c r="B1656">
        <v>2012</v>
      </c>
      <c r="C1656" t="s">
        <v>273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COUNT(LifeExpectancyData[[#This Row],[Life expectancy]:[Schooling]])=19</f>
        <v>1</v>
      </c>
    </row>
    <row r="1657" spans="1:23" x14ac:dyDescent="0.25">
      <c r="A1657" t="s">
        <v>380</v>
      </c>
      <c r="B1657">
        <v>2011</v>
      </c>
      <c r="C1657" t="s">
        <v>273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COUNT(LifeExpectancyData[[#This Row],[Life expectancy]:[Schooling]])=19</f>
        <v>1</v>
      </c>
    </row>
    <row r="1658" spans="1:23" x14ac:dyDescent="0.25">
      <c r="A1658" t="s">
        <v>380</v>
      </c>
      <c r="B1658">
        <v>2010</v>
      </c>
      <c r="C1658" t="s">
        <v>273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COUNT(LifeExpectancyData[[#This Row],[Life expectancy]:[Schooling]])=19</f>
        <v>1</v>
      </c>
    </row>
    <row r="1659" spans="1:23" x14ac:dyDescent="0.25">
      <c r="A1659" t="s">
        <v>380</v>
      </c>
      <c r="B1659">
        <v>2009</v>
      </c>
      <c r="C1659" t="s">
        <v>273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COUNT(LifeExpectancyData[[#This Row],[Life expectancy]:[Schooling]])=19</f>
        <v>1</v>
      </c>
    </row>
    <row r="1660" spans="1:23" x14ac:dyDescent="0.25">
      <c r="A1660" t="s">
        <v>380</v>
      </c>
      <c r="B1660">
        <v>2008</v>
      </c>
      <c r="C1660" t="s">
        <v>273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COUNT(LifeExpectancyData[[#This Row],[Life expectancy]:[Schooling]])=19</f>
        <v>1</v>
      </c>
    </row>
    <row r="1661" spans="1:23" x14ac:dyDescent="0.25">
      <c r="A1661" t="s">
        <v>380</v>
      </c>
      <c r="B1661">
        <v>2007</v>
      </c>
      <c r="C1661" t="s">
        <v>273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COUNT(LifeExpectancyData[[#This Row],[Life expectancy]:[Schooling]])=19</f>
        <v>1</v>
      </c>
    </row>
    <row r="1662" spans="1:23" x14ac:dyDescent="0.25">
      <c r="A1662" t="s">
        <v>380</v>
      </c>
      <c r="B1662">
        <v>2006</v>
      </c>
      <c r="C1662" t="s">
        <v>273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COUNT(LifeExpectancyData[[#This Row],[Life expectancy]:[Schooling]])=19</f>
        <v>1</v>
      </c>
    </row>
    <row r="1663" spans="1:23" x14ac:dyDescent="0.25">
      <c r="A1663" t="s">
        <v>380</v>
      </c>
      <c r="B1663">
        <v>2005</v>
      </c>
      <c r="C1663" t="s">
        <v>273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COUNT(LifeExpectancyData[[#This Row],[Life expectancy]:[Schooling]])=19</f>
        <v>1</v>
      </c>
    </row>
    <row r="1664" spans="1:23" x14ac:dyDescent="0.25">
      <c r="A1664" t="s">
        <v>380</v>
      </c>
      <c r="B1664">
        <v>2004</v>
      </c>
      <c r="C1664" t="s">
        <v>273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COUNT(LifeExpectancyData[[#This Row],[Life expectancy]:[Schooling]])=19</f>
        <v>0</v>
      </c>
    </row>
    <row r="1665" spans="1:23" x14ac:dyDescent="0.25">
      <c r="A1665" t="s">
        <v>380</v>
      </c>
      <c r="B1665">
        <v>2003</v>
      </c>
      <c r="C1665" t="s">
        <v>273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COUNT(LifeExpectancyData[[#This Row],[Life expectancy]:[Schooling]])=19</f>
        <v>0</v>
      </c>
    </row>
    <row r="1666" spans="1:23" x14ac:dyDescent="0.25">
      <c r="A1666" t="s">
        <v>380</v>
      </c>
      <c r="B1666">
        <v>2002</v>
      </c>
      <c r="C1666" t="s">
        <v>273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COUNT(LifeExpectancyData[[#This Row],[Life expectancy]:[Schooling]])=19</f>
        <v>0</v>
      </c>
    </row>
    <row r="1667" spans="1:23" x14ac:dyDescent="0.25">
      <c r="A1667" t="s">
        <v>380</v>
      </c>
      <c r="B1667">
        <v>2001</v>
      </c>
      <c r="C1667" t="s">
        <v>273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COUNT(LifeExpectancyData[[#This Row],[Life expectancy]:[Schooling]])=19</f>
        <v>0</v>
      </c>
    </row>
    <row r="1668" spans="1:23" x14ac:dyDescent="0.25">
      <c r="A1668" t="s">
        <v>380</v>
      </c>
      <c r="B1668">
        <v>2000</v>
      </c>
      <c r="C1668" t="s">
        <v>273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COUNT(LifeExpectancyData[[#This Row],[Life expectancy]:[Schooling]])=19</f>
        <v>0</v>
      </c>
    </row>
    <row r="1669" spans="1:23" x14ac:dyDescent="0.25">
      <c r="A1669" t="s">
        <v>381</v>
      </c>
      <c r="B1669">
        <v>2015</v>
      </c>
      <c r="C1669" t="s">
        <v>273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COUNT(LifeExpectancyData[[#This Row],[Life expectancy]:[Schooling]])=19</f>
        <v>0</v>
      </c>
    </row>
    <row r="1670" spans="1:23" x14ac:dyDescent="0.25">
      <c r="A1670" t="s">
        <v>381</v>
      </c>
      <c r="B1670">
        <v>2014</v>
      </c>
      <c r="C1670" t="s">
        <v>273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COUNT(LifeExpectancyData[[#This Row],[Life expectancy]:[Schooling]])=19</f>
        <v>1</v>
      </c>
    </row>
    <row r="1671" spans="1:23" x14ac:dyDescent="0.25">
      <c r="A1671" t="s">
        <v>381</v>
      </c>
      <c r="B1671">
        <v>2013</v>
      </c>
      <c r="C1671" t="s">
        <v>273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COUNT(LifeExpectancyData[[#This Row],[Life expectancy]:[Schooling]])=19</f>
        <v>1</v>
      </c>
    </row>
    <row r="1672" spans="1:23" x14ac:dyDescent="0.25">
      <c r="A1672" t="s">
        <v>381</v>
      </c>
      <c r="B1672">
        <v>2012</v>
      </c>
      <c r="C1672" t="s">
        <v>273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COUNT(LifeExpectancyData[[#This Row],[Life expectancy]:[Schooling]])=19</f>
        <v>1</v>
      </c>
    </row>
    <row r="1673" spans="1:23" x14ac:dyDescent="0.25">
      <c r="A1673" t="s">
        <v>381</v>
      </c>
      <c r="B1673">
        <v>2011</v>
      </c>
      <c r="C1673" t="s">
        <v>273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COUNT(LifeExpectancyData[[#This Row],[Life expectancy]:[Schooling]])=19</f>
        <v>1</v>
      </c>
    </row>
    <row r="1674" spans="1:23" x14ac:dyDescent="0.25">
      <c r="A1674" t="s">
        <v>381</v>
      </c>
      <c r="B1674">
        <v>2010</v>
      </c>
      <c r="C1674" t="s">
        <v>273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COUNT(LifeExpectancyData[[#This Row],[Life expectancy]:[Schooling]])=19</f>
        <v>1</v>
      </c>
    </row>
    <row r="1675" spans="1:23" x14ac:dyDescent="0.25">
      <c r="A1675" t="s">
        <v>381</v>
      </c>
      <c r="B1675">
        <v>2009</v>
      </c>
      <c r="C1675" t="s">
        <v>273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COUNT(LifeExpectancyData[[#This Row],[Life expectancy]:[Schooling]])=19</f>
        <v>1</v>
      </c>
    </row>
    <row r="1676" spans="1:23" x14ac:dyDescent="0.25">
      <c r="A1676" t="s">
        <v>381</v>
      </c>
      <c r="B1676">
        <v>2008</v>
      </c>
      <c r="C1676" t="s">
        <v>273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COUNT(LifeExpectancyData[[#This Row],[Life expectancy]:[Schooling]])=19</f>
        <v>1</v>
      </c>
    </row>
    <row r="1677" spans="1:23" x14ac:dyDescent="0.25">
      <c r="A1677" t="s">
        <v>381</v>
      </c>
      <c r="B1677">
        <v>2007</v>
      </c>
      <c r="C1677" t="s">
        <v>273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COUNT(LifeExpectancyData[[#This Row],[Life expectancy]:[Schooling]])=19</f>
        <v>1</v>
      </c>
    </row>
    <row r="1678" spans="1:23" x14ac:dyDescent="0.25">
      <c r="A1678" t="s">
        <v>381</v>
      </c>
      <c r="B1678">
        <v>2006</v>
      </c>
      <c r="C1678" t="s">
        <v>273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COUNT(LifeExpectancyData[[#This Row],[Life expectancy]:[Schooling]])=19</f>
        <v>1</v>
      </c>
    </row>
    <row r="1679" spans="1:23" x14ac:dyDescent="0.25">
      <c r="A1679" t="s">
        <v>381</v>
      </c>
      <c r="B1679">
        <v>2005</v>
      </c>
      <c r="C1679" t="s">
        <v>273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COUNT(LifeExpectancyData[[#This Row],[Life expectancy]:[Schooling]])=19</f>
        <v>1</v>
      </c>
    </row>
    <row r="1680" spans="1:23" x14ac:dyDescent="0.25">
      <c r="A1680" t="s">
        <v>381</v>
      </c>
      <c r="B1680">
        <v>2004</v>
      </c>
      <c r="C1680" t="s">
        <v>273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COUNT(LifeExpectancyData[[#This Row],[Life expectancy]:[Schooling]])=19</f>
        <v>1</v>
      </c>
    </row>
    <row r="1681" spans="1:23" x14ac:dyDescent="0.25">
      <c r="A1681" t="s">
        <v>381</v>
      </c>
      <c r="B1681">
        <v>2003</v>
      </c>
      <c r="C1681" t="s">
        <v>273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COUNT(LifeExpectancyData[[#This Row],[Life expectancy]:[Schooling]])=19</f>
        <v>1</v>
      </c>
    </row>
    <row r="1682" spans="1:23" x14ac:dyDescent="0.25">
      <c r="A1682" t="s">
        <v>381</v>
      </c>
      <c r="B1682">
        <v>2002</v>
      </c>
      <c r="C1682" t="s">
        <v>273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COUNT(LifeExpectancyData[[#This Row],[Life expectancy]:[Schooling]])=19</f>
        <v>1</v>
      </c>
    </row>
    <row r="1683" spans="1:23" x14ac:dyDescent="0.25">
      <c r="A1683" t="s">
        <v>381</v>
      </c>
      <c r="B1683">
        <v>2001</v>
      </c>
      <c r="C1683" t="s">
        <v>273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COUNT(LifeExpectancyData[[#This Row],[Life expectancy]:[Schooling]])=19</f>
        <v>1</v>
      </c>
    </row>
    <row r="1684" spans="1:23" x14ac:dyDescent="0.25">
      <c r="A1684" t="s">
        <v>381</v>
      </c>
      <c r="B1684">
        <v>2000</v>
      </c>
      <c r="C1684" t="s">
        <v>273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COUNT(LifeExpectancyData[[#This Row],[Life expectancy]:[Schooling]])=19</f>
        <v>1</v>
      </c>
    </row>
    <row r="1685" spans="1:23" x14ac:dyDescent="0.25">
      <c r="A1685" t="s">
        <v>382</v>
      </c>
      <c r="B1685">
        <v>2015</v>
      </c>
      <c r="C1685" t="s">
        <v>273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COUNT(LifeExpectancyData[[#This Row],[Life expectancy]:[Schooling]])=19</f>
        <v>0</v>
      </c>
    </row>
    <row r="1686" spans="1:23" x14ac:dyDescent="0.25">
      <c r="A1686" t="s">
        <v>382</v>
      </c>
      <c r="B1686">
        <v>2014</v>
      </c>
      <c r="C1686" t="s">
        <v>273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COUNT(LifeExpectancyData[[#This Row],[Life expectancy]:[Schooling]])=19</f>
        <v>1</v>
      </c>
    </row>
    <row r="1687" spans="1:23" x14ac:dyDescent="0.25">
      <c r="A1687" t="s">
        <v>382</v>
      </c>
      <c r="B1687">
        <v>2013</v>
      </c>
      <c r="C1687" t="s">
        <v>273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COUNT(LifeExpectancyData[[#This Row],[Life expectancy]:[Schooling]])=19</f>
        <v>1</v>
      </c>
    </row>
    <row r="1688" spans="1:23" x14ac:dyDescent="0.25">
      <c r="A1688" t="s">
        <v>382</v>
      </c>
      <c r="B1688">
        <v>2012</v>
      </c>
      <c r="C1688" t="s">
        <v>273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COUNT(LifeExpectancyData[[#This Row],[Life expectancy]:[Schooling]])=19</f>
        <v>1</v>
      </c>
    </row>
    <row r="1689" spans="1:23" x14ac:dyDescent="0.25">
      <c r="A1689" t="s">
        <v>382</v>
      </c>
      <c r="B1689">
        <v>2011</v>
      </c>
      <c r="C1689" t="s">
        <v>273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COUNT(LifeExpectancyData[[#This Row],[Life expectancy]:[Schooling]])=19</f>
        <v>1</v>
      </c>
    </row>
    <row r="1690" spans="1:23" x14ac:dyDescent="0.25">
      <c r="A1690" t="s">
        <v>382</v>
      </c>
      <c r="B1690">
        <v>2010</v>
      </c>
      <c r="C1690" t="s">
        <v>273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COUNT(LifeExpectancyData[[#This Row],[Life expectancy]:[Schooling]])=19</f>
        <v>1</v>
      </c>
    </row>
    <row r="1691" spans="1:23" x14ac:dyDescent="0.25">
      <c r="A1691" t="s">
        <v>382</v>
      </c>
      <c r="B1691">
        <v>2009</v>
      </c>
      <c r="C1691" t="s">
        <v>273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COUNT(LifeExpectancyData[[#This Row],[Life expectancy]:[Schooling]])=19</f>
        <v>1</v>
      </c>
    </row>
    <row r="1692" spans="1:23" x14ac:dyDescent="0.25">
      <c r="A1692" t="s">
        <v>382</v>
      </c>
      <c r="B1692">
        <v>2008</v>
      </c>
      <c r="C1692" t="s">
        <v>273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COUNT(LifeExpectancyData[[#This Row],[Life expectancy]:[Schooling]])=19</f>
        <v>1</v>
      </c>
    </row>
    <row r="1693" spans="1:23" x14ac:dyDescent="0.25">
      <c r="A1693" t="s">
        <v>382</v>
      </c>
      <c r="B1693">
        <v>2007</v>
      </c>
      <c r="C1693" t="s">
        <v>273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COUNT(LifeExpectancyData[[#This Row],[Life expectancy]:[Schooling]])=19</f>
        <v>1</v>
      </c>
    </row>
    <row r="1694" spans="1:23" x14ac:dyDescent="0.25">
      <c r="A1694" t="s">
        <v>382</v>
      </c>
      <c r="B1694">
        <v>2006</v>
      </c>
      <c r="C1694" t="s">
        <v>273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COUNT(LifeExpectancyData[[#This Row],[Life expectancy]:[Schooling]])=19</f>
        <v>1</v>
      </c>
    </row>
    <row r="1695" spans="1:23" x14ac:dyDescent="0.25">
      <c r="A1695" t="s">
        <v>382</v>
      </c>
      <c r="B1695">
        <v>2005</v>
      </c>
      <c r="C1695" t="s">
        <v>273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COUNT(LifeExpectancyData[[#This Row],[Life expectancy]:[Schooling]])=19</f>
        <v>1</v>
      </c>
    </row>
    <row r="1696" spans="1:23" x14ac:dyDescent="0.25">
      <c r="A1696" t="s">
        <v>382</v>
      </c>
      <c r="B1696">
        <v>2004</v>
      </c>
      <c r="C1696" t="s">
        <v>273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COUNT(LifeExpectancyData[[#This Row],[Life expectancy]:[Schooling]])=19</f>
        <v>1</v>
      </c>
    </row>
    <row r="1697" spans="1:23" x14ac:dyDescent="0.25">
      <c r="A1697" t="s">
        <v>382</v>
      </c>
      <c r="B1697">
        <v>2003</v>
      </c>
      <c r="C1697" t="s">
        <v>273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COUNT(LifeExpectancyData[[#This Row],[Life expectancy]:[Schooling]])=19</f>
        <v>1</v>
      </c>
    </row>
    <row r="1698" spans="1:23" x14ac:dyDescent="0.25">
      <c r="A1698" t="s">
        <v>382</v>
      </c>
      <c r="B1698">
        <v>2002</v>
      </c>
      <c r="C1698" t="s">
        <v>273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COUNT(LifeExpectancyData[[#This Row],[Life expectancy]:[Schooling]])=19</f>
        <v>1</v>
      </c>
    </row>
    <row r="1699" spans="1:23" x14ac:dyDescent="0.25">
      <c r="A1699" t="s">
        <v>382</v>
      </c>
      <c r="B1699">
        <v>2001</v>
      </c>
      <c r="C1699" t="s">
        <v>273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COUNT(LifeExpectancyData[[#This Row],[Life expectancy]:[Schooling]])=19</f>
        <v>1</v>
      </c>
    </row>
    <row r="1700" spans="1:23" x14ac:dyDescent="0.25">
      <c r="A1700" t="s">
        <v>382</v>
      </c>
      <c r="B1700">
        <v>2000</v>
      </c>
      <c r="C1700" t="s">
        <v>273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COUNT(LifeExpectancyData[[#This Row],[Life expectancy]:[Schooling]])=19</f>
        <v>1</v>
      </c>
    </row>
    <row r="1701" spans="1:23" x14ac:dyDescent="0.25">
      <c r="A1701" t="s">
        <v>383</v>
      </c>
      <c r="B1701">
        <v>2015</v>
      </c>
      <c r="C1701" t="s">
        <v>273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COUNT(LifeExpectancyData[[#This Row],[Life expectancy]:[Schooling]])=19</f>
        <v>0</v>
      </c>
    </row>
    <row r="1702" spans="1:23" x14ac:dyDescent="0.25">
      <c r="A1702" t="s">
        <v>383</v>
      </c>
      <c r="B1702">
        <v>2014</v>
      </c>
      <c r="C1702" t="s">
        <v>273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COUNT(LifeExpectancyData[[#This Row],[Life expectancy]:[Schooling]])=19</f>
        <v>0</v>
      </c>
    </row>
    <row r="1703" spans="1:23" x14ac:dyDescent="0.25">
      <c r="A1703" t="s">
        <v>383</v>
      </c>
      <c r="B1703">
        <v>2013</v>
      </c>
      <c r="C1703" t="s">
        <v>273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COUNT(LifeExpectancyData[[#This Row],[Life expectancy]:[Schooling]])=19</f>
        <v>0</v>
      </c>
    </row>
    <row r="1704" spans="1:23" x14ac:dyDescent="0.25">
      <c r="A1704" t="s">
        <v>383</v>
      </c>
      <c r="B1704">
        <v>2012</v>
      </c>
      <c r="C1704" t="s">
        <v>273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COUNT(LifeExpectancyData[[#This Row],[Life expectancy]:[Schooling]])=19</f>
        <v>0</v>
      </c>
    </row>
    <row r="1705" spans="1:23" x14ac:dyDescent="0.25">
      <c r="A1705" t="s">
        <v>383</v>
      </c>
      <c r="B1705">
        <v>2011</v>
      </c>
      <c r="C1705" t="s">
        <v>273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COUNT(LifeExpectancyData[[#This Row],[Life expectancy]:[Schooling]])=19</f>
        <v>0</v>
      </c>
    </row>
    <row r="1706" spans="1:23" x14ac:dyDescent="0.25">
      <c r="A1706" t="s">
        <v>383</v>
      </c>
      <c r="B1706">
        <v>2010</v>
      </c>
      <c r="C1706" t="s">
        <v>273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COUNT(LifeExpectancyData[[#This Row],[Life expectancy]:[Schooling]])=19</f>
        <v>0</v>
      </c>
    </row>
    <row r="1707" spans="1:23" x14ac:dyDescent="0.25">
      <c r="A1707" t="s">
        <v>383</v>
      </c>
      <c r="B1707">
        <v>2009</v>
      </c>
      <c r="C1707" t="s">
        <v>273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COUNT(LifeExpectancyData[[#This Row],[Life expectancy]:[Schooling]])=19</f>
        <v>0</v>
      </c>
    </row>
    <row r="1708" spans="1:23" x14ac:dyDescent="0.25">
      <c r="A1708" t="s">
        <v>383</v>
      </c>
      <c r="B1708">
        <v>2008</v>
      </c>
      <c r="C1708" t="s">
        <v>273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COUNT(LifeExpectancyData[[#This Row],[Life expectancy]:[Schooling]])=19</f>
        <v>0</v>
      </c>
    </row>
    <row r="1709" spans="1:23" x14ac:dyDescent="0.25">
      <c r="A1709" t="s">
        <v>383</v>
      </c>
      <c r="B1709">
        <v>2007</v>
      </c>
      <c r="C1709" t="s">
        <v>273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COUNT(LifeExpectancyData[[#This Row],[Life expectancy]:[Schooling]])=19</f>
        <v>0</v>
      </c>
    </row>
    <row r="1710" spans="1:23" x14ac:dyDescent="0.25">
      <c r="A1710" t="s">
        <v>383</v>
      </c>
      <c r="B1710">
        <v>2006</v>
      </c>
      <c r="C1710" t="s">
        <v>273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COUNT(LifeExpectancyData[[#This Row],[Life expectancy]:[Schooling]])=19</f>
        <v>0</v>
      </c>
    </row>
    <row r="1711" spans="1:23" x14ac:dyDescent="0.25">
      <c r="A1711" t="s">
        <v>383</v>
      </c>
      <c r="B1711">
        <v>2005</v>
      </c>
      <c r="C1711" t="s">
        <v>273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COUNT(LifeExpectancyData[[#This Row],[Life expectancy]:[Schooling]])=19</f>
        <v>0</v>
      </c>
    </row>
    <row r="1712" spans="1:23" x14ac:dyDescent="0.25">
      <c r="A1712" t="s">
        <v>383</v>
      </c>
      <c r="B1712">
        <v>2004</v>
      </c>
      <c r="C1712" t="s">
        <v>273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COUNT(LifeExpectancyData[[#This Row],[Life expectancy]:[Schooling]])=19</f>
        <v>0</v>
      </c>
    </row>
    <row r="1713" spans="1:23" x14ac:dyDescent="0.25">
      <c r="A1713" t="s">
        <v>383</v>
      </c>
      <c r="B1713">
        <v>2003</v>
      </c>
      <c r="C1713" t="s">
        <v>273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COUNT(LifeExpectancyData[[#This Row],[Life expectancy]:[Schooling]])=19</f>
        <v>0</v>
      </c>
    </row>
    <row r="1714" spans="1:23" x14ac:dyDescent="0.25">
      <c r="A1714" t="s">
        <v>383</v>
      </c>
      <c r="B1714">
        <v>2002</v>
      </c>
      <c r="C1714" t="s">
        <v>273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COUNT(LifeExpectancyData[[#This Row],[Life expectancy]:[Schooling]])=19</f>
        <v>0</v>
      </c>
    </row>
    <row r="1715" spans="1:23" x14ac:dyDescent="0.25">
      <c r="A1715" t="s">
        <v>383</v>
      </c>
      <c r="B1715">
        <v>2001</v>
      </c>
      <c r="C1715" t="s">
        <v>273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COUNT(LifeExpectancyData[[#This Row],[Life expectancy]:[Schooling]])=19</f>
        <v>0</v>
      </c>
    </row>
    <row r="1716" spans="1:23" x14ac:dyDescent="0.25">
      <c r="A1716" t="s">
        <v>383</v>
      </c>
      <c r="B1716">
        <v>2000</v>
      </c>
      <c r="C1716" t="s">
        <v>273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COUNT(LifeExpectancyData[[#This Row],[Life expectancy]:[Schooling]])=19</f>
        <v>0</v>
      </c>
    </row>
    <row r="1717" spans="1:23" x14ac:dyDescent="0.25">
      <c r="A1717" t="s">
        <v>384</v>
      </c>
      <c r="B1717">
        <v>2013</v>
      </c>
      <c r="C1717" t="s">
        <v>273</v>
      </c>
      <c r="F1717">
        <v>0</v>
      </c>
      <c r="G1717">
        <v>0.01</v>
      </c>
      <c r="H1717">
        <v>0</v>
      </c>
      <c r="I1717">
        <v>99</v>
      </c>
      <c r="J1717">
        <v>0</v>
      </c>
      <c r="L1717">
        <v>0</v>
      </c>
      <c r="M1717">
        <v>99</v>
      </c>
      <c r="N1717">
        <v>4.3</v>
      </c>
      <c r="O1717">
        <v>99</v>
      </c>
      <c r="P1717">
        <v>0.1</v>
      </c>
      <c r="W1717" t="b">
        <f>COUNT(LifeExpectancyData[[#This Row],[Life expectancy]:[Schooling]])=19</f>
        <v>0</v>
      </c>
    </row>
    <row r="1718" spans="1:23" x14ac:dyDescent="0.25">
      <c r="A1718" t="s">
        <v>385</v>
      </c>
      <c r="B1718">
        <v>2015</v>
      </c>
      <c r="C1718" t="s">
        <v>273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COUNT(LifeExpectancyData[[#This Row],[Life expectancy]:[Schooling]])=19</f>
        <v>0</v>
      </c>
    </row>
    <row r="1719" spans="1:23" x14ac:dyDescent="0.25">
      <c r="A1719" t="s">
        <v>385</v>
      </c>
      <c r="B1719">
        <v>2014</v>
      </c>
      <c r="C1719" t="s">
        <v>273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COUNT(LifeExpectancyData[[#This Row],[Life expectancy]:[Schooling]])=19</f>
        <v>1</v>
      </c>
    </row>
    <row r="1720" spans="1:23" x14ac:dyDescent="0.25">
      <c r="A1720" t="s">
        <v>385</v>
      </c>
      <c r="B1720">
        <v>2013</v>
      </c>
      <c r="C1720" t="s">
        <v>273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COUNT(LifeExpectancyData[[#This Row],[Life expectancy]:[Schooling]])=19</f>
        <v>1</v>
      </c>
    </row>
    <row r="1721" spans="1:23" x14ac:dyDescent="0.25">
      <c r="A1721" t="s">
        <v>385</v>
      </c>
      <c r="B1721">
        <v>2012</v>
      </c>
      <c r="C1721" t="s">
        <v>273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COUNT(LifeExpectancyData[[#This Row],[Life expectancy]:[Schooling]])=19</f>
        <v>1</v>
      </c>
    </row>
    <row r="1722" spans="1:23" x14ac:dyDescent="0.25">
      <c r="A1722" t="s">
        <v>385</v>
      </c>
      <c r="B1722">
        <v>2011</v>
      </c>
      <c r="C1722" t="s">
        <v>273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COUNT(LifeExpectancyData[[#This Row],[Life expectancy]:[Schooling]])=19</f>
        <v>1</v>
      </c>
    </row>
    <row r="1723" spans="1:23" x14ac:dyDescent="0.25">
      <c r="A1723" t="s">
        <v>385</v>
      </c>
      <c r="B1723">
        <v>2010</v>
      </c>
      <c r="C1723" t="s">
        <v>273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COUNT(LifeExpectancyData[[#This Row],[Life expectancy]:[Schooling]])=19</f>
        <v>1</v>
      </c>
    </row>
    <row r="1724" spans="1:23" x14ac:dyDescent="0.25">
      <c r="A1724" t="s">
        <v>385</v>
      </c>
      <c r="B1724">
        <v>2009</v>
      </c>
      <c r="C1724" t="s">
        <v>273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COUNT(LifeExpectancyData[[#This Row],[Life expectancy]:[Schooling]])=19</f>
        <v>1</v>
      </c>
    </row>
    <row r="1725" spans="1:23" x14ac:dyDescent="0.25">
      <c r="A1725" t="s">
        <v>385</v>
      </c>
      <c r="B1725">
        <v>2008</v>
      </c>
      <c r="C1725" t="s">
        <v>273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COUNT(LifeExpectancyData[[#This Row],[Life expectancy]:[Schooling]])=19</f>
        <v>1</v>
      </c>
    </row>
    <row r="1726" spans="1:23" x14ac:dyDescent="0.25">
      <c r="A1726" t="s">
        <v>385</v>
      </c>
      <c r="B1726">
        <v>2007</v>
      </c>
      <c r="C1726" t="s">
        <v>273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COUNT(LifeExpectancyData[[#This Row],[Life expectancy]:[Schooling]])=19</f>
        <v>1</v>
      </c>
    </row>
    <row r="1727" spans="1:23" x14ac:dyDescent="0.25">
      <c r="A1727" t="s">
        <v>385</v>
      </c>
      <c r="B1727">
        <v>2006</v>
      </c>
      <c r="C1727" t="s">
        <v>273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COUNT(LifeExpectancyData[[#This Row],[Life expectancy]:[Schooling]])=19</f>
        <v>1</v>
      </c>
    </row>
    <row r="1728" spans="1:23" x14ac:dyDescent="0.25">
      <c r="A1728" t="s">
        <v>385</v>
      </c>
      <c r="B1728">
        <v>2005</v>
      </c>
      <c r="C1728" t="s">
        <v>273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COUNT(LifeExpectancyData[[#This Row],[Life expectancy]:[Schooling]])=19</f>
        <v>1</v>
      </c>
    </row>
    <row r="1729" spans="1:23" x14ac:dyDescent="0.25">
      <c r="A1729" t="s">
        <v>385</v>
      </c>
      <c r="B1729">
        <v>2004</v>
      </c>
      <c r="C1729" t="s">
        <v>273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COUNT(LifeExpectancyData[[#This Row],[Life expectancy]:[Schooling]])=19</f>
        <v>1</v>
      </c>
    </row>
    <row r="1730" spans="1:23" x14ac:dyDescent="0.25">
      <c r="A1730" t="s">
        <v>385</v>
      </c>
      <c r="B1730">
        <v>2003</v>
      </c>
      <c r="C1730" t="s">
        <v>273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COUNT(LifeExpectancyData[[#This Row],[Life expectancy]:[Schooling]])=19</f>
        <v>1</v>
      </c>
    </row>
    <row r="1731" spans="1:23" x14ac:dyDescent="0.25">
      <c r="A1731" t="s">
        <v>385</v>
      </c>
      <c r="B1731">
        <v>2002</v>
      </c>
      <c r="C1731" t="s">
        <v>273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COUNT(LifeExpectancyData[[#This Row],[Life expectancy]:[Schooling]])=19</f>
        <v>1</v>
      </c>
    </row>
    <row r="1732" spans="1:23" x14ac:dyDescent="0.25">
      <c r="A1732" t="s">
        <v>385</v>
      </c>
      <c r="B1732">
        <v>2001</v>
      </c>
      <c r="C1732" t="s">
        <v>273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COUNT(LifeExpectancyData[[#This Row],[Life expectancy]:[Schooling]])=19</f>
        <v>1</v>
      </c>
    </row>
    <row r="1733" spans="1:23" x14ac:dyDescent="0.25">
      <c r="A1733" t="s">
        <v>385</v>
      </c>
      <c r="B1733">
        <v>2000</v>
      </c>
      <c r="C1733" t="s">
        <v>273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COUNT(LifeExpectancyData[[#This Row],[Life expectancy]:[Schooling]])=19</f>
        <v>1</v>
      </c>
    </row>
    <row r="1734" spans="1:23" x14ac:dyDescent="0.25">
      <c r="A1734" t="s">
        <v>386</v>
      </c>
      <c r="B1734">
        <v>2015</v>
      </c>
      <c r="C1734" t="s">
        <v>273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COUNT(LifeExpectancyData[[#This Row],[Life expectancy]:[Schooling]])=19</f>
        <v>0</v>
      </c>
    </row>
    <row r="1735" spans="1:23" x14ac:dyDescent="0.25">
      <c r="A1735" t="s">
        <v>386</v>
      </c>
      <c r="B1735">
        <v>2014</v>
      </c>
      <c r="C1735" t="s">
        <v>273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COUNT(LifeExpectancyData[[#This Row],[Life expectancy]:[Schooling]])=19</f>
        <v>1</v>
      </c>
    </row>
    <row r="1736" spans="1:23" x14ac:dyDescent="0.25">
      <c r="A1736" t="s">
        <v>386</v>
      </c>
      <c r="B1736">
        <v>2013</v>
      </c>
      <c r="C1736" t="s">
        <v>273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COUNT(LifeExpectancyData[[#This Row],[Life expectancy]:[Schooling]])=19</f>
        <v>1</v>
      </c>
    </row>
    <row r="1737" spans="1:23" x14ac:dyDescent="0.25">
      <c r="A1737" t="s">
        <v>386</v>
      </c>
      <c r="B1737">
        <v>2012</v>
      </c>
      <c r="C1737" t="s">
        <v>273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COUNT(LifeExpectancyData[[#This Row],[Life expectancy]:[Schooling]])=19</f>
        <v>1</v>
      </c>
    </row>
    <row r="1738" spans="1:23" x14ac:dyDescent="0.25">
      <c r="A1738" t="s">
        <v>386</v>
      </c>
      <c r="B1738">
        <v>2011</v>
      </c>
      <c r="C1738" t="s">
        <v>273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COUNT(LifeExpectancyData[[#This Row],[Life expectancy]:[Schooling]])=19</f>
        <v>1</v>
      </c>
    </row>
    <row r="1739" spans="1:23" x14ac:dyDescent="0.25">
      <c r="A1739" t="s">
        <v>386</v>
      </c>
      <c r="B1739">
        <v>2010</v>
      </c>
      <c r="C1739" t="s">
        <v>273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COUNT(LifeExpectancyData[[#This Row],[Life expectancy]:[Schooling]])=19</f>
        <v>1</v>
      </c>
    </row>
    <row r="1740" spans="1:23" x14ac:dyDescent="0.25">
      <c r="A1740" t="s">
        <v>386</v>
      </c>
      <c r="B1740">
        <v>2009</v>
      </c>
      <c r="C1740" t="s">
        <v>273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COUNT(LifeExpectancyData[[#This Row],[Life expectancy]:[Schooling]])=19</f>
        <v>1</v>
      </c>
    </row>
    <row r="1741" spans="1:23" x14ac:dyDescent="0.25">
      <c r="A1741" t="s">
        <v>386</v>
      </c>
      <c r="B1741">
        <v>2008</v>
      </c>
      <c r="C1741" t="s">
        <v>273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COUNT(LifeExpectancyData[[#This Row],[Life expectancy]:[Schooling]])=19</f>
        <v>1</v>
      </c>
    </row>
    <row r="1742" spans="1:23" x14ac:dyDescent="0.25">
      <c r="A1742" t="s">
        <v>386</v>
      </c>
      <c r="B1742">
        <v>2007</v>
      </c>
      <c r="C1742" t="s">
        <v>273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COUNT(LifeExpectancyData[[#This Row],[Life expectancy]:[Schooling]])=19</f>
        <v>1</v>
      </c>
    </row>
    <row r="1743" spans="1:23" x14ac:dyDescent="0.25">
      <c r="A1743" t="s">
        <v>386</v>
      </c>
      <c r="B1743">
        <v>2006</v>
      </c>
      <c r="C1743" t="s">
        <v>273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COUNT(LifeExpectancyData[[#This Row],[Life expectancy]:[Schooling]])=19</f>
        <v>1</v>
      </c>
    </row>
    <row r="1744" spans="1:23" x14ac:dyDescent="0.25">
      <c r="A1744" t="s">
        <v>386</v>
      </c>
      <c r="B1744">
        <v>2005</v>
      </c>
      <c r="C1744" t="s">
        <v>273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COUNT(LifeExpectancyData[[#This Row],[Life expectancy]:[Schooling]])=19</f>
        <v>0</v>
      </c>
    </row>
    <row r="1745" spans="1:23" x14ac:dyDescent="0.25">
      <c r="A1745" t="s">
        <v>386</v>
      </c>
      <c r="B1745">
        <v>2004</v>
      </c>
      <c r="C1745" t="s">
        <v>273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COUNT(LifeExpectancyData[[#This Row],[Life expectancy]:[Schooling]])=19</f>
        <v>0</v>
      </c>
    </row>
    <row r="1746" spans="1:23" x14ac:dyDescent="0.25">
      <c r="A1746" t="s">
        <v>386</v>
      </c>
      <c r="B1746">
        <v>2003</v>
      </c>
      <c r="C1746" t="s">
        <v>273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COUNT(LifeExpectancyData[[#This Row],[Life expectancy]:[Schooling]])=19</f>
        <v>0</v>
      </c>
    </row>
    <row r="1747" spans="1:23" x14ac:dyDescent="0.25">
      <c r="A1747" t="s">
        <v>386</v>
      </c>
      <c r="B1747">
        <v>2002</v>
      </c>
      <c r="C1747" t="s">
        <v>273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COUNT(LifeExpectancyData[[#This Row],[Life expectancy]:[Schooling]])=19</f>
        <v>0</v>
      </c>
    </row>
    <row r="1748" spans="1:23" x14ac:dyDescent="0.25">
      <c r="A1748" t="s">
        <v>386</v>
      </c>
      <c r="B1748">
        <v>2001</v>
      </c>
      <c r="C1748" t="s">
        <v>273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COUNT(LifeExpectancyData[[#This Row],[Life expectancy]:[Schooling]])=19</f>
        <v>0</v>
      </c>
    </row>
    <row r="1749" spans="1:23" x14ac:dyDescent="0.25">
      <c r="A1749" t="s">
        <v>386</v>
      </c>
      <c r="B1749">
        <v>2000</v>
      </c>
      <c r="C1749" t="s">
        <v>273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COUNT(LifeExpectancyData[[#This Row],[Life expectancy]:[Schooling]])=19</f>
        <v>0</v>
      </c>
    </row>
    <row r="1750" spans="1:23" x14ac:dyDescent="0.25">
      <c r="A1750" t="s">
        <v>387</v>
      </c>
      <c r="B1750">
        <v>2015</v>
      </c>
      <c r="C1750" t="s">
        <v>273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COUNT(LifeExpectancyData[[#This Row],[Life expectancy]:[Schooling]])=19</f>
        <v>0</v>
      </c>
    </row>
    <row r="1751" spans="1:23" x14ac:dyDescent="0.25">
      <c r="A1751" t="s">
        <v>387</v>
      </c>
      <c r="B1751">
        <v>2014</v>
      </c>
      <c r="C1751" t="s">
        <v>273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COUNT(LifeExpectancyData[[#This Row],[Life expectancy]:[Schooling]])=19</f>
        <v>1</v>
      </c>
    </row>
    <row r="1752" spans="1:23" x14ac:dyDescent="0.25">
      <c r="A1752" t="s">
        <v>387</v>
      </c>
      <c r="B1752">
        <v>2013</v>
      </c>
      <c r="C1752" t="s">
        <v>273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COUNT(LifeExpectancyData[[#This Row],[Life expectancy]:[Schooling]])=19</f>
        <v>1</v>
      </c>
    </row>
    <row r="1753" spans="1:23" x14ac:dyDescent="0.25">
      <c r="A1753" t="s">
        <v>387</v>
      </c>
      <c r="B1753">
        <v>2012</v>
      </c>
      <c r="C1753" t="s">
        <v>273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COUNT(LifeExpectancyData[[#This Row],[Life expectancy]:[Schooling]])=19</f>
        <v>1</v>
      </c>
    </row>
    <row r="1754" spans="1:23" x14ac:dyDescent="0.25">
      <c r="A1754" t="s">
        <v>387</v>
      </c>
      <c r="B1754">
        <v>2011</v>
      </c>
      <c r="C1754" t="s">
        <v>273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COUNT(LifeExpectancyData[[#This Row],[Life expectancy]:[Schooling]])=19</f>
        <v>1</v>
      </c>
    </row>
    <row r="1755" spans="1:23" x14ac:dyDescent="0.25">
      <c r="A1755" t="s">
        <v>387</v>
      </c>
      <c r="B1755">
        <v>2010</v>
      </c>
      <c r="C1755" t="s">
        <v>273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COUNT(LifeExpectancyData[[#This Row],[Life expectancy]:[Schooling]])=19</f>
        <v>1</v>
      </c>
    </row>
    <row r="1756" spans="1:23" x14ac:dyDescent="0.25">
      <c r="A1756" t="s">
        <v>387</v>
      </c>
      <c r="B1756">
        <v>2009</v>
      </c>
      <c r="C1756" t="s">
        <v>273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COUNT(LifeExpectancyData[[#This Row],[Life expectancy]:[Schooling]])=19</f>
        <v>1</v>
      </c>
    </row>
    <row r="1757" spans="1:23" x14ac:dyDescent="0.25">
      <c r="A1757" t="s">
        <v>387</v>
      </c>
      <c r="B1757">
        <v>2008</v>
      </c>
      <c r="C1757" t="s">
        <v>273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COUNT(LifeExpectancyData[[#This Row],[Life expectancy]:[Schooling]])=19</f>
        <v>1</v>
      </c>
    </row>
    <row r="1758" spans="1:23" x14ac:dyDescent="0.25">
      <c r="A1758" t="s">
        <v>387</v>
      </c>
      <c r="B1758">
        <v>2007</v>
      </c>
      <c r="C1758" t="s">
        <v>273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COUNT(LifeExpectancyData[[#This Row],[Life expectancy]:[Schooling]])=19</f>
        <v>1</v>
      </c>
    </row>
    <row r="1759" spans="1:23" x14ac:dyDescent="0.25">
      <c r="A1759" t="s">
        <v>387</v>
      </c>
      <c r="B1759">
        <v>2006</v>
      </c>
      <c r="C1759" t="s">
        <v>273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COUNT(LifeExpectancyData[[#This Row],[Life expectancy]:[Schooling]])=19</f>
        <v>1</v>
      </c>
    </row>
    <row r="1760" spans="1:23" x14ac:dyDescent="0.25">
      <c r="A1760" t="s">
        <v>387</v>
      </c>
      <c r="B1760">
        <v>2005</v>
      </c>
      <c r="C1760" t="s">
        <v>273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COUNT(LifeExpectancyData[[#This Row],[Life expectancy]:[Schooling]])=19</f>
        <v>1</v>
      </c>
    </row>
    <row r="1761" spans="1:23" x14ac:dyDescent="0.25">
      <c r="A1761" t="s">
        <v>387</v>
      </c>
      <c r="B1761">
        <v>2004</v>
      </c>
      <c r="C1761" t="s">
        <v>273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COUNT(LifeExpectancyData[[#This Row],[Life expectancy]:[Schooling]])=19</f>
        <v>1</v>
      </c>
    </row>
    <row r="1762" spans="1:23" x14ac:dyDescent="0.25">
      <c r="A1762" t="s">
        <v>387</v>
      </c>
      <c r="B1762">
        <v>2003</v>
      </c>
      <c r="C1762" t="s">
        <v>273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COUNT(LifeExpectancyData[[#This Row],[Life expectancy]:[Schooling]])=19</f>
        <v>1</v>
      </c>
    </row>
    <row r="1763" spans="1:23" x14ac:dyDescent="0.25">
      <c r="A1763" t="s">
        <v>387</v>
      </c>
      <c r="B1763">
        <v>2002</v>
      </c>
      <c r="C1763" t="s">
        <v>273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COUNT(LifeExpectancyData[[#This Row],[Life expectancy]:[Schooling]])=19</f>
        <v>1</v>
      </c>
    </row>
    <row r="1764" spans="1:23" x14ac:dyDescent="0.25">
      <c r="A1764" t="s">
        <v>387</v>
      </c>
      <c r="B1764">
        <v>2001</v>
      </c>
      <c r="C1764" t="s">
        <v>273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COUNT(LifeExpectancyData[[#This Row],[Life expectancy]:[Schooling]])=19</f>
        <v>1</v>
      </c>
    </row>
    <row r="1765" spans="1:23" x14ac:dyDescent="0.25">
      <c r="A1765" t="s">
        <v>387</v>
      </c>
      <c r="B1765">
        <v>2000</v>
      </c>
      <c r="C1765" t="s">
        <v>273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COUNT(LifeExpectancyData[[#This Row],[Life expectancy]:[Schooling]])=19</f>
        <v>1</v>
      </c>
    </row>
    <row r="1766" spans="1:23" x14ac:dyDescent="0.25">
      <c r="A1766" t="s">
        <v>388</v>
      </c>
      <c r="B1766">
        <v>2015</v>
      </c>
      <c r="C1766" t="s">
        <v>273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COUNT(LifeExpectancyData[[#This Row],[Life expectancy]:[Schooling]])=19</f>
        <v>0</v>
      </c>
    </row>
    <row r="1767" spans="1:23" x14ac:dyDescent="0.25">
      <c r="A1767" t="s">
        <v>388</v>
      </c>
      <c r="B1767">
        <v>2014</v>
      </c>
      <c r="C1767" t="s">
        <v>273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COUNT(LifeExpectancyData[[#This Row],[Life expectancy]:[Schooling]])=19</f>
        <v>1</v>
      </c>
    </row>
    <row r="1768" spans="1:23" x14ac:dyDescent="0.25">
      <c r="A1768" t="s">
        <v>388</v>
      </c>
      <c r="B1768">
        <v>2013</v>
      </c>
      <c r="C1768" t="s">
        <v>273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COUNT(LifeExpectancyData[[#This Row],[Life expectancy]:[Schooling]])=19</f>
        <v>1</v>
      </c>
    </row>
    <row r="1769" spans="1:23" x14ac:dyDescent="0.25">
      <c r="A1769" t="s">
        <v>388</v>
      </c>
      <c r="B1769">
        <v>2012</v>
      </c>
      <c r="C1769" t="s">
        <v>273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COUNT(LifeExpectancyData[[#This Row],[Life expectancy]:[Schooling]])=19</f>
        <v>1</v>
      </c>
    </row>
    <row r="1770" spans="1:23" x14ac:dyDescent="0.25">
      <c r="A1770" t="s">
        <v>388</v>
      </c>
      <c r="B1770">
        <v>2011</v>
      </c>
      <c r="C1770" t="s">
        <v>273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COUNT(LifeExpectancyData[[#This Row],[Life expectancy]:[Schooling]])=19</f>
        <v>1</v>
      </c>
    </row>
    <row r="1771" spans="1:23" x14ac:dyDescent="0.25">
      <c r="A1771" t="s">
        <v>388</v>
      </c>
      <c r="B1771">
        <v>2010</v>
      </c>
      <c r="C1771" t="s">
        <v>273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COUNT(LifeExpectancyData[[#This Row],[Life expectancy]:[Schooling]])=19</f>
        <v>1</v>
      </c>
    </row>
    <row r="1772" spans="1:23" x14ac:dyDescent="0.25">
      <c r="A1772" t="s">
        <v>388</v>
      </c>
      <c r="B1772">
        <v>2009</v>
      </c>
      <c r="C1772" t="s">
        <v>273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COUNT(LifeExpectancyData[[#This Row],[Life expectancy]:[Schooling]])=19</f>
        <v>1</v>
      </c>
    </row>
    <row r="1773" spans="1:23" x14ac:dyDescent="0.25">
      <c r="A1773" t="s">
        <v>388</v>
      </c>
      <c r="B1773">
        <v>2008</v>
      </c>
      <c r="C1773" t="s">
        <v>273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COUNT(LifeExpectancyData[[#This Row],[Life expectancy]:[Schooling]])=19</f>
        <v>1</v>
      </c>
    </row>
    <row r="1774" spans="1:23" x14ac:dyDescent="0.25">
      <c r="A1774" t="s">
        <v>388</v>
      </c>
      <c r="B1774">
        <v>2007</v>
      </c>
      <c r="C1774" t="s">
        <v>273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COUNT(LifeExpectancyData[[#This Row],[Life expectancy]:[Schooling]])=19</f>
        <v>1</v>
      </c>
    </row>
    <row r="1775" spans="1:23" x14ac:dyDescent="0.25">
      <c r="A1775" t="s">
        <v>388</v>
      </c>
      <c r="B1775">
        <v>2006</v>
      </c>
      <c r="C1775" t="s">
        <v>273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COUNT(LifeExpectancyData[[#This Row],[Life expectancy]:[Schooling]])=19</f>
        <v>1</v>
      </c>
    </row>
    <row r="1776" spans="1:23" x14ac:dyDescent="0.25">
      <c r="A1776" t="s">
        <v>388</v>
      </c>
      <c r="B1776">
        <v>2005</v>
      </c>
      <c r="C1776" t="s">
        <v>273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COUNT(LifeExpectancyData[[#This Row],[Life expectancy]:[Schooling]])=19</f>
        <v>1</v>
      </c>
    </row>
    <row r="1777" spans="1:23" x14ac:dyDescent="0.25">
      <c r="A1777" t="s">
        <v>388</v>
      </c>
      <c r="B1777">
        <v>2004</v>
      </c>
      <c r="C1777" t="s">
        <v>273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COUNT(LifeExpectancyData[[#This Row],[Life expectancy]:[Schooling]])=19</f>
        <v>1</v>
      </c>
    </row>
    <row r="1778" spans="1:23" x14ac:dyDescent="0.25">
      <c r="A1778" t="s">
        <v>388</v>
      </c>
      <c r="B1778">
        <v>2003</v>
      </c>
      <c r="C1778" t="s">
        <v>273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COUNT(LifeExpectancyData[[#This Row],[Life expectancy]:[Schooling]])=19</f>
        <v>1</v>
      </c>
    </row>
    <row r="1779" spans="1:23" x14ac:dyDescent="0.25">
      <c r="A1779" t="s">
        <v>388</v>
      </c>
      <c r="B1779">
        <v>2002</v>
      </c>
      <c r="C1779" t="s">
        <v>273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COUNT(LifeExpectancyData[[#This Row],[Life expectancy]:[Schooling]])=19</f>
        <v>1</v>
      </c>
    </row>
    <row r="1780" spans="1:23" x14ac:dyDescent="0.25">
      <c r="A1780" t="s">
        <v>388</v>
      </c>
      <c r="B1780">
        <v>2001</v>
      </c>
      <c r="C1780" t="s">
        <v>273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COUNT(LifeExpectancyData[[#This Row],[Life expectancy]:[Schooling]])=19</f>
        <v>1</v>
      </c>
    </row>
    <row r="1781" spans="1:23" x14ac:dyDescent="0.25">
      <c r="A1781" t="s">
        <v>388</v>
      </c>
      <c r="B1781">
        <v>2000</v>
      </c>
      <c r="C1781" t="s">
        <v>273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COUNT(LifeExpectancyData[[#This Row],[Life expectancy]:[Schooling]])=19</f>
        <v>0</v>
      </c>
    </row>
    <row r="1782" spans="1:23" x14ac:dyDescent="0.25">
      <c r="A1782" t="s">
        <v>389</v>
      </c>
      <c r="B1782">
        <v>2015</v>
      </c>
      <c r="C1782" t="s">
        <v>273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COUNT(LifeExpectancyData[[#This Row],[Life expectancy]:[Schooling]])=19</f>
        <v>0</v>
      </c>
    </row>
    <row r="1783" spans="1:23" x14ac:dyDescent="0.25">
      <c r="A1783" t="s">
        <v>389</v>
      </c>
      <c r="B1783">
        <v>2014</v>
      </c>
      <c r="C1783" t="s">
        <v>273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COUNT(LifeExpectancyData[[#This Row],[Life expectancy]:[Schooling]])=19</f>
        <v>1</v>
      </c>
    </row>
    <row r="1784" spans="1:23" x14ac:dyDescent="0.25">
      <c r="A1784" t="s">
        <v>389</v>
      </c>
      <c r="B1784">
        <v>2013</v>
      </c>
      <c r="C1784" t="s">
        <v>273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COUNT(LifeExpectancyData[[#This Row],[Life expectancy]:[Schooling]])=19</f>
        <v>1</v>
      </c>
    </row>
    <row r="1785" spans="1:23" x14ac:dyDescent="0.25">
      <c r="A1785" t="s">
        <v>389</v>
      </c>
      <c r="B1785">
        <v>2012</v>
      </c>
      <c r="C1785" t="s">
        <v>273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COUNT(LifeExpectancyData[[#This Row],[Life expectancy]:[Schooling]])=19</f>
        <v>1</v>
      </c>
    </row>
    <row r="1786" spans="1:23" x14ac:dyDescent="0.25">
      <c r="A1786" t="s">
        <v>389</v>
      </c>
      <c r="B1786">
        <v>2011</v>
      </c>
      <c r="C1786" t="s">
        <v>273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COUNT(LifeExpectancyData[[#This Row],[Life expectancy]:[Schooling]])=19</f>
        <v>1</v>
      </c>
    </row>
    <row r="1787" spans="1:23" x14ac:dyDescent="0.25">
      <c r="A1787" t="s">
        <v>389</v>
      </c>
      <c r="B1787">
        <v>2010</v>
      </c>
      <c r="C1787" t="s">
        <v>273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COUNT(LifeExpectancyData[[#This Row],[Life expectancy]:[Schooling]])=19</f>
        <v>1</v>
      </c>
    </row>
    <row r="1788" spans="1:23" x14ac:dyDescent="0.25">
      <c r="A1788" t="s">
        <v>389</v>
      </c>
      <c r="B1788">
        <v>2009</v>
      </c>
      <c r="C1788" t="s">
        <v>273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COUNT(LifeExpectancyData[[#This Row],[Life expectancy]:[Schooling]])=19</f>
        <v>1</v>
      </c>
    </row>
    <row r="1789" spans="1:23" x14ac:dyDescent="0.25">
      <c r="A1789" t="s">
        <v>389</v>
      </c>
      <c r="B1789">
        <v>2008</v>
      </c>
      <c r="C1789" t="s">
        <v>273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COUNT(LifeExpectancyData[[#This Row],[Life expectancy]:[Schooling]])=19</f>
        <v>1</v>
      </c>
    </row>
    <row r="1790" spans="1:23" x14ac:dyDescent="0.25">
      <c r="A1790" t="s">
        <v>389</v>
      </c>
      <c r="B1790">
        <v>2007</v>
      </c>
      <c r="C1790" t="s">
        <v>273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COUNT(LifeExpectancyData[[#This Row],[Life expectancy]:[Schooling]])=19</f>
        <v>1</v>
      </c>
    </row>
    <row r="1791" spans="1:23" x14ac:dyDescent="0.25">
      <c r="A1791" t="s">
        <v>389</v>
      </c>
      <c r="B1791">
        <v>2006</v>
      </c>
      <c r="C1791" t="s">
        <v>273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COUNT(LifeExpectancyData[[#This Row],[Life expectancy]:[Schooling]])=19</f>
        <v>1</v>
      </c>
    </row>
    <row r="1792" spans="1:23" x14ac:dyDescent="0.25">
      <c r="A1792" t="s">
        <v>389</v>
      </c>
      <c r="B1792">
        <v>2005</v>
      </c>
      <c r="C1792" t="s">
        <v>273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COUNT(LifeExpectancyData[[#This Row],[Life expectancy]:[Schooling]])=19</f>
        <v>1</v>
      </c>
    </row>
    <row r="1793" spans="1:23" x14ac:dyDescent="0.25">
      <c r="A1793" t="s">
        <v>389</v>
      </c>
      <c r="B1793">
        <v>2004</v>
      </c>
      <c r="C1793" t="s">
        <v>273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COUNT(LifeExpectancyData[[#This Row],[Life expectancy]:[Schooling]])=19</f>
        <v>1</v>
      </c>
    </row>
    <row r="1794" spans="1:23" x14ac:dyDescent="0.25">
      <c r="A1794" t="s">
        <v>389</v>
      </c>
      <c r="B1794">
        <v>2003</v>
      </c>
      <c r="C1794" t="s">
        <v>273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COUNT(LifeExpectancyData[[#This Row],[Life expectancy]:[Schooling]])=19</f>
        <v>1</v>
      </c>
    </row>
    <row r="1795" spans="1:23" x14ac:dyDescent="0.25">
      <c r="A1795" t="s">
        <v>389</v>
      </c>
      <c r="B1795">
        <v>2002</v>
      </c>
      <c r="C1795" t="s">
        <v>273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COUNT(LifeExpectancyData[[#This Row],[Life expectancy]:[Schooling]])=19</f>
        <v>0</v>
      </c>
    </row>
    <row r="1796" spans="1:23" x14ac:dyDescent="0.25">
      <c r="A1796" t="s">
        <v>389</v>
      </c>
      <c r="B1796">
        <v>2001</v>
      </c>
      <c r="C1796" t="s">
        <v>273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COUNT(LifeExpectancyData[[#This Row],[Life expectancy]:[Schooling]])=19</f>
        <v>0</v>
      </c>
    </row>
    <row r="1797" spans="1:23" x14ac:dyDescent="0.25">
      <c r="A1797" t="s">
        <v>389</v>
      </c>
      <c r="B1797">
        <v>2000</v>
      </c>
      <c r="C1797" t="s">
        <v>273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COUNT(LifeExpectancyData[[#This Row],[Life expectancy]:[Schooling]])=19</f>
        <v>0</v>
      </c>
    </row>
    <row r="1798" spans="1:23" x14ac:dyDescent="0.25">
      <c r="A1798" t="s">
        <v>390</v>
      </c>
      <c r="B1798">
        <v>2015</v>
      </c>
      <c r="C1798" t="s">
        <v>273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COUNT(LifeExpectancyData[[#This Row],[Life expectancy]:[Schooling]])=19</f>
        <v>0</v>
      </c>
    </row>
    <row r="1799" spans="1:23" x14ac:dyDescent="0.25">
      <c r="A1799" t="s">
        <v>390</v>
      </c>
      <c r="B1799">
        <v>2014</v>
      </c>
      <c r="C1799" t="s">
        <v>273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COUNT(LifeExpectancyData[[#This Row],[Life expectancy]:[Schooling]])=19</f>
        <v>1</v>
      </c>
    </row>
    <row r="1800" spans="1:23" x14ac:dyDescent="0.25">
      <c r="A1800" t="s">
        <v>390</v>
      </c>
      <c r="B1800">
        <v>2013</v>
      </c>
      <c r="C1800" t="s">
        <v>273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COUNT(LifeExpectancyData[[#This Row],[Life expectancy]:[Schooling]])=19</f>
        <v>1</v>
      </c>
    </row>
    <row r="1801" spans="1:23" x14ac:dyDescent="0.25">
      <c r="A1801" t="s">
        <v>390</v>
      </c>
      <c r="B1801">
        <v>2012</v>
      </c>
      <c r="C1801" t="s">
        <v>273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COUNT(LifeExpectancyData[[#This Row],[Life expectancy]:[Schooling]])=19</f>
        <v>1</v>
      </c>
    </row>
    <row r="1802" spans="1:23" x14ac:dyDescent="0.25">
      <c r="A1802" t="s">
        <v>390</v>
      </c>
      <c r="B1802">
        <v>2011</v>
      </c>
      <c r="C1802" t="s">
        <v>273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COUNT(LifeExpectancyData[[#This Row],[Life expectancy]:[Schooling]])=19</f>
        <v>1</v>
      </c>
    </row>
    <row r="1803" spans="1:23" x14ac:dyDescent="0.25">
      <c r="A1803" t="s">
        <v>390</v>
      </c>
      <c r="B1803">
        <v>2010</v>
      </c>
      <c r="C1803" t="s">
        <v>273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COUNT(LifeExpectancyData[[#This Row],[Life expectancy]:[Schooling]])=19</f>
        <v>1</v>
      </c>
    </row>
    <row r="1804" spans="1:23" x14ac:dyDescent="0.25">
      <c r="A1804" t="s">
        <v>390</v>
      </c>
      <c r="B1804">
        <v>2009</v>
      </c>
      <c r="C1804" t="s">
        <v>273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COUNT(LifeExpectancyData[[#This Row],[Life expectancy]:[Schooling]])=19</f>
        <v>0</v>
      </c>
    </row>
    <row r="1805" spans="1:23" x14ac:dyDescent="0.25">
      <c r="A1805" t="s">
        <v>390</v>
      </c>
      <c r="B1805">
        <v>2008</v>
      </c>
      <c r="C1805" t="s">
        <v>273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COUNT(LifeExpectancyData[[#This Row],[Life expectancy]:[Schooling]])=19</f>
        <v>0</v>
      </c>
    </row>
    <row r="1806" spans="1:23" x14ac:dyDescent="0.25">
      <c r="A1806" t="s">
        <v>390</v>
      </c>
      <c r="B1806">
        <v>2007</v>
      </c>
      <c r="C1806" t="s">
        <v>273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COUNT(LifeExpectancyData[[#This Row],[Life expectancy]:[Schooling]])=19</f>
        <v>0</v>
      </c>
    </row>
    <row r="1807" spans="1:23" x14ac:dyDescent="0.25">
      <c r="A1807" t="s">
        <v>390</v>
      </c>
      <c r="B1807">
        <v>2006</v>
      </c>
      <c r="C1807" t="s">
        <v>273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COUNT(LifeExpectancyData[[#This Row],[Life expectancy]:[Schooling]])=19</f>
        <v>0</v>
      </c>
    </row>
    <row r="1808" spans="1:23" x14ac:dyDescent="0.25">
      <c r="A1808" t="s">
        <v>390</v>
      </c>
      <c r="B1808">
        <v>2005</v>
      </c>
      <c r="C1808" t="s">
        <v>273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COUNT(LifeExpectancyData[[#This Row],[Life expectancy]:[Schooling]])=19</f>
        <v>0</v>
      </c>
    </row>
    <row r="1809" spans="1:23" x14ac:dyDescent="0.25">
      <c r="A1809" t="s">
        <v>390</v>
      </c>
      <c r="B1809">
        <v>2004</v>
      </c>
      <c r="C1809" t="s">
        <v>273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COUNT(LifeExpectancyData[[#This Row],[Life expectancy]:[Schooling]])=19</f>
        <v>0</v>
      </c>
    </row>
    <row r="1810" spans="1:23" x14ac:dyDescent="0.25">
      <c r="A1810" t="s">
        <v>390</v>
      </c>
      <c r="B1810">
        <v>2003</v>
      </c>
      <c r="C1810" t="s">
        <v>273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COUNT(LifeExpectancyData[[#This Row],[Life expectancy]:[Schooling]])=19</f>
        <v>0</v>
      </c>
    </row>
    <row r="1811" spans="1:23" x14ac:dyDescent="0.25">
      <c r="A1811" t="s">
        <v>390</v>
      </c>
      <c r="B1811">
        <v>2002</v>
      </c>
      <c r="C1811" t="s">
        <v>273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COUNT(LifeExpectancyData[[#This Row],[Life expectancy]:[Schooling]])=19</f>
        <v>0</v>
      </c>
    </row>
    <row r="1812" spans="1:23" x14ac:dyDescent="0.25">
      <c r="A1812" t="s">
        <v>390</v>
      </c>
      <c r="B1812">
        <v>2001</v>
      </c>
      <c r="C1812" t="s">
        <v>273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COUNT(LifeExpectancyData[[#This Row],[Life expectancy]:[Schooling]])=19</f>
        <v>0</v>
      </c>
    </row>
    <row r="1813" spans="1:23" x14ac:dyDescent="0.25">
      <c r="A1813" t="s">
        <v>390</v>
      </c>
      <c r="B1813">
        <v>2000</v>
      </c>
      <c r="C1813" t="s">
        <v>273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COUNT(LifeExpectancyData[[#This Row],[Life expectancy]:[Schooling]])=19</f>
        <v>0</v>
      </c>
    </row>
    <row r="1814" spans="1:23" x14ac:dyDescent="0.25">
      <c r="A1814" t="s">
        <v>391</v>
      </c>
      <c r="B1814">
        <v>2013</v>
      </c>
      <c r="C1814" t="s">
        <v>273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COUNT(LifeExpectancyData[[#This Row],[Life expectancy]:[Schooling]])=19</f>
        <v>0</v>
      </c>
    </row>
    <row r="1815" spans="1:23" x14ac:dyDescent="0.25">
      <c r="A1815" t="s">
        <v>392</v>
      </c>
      <c r="B1815">
        <v>2015</v>
      </c>
      <c r="C1815" t="s">
        <v>273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COUNT(LifeExpectancyData[[#This Row],[Life expectancy]:[Schooling]])=19</f>
        <v>0</v>
      </c>
    </row>
    <row r="1816" spans="1:23" x14ac:dyDescent="0.25">
      <c r="A1816" t="s">
        <v>392</v>
      </c>
      <c r="B1816">
        <v>2014</v>
      </c>
      <c r="C1816" t="s">
        <v>273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COUNT(LifeExpectancyData[[#This Row],[Life expectancy]:[Schooling]])=19</f>
        <v>1</v>
      </c>
    </row>
    <row r="1817" spans="1:23" x14ac:dyDescent="0.25">
      <c r="A1817" t="s">
        <v>392</v>
      </c>
      <c r="B1817">
        <v>2013</v>
      </c>
      <c r="C1817" t="s">
        <v>273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COUNT(LifeExpectancyData[[#This Row],[Life expectancy]:[Schooling]])=19</f>
        <v>1</v>
      </c>
    </row>
    <row r="1818" spans="1:23" x14ac:dyDescent="0.25">
      <c r="A1818" t="s">
        <v>392</v>
      </c>
      <c r="B1818">
        <v>2012</v>
      </c>
      <c r="C1818" t="s">
        <v>273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COUNT(LifeExpectancyData[[#This Row],[Life expectancy]:[Schooling]])=19</f>
        <v>1</v>
      </c>
    </row>
    <row r="1819" spans="1:23" x14ac:dyDescent="0.25">
      <c r="A1819" t="s">
        <v>392</v>
      </c>
      <c r="B1819">
        <v>2011</v>
      </c>
      <c r="C1819" t="s">
        <v>273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COUNT(LifeExpectancyData[[#This Row],[Life expectancy]:[Schooling]])=19</f>
        <v>1</v>
      </c>
    </row>
    <row r="1820" spans="1:23" x14ac:dyDescent="0.25">
      <c r="A1820" t="s">
        <v>392</v>
      </c>
      <c r="B1820">
        <v>2010</v>
      </c>
      <c r="C1820" t="s">
        <v>273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COUNT(LifeExpectancyData[[#This Row],[Life expectancy]:[Schooling]])=19</f>
        <v>1</v>
      </c>
    </row>
    <row r="1821" spans="1:23" x14ac:dyDescent="0.25">
      <c r="A1821" t="s">
        <v>392</v>
      </c>
      <c r="B1821">
        <v>2009</v>
      </c>
      <c r="C1821" t="s">
        <v>273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COUNT(LifeExpectancyData[[#This Row],[Life expectancy]:[Schooling]])=19</f>
        <v>1</v>
      </c>
    </row>
    <row r="1822" spans="1:23" x14ac:dyDescent="0.25">
      <c r="A1822" t="s">
        <v>392</v>
      </c>
      <c r="B1822">
        <v>2008</v>
      </c>
      <c r="C1822" t="s">
        <v>273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COUNT(LifeExpectancyData[[#This Row],[Life expectancy]:[Schooling]])=19</f>
        <v>1</v>
      </c>
    </row>
    <row r="1823" spans="1:23" x14ac:dyDescent="0.25">
      <c r="A1823" t="s">
        <v>392</v>
      </c>
      <c r="B1823">
        <v>2007</v>
      </c>
      <c r="C1823" t="s">
        <v>273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COUNT(LifeExpectancyData[[#This Row],[Life expectancy]:[Schooling]])=19</f>
        <v>1</v>
      </c>
    </row>
    <row r="1824" spans="1:23" x14ac:dyDescent="0.25">
      <c r="A1824" t="s">
        <v>392</v>
      </c>
      <c r="B1824">
        <v>2006</v>
      </c>
      <c r="C1824" t="s">
        <v>273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COUNT(LifeExpectancyData[[#This Row],[Life expectancy]:[Schooling]])=19</f>
        <v>1</v>
      </c>
    </row>
    <row r="1825" spans="1:23" x14ac:dyDescent="0.25">
      <c r="A1825" t="s">
        <v>392</v>
      </c>
      <c r="B1825">
        <v>2005</v>
      </c>
      <c r="C1825" t="s">
        <v>273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COUNT(LifeExpectancyData[[#This Row],[Life expectancy]:[Schooling]])=19</f>
        <v>1</v>
      </c>
    </row>
    <row r="1826" spans="1:23" x14ac:dyDescent="0.25">
      <c r="A1826" t="s">
        <v>392</v>
      </c>
      <c r="B1826">
        <v>2004</v>
      </c>
      <c r="C1826" t="s">
        <v>273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COUNT(LifeExpectancyData[[#This Row],[Life expectancy]:[Schooling]])=19</f>
        <v>1</v>
      </c>
    </row>
    <row r="1827" spans="1:23" x14ac:dyDescent="0.25">
      <c r="A1827" t="s">
        <v>392</v>
      </c>
      <c r="B1827">
        <v>2003</v>
      </c>
      <c r="C1827" t="s">
        <v>273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COUNT(LifeExpectancyData[[#This Row],[Life expectancy]:[Schooling]])=19</f>
        <v>1</v>
      </c>
    </row>
    <row r="1828" spans="1:23" x14ac:dyDescent="0.25">
      <c r="A1828" t="s">
        <v>392</v>
      </c>
      <c r="B1828">
        <v>2002</v>
      </c>
      <c r="C1828" t="s">
        <v>273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COUNT(LifeExpectancyData[[#This Row],[Life expectancy]:[Schooling]])=19</f>
        <v>0</v>
      </c>
    </row>
    <row r="1829" spans="1:23" x14ac:dyDescent="0.25">
      <c r="A1829" t="s">
        <v>392</v>
      </c>
      <c r="B1829">
        <v>2001</v>
      </c>
      <c r="C1829" t="s">
        <v>273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COUNT(LifeExpectancyData[[#This Row],[Life expectancy]:[Schooling]])=19</f>
        <v>0</v>
      </c>
    </row>
    <row r="1830" spans="1:23" x14ac:dyDescent="0.25">
      <c r="A1830" t="s">
        <v>392</v>
      </c>
      <c r="B1830">
        <v>2000</v>
      </c>
      <c r="C1830" t="s">
        <v>273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COUNT(LifeExpectancyData[[#This Row],[Life expectancy]:[Schooling]])=19</f>
        <v>0</v>
      </c>
    </row>
    <row r="1831" spans="1:23" x14ac:dyDescent="0.25">
      <c r="A1831" t="s">
        <v>393</v>
      </c>
      <c r="B1831">
        <v>2015</v>
      </c>
      <c r="C1831" t="s">
        <v>281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COUNT(LifeExpectancyData[[#This Row],[Life expectancy]:[Schooling]])=19</f>
        <v>0</v>
      </c>
    </row>
    <row r="1832" spans="1:23" x14ac:dyDescent="0.25">
      <c r="A1832" t="s">
        <v>393</v>
      </c>
      <c r="B1832">
        <v>2014</v>
      </c>
      <c r="C1832" t="s">
        <v>281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COUNT(LifeExpectancyData[[#This Row],[Life expectancy]:[Schooling]])=19</f>
        <v>1</v>
      </c>
    </row>
    <row r="1833" spans="1:23" x14ac:dyDescent="0.25">
      <c r="A1833" t="s">
        <v>393</v>
      </c>
      <c r="B1833">
        <v>2013</v>
      </c>
      <c r="C1833" t="s">
        <v>281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COUNT(LifeExpectancyData[[#This Row],[Life expectancy]:[Schooling]])=19</f>
        <v>1</v>
      </c>
    </row>
    <row r="1834" spans="1:23" x14ac:dyDescent="0.25">
      <c r="A1834" t="s">
        <v>393</v>
      </c>
      <c r="B1834">
        <v>2012</v>
      </c>
      <c r="C1834" t="s">
        <v>281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COUNT(LifeExpectancyData[[#This Row],[Life expectancy]:[Schooling]])=19</f>
        <v>1</v>
      </c>
    </row>
    <row r="1835" spans="1:23" x14ac:dyDescent="0.25">
      <c r="A1835" t="s">
        <v>393</v>
      </c>
      <c r="B1835">
        <v>2011</v>
      </c>
      <c r="C1835" t="s">
        <v>281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COUNT(LifeExpectancyData[[#This Row],[Life expectancy]:[Schooling]])=19</f>
        <v>1</v>
      </c>
    </row>
    <row r="1836" spans="1:23" x14ac:dyDescent="0.25">
      <c r="A1836" t="s">
        <v>393</v>
      </c>
      <c r="B1836">
        <v>2010</v>
      </c>
      <c r="C1836" t="s">
        <v>281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COUNT(LifeExpectancyData[[#This Row],[Life expectancy]:[Schooling]])=19</f>
        <v>0</v>
      </c>
    </row>
    <row r="1837" spans="1:23" x14ac:dyDescent="0.25">
      <c r="A1837" t="s">
        <v>393</v>
      </c>
      <c r="B1837">
        <v>2009</v>
      </c>
      <c r="C1837" t="s">
        <v>281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COUNT(LifeExpectancyData[[#This Row],[Life expectancy]:[Schooling]])=19</f>
        <v>0</v>
      </c>
    </row>
    <row r="1838" spans="1:23" x14ac:dyDescent="0.25">
      <c r="A1838" t="s">
        <v>393</v>
      </c>
      <c r="B1838">
        <v>2008</v>
      </c>
      <c r="C1838" t="s">
        <v>281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COUNT(LifeExpectancyData[[#This Row],[Life expectancy]:[Schooling]])=19</f>
        <v>0</v>
      </c>
    </row>
    <row r="1839" spans="1:23" x14ac:dyDescent="0.25">
      <c r="A1839" t="s">
        <v>393</v>
      </c>
      <c r="B1839">
        <v>2007</v>
      </c>
      <c r="C1839" t="s">
        <v>281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COUNT(LifeExpectancyData[[#This Row],[Life expectancy]:[Schooling]])=19</f>
        <v>0</v>
      </c>
    </row>
    <row r="1840" spans="1:23" x14ac:dyDescent="0.25">
      <c r="A1840" t="s">
        <v>393</v>
      </c>
      <c r="B1840">
        <v>2006</v>
      </c>
      <c r="C1840" t="s">
        <v>281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COUNT(LifeExpectancyData[[#This Row],[Life expectancy]:[Schooling]])=19</f>
        <v>0</v>
      </c>
    </row>
    <row r="1841" spans="1:23" x14ac:dyDescent="0.25">
      <c r="A1841" t="s">
        <v>393</v>
      </c>
      <c r="B1841">
        <v>2005</v>
      </c>
      <c r="C1841" t="s">
        <v>281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COUNT(LifeExpectancyData[[#This Row],[Life expectancy]:[Schooling]])=19</f>
        <v>0</v>
      </c>
    </row>
    <row r="1842" spans="1:23" x14ac:dyDescent="0.25">
      <c r="A1842" t="s">
        <v>393</v>
      </c>
      <c r="B1842">
        <v>2004</v>
      </c>
      <c r="C1842" t="s">
        <v>281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COUNT(LifeExpectancyData[[#This Row],[Life expectancy]:[Schooling]])=19</f>
        <v>0</v>
      </c>
    </row>
    <row r="1843" spans="1:23" x14ac:dyDescent="0.25">
      <c r="A1843" t="s">
        <v>393</v>
      </c>
      <c r="B1843">
        <v>2003</v>
      </c>
      <c r="C1843" t="s">
        <v>281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COUNT(LifeExpectancyData[[#This Row],[Life expectancy]:[Schooling]])=19</f>
        <v>0</v>
      </c>
    </row>
    <row r="1844" spans="1:23" x14ac:dyDescent="0.25">
      <c r="A1844" t="s">
        <v>393</v>
      </c>
      <c r="B1844">
        <v>2002</v>
      </c>
      <c r="C1844" t="s">
        <v>281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COUNT(LifeExpectancyData[[#This Row],[Life expectancy]:[Schooling]])=19</f>
        <v>0</v>
      </c>
    </row>
    <row r="1845" spans="1:23" x14ac:dyDescent="0.25">
      <c r="A1845" t="s">
        <v>393</v>
      </c>
      <c r="B1845">
        <v>2001</v>
      </c>
      <c r="C1845" t="s">
        <v>281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COUNT(LifeExpectancyData[[#This Row],[Life expectancy]:[Schooling]])=19</f>
        <v>0</v>
      </c>
    </row>
    <row r="1846" spans="1:23" x14ac:dyDescent="0.25">
      <c r="A1846" t="s">
        <v>393</v>
      </c>
      <c r="B1846">
        <v>2000</v>
      </c>
      <c r="C1846" t="s">
        <v>281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COUNT(LifeExpectancyData[[#This Row],[Life expectancy]:[Schooling]])=19</f>
        <v>0</v>
      </c>
    </row>
    <row r="1847" spans="1:23" x14ac:dyDescent="0.25">
      <c r="A1847" t="s">
        <v>394</v>
      </c>
      <c r="B1847">
        <v>2015</v>
      </c>
      <c r="C1847" t="s">
        <v>281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COUNT(LifeExpectancyData[[#This Row],[Life expectancy]:[Schooling]])=19</f>
        <v>0</v>
      </c>
    </row>
    <row r="1848" spans="1:23" x14ac:dyDescent="0.25">
      <c r="A1848" t="s">
        <v>394</v>
      </c>
      <c r="B1848">
        <v>2014</v>
      </c>
      <c r="C1848" t="s">
        <v>281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COUNT(LifeExpectancyData[[#This Row],[Life expectancy]:[Schooling]])=19</f>
        <v>0</v>
      </c>
    </row>
    <row r="1849" spans="1:23" x14ac:dyDescent="0.25">
      <c r="A1849" t="s">
        <v>394</v>
      </c>
      <c r="B1849">
        <v>2013</v>
      </c>
      <c r="C1849" t="s">
        <v>281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COUNT(LifeExpectancyData[[#This Row],[Life expectancy]:[Schooling]])=19</f>
        <v>0</v>
      </c>
    </row>
    <row r="1850" spans="1:23" x14ac:dyDescent="0.25">
      <c r="A1850" t="s">
        <v>394</v>
      </c>
      <c r="B1850">
        <v>2012</v>
      </c>
      <c r="C1850" t="s">
        <v>281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COUNT(LifeExpectancyData[[#This Row],[Life expectancy]:[Schooling]])=19</f>
        <v>0</v>
      </c>
    </row>
    <row r="1851" spans="1:23" x14ac:dyDescent="0.25">
      <c r="A1851" t="s">
        <v>394</v>
      </c>
      <c r="B1851">
        <v>2011</v>
      </c>
      <c r="C1851" t="s">
        <v>281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COUNT(LifeExpectancyData[[#This Row],[Life expectancy]:[Schooling]])=19</f>
        <v>0</v>
      </c>
    </row>
    <row r="1852" spans="1:23" x14ac:dyDescent="0.25">
      <c r="A1852" t="s">
        <v>394</v>
      </c>
      <c r="B1852">
        <v>2010</v>
      </c>
      <c r="C1852" t="s">
        <v>281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COUNT(LifeExpectancyData[[#This Row],[Life expectancy]:[Schooling]])=19</f>
        <v>0</v>
      </c>
    </row>
    <row r="1853" spans="1:23" x14ac:dyDescent="0.25">
      <c r="A1853" t="s">
        <v>394</v>
      </c>
      <c r="B1853">
        <v>2009</v>
      </c>
      <c r="C1853" t="s">
        <v>281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COUNT(LifeExpectancyData[[#This Row],[Life expectancy]:[Schooling]])=19</f>
        <v>0</v>
      </c>
    </row>
    <row r="1854" spans="1:23" x14ac:dyDescent="0.25">
      <c r="A1854" t="s">
        <v>394</v>
      </c>
      <c r="B1854">
        <v>2008</v>
      </c>
      <c r="C1854" t="s">
        <v>281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COUNT(LifeExpectancyData[[#This Row],[Life expectancy]:[Schooling]])=19</f>
        <v>0</v>
      </c>
    </row>
    <row r="1855" spans="1:23" x14ac:dyDescent="0.25">
      <c r="A1855" t="s">
        <v>394</v>
      </c>
      <c r="B1855">
        <v>2007</v>
      </c>
      <c r="C1855" t="s">
        <v>281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COUNT(LifeExpectancyData[[#This Row],[Life expectancy]:[Schooling]])=19</f>
        <v>0</v>
      </c>
    </row>
    <row r="1856" spans="1:23" x14ac:dyDescent="0.25">
      <c r="A1856" t="s">
        <v>394</v>
      </c>
      <c r="B1856">
        <v>2006</v>
      </c>
      <c r="C1856" t="s">
        <v>281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COUNT(LifeExpectancyData[[#This Row],[Life expectancy]:[Schooling]])=19</f>
        <v>0</v>
      </c>
    </row>
    <row r="1857" spans="1:23" x14ac:dyDescent="0.25">
      <c r="A1857" t="s">
        <v>394</v>
      </c>
      <c r="B1857">
        <v>2005</v>
      </c>
      <c r="C1857" t="s">
        <v>281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COUNT(LifeExpectancyData[[#This Row],[Life expectancy]:[Schooling]])=19</f>
        <v>0</v>
      </c>
    </row>
    <row r="1858" spans="1:23" x14ac:dyDescent="0.25">
      <c r="A1858" t="s">
        <v>394</v>
      </c>
      <c r="B1858">
        <v>2004</v>
      </c>
      <c r="C1858" t="s">
        <v>281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COUNT(LifeExpectancyData[[#This Row],[Life expectancy]:[Schooling]])=19</f>
        <v>0</v>
      </c>
    </row>
    <row r="1859" spans="1:23" x14ac:dyDescent="0.25">
      <c r="A1859" t="s">
        <v>394</v>
      </c>
      <c r="B1859">
        <v>2003</v>
      </c>
      <c r="C1859" t="s">
        <v>281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COUNT(LifeExpectancyData[[#This Row],[Life expectancy]:[Schooling]])=19</f>
        <v>0</v>
      </c>
    </row>
    <row r="1860" spans="1:23" x14ac:dyDescent="0.25">
      <c r="A1860" t="s">
        <v>394</v>
      </c>
      <c r="B1860">
        <v>2002</v>
      </c>
      <c r="C1860" t="s">
        <v>281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COUNT(LifeExpectancyData[[#This Row],[Life expectancy]:[Schooling]])=19</f>
        <v>0</v>
      </c>
    </row>
    <row r="1861" spans="1:23" x14ac:dyDescent="0.25">
      <c r="A1861" t="s">
        <v>394</v>
      </c>
      <c r="B1861">
        <v>2001</v>
      </c>
      <c r="C1861" t="s">
        <v>281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COUNT(LifeExpectancyData[[#This Row],[Life expectancy]:[Schooling]])=19</f>
        <v>0</v>
      </c>
    </row>
    <row r="1862" spans="1:23" x14ac:dyDescent="0.25">
      <c r="A1862" t="s">
        <v>394</v>
      </c>
      <c r="B1862">
        <v>2000</v>
      </c>
      <c r="C1862" t="s">
        <v>281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COUNT(LifeExpectancyData[[#This Row],[Life expectancy]:[Schooling]])=19</f>
        <v>0</v>
      </c>
    </row>
    <row r="1863" spans="1:23" x14ac:dyDescent="0.25">
      <c r="A1863" t="s">
        <v>395</v>
      </c>
      <c r="B1863">
        <v>2015</v>
      </c>
      <c r="C1863" t="s">
        <v>273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COUNT(LifeExpectancyData[[#This Row],[Life expectancy]:[Schooling]])=19</f>
        <v>0</v>
      </c>
    </row>
    <row r="1864" spans="1:23" x14ac:dyDescent="0.25">
      <c r="A1864" t="s">
        <v>395</v>
      </c>
      <c r="B1864">
        <v>2014</v>
      </c>
      <c r="C1864" t="s">
        <v>273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COUNT(LifeExpectancyData[[#This Row],[Life expectancy]:[Schooling]])=19</f>
        <v>1</v>
      </c>
    </row>
    <row r="1865" spans="1:23" x14ac:dyDescent="0.25">
      <c r="A1865" t="s">
        <v>395</v>
      </c>
      <c r="B1865">
        <v>2013</v>
      </c>
      <c r="C1865" t="s">
        <v>273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COUNT(LifeExpectancyData[[#This Row],[Life expectancy]:[Schooling]])=19</f>
        <v>1</v>
      </c>
    </row>
    <row r="1866" spans="1:23" x14ac:dyDescent="0.25">
      <c r="A1866" t="s">
        <v>395</v>
      </c>
      <c r="B1866">
        <v>2012</v>
      </c>
      <c r="C1866" t="s">
        <v>273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COUNT(LifeExpectancyData[[#This Row],[Life expectancy]:[Schooling]])=19</f>
        <v>1</v>
      </c>
    </row>
    <row r="1867" spans="1:23" x14ac:dyDescent="0.25">
      <c r="A1867" t="s">
        <v>395</v>
      </c>
      <c r="B1867">
        <v>2011</v>
      </c>
      <c r="C1867" t="s">
        <v>273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COUNT(LifeExpectancyData[[#This Row],[Life expectancy]:[Schooling]])=19</f>
        <v>1</v>
      </c>
    </row>
    <row r="1868" spans="1:23" x14ac:dyDescent="0.25">
      <c r="A1868" t="s">
        <v>395</v>
      </c>
      <c r="B1868">
        <v>2010</v>
      </c>
      <c r="C1868" t="s">
        <v>273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COUNT(LifeExpectancyData[[#This Row],[Life expectancy]:[Schooling]])=19</f>
        <v>1</v>
      </c>
    </row>
    <row r="1869" spans="1:23" x14ac:dyDescent="0.25">
      <c r="A1869" t="s">
        <v>395</v>
      </c>
      <c r="B1869">
        <v>2009</v>
      </c>
      <c r="C1869" t="s">
        <v>273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COUNT(LifeExpectancyData[[#This Row],[Life expectancy]:[Schooling]])=19</f>
        <v>1</v>
      </c>
    </row>
    <row r="1870" spans="1:23" x14ac:dyDescent="0.25">
      <c r="A1870" t="s">
        <v>395</v>
      </c>
      <c r="B1870">
        <v>2008</v>
      </c>
      <c r="C1870" t="s">
        <v>273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COUNT(LifeExpectancyData[[#This Row],[Life expectancy]:[Schooling]])=19</f>
        <v>1</v>
      </c>
    </row>
    <row r="1871" spans="1:23" x14ac:dyDescent="0.25">
      <c r="A1871" t="s">
        <v>395</v>
      </c>
      <c r="B1871">
        <v>2007</v>
      </c>
      <c r="C1871" t="s">
        <v>273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COUNT(LifeExpectancyData[[#This Row],[Life expectancy]:[Schooling]])=19</f>
        <v>1</v>
      </c>
    </row>
    <row r="1872" spans="1:23" x14ac:dyDescent="0.25">
      <c r="A1872" t="s">
        <v>395</v>
      </c>
      <c r="B1872">
        <v>2006</v>
      </c>
      <c r="C1872" t="s">
        <v>273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COUNT(LifeExpectancyData[[#This Row],[Life expectancy]:[Schooling]])=19</f>
        <v>1</v>
      </c>
    </row>
    <row r="1873" spans="1:23" x14ac:dyDescent="0.25">
      <c r="A1873" t="s">
        <v>395</v>
      </c>
      <c r="B1873">
        <v>2005</v>
      </c>
      <c r="C1873" t="s">
        <v>273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COUNT(LifeExpectancyData[[#This Row],[Life expectancy]:[Schooling]])=19</f>
        <v>1</v>
      </c>
    </row>
    <row r="1874" spans="1:23" x14ac:dyDescent="0.25">
      <c r="A1874" t="s">
        <v>395</v>
      </c>
      <c r="B1874">
        <v>2004</v>
      </c>
      <c r="C1874" t="s">
        <v>273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COUNT(LifeExpectancyData[[#This Row],[Life expectancy]:[Schooling]])=19</f>
        <v>1</v>
      </c>
    </row>
    <row r="1875" spans="1:23" x14ac:dyDescent="0.25">
      <c r="A1875" t="s">
        <v>395</v>
      </c>
      <c r="B1875">
        <v>2003</v>
      </c>
      <c r="C1875" t="s">
        <v>273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COUNT(LifeExpectancyData[[#This Row],[Life expectancy]:[Schooling]])=19</f>
        <v>1</v>
      </c>
    </row>
    <row r="1876" spans="1:23" x14ac:dyDescent="0.25">
      <c r="A1876" t="s">
        <v>395</v>
      </c>
      <c r="B1876">
        <v>2002</v>
      </c>
      <c r="C1876" t="s">
        <v>273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COUNT(LifeExpectancyData[[#This Row],[Life expectancy]:[Schooling]])=19</f>
        <v>1</v>
      </c>
    </row>
    <row r="1877" spans="1:23" x14ac:dyDescent="0.25">
      <c r="A1877" t="s">
        <v>395</v>
      </c>
      <c r="B1877">
        <v>2001</v>
      </c>
      <c r="C1877" t="s">
        <v>273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COUNT(LifeExpectancyData[[#This Row],[Life expectancy]:[Schooling]])=19</f>
        <v>1</v>
      </c>
    </row>
    <row r="1878" spans="1:23" x14ac:dyDescent="0.25">
      <c r="A1878" t="s">
        <v>395</v>
      </c>
      <c r="B1878">
        <v>2000</v>
      </c>
      <c r="C1878" t="s">
        <v>273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COUNT(LifeExpectancyData[[#This Row],[Life expectancy]:[Schooling]])=19</f>
        <v>1</v>
      </c>
    </row>
    <row r="1879" spans="1:23" x14ac:dyDescent="0.25">
      <c r="A1879" t="s">
        <v>396</v>
      </c>
      <c r="B1879">
        <v>2015</v>
      </c>
      <c r="C1879" t="s">
        <v>273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COUNT(LifeExpectancyData[[#This Row],[Life expectancy]:[Schooling]])=19</f>
        <v>0</v>
      </c>
    </row>
    <row r="1880" spans="1:23" x14ac:dyDescent="0.25">
      <c r="A1880" t="s">
        <v>396</v>
      </c>
      <c r="B1880">
        <v>2014</v>
      </c>
      <c r="C1880" t="s">
        <v>273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COUNT(LifeExpectancyData[[#This Row],[Life expectancy]:[Schooling]])=19</f>
        <v>1</v>
      </c>
    </row>
    <row r="1881" spans="1:23" x14ac:dyDescent="0.25">
      <c r="A1881" t="s">
        <v>396</v>
      </c>
      <c r="B1881">
        <v>2013</v>
      </c>
      <c r="C1881" t="s">
        <v>273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COUNT(LifeExpectancyData[[#This Row],[Life expectancy]:[Schooling]])=19</f>
        <v>1</v>
      </c>
    </row>
    <row r="1882" spans="1:23" x14ac:dyDescent="0.25">
      <c r="A1882" t="s">
        <v>396</v>
      </c>
      <c r="B1882">
        <v>2012</v>
      </c>
      <c r="C1882" t="s">
        <v>273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COUNT(LifeExpectancyData[[#This Row],[Life expectancy]:[Schooling]])=19</f>
        <v>1</v>
      </c>
    </row>
    <row r="1883" spans="1:23" x14ac:dyDescent="0.25">
      <c r="A1883" t="s">
        <v>396</v>
      </c>
      <c r="B1883">
        <v>2011</v>
      </c>
      <c r="C1883" t="s">
        <v>273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COUNT(LifeExpectancyData[[#This Row],[Life expectancy]:[Schooling]])=19</f>
        <v>1</v>
      </c>
    </row>
    <row r="1884" spans="1:23" x14ac:dyDescent="0.25">
      <c r="A1884" t="s">
        <v>396</v>
      </c>
      <c r="B1884">
        <v>2010</v>
      </c>
      <c r="C1884" t="s">
        <v>273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COUNT(LifeExpectancyData[[#This Row],[Life expectancy]:[Schooling]])=19</f>
        <v>1</v>
      </c>
    </row>
    <row r="1885" spans="1:23" x14ac:dyDescent="0.25">
      <c r="A1885" t="s">
        <v>396</v>
      </c>
      <c r="B1885">
        <v>2009</v>
      </c>
      <c r="C1885" t="s">
        <v>273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COUNT(LifeExpectancyData[[#This Row],[Life expectancy]:[Schooling]])=19</f>
        <v>1</v>
      </c>
    </row>
    <row r="1886" spans="1:23" x14ac:dyDescent="0.25">
      <c r="A1886" t="s">
        <v>396</v>
      </c>
      <c r="B1886">
        <v>2008</v>
      </c>
      <c r="C1886" t="s">
        <v>273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COUNT(LifeExpectancyData[[#This Row],[Life expectancy]:[Schooling]])=19</f>
        <v>0</v>
      </c>
    </row>
    <row r="1887" spans="1:23" x14ac:dyDescent="0.25">
      <c r="A1887" t="s">
        <v>396</v>
      </c>
      <c r="B1887">
        <v>2007</v>
      </c>
      <c r="C1887" t="s">
        <v>273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COUNT(LifeExpectancyData[[#This Row],[Life expectancy]:[Schooling]])=19</f>
        <v>0</v>
      </c>
    </row>
    <row r="1888" spans="1:23" x14ac:dyDescent="0.25">
      <c r="A1888" t="s">
        <v>396</v>
      </c>
      <c r="B1888">
        <v>2006</v>
      </c>
      <c r="C1888" t="s">
        <v>273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COUNT(LifeExpectancyData[[#This Row],[Life expectancy]:[Schooling]])=19</f>
        <v>0</v>
      </c>
    </row>
    <row r="1889" spans="1:23" x14ac:dyDescent="0.25">
      <c r="A1889" t="s">
        <v>396</v>
      </c>
      <c r="B1889">
        <v>2005</v>
      </c>
      <c r="C1889" t="s">
        <v>273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COUNT(LifeExpectancyData[[#This Row],[Life expectancy]:[Schooling]])=19</f>
        <v>0</v>
      </c>
    </row>
    <row r="1890" spans="1:23" x14ac:dyDescent="0.25">
      <c r="A1890" t="s">
        <v>396</v>
      </c>
      <c r="B1890">
        <v>2004</v>
      </c>
      <c r="C1890" t="s">
        <v>273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COUNT(LifeExpectancyData[[#This Row],[Life expectancy]:[Schooling]])=19</f>
        <v>0</v>
      </c>
    </row>
    <row r="1891" spans="1:23" x14ac:dyDescent="0.25">
      <c r="A1891" t="s">
        <v>396</v>
      </c>
      <c r="B1891">
        <v>2003</v>
      </c>
      <c r="C1891" t="s">
        <v>273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COUNT(LifeExpectancyData[[#This Row],[Life expectancy]:[Schooling]])=19</f>
        <v>0</v>
      </c>
    </row>
    <row r="1892" spans="1:23" x14ac:dyDescent="0.25">
      <c r="A1892" t="s">
        <v>396</v>
      </c>
      <c r="B1892">
        <v>2002</v>
      </c>
      <c r="C1892" t="s">
        <v>273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COUNT(LifeExpectancyData[[#This Row],[Life expectancy]:[Schooling]])=19</f>
        <v>0</v>
      </c>
    </row>
    <row r="1893" spans="1:23" x14ac:dyDescent="0.25">
      <c r="A1893" t="s">
        <v>396</v>
      </c>
      <c r="B1893">
        <v>2001</v>
      </c>
      <c r="C1893" t="s">
        <v>273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COUNT(LifeExpectancyData[[#This Row],[Life expectancy]:[Schooling]])=19</f>
        <v>0</v>
      </c>
    </row>
    <row r="1894" spans="1:23" x14ac:dyDescent="0.25">
      <c r="A1894" t="s">
        <v>396</v>
      </c>
      <c r="B1894">
        <v>2000</v>
      </c>
      <c r="C1894" t="s">
        <v>273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COUNT(LifeExpectancyData[[#This Row],[Life expectancy]:[Schooling]])=19</f>
        <v>0</v>
      </c>
    </row>
    <row r="1895" spans="1:23" x14ac:dyDescent="0.25">
      <c r="A1895" t="s">
        <v>397</v>
      </c>
      <c r="B1895">
        <v>2015</v>
      </c>
      <c r="C1895" t="s">
        <v>273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COUNT(LifeExpectancyData[[#This Row],[Life expectancy]:[Schooling]])=19</f>
        <v>0</v>
      </c>
    </row>
    <row r="1896" spans="1:23" x14ac:dyDescent="0.25">
      <c r="A1896" t="s">
        <v>397</v>
      </c>
      <c r="B1896">
        <v>2014</v>
      </c>
      <c r="C1896" t="s">
        <v>273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COUNT(LifeExpectancyData[[#This Row],[Life expectancy]:[Schooling]])=19</f>
        <v>1</v>
      </c>
    </row>
    <row r="1897" spans="1:23" x14ac:dyDescent="0.25">
      <c r="A1897" t="s">
        <v>397</v>
      </c>
      <c r="B1897">
        <v>2013</v>
      </c>
      <c r="C1897" t="s">
        <v>273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COUNT(LifeExpectancyData[[#This Row],[Life expectancy]:[Schooling]])=19</f>
        <v>1</v>
      </c>
    </row>
    <row r="1898" spans="1:23" x14ac:dyDescent="0.25">
      <c r="A1898" t="s">
        <v>397</v>
      </c>
      <c r="B1898">
        <v>2012</v>
      </c>
      <c r="C1898" t="s">
        <v>273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COUNT(LifeExpectancyData[[#This Row],[Life expectancy]:[Schooling]])=19</f>
        <v>1</v>
      </c>
    </row>
    <row r="1899" spans="1:23" x14ac:dyDescent="0.25">
      <c r="A1899" t="s">
        <v>397</v>
      </c>
      <c r="B1899">
        <v>2011</v>
      </c>
      <c r="C1899" t="s">
        <v>273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COUNT(LifeExpectancyData[[#This Row],[Life expectancy]:[Schooling]])=19</f>
        <v>1</v>
      </c>
    </row>
    <row r="1900" spans="1:23" x14ac:dyDescent="0.25">
      <c r="A1900" t="s">
        <v>397</v>
      </c>
      <c r="B1900">
        <v>2010</v>
      </c>
      <c r="C1900" t="s">
        <v>273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COUNT(LifeExpectancyData[[#This Row],[Life expectancy]:[Schooling]])=19</f>
        <v>1</v>
      </c>
    </row>
    <row r="1901" spans="1:23" x14ac:dyDescent="0.25">
      <c r="A1901" t="s">
        <v>397</v>
      </c>
      <c r="B1901">
        <v>2009</v>
      </c>
      <c r="C1901" t="s">
        <v>273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COUNT(LifeExpectancyData[[#This Row],[Life expectancy]:[Schooling]])=19</f>
        <v>1</v>
      </c>
    </row>
    <row r="1902" spans="1:23" x14ac:dyDescent="0.25">
      <c r="A1902" t="s">
        <v>397</v>
      </c>
      <c r="B1902">
        <v>2008</v>
      </c>
      <c r="C1902" t="s">
        <v>273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COUNT(LifeExpectancyData[[#This Row],[Life expectancy]:[Schooling]])=19</f>
        <v>1</v>
      </c>
    </row>
    <row r="1903" spans="1:23" x14ac:dyDescent="0.25">
      <c r="A1903" t="s">
        <v>397</v>
      </c>
      <c r="B1903">
        <v>2007</v>
      </c>
      <c r="C1903" t="s">
        <v>273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COUNT(LifeExpectancyData[[#This Row],[Life expectancy]:[Schooling]])=19</f>
        <v>1</v>
      </c>
    </row>
    <row r="1904" spans="1:23" x14ac:dyDescent="0.25">
      <c r="A1904" t="s">
        <v>397</v>
      </c>
      <c r="B1904">
        <v>2006</v>
      </c>
      <c r="C1904" t="s">
        <v>273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COUNT(LifeExpectancyData[[#This Row],[Life expectancy]:[Schooling]])=19</f>
        <v>1</v>
      </c>
    </row>
    <row r="1905" spans="1:23" x14ac:dyDescent="0.25">
      <c r="A1905" t="s">
        <v>397</v>
      </c>
      <c r="B1905">
        <v>2005</v>
      </c>
      <c r="C1905" t="s">
        <v>273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COUNT(LifeExpectancyData[[#This Row],[Life expectancy]:[Schooling]])=19</f>
        <v>1</v>
      </c>
    </row>
    <row r="1906" spans="1:23" x14ac:dyDescent="0.25">
      <c r="A1906" t="s">
        <v>397</v>
      </c>
      <c r="B1906">
        <v>2004</v>
      </c>
      <c r="C1906" t="s">
        <v>273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COUNT(LifeExpectancyData[[#This Row],[Life expectancy]:[Schooling]])=19</f>
        <v>0</v>
      </c>
    </row>
    <row r="1907" spans="1:23" x14ac:dyDescent="0.25">
      <c r="A1907" t="s">
        <v>397</v>
      </c>
      <c r="B1907">
        <v>2003</v>
      </c>
      <c r="C1907" t="s">
        <v>273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COUNT(LifeExpectancyData[[#This Row],[Life expectancy]:[Schooling]])=19</f>
        <v>0</v>
      </c>
    </row>
    <row r="1908" spans="1:23" x14ac:dyDescent="0.25">
      <c r="A1908" t="s">
        <v>397</v>
      </c>
      <c r="B1908">
        <v>2002</v>
      </c>
      <c r="C1908" t="s">
        <v>273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COUNT(LifeExpectancyData[[#This Row],[Life expectancy]:[Schooling]])=19</f>
        <v>0</v>
      </c>
    </row>
    <row r="1909" spans="1:23" x14ac:dyDescent="0.25">
      <c r="A1909" t="s">
        <v>397</v>
      </c>
      <c r="B1909">
        <v>2001</v>
      </c>
      <c r="C1909" t="s">
        <v>273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COUNT(LifeExpectancyData[[#This Row],[Life expectancy]:[Schooling]])=19</f>
        <v>0</v>
      </c>
    </row>
    <row r="1910" spans="1:23" x14ac:dyDescent="0.25">
      <c r="A1910" t="s">
        <v>397</v>
      </c>
      <c r="B1910">
        <v>2000</v>
      </c>
      <c r="C1910" t="s">
        <v>273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COUNT(LifeExpectancyData[[#This Row],[Life expectancy]:[Schooling]])=19</f>
        <v>0</v>
      </c>
    </row>
    <row r="1911" spans="1:23" x14ac:dyDescent="0.25">
      <c r="A1911" t="s">
        <v>398</v>
      </c>
      <c r="B1911">
        <v>2013</v>
      </c>
      <c r="C1911" t="s">
        <v>273</v>
      </c>
      <c r="F1911">
        <v>0</v>
      </c>
      <c r="G1911">
        <v>0.01</v>
      </c>
      <c r="H1911">
        <v>0</v>
      </c>
      <c r="I1911">
        <v>99</v>
      </c>
      <c r="J1911">
        <v>0</v>
      </c>
      <c r="K1911">
        <v>77.3</v>
      </c>
      <c r="L1911">
        <v>0</v>
      </c>
      <c r="M1911">
        <v>99</v>
      </c>
      <c r="N1911">
        <v>7.2</v>
      </c>
      <c r="O1911">
        <v>99</v>
      </c>
      <c r="P1911">
        <v>0.1</v>
      </c>
      <c r="S1911">
        <v>0.1</v>
      </c>
      <c r="T1911">
        <v>0.1</v>
      </c>
      <c r="W1911" t="b">
        <f>COUNT(LifeExpectancyData[[#This Row],[Life expectancy]:[Schooling]])=19</f>
        <v>0</v>
      </c>
    </row>
    <row r="1912" spans="1:23" x14ac:dyDescent="0.25">
      <c r="A1912" t="s">
        <v>399</v>
      </c>
      <c r="B1912">
        <v>2015</v>
      </c>
      <c r="C1912" t="s">
        <v>281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COUNT(LifeExpectancyData[[#This Row],[Life expectancy]:[Schooling]])=19</f>
        <v>0</v>
      </c>
    </row>
    <row r="1913" spans="1:23" x14ac:dyDescent="0.25">
      <c r="A1913" t="s">
        <v>399</v>
      </c>
      <c r="B1913">
        <v>2014</v>
      </c>
      <c r="C1913" t="s">
        <v>281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COUNT(LifeExpectancyData[[#This Row],[Life expectancy]:[Schooling]])=19</f>
        <v>0</v>
      </c>
    </row>
    <row r="1914" spans="1:23" x14ac:dyDescent="0.25">
      <c r="A1914" t="s">
        <v>399</v>
      </c>
      <c r="B1914">
        <v>2013</v>
      </c>
      <c r="C1914" t="s">
        <v>281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COUNT(LifeExpectancyData[[#This Row],[Life expectancy]:[Schooling]])=19</f>
        <v>0</v>
      </c>
    </row>
    <row r="1915" spans="1:23" x14ac:dyDescent="0.25">
      <c r="A1915" t="s">
        <v>399</v>
      </c>
      <c r="B1915">
        <v>2012</v>
      </c>
      <c r="C1915" t="s">
        <v>281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COUNT(LifeExpectancyData[[#This Row],[Life expectancy]:[Schooling]])=19</f>
        <v>0</v>
      </c>
    </row>
    <row r="1916" spans="1:23" x14ac:dyDescent="0.25">
      <c r="A1916" t="s">
        <v>399</v>
      </c>
      <c r="B1916">
        <v>2011</v>
      </c>
      <c r="C1916" t="s">
        <v>281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COUNT(LifeExpectancyData[[#This Row],[Life expectancy]:[Schooling]])=19</f>
        <v>0</v>
      </c>
    </row>
    <row r="1917" spans="1:23" x14ac:dyDescent="0.25">
      <c r="A1917" t="s">
        <v>399</v>
      </c>
      <c r="B1917">
        <v>2010</v>
      </c>
      <c r="C1917" t="s">
        <v>281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COUNT(LifeExpectancyData[[#This Row],[Life expectancy]:[Schooling]])=19</f>
        <v>0</v>
      </c>
    </row>
    <row r="1918" spans="1:23" x14ac:dyDescent="0.25">
      <c r="A1918" t="s">
        <v>399</v>
      </c>
      <c r="B1918">
        <v>2009</v>
      </c>
      <c r="C1918" t="s">
        <v>281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COUNT(LifeExpectancyData[[#This Row],[Life expectancy]:[Schooling]])=19</f>
        <v>0</v>
      </c>
    </row>
    <row r="1919" spans="1:23" x14ac:dyDescent="0.25">
      <c r="A1919" t="s">
        <v>399</v>
      </c>
      <c r="B1919">
        <v>2008</v>
      </c>
      <c r="C1919" t="s">
        <v>281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COUNT(LifeExpectancyData[[#This Row],[Life expectancy]:[Schooling]])=19</f>
        <v>0</v>
      </c>
    </row>
    <row r="1920" spans="1:23" x14ac:dyDescent="0.25">
      <c r="A1920" t="s">
        <v>399</v>
      </c>
      <c r="B1920">
        <v>2007</v>
      </c>
      <c r="C1920" t="s">
        <v>281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COUNT(LifeExpectancyData[[#This Row],[Life expectancy]:[Schooling]])=19</f>
        <v>0</v>
      </c>
    </row>
    <row r="1921" spans="1:23" x14ac:dyDescent="0.25">
      <c r="A1921" t="s">
        <v>399</v>
      </c>
      <c r="B1921">
        <v>2006</v>
      </c>
      <c r="C1921" t="s">
        <v>281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COUNT(LifeExpectancyData[[#This Row],[Life expectancy]:[Schooling]])=19</f>
        <v>0</v>
      </c>
    </row>
    <row r="1922" spans="1:23" x14ac:dyDescent="0.25">
      <c r="A1922" t="s">
        <v>399</v>
      </c>
      <c r="B1922">
        <v>2005</v>
      </c>
      <c r="C1922" t="s">
        <v>281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COUNT(LifeExpectancyData[[#This Row],[Life expectancy]:[Schooling]])=19</f>
        <v>0</v>
      </c>
    </row>
    <row r="1923" spans="1:23" x14ac:dyDescent="0.25">
      <c r="A1923" t="s">
        <v>399</v>
      </c>
      <c r="B1923">
        <v>2004</v>
      </c>
      <c r="C1923" t="s">
        <v>281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COUNT(LifeExpectancyData[[#This Row],[Life expectancy]:[Schooling]])=19</f>
        <v>0</v>
      </c>
    </row>
    <row r="1924" spans="1:23" x14ac:dyDescent="0.25">
      <c r="A1924" t="s">
        <v>399</v>
      </c>
      <c r="B1924">
        <v>2003</v>
      </c>
      <c r="C1924" t="s">
        <v>281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COUNT(LifeExpectancyData[[#This Row],[Life expectancy]:[Schooling]])=19</f>
        <v>0</v>
      </c>
    </row>
    <row r="1925" spans="1:23" x14ac:dyDescent="0.25">
      <c r="A1925" t="s">
        <v>399</v>
      </c>
      <c r="B1925">
        <v>2002</v>
      </c>
      <c r="C1925" t="s">
        <v>281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COUNT(LifeExpectancyData[[#This Row],[Life expectancy]:[Schooling]])=19</f>
        <v>0</v>
      </c>
    </row>
    <row r="1926" spans="1:23" x14ac:dyDescent="0.25">
      <c r="A1926" t="s">
        <v>399</v>
      </c>
      <c r="B1926">
        <v>2001</v>
      </c>
      <c r="C1926" t="s">
        <v>281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COUNT(LifeExpectancyData[[#This Row],[Life expectancy]:[Schooling]])=19</f>
        <v>0</v>
      </c>
    </row>
    <row r="1927" spans="1:23" x14ac:dyDescent="0.25">
      <c r="A1927" t="s">
        <v>399</v>
      </c>
      <c r="B1927">
        <v>2000</v>
      </c>
      <c r="C1927" t="s">
        <v>281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COUNT(LifeExpectancyData[[#This Row],[Life expectancy]:[Schooling]])=19</f>
        <v>0</v>
      </c>
    </row>
    <row r="1928" spans="1:23" x14ac:dyDescent="0.25">
      <c r="A1928" t="s">
        <v>400</v>
      </c>
      <c r="B1928">
        <v>2015</v>
      </c>
      <c r="C1928" t="s">
        <v>273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COUNT(LifeExpectancyData[[#This Row],[Life expectancy]:[Schooling]])=19</f>
        <v>0</v>
      </c>
    </row>
    <row r="1929" spans="1:23" x14ac:dyDescent="0.25">
      <c r="A1929" t="s">
        <v>400</v>
      </c>
      <c r="B1929">
        <v>2014</v>
      </c>
      <c r="C1929" t="s">
        <v>273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COUNT(LifeExpectancyData[[#This Row],[Life expectancy]:[Schooling]])=19</f>
        <v>0</v>
      </c>
    </row>
    <row r="1930" spans="1:23" x14ac:dyDescent="0.25">
      <c r="A1930" t="s">
        <v>400</v>
      </c>
      <c r="B1930">
        <v>2013</v>
      </c>
      <c r="C1930" t="s">
        <v>273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COUNT(LifeExpectancyData[[#This Row],[Life expectancy]:[Schooling]])=19</f>
        <v>0</v>
      </c>
    </row>
    <row r="1931" spans="1:23" x14ac:dyDescent="0.25">
      <c r="A1931" t="s">
        <v>400</v>
      </c>
      <c r="B1931">
        <v>2012</v>
      </c>
      <c r="C1931" t="s">
        <v>273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COUNT(LifeExpectancyData[[#This Row],[Life expectancy]:[Schooling]])=19</f>
        <v>0</v>
      </c>
    </row>
    <row r="1932" spans="1:23" x14ac:dyDescent="0.25">
      <c r="A1932" t="s">
        <v>400</v>
      </c>
      <c r="B1932">
        <v>2011</v>
      </c>
      <c r="C1932" t="s">
        <v>273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COUNT(LifeExpectancyData[[#This Row],[Life expectancy]:[Schooling]])=19</f>
        <v>0</v>
      </c>
    </row>
    <row r="1933" spans="1:23" x14ac:dyDescent="0.25">
      <c r="A1933" t="s">
        <v>400</v>
      </c>
      <c r="B1933">
        <v>2010</v>
      </c>
      <c r="C1933" t="s">
        <v>273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COUNT(LifeExpectancyData[[#This Row],[Life expectancy]:[Schooling]])=19</f>
        <v>0</v>
      </c>
    </row>
    <row r="1934" spans="1:23" x14ac:dyDescent="0.25">
      <c r="A1934" t="s">
        <v>400</v>
      </c>
      <c r="B1934">
        <v>2009</v>
      </c>
      <c r="C1934" t="s">
        <v>273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COUNT(LifeExpectancyData[[#This Row],[Life expectancy]:[Schooling]])=19</f>
        <v>0</v>
      </c>
    </row>
    <row r="1935" spans="1:23" x14ac:dyDescent="0.25">
      <c r="A1935" t="s">
        <v>400</v>
      </c>
      <c r="B1935">
        <v>2008</v>
      </c>
      <c r="C1935" t="s">
        <v>273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COUNT(LifeExpectancyData[[#This Row],[Life expectancy]:[Schooling]])=19</f>
        <v>0</v>
      </c>
    </row>
    <row r="1936" spans="1:23" x14ac:dyDescent="0.25">
      <c r="A1936" t="s">
        <v>400</v>
      </c>
      <c r="B1936">
        <v>2007</v>
      </c>
      <c r="C1936" t="s">
        <v>273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COUNT(LifeExpectancyData[[#This Row],[Life expectancy]:[Schooling]])=19</f>
        <v>0</v>
      </c>
    </row>
    <row r="1937" spans="1:23" x14ac:dyDescent="0.25">
      <c r="A1937" t="s">
        <v>400</v>
      </c>
      <c r="B1937">
        <v>2006</v>
      </c>
      <c r="C1937" t="s">
        <v>273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COUNT(LifeExpectancyData[[#This Row],[Life expectancy]:[Schooling]])=19</f>
        <v>0</v>
      </c>
    </row>
    <row r="1938" spans="1:23" x14ac:dyDescent="0.25">
      <c r="A1938" t="s">
        <v>400</v>
      </c>
      <c r="B1938">
        <v>2005</v>
      </c>
      <c r="C1938" t="s">
        <v>273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COUNT(LifeExpectancyData[[#This Row],[Life expectancy]:[Schooling]])=19</f>
        <v>0</v>
      </c>
    </row>
    <row r="1939" spans="1:23" x14ac:dyDescent="0.25">
      <c r="A1939" t="s">
        <v>400</v>
      </c>
      <c r="B1939">
        <v>2004</v>
      </c>
      <c r="C1939" t="s">
        <v>273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COUNT(LifeExpectancyData[[#This Row],[Life expectancy]:[Schooling]])=19</f>
        <v>0</v>
      </c>
    </row>
    <row r="1940" spans="1:23" x14ac:dyDescent="0.25">
      <c r="A1940" t="s">
        <v>400</v>
      </c>
      <c r="B1940">
        <v>2003</v>
      </c>
      <c r="C1940" t="s">
        <v>273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COUNT(LifeExpectancyData[[#This Row],[Life expectancy]:[Schooling]])=19</f>
        <v>0</v>
      </c>
    </row>
    <row r="1941" spans="1:23" x14ac:dyDescent="0.25">
      <c r="A1941" t="s">
        <v>400</v>
      </c>
      <c r="B1941">
        <v>2002</v>
      </c>
      <c r="C1941" t="s">
        <v>273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COUNT(LifeExpectancyData[[#This Row],[Life expectancy]:[Schooling]])=19</f>
        <v>0</v>
      </c>
    </row>
    <row r="1942" spans="1:23" x14ac:dyDescent="0.25">
      <c r="A1942" t="s">
        <v>400</v>
      </c>
      <c r="B1942">
        <v>2001</v>
      </c>
      <c r="C1942" t="s">
        <v>273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COUNT(LifeExpectancyData[[#This Row],[Life expectancy]:[Schooling]])=19</f>
        <v>0</v>
      </c>
    </row>
    <row r="1943" spans="1:23" x14ac:dyDescent="0.25">
      <c r="A1943" t="s">
        <v>400</v>
      </c>
      <c r="B1943">
        <v>2000</v>
      </c>
      <c r="C1943" t="s">
        <v>273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COUNT(LifeExpectancyData[[#This Row],[Life expectancy]:[Schooling]])=19</f>
        <v>0</v>
      </c>
    </row>
    <row r="1944" spans="1:23" x14ac:dyDescent="0.25">
      <c r="A1944" t="s">
        <v>401</v>
      </c>
      <c r="B1944">
        <v>2015</v>
      </c>
      <c r="C1944" t="s">
        <v>273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COUNT(LifeExpectancyData[[#This Row],[Life expectancy]:[Schooling]])=19</f>
        <v>0</v>
      </c>
    </row>
    <row r="1945" spans="1:23" x14ac:dyDescent="0.25">
      <c r="A1945" t="s">
        <v>401</v>
      </c>
      <c r="B1945">
        <v>2014</v>
      </c>
      <c r="C1945" t="s">
        <v>273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COUNT(LifeExpectancyData[[#This Row],[Life expectancy]:[Schooling]])=19</f>
        <v>1</v>
      </c>
    </row>
    <row r="1946" spans="1:23" x14ac:dyDescent="0.25">
      <c r="A1946" t="s">
        <v>401</v>
      </c>
      <c r="B1946">
        <v>2013</v>
      </c>
      <c r="C1946" t="s">
        <v>273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COUNT(LifeExpectancyData[[#This Row],[Life expectancy]:[Schooling]])=19</f>
        <v>1</v>
      </c>
    </row>
    <row r="1947" spans="1:23" x14ac:dyDescent="0.25">
      <c r="A1947" t="s">
        <v>401</v>
      </c>
      <c r="B1947">
        <v>2012</v>
      </c>
      <c r="C1947" t="s">
        <v>273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COUNT(LifeExpectancyData[[#This Row],[Life expectancy]:[Schooling]])=19</f>
        <v>1</v>
      </c>
    </row>
    <row r="1948" spans="1:23" x14ac:dyDescent="0.25">
      <c r="A1948" t="s">
        <v>401</v>
      </c>
      <c r="B1948">
        <v>2011</v>
      </c>
      <c r="C1948" t="s">
        <v>273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COUNT(LifeExpectancyData[[#This Row],[Life expectancy]:[Schooling]])=19</f>
        <v>1</v>
      </c>
    </row>
    <row r="1949" spans="1:23" x14ac:dyDescent="0.25">
      <c r="A1949" t="s">
        <v>401</v>
      </c>
      <c r="B1949">
        <v>2010</v>
      </c>
      <c r="C1949" t="s">
        <v>273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COUNT(LifeExpectancyData[[#This Row],[Life expectancy]:[Schooling]])=19</f>
        <v>1</v>
      </c>
    </row>
    <row r="1950" spans="1:23" x14ac:dyDescent="0.25">
      <c r="A1950" t="s">
        <v>401</v>
      </c>
      <c r="B1950">
        <v>2009</v>
      </c>
      <c r="C1950" t="s">
        <v>273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COUNT(LifeExpectancyData[[#This Row],[Life expectancy]:[Schooling]])=19</f>
        <v>1</v>
      </c>
    </row>
    <row r="1951" spans="1:23" x14ac:dyDescent="0.25">
      <c r="A1951" t="s">
        <v>401</v>
      </c>
      <c r="B1951">
        <v>2008</v>
      </c>
      <c r="C1951" t="s">
        <v>273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COUNT(LifeExpectancyData[[#This Row],[Life expectancy]:[Schooling]])=19</f>
        <v>1</v>
      </c>
    </row>
    <row r="1952" spans="1:23" x14ac:dyDescent="0.25">
      <c r="A1952" t="s">
        <v>401</v>
      </c>
      <c r="B1952">
        <v>2007</v>
      </c>
      <c r="C1952" t="s">
        <v>273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COUNT(LifeExpectancyData[[#This Row],[Life expectancy]:[Schooling]])=19</f>
        <v>1</v>
      </c>
    </row>
    <row r="1953" spans="1:23" x14ac:dyDescent="0.25">
      <c r="A1953" t="s">
        <v>401</v>
      </c>
      <c r="B1953">
        <v>2006</v>
      </c>
      <c r="C1953" t="s">
        <v>273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COUNT(LifeExpectancyData[[#This Row],[Life expectancy]:[Schooling]])=19</f>
        <v>1</v>
      </c>
    </row>
    <row r="1954" spans="1:23" x14ac:dyDescent="0.25">
      <c r="A1954" t="s">
        <v>401</v>
      </c>
      <c r="B1954">
        <v>2005</v>
      </c>
      <c r="C1954" t="s">
        <v>273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COUNT(LifeExpectancyData[[#This Row],[Life expectancy]:[Schooling]])=19</f>
        <v>1</v>
      </c>
    </row>
    <row r="1955" spans="1:23" x14ac:dyDescent="0.25">
      <c r="A1955" t="s">
        <v>401</v>
      </c>
      <c r="B1955">
        <v>2004</v>
      </c>
      <c r="C1955" t="s">
        <v>273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COUNT(LifeExpectancyData[[#This Row],[Life expectancy]:[Schooling]])=19</f>
        <v>1</v>
      </c>
    </row>
    <row r="1956" spans="1:23" x14ac:dyDescent="0.25">
      <c r="A1956" t="s">
        <v>401</v>
      </c>
      <c r="B1956">
        <v>2003</v>
      </c>
      <c r="C1956" t="s">
        <v>273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COUNT(LifeExpectancyData[[#This Row],[Life expectancy]:[Schooling]])=19</f>
        <v>1</v>
      </c>
    </row>
    <row r="1957" spans="1:23" x14ac:dyDescent="0.25">
      <c r="A1957" t="s">
        <v>401</v>
      </c>
      <c r="B1957">
        <v>2002</v>
      </c>
      <c r="C1957" t="s">
        <v>273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COUNT(LifeExpectancyData[[#This Row],[Life expectancy]:[Schooling]])=19</f>
        <v>0</v>
      </c>
    </row>
    <row r="1958" spans="1:23" x14ac:dyDescent="0.25">
      <c r="A1958" t="s">
        <v>401</v>
      </c>
      <c r="B1958">
        <v>2001</v>
      </c>
      <c r="C1958" t="s">
        <v>273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COUNT(LifeExpectancyData[[#This Row],[Life expectancy]:[Schooling]])=19</f>
        <v>0</v>
      </c>
    </row>
    <row r="1959" spans="1:23" x14ac:dyDescent="0.25">
      <c r="A1959" t="s">
        <v>401</v>
      </c>
      <c r="B1959">
        <v>2000</v>
      </c>
      <c r="C1959" t="s">
        <v>273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COUNT(LifeExpectancyData[[#This Row],[Life expectancy]:[Schooling]])=19</f>
        <v>0</v>
      </c>
    </row>
    <row r="1960" spans="1:23" x14ac:dyDescent="0.25">
      <c r="A1960" t="s">
        <v>402</v>
      </c>
      <c r="B1960">
        <v>2013</v>
      </c>
      <c r="C1960" t="s">
        <v>273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COUNT(LifeExpectancyData[[#This Row],[Life expectancy]:[Schooling]])=19</f>
        <v>0</v>
      </c>
    </row>
    <row r="1961" spans="1:23" x14ac:dyDescent="0.25">
      <c r="A1961" t="s">
        <v>403</v>
      </c>
      <c r="B1961">
        <v>2015</v>
      </c>
      <c r="C1961" t="s">
        <v>273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COUNT(LifeExpectancyData[[#This Row],[Life expectancy]:[Schooling]])=19</f>
        <v>0</v>
      </c>
    </row>
    <row r="1962" spans="1:23" x14ac:dyDescent="0.25">
      <c r="A1962" t="s">
        <v>403</v>
      </c>
      <c r="B1962">
        <v>2014</v>
      </c>
      <c r="C1962" t="s">
        <v>273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COUNT(LifeExpectancyData[[#This Row],[Life expectancy]:[Schooling]])=19</f>
        <v>1</v>
      </c>
    </row>
    <row r="1963" spans="1:23" x14ac:dyDescent="0.25">
      <c r="A1963" t="s">
        <v>403</v>
      </c>
      <c r="B1963">
        <v>2013</v>
      </c>
      <c r="C1963" t="s">
        <v>273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COUNT(LifeExpectancyData[[#This Row],[Life expectancy]:[Schooling]])=19</f>
        <v>1</v>
      </c>
    </row>
    <row r="1964" spans="1:23" x14ac:dyDescent="0.25">
      <c r="A1964" t="s">
        <v>403</v>
      </c>
      <c r="B1964">
        <v>2012</v>
      </c>
      <c r="C1964" t="s">
        <v>273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COUNT(LifeExpectancyData[[#This Row],[Life expectancy]:[Schooling]])=19</f>
        <v>1</v>
      </c>
    </row>
    <row r="1965" spans="1:23" x14ac:dyDescent="0.25">
      <c r="A1965" t="s">
        <v>403</v>
      </c>
      <c r="B1965">
        <v>2011</v>
      </c>
      <c r="C1965" t="s">
        <v>273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COUNT(LifeExpectancyData[[#This Row],[Life expectancy]:[Schooling]])=19</f>
        <v>1</v>
      </c>
    </row>
    <row r="1966" spans="1:23" x14ac:dyDescent="0.25">
      <c r="A1966" t="s">
        <v>403</v>
      </c>
      <c r="B1966">
        <v>2010</v>
      </c>
      <c r="C1966" t="s">
        <v>273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COUNT(LifeExpectancyData[[#This Row],[Life expectancy]:[Schooling]])=19</f>
        <v>1</v>
      </c>
    </row>
    <row r="1967" spans="1:23" x14ac:dyDescent="0.25">
      <c r="A1967" t="s">
        <v>403</v>
      </c>
      <c r="B1967">
        <v>2009</v>
      </c>
      <c r="C1967" t="s">
        <v>273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COUNT(LifeExpectancyData[[#This Row],[Life expectancy]:[Schooling]])=19</f>
        <v>1</v>
      </c>
    </row>
    <row r="1968" spans="1:23" x14ac:dyDescent="0.25">
      <c r="A1968" t="s">
        <v>403</v>
      </c>
      <c r="B1968">
        <v>2008</v>
      </c>
      <c r="C1968" t="s">
        <v>273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COUNT(LifeExpectancyData[[#This Row],[Life expectancy]:[Schooling]])=19</f>
        <v>1</v>
      </c>
    </row>
    <row r="1969" spans="1:23" x14ac:dyDescent="0.25">
      <c r="A1969" t="s">
        <v>403</v>
      </c>
      <c r="B1969">
        <v>2007</v>
      </c>
      <c r="C1969" t="s">
        <v>273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COUNT(LifeExpectancyData[[#This Row],[Life expectancy]:[Schooling]])=19</f>
        <v>1</v>
      </c>
    </row>
    <row r="1970" spans="1:23" x14ac:dyDescent="0.25">
      <c r="A1970" t="s">
        <v>403</v>
      </c>
      <c r="B1970">
        <v>2006</v>
      </c>
      <c r="C1970" t="s">
        <v>273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COUNT(LifeExpectancyData[[#This Row],[Life expectancy]:[Schooling]])=19</f>
        <v>1</v>
      </c>
    </row>
    <row r="1971" spans="1:23" x14ac:dyDescent="0.25">
      <c r="A1971" t="s">
        <v>403</v>
      </c>
      <c r="B1971">
        <v>2005</v>
      </c>
      <c r="C1971" t="s">
        <v>273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COUNT(LifeExpectancyData[[#This Row],[Life expectancy]:[Schooling]])=19</f>
        <v>1</v>
      </c>
    </row>
    <row r="1972" spans="1:23" x14ac:dyDescent="0.25">
      <c r="A1972" t="s">
        <v>403</v>
      </c>
      <c r="B1972">
        <v>2004</v>
      </c>
      <c r="C1972" t="s">
        <v>273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COUNT(LifeExpectancyData[[#This Row],[Life expectancy]:[Schooling]])=19</f>
        <v>1</v>
      </c>
    </row>
    <row r="1973" spans="1:23" x14ac:dyDescent="0.25">
      <c r="A1973" t="s">
        <v>403</v>
      </c>
      <c r="B1973">
        <v>2003</v>
      </c>
      <c r="C1973" t="s">
        <v>273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COUNT(LifeExpectancyData[[#This Row],[Life expectancy]:[Schooling]])=19</f>
        <v>1</v>
      </c>
    </row>
    <row r="1974" spans="1:23" x14ac:dyDescent="0.25">
      <c r="A1974" t="s">
        <v>403</v>
      </c>
      <c r="B1974">
        <v>2002</v>
      </c>
      <c r="C1974" t="s">
        <v>273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COUNT(LifeExpectancyData[[#This Row],[Life expectancy]:[Schooling]])=19</f>
        <v>1</v>
      </c>
    </row>
    <row r="1975" spans="1:23" x14ac:dyDescent="0.25">
      <c r="A1975" t="s">
        <v>403</v>
      </c>
      <c r="B1975">
        <v>2001</v>
      </c>
      <c r="C1975" t="s">
        <v>273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COUNT(LifeExpectancyData[[#This Row],[Life expectancy]:[Schooling]])=19</f>
        <v>1</v>
      </c>
    </row>
    <row r="1976" spans="1:23" x14ac:dyDescent="0.25">
      <c r="A1976" t="s">
        <v>403</v>
      </c>
      <c r="B1976">
        <v>2000</v>
      </c>
      <c r="C1976" t="s">
        <v>273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COUNT(LifeExpectancyData[[#This Row],[Life expectancy]:[Schooling]])=19</f>
        <v>0</v>
      </c>
    </row>
    <row r="1977" spans="1:23" x14ac:dyDescent="0.25">
      <c r="A1977" t="s">
        <v>404</v>
      </c>
      <c r="B1977">
        <v>2015</v>
      </c>
      <c r="C1977" t="s">
        <v>273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COUNT(LifeExpectancyData[[#This Row],[Life expectancy]:[Schooling]])=19</f>
        <v>0</v>
      </c>
    </row>
    <row r="1978" spans="1:23" x14ac:dyDescent="0.25">
      <c r="A1978" t="s">
        <v>404</v>
      </c>
      <c r="B1978">
        <v>2014</v>
      </c>
      <c r="C1978" t="s">
        <v>273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COUNT(LifeExpectancyData[[#This Row],[Life expectancy]:[Schooling]])=19</f>
        <v>1</v>
      </c>
    </row>
    <row r="1979" spans="1:23" x14ac:dyDescent="0.25">
      <c r="A1979" t="s">
        <v>404</v>
      </c>
      <c r="B1979">
        <v>2013</v>
      </c>
      <c r="C1979" t="s">
        <v>273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COUNT(LifeExpectancyData[[#This Row],[Life expectancy]:[Schooling]])=19</f>
        <v>1</v>
      </c>
    </row>
    <row r="1980" spans="1:23" x14ac:dyDescent="0.25">
      <c r="A1980" t="s">
        <v>404</v>
      </c>
      <c r="B1980">
        <v>2012</v>
      </c>
      <c r="C1980" t="s">
        <v>273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COUNT(LifeExpectancyData[[#This Row],[Life expectancy]:[Schooling]])=19</f>
        <v>1</v>
      </c>
    </row>
    <row r="1981" spans="1:23" x14ac:dyDescent="0.25">
      <c r="A1981" t="s">
        <v>404</v>
      </c>
      <c r="B1981">
        <v>2011</v>
      </c>
      <c r="C1981" t="s">
        <v>273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COUNT(LifeExpectancyData[[#This Row],[Life expectancy]:[Schooling]])=19</f>
        <v>1</v>
      </c>
    </row>
    <row r="1982" spans="1:23" x14ac:dyDescent="0.25">
      <c r="A1982" t="s">
        <v>404</v>
      </c>
      <c r="B1982">
        <v>2010</v>
      </c>
      <c r="C1982" t="s">
        <v>273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COUNT(LifeExpectancyData[[#This Row],[Life expectancy]:[Schooling]])=19</f>
        <v>1</v>
      </c>
    </row>
    <row r="1983" spans="1:23" x14ac:dyDescent="0.25">
      <c r="A1983" t="s">
        <v>404</v>
      </c>
      <c r="B1983">
        <v>2009</v>
      </c>
      <c r="C1983" t="s">
        <v>273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COUNT(LifeExpectancyData[[#This Row],[Life expectancy]:[Schooling]])=19</f>
        <v>1</v>
      </c>
    </row>
    <row r="1984" spans="1:23" x14ac:dyDescent="0.25">
      <c r="A1984" t="s">
        <v>404</v>
      </c>
      <c r="B1984">
        <v>2008</v>
      </c>
      <c r="C1984" t="s">
        <v>273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COUNT(LifeExpectancyData[[#This Row],[Life expectancy]:[Schooling]])=19</f>
        <v>1</v>
      </c>
    </row>
    <row r="1985" spans="1:23" x14ac:dyDescent="0.25">
      <c r="A1985" t="s">
        <v>404</v>
      </c>
      <c r="B1985">
        <v>2007</v>
      </c>
      <c r="C1985" t="s">
        <v>273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COUNT(LifeExpectancyData[[#This Row],[Life expectancy]:[Schooling]])=19</f>
        <v>1</v>
      </c>
    </row>
    <row r="1986" spans="1:23" x14ac:dyDescent="0.25">
      <c r="A1986" t="s">
        <v>404</v>
      </c>
      <c r="B1986">
        <v>2006</v>
      </c>
      <c r="C1986" t="s">
        <v>273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COUNT(LifeExpectancyData[[#This Row],[Life expectancy]:[Schooling]])=19</f>
        <v>1</v>
      </c>
    </row>
    <row r="1987" spans="1:23" x14ac:dyDescent="0.25">
      <c r="A1987" t="s">
        <v>404</v>
      </c>
      <c r="B1987">
        <v>2005</v>
      </c>
      <c r="C1987" t="s">
        <v>273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COUNT(LifeExpectancyData[[#This Row],[Life expectancy]:[Schooling]])=19</f>
        <v>1</v>
      </c>
    </row>
    <row r="1988" spans="1:23" x14ac:dyDescent="0.25">
      <c r="A1988" t="s">
        <v>404</v>
      </c>
      <c r="B1988">
        <v>2004</v>
      </c>
      <c r="C1988" t="s">
        <v>273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COUNT(LifeExpectancyData[[#This Row],[Life expectancy]:[Schooling]])=19</f>
        <v>1</v>
      </c>
    </row>
    <row r="1989" spans="1:23" x14ac:dyDescent="0.25">
      <c r="A1989" t="s">
        <v>404</v>
      </c>
      <c r="B1989">
        <v>2003</v>
      </c>
      <c r="C1989" t="s">
        <v>273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COUNT(LifeExpectancyData[[#This Row],[Life expectancy]:[Schooling]])=19</f>
        <v>1</v>
      </c>
    </row>
    <row r="1990" spans="1:23" x14ac:dyDescent="0.25">
      <c r="A1990" t="s">
        <v>404</v>
      </c>
      <c r="B1990">
        <v>2002</v>
      </c>
      <c r="C1990" t="s">
        <v>273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COUNT(LifeExpectancyData[[#This Row],[Life expectancy]:[Schooling]])=19</f>
        <v>1</v>
      </c>
    </row>
    <row r="1991" spans="1:23" x14ac:dyDescent="0.25">
      <c r="A1991" t="s">
        <v>404</v>
      </c>
      <c r="B1991">
        <v>2001</v>
      </c>
      <c r="C1991" t="s">
        <v>273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COUNT(LifeExpectancyData[[#This Row],[Life expectancy]:[Schooling]])=19</f>
        <v>1</v>
      </c>
    </row>
    <row r="1992" spans="1:23" x14ac:dyDescent="0.25">
      <c r="A1992" t="s">
        <v>404</v>
      </c>
      <c r="B1992">
        <v>2000</v>
      </c>
      <c r="C1992" t="s">
        <v>273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COUNT(LifeExpectancyData[[#This Row],[Life expectancy]:[Schooling]])=19</f>
        <v>1</v>
      </c>
    </row>
    <row r="1993" spans="1:23" x14ac:dyDescent="0.25">
      <c r="A1993" t="s">
        <v>405</v>
      </c>
      <c r="B1993">
        <v>2015</v>
      </c>
      <c r="C1993" t="s">
        <v>273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COUNT(LifeExpectancyData[[#This Row],[Life expectancy]:[Schooling]])=19</f>
        <v>0</v>
      </c>
    </row>
    <row r="1994" spans="1:23" x14ac:dyDescent="0.25">
      <c r="A1994" t="s">
        <v>405</v>
      </c>
      <c r="B1994">
        <v>2014</v>
      </c>
      <c r="C1994" t="s">
        <v>273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COUNT(LifeExpectancyData[[#This Row],[Life expectancy]:[Schooling]])=19</f>
        <v>1</v>
      </c>
    </row>
    <row r="1995" spans="1:23" x14ac:dyDescent="0.25">
      <c r="A1995" t="s">
        <v>405</v>
      </c>
      <c r="B1995">
        <v>2013</v>
      </c>
      <c r="C1995" t="s">
        <v>273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COUNT(LifeExpectancyData[[#This Row],[Life expectancy]:[Schooling]])=19</f>
        <v>1</v>
      </c>
    </row>
    <row r="1996" spans="1:23" x14ac:dyDescent="0.25">
      <c r="A1996" t="s">
        <v>405</v>
      </c>
      <c r="B1996">
        <v>2012</v>
      </c>
      <c r="C1996" t="s">
        <v>273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COUNT(LifeExpectancyData[[#This Row],[Life expectancy]:[Schooling]])=19</f>
        <v>1</v>
      </c>
    </row>
    <row r="1997" spans="1:23" x14ac:dyDescent="0.25">
      <c r="A1997" t="s">
        <v>405</v>
      </c>
      <c r="B1997">
        <v>2011</v>
      </c>
      <c r="C1997" t="s">
        <v>273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COUNT(LifeExpectancyData[[#This Row],[Life expectancy]:[Schooling]])=19</f>
        <v>1</v>
      </c>
    </row>
    <row r="1998" spans="1:23" x14ac:dyDescent="0.25">
      <c r="A1998" t="s">
        <v>405</v>
      </c>
      <c r="B1998">
        <v>2010</v>
      </c>
      <c r="C1998" t="s">
        <v>273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COUNT(LifeExpectancyData[[#This Row],[Life expectancy]:[Schooling]])=19</f>
        <v>1</v>
      </c>
    </row>
    <row r="1999" spans="1:23" x14ac:dyDescent="0.25">
      <c r="A1999" t="s">
        <v>405</v>
      </c>
      <c r="B1999">
        <v>2009</v>
      </c>
      <c r="C1999" t="s">
        <v>273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COUNT(LifeExpectancyData[[#This Row],[Life expectancy]:[Schooling]])=19</f>
        <v>1</v>
      </c>
    </row>
    <row r="2000" spans="1:23" x14ac:dyDescent="0.25">
      <c r="A2000" t="s">
        <v>405</v>
      </c>
      <c r="B2000">
        <v>2008</v>
      </c>
      <c r="C2000" t="s">
        <v>273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COUNT(LifeExpectancyData[[#This Row],[Life expectancy]:[Schooling]])=19</f>
        <v>1</v>
      </c>
    </row>
    <row r="2001" spans="1:23" x14ac:dyDescent="0.25">
      <c r="A2001" t="s">
        <v>405</v>
      </c>
      <c r="B2001">
        <v>2007</v>
      </c>
      <c r="C2001" t="s">
        <v>273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COUNT(LifeExpectancyData[[#This Row],[Life expectancy]:[Schooling]])=19</f>
        <v>1</v>
      </c>
    </row>
    <row r="2002" spans="1:23" x14ac:dyDescent="0.25">
      <c r="A2002" t="s">
        <v>405</v>
      </c>
      <c r="B2002">
        <v>2006</v>
      </c>
      <c r="C2002" t="s">
        <v>273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COUNT(LifeExpectancyData[[#This Row],[Life expectancy]:[Schooling]])=19</f>
        <v>1</v>
      </c>
    </row>
    <row r="2003" spans="1:23" x14ac:dyDescent="0.25">
      <c r="A2003" t="s">
        <v>405</v>
      </c>
      <c r="B2003">
        <v>2005</v>
      </c>
      <c r="C2003" t="s">
        <v>273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COUNT(LifeExpectancyData[[#This Row],[Life expectancy]:[Schooling]])=19</f>
        <v>1</v>
      </c>
    </row>
    <row r="2004" spans="1:23" x14ac:dyDescent="0.25">
      <c r="A2004" t="s">
        <v>405</v>
      </c>
      <c r="B2004">
        <v>2004</v>
      </c>
      <c r="C2004" t="s">
        <v>273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COUNT(LifeExpectancyData[[#This Row],[Life expectancy]:[Schooling]])=19</f>
        <v>1</v>
      </c>
    </row>
    <row r="2005" spans="1:23" x14ac:dyDescent="0.25">
      <c r="A2005" t="s">
        <v>405</v>
      </c>
      <c r="B2005">
        <v>2003</v>
      </c>
      <c r="C2005" t="s">
        <v>273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COUNT(LifeExpectancyData[[#This Row],[Life expectancy]:[Schooling]])=19</f>
        <v>1</v>
      </c>
    </row>
    <row r="2006" spans="1:23" x14ac:dyDescent="0.25">
      <c r="A2006" t="s">
        <v>405</v>
      </c>
      <c r="B2006">
        <v>2002</v>
      </c>
      <c r="C2006" t="s">
        <v>273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COUNT(LifeExpectancyData[[#This Row],[Life expectancy]:[Schooling]])=19</f>
        <v>0</v>
      </c>
    </row>
    <row r="2007" spans="1:23" x14ac:dyDescent="0.25">
      <c r="A2007" t="s">
        <v>405</v>
      </c>
      <c r="B2007">
        <v>2001</v>
      </c>
      <c r="C2007" t="s">
        <v>273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COUNT(LifeExpectancyData[[#This Row],[Life expectancy]:[Schooling]])=19</f>
        <v>0</v>
      </c>
    </row>
    <row r="2008" spans="1:23" x14ac:dyDescent="0.25">
      <c r="A2008" t="s">
        <v>405</v>
      </c>
      <c r="B2008">
        <v>2000</v>
      </c>
      <c r="C2008" t="s">
        <v>273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COUNT(LifeExpectancyData[[#This Row],[Life expectancy]:[Schooling]])=19</f>
        <v>0</v>
      </c>
    </row>
    <row r="2009" spans="1:23" x14ac:dyDescent="0.25">
      <c r="A2009" t="s">
        <v>406</v>
      </c>
      <c r="B2009">
        <v>2015</v>
      </c>
      <c r="C2009" t="s">
        <v>273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COUNT(LifeExpectancyData[[#This Row],[Life expectancy]:[Schooling]])=19</f>
        <v>0</v>
      </c>
    </row>
    <row r="2010" spans="1:23" x14ac:dyDescent="0.25">
      <c r="A2010" t="s">
        <v>406</v>
      </c>
      <c r="B2010">
        <v>2014</v>
      </c>
      <c r="C2010" t="s">
        <v>273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COUNT(LifeExpectancyData[[#This Row],[Life expectancy]:[Schooling]])=19</f>
        <v>1</v>
      </c>
    </row>
    <row r="2011" spans="1:23" x14ac:dyDescent="0.25">
      <c r="A2011" t="s">
        <v>406</v>
      </c>
      <c r="B2011">
        <v>2013</v>
      </c>
      <c r="C2011" t="s">
        <v>273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COUNT(LifeExpectancyData[[#This Row],[Life expectancy]:[Schooling]])=19</f>
        <v>1</v>
      </c>
    </row>
    <row r="2012" spans="1:23" x14ac:dyDescent="0.25">
      <c r="A2012" t="s">
        <v>406</v>
      </c>
      <c r="B2012">
        <v>2012</v>
      </c>
      <c r="C2012" t="s">
        <v>273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COUNT(LifeExpectancyData[[#This Row],[Life expectancy]:[Schooling]])=19</f>
        <v>1</v>
      </c>
    </row>
    <row r="2013" spans="1:23" x14ac:dyDescent="0.25">
      <c r="A2013" t="s">
        <v>406</v>
      </c>
      <c r="B2013">
        <v>2011</v>
      </c>
      <c r="C2013" t="s">
        <v>273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COUNT(LifeExpectancyData[[#This Row],[Life expectancy]:[Schooling]])=19</f>
        <v>1</v>
      </c>
    </row>
    <row r="2014" spans="1:23" x14ac:dyDescent="0.25">
      <c r="A2014" t="s">
        <v>406</v>
      </c>
      <c r="B2014">
        <v>2010</v>
      </c>
      <c r="C2014" t="s">
        <v>273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COUNT(LifeExpectancyData[[#This Row],[Life expectancy]:[Schooling]])=19</f>
        <v>1</v>
      </c>
    </row>
    <row r="2015" spans="1:23" x14ac:dyDescent="0.25">
      <c r="A2015" t="s">
        <v>406</v>
      </c>
      <c r="B2015">
        <v>2009</v>
      </c>
      <c r="C2015" t="s">
        <v>273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COUNT(LifeExpectancyData[[#This Row],[Life expectancy]:[Schooling]])=19</f>
        <v>1</v>
      </c>
    </row>
    <row r="2016" spans="1:23" x14ac:dyDescent="0.25">
      <c r="A2016" t="s">
        <v>406</v>
      </c>
      <c r="B2016">
        <v>2008</v>
      </c>
      <c r="C2016" t="s">
        <v>273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COUNT(LifeExpectancyData[[#This Row],[Life expectancy]:[Schooling]])=19</f>
        <v>1</v>
      </c>
    </row>
    <row r="2017" spans="1:23" x14ac:dyDescent="0.25">
      <c r="A2017" t="s">
        <v>406</v>
      </c>
      <c r="B2017">
        <v>2007</v>
      </c>
      <c r="C2017" t="s">
        <v>273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COUNT(LifeExpectancyData[[#This Row],[Life expectancy]:[Schooling]])=19</f>
        <v>1</v>
      </c>
    </row>
    <row r="2018" spans="1:23" x14ac:dyDescent="0.25">
      <c r="A2018" t="s">
        <v>406</v>
      </c>
      <c r="B2018">
        <v>2006</v>
      </c>
      <c r="C2018" t="s">
        <v>273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COUNT(LifeExpectancyData[[#This Row],[Life expectancy]:[Schooling]])=19</f>
        <v>1</v>
      </c>
    </row>
    <row r="2019" spans="1:23" x14ac:dyDescent="0.25">
      <c r="A2019" t="s">
        <v>406</v>
      </c>
      <c r="B2019">
        <v>2005</v>
      </c>
      <c r="C2019" t="s">
        <v>273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COUNT(LifeExpectancyData[[#This Row],[Life expectancy]:[Schooling]])=19</f>
        <v>1</v>
      </c>
    </row>
    <row r="2020" spans="1:23" x14ac:dyDescent="0.25">
      <c r="A2020" t="s">
        <v>406</v>
      </c>
      <c r="B2020">
        <v>2004</v>
      </c>
      <c r="C2020" t="s">
        <v>273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COUNT(LifeExpectancyData[[#This Row],[Life expectancy]:[Schooling]])=19</f>
        <v>1</v>
      </c>
    </row>
    <row r="2021" spans="1:23" x14ac:dyDescent="0.25">
      <c r="A2021" t="s">
        <v>406</v>
      </c>
      <c r="B2021">
        <v>2003</v>
      </c>
      <c r="C2021" t="s">
        <v>273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COUNT(LifeExpectancyData[[#This Row],[Life expectancy]:[Schooling]])=19</f>
        <v>1</v>
      </c>
    </row>
    <row r="2022" spans="1:23" x14ac:dyDescent="0.25">
      <c r="A2022" t="s">
        <v>406</v>
      </c>
      <c r="B2022">
        <v>2002</v>
      </c>
      <c r="C2022" t="s">
        <v>273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COUNT(LifeExpectancyData[[#This Row],[Life expectancy]:[Schooling]])=19</f>
        <v>0</v>
      </c>
    </row>
    <row r="2023" spans="1:23" x14ac:dyDescent="0.25">
      <c r="A2023" t="s">
        <v>406</v>
      </c>
      <c r="B2023">
        <v>2001</v>
      </c>
      <c r="C2023" t="s">
        <v>273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COUNT(LifeExpectancyData[[#This Row],[Life expectancy]:[Schooling]])=19</f>
        <v>0</v>
      </c>
    </row>
    <row r="2024" spans="1:23" x14ac:dyDescent="0.25">
      <c r="A2024" t="s">
        <v>406</v>
      </c>
      <c r="B2024">
        <v>2000</v>
      </c>
      <c r="C2024" t="s">
        <v>273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COUNT(LifeExpectancyData[[#This Row],[Life expectancy]:[Schooling]])=19</f>
        <v>0</v>
      </c>
    </row>
    <row r="2025" spans="1:23" x14ac:dyDescent="0.25">
      <c r="A2025" t="s">
        <v>407</v>
      </c>
      <c r="B2025">
        <v>2015</v>
      </c>
      <c r="C2025" t="s">
        <v>273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COUNT(LifeExpectancyData[[#This Row],[Life expectancy]:[Schooling]])=19</f>
        <v>0</v>
      </c>
    </row>
    <row r="2026" spans="1:23" x14ac:dyDescent="0.25">
      <c r="A2026" t="s">
        <v>407</v>
      </c>
      <c r="B2026">
        <v>2014</v>
      </c>
      <c r="C2026" t="s">
        <v>273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COUNT(LifeExpectancyData[[#This Row],[Life expectancy]:[Schooling]])=19</f>
        <v>1</v>
      </c>
    </row>
    <row r="2027" spans="1:23" x14ac:dyDescent="0.25">
      <c r="A2027" t="s">
        <v>407</v>
      </c>
      <c r="B2027">
        <v>2013</v>
      </c>
      <c r="C2027" t="s">
        <v>273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COUNT(LifeExpectancyData[[#This Row],[Life expectancy]:[Schooling]])=19</f>
        <v>1</v>
      </c>
    </row>
    <row r="2028" spans="1:23" x14ac:dyDescent="0.25">
      <c r="A2028" t="s">
        <v>407</v>
      </c>
      <c r="B2028">
        <v>2012</v>
      </c>
      <c r="C2028" t="s">
        <v>273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COUNT(LifeExpectancyData[[#This Row],[Life expectancy]:[Schooling]])=19</f>
        <v>1</v>
      </c>
    </row>
    <row r="2029" spans="1:23" x14ac:dyDescent="0.25">
      <c r="A2029" t="s">
        <v>407</v>
      </c>
      <c r="B2029">
        <v>2011</v>
      </c>
      <c r="C2029" t="s">
        <v>273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COUNT(LifeExpectancyData[[#This Row],[Life expectancy]:[Schooling]])=19</f>
        <v>1</v>
      </c>
    </row>
    <row r="2030" spans="1:23" x14ac:dyDescent="0.25">
      <c r="A2030" t="s">
        <v>407</v>
      </c>
      <c r="B2030">
        <v>2010</v>
      </c>
      <c r="C2030" t="s">
        <v>273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COUNT(LifeExpectancyData[[#This Row],[Life expectancy]:[Schooling]])=19</f>
        <v>1</v>
      </c>
    </row>
    <row r="2031" spans="1:23" x14ac:dyDescent="0.25">
      <c r="A2031" t="s">
        <v>407</v>
      </c>
      <c r="B2031">
        <v>2009</v>
      </c>
      <c r="C2031" t="s">
        <v>273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COUNT(LifeExpectancyData[[#This Row],[Life expectancy]:[Schooling]])=19</f>
        <v>1</v>
      </c>
    </row>
    <row r="2032" spans="1:23" x14ac:dyDescent="0.25">
      <c r="A2032" t="s">
        <v>407</v>
      </c>
      <c r="B2032">
        <v>2008</v>
      </c>
      <c r="C2032" t="s">
        <v>273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COUNT(LifeExpectancyData[[#This Row],[Life expectancy]:[Schooling]])=19</f>
        <v>1</v>
      </c>
    </row>
    <row r="2033" spans="1:23" x14ac:dyDescent="0.25">
      <c r="A2033" t="s">
        <v>407</v>
      </c>
      <c r="B2033">
        <v>2007</v>
      </c>
      <c r="C2033" t="s">
        <v>273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COUNT(LifeExpectancyData[[#This Row],[Life expectancy]:[Schooling]])=19</f>
        <v>1</v>
      </c>
    </row>
    <row r="2034" spans="1:23" x14ac:dyDescent="0.25">
      <c r="A2034" t="s">
        <v>407</v>
      </c>
      <c r="B2034">
        <v>2006</v>
      </c>
      <c r="C2034" t="s">
        <v>273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COUNT(LifeExpectancyData[[#This Row],[Life expectancy]:[Schooling]])=19</f>
        <v>1</v>
      </c>
    </row>
    <row r="2035" spans="1:23" x14ac:dyDescent="0.25">
      <c r="A2035" t="s">
        <v>407</v>
      </c>
      <c r="B2035">
        <v>2005</v>
      </c>
      <c r="C2035" t="s">
        <v>273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COUNT(LifeExpectancyData[[#This Row],[Life expectancy]:[Schooling]])=19</f>
        <v>1</v>
      </c>
    </row>
    <row r="2036" spans="1:23" x14ac:dyDescent="0.25">
      <c r="A2036" t="s">
        <v>407</v>
      </c>
      <c r="B2036">
        <v>2004</v>
      </c>
      <c r="C2036" t="s">
        <v>273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COUNT(LifeExpectancyData[[#This Row],[Life expectancy]:[Schooling]])=19</f>
        <v>1</v>
      </c>
    </row>
    <row r="2037" spans="1:23" x14ac:dyDescent="0.25">
      <c r="A2037" t="s">
        <v>407</v>
      </c>
      <c r="B2037">
        <v>2003</v>
      </c>
      <c r="C2037" t="s">
        <v>273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COUNT(LifeExpectancyData[[#This Row],[Life expectancy]:[Schooling]])=19</f>
        <v>1</v>
      </c>
    </row>
    <row r="2038" spans="1:23" x14ac:dyDescent="0.25">
      <c r="A2038" t="s">
        <v>407</v>
      </c>
      <c r="B2038">
        <v>2002</v>
      </c>
      <c r="C2038" t="s">
        <v>273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COUNT(LifeExpectancyData[[#This Row],[Life expectancy]:[Schooling]])=19</f>
        <v>1</v>
      </c>
    </row>
    <row r="2039" spans="1:23" x14ac:dyDescent="0.25">
      <c r="A2039" t="s">
        <v>407</v>
      </c>
      <c r="B2039">
        <v>2001</v>
      </c>
      <c r="C2039" t="s">
        <v>273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COUNT(LifeExpectancyData[[#This Row],[Life expectancy]:[Schooling]])=19</f>
        <v>1</v>
      </c>
    </row>
    <row r="2040" spans="1:23" x14ac:dyDescent="0.25">
      <c r="A2040" t="s">
        <v>407</v>
      </c>
      <c r="B2040">
        <v>2000</v>
      </c>
      <c r="C2040" t="s">
        <v>273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COUNT(LifeExpectancyData[[#This Row],[Life expectancy]:[Schooling]])=19</f>
        <v>1</v>
      </c>
    </row>
    <row r="2041" spans="1:23" x14ac:dyDescent="0.25">
      <c r="A2041" t="s">
        <v>408</v>
      </c>
      <c r="B2041">
        <v>2015</v>
      </c>
      <c r="C2041" t="s">
        <v>281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COUNT(LifeExpectancyData[[#This Row],[Life expectancy]:[Schooling]])=19</f>
        <v>0</v>
      </c>
    </row>
    <row r="2042" spans="1:23" x14ac:dyDescent="0.25">
      <c r="A2042" t="s">
        <v>408</v>
      </c>
      <c r="B2042">
        <v>2014</v>
      </c>
      <c r="C2042" t="s">
        <v>281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COUNT(LifeExpectancyData[[#This Row],[Life expectancy]:[Schooling]])=19</f>
        <v>1</v>
      </c>
    </row>
    <row r="2043" spans="1:23" x14ac:dyDescent="0.25">
      <c r="A2043" t="s">
        <v>408</v>
      </c>
      <c r="B2043">
        <v>2013</v>
      </c>
      <c r="C2043" t="s">
        <v>281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COUNT(LifeExpectancyData[[#This Row],[Life expectancy]:[Schooling]])=19</f>
        <v>1</v>
      </c>
    </row>
    <row r="2044" spans="1:23" x14ac:dyDescent="0.25">
      <c r="A2044" t="s">
        <v>408</v>
      </c>
      <c r="B2044">
        <v>2012</v>
      </c>
      <c r="C2044" t="s">
        <v>281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COUNT(LifeExpectancyData[[#This Row],[Life expectancy]:[Schooling]])=19</f>
        <v>1</v>
      </c>
    </row>
    <row r="2045" spans="1:23" x14ac:dyDescent="0.25">
      <c r="A2045" t="s">
        <v>408</v>
      </c>
      <c r="B2045">
        <v>2011</v>
      </c>
      <c r="C2045" t="s">
        <v>281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COUNT(LifeExpectancyData[[#This Row],[Life expectancy]:[Schooling]])=19</f>
        <v>1</v>
      </c>
    </row>
    <row r="2046" spans="1:23" x14ac:dyDescent="0.25">
      <c r="A2046" t="s">
        <v>408</v>
      </c>
      <c r="B2046">
        <v>2010</v>
      </c>
      <c r="C2046" t="s">
        <v>281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COUNT(LifeExpectancyData[[#This Row],[Life expectancy]:[Schooling]])=19</f>
        <v>1</v>
      </c>
    </row>
    <row r="2047" spans="1:23" x14ac:dyDescent="0.25">
      <c r="A2047" t="s">
        <v>408</v>
      </c>
      <c r="B2047">
        <v>2009</v>
      </c>
      <c r="C2047" t="s">
        <v>281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COUNT(LifeExpectancyData[[#This Row],[Life expectancy]:[Schooling]])=19</f>
        <v>1</v>
      </c>
    </row>
    <row r="2048" spans="1:23" x14ac:dyDescent="0.25">
      <c r="A2048" t="s">
        <v>408</v>
      </c>
      <c r="B2048">
        <v>2008</v>
      </c>
      <c r="C2048" t="s">
        <v>281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COUNT(LifeExpectancyData[[#This Row],[Life expectancy]:[Schooling]])=19</f>
        <v>1</v>
      </c>
    </row>
    <row r="2049" spans="1:23" x14ac:dyDescent="0.25">
      <c r="A2049" t="s">
        <v>408</v>
      </c>
      <c r="B2049">
        <v>2007</v>
      </c>
      <c r="C2049" t="s">
        <v>281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COUNT(LifeExpectancyData[[#This Row],[Life expectancy]:[Schooling]])=19</f>
        <v>1</v>
      </c>
    </row>
    <row r="2050" spans="1:23" x14ac:dyDescent="0.25">
      <c r="A2050" t="s">
        <v>408</v>
      </c>
      <c r="B2050">
        <v>2006</v>
      </c>
      <c r="C2050" t="s">
        <v>281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COUNT(LifeExpectancyData[[#This Row],[Life expectancy]:[Schooling]])=19</f>
        <v>1</v>
      </c>
    </row>
    <row r="2051" spans="1:23" x14ac:dyDescent="0.25">
      <c r="A2051" t="s">
        <v>408</v>
      </c>
      <c r="B2051">
        <v>2005</v>
      </c>
      <c r="C2051" t="s">
        <v>281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COUNT(LifeExpectancyData[[#This Row],[Life expectancy]:[Schooling]])=19</f>
        <v>1</v>
      </c>
    </row>
    <row r="2052" spans="1:23" x14ac:dyDescent="0.25">
      <c r="A2052" t="s">
        <v>408</v>
      </c>
      <c r="B2052">
        <v>2004</v>
      </c>
      <c r="C2052" t="s">
        <v>281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COUNT(LifeExpectancyData[[#This Row],[Life expectancy]:[Schooling]])=19</f>
        <v>1</v>
      </c>
    </row>
    <row r="2053" spans="1:23" x14ac:dyDescent="0.25">
      <c r="A2053" t="s">
        <v>408</v>
      </c>
      <c r="B2053">
        <v>2003</v>
      </c>
      <c r="C2053" t="s">
        <v>281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COUNT(LifeExpectancyData[[#This Row],[Life expectancy]:[Schooling]])=19</f>
        <v>1</v>
      </c>
    </row>
    <row r="2054" spans="1:23" x14ac:dyDescent="0.25">
      <c r="A2054" t="s">
        <v>408</v>
      </c>
      <c r="B2054">
        <v>2002</v>
      </c>
      <c r="C2054" t="s">
        <v>281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COUNT(LifeExpectancyData[[#This Row],[Life expectancy]:[Schooling]])=19</f>
        <v>1</v>
      </c>
    </row>
    <row r="2055" spans="1:23" x14ac:dyDescent="0.25">
      <c r="A2055" t="s">
        <v>408</v>
      </c>
      <c r="B2055">
        <v>2001</v>
      </c>
      <c r="C2055" t="s">
        <v>281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COUNT(LifeExpectancyData[[#This Row],[Life expectancy]:[Schooling]])=19</f>
        <v>1</v>
      </c>
    </row>
    <row r="2056" spans="1:23" x14ac:dyDescent="0.25">
      <c r="A2056" t="s">
        <v>408</v>
      </c>
      <c r="B2056">
        <v>2000</v>
      </c>
      <c r="C2056" t="s">
        <v>281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COUNT(LifeExpectancyData[[#This Row],[Life expectancy]:[Schooling]])=19</f>
        <v>1</v>
      </c>
    </row>
    <row r="2057" spans="1:23" x14ac:dyDescent="0.25">
      <c r="A2057" t="s">
        <v>409</v>
      </c>
      <c r="B2057">
        <v>2015</v>
      </c>
      <c r="C2057" t="s">
        <v>281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COUNT(LifeExpectancyData[[#This Row],[Life expectancy]:[Schooling]])=19</f>
        <v>0</v>
      </c>
    </row>
    <row r="2058" spans="1:23" x14ac:dyDescent="0.25">
      <c r="A2058" t="s">
        <v>409</v>
      </c>
      <c r="B2058">
        <v>2014</v>
      </c>
      <c r="C2058" t="s">
        <v>281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COUNT(LifeExpectancyData[[#This Row],[Life expectancy]:[Schooling]])=19</f>
        <v>1</v>
      </c>
    </row>
    <row r="2059" spans="1:23" x14ac:dyDescent="0.25">
      <c r="A2059" t="s">
        <v>409</v>
      </c>
      <c r="B2059">
        <v>2013</v>
      </c>
      <c r="C2059" t="s">
        <v>281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COUNT(LifeExpectancyData[[#This Row],[Life expectancy]:[Schooling]])=19</f>
        <v>1</v>
      </c>
    </row>
    <row r="2060" spans="1:23" x14ac:dyDescent="0.25">
      <c r="A2060" t="s">
        <v>409</v>
      </c>
      <c r="B2060">
        <v>2012</v>
      </c>
      <c r="C2060" t="s">
        <v>281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COUNT(LifeExpectancyData[[#This Row],[Life expectancy]:[Schooling]])=19</f>
        <v>1</v>
      </c>
    </row>
    <row r="2061" spans="1:23" x14ac:dyDescent="0.25">
      <c r="A2061" t="s">
        <v>409</v>
      </c>
      <c r="B2061">
        <v>2011</v>
      </c>
      <c r="C2061" t="s">
        <v>281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COUNT(LifeExpectancyData[[#This Row],[Life expectancy]:[Schooling]])=19</f>
        <v>1</v>
      </c>
    </row>
    <row r="2062" spans="1:23" x14ac:dyDescent="0.25">
      <c r="A2062" t="s">
        <v>409</v>
      </c>
      <c r="B2062">
        <v>2010</v>
      </c>
      <c r="C2062" t="s">
        <v>281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COUNT(LifeExpectancyData[[#This Row],[Life expectancy]:[Schooling]])=19</f>
        <v>1</v>
      </c>
    </row>
    <row r="2063" spans="1:23" x14ac:dyDescent="0.25">
      <c r="A2063" t="s">
        <v>409</v>
      </c>
      <c r="B2063">
        <v>2009</v>
      </c>
      <c r="C2063" t="s">
        <v>281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COUNT(LifeExpectancyData[[#This Row],[Life expectancy]:[Schooling]])=19</f>
        <v>1</v>
      </c>
    </row>
    <row r="2064" spans="1:23" x14ac:dyDescent="0.25">
      <c r="A2064" t="s">
        <v>409</v>
      </c>
      <c r="B2064">
        <v>2008</v>
      </c>
      <c r="C2064" t="s">
        <v>281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COUNT(LifeExpectancyData[[#This Row],[Life expectancy]:[Schooling]])=19</f>
        <v>1</v>
      </c>
    </row>
    <row r="2065" spans="1:23" x14ac:dyDescent="0.25">
      <c r="A2065" t="s">
        <v>409</v>
      </c>
      <c r="B2065">
        <v>2007</v>
      </c>
      <c r="C2065" t="s">
        <v>281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COUNT(LifeExpectancyData[[#This Row],[Life expectancy]:[Schooling]])=19</f>
        <v>1</v>
      </c>
    </row>
    <row r="2066" spans="1:23" x14ac:dyDescent="0.25">
      <c r="A2066" t="s">
        <v>409</v>
      </c>
      <c r="B2066">
        <v>2006</v>
      </c>
      <c r="C2066" t="s">
        <v>281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COUNT(LifeExpectancyData[[#This Row],[Life expectancy]:[Schooling]])=19</f>
        <v>1</v>
      </c>
    </row>
    <row r="2067" spans="1:23" x14ac:dyDescent="0.25">
      <c r="A2067" t="s">
        <v>409</v>
      </c>
      <c r="B2067">
        <v>2005</v>
      </c>
      <c r="C2067" t="s">
        <v>281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COUNT(LifeExpectancyData[[#This Row],[Life expectancy]:[Schooling]])=19</f>
        <v>1</v>
      </c>
    </row>
    <row r="2068" spans="1:23" x14ac:dyDescent="0.25">
      <c r="A2068" t="s">
        <v>409</v>
      </c>
      <c r="B2068">
        <v>2004</v>
      </c>
      <c r="C2068" t="s">
        <v>281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COUNT(LifeExpectancyData[[#This Row],[Life expectancy]:[Schooling]])=19</f>
        <v>1</v>
      </c>
    </row>
    <row r="2069" spans="1:23" x14ac:dyDescent="0.25">
      <c r="A2069" t="s">
        <v>409</v>
      </c>
      <c r="B2069">
        <v>2003</v>
      </c>
      <c r="C2069" t="s">
        <v>281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COUNT(LifeExpectancyData[[#This Row],[Life expectancy]:[Schooling]])=19</f>
        <v>1</v>
      </c>
    </row>
    <row r="2070" spans="1:23" x14ac:dyDescent="0.25">
      <c r="A2070" t="s">
        <v>409</v>
      </c>
      <c r="B2070">
        <v>2002</v>
      </c>
      <c r="C2070" t="s">
        <v>281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COUNT(LifeExpectancyData[[#This Row],[Life expectancy]:[Schooling]])=19</f>
        <v>1</v>
      </c>
    </row>
    <row r="2071" spans="1:23" x14ac:dyDescent="0.25">
      <c r="A2071" t="s">
        <v>409</v>
      </c>
      <c r="B2071">
        <v>2001</v>
      </c>
      <c r="C2071" t="s">
        <v>281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COUNT(LifeExpectancyData[[#This Row],[Life expectancy]:[Schooling]])=19</f>
        <v>1</v>
      </c>
    </row>
    <row r="2072" spans="1:23" x14ac:dyDescent="0.25">
      <c r="A2072" t="s">
        <v>409</v>
      </c>
      <c r="B2072">
        <v>2000</v>
      </c>
      <c r="C2072" t="s">
        <v>281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COUNT(LifeExpectancyData[[#This Row],[Life expectancy]:[Schooling]])=19</f>
        <v>1</v>
      </c>
    </row>
    <row r="2073" spans="1:23" x14ac:dyDescent="0.25">
      <c r="A2073" t="s">
        <v>410</v>
      </c>
      <c r="B2073">
        <v>2015</v>
      </c>
      <c r="C2073" t="s">
        <v>273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COUNT(LifeExpectancyData[[#This Row],[Life expectancy]:[Schooling]])=19</f>
        <v>0</v>
      </c>
    </row>
    <row r="2074" spans="1:23" x14ac:dyDescent="0.25">
      <c r="A2074" t="s">
        <v>410</v>
      </c>
      <c r="B2074">
        <v>2014</v>
      </c>
      <c r="C2074" t="s">
        <v>273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COUNT(LifeExpectancyData[[#This Row],[Life expectancy]:[Schooling]])=19</f>
        <v>0</v>
      </c>
    </row>
    <row r="2075" spans="1:23" x14ac:dyDescent="0.25">
      <c r="A2075" t="s">
        <v>410</v>
      </c>
      <c r="B2075">
        <v>2013</v>
      </c>
      <c r="C2075" t="s">
        <v>273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COUNT(LifeExpectancyData[[#This Row],[Life expectancy]:[Schooling]])=19</f>
        <v>0</v>
      </c>
    </row>
    <row r="2076" spans="1:23" x14ac:dyDescent="0.25">
      <c r="A2076" t="s">
        <v>410</v>
      </c>
      <c r="B2076">
        <v>2012</v>
      </c>
      <c r="C2076" t="s">
        <v>273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COUNT(LifeExpectancyData[[#This Row],[Life expectancy]:[Schooling]])=19</f>
        <v>0</v>
      </c>
    </row>
    <row r="2077" spans="1:23" x14ac:dyDescent="0.25">
      <c r="A2077" t="s">
        <v>410</v>
      </c>
      <c r="B2077">
        <v>2011</v>
      </c>
      <c r="C2077" t="s">
        <v>273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COUNT(LifeExpectancyData[[#This Row],[Life expectancy]:[Schooling]])=19</f>
        <v>0</v>
      </c>
    </row>
    <row r="2078" spans="1:23" x14ac:dyDescent="0.25">
      <c r="A2078" t="s">
        <v>410</v>
      </c>
      <c r="B2078">
        <v>2010</v>
      </c>
      <c r="C2078" t="s">
        <v>273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COUNT(LifeExpectancyData[[#This Row],[Life expectancy]:[Schooling]])=19</f>
        <v>0</v>
      </c>
    </row>
    <row r="2079" spans="1:23" x14ac:dyDescent="0.25">
      <c r="A2079" t="s">
        <v>410</v>
      </c>
      <c r="B2079">
        <v>2009</v>
      </c>
      <c r="C2079" t="s">
        <v>273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COUNT(LifeExpectancyData[[#This Row],[Life expectancy]:[Schooling]])=19</f>
        <v>0</v>
      </c>
    </row>
    <row r="2080" spans="1:23" x14ac:dyDescent="0.25">
      <c r="A2080" t="s">
        <v>410</v>
      </c>
      <c r="B2080">
        <v>2008</v>
      </c>
      <c r="C2080" t="s">
        <v>273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COUNT(LifeExpectancyData[[#This Row],[Life expectancy]:[Schooling]])=19</f>
        <v>0</v>
      </c>
    </row>
    <row r="2081" spans="1:23" x14ac:dyDescent="0.25">
      <c r="A2081" t="s">
        <v>410</v>
      </c>
      <c r="B2081">
        <v>2007</v>
      </c>
      <c r="C2081" t="s">
        <v>273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COUNT(LifeExpectancyData[[#This Row],[Life expectancy]:[Schooling]])=19</f>
        <v>0</v>
      </c>
    </row>
    <row r="2082" spans="1:23" x14ac:dyDescent="0.25">
      <c r="A2082" t="s">
        <v>410</v>
      </c>
      <c r="B2082">
        <v>2006</v>
      </c>
      <c r="C2082" t="s">
        <v>273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COUNT(LifeExpectancyData[[#This Row],[Life expectancy]:[Schooling]])=19</f>
        <v>0</v>
      </c>
    </row>
    <row r="2083" spans="1:23" x14ac:dyDescent="0.25">
      <c r="A2083" t="s">
        <v>410</v>
      </c>
      <c r="B2083">
        <v>2005</v>
      </c>
      <c r="C2083" t="s">
        <v>273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COUNT(LifeExpectancyData[[#This Row],[Life expectancy]:[Schooling]])=19</f>
        <v>0</v>
      </c>
    </row>
    <row r="2084" spans="1:23" x14ac:dyDescent="0.25">
      <c r="A2084" t="s">
        <v>410</v>
      </c>
      <c r="B2084">
        <v>2004</v>
      </c>
      <c r="C2084" t="s">
        <v>273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COUNT(LifeExpectancyData[[#This Row],[Life expectancy]:[Schooling]])=19</f>
        <v>0</v>
      </c>
    </row>
    <row r="2085" spans="1:23" x14ac:dyDescent="0.25">
      <c r="A2085" t="s">
        <v>410</v>
      </c>
      <c r="B2085">
        <v>2003</v>
      </c>
      <c r="C2085" t="s">
        <v>273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COUNT(LifeExpectancyData[[#This Row],[Life expectancy]:[Schooling]])=19</f>
        <v>0</v>
      </c>
    </row>
    <row r="2086" spans="1:23" x14ac:dyDescent="0.25">
      <c r="A2086" t="s">
        <v>410</v>
      </c>
      <c r="B2086">
        <v>2002</v>
      </c>
      <c r="C2086" t="s">
        <v>273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COUNT(LifeExpectancyData[[#This Row],[Life expectancy]:[Schooling]])=19</f>
        <v>0</v>
      </c>
    </row>
    <row r="2087" spans="1:23" x14ac:dyDescent="0.25">
      <c r="A2087" t="s">
        <v>410</v>
      </c>
      <c r="B2087">
        <v>2001</v>
      </c>
      <c r="C2087" t="s">
        <v>273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COUNT(LifeExpectancyData[[#This Row],[Life expectancy]:[Schooling]])=19</f>
        <v>0</v>
      </c>
    </row>
    <row r="2088" spans="1:23" x14ac:dyDescent="0.25">
      <c r="A2088" t="s">
        <v>410</v>
      </c>
      <c r="B2088">
        <v>2000</v>
      </c>
      <c r="C2088" t="s">
        <v>273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COUNT(LifeExpectancyData[[#This Row],[Life expectancy]:[Schooling]])=19</f>
        <v>0</v>
      </c>
    </row>
    <row r="2089" spans="1:23" x14ac:dyDescent="0.25">
      <c r="A2089" t="s">
        <v>411</v>
      </c>
      <c r="B2089">
        <v>2015</v>
      </c>
      <c r="C2089" t="s">
        <v>273</v>
      </c>
      <c r="D2089">
        <v>82.3</v>
      </c>
      <c r="E2089">
        <v>64</v>
      </c>
      <c r="F2089">
        <v>1</v>
      </c>
      <c r="H2089">
        <v>0</v>
      </c>
      <c r="I2089">
        <v>98</v>
      </c>
      <c r="J2089">
        <v>7</v>
      </c>
      <c r="K2089">
        <v>31.7</v>
      </c>
      <c r="L2089">
        <v>2</v>
      </c>
      <c r="M2089">
        <v>98</v>
      </c>
      <c r="O2089">
        <v>98</v>
      </c>
      <c r="P2089">
        <v>0.1</v>
      </c>
      <c r="S2089">
        <v>1.5</v>
      </c>
      <c r="T2089">
        <v>1</v>
      </c>
      <c r="W2089" t="b">
        <f>COUNT(LifeExpectancyData[[#This Row],[Life expectancy]:[Schooling]])=19</f>
        <v>0</v>
      </c>
    </row>
    <row r="2090" spans="1:23" x14ac:dyDescent="0.25">
      <c r="A2090" t="s">
        <v>411</v>
      </c>
      <c r="B2090">
        <v>2014</v>
      </c>
      <c r="C2090" t="s">
        <v>273</v>
      </c>
      <c r="D2090">
        <v>82</v>
      </c>
      <c r="E2090">
        <v>66</v>
      </c>
      <c r="F2090">
        <v>1</v>
      </c>
      <c r="G2090">
        <v>0.01</v>
      </c>
      <c r="H2090">
        <v>0</v>
      </c>
      <c r="I2090">
        <v>99</v>
      </c>
      <c r="J2090">
        <v>442</v>
      </c>
      <c r="K2090">
        <v>31.2</v>
      </c>
      <c r="L2090">
        <v>2</v>
      </c>
      <c r="M2090">
        <v>99</v>
      </c>
      <c r="N2090">
        <v>7.37</v>
      </c>
      <c r="O2090">
        <v>99</v>
      </c>
      <c r="P2090">
        <v>0.1</v>
      </c>
      <c r="S2090">
        <v>1.5</v>
      </c>
      <c r="T2090">
        <v>1</v>
      </c>
      <c r="W2090" t="b">
        <f>COUNT(LifeExpectancyData[[#This Row],[Life expectancy]:[Schooling]])=19</f>
        <v>0</v>
      </c>
    </row>
    <row r="2091" spans="1:23" x14ac:dyDescent="0.25">
      <c r="A2091" t="s">
        <v>411</v>
      </c>
      <c r="B2091">
        <v>2013</v>
      </c>
      <c r="C2091" t="s">
        <v>273</v>
      </c>
      <c r="D2091">
        <v>81.7</v>
      </c>
      <c r="E2091">
        <v>68</v>
      </c>
      <c r="F2091">
        <v>1</v>
      </c>
      <c r="G2091">
        <v>9.33</v>
      </c>
      <c r="H2091">
        <v>0</v>
      </c>
      <c r="I2091">
        <v>99</v>
      </c>
      <c r="J2091">
        <v>107</v>
      </c>
      <c r="K2091">
        <v>3.8</v>
      </c>
      <c r="L2091">
        <v>2</v>
      </c>
      <c r="M2091">
        <v>99</v>
      </c>
      <c r="N2091">
        <v>7.2</v>
      </c>
      <c r="O2091">
        <v>99</v>
      </c>
      <c r="P2091">
        <v>0.1</v>
      </c>
      <c r="S2091">
        <v>1.5</v>
      </c>
      <c r="T2091">
        <v>1</v>
      </c>
      <c r="W2091" t="b">
        <f>COUNT(LifeExpectancyData[[#This Row],[Life expectancy]:[Schooling]])=19</f>
        <v>0</v>
      </c>
    </row>
    <row r="2092" spans="1:23" x14ac:dyDescent="0.25">
      <c r="A2092" t="s">
        <v>411</v>
      </c>
      <c r="B2092">
        <v>2012</v>
      </c>
      <c r="C2092" t="s">
        <v>273</v>
      </c>
      <c r="D2092">
        <v>81.2</v>
      </c>
      <c r="E2092">
        <v>69</v>
      </c>
      <c r="F2092">
        <v>1</v>
      </c>
      <c r="G2092">
        <v>9.56</v>
      </c>
      <c r="H2092">
        <v>0</v>
      </c>
      <c r="I2092">
        <v>99</v>
      </c>
      <c r="J2092">
        <v>2</v>
      </c>
      <c r="K2092">
        <v>3.4</v>
      </c>
      <c r="L2092">
        <v>2</v>
      </c>
      <c r="M2092">
        <v>99</v>
      </c>
      <c r="N2092">
        <v>7.1</v>
      </c>
      <c r="O2092">
        <v>99</v>
      </c>
      <c r="P2092">
        <v>0.1</v>
      </c>
      <c r="S2092">
        <v>1.5</v>
      </c>
      <c r="T2092">
        <v>1</v>
      </c>
      <c r="W2092" t="b">
        <f>COUNT(LifeExpectancyData[[#This Row],[Life expectancy]:[Schooling]])=19</f>
        <v>0</v>
      </c>
    </row>
    <row r="2093" spans="1:23" x14ac:dyDescent="0.25">
      <c r="A2093" t="s">
        <v>411</v>
      </c>
      <c r="B2093">
        <v>2011</v>
      </c>
      <c r="C2093" t="s">
        <v>273</v>
      </c>
      <c r="D2093">
        <v>81.099999999999994</v>
      </c>
      <c r="E2093">
        <v>72</v>
      </c>
      <c r="F2093">
        <v>2</v>
      </c>
      <c r="G2093">
        <v>9.34</v>
      </c>
      <c r="H2093">
        <v>0</v>
      </c>
      <c r="I2093">
        <v>99</v>
      </c>
      <c r="J2093">
        <v>42</v>
      </c>
      <c r="K2093">
        <v>3</v>
      </c>
      <c r="L2093">
        <v>2</v>
      </c>
      <c r="M2093">
        <v>98</v>
      </c>
      <c r="N2093">
        <v>6.83</v>
      </c>
      <c r="O2093">
        <v>99</v>
      </c>
      <c r="P2093">
        <v>0.1</v>
      </c>
      <c r="S2093">
        <v>1.5</v>
      </c>
      <c r="T2093">
        <v>1</v>
      </c>
      <c r="W2093" t="b">
        <f>COUNT(LifeExpectancyData[[#This Row],[Life expectancy]:[Schooling]])=19</f>
        <v>0</v>
      </c>
    </row>
    <row r="2094" spans="1:23" x14ac:dyDescent="0.25">
      <c r="A2094" t="s">
        <v>411</v>
      </c>
      <c r="B2094">
        <v>2010</v>
      </c>
      <c r="C2094" t="s">
        <v>273</v>
      </c>
      <c r="D2094">
        <v>87</v>
      </c>
      <c r="E2094">
        <v>74</v>
      </c>
      <c r="F2094">
        <v>2</v>
      </c>
      <c r="G2094">
        <v>9.23</v>
      </c>
      <c r="H2094">
        <v>0</v>
      </c>
      <c r="I2094">
        <v>94</v>
      </c>
      <c r="J2094">
        <v>114</v>
      </c>
      <c r="K2094">
        <v>29.5</v>
      </c>
      <c r="L2094">
        <v>2</v>
      </c>
      <c r="M2094">
        <v>95</v>
      </c>
      <c r="N2094">
        <v>6.79</v>
      </c>
      <c r="O2094">
        <v>94</v>
      </c>
      <c r="P2094">
        <v>0.1</v>
      </c>
      <c r="S2094">
        <v>1.5</v>
      </c>
      <c r="T2094">
        <v>1</v>
      </c>
      <c r="W2094" t="b">
        <f>COUNT(LifeExpectancyData[[#This Row],[Life expectancy]:[Schooling]])=19</f>
        <v>0</v>
      </c>
    </row>
    <row r="2095" spans="1:23" x14ac:dyDescent="0.25">
      <c r="A2095" t="s">
        <v>411</v>
      </c>
      <c r="B2095">
        <v>2009</v>
      </c>
      <c r="C2095" t="s">
        <v>273</v>
      </c>
      <c r="D2095">
        <v>86</v>
      </c>
      <c r="E2095">
        <v>75</v>
      </c>
      <c r="F2095">
        <v>2</v>
      </c>
      <c r="G2095">
        <v>8.9700000000000006</v>
      </c>
      <c r="H2095">
        <v>0</v>
      </c>
      <c r="I2095">
        <v>94</v>
      </c>
      <c r="J2095">
        <v>17</v>
      </c>
      <c r="K2095">
        <v>29.1</v>
      </c>
      <c r="L2095">
        <v>2</v>
      </c>
      <c r="M2095">
        <v>95</v>
      </c>
      <c r="N2095">
        <v>6.66</v>
      </c>
      <c r="O2095">
        <v>94</v>
      </c>
      <c r="P2095">
        <v>0.1</v>
      </c>
      <c r="S2095">
        <v>1.5</v>
      </c>
      <c r="T2095">
        <v>1</v>
      </c>
      <c r="W2095" t="b">
        <f>COUNT(LifeExpectancyData[[#This Row],[Life expectancy]:[Schooling]])=19</f>
        <v>0</v>
      </c>
    </row>
    <row r="2096" spans="1:23" x14ac:dyDescent="0.25">
      <c r="A2096" t="s">
        <v>411</v>
      </c>
      <c r="B2096">
        <v>2008</v>
      </c>
      <c r="C2096" t="s">
        <v>273</v>
      </c>
      <c r="D2096">
        <v>83</v>
      </c>
      <c r="E2096">
        <v>75</v>
      </c>
      <c r="F2096">
        <v>2</v>
      </c>
      <c r="G2096">
        <v>9.31</v>
      </c>
      <c r="H2096">
        <v>0</v>
      </c>
      <c r="I2096">
        <v>94</v>
      </c>
      <c r="J2096">
        <v>2</v>
      </c>
      <c r="K2096">
        <v>28.6</v>
      </c>
      <c r="L2096">
        <v>2</v>
      </c>
      <c r="M2096">
        <v>92</v>
      </c>
      <c r="N2096">
        <v>6.16</v>
      </c>
      <c r="O2096">
        <v>94</v>
      </c>
      <c r="P2096">
        <v>0.1</v>
      </c>
      <c r="S2096">
        <v>1.5</v>
      </c>
      <c r="T2096">
        <v>1</v>
      </c>
      <c r="W2096" t="b">
        <f>COUNT(LifeExpectancyData[[#This Row],[Life expectancy]:[Schooling]])=19</f>
        <v>0</v>
      </c>
    </row>
    <row r="2097" spans="1:23" x14ac:dyDescent="0.25">
      <c r="A2097" t="s">
        <v>411</v>
      </c>
      <c r="B2097">
        <v>2007</v>
      </c>
      <c r="C2097" t="s">
        <v>273</v>
      </c>
      <c r="D2097">
        <v>79.8</v>
      </c>
      <c r="E2097">
        <v>77</v>
      </c>
      <c r="F2097">
        <v>2</v>
      </c>
      <c r="G2097">
        <v>9.0500000000000007</v>
      </c>
      <c r="H2097">
        <v>0</v>
      </c>
      <c r="I2097">
        <v>91</v>
      </c>
      <c r="J2097">
        <v>194</v>
      </c>
      <c r="K2097">
        <v>28.2</v>
      </c>
      <c r="L2097">
        <v>2</v>
      </c>
      <c r="M2097">
        <v>91</v>
      </c>
      <c r="N2097">
        <v>5.99</v>
      </c>
      <c r="O2097">
        <v>91</v>
      </c>
      <c r="P2097">
        <v>0.1</v>
      </c>
      <c r="S2097">
        <v>1.5</v>
      </c>
      <c r="T2097">
        <v>1</v>
      </c>
      <c r="W2097" t="b">
        <f>COUNT(LifeExpectancyData[[#This Row],[Life expectancy]:[Schooling]])=19</f>
        <v>0</v>
      </c>
    </row>
    <row r="2098" spans="1:23" x14ac:dyDescent="0.25">
      <c r="A2098" t="s">
        <v>411</v>
      </c>
      <c r="B2098">
        <v>2006</v>
      </c>
      <c r="C2098" t="s">
        <v>273</v>
      </c>
      <c r="D2098">
        <v>79.400000000000006</v>
      </c>
      <c r="E2098">
        <v>79</v>
      </c>
      <c r="F2098">
        <v>2</v>
      </c>
      <c r="G2098">
        <v>8.83</v>
      </c>
      <c r="H2098">
        <v>0</v>
      </c>
      <c r="I2098">
        <v>99</v>
      </c>
      <c r="J2098">
        <v>28</v>
      </c>
      <c r="K2098">
        <v>27.7</v>
      </c>
      <c r="L2098">
        <v>2</v>
      </c>
      <c r="M2098">
        <v>98</v>
      </c>
      <c r="N2098">
        <v>5.76</v>
      </c>
      <c r="O2098">
        <v>98</v>
      </c>
      <c r="P2098">
        <v>0.1</v>
      </c>
      <c r="S2098">
        <v>1.5</v>
      </c>
      <c r="T2098">
        <v>1</v>
      </c>
      <c r="W2098" t="b">
        <f>COUNT(LifeExpectancyData[[#This Row],[Life expectancy]:[Schooling]])=19</f>
        <v>0</v>
      </c>
    </row>
    <row r="2099" spans="1:23" x14ac:dyDescent="0.25">
      <c r="A2099" t="s">
        <v>411</v>
      </c>
      <c r="B2099">
        <v>2005</v>
      </c>
      <c r="C2099" t="s">
        <v>273</v>
      </c>
      <c r="D2099">
        <v>78.7</v>
      </c>
      <c r="E2099">
        <v>84</v>
      </c>
      <c r="F2099">
        <v>2</v>
      </c>
      <c r="G2099">
        <v>9.0299999999999994</v>
      </c>
      <c r="H2099">
        <v>0</v>
      </c>
      <c r="I2099">
        <v>99</v>
      </c>
      <c r="J2099">
        <v>7</v>
      </c>
      <c r="K2099">
        <v>27.2</v>
      </c>
      <c r="L2099">
        <v>3</v>
      </c>
      <c r="M2099">
        <v>96</v>
      </c>
      <c r="N2099">
        <v>5.33</v>
      </c>
      <c r="O2099">
        <v>96</v>
      </c>
      <c r="P2099">
        <v>0.1</v>
      </c>
      <c r="S2099">
        <v>1.6</v>
      </c>
      <c r="T2099">
        <v>1</v>
      </c>
      <c r="W2099" t="b">
        <f>COUNT(LifeExpectancyData[[#This Row],[Life expectancy]:[Schooling]])=19</f>
        <v>0</v>
      </c>
    </row>
    <row r="2100" spans="1:23" x14ac:dyDescent="0.25">
      <c r="A2100" t="s">
        <v>411</v>
      </c>
      <c r="B2100">
        <v>2004</v>
      </c>
      <c r="C2100" t="s">
        <v>273</v>
      </c>
      <c r="D2100">
        <v>78.2</v>
      </c>
      <c r="E2100">
        <v>89</v>
      </c>
      <c r="F2100">
        <v>3</v>
      </c>
      <c r="G2100">
        <v>9.18</v>
      </c>
      <c r="H2100">
        <v>0</v>
      </c>
      <c r="I2100">
        <v>92</v>
      </c>
      <c r="J2100">
        <v>11</v>
      </c>
      <c r="K2100">
        <v>26.7</v>
      </c>
      <c r="L2100">
        <v>3</v>
      </c>
      <c r="M2100">
        <v>9</v>
      </c>
      <c r="N2100">
        <v>4.96</v>
      </c>
      <c r="O2100">
        <v>88</v>
      </c>
      <c r="P2100">
        <v>0.1</v>
      </c>
      <c r="S2100">
        <v>1.6</v>
      </c>
      <c r="T2100">
        <v>1</v>
      </c>
      <c r="W2100" t="b">
        <f>COUNT(LifeExpectancyData[[#This Row],[Life expectancy]:[Schooling]])=19</f>
        <v>0</v>
      </c>
    </row>
    <row r="2101" spans="1:23" x14ac:dyDescent="0.25">
      <c r="A2101" t="s">
        <v>411</v>
      </c>
      <c r="B2101">
        <v>2003</v>
      </c>
      <c r="C2101" t="s">
        <v>273</v>
      </c>
      <c r="D2101">
        <v>77.599999999999994</v>
      </c>
      <c r="E2101">
        <v>95</v>
      </c>
      <c r="F2101">
        <v>3</v>
      </c>
      <c r="G2101">
        <v>9.66</v>
      </c>
      <c r="H2101">
        <v>0</v>
      </c>
      <c r="I2101">
        <v>91</v>
      </c>
      <c r="J2101">
        <v>33</v>
      </c>
      <c r="K2101">
        <v>26.2</v>
      </c>
      <c r="L2101">
        <v>3</v>
      </c>
      <c r="M2101">
        <v>94</v>
      </c>
      <c r="N2101">
        <v>4.93</v>
      </c>
      <c r="O2101">
        <v>97</v>
      </c>
      <c r="P2101">
        <v>0.1</v>
      </c>
      <c r="S2101">
        <v>1.6</v>
      </c>
      <c r="T2101">
        <v>1</v>
      </c>
      <c r="W2101" t="b">
        <f>COUNT(LifeExpectancyData[[#This Row],[Life expectancy]:[Schooling]])=19</f>
        <v>0</v>
      </c>
    </row>
    <row r="2102" spans="1:23" x14ac:dyDescent="0.25">
      <c r="A2102" t="s">
        <v>411</v>
      </c>
      <c r="B2102">
        <v>2002</v>
      </c>
      <c r="C2102" t="s">
        <v>273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COUNT(LifeExpectancyData[[#This Row],[Life expectancy]:[Schooling]])=19</f>
        <v>0</v>
      </c>
    </row>
    <row r="2103" spans="1:23" x14ac:dyDescent="0.25">
      <c r="A2103" t="s">
        <v>411</v>
      </c>
      <c r="B2103">
        <v>2001</v>
      </c>
      <c r="C2103" t="s">
        <v>273</v>
      </c>
      <c r="D2103">
        <v>76.7</v>
      </c>
      <c r="E2103">
        <v>17</v>
      </c>
      <c r="F2103">
        <v>3</v>
      </c>
      <c r="G2103">
        <v>11.45</v>
      </c>
      <c r="H2103">
        <v>0</v>
      </c>
      <c r="I2103">
        <v>89</v>
      </c>
      <c r="J2103">
        <v>23060</v>
      </c>
      <c r="K2103">
        <v>25.2</v>
      </c>
      <c r="L2103">
        <v>4</v>
      </c>
      <c r="M2103">
        <v>99</v>
      </c>
      <c r="N2103">
        <v>4.76</v>
      </c>
      <c r="O2103">
        <v>97</v>
      </c>
      <c r="P2103">
        <v>0.1</v>
      </c>
      <c r="S2103">
        <v>1.6</v>
      </c>
      <c r="T2103">
        <v>1.1000000000000001</v>
      </c>
      <c r="W2103" t="b">
        <f>COUNT(LifeExpectancyData[[#This Row],[Life expectancy]:[Schooling]])=19</f>
        <v>0</v>
      </c>
    </row>
    <row r="2104" spans="1:23" x14ac:dyDescent="0.25">
      <c r="A2104" t="s">
        <v>411</v>
      </c>
      <c r="B2104">
        <v>2000</v>
      </c>
      <c r="C2104" t="s">
        <v>273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COUNT(LifeExpectancyData[[#This Row],[Life expectancy]:[Schooling]])=19</f>
        <v>0</v>
      </c>
    </row>
    <row r="2105" spans="1:23" x14ac:dyDescent="0.25">
      <c r="A2105" t="s">
        <v>412</v>
      </c>
      <c r="B2105">
        <v>2015</v>
      </c>
      <c r="C2105" t="s">
        <v>273</v>
      </c>
      <c r="D2105">
        <v>72.099999999999994</v>
      </c>
      <c r="E2105">
        <v>157</v>
      </c>
      <c r="F2105">
        <v>1</v>
      </c>
      <c r="H2105">
        <v>0</v>
      </c>
      <c r="I2105">
        <v>88</v>
      </c>
      <c r="J2105">
        <v>0</v>
      </c>
      <c r="K2105">
        <v>53.4</v>
      </c>
      <c r="L2105">
        <v>1</v>
      </c>
      <c r="M2105">
        <v>88</v>
      </c>
      <c r="O2105">
        <v>87</v>
      </c>
      <c r="P2105">
        <v>0.1</v>
      </c>
      <c r="S2105">
        <v>2.7</v>
      </c>
      <c r="T2105">
        <v>2.8</v>
      </c>
      <c r="W2105" t="b">
        <f>COUNT(LifeExpectancyData[[#This Row],[Life expectancy]:[Schooling]])=19</f>
        <v>0</v>
      </c>
    </row>
    <row r="2106" spans="1:23" x14ac:dyDescent="0.25">
      <c r="A2106" t="s">
        <v>412</v>
      </c>
      <c r="B2106">
        <v>2014</v>
      </c>
      <c r="C2106" t="s">
        <v>273</v>
      </c>
      <c r="D2106">
        <v>71.8</v>
      </c>
      <c r="E2106">
        <v>162</v>
      </c>
      <c r="F2106">
        <v>1</v>
      </c>
      <c r="G2106">
        <v>9.99</v>
      </c>
      <c r="H2106">
        <v>0</v>
      </c>
      <c r="I2106">
        <v>92</v>
      </c>
      <c r="J2106">
        <v>2</v>
      </c>
      <c r="K2106">
        <v>52.7</v>
      </c>
      <c r="L2106">
        <v>1</v>
      </c>
      <c r="M2106">
        <v>92</v>
      </c>
      <c r="N2106">
        <v>1.32</v>
      </c>
      <c r="O2106">
        <v>9</v>
      </c>
      <c r="P2106">
        <v>0.1</v>
      </c>
      <c r="S2106">
        <v>2.7</v>
      </c>
      <c r="T2106">
        <v>2.8</v>
      </c>
      <c r="W2106" t="b">
        <f>COUNT(LifeExpectancyData[[#This Row],[Life expectancy]:[Schooling]])=19</f>
        <v>0</v>
      </c>
    </row>
    <row r="2107" spans="1:23" x14ac:dyDescent="0.25">
      <c r="A2107" t="s">
        <v>412</v>
      </c>
      <c r="B2107">
        <v>2013</v>
      </c>
      <c r="C2107" t="s">
        <v>273</v>
      </c>
      <c r="D2107">
        <v>71.7</v>
      </c>
      <c r="E2107">
        <v>163</v>
      </c>
      <c r="F2107">
        <v>1</v>
      </c>
      <c r="G2107">
        <v>10.49</v>
      </c>
      <c r="H2107">
        <v>0</v>
      </c>
      <c r="I2107">
        <v>91</v>
      </c>
      <c r="J2107">
        <v>27</v>
      </c>
      <c r="K2107">
        <v>52.1</v>
      </c>
      <c r="L2107">
        <v>1</v>
      </c>
      <c r="M2107">
        <v>92</v>
      </c>
      <c r="N2107">
        <v>1.5</v>
      </c>
      <c r="O2107">
        <v>9</v>
      </c>
      <c r="P2107">
        <v>0.1</v>
      </c>
      <c r="S2107">
        <v>2.7</v>
      </c>
      <c r="T2107">
        <v>2.9</v>
      </c>
      <c r="W2107" t="b">
        <f>COUNT(LifeExpectancyData[[#This Row],[Life expectancy]:[Schooling]])=19</f>
        <v>0</v>
      </c>
    </row>
    <row r="2108" spans="1:23" x14ac:dyDescent="0.25">
      <c r="A2108" t="s">
        <v>412</v>
      </c>
      <c r="B2108">
        <v>2012</v>
      </c>
      <c r="C2108" t="s">
        <v>273</v>
      </c>
      <c r="D2108">
        <v>79</v>
      </c>
      <c r="E2108">
        <v>175</v>
      </c>
      <c r="F2108">
        <v>1</v>
      </c>
      <c r="G2108">
        <v>10.68</v>
      </c>
      <c r="H2108">
        <v>0</v>
      </c>
      <c r="I2108">
        <v>94</v>
      </c>
      <c r="J2108">
        <v>11</v>
      </c>
      <c r="K2108">
        <v>51.5</v>
      </c>
      <c r="L2108">
        <v>1</v>
      </c>
      <c r="M2108">
        <v>92</v>
      </c>
      <c r="N2108">
        <v>11.87</v>
      </c>
      <c r="O2108">
        <v>92</v>
      </c>
      <c r="P2108">
        <v>0.1</v>
      </c>
      <c r="S2108">
        <v>2.7</v>
      </c>
      <c r="T2108">
        <v>2.9</v>
      </c>
      <c r="W2108" t="b">
        <f>COUNT(LifeExpectancyData[[#This Row],[Life expectancy]:[Schooling]])=19</f>
        <v>0</v>
      </c>
    </row>
    <row r="2109" spans="1:23" x14ac:dyDescent="0.25">
      <c r="A2109" t="s">
        <v>412</v>
      </c>
      <c r="B2109">
        <v>2011</v>
      </c>
      <c r="C2109" t="s">
        <v>273</v>
      </c>
      <c r="D2109">
        <v>77</v>
      </c>
      <c r="E2109">
        <v>177</v>
      </c>
      <c r="F2109">
        <v>1</v>
      </c>
      <c r="G2109">
        <v>9.4499999999999993</v>
      </c>
      <c r="H2109">
        <v>0</v>
      </c>
      <c r="I2109">
        <v>96</v>
      </c>
      <c r="J2109">
        <v>0</v>
      </c>
      <c r="K2109">
        <v>5.9</v>
      </c>
      <c r="L2109">
        <v>1</v>
      </c>
      <c r="M2109">
        <v>96</v>
      </c>
      <c r="N2109">
        <v>1.61</v>
      </c>
      <c r="O2109">
        <v>93</v>
      </c>
      <c r="P2109">
        <v>0.1</v>
      </c>
      <c r="S2109">
        <v>2.8</v>
      </c>
      <c r="T2109">
        <v>3</v>
      </c>
      <c r="W2109" t="b">
        <f>COUNT(LifeExpectancyData[[#This Row],[Life expectancy]:[Schooling]])=19</f>
        <v>0</v>
      </c>
    </row>
    <row r="2110" spans="1:23" x14ac:dyDescent="0.25">
      <c r="A2110" t="s">
        <v>412</v>
      </c>
      <c r="B2110">
        <v>2010</v>
      </c>
      <c r="C2110" t="s">
        <v>273</v>
      </c>
      <c r="D2110">
        <v>68.8</v>
      </c>
      <c r="E2110">
        <v>219</v>
      </c>
      <c r="F2110">
        <v>1</v>
      </c>
      <c r="G2110">
        <v>8.25</v>
      </c>
      <c r="H2110">
        <v>0</v>
      </c>
      <c r="I2110">
        <v>98</v>
      </c>
      <c r="J2110">
        <v>0</v>
      </c>
      <c r="K2110">
        <v>5.4</v>
      </c>
      <c r="L2110">
        <v>1</v>
      </c>
      <c r="M2110">
        <v>97</v>
      </c>
      <c r="N2110">
        <v>12.8</v>
      </c>
      <c r="O2110">
        <v>9</v>
      </c>
      <c r="P2110">
        <v>0.1</v>
      </c>
      <c r="S2110">
        <v>2.8</v>
      </c>
      <c r="T2110">
        <v>3</v>
      </c>
      <c r="W2110" t="b">
        <f>COUNT(LifeExpectancyData[[#This Row],[Life expectancy]:[Schooling]])=19</f>
        <v>0</v>
      </c>
    </row>
    <row r="2111" spans="1:23" x14ac:dyDescent="0.25">
      <c r="A2111" t="s">
        <v>412</v>
      </c>
      <c r="B2111">
        <v>2009</v>
      </c>
      <c r="C2111" t="s">
        <v>273</v>
      </c>
      <c r="D2111">
        <v>69</v>
      </c>
      <c r="E2111">
        <v>218</v>
      </c>
      <c r="F2111">
        <v>1</v>
      </c>
      <c r="G2111">
        <v>8.4499999999999993</v>
      </c>
      <c r="H2111">
        <v>0</v>
      </c>
      <c r="I2111">
        <v>89</v>
      </c>
      <c r="J2111">
        <v>0</v>
      </c>
      <c r="K2111">
        <v>49.9</v>
      </c>
      <c r="L2111">
        <v>1</v>
      </c>
      <c r="M2111">
        <v>87</v>
      </c>
      <c r="N2111">
        <v>12.49</v>
      </c>
      <c r="O2111">
        <v>85</v>
      </c>
      <c r="P2111">
        <v>0.1</v>
      </c>
      <c r="S2111">
        <v>2.9</v>
      </c>
      <c r="T2111">
        <v>3.1</v>
      </c>
      <c r="W2111" t="b">
        <f>COUNT(LifeExpectancyData[[#This Row],[Life expectancy]:[Schooling]])=19</f>
        <v>0</v>
      </c>
    </row>
    <row r="2112" spans="1:23" x14ac:dyDescent="0.25">
      <c r="A2112" t="s">
        <v>412</v>
      </c>
      <c r="B2112">
        <v>2008</v>
      </c>
      <c r="C2112" t="s">
        <v>273</v>
      </c>
      <c r="D2112">
        <v>68.900000000000006</v>
      </c>
      <c r="E2112">
        <v>228</v>
      </c>
      <c r="F2112">
        <v>1</v>
      </c>
      <c r="G2112">
        <v>9.07</v>
      </c>
      <c r="H2112">
        <v>0</v>
      </c>
      <c r="I2112">
        <v>97</v>
      </c>
      <c r="J2112">
        <v>0</v>
      </c>
      <c r="K2112">
        <v>49.5</v>
      </c>
      <c r="L2112">
        <v>1</v>
      </c>
      <c r="M2112">
        <v>96</v>
      </c>
      <c r="N2112">
        <v>11.41</v>
      </c>
      <c r="O2112">
        <v>9</v>
      </c>
      <c r="P2112">
        <v>0.1</v>
      </c>
      <c r="S2112">
        <v>2.9</v>
      </c>
      <c r="T2112">
        <v>3.1</v>
      </c>
      <c r="W2112" t="b">
        <f>COUNT(LifeExpectancyData[[#This Row],[Life expectancy]:[Schooling]])=19</f>
        <v>0</v>
      </c>
    </row>
    <row r="2113" spans="1:23" x14ac:dyDescent="0.25">
      <c r="A2113" t="s">
        <v>412</v>
      </c>
      <c r="B2113">
        <v>2007</v>
      </c>
      <c r="C2113" t="s">
        <v>273</v>
      </c>
      <c r="D2113">
        <v>68.3</v>
      </c>
      <c r="E2113">
        <v>237</v>
      </c>
      <c r="F2113">
        <v>1</v>
      </c>
      <c r="G2113">
        <v>9.66</v>
      </c>
      <c r="H2113">
        <v>0</v>
      </c>
      <c r="I2113">
        <v>95</v>
      </c>
      <c r="J2113">
        <v>10</v>
      </c>
      <c r="K2113">
        <v>49.1</v>
      </c>
      <c r="L2113">
        <v>1</v>
      </c>
      <c r="M2113">
        <v>93</v>
      </c>
      <c r="N2113">
        <v>1.88</v>
      </c>
      <c r="O2113">
        <v>92</v>
      </c>
      <c r="P2113">
        <v>0.1</v>
      </c>
      <c r="S2113">
        <v>3</v>
      </c>
      <c r="T2113">
        <v>3.2</v>
      </c>
      <c r="W2113" t="b">
        <f>COUNT(LifeExpectancyData[[#This Row],[Life expectancy]:[Schooling]])=19</f>
        <v>0</v>
      </c>
    </row>
    <row r="2114" spans="1:23" x14ac:dyDescent="0.25">
      <c r="A2114" t="s">
        <v>412</v>
      </c>
      <c r="B2114">
        <v>2006</v>
      </c>
      <c r="C2114" t="s">
        <v>273</v>
      </c>
      <c r="D2114">
        <v>68</v>
      </c>
      <c r="E2114">
        <v>242</v>
      </c>
      <c r="F2114">
        <v>1</v>
      </c>
      <c r="G2114">
        <v>8.36</v>
      </c>
      <c r="H2114">
        <v>0</v>
      </c>
      <c r="I2114">
        <v>98</v>
      </c>
      <c r="J2114">
        <v>34</v>
      </c>
      <c r="K2114">
        <v>48.7</v>
      </c>
      <c r="L2114">
        <v>1</v>
      </c>
      <c r="M2114">
        <v>98</v>
      </c>
      <c r="N2114">
        <v>1.63</v>
      </c>
      <c r="O2114">
        <v>97</v>
      </c>
      <c r="P2114">
        <v>0.1</v>
      </c>
      <c r="S2114">
        <v>3.1</v>
      </c>
      <c r="T2114">
        <v>3.3</v>
      </c>
      <c r="W2114" t="b">
        <f>COUNT(LifeExpectancyData[[#This Row],[Life expectancy]:[Schooling]])=19</f>
        <v>0</v>
      </c>
    </row>
    <row r="2115" spans="1:23" x14ac:dyDescent="0.25">
      <c r="A2115" t="s">
        <v>412</v>
      </c>
      <c r="B2115">
        <v>2005</v>
      </c>
      <c r="C2115" t="s">
        <v>273</v>
      </c>
      <c r="D2115">
        <v>67.3</v>
      </c>
      <c r="E2115">
        <v>248</v>
      </c>
      <c r="F2115">
        <v>1</v>
      </c>
      <c r="G2115">
        <v>10.78</v>
      </c>
      <c r="H2115">
        <v>0</v>
      </c>
      <c r="I2115">
        <v>99</v>
      </c>
      <c r="J2115">
        <v>6</v>
      </c>
      <c r="K2115">
        <v>48.3</v>
      </c>
      <c r="L2115">
        <v>1</v>
      </c>
      <c r="M2115">
        <v>99</v>
      </c>
      <c r="N2115">
        <v>9.15</v>
      </c>
      <c r="O2115">
        <v>98</v>
      </c>
      <c r="P2115">
        <v>0.1</v>
      </c>
      <c r="S2115">
        <v>3.1</v>
      </c>
      <c r="T2115">
        <v>3.3</v>
      </c>
      <c r="W2115" t="b">
        <f>COUNT(LifeExpectancyData[[#This Row],[Life expectancy]:[Schooling]])=19</f>
        <v>0</v>
      </c>
    </row>
    <row r="2116" spans="1:23" x14ac:dyDescent="0.25">
      <c r="A2116" t="s">
        <v>412</v>
      </c>
      <c r="B2116">
        <v>2004</v>
      </c>
      <c r="C2116" t="s">
        <v>273</v>
      </c>
      <c r="D2116">
        <v>68</v>
      </c>
      <c r="E2116">
        <v>225</v>
      </c>
      <c r="F2116">
        <v>1</v>
      </c>
      <c r="G2116">
        <v>12.27</v>
      </c>
      <c r="H2116">
        <v>0</v>
      </c>
      <c r="I2116">
        <v>99</v>
      </c>
      <c r="J2116">
        <v>4</v>
      </c>
      <c r="K2116">
        <v>47.9</v>
      </c>
      <c r="L2116">
        <v>1</v>
      </c>
      <c r="M2116">
        <v>98</v>
      </c>
      <c r="N2116">
        <v>8.49</v>
      </c>
      <c r="O2116">
        <v>98</v>
      </c>
      <c r="P2116">
        <v>0.1</v>
      </c>
      <c r="S2116">
        <v>3.2</v>
      </c>
      <c r="T2116">
        <v>3.4</v>
      </c>
      <c r="W2116" t="b">
        <f>COUNT(LifeExpectancyData[[#This Row],[Life expectancy]:[Schooling]])=19</f>
        <v>0</v>
      </c>
    </row>
    <row r="2117" spans="1:23" x14ac:dyDescent="0.25">
      <c r="A2117" t="s">
        <v>412</v>
      </c>
      <c r="B2117">
        <v>2003</v>
      </c>
      <c r="C2117" t="s">
        <v>273</v>
      </c>
      <c r="D2117">
        <v>67.599999999999994</v>
      </c>
      <c r="E2117">
        <v>226</v>
      </c>
      <c r="F2117">
        <v>1</v>
      </c>
      <c r="G2117">
        <v>8.15</v>
      </c>
      <c r="H2117">
        <v>0</v>
      </c>
      <c r="I2117">
        <v>99</v>
      </c>
      <c r="J2117">
        <v>87</v>
      </c>
      <c r="K2117">
        <v>47.6</v>
      </c>
      <c r="L2117">
        <v>1</v>
      </c>
      <c r="M2117">
        <v>98</v>
      </c>
      <c r="N2117">
        <v>8.24</v>
      </c>
      <c r="O2117">
        <v>98</v>
      </c>
      <c r="P2117">
        <v>0.1</v>
      </c>
      <c r="S2117">
        <v>3.3</v>
      </c>
      <c r="T2117">
        <v>3.5</v>
      </c>
      <c r="W2117" t="b">
        <f>COUNT(LifeExpectancyData[[#This Row],[Life expectancy]:[Schooling]])=19</f>
        <v>0</v>
      </c>
    </row>
    <row r="2118" spans="1:23" x14ac:dyDescent="0.25">
      <c r="A2118" t="s">
        <v>412</v>
      </c>
      <c r="B2118">
        <v>2002</v>
      </c>
      <c r="C2118" t="s">
        <v>273</v>
      </c>
      <c r="D2118">
        <v>67.5</v>
      </c>
      <c r="E2118">
        <v>225</v>
      </c>
      <c r="F2118">
        <v>1</v>
      </c>
      <c r="G2118">
        <v>6.71</v>
      </c>
      <c r="H2118">
        <v>0</v>
      </c>
      <c r="I2118">
        <v>99</v>
      </c>
      <c r="J2118">
        <v>4929</v>
      </c>
      <c r="K2118">
        <v>47.2</v>
      </c>
      <c r="L2118">
        <v>1</v>
      </c>
      <c r="M2118">
        <v>98</v>
      </c>
      <c r="N2118">
        <v>8.31</v>
      </c>
      <c r="O2118">
        <v>97</v>
      </c>
      <c r="P2118">
        <v>0.1</v>
      </c>
      <c r="S2118">
        <v>3.4</v>
      </c>
      <c r="T2118">
        <v>3.6</v>
      </c>
      <c r="W2118" t="b">
        <f>COUNT(LifeExpectancyData[[#This Row],[Life expectancy]:[Schooling]])=19</f>
        <v>0</v>
      </c>
    </row>
    <row r="2119" spans="1:23" x14ac:dyDescent="0.25">
      <c r="A2119" t="s">
        <v>412</v>
      </c>
      <c r="B2119">
        <v>2001</v>
      </c>
      <c r="C2119" t="s">
        <v>273</v>
      </c>
      <c r="D2119">
        <v>67.599999999999994</v>
      </c>
      <c r="E2119">
        <v>228</v>
      </c>
      <c r="F2119">
        <v>1</v>
      </c>
      <c r="G2119">
        <v>10.98</v>
      </c>
      <c r="H2119">
        <v>0</v>
      </c>
      <c r="I2119">
        <v>94</v>
      </c>
      <c r="J2119">
        <v>457</v>
      </c>
      <c r="K2119">
        <v>46.8</v>
      </c>
      <c r="L2119">
        <v>1</v>
      </c>
      <c r="M2119">
        <v>98</v>
      </c>
      <c r="N2119">
        <v>7</v>
      </c>
      <c r="O2119">
        <v>97</v>
      </c>
      <c r="P2119">
        <v>0.1</v>
      </c>
      <c r="S2119">
        <v>3.5</v>
      </c>
      <c r="T2119">
        <v>3.6</v>
      </c>
      <c r="W2119" t="b">
        <f>COUNT(LifeExpectancyData[[#This Row],[Life expectancy]:[Schooling]])=19</f>
        <v>0</v>
      </c>
    </row>
    <row r="2120" spans="1:23" x14ac:dyDescent="0.25">
      <c r="A2120" t="s">
        <v>412</v>
      </c>
      <c r="B2120">
        <v>2000</v>
      </c>
      <c r="C2120" t="s">
        <v>273</v>
      </c>
      <c r="D2120">
        <v>67.099999999999994</v>
      </c>
      <c r="E2120">
        <v>235</v>
      </c>
      <c r="F2120">
        <v>1</v>
      </c>
      <c r="G2120">
        <v>9.89</v>
      </c>
      <c r="H2120">
        <v>0</v>
      </c>
      <c r="I2120">
        <v>92</v>
      </c>
      <c r="J2120">
        <v>687</v>
      </c>
      <c r="K2120">
        <v>46.5</v>
      </c>
      <c r="L2120">
        <v>2</v>
      </c>
      <c r="M2120">
        <v>97</v>
      </c>
      <c r="N2120">
        <v>6.65</v>
      </c>
      <c r="O2120">
        <v>95</v>
      </c>
      <c r="P2120">
        <v>0.1</v>
      </c>
      <c r="S2120">
        <v>3.6</v>
      </c>
      <c r="T2120">
        <v>3.7</v>
      </c>
      <c r="W2120" t="b">
        <f>COUNT(LifeExpectancyData[[#This Row],[Life expectancy]:[Schooling]])=19</f>
        <v>0</v>
      </c>
    </row>
    <row r="2121" spans="1:23" x14ac:dyDescent="0.25">
      <c r="A2121" t="s">
        <v>413</v>
      </c>
      <c r="B2121">
        <v>2015</v>
      </c>
      <c r="C2121" t="s">
        <v>281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COUNT(LifeExpectancyData[[#This Row],[Life expectancy]:[Schooling]])=19</f>
        <v>0</v>
      </c>
    </row>
    <row r="2122" spans="1:23" x14ac:dyDescent="0.25">
      <c r="A2122" t="s">
        <v>413</v>
      </c>
      <c r="B2122">
        <v>2014</v>
      </c>
      <c r="C2122" t="s">
        <v>281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COUNT(LifeExpectancyData[[#This Row],[Life expectancy]:[Schooling]])=19</f>
        <v>1</v>
      </c>
    </row>
    <row r="2123" spans="1:23" x14ac:dyDescent="0.25">
      <c r="A2123" t="s">
        <v>413</v>
      </c>
      <c r="B2123">
        <v>2013</v>
      </c>
      <c r="C2123" t="s">
        <v>281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COUNT(LifeExpectancyData[[#This Row],[Life expectancy]:[Schooling]])=19</f>
        <v>1</v>
      </c>
    </row>
    <row r="2124" spans="1:23" x14ac:dyDescent="0.25">
      <c r="A2124" t="s">
        <v>413</v>
      </c>
      <c r="B2124">
        <v>2012</v>
      </c>
      <c r="C2124" t="s">
        <v>281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COUNT(LifeExpectancyData[[#This Row],[Life expectancy]:[Schooling]])=19</f>
        <v>1</v>
      </c>
    </row>
    <row r="2125" spans="1:23" x14ac:dyDescent="0.25">
      <c r="A2125" t="s">
        <v>413</v>
      </c>
      <c r="B2125">
        <v>2011</v>
      </c>
      <c r="C2125" t="s">
        <v>281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COUNT(LifeExpectancyData[[#This Row],[Life expectancy]:[Schooling]])=19</f>
        <v>1</v>
      </c>
    </row>
    <row r="2126" spans="1:23" x14ac:dyDescent="0.25">
      <c r="A2126" t="s">
        <v>413</v>
      </c>
      <c r="B2126">
        <v>2010</v>
      </c>
      <c r="C2126" t="s">
        <v>281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COUNT(LifeExpectancyData[[#This Row],[Life expectancy]:[Schooling]])=19</f>
        <v>1</v>
      </c>
    </row>
    <row r="2127" spans="1:23" x14ac:dyDescent="0.25">
      <c r="A2127" t="s">
        <v>413</v>
      </c>
      <c r="B2127">
        <v>2009</v>
      </c>
      <c r="C2127" t="s">
        <v>281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COUNT(LifeExpectancyData[[#This Row],[Life expectancy]:[Schooling]])=19</f>
        <v>1</v>
      </c>
    </row>
    <row r="2128" spans="1:23" x14ac:dyDescent="0.25">
      <c r="A2128" t="s">
        <v>413</v>
      </c>
      <c r="B2128">
        <v>2008</v>
      </c>
      <c r="C2128" t="s">
        <v>281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COUNT(LifeExpectancyData[[#This Row],[Life expectancy]:[Schooling]])=19</f>
        <v>1</v>
      </c>
    </row>
    <row r="2129" spans="1:23" x14ac:dyDescent="0.25">
      <c r="A2129" t="s">
        <v>413</v>
      </c>
      <c r="B2129">
        <v>2007</v>
      </c>
      <c r="C2129" t="s">
        <v>281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COUNT(LifeExpectancyData[[#This Row],[Life expectancy]:[Schooling]])=19</f>
        <v>1</v>
      </c>
    </row>
    <row r="2130" spans="1:23" x14ac:dyDescent="0.25">
      <c r="A2130" t="s">
        <v>413</v>
      </c>
      <c r="B2130">
        <v>2006</v>
      </c>
      <c r="C2130" t="s">
        <v>281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COUNT(LifeExpectancyData[[#This Row],[Life expectancy]:[Schooling]])=19</f>
        <v>1</v>
      </c>
    </row>
    <row r="2131" spans="1:23" x14ac:dyDescent="0.25">
      <c r="A2131" t="s">
        <v>413</v>
      </c>
      <c r="B2131">
        <v>2005</v>
      </c>
      <c r="C2131" t="s">
        <v>281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COUNT(LifeExpectancyData[[#This Row],[Life expectancy]:[Schooling]])=19</f>
        <v>1</v>
      </c>
    </row>
    <row r="2132" spans="1:23" x14ac:dyDescent="0.25">
      <c r="A2132" t="s">
        <v>413</v>
      </c>
      <c r="B2132">
        <v>2004</v>
      </c>
      <c r="C2132" t="s">
        <v>281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COUNT(LifeExpectancyData[[#This Row],[Life expectancy]:[Schooling]])=19</f>
        <v>1</v>
      </c>
    </row>
    <row r="2133" spans="1:23" x14ac:dyDescent="0.25">
      <c r="A2133" t="s">
        <v>413</v>
      </c>
      <c r="B2133">
        <v>2003</v>
      </c>
      <c r="C2133" t="s">
        <v>281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COUNT(LifeExpectancyData[[#This Row],[Life expectancy]:[Schooling]])=19</f>
        <v>1</v>
      </c>
    </row>
    <row r="2134" spans="1:23" x14ac:dyDescent="0.25">
      <c r="A2134" t="s">
        <v>413</v>
      </c>
      <c r="B2134">
        <v>2002</v>
      </c>
      <c r="C2134" t="s">
        <v>281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COUNT(LifeExpectancyData[[#This Row],[Life expectancy]:[Schooling]])=19</f>
        <v>1</v>
      </c>
    </row>
    <row r="2135" spans="1:23" x14ac:dyDescent="0.25">
      <c r="A2135" t="s">
        <v>413</v>
      </c>
      <c r="B2135">
        <v>2001</v>
      </c>
      <c r="C2135" t="s">
        <v>281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COUNT(LifeExpectancyData[[#This Row],[Life expectancy]:[Schooling]])=19</f>
        <v>1</v>
      </c>
    </row>
    <row r="2136" spans="1:23" x14ac:dyDescent="0.25">
      <c r="A2136" t="s">
        <v>413</v>
      </c>
      <c r="B2136">
        <v>2000</v>
      </c>
      <c r="C2136" t="s">
        <v>281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COUNT(LifeExpectancyData[[#This Row],[Life expectancy]:[Schooling]])=19</f>
        <v>1</v>
      </c>
    </row>
    <row r="2137" spans="1:23" x14ac:dyDescent="0.25">
      <c r="A2137" t="s">
        <v>414</v>
      </c>
      <c r="B2137">
        <v>2015</v>
      </c>
      <c r="C2137" t="s">
        <v>273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COUNT(LifeExpectancyData[[#This Row],[Life expectancy]:[Schooling]])=19</f>
        <v>0</v>
      </c>
    </row>
    <row r="2138" spans="1:23" x14ac:dyDescent="0.25">
      <c r="A2138" t="s">
        <v>414</v>
      </c>
      <c r="B2138">
        <v>2014</v>
      </c>
      <c r="C2138" t="s">
        <v>273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COUNT(LifeExpectancyData[[#This Row],[Life expectancy]:[Schooling]])=19</f>
        <v>1</v>
      </c>
    </row>
    <row r="2139" spans="1:23" x14ac:dyDescent="0.25">
      <c r="A2139" t="s">
        <v>414</v>
      </c>
      <c r="B2139">
        <v>2013</v>
      </c>
      <c r="C2139" t="s">
        <v>273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COUNT(LifeExpectancyData[[#This Row],[Life expectancy]:[Schooling]])=19</f>
        <v>1</v>
      </c>
    </row>
    <row r="2140" spans="1:23" x14ac:dyDescent="0.25">
      <c r="A2140" t="s">
        <v>414</v>
      </c>
      <c r="B2140">
        <v>2012</v>
      </c>
      <c r="C2140" t="s">
        <v>273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COUNT(LifeExpectancyData[[#This Row],[Life expectancy]:[Schooling]])=19</f>
        <v>1</v>
      </c>
    </row>
    <row r="2141" spans="1:23" x14ac:dyDescent="0.25">
      <c r="A2141" t="s">
        <v>414</v>
      </c>
      <c r="B2141">
        <v>2011</v>
      </c>
      <c r="C2141" t="s">
        <v>273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COUNT(LifeExpectancyData[[#This Row],[Life expectancy]:[Schooling]])=19</f>
        <v>1</v>
      </c>
    </row>
    <row r="2142" spans="1:23" x14ac:dyDescent="0.25">
      <c r="A2142" t="s">
        <v>414</v>
      </c>
      <c r="B2142">
        <v>2010</v>
      </c>
      <c r="C2142" t="s">
        <v>273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COUNT(LifeExpectancyData[[#This Row],[Life expectancy]:[Schooling]])=19</f>
        <v>1</v>
      </c>
    </row>
    <row r="2143" spans="1:23" x14ac:dyDescent="0.25">
      <c r="A2143" t="s">
        <v>414</v>
      </c>
      <c r="B2143">
        <v>2009</v>
      </c>
      <c r="C2143" t="s">
        <v>273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COUNT(LifeExpectancyData[[#This Row],[Life expectancy]:[Schooling]])=19</f>
        <v>1</v>
      </c>
    </row>
    <row r="2144" spans="1:23" x14ac:dyDescent="0.25">
      <c r="A2144" t="s">
        <v>414</v>
      </c>
      <c r="B2144">
        <v>2008</v>
      </c>
      <c r="C2144" t="s">
        <v>273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COUNT(LifeExpectancyData[[#This Row],[Life expectancy]:[Schooling]])=19</f>
        <v>1</v>
      </c>
    </row>
    <row r="2145" spans="1:23" x14ac:dyDescent="0.25">
      <c r="A2145" t="s">
        <v>414</v>
      </c>
      <c r="B2145">
        <v>2007</v>
      </c>
      <c r="C2145" t="s">
        <v>273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COUNT(LifeExpectancyData[[#This Row],[Life expectancy]:[Schooling]])=19</f>
        <v>1</v>
      </c>
    </row>
    <row r="2146" spans="1:23" x14ac:dyDescent="0.25">
      <c r="A2146" t="s">
        <v>414</v>
      </c>
      <c r="B2146">
        <v>2006</v>
      </c>
      <c r="C2146" t="s">
        <v>273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COUNT(LifeExpectancyData[[#This Row],[Life expectancy]:[Schooling]])=19</f>
        <v>1</v>
      </c>
    </row>
    <row r="2147" spans="1:23" x14ac:dyDescent="0.25">
      <c r="A2147" t="s">
        <v>414</v>
      </c>
      <c r="B2147">
        <v>2005</v>
      </c>
      <c r="C2147" t="s">
        <v>273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COUNT(LifeExpectancyData[[#This Row],[Life expectancy]:[Schooling]])=19</f>
        <v>1</v>
      </c>
    </row>
    <row r="2148" spans="1:23" x14ac:dyDescent="0.25">
      <c r="A2148" t="s">
        <v>414</v>
      </c>
      <c r="B2148">
        <v>2004</v>
      </c>
      <c r="C2148" t="s">
        <v>273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COUNT(LifeExpectancyData[[#This Row],[Life expectancy]:[Schooling]])=19</f>
        <v>1</v>
      </c>
    </row>
    <row r="2149" spans="1:23" x14ac:dyDescent="0.25">
      <c r="A2149" t="s">
        <v>414</v>
      </c>
      <c r="B2149">
        <v>2003</v>
      </c>
      <c r="C2149" t="s">
        <v>273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COUNT(LifeExpectancyData[[#This Row],[Life expectancy]:[Schooling]])=19</f>
        <v>1</v>
      </c>
    </row>
    <row r="2150" spans="1:23" x14ac:dyDescent="0.25">
      <c r="A2150" t="s">
        <v>414</v>
      </c>
      <c r="B2150">
        <v>2002</v>
      </c>
      <c r="C2150" t="s">
        <v>273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COUNT(LifeExpectancyData[[#This Row],[Life expectancy]:[Schooling]])=19</f>
        <v>1</v>
      </c>
    </row>
    <row r="2151" spans="1:23" x14ac:dyDescent="0.25">
      <c r="A2151" t="s">
        <v>414</v>
      </c>
      <c r="B2151">
        <v>2001</v>
      </c>
      <c r="C2151" t="s">
        <v>273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COUNT(LifeExpectancyData[[#This Row],[Life expectancy]:[Schooling]])=19</f>
        <v>1</v>
      </c>
    </row>
    <row r="2152" spans="1:23" x14ac:dyDescent="0.25">
      <c r="A2152" t="s">
        <v>414</v>
      </c>
      <c r="B2152">
        <v>2000</v>
      </c>
      <c r="C2152" t="s">
        <v>273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COUNT(LifeExpectancyData[[#This Row],[Life expectancy]:[Schooling]])=19</f>
        <v>0</v>
      </c>
    </row>
    <row r="2153" spans="1:23" x14ac:dyDescent="0.25">
      <c r="A2153" t="s">
        <v>415</v>
      </c>
      <c r="B2153">
        <v>2015</v>
      </c>
      <c r="C2153" t="s">
        <v>273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COUNT(LifeExpectancyData[[#This Row],[Life expectancy]:[Schooling]])=19</f>
        <v>0</v>
      </c>
    </row>
    <row r="2154" spans="1:23" x14ac:dyDescent="0.25">
      <c r="A2154" t="s">
        <v>415</v>
      </c>
      <c r="B2154">
        <v>2014</v>
      </c>
      <c r="C2154" t="s">
        <v>273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COUNT(LifeExpectancyData[[#This Row],[Life expectancy]:[Schooling]])=19</f>
        <v>1</v>
      </c>
    </row>
    <row r="2155" spans="1:23" x14ac:dyDescent="0.25">
      <c r="A2155" t="s">
        <v>415</v>
      </c>
      <c r="B2155">
        <v>2013</v>
      </c>
      <c r="C2155" t="s">
        <v>273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COUNT(LifeExpectancyData[[#This Row],[Life expectancy]:[Schooling]])=19</f>
        <v>1</v>
      </c>
    </row>
    <row r="2156" spans="1:23" x14ac:dyDescent="0.25">
      <c r="A2156" t="s">
        <v>415</v>
      </c>
      <c r="B2156">
        <v>2012</v>
      </c>
      <c r="C2156" t="s">
        <v>273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COUNT(LifeExpectancyData[[#This Row],[Life expectancy]:[Schooling]])=19</f>
        <v>1</v>
      </c>
    </row>
    <row r="2157" spans="1:23" x14ac:dyDescent="0.25">
      <c r="A2157" t="s">
        <v>415</v>
      </c>
      <c r="B2157">
        <v>2011</v>
      </c>
      <c r="C2157" t="s">
        <v>273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COUNT(LifeExpectancyData[[#This Row],[Life expectancy]:[Schooling]])=19</f>
        <v>1</v>
      </c>
    </row>
    <row r="2158" spans="1:23" x14ac:dyDescent="0.25">
      <c r="A2158" t="s">
        <v>415</v>
      </c>
      <c r="B2158">
        <v>2010</v>
      </c>
      <c r="C2158" t="s">
        <v>273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COUNT(LifeExpectancyData[[#This Row],[Life expectancy]:[Schooling]])=19</f>
        <v>1</v>
      </c>
    </row>
    <row r="2159" spans="1:23" x14ac:dyDescent="0.25">
      <c r="A2159" t="s">
        <v>415</v>
      </c>
      <c r="B2159">
        <v>2009</v>
      </c>
      <c r="C2159" t="s">
        <v>273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COUNT(LifeExpectancyData[[#This Row],[Life expectancy]:[Schooling]])=19</f>
        <v>1</v>
      </c>
    </row>
    <row r="2160" spans="1:23" x14ac:dyDescent="0.25">
      <c r="A2160" t="s">
        <v>415</v>
      </c>
      <c r="B2160">
        <v>2008</v>
      </c>
      <c r="C2160" t="s">
        <v>273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COUNT(LifeExpectancyData[[#This Row],[Life expectancy]:[Schooling]])=19</f>
        <v>1</v>
      </c>
    </row>
    <row r="2161" spans="1:23" x14ac:dyDescent="0.25">
      <c r="A2161" t="s">
        <v>415</v>
      </c>
      <c r="B2161">
        <v>2007</v>
      </c>
      <c r="C2161" t="s">
        <v>273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COUNT(LifeExpectancyData[[#This Row],[Life expectancy]:[Schooling]])=19</f>
        <v>1</v>
      </c>
    </row>
    <row r="2162" spans="1:23" x14ac:dyDescent="0.25">
      <c r="A2162" t="s">
        <v>415</v>
      </c>
      <c r="B2162">
        <v>2006</v>
      </c>
      <c r="C2162" t="s">
        <v>273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COUNT(LifeExpectancyData[[#This Row],[Life expectancy]:[Schooling]])=19</f>
        <v>1</v>
      </c>
    </row>
    <row r="2163" spans="1:23" x14ac:dyDescent="0.25">
      <c r="A2163" t="s">
        <v>415</v>
      </c>
      <c r="B2163">
        <v>2005</v>
      </c>
      <c r="C2163" t="s">
        <v>273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COUNT(LifeExpectancyData[[#This Row],[Life expectancy]:[Schooling]])=19</f>
        <v>1</v>
      </c>
    </row>
    <row r="2164" spans="1:23" x14ac:dyDescent="0.25">
      <c r="A2164" t="s">
        <v>415</v>
      </c>
      <c r="B2164">
        <v>2004</v>
      </c>
      <c r="C2164" t="s">
        <v>273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COUNT(LifeExpectancyData[[#This Row],[Life expectancy]:[Schooling]])=19</f>
        <v>1</v>
      </c>
    </row>
    <row r="2165" spans="1:23" x14ac:dyDescent="0.25">
      <c r="A2165" t="s">
        <v>415</v>
      </c>
      <c r="B2165">
        <v>2003</v>
      </c>
      <c r="C2165" t="s">
        <v>273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COUNT(LifeExpectancyData[[#This Row],[Life expectancy]:[Schooling]])=19</f>
        <v>1</v>
      </c>
    </row>
    <row r="2166" spans="1:23" x14ac:dyDescent="0.25">
      <c r="A2166" t="s">
        <v>415</v>
      </c>
      <c r="B2166">
        <v>2002</v>
      </c>
      <c r="C2166" t="s">
        <v>273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COUNT(LifeExpectancyData[[#This Row],[Life expectancy]:[Schooling]])=19</f>
        <v>1</v>
      </c>
    </row>
    <row r="2167" spans="1:23" x14ac:dyDescent="0.25">
      <c r="A2167" t="s">
        <v>415</v>
      </c>
      <c r="B2167">
        <v>2001</v>
      </c>
      <c r="C2167" t="s">
        <v>273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COUNT(LifeExpectancyData[[#This Row],[Life expectancy]:[Schooling]])=19</f>
        <v>0</v>
      </c>
    </row>
    <row r="2168" spans="1:23" x14ac:dyDescent="0.25">
      <c r="A2168" t="s">
        <v>415</v>
      </c>
      <c r="B2168">
        <v>2000</v>
      </c>
      <c r="C2168" t="s">
        <v>273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COUNT(LifeExpectancyData[[#This Row],[Life expectancy]:[Schooling]])=19</f>
        <v>0</v>
      </c>
    </row>
    <row r="2169" spans="1:23" x14ac:dyDescent="0.25">
      <c r="A2169" t="s">
        <v>416</v>
      </c>
      <c r="B2169">
        <v>2013</v>
      </c>
      <c r="C2169" t="s">
        <v>273</v>
      </c>
      <c r="F2169">
        <v>0</v>
      </c>
      <c r="G2169">
        <v>8.5399999999999991</v>
      </c>
      <c r="H2169">
        <v>0</v>
      </c>
      <c r="I2169">
        <v>97</v>
      </c>
      <c r="J2169">
        <v>0</v>
      </c>
      <c r="K2169">
        <v>5.2</v>
      </c>
      <c r="L2169">
        <v>0</v>
      </c>
      <c r="M2169">
        <v>96</v>
      </c>
      <c r="N2169">
        <v>6.14</v>
      </c>
      <c r="O2169">
        <v>96</v>
      </c>
      <c r="P2169">
        <v>0.1</v>
      </c>
      <c r="S2169">
        <v>3.7</v>
      </c>
      <c r="T2169">
        <v>3.6</v>
      </c>
      <c r="U2169">
        <v>0.749</v>
      </c>
      <c r="V2169">
        <v>13.4</v>
      </c>
      <c r="W2169" t="b">
        <f>COUNT(LifeExpectancyData[[#This Row],[Life expectancy]:[Schooling]])=19</f>
        <v>0</v>
      </c>
    </row>
    <row r="2170" spans="1:23" x14ac:dyDescent="0.25">
      <c r="A2170" t="s">
        <v>417</v>
      </c>
      <c r="B2170">
        <v>2015</v>
      </c>
      <c r="C2170" t="s">
        <v>273</v>
      </c>
      <c r="D2170">
        <v>75.2</v>
      </c>
      <c r="E2170">
        <v>138</v>
      </c>
      <c r="F2170">
        <v>0</v>
      </c>
      <c r="H2170">
        <v>0</v>
      </c>
      <c r="I2170">
        <v>99</v>
      </c>
      <c r="J2170">
        <v>0</v>
      </c>
      <c r="K2170">
        <v>47.5</v>
      </c>
      <c r="L2170">
        <v>0</v>
      </c>
      <c r="M2170">
        <v>99</v>
      </c>
      <c r="O2170">
        <v>99</v>
      </c>
      <c r="P2170">
        <v>0.1</v>
      </c>
      <c r="S2170">
        <v>4.3</v>
      </c>
      <c r="T2170">
        <v>4.3</v>
      </c>
      <c r="U2170">
        <v>0.73499999999999999</v>
      </c>
      <c r="V2170">
        <v>13.1</v>
      </c>
      <c r="W2170" t="b">
        <f>COUNT(LifeExpectancyData[[#This Row],[Life expectancy]:[Schooling]])=19</f>
        <v>0</v>
      </c>
    </row>
    <row r="2171" spans="1:23" x14ac:dyDescent="0.25">
      <c r="A2171" t="s">
        <v>417</v>
      </c>
      <c r="B2171">
        <v>2014</v>
      </c>
      <c r="C2171" t="s">
        <v>273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COUNT(LifeExpectancyData[[#This Row],[Life expectancy]:[Schooling]])=19</f>
        <v>0</v>
      </c>
    </row>
    <row r="2172" spans="1:23" x14ac:dyDescent="0.25">
      <c r="A2172" t="s">
        <v>417</v>
      </c>
      <c r="B2172">
        <v>2013</v>
      </c>
      <c r="C2172" t="s">
        <v>273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COUNT(LifeExpectancyData[[#This Row],[Life expectancy]:[Schooling]])=19</f>
        <v>0</v>
      </c>
    </row>
    <row r="2173" spans="1:23" x14ac:dyDescent="0.25">
      <c r="A2173" t="s">
        <v>417</v>
      </c>
      <c r="B2173">
        <v>2012</v>
      </c>
      <c r="C2173" t="s">
        <v>273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COUNT(LifeExpectancyData[[#This Row],[Life expectancy]:[Schooling]])=19</f>
        <v>0</v>
      </c>
    </row>
    <row r="2174" spans="1:23" x14ac:dyDescent="0.25">
      <c r="A2174" t="s">
        <v>417</v>
      </c>
      <c r="B2174">
        <v>2011</v>
      </c>
      <c r="C2174" t="s">
        <v>273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COUNT(LifeExpectancyData[[#This Row],[Life expectancy]:[Schooling]])=19</f>
        <v>0</v>
      </c>
    </row>
    <row r="2175" spans="1:23" x14ac:dyDescent="0.25">
      <c r="A2175" t="s">
        <v>417</v>
      </c>
      <c r="B2175">
        <v>2010</v>
      </c>
      <c r="C2175" t="s">
        <v>273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COUNT(LifeExpectancyData[[#This Row],[Life expectancy]:[Schooling]])=19</f>
        <v>0</v>
      </c>
    </row>
    <row r="2176" spans="1:23" x14ac:dyDescent="0.25">
      <c r="A2176" t="s">
        <v>417</v>
      </c>
      <c r="B2176">
        <v>2009</v>
      </c>
      <c r="C2176" t="s">
        <v>273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COUNT(LifeExpectancyData[[#This Row],[Life expectancy]:[Schooling]])=19</f>
        <v>0</v>
      </c>
    </row>
    <row r="2177" spans="1:23" x14ac:dyDescent="0.25">
      <c r="A2177" t="s">
        <v>417</v>
      </c>
      <c r="B2177">
        <v>2008</v>
      </c>
      <c r="C2177" t="s">
        <v>273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COUNT(LifeExpectancyData[[#This Row],[Life expectancy]:[Schooling]])=19</f>
        <v>0</v>
      </c>
    </row>
    <row r="2178" spans="1:23" x14ac:dyDescent="0.25">
      <c r="A2178" t="s">
        <v>417</v>
      </c>
      <c r="B2178">
        <v>2007</v>
      </c>
      <c r="C2178" t="s">
        <v>273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COUNT(LifeExpectancyData[[#This Row],[Life expectancy]:[Schooling]])=19</f>
        <v>0</v>
      </c>
    </row>
    <row r="2179" spans="1:23" x14ac:dyDescent="0.25">
      <c r="A2179" t="s">
        <v>417</v>
      </c>
      <c r="B2179">
        <v>2006</v>
      </c>
      <c r="C2179" t="s">
        <v>273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COUNT(LifeExpectancyData[[#This Row],[Life expectancy]:[Schooling]])=19</f>
        <v>0</v>
      </c>
    </row>
    <row r="2180" spans="1:23" x14ac:dyDescent="0.25">
      <c r="A2180" t="s">
        <v>417</v>
      </c>
      <c r="B2180">
        <v>2005</v>
      </c>
      <c r="C2180" t="s">
        <v>273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COUNT(LifeExpectancyData[[#This Row],[Life expectancy]:[Schooling]])=19</f>
        <v>0</v>
      </c>
    </row>
    <row r="2181" spans="1:23" x14ac:dyDescent="0.25">
      <c r="A2181" t="s">
        <v>417</v>
      </c>
      <c r="B2181">
        <v>2004</v>
      </c>
      <c r="C2181" t="s">
        <v>273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COUNT(LifeExpectancyData[[#This Row],[Life expectancy]:[Schooling]])=19</f>
        <v>0</v>
      </c>
    </row>
    <row r="2182" spans="1:23" x14ac:dyDescent="0.25">
      <c r="A2182" t="s">
        <v>417</v>
      </c>
      <c r="B2182">
        <v>2003</v>
      </c>
      <c r="C2182" t="s">
        <v>273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COUNT(LifeExpectancyData[[#This Row],[Life expectancy]:[Schooling]])=19</f>
        <v>0</v>
      </c>
    </row>
    <row r="2183" spans="1:23" x14ac:dyDescent="0.25">
      <c r="A2183" t="s">
        <v>417</v>
      </c>
      <c r="B2183">
        <v>2002</v>
      </c>
      <c r="C2183" t="s">
        <v>273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COUNT(LifeExpectancyData[[#This Row],[Life expectancy]:[Schooling]])=19</f>
        <v>0</v>
      </c>
    </row>
    <row r="2184" spans="1:23" x14ac:dyDescent="0.25">
      <c r="A2184" t="s">
        <v>417</v>
      </c>
      <c r="B2184">
        <v>2001</v>
      </c>
      <c r="C2184" t="s">
        <v>273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COUNT(LifeExpectancyData[[#This Row],[Life expectancy]:[Schooling]])=19</f>
        <v>0</v>
      </c>
    </row>
    <row r="2185" spans="1:23" x14ac:dyDescent="0.25">
      <c r="A2185" t="s">
        <v>417</v>
      </c>
      <c r="B2185">
        <v>2000</v>
      </c>
      <c r="C2185" t="s">
        <v>273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COUNT(LifeExpectancyData[[#This Row],[Life expectancy]:[Schooling]])=19</f>
        <v>0</v>
      </c>
    </row>
    <row r="2186" spans="1:23" x14ac:dyDescent="0.25">
      <c r="A2186" t="s">
        <v>418</v>
      </c>
      <c r="B2186">
        <v>2015</v>
      </c>
      <c r="C2186" t="s">
        <v>273</v>
      </c>
      <c r="D2186">
        <v>73.2</v>
      </c>
      <c r="E2186">
        <v>156</v>
      </c>
      <c r="F2186">
        <v>0</v>
      </c>
      <c r="H2186">
        <v>0</v>
      </c>
      <c r="I2186">
        <v>98</v>
      </c>
      <c r="J2186">
        <v>0</v>
      </c>
      <c r="K2186">
        <v>54.1</v>
      </c>
      <c r="L2186">
        <v>0</v>
      </c>
      <c r="M2186">
        <v>97</v>
      </c>
      <c r="O2186">
        <v>98</v>
      </c>
      <c r="P2186">
        <v>0.1</v>
      </c>
      <c r="S2186">
        <v>3.5</v>
      </c>
      <c r="T2186">
        <v>3.4</v>
      </c>
      <c r="U2186">
        <v>0.72</v>
      </c>
      <c r="V2186">
        <v>13.3</v>
      </c>
      <c r="W2186" t="b">
        <f>COUNT(LifeExpectancyData[[#This Row],[Life expectancy]:[Schooling]])=19</f>
        <v>0</v>
      </c>
    </row>
    <row r="2187" spans="1:23" x14ac:dyDescent="0.25">
      <c r="A2187" t="s">
        <v>418</v>
      </c>
      <c r="B2187">
        <v>2014</v>
      </c>
      <c r="C2187" t="s">
        <v>273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COUNT(LifeExpectancyData[[#This Row],[Life expectancy]:[Schooling]])=19</f>
        <v>0</v>
      </c>
    </row>
    <row r="2188" spans="1:23" x14ac:dyDescent="0.25">
      <c r="A2188" t="s">
        <v>418</v>
      </c>
      <c r="B2188">
        <v>2013</v>
      </c>
      <c r="C2188" t="s">
        <v>273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COUNT(LifeExpectancyData[[#This Row],[Life expectancy]:[Schooling]])=19</f>
        <v>0</v>
      </c>
    </row>
    <row r="2189" spans="1:23" x14ac:dyDescent="0.25">
      <c r="A2189" t="s">
        <v>418</v>
      </c>
      <c r="B2189">
        <v>2012</v>
      </c>
      <c r="C2189" t="s">
        <v>273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COUNT(LifeExpectancyData[[#This Row],[Life expectancy]:[Schooling]])=19</f>
        <v>0</v>
      </c>
    </row>
    <row r="2190" spans="1:23" x14ac:dyDescent="0.25">
      <c r="A2190" t="s">
        <v>418</v>
      </c>
      <c r="B2190">
        <v>2011</v>
      </c>
      <c r="C2190" t="s">
        <v>273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COUNT(LifeExpectancyData[[#This Row],[Life expectancy]:[Schooling]])=19</f>
        <v>0</v>
      </c>
    </row>
    <row r="2191" spans="1:23" x14ac:dyDescent="0.25">
      <c r="A2191" t="s">
        <v>418</v>
      </c>
      <c r="B2191">
        <v>2010</v>
      </c>
      <c r="C2191" t="s">
        <v>273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COUNT(LifeExpectancyData[[#This Row],[Life expectancy]:[Schooling]])=19</f>
        <v>0</v>
      </c>
    </row>
    <row r="2192" spans="1:23" x14ac:dyDescent="0.25">
      <c r="A2192" t="s">
        <v>418</v>
      </c>
      <c r="B2192">
        <v>2009</v>
      </c>
      <c r="C2192" t="s">
        <v>273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COUNT(LifeExpectancyData[[#This Row],[Life expectancy]:[Schooling]])=19</f>
        <v>0</v>
      </c>
    </row>
    <row r="2193" spans="1:23" x14ac:dyDescent="0.25">
      <c r="A2193" t="s">
        <v>418</v>
      </c>
      <c r="B2193">
        <v>2008</v>
      </c>
      <c r="C2193" t="s">
        <v>273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COUNT(LifeExpectancyData[[#This Row],[Life expectancy]:[Schooling]])=19</f>
        <v>0</v>
      </c>
    </row>
    <row r="2194" spans="1:23" x14ac:dyDescent="0.25">
      <c r="A2194" t="s">
        <v>418</v>
      </c>
      <c r="B2194">
        <v>2007</v>
      </c>
      <c r="C2194" t="s">
        <v>273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COUNT(LifeExpectancyData[[#This Row],[Life expectancy]:[Schooling]])=19</f>
        <v>0</v>
      </c>
    </row>
    <row r="2195" spans="1:23" x14ac:dyDescent="0.25">
      <c r="A2195" t="s">
        <v>418</v>
      </c>
      <c r="B2195">
        <v>2006</v>
      </c>
      <c r="C2195" t="s">
        <v>273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COUNT(LifeExpectancyData[[#This Row],[Life expectancy]:[Schooling]])=19</f>
        <v>0</v>
      </c>
    </row>
    <row r="2196" spans="1:23" x14ac:dyDescent="0.25">
      <c r="A2196" t="s">
        <v>418</v>
      </c>
      <c r="B2196">
        <v>2005</v>
      </c>
      <c r="C2196" t="s">
        <v>273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COUNT(LifeExpectancyData[[#This Row],[Life expectancy]:[Schooling]])=19</f>
        <v>0</v>
      </c>
    </row>
    <row r="2197" spans="1:23" x14ac:dyDescent="0.25">
      <c r="A2197" t="s">
        <v>418</v>
      </c>
      <c r="B2197">
        <v>2004</v>
      </c>
      <c r="C2197" t="s">
        <v>273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COUNT(LifeExpectancyData[[#This Row],[Life expectancy]:[Schooling]])=19</f>
        <v>0</v>
      </c>
    </row>
    <row r="2198" spans="1:23" x14ac:dyDescent="0.25">
      <c r="A2198" t="s">
        <v>418</v>
      </c>
      <c r="B2198">
        <v>2003</v>
      </c>
      <c r="C2198" t="s">
        <v>273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COUNT(LifeExpectancyData[[#This Row],[Life expectancy]:[Schooling]])=19</f>
        <v>0</v>
      </c>
    </row>
    <row r="2199" spans="1:23" x14ac:dyDescent="0.25">
      <c r="A2199" t="s">
        <v>418</v>
      </c>
      <c r="B2199">
        <v>2002</v>
      </c>
      <c r="C2199" t="s">
        <v>273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COUNT(LifeExpectancyData[[#This Row],[Life expectancy]:[Schooling]])=19</f>
        <v>0</v>
      </c>
    </row>
    <row r="2200" spans="1:23" x14ac:dyDescent="0.25">
      <c r="A2200" t="s">
        <v>418</v>
      </c>
      <c r="B2200">
        <v>2001</v>
      </c>
      <c r="C2200" t="s">
        <v>273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COUNT(LifeExpectancyData[[#This Row],[Life expectancy]:[Schooling]])=19</f>
        <v>0</v>
      </c>
    </row>
    <row r="2201" spans="1:23" x14ac:dyDescent="0.25">
      <c r="A2201" t="s">
        <v>418</v>
      </c>
      <c r="B2201">
        <v>2000</v>
      </c>
      <c r="C2201" t="s">
        <v>273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COUNT(LifeExpectancyData[[#This Row],[Life expectancy]:[Schooling]])=19</f>
        <v>0</v>
      </c>
    </row>
    <row r="2202" spans="1:23" x14ac:dyDescent="0.25">
      <c r="A2202" t="s">
        <v>419</v>
      </c>
      <c r="B2202">
        <v>2015</v>
      </c>
      <c r="C2202" t="s">
        <v>273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COUNT(LifeExpectancyData[[#This Row],[Life expectancy]:[Schooling]])=19</f>
        <v>0</v>
      </c>
    </row>
    <row r="2203" spans="1:23" x14ac:dyDescent="0.25">
      <c r="A2203" t="s">
        <v>419</v>
      </c>
      <c r="B2203">
        <v>2014</v>
      </c>
      <c r="C2203" t="s">
        <v>273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COUNT(LifeExpectancyData[[#This Row],[Life expectancy]:[Schooling]])=19</f>
        <v>1</v>
      </c>
    </row>
    <row r="2204" spans="1:23" x14ac:dyDescent="0.25">
      <c r="A2204" t="s">
        <v>419</v>
      </c>
      <c r="B2204">
        <v>2013</v>
      </c>
      <c r="C2204" t="s">
        <v>273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COUNT(LifeExpectancyData[[#This Row],[Life expectancy]:[Schooling]])=19</f>
        <v>1</v>
      </c>
    </row>
    <row r="2205" spans="1:23" x14ac:dyDescent="0.25">
      <c r="A2205" t="s">
        <v>419</v>
      </c>
      <c r="B2205">
        <v>2012</v>
      </c>
      <c r="C2205" t="s">
        <v>273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COUNT(LifeExpectancyData[[#This Row],[Life expectancy]:[Schooling]])=19</f>
        <v>1</v>
      </c>
    </row>
    <row r="2206" spans="1:23" x14ac:dyDescent="0.25">
      <c r="A2206" t="s">
        <v>419</v>
      </c>
      <c r="B2206">
        <v>2011</v>
      </c>
      <c r="C2206" t="s">
        <v>273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COUNT(LifeExpectancyData[[#This Row],[Life expectancy]:[Schooling]])=19</f>
        <v>1</v>
      </c>
    </row>
    <row r="2207" spans="1:23" x14ac:dyDescent="0.25">
      <c r="A2207" t="s">
        <v>419</v>
      </c>
      <c r="B2207">
        <v>2010</v>
      </c>
      <c r="C2207" t="s">
        <v>273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COUNT(LifeExpectancyData[[#This Row],[Life expectancy]:[Schooling]])=19</f>
        <v>1</v>
      </c>
    </row>
    <row r="2208" spans="1:23" x14ac:dyDescent="0.25">
      <c r="A2208" t="s">
        <v>419</v>
      </c>
      <c r="B2208">
        <v>2009</v>
      </c>
      <c r="C2208" t="s">
        <v>273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COUNT(LifeExpectancyData[[#This Row],[Life expectancy]:[Schooling]])=19</f>
        <v>1</v>
      </c>
    </row>
    <row r="2209" spans="1:23" x14ac:dyDescent="0.25">
      <c r="A2209" t="s">
        <v>419</v>
      </c>
      <c r="B2209">
        <v>2008</v>
      </c>
      <c r="C2209" t="s">
        <v>273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COUNT(LifeExpectancyData[[#This Row],[Life expectancy]:[Schooling]])=19</f>
        <v>1</v>
      </c>
    </row>
    <row r="2210" spans="1:23" x14ac:dyDescent="0.25">
      <c r="A2210" t="s">
        <v>419</v>
      </c>
      <c r="B2210">
        <v>2007</v>
      </c>
      <c r="C2210" t="s">
        <v>273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COUNT(LifeExpectancyData[[#This Row],[Life expectancy]:[Schooling]])=19</f>
        <v>1</v>
      </c>
    </row>
    <row r="2211" spans="1:23" x14ac:dyDescent="0.25">
      <c r="A2211" t="s">
        <v>419</v>
      </c>
      <c r="B2211">
        <v>2006</v>
      </c>
      <c r="C2211" t="s">
        <v>273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COUNT(LifeExpectancyData[[#This Row],[Life expectancy]:[Schooling]])=19</f>
        <v>1</v>
      </c>
    </row>
    <row r="2212" spans="1:23" x14ac:dyDescent="0.25">
      <c r="A2212" t="s">
        <v>419</v>
      </c>
      <c r="B2212">
        <v>2005</v>
      </c>
      <c r="C2212" t="s">
        <v>273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COUNT(LifeExpectancyData[[#This Row],[Life expectancy]:[Schooling]])=19</f>
        <v>1</v>
      </c>
    </row>
    <row r="2213" spans="1:23" x14ac:dyDescent="0.25">
      <c r="A2213" t="s">
        <v>419</v>
      </c>
      <c r="B2213">
        <v>2004</v>
      </c>
      <c r="C2213" t="s">
        <v>273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COUNT(LifeExpectancyData[[#This Row],[Life expectancy]:[Schooling]])=19</f>
        <v>1</v>
      </c>
    </row>
    <row r="2214" spans="1:23" x14ac:dyDescent="0.25">
      <c r="A2214" t="s">
        <v>419</v>
      </c>
      <c r="B2214">
        <v>2003</v>
      </c>
      <c r="C2214" t="s">
        <v>273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COUNT(LifeExpectancyData[[#This Row],[Life expectancy]:[Schooling]])=19</f>
        <v>1</v>
      </c>
    </row>
    <row r="2215" spans="1:23" x14ac:dyDescent="0.25">
      <c r="A2215" t="s">
        <v>419</v>
      </c>
      <c r="B2215">
        <v>2002</v>
      </c>
      <c r="C2215" t="s">
        <v>273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COUNT(LifeExpectancyData[[#This Row],[Life expectancy]:[Schooling]])=19</f>
        <v>1</v>
      </c>
    </row>
    <row r="2216" spans="1:23" x14ac:dyDescent="0.25">
      <c r="A2216" t="s">
        <v>419</v>
      </c>
      <c r="B2216">
        <v>2001</v>
      </c>
      <c r="C2216" t="s">
        <v>273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COUNT(LifeExpectancyData[[#This Row],[Life expectancy]:[Schooling]])=19</f>
        <v>1</v>
      </c>
    </row>
    <row r="2217" spans="1:23" x14ac:dyDescent="0.25">
      <c r="A2217" t="s">
        <v>419</v>
      </c>
      <c r="B2217">
        <v>2000</v>
      </c>
      <c r="C2217" t="s">
        <v>273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COUNT(LifeExpectancyData[[#This Row],[Life expectancy]:[Schooling]])=19</f>
        <v>1</v>
      </c>
    </row>
    <row r="2218" spans="1:23" x14ac:dyDescent="0.25">
      <c r="A2218" t="s">
        <v>420</v>
      </c>
      <c r="B2218">
        <v>2013</v>
      </c>
      <c r="C2218" t="s">
        <v>273</v>
      </c>
      <c r="F2218">
        <v>0</v>
      </c>
      <c r="G2218">
        <v>0.01</v>
      </c>
      <c r="H2218">
        <v>0</v>
      </c>
      <c r="I2218">
        <v>69</v>
      </c>
      <c r="J2218">
        <v>0</v>
      </c>
      <c r="L2218">
        <v>0</v>
      </c>
      <c r="M2218">
        <v>69</v>
      </c>
      <c r="N2218">
        <v>6.5</v>
      </c>
      <c r="O2218">
        <v>69</v>
      </c>
      <c r="P2218">
        <v>0.1</v>
      </c>
      <c r="V2218">
        <v>15.1</v>
      </c>
      <c r="W2218" t="b">
        <f>COUNT(LifeExpectancyData[[#This Row],[Life expectancy]:[Schooling]])=19</f>
        <v>0</v>
      </c>
    </row>
    <row r="2219" spans="1:23" x14ac:dyDescent="0.25">
      <c r="A2219" t="s">
        <v>421</v>
      </c>
      <c r="B2219">
        <v>2015</v>
      </c>
      <c r="C2219" t="s">
        <v>273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COUNT(LifeExpectancyData[[#This Row],[Life expectancy]:[Schooling]])=19</f>
        <v>0</v>
      </c>
    </row>
    <row r="2220" spans="1:23" x14ac:dyDescent="0.25">
      <c r="A2220" t="s">
        <v>421</v>
      </c>
      <c r="B2220">
        <v>2014</v>
      </c>
      <c r="C2220" t="s">
        <v>273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COUNT(LifeExpectancyData[[#This Row],[Life expectancy]:[Schooling]])=19</f>
        <v>1</v>
      </c>
    </row>
    <row r="2221" spans="1:23" x14ac:dyDescent="0.25">
      <c r="A2221" t="s">
        <v>421</v>
      </c>
      <c r="B2221">
        <v>2013</v>
      </c>
      <c r="C2221" t="s">
        <v>273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COUNT(LifeExpectancyData[[#This Row],[Life expectancy]:[Schooling]])=19</f>
        <v>1</v>
      </c>
    </row>
    <row r="2222" spans="1:23" x14ac:dyDescent="0.25">
      <c r="A2222" t="s">
        <v>421</v>
      </c>
      <c r="B2222">
        <v>2012</v>
      </c>
      <c r="C2222" t="s">
        <v>273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COUNT(LifeExpectancyData[[#This Row],[Life expectancy]:[Schooling]])=19</f>
        <v>1</v>
      </c>
    </row>
    <row r="2223" spans="1:23" x14ac:dyDescent="0.25">
      <c r="A2223" t="s">
        <v>421</v>
      </c>
      <c r="B2223">
        <v>2011</v>
      </c>
      <c r="C2223" t="s">
        <v>273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COUNT(LifeExpectancyData[[#This Row],[Life expectancy]:[Schooling]])=19</f>
        <v>1</v>
      </c>
    </row>
    <row r="2224" spans="1:23" x14ac:dyDescent="0.25">
      <c r="A2224" t="s">
        <v>421</v>
      </c>
      <c r="B2224">
        <v>2010</v>
      </c>
      <c r="C2224" t="s">
        <v>273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COUNT(LifeExpectancyData[[#This Row],[Life expectancy]:[Schooling]])=19</f>
        <v>1</v>
      </c>
    </row>
    <row r="2225" spans="1:23" x14ac:dyDescent="0.25">
      <c r="A2225" t="s">
        <v>421</v>
      </c>
      <c r="B2225">
        <v>2009</v>
      </c>
      <c r="C2225" t="s">
        <v>273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COUNT(LifeExpectancyData[[#This Row],[Life expectancy]:[Schooling]])=19</f>
        <v>1</v>
      </c>
    </row>
    <row r="2226" spans="1:23" x14ac:dyDescent="0.25">
      <c r="A2226" t="s">
        <v>421</v>
      </c>
      <c r="B2226">
        <v>2008</v>
      </c>
      <c r="C2226" t="s">
        <v>273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COUNT(LifeExpectancyData[[#This Row],[Life expectancy]:[Schooling]])=19</f>
        <v>1</v>
      </c>
    </row>
    <row r="2227" spans="1:23" x14ac:dyDescent="0.25">
      <c r="A2227" t="s">
        <v>421</v>
      </c>
      <c r="B2227">
        <v>2007</v>
      </c>
      <c r="C2227" t="s">
        <v>273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COUNT(LifeExpectancyData[[#This Row],[Life expectancy]:[Schooling]])=19</f>
        <v>1</v>
      </c>
    </row>
    <row r="2228" spans="1:23" x14ac:dyDescent="0.25">
      <c r="A2228" t="s">
        <v>421</v>
      </c>
      <c r="B2228">
        <v>2006</v>
      </c>
      <c r="C2228" t="s">
        <v>273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COUNT(LifeExpectancyData[[#This Row],[Life expectancy]:[Schooling]])=19</f>
        <v>1</v>
      </c>
    </row>
    <row r="2229" spans="1:23" x14ac:dyDescent="0.25">
      <c r="A2229" t="s">
        <v>421</v>
      </c>
      <c r="B2229">
        <v>2005</v>
      </c>
      <c r="C2229" t="s">
        <v>273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COUNT(LifeExpectancyData[[#This Row],[Life expectancy]:[Schooling]])=19</f>
        <v>1</v>
      </c>
    </row>
    <row r="2230" spans="1:23" x14ac:dyDescent="0.25">
      <c r="A2230" t="s">
        <v>421</v>
      </c>
      <c r="B2230">
        <v>2004</v>
      </c>
      <c r="C2230" t="s">
        <v>273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COUNT(LifeExpectancyData[[#This Row],[Life expectancy]:[Schooling]])=19</f>
        <v>1</v>
      </c>
    </row>
    <row r="2231" spans="1:23" x14ac:dyDescent="0.25">
      <c r="A2231" t="s">
        <v>421</v>
      </c>
      <c r="B2231">
        <v>2003</v>
      </c>
      <c r="C2231" t="s">
        <v>273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COUNT(LifeExpectancyData[[#This Row],[Life expectancy]:[Schooling]])=19</f>
        <v>1</v>
      </c>
    </row>
    <row r="2232" spans="1:23" x14ac:dyDescent="0.25">
      <c r="A2232" t="s">
        <v>421</v>
      </c>
      <c r="B2232">
        <v>2002</v>
      </c>
      <c r="C2232" t="s">
        <v>273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COUNT(LifeExpectancyData[[#This Row],[Life expectancy]:[Schooling]])=19</f>
        <v>0</v>
      </c>
    </row>
    <row r="2233" spans="1:23" x14ac:dyDescent="0.25">
      <c r="A2233" t="s">
        <v>421</v>
      </c>
      <c r="B2233">
        <v>2001</v>
      </c>
      <c r="C2233" t="s">
        <v>273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COUNT(LifeExpectancyData[[#This Row],[Life expectancy]:[Schooling]])=19</f>
        <v>0</v>
      </c>
    </row>
    <row r="2234" spans="1:23" x14ac:dyDescent="0.25">
      <c r="A2234" t="s">
        <v>421</v>
      </c>
      <c r="B2234">
        <v>2000</v>
      </c>
      <c r="C2234" t="s">
        <v>273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COUNT(LifeExpectancyData[[#This Row],[Life expectancy]:[Schooling]])=19</f>
        <v>0</v>
      </c>
    </row>
    <row r="2235" spans="1:23" x14ac:dyDescent="0.25">
      <c r="A2235" t="s">
        <v>422</v>
      </c>
      <c r="B2235">
        <v>2015</v>
      </c>
      <c r="C2235" t="s">
        <v>273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COUNT(LifeExpectancyData[[#This Row],[Life expectancy]:[Schooling]])=19</f>
        <v>0</v>
      </c>
    </row>
    <row r="2236" spans="1:23" x14ac:dyDescent="0.25">
      <c r="A2236" t="s">
        <v>422</v>
      </c>
      <c r="B2236">
        <v>2014</v>
      </c>
      <c r="C2236" t="s">
        <v>273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COUNT(LifeExpectancyData[[#This Row],[Life expectancy]:[Schooling]])=19</f>
        <v>0</v>
      </c>
    </row>
    <row r="2237" spans="1:23" x14ac:dyDescent="0.25">
      <c r="A2237" t="s">
        <v>422</v>
      </c>
      <c r="B2237">
        <v>2013</v>
      </c>
      <c r="C2237" t="s">
        <v>273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COUNT(LifeExpectancyData[[#This Row],[Life expectancy]:[Schooling]])=19</f>
        <v>0</v>
      </c>
    </row>
    <row r="2238" spans="1:23" x14ac:dyDescent="0.25">
      <c r="A2238" t="s">
        <v>422</v>
      </c>
      <c r="B2238">
        <v>2012</v>
      </c>
      <c r="C2238" t="s">
        <v>273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COUNT(LifeExpectancyData[[#This Row],[Life expectancy]:[Schooling]])=19</f>
        <v>0</v>
      </c>
    </row>
    <row r="2239" spans="1:23" x14ac:dyDescent="0.25">
      <c r="A2239" t="s">
        <v>422</v>
      </c>
      <c r="B2239">
        <v>2011</v>
      </c>
      <c r="C2239" t="s">
        <v>273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COUNT(LifeExpectancyData[[#This Row],[Life expectancy]:[Schooling]])=19</f>
        <v>0</v>
      </c>
    </row>
    <row r="2240" spans="1:23" x14ac:dyDescent="0.25">
      <c r="A2240" t="s">
        <v>422</v>
      </c>
      <c r="B2240">
        <v>2010</v>
      </c>
      <c r="C2240" t="s">
        <v>273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COUNT(LifeExpectancyData[[#This Row],[Life expectancy]:[Schooling]])=19</f>
        <v>0</v>
      </c>
    </row>
    <row r="2241" spans="1:23" x14ac:dyDescent="0.25">
      <c r="A2241" t="s">
        <v>422</v>
      </c>
      <c r="B2241">
        <v>2009</v>
      </c>
      <c r="C2241" t="s">
        <v>273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COUNT(LifeExpectancyData[[#This Row],[Life expectancy]:[Schooling]])=19</f>
        <v>0</v>
      </c>
    </row>
    <row r="2242" spans="1:23" x14ac:dyDescent="0.25">
      <c r="A2242" t="s">
        <v>422</v>
      </c>
      <c r="B2242">
        <v>2008</v>
      </c>
      <c r="C2242" t="s">
        <v>273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COUNT(LifeExpectancyData[[#This Row],[Life expectancy]:[Schooling]])=19</f>
        <v>0</v>
      </c>
    </row>
    <row r="2243" spans="1:23" x14ac:dyDescent="0.25">
      <c r="A2243" t="s">
        <v>422</v>
      </c>
      <c r="B2243">
        <v>2007</v>
      </c>
      <c r="C2243" t="s">
        <v>273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COUNT(LifeExpectancyData[[#This Row],[Life expectancy]:[Schooling]])=19</f>
        <v>0</v>
      </c>
    </row>
    <row r="2244" spans="1:23" x14ac:dyDescent="0.25">
      <c r="A2244" t="s">
        <v>422</v>
      </c>
      <c r="B2244">
        <v>2006</v>
      </c>
      <c r="C2244" t="s">
        <v>273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COUNT(LifeExpectancyData[[#This Row],[Life expectancy]:[Schooling]])=19</f>
        <v>0</v>
      </c>
    </row>
    <row r="2245" spans="1:23" x14ac:dyDescent="0.25">
      <c r="A2245" t="s">
        <v>422</v>
      </c>
      <c r="B2245">
        <v>2005</v>
      </c>
      <c r="C2245" t="s">
        <v>273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COUNT(LifeExpectancyData[[#This Row],[Life expectancy]:[Schooling]])=19</f>
        <v>0</v>
      </c>
    </row>
    <row r="2246" spans="1:23" x14ac:dyDescent="0.25">
      <c r="A2246" t="s">
        <v>422</v>
      </c>
      <c r="B2246">
        <v>2004</v>
      </c>
      <c r="C2246" t="s">
        <v>273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COUNT(LifeExpectancyData[[#This Row],[Life expectancy]:[Schooling]])=19</f>
        <v>0</v>
      </c>
    </row>
    <row r="2247" spans="1:23" x14ac:dyDescent="0.25">
      <c r="A2247" t="s">
        <v>422</v>
      </c>
      <c r="B2247">
        <v>2003</v>
      </c>
      <c r="C2247" t="s">
        <v>273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COUNT(LifeExpectancyData[[#This Row],[Life expectancy]:[Schooling]])=19</f>
        <v>0</v>
      </c>
    </row>
    <row r="2248" spans="1:23" x14ac:dyDescent="0.25">
      <c r="A2248" t="s">
        <v>422</v>
      </c>
      <c r="B2248">
        <v>2002</v>
      </c>
      <c r="C2248" t="s">
        <v>273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COUNT(LifeExpectancyData[[#This Row],[Life expectancy]:[Schooling]])=19</f>
        <v>0</v>
      </c>
    </row>
    <row r="2249" spans="1:23" x14ac:dyDescent="0.25">
      <c r="A2249" t="s">
        <v>422</v>
      </c>
      <c r="B2249">
        <v>2001</v>
      </c>
      <c r="C2249" t="s">
        <v>273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COUNT(LifeExpectancyData[[#This Row],[Life expectancy]:[Schooling]])=19</f>
        <v>0</v>
      </c>
    </row>
    <row r="2250" spans="1:23" x14ac:dyDescent="0.25">
      <c r="A2250" t="s">
        <v>422</v>
      </c>
      <c r="B2250">
        <v>2000</v>
      </c>
      <c r="C2250" t="s">
        <v>273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COUNT(LifeExpectancyData[[#This Row],[Life expectancy]:[Schooling]])=19</f>
        <v>0</v>
      </c>
    </row>
    <row r="2251" spans="1:23" x14ac:dyDescent="0.25">
      <c r="A2251" t="s">
        <v>423</v>
      </c>
      <c r="B2251">
        <v>2015</v>
      </c>
      <c r="C2251" t="s">
        <v>273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COUNT(LifeExpectancyData[[#This Row],[Life expectancy]:[Schooling]])=19</f>
        <v>0</v>
      </c>
    </row>
    <row r="2252" spans="1:23" x14ac:dyDescent="0.25">
      <c r="A2252" t="s">
        <v>423</v>
      </c>
      <c r="B2252">
        <v>2014</v>
      </c>
      <c r="C2252" t="s">
        <v>273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COUNT(LifeExpectancyData[[#This Row],[Life expectancy]:[Schooling]])=19</f>
        <v>1</v>
      </c>
    </row>
    <row r="2253" spans="1:23" x14ac:dyDescent="0.25">
      <c r="A2253" t="s">
        <v>423</v>
      </c>
      <c r="B2253">
        <v>2013</v>
      </c>
      <c r="C2253" t="s">
        <v>273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COUNT(LifeExpectancyData[[#This Row],[Life expectancy]:[Schooling]])=19</f>
        <v>1</v>
      </c>
    </row>
    <row r="2254" spans="1:23" x14ac:dyDescent="0.25">
      <c r="A2254" t="s">
        <v>423</v>
      </c>
      <c r="B2254">
        <v>2012</v>
      </c>
      <c r="C2254" t="s">
        <v>273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COUNT(LifeExpectancyData[[#This Row],[Life expectancy]:[Schooling]])=19</f>
        <v>1</v>
      </c>
    </row>
    <row r="2255" spans="1:23" x14ac:dyDescent="0.25">
      <c r="A2255" t="s">
        <v>423</v>
      </c>
      <c r="B2255">
        <v>2011</v>
      </c>
      <c r="C2255" t="s">
        <v>273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COUNT(LifeExpectancyData[[#This Row],[Life expectancy]:[Schooling]])=19</f>
        <v>1</v>
      </c>
    </row>
    <row r="2256" spans="1:23" x14ac:dyDescent="0.25">
      <c r="A2256" t="s">
        <v>423</v>
      </c>
      <c r="B2256">
        <v>2010</v>
      </c>
      <c r="C2256" t="s">
        <v>273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COUNT(LifeExpectancyData[[#This Row],[Life expectancy]:[Schooling]])=19</f>
        <v>1</v>
      </c>
    </row>
    <row r="2257" spans="1:23" x14ac:dyDescent="0.25">
      <c r="A2257" t="s">
        <v>423</v>
      </c>
      <c r="B2257">
        <v>2009</v>
      </c>
      <c r="C2257" t="s">
        <v>273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COUNT(LifeExpectancyData[[#This Row],[Life expectancy]:[Schooling]])=19</f>
        <v>1</v>
      </c>
    </row>
    <row r="2258" spans="1:23" x14ac:dyDescent="0.25">
      <c r="A2258" t="s">
        <v>423</v>
      </c>
      <c r="B2258">
        <v>2008</v>
      </c>
      <c r="C2258" t="s">
        <v>273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COUNT(LifeExpectancyData[[#This Row],[Life expectancy]:[Schooling]])=19</f>
        <v>1</v>
      </c>
    </row>
    <row r="2259" spans="1:23" x14ac:dyDescent="0.25">
      <c r="A2259" t="s">
        <v>423</v>
      </c>
      <c r="B2259">
        <v>2007</v>
      </c>
      <c r="C2259" t="s">
        <v>273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COUNT(LifeExpectancyData[[#This Row],[Life expectancy]:[Schooling]])=19</f>
        <v>1</v>
      </c>
    </row>
    <row r="2260" spans="1:23" x14ac:dyDescent="0.25">
      <c r="A2260" t="s">
        <v>423</v>
      </c>
      <c r="B2260">
        <v>2006</v>
      </c>
      <c r="C2260" t="s">
        <v>273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COUNT(LifeExpectancyData[[#This Row],[Life expectancy]:[Schooling]])=19</f>
        <v>1</v>
      </c>
    </row>
    <row r="2261" spans="1:23" x14ac:dyDescent="0.25">
      <c r="A2261" t="s">
        <v>423</v>
      </c>
      <c r="B2261">
        <v>2005</v>
      </c>
      <c r="C2261" t="s">
        <v>273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COUNT(LifeExpectancyData[[#This Row],[Life expectancy]:[Schooling]])=19</f>
        <v>1</v>
      </c>
    </row>
    <row r="2262" spans="1:23" x14ac:dyDescent="0.25">
      <c r="A2262" t="s">
        <v>423</v>
      </c>
      <c r="B2262">
        <v>2004</v>
      </c>
      <c r="C2262" t="s">
        <v>273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COUNT(LifeExpectancyData[[#This Row],[Life expectancy]:[Schooling]])=19</f>
        <v>1</v>
      </c>
    </row>
    <row r="2263" spans="1:23" x14ac:dyDescent="0.25">
      <c r="A2263" t="s">
        <v>423</v>
      </c>
      <c r="B2263">
        <v>2003</v>
      </c>
      <c r="C2263" t="s">
        <v>273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COUNT(LifeExpectancyData[[#This Row],[Life expectancy]:[Schooling]])=19</f>
        <v>0</v>
      </c>
    </row>
    <row r="2264" spans="1:23" x14ac:dyDescent="0.25">
      <c r="A2264" t="s">
        <v>423</v>
      </c>
      <c r="B2264">
        <v>2002</v>
      </c>
      <c r="C2264" t="s">
        <v>273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COUNT(LifeExpectancyData[[#This Row],[Life expectancy]:[Schooling]])=19</f>
        <v>0</v>
      </c>
    </row>
    <row r="2265" spans="1:23" x14ac:dyDescent="0.25">
      <c r="A2265" t="s">
        <v>423</v>
      </c>
      <c r="B2265">
        <v>2001</v>
      </c>
      <c r="C2265" t="s">
        <v>273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COUNT(LifeExpectancyData[[#This Row],[Life expectancy]:[Schooling]])=19</f>
        <v>0</v>
      </c>
    </row>
    <row r="2266" spans="1:23" x14ac:dyDescent="0.25">
      <c r="A2266" t="s">
        <v>423</v>
      </c>
      <c r="B2266">
        <v>2000</v>
      </c>
      <c r="C2266" t="s">
        <v>273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COUNT(LifeExpectancyData[[#This Row],[Life expectancy]:[Schooling]])=19</f>
        <v>0</v>
      </c>
    </row>
    <row r="2267" spans="1:23" x14ac:dyDescent="0.25">
      <c r="A2267" t="s">
        <v>424</v>
      </c>
      <c r="B2267">
        <v>2015</v>
      </c>
      <c r="C2267" t="s">
        <v>273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COUNT(LifeExpectancyData[[#This Row],[Life expectancy]:[Schooling]])=19</f>
        <v>0</v>
      </c>
    </row>
    <row r="2268" spans="1:23" x14ac:dyDescent="0.25">
      <c r="A2268" t="s">
        <v>424</v>
      </c>
      <c r="B2268">
        <v>2014</v>
      </c>
      <c r="C2268" t="s">
        <v>273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COUNT(LifeExpectancyData[[#This Row],[Life expectancy]:[Schooling]])=19</f>
        <v>1</v>
      </c>
    </row>
    <row r="2269" spans="1:23" x14ac:dyDescent="0.25">
      <c r="A2269" t="s">
        <v>424</v>
      </c>
      <c r="B2269">
        <v>2013</v>
      </c>
      <c r="C2269" t="s">
        <v>273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COUNT(LifeExpectancyData[[#This Row],[Life expectancy]:[Schooling]])=19</f>
        <v>1</v>
      </c>
    </row>
    <row r="2270" spans="1:23" x14ac:dyDescent="0.25">
      <c r="A2270" t="s">
        <v>424</v>
      </c>
      <c r="B2270">
        <v>2012</v>
      </c>
      <c r="C2270" t="s">
        <v>273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COUNT(LifeExpectancyData[[#This Row],[Life expectancy]:[Schooling]])=19</f>
        <v>1</v>
      </c>
    </row>
    <row r="2271" spans="1:23" x14ac:dyDescent="0.25">
      <c r="A2271" t="s">
        <v>424</v>
      </c>
      <c r="B2271">
        <v>2011</v>
      </c>
      <c r="C2271" t="s">
        <v>273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COUNT(LifeExpectancyData[[#This Row],[Life expectancy]:[Schooling]])=19</f>
        <v>1</v>
      </c>
    </row>
    <row r="2272" spans="1:23" x14ac:dyDescent="0.25">
      <c r="A2272" t="s">
        <v>424</v>
      </c>
      <c r="B2272">
        <v>2010</v>
      </c>
      <c r="C2272" t="s">
        <v>273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COUNT(LifeExpectancyData[[#This Row],[Life expectancy]:[Schooling]])=19</f>
        <v>1</v>
      </c>
    </row>
    <row r="2273" spans="1:23" x14ac:dyDescent="0.25">
      <c r="A2273" t="s">
        <v>424</v>
      </c>
      <c r="B2273">
        <v>2009</v>
      </c>
      <c r="C2273" t="s">
        <v>273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COUNT(LifeExpectancyData[[#This Row],[Life expectancy]:[Schooling]])=19</f>
        <v>1</v>
      </c>
    </row>
    <row r="2274" spans="1:23" x14ac:dyDescent="0.25">
      <c r="A2274" t="s">
        <v>424</v>
      </c>
      <c r="B2274">
        <v>2008</v>
      </c>
      <c r="C2274" t="s">
        <v>273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COUNT(LifeExpectancyData[[#This Row],[Life expectancy]:[Schooling]])=19</f>
        <v>1</v>
      </c>
    </row>
    <row r="2275" spans="1:23" x14ac:dyDescent="0.25">
      <c r="A2275" t="s">
        <v>424</v>
      </c>
      <c r="B2275">
        <v>2007</v>
      </c>
      <c r="C2275" t="s">
        <v>273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COUNT(LifeExpectancyData[[#This Row],[Life expectancy]:[Schooling]])=19</f>
        <v>1</v>
      </c>
    </row>
    <row r="2276" spans="1:23" x14ac:dyDescent="0.25">
      <c r="A2276" t="s">
        <v>424</v>
      </c>
      <c r="B2276">
        <v>2006</v>
      </c>
      <c r="C2276" t="s">
        <v>273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COUNT(LifeExpectancyData[[#This Row],[Life expectancy]:[Schooling]])=19</f>
        <v>1</v>
      </c>
    </row>
    <row r="2277" spans="1:23" x14ac:dyDescent="0.25">
      <c r="A2277" t="s">
        <v>424</v>
      </c>
      <c r="B2277">
        <v>2005</v>
      </c>
      <c r="C2277" t="s">
        <v>273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COUNT(LifeExpectancyData[[#This Row],[Life expectancy]:[Schooling]])=19</f>
        <v>1</v>
      </c>
    </row>
    <row r="2278" spans="1:23" x14ac:dyDescent="0.25">
      <c r="A2278" t="s">
        <v>424</v>
      </c>
      <c r="B2278">
        <v>2004</v>
      </c>
      <c r="C2278" t="s">
        <v>273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COUNT(LifeExpectancyData[[#This Row],[Life expectancy]:[Schooling]])=19</f>
        <v>1</v>
      </c>
    </row>
    <row r="2279" spans="1:23" x14ac:dyDescent="0.25">
      <c r="A2279" t="s">
        <v>424</v>
      </c>
      <c r="B2279">
        <v>2003</v>
      </c>
      <c r="C2279" t="s">
        <v>273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COUNT(LifeExpectancyData[[#This Row],[Life expectancy]:[Schooling]])=19</f>
        <v>0</v>
      </c>
    </row>
    <row r="2280" spans="1:23" x14ac:dyDescent="0.25">
      <c r="A2280" t="s">
        <v>424</v>
      </c>
      <c r="B2280">
        <v>2002</v>
      </c>
      <c r="C2280" t="s">
        <v>273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COUNT(LifeExpectancyData[[#This Row],[Life expectancy]:[Schooling]])=19</f>
        <v>0</v>
      </c>
    </row>
    <row r="2281" spans="1:23" x14ac:dyDescent="0.25">
      <c r="A2281" t="s">
        <v>424</v>
      </c>
      <c r="B2281">
        <v>2001</v>
      </c>
      <c r="C2281" t="s">
        <v>273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COUNT(LifeExpectancyData[[#This Row],[Life expectancy]:[Schooling]])=19</f>
        <v>0</v>
      </c>
    </row>
    <row r="2282" spans="1:23" x14ac:dyDescent="0.25">
      <c r="A2282" t="s">
        <v>424</v>
      </c>
      <c r="B2282">
        <v>2000</v>
      </c>
      <c r="C2282" t="s">
        <v>273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COUNT(LifeExpectancyData[[#This Row],[Life expectancy]:[Schooling]])=19</f>
        <v>0</v>
      </c>
    </row>
    <row r="2283" spans="1:23" x14ac:dyDescent="0.25">
      <c r="A2283" t="s">
        <v>425</v>
      </c>
      <c r="B2283">
        <v>2015</v>
      </c>
      <c r="C2283" t="s">
        <v>273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COUNT(LifeExpectancyData[[#This Row],[Life expectancy]:[Schooling]])=19</f>
        <v>0</v>
      </c>
    </row>
    <row r="2284" spans="1:23" x14ac:dyDescent="0.25">
      <c r="A2284" t="s">
        <v>425</v>
      </c>
      <c r="B2284">
        <v>2014</v>
      </c>
      <c r="C2284" t="s">
        <v>273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COUNT(LifeExpectancyData[[#This Row],[Life expectancy]:[Schooling]])=19</f>
        <v>1</v>
      </c>
    </row>
    <row r="2285" spans="1:23" x14ac:dyDescent="0.25">
      <c r="A2285" t="s">
        <v>425</v>
      </c>
      <c r="B2285">
        <v>2013</v>
      </c>
      <c r="C2285" t="s">
        <v>273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COUNT(LifeExpectancyData[[#This Row],[Life expectancy]:[Schooling]])=19</f>
        <v>1</v>
      </c>
    </row>
    <row r="2286" spans="1:23" x14ac:dyDescent="0.25">
      <c r="A2286" t="s">
        <v>425</v>
      </c>
      <c r="B2286">
        <v>2012</v>
      </c>
      <c r="C2286" t="s">
        <v>273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COUNT(LifeExpectancyData[[#This Row],[Life expectancy]:[Schooling]])=19</f>
        <v>1</v>
      </c>
    </row>
    <row r="2287" spans="1:23" x14ac:dyDescent="0.25">
      <c r="A2287" t="s">
        <v>425</v>
      </c>
      <c r="B2287">
        <v>2011</v>
      </c>
      <c r="C2287" t="s">
        <v>273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COUNT(LifeExpectancyData[[#This Row],[Life expectancy]:[Schooling]])=19</f>
        <v>1</v>
      </c>
    </row>
    <row r="2288" spans="1:23" x14ac:dyDescent="0.25">
      <c r="A2288" t="s">
        <v>425</v>
      </c>
      <c r="B2288">
        <v>2010</v>
      </c>
      <c r="C2288" t="s">
        <v>273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COUNT(LifeExpectancyData[[#This Row],[Life expectancy]:[Schooling]])=19</f>
        <v>1</v>
      </c>
    </row>
    <row r="2289" spans="1:23" x14ac:dyDescent="0.25">
      <c r="A2289" t="s">
        <v>425</v>
      </c>
      <c r="B2289">
        <v>2009</v>
      </c>
      <c r="C2289" t="s">
        <v>273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COUNT(LifeExpectancyData[[#This Row],[Life expectancy]:[Schooling]])=19</f>
        <v>1</v>
      </c>
    </row>
    <row r="2290" spans="1:23" x14ac:dyDescent="0.25">
      <c r="A2290" t="s">
        <v>425</v>
      </c>
      <c r="B2290">
        <v>2008</v>
      </c>
      <c r="C2290" t="s">
        <v>273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COUNT(LifeExpectancyData[[#This Row],[Life expectancy]:[Schooling]])=19</f>
        <v>1</v>
      </c>
    </row>
    <row r="2291" spans="1:23" x14ac:dyDescent="0.25">
      <c r="A2291" t="s">
        <v>425</v>
      </c>
      <c r="B2291">
        <v>2007</v>
      </c>
      <c r="C2291" t="s">
        <v>273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COUNT(LifeExpectancyData[[#This Row],[Life expectancy]:[Schooling]])=19</f>
        <v>1</v>
      </c>
    </row>
    <row r="2292" spans="1:23" x14ac:dyDescent="0.25">
      <c r="A2292" t="s">
        <v>425</v>
      </c>
      <c r="B2292">
        <v>2006</v>
      </c>
      <c r="C2292" t="s">
        <v>273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COUNT(LifeExpectancyData[[#This Row],[Life expectancy]:[Schooling]])=19</f>
        <v>1</v>
      </c>
    </row>
    <row r="2293" spans="1:23" x14ac:dyDescent="0.25">
      <c r="A2293" t="s">
        <v>425</v>
      </c>
      <c r="B2293">
        <v>2005</v>
      </c>
      <c r="C2293" t="s">
        <v>273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COUNT(LifeExpectancyData[[#This Row],[Life expectancy]:[Schooling]])=19</f>
        <v>1</v>
      </c>
    </row>
    <row r="2294" spans="1:23" x14ac:dyDescent="0.25">
      <c r="A2294" t="s">
        <v>425</v>
      </c>
      <c r="B2294">
        <v>2004</v>
      </c>
      <c r="C2294" t="s">
        <v>273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COUNT(LifeExpectancyData[[#This Row],[Life expectancy]:[Schooling]])=19</f>
        <v>1</v>
      </c>
    </row>
    <row r="2295" spans="1:23" x14ac:dyDescent="0.25">
      <c r="A2295" t="s">
        <v>425</v>
      </c>
      <c r="B2295">
        <v>2003</v>
      </c>
      <c r="C2295" t="s">
        <v>273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COUNT(LifeExpectancyData[[#This Row],[Life expectancy]:[Schooling]])=19</f>
        <v>1</v>
      </c>
    </row>
    <row r="2296" spans="1:23" x14ac:dyDescent="0.25">
      <c r="A2296" t="s">
        <v>425</v>
      </c>
      <c r="B2296">
        <v>2002</v>
      </c>
      <c r="C2296" t="s">
        <v>273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COUNT(LifeExpectancyData[[#This Row],[Life expectancy]:[Schooling]])=19</f>
        <v>1</v>
      </c>
    </row>
    <row r="2297" spans="1:23" x14ac:dyDescent="0.25">
      <c r="A2297" t="s">
        <v>425</v>
      </c>
      <c r="B2297">
        <v>2001</v>
      </c>
      <c r="C2297" t="s">
        <v>273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COUNT(LifeExpectancyData[[#This Row],[Life expectancy]:[Schooling]])=19</f>
        <v>1</v>
      </c>
    </row>
    <row r="2298" spans="1:23" x14ac:dyDescent="0.25">
      <c r="A2298" t="s">
        <v>425</v>
      </c>
      <c r="B2298">
        <v>2000</v>
      </c>
      <c r="C2298" t="s">
        <v>273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COUNT(LifeExpectancyData[[#This Row],[Life expectancy]:[Schooling]])=19</f>
        <v>1</v>
      </c>
    </row>
    <row r="2299" spans="1:23" x14ac:dyDescent="0.25">
      <c r="A2299" t="s">
        <v>426</v>
      </c>
      <c r="B2299">
        <v>2015</v>
      </c>
      <c r="C2299" t="s">
        <v>273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COUNT(LifeExpectancyData[[#This Row],[Life expectancy]:[Schooling]])=19</f>
        <v>0</v>
      </c>
    </row>
    <row r="2300" spans="1:23" x14ac:dyDescent="0.25">
      <c r="A2300" t="s">
        <v>426</v>
      </c>
      <c r="B2300">
        <v>2014</v>
      </c>
      <c r="C2300" t="s">
        <v>273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COUNT(LifeExpectancyData[[#This Row],[Life expectancy]:[Schooling]])=19</f>
        <v>1</v>
      </c>
    </row>
    <row r="2301" spans="1:23" x14ac:dyDescent="0.25">
      <c r="A2301" t="s">
        <v>426</v>
      </c>
      <c r="B2301">
        <v>2013</v>
      </c>
      <c r="C2301" t="s">
        <v>273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COUNT(LifeExpectancyData[[#This Row],[Life expectancy]:[Schooling]])=19</f>
        <v>1</v>
      </c>
    </row>
    <row r="2302" spans="1:23" x14ac:dyDescent="0.25">
      <c r="A2302" t="s">
        <v>426</v>
      </c>
      <c r="B2302">
        <v>2012</v>
      </c>
      <c r="C2302" t="s">
        <v>273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COUNT(LifeExpectancyData[[#This Row],[Life expectancy]:[Schooling]])=19</f>
        <v>1</v>
      </c>
    </row>
    <row r="2303" spans="1:23" x14ac:dyDescent="0.25">
      <c r="A2303" t="s">
        <v>426</v>
      </c>
      <c r="B2303">
        <v>2011</v>
      </c>
      <c r="C2303" t="s">
        <v>273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COUNT(LifeExpectancyData[[#This Row],[Life expectancy]:[Schooling]])=19</f>
        <v>1</v>
      </c>
    </row>
    <row r="2304" spans="1:23" x14ac:dyDescent="0.25">
      <c r="A2304" t="s">
        <v>426</v>
      </c>
      <c r="B2304">
        <v>2010</v>
      </c>
      <c r="C2304" t="s">
        <v>273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COUNT(LifeExpectancyData[[#This Row],[Life expectancy]:[Schooling]])=19</f>
        <v>1</v>
      </c>
    </row>
    <row r="2305" spans="1:23" x14ac:dyDescent="0.25">
      <c r="A2305" t="s">
        <v>426</v>
      </c>
      <c r="B2305">
        <v>2009</v>
      </c>
      <c r="C2305" t="s">
        <v>273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COUNT(LifeExpectancyData[[#This Row],[Life expectancy]:[Schooling]])=19</f>
        <v>1</v>
      </c>
    </row>
    <row r="2306" spans="1:23" x14ac:dyDescent="0.25">
      <c r="A2306" t="s">
        <v>426</v>
      </c>
      <c r="B2306">
        <v>2008</v>
      </c>
      <c r="C2306" t="s">
        <v>273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COUNT(LifeExpectancyData[[#This Row],[Life expectancy]:[Schooling]])=19</f>
        <v>1</v>
      </c>
    </row>
    <row r="2307" spans="1:23" x14ac:dyDescent="0.25">
      <c r="A2307" t="s">
        <v>426</v>
      </c>
      <c r="B2307">
        <v>2007</v>
      </c>
      <c r="C2307" t="s">
        <v>273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COUNT(LifeExpectancyData[[#This Row],[Life expectancy]:[Schooling]])=19</f>
        <v>1</v>
      </c>
    </row>
    <row r="2308" spans="1:23" x14ac:dyDescent="0.25">
      <c r="A2308" t="s">
        <v>426</v>
      </c>
      <c r="B2308">
        <v>2006</v>
      </c>
      <c r="C2308" t="s">
        <v>273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COUNT(LifeExpectancyData[[#This Row],[Life expectancy]:[Schooling]])=19</f>
        <v>0</v>
      </c>
    </row>
    <row r="2309" spans="1:23" x14ac:dyDescent="0.25">
      <c r="A2309" t="s">
        <v>426</v>
      </c>
      <c r="B2309">
        <v>2005</v>
      </c>
      <c r="C2309" t="s">
        <v>273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COUNT(LifeExpectancyData[[#This Row],[Life expectancy]:[Schooling]])=19</f>
        <v>0</v>
      </c>
    </row>
    <row r="2310" spans="1:23" x14ac:dyDescent="0.25">
      <c r="A2310" t="s">
        <v>426</v>
      </c>
      <c r="B2310">
        <v>2004</v>
      </c>
      <c r="C2310" t="s">
        <v>273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COUNT(LifeExpectancyData[[#This Row],[Life expectancy]:[Schooling]])=19</f>
        <v>0</v>
      </c>
    </row>
    <row r="2311" spans="1:23" x14ac:dyDescent="0.25">
      <c r="A2311" t="s">
        <v>426</v>
      </c>
      <c r="B2311">
        <v>2003</v>
      </c>
      <c r="C2311" t="s">
        <v>273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COUNT(LifeExpectancyData[[#This Row],[Life expectancy]:[Schooling]])=19</f>
        <v>0</v>
      </c>
    </row>
    <row r="2312" spans="1:23" x14ac:dyDescent="0.25">
      <c r="A2312" t="s">
        <v>426</v>
      </c>
      <c r="B2312">
        <v>2002</v>
      </c>
      <c r="C2312" t="s">
        <v>273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COUNT(LifeExpectancyData[[#This Row],[Life expectancy]:[Schooling]])=19</f>
        <v>0</v>
      </c>
    </row>
    <row r="2313" spans="1:23" x14ac:dyDescent="0.25">
      <c r="A2313" t="s">
        <v>426</v>
      </c>
      <c r="B2313">
        <v>2001</v>
      </c>
      <c r="C2313" t="s">
        <v>273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COUNT(LifeExpectancyData[[#This Row],[Life expectancy]:[Schooling]])=19</f>
        <v>0</v>
      </c>
    </row>
    <row r="2314" spans="1:23" x14ac:dyDescent="0.25">
      <c r="A2314" t="s">
        <v>426</v>
      </c>
      <c r="B2314">
        <v>2000</v>
      </c>
      <c r="C2314" t="s">
        <v>273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COUNT(LifeExpectancyData[[#This Row],[Life expectancy]:[Schooling]])=19</f>
        <v>0</v>
      </c>
    </row>
    <row r="2315" spans="1:23" x14ac:dyDescent="0.25">
      <c r="A2315" t="s">
        <v>427</v>
      </c>
      <c r="B2315">
        <v>2015</v>
      </c>
      <c r="C2315" t="s">
        <v>281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COUNT(LifeExpectancyData[[#This Row],[Life expectancy]:[Schooling]])=19</f>
        <v>0</v>
      </c>
    </row>
    <row r="2316" spans="1:23" x14ac:dyDescent="0.25">
      <c r="A2316" t="s">
        <v>427</v>
      </c>
      <c r="B2316">
        <v>2014</v>
      </c>
      <c r="C2316" t="s">
        <v>281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COUNT(LifeExpectancyData[[#This Row],[Life expectancy]:[Schooling]])=19</f>
        <v>0</v>
      </c>
    </row>
    <row r="2317" spans="1:23" x14ac:dyDescent="0.25">
      <c r="A2317" t="s">
        <v>427</v>
      </c>
      <c r="B2317">
        <v>2013</v>
      </c>
      <c r="C2317" t="s">
        <v>281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COUNT(LifeExpectancyData[[#This Row],[Life expectancy]:[Schooling]])=19</f>
        <v>0</v>
      </c>
    </row>
    <row r="2318" spans="1:23" x14ac:dyDescent="0.25">
      <c r="A2318" t="s">
        <v>427</v>
      </c>
      <c r="B2318">
        <v>2012</v>
      </c>
      <c r="C2318" t="s">
        <v>281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COUNT(LifeExpectancyData[[#This Row],[Life expectancy]:[Schooling]])=19</f>
        <v>0</v>
      </c>
    </row>
    <row r="2319" spans="1:23" x14ac:dyDescent="0.25">
      <c r="A2319" t="s">
        <v>427</v>
      </c>
      <c r="B2319">
        <v>2011</v>
      </c>
      <c r="C2319" t="s">
        <v>281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COUNT(LifeExpectancyData[[#This Row],[Life expectancy]:[Schooling]])=19</f>
        <v>0</v>
      </c>
    </row>
    <row r="2320" spans="1:23" x14ac:dyDescent="0.25">
      <c r="A2320" t="s">
        <v>427</v>
      </c>
      <c r="B2320">
        <v>2010</v>
      </c>
      <c r="C2320" t="s">
        <v>281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COUNT(LifeExpectancyData[[#This Row],[Life expectancy]:[Schooling]])=19</f>
        <v>0</v>
      </c>
    </row>
    <row r="2321" spans="1:23" x14ac:dyDescent="0.25">
      <c r="A2321" t="s">
        <v>427</v>
      </c>
      <c r="B2321">
        <v>2009</v>
      </c>
      <c r="C2321" t="s">
        <v>281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COUNT(LifeExpectancyData[[#This Row],[Life expectancy]:[Schooling]])=19</f>
        <v>0</v>
      </c>
    </row>
    <row r="2322" spans="1:23" x14ac:dyDescent="0.25">
      <c r="A2322" t="s">
        <v>427</v>
      </c>
      <c r="B2322">
        <v>2008</v>
      </c>
      <c r="C2322" t="s">
        <v>281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COUNT(LifeExpectancyData[[#This Row],[Life expectancy]:[Schooling]])=19</f>
        <v>0</v>
      </c>
    </row>
    <row r="2323" spans="1:23" x14ac:dyDescent="0.25">
      <c r="A2323" t="s">
        <v>427</v>
      </c>
      <c r="B2323">
        <v>2007</v>
      </c>
      <c r="C2323" t="s">
        <v>281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COUNT(LifeExpectancyData[[#This Row],[Life expectancy]:[Schooling]])=19</f>
        <v>0</v>
      </c>
    </row>
    <row r="2324" spans="1:23" x14ac:dyDescent="0.25">
      <c r="A2324" t="s">
        <v>427</v>
      </c>
      <c r="B2324">
        <v>2006</v>
      </c>
      <c r="C2324" t="s">
        <v>281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COUNT(LifeExpectancyData[[#This Row],[Life expectancy]:[Schooling]])=19</f>
        <v>0</v>
      </c>
    </row>
    <row r="2325" spans="1:23" x14ac:dyDescent="0.25">
      <c r="A2325" t="s">
        <v>427</v>
      </c>
      <c r="B2325">
        <v>2005</v>
      </c>
      <c r="C2325" t="s">
        <v>281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COUNT(LifeExpectancyData[[#This Row],[Life expectancy]:[Schooling]])=19</f>
        <v>0</v>
      </c>
    </row>
    <row r="2326" spans="1:23" x14ac:dyDescent="0.25">
      <c r="A2326" t="s">
        <v>427</v>
      </c>
      <c r="B2326">
        <v>2004</v>
      </c>
      <c r="C2326" t="s">
        <v>281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COUNT(LifeExpectancyData[[#This Row],[Life expectancy]:[Schooling]])=19</f>
        <v>0</v>
      </c>
    </row>
    <row r="2327" spans="1:23" x14ac:dyDescent="0.25">
      <c r="A2327" t="s">
        <v>427</v>
      </c>
      <c r="B2327">
        <v>2003</v>
      </c>
      <c r="C2327" t="s">
        <v>281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COUNT(LifeExpectancyData[[#This Row],[Life expectancy]:[Schooling]])=19</f>
        <v>0</v>
      </c>
    </row>
    <row r="2328" spans="1:23" x14ac:dyDescent="0.25">
      <c r="A2328" t="s">
        <v>427</v>
      </c>
      <c r="B2328">
        <v>2002</v>
      </c>
      <c r="C2328" t="s">
        <v>281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COUNT(LifeExpectancyData[[#This Row],[Life expectancy]:[Schooling]])=19</f>
        <v>0</v>
      </c>
    </row>
    <row r="2329" spans="1:23" x14ac:dyDescent="0.25">
      <c r="A2329" t="s">
        <v>427</v>
      </c>
      <c r="B2329">
        <v>2001</v>
      </c>
      <c r="C2329" t="s">
        <v>281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COUNT(LifeExpectancyData[[#This Row],[Life expectancy]:[Schooling]])=19</f>
        <v>0</v>
      </c>
    </row>
    <row r="2330" spans="1:23" x14ac:dyDescent="0.25">
      <c r="A2330" t="s">
        <v>427</v>
      </c>
      <c r="B2330">
        <v>2000</v>
      </c>
      <c r="C2330" t="s">
        <v>281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COUNT(LifeExpectancyData[[#This Row],[Life expectancy]:[Schooling]])=19</f>
        <v>0</v>
      </c>
    </row>
    <row r="2331" spans="1:23" x14ac:dyDescent="0.25">
      <c r="A2331" t="s">
        <v>428</v>
      </c>
      <c r="B2331">
        <v>2015</v>
      </c>
      <c r="C2331" t="s">
        <v>281</v>
      </c>
      <c r="D2331">
        <v>76.7</v>
      </c>
      <c r="E2331">
        <v>19</v>
      </c>
      <c r="F2331">
        <v>0</v>
      </c>
      <c r="H2331">
        <v>0</v>
      </c>
      <c r="I2331">
        <v>96</v>
      </c>
      <c r="J2331">
        <v>1</v>
      </c>
      <c r="K2331">
        <v>59.1</v>
      </c>
      <c r="L2331">
        <v>0</v>
      </c>
      <c r="M2331">
        <v>96</v>
      </c>
      <c r="O2331">
        <v>96</v>
      </c>
      <c r="P2331">
        <v>0.1</v>
      </c>
      <c r="S2331">
        <v>1.2</v>
      </c>
      <c r="T2331">
        <v>1.2</v>
      </c>
      <c r="U2331">
        <v>0.84199999999999997</v>
      </c>
      <c r="V2331">
        <v>15</v>
      </c>
      <c r="W2331" t="b">
        <f>COUNT(LifeExpectancyData[[#This Row],[Life expectancy]:[Schooling]])=19</f>
        <v>0</v>
      </c>
    </row>
    <row r="2332" spans="1:23" x14ac:dyDescent="0.25">
      <c r="A2332" t="s">
        <v>428</v>
      </c>
      <c r="B2332">
        <v>2014</v>
      </c>
      <c r="C2332" t="s">
        <v>281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COUNT(LifeExpectancyData[[#This Row],[Life expectancy]:[Schooling]])=19</f>
        <v>0</v>
      </c>
    </row>
    <row r="2333" spans="1:23" x14ac:dyDescent="0.25">
      <c r="A2333" t="s">
        <v>428</v>
      </c>
      <c r="B2333">
        <v>2013</v>
      </c>
      <c r="C2333" t="s">
        <v>281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COUNT(LifeExpectancyData[[#This Row],[Life expectancy]:[Schooling]])=19</f>
        <v>0</v>
      </c>
    </row>
    <row r="2334" spans="1:23" x14ac:dyDescent="0.25">
      <c r="A2334" t="s">
        <v>428</v>
      </c>
      <c r="B2334">
        <v>2012</v>
      </c>
      <c r="C2334" t="s">
        <v>281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COUNT(LifeExpectancyData[[#This Row],[Life expectancy]:[Schooling]])=19</f>
        <v>0</v>
      </c>
    </row>
    <row r="2335" spans="1:23" x14ac:dyDescent="0.25">
      <c r="A2335" t="s">
        <v>428</v>
      </c>
      <c r="B2335">
        <v>2011</v>
      </c>
      <c r="C2335" t="s">
        <v>281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COUNT(LifeExpectancyData[[#This Row],[Life expectancy]:[Schooling]])=19</f>
        <v>0</v>
      </c>
    </row>
    <row r="2336" spans="1:23" x14ac:dyDescent="0.25">
      <c r="A2336" t="s">
        <v>428</v>
      </c>
      <c r="B2336">
        <v>2010</v>
      </c>
      <c r="C2336" t="s">
        <v>281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COUNT(LifeExpectancyData[[#This Row],[Life expectancy]:[Schooling]])=19</f>
        <v>0</v>
      </c>
    </row>
    <row r="2337" spans="1:23" x14ac:dyDescent="0.25">
      <c r="A2337" t="s">
        <v>428</v>
      </c>
      <c r="B2337">
        <v>2009</v>
      </c>
      <c r="C2337" t="s">
        <v>281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COUNT(LifeExpectancyData[[#This Row],[Life expectancy]:[Schooling]])=19</f>
        <v>0</v>
      </c>
    </row>
    <row r="2338" spans="1:23" x14ac:dyDescent="0.25">
      <c r="A2338" t="s">
        <v>428</v>
      </c>
      <c r="B2338">
        <v>2008</v>
      </c>
      <c r="C2338" t="s">
        <v>281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COUNT(LifeExpectancyData[[#This Row],[Life expectancy]:[Schooling]])=19</f>
        <v>0</v>
      </c>
    </row>
    <row r="2339" spans="1:23" x14ac:dyDescent="0.25">
      <c r="A2339" t="s">
        <v>428</v>
      </c>
      <c r="B2339">
        <v>2007</v>
      </c>
      <c r="C2339" t="s">
        <v>281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COUNT(LifeExpectancyData[[#This Row],[Life expectancy]:[Schooling]])=19</f>
        <v>0</v>
      </c>
    </row>
    <row r="2340" spans="1:23" x14ac:dyDescent="0.25">
      <c r="A2340" t="s">
        <v>428</v>
      </c>
      <c r="B2340">
        <v>2006</v>
      </c>
      <c r="C2340" t="s">
        <v>281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COUNT(LifeExpectancyData[[#This Row],[Life expectancy]:[Schooling]])=19</f>
        <v>0</v>
      </c>
    </row>
    <row r="2341" spans="1:23" x14ac:dyDescent="0.25">
      <c r="A2341" t="s">
        <v>428</v>
      </c>
      <c r="B2341">
        <v>2005</v>
      </c>
      <c r="C2341" t="s">
        <v>281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COUNT(LifeExpectancyData[[#This Row],[Life expectancy]:[Schooling]])=19</f>
        <v>0</v>
      </c>
    </row>
    <row r="2342" spans="1:23" x14ac:dyDescent="0.25">
      <c r="A2342" t="s">
        <v>428</v>
      </c>
      <c r="B2342">
        <v>2004</v>
      </c>
      <c r="C2342" t="s">
        <v>281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COUNT(LifeExpectancyData[[#This Row],[Life expectancy]:[Schooling]])=19</f>
        <v>0</v>
      </c>
    </row>
    <row r="2343" spans="1:23" x14ac:dyDescent="0.25">
      <c r="A2343" t="s">
        <v>428</v>
      </c>
      <c r="B2343">
        <v>2003</v>
      </c>
      <c r="C2343" t="s">
        <v>281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COUNT(LifeExpectancyData[[#This Row],[Life expectancy]:[Schooling]])=19</f>
        <v>0</v>
      </c>
    </row>
    <row r="2344" spans="1:23" x14ac:dyDescent="0.25">
      <c r="A2344" t="s">
        <v>428</v>
      </c>
      <c r="B2344">
        <v>2002</v>
      </c>
      <c r="C2344" t="s">
        <v>281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COUNT(LifeExpectancyData[[#This Row],[Life expectancy]:[Schooling]])=19</f>
        <v>0</v>
      </c>
    </row>
    <row r="2345" spans="1:23" x14ac:dyDescent="0.25">
      <c r="A2345" t="s">
        <v>428</v>
      </c>
      <c r="B2345">
        <v>2001</v>
      </c>
      <c r="C2345" t="s">
        <v>281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COUNT(LifeExpectancyData[[#This Row],[Life expectancy]:[Schooling]])=19</f>
        <v>0</v>
      </c>
    </row>
    <row r="2346" spans="1:23" x14ac:dyDescent="0.25">
      <c r="A2346" t="s">
        <v>428</v>
      </c>
      <c r="B2346">
        <v>2000</v>
      </c>
      <c r="C2346" t="s">
        <v>281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COUNT(LifeExpectancyData[[#This Row],[Life expectancy]:[Schooling]])=19</f>
        <v>0</v>
      </c>
    </row>
    <row r="2347" spans="1:23" x14ac:dyDescent="0.25">
      <c r="A2347" t="s">
        <v>429</v>
      </c>
      <c r="B2347">
        <v>2015</v>
      </c>
      <c r="C2347" t="s">
        <v>281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COUNT(LifeExpectancyData[[#This Row],[Life expectancy]:[Schooling]])=19</f>
        <v>0</v>
      </c>
    </row>
    <row r="2348" spans="1:23" x14ac:dyDescent="0.25">
      <c r="A2348" t="s">
        <v>429</v>
      </c>
      <c r="B2348">
        <v>2014</v>
      </c>
      <c r="C2348" t="s">
        <v>281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COUNT(LifeExpectancyData[[#This Row],[Life expectancy]:[Schooling]])=19</f>
        <v>0</v>
      </c>
    </row>
    <row r="2349" spans="1:23" x14ac:dyDescent="0.25">
      <c r="A2349" t="s">
        <v>429</v>
      </c>
      <c r="B2349">
        <v>2013</v>
      </c>
      <c r="C2349" t="s">
        <v>281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COUNT(LifeExpectancyData[[#This Row],[Life expectancy]:[Schooling]])=19</f>
        <v>0</v>
      </c>
    </row>
    <row r="2350" spans="1:23" x14ac:dyDescent="0.25">
      <c r="A2350" t="s">
        <v>429</v>
      </c>
      <c r="B2350">
        <v>2012</v>
      </c>
      <c r="C2350" t="s">
        <v>281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COUNT(LifeExpectancyData[[#This Row],[Life expectancy]:[Schooling]])=19</f>
        <v>0</v>
      </c>
    </row>
    <row r="2351" spans="1:23" x14ac:dyDescent="0.25">
      <c r="A2351" t="s">
        <v>429</v>
      </c>
      <c r="B2351">
        <v>2011</v>
      </c>
      <c r="C2351" t="s">
        <v>281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COUNT(LifeExpectancyData[[#This Row],[Life expectancy]:[Schooling]])=19</f>
        <v>0</v>
      </c>
    </row>
    <row r="2352" spans="1:23" x14ac:dyDescent="0.25">
      <c r="A2352" t="s">
        <v>429</v>
      </c>
      <c r="B2352">
        <v>2010</v>
      </c>
      <c r="C2352" t="s">
        <v>281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COUNT(LifeExpectancyData[[#This Row],[Life expectancy]:[Schooling]])=19</f>
        <v>0</v>
      </c>
    </row>
    <row r="2353" spans="1:23" x14ac:dyDescent="0.25">
      <c r="A2353" t="s">
        <v>429</v>
      </c>
      <c r="B2353">
        <v>2009</v>
      </c>
      <c r="C2353" t="s">
        <v>281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COUNT(LifeExpectancyData[[#This Row],[Life expectancy]:[Schooling]])=19</f>
        <v>0</v>
      </c>
    </row>
    <row r="2354" spans="1:23" x14ac:dyDescent="0.25">
      <c r="A2354" t="s">
        <v>429</v>
      </c>
      <c r="B2354">
        <v>2008</v>
      </c>
      <c r="C2354" t="s">
        <v>281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COUNT(LifeExpectancyData[[#This Row],[Life expectancy]:[Schooling]])=19</f>
        <v>0</v>
      </c>
    </row>
    <row r="2355" spans="1:23" x14ac:dyDescent="0.25">
      <c r="A2355" t="s">
        <v>429</v>
      </c>
      <c r="B2355">
        <v>2007</v>
      </c>
      <c r="C2355" t="s">
        <v>281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COUNT(LifeExpectancyData[[#This Row],[Life expectancy]:[Schooling]])=19</f>
        <v>0</v>
      </c>
    </row>
    <row r="2356" spans="1:23" x14ac:dyDescent="0.25">
      <c r="A2356" t="s">
        <v>429</v>
      </c>
      <c r="B2356">
        <v>2006</v>
      </c>
      <c r="C2356" t="s">
        <v>281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COUNT(LifeExpectancyData[[#This Row],[Life expectancy]:[Schooling]])=19</f>
        <v>0</v>
      </c>
    </row>
    <row r="2357" spans="1:23" x14ac:dyDescent="0.25">
      <c r="A2357" t="s">
        <v>429</v>
      </c>
      <c r="B2357">
        <v>2005</v>
      </c>
      <c r="C2357" t="s">
        <v>281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COUNT(LifeExpectancyData[[#This Row],[Life expectancy]:[Schooling]])=19</f>
        <v>0</v>
      </c>
    </row>
    <row r="2358" spans="1:23" x14ac:dyDescent="0.25">
      <c r="A2358" t="s">
        <v>429</v>
      </c>
      <c r="B2358">
        <v>2004</v>
      </c>
      <c r="C2358" t="s">
        <v>281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COUNT(LifeExpectancyData[[#This Row],[Life expectancy]:[Schooling]])=19</f>
        <v>0</v>
      </c>
    </row>
    <row r="2359" spans="1:23" x14ac:dyDescent="0.25">
      <c r="A2359" t="s">
        <v>429</v>
      </c>
      <c r="B2359">
        <v>2003</v>
      </c>
      <c r="C2359" t="s">
        <v>281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COUNT(LifeExpectancyData[[#This Row],[Life expectancy]:[Schooling]])=19</f>
        <v>0</v>
      </c>
    </row>
    <row r="2360" spans="1:23" x14ac:dyDescent="0.25">
      <c r="A2360" t="s">
        <v>429</v>
      </c>
      <c r="B2360">
        <v>2002</v>
      </c>
      <c r="C2360" t="s">
        <v>281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COUNT(LifeExpectancyData[[#This Row],[Life expectancy]:[Schooling]])=19</f>
        <v>0</v>
      </c>
    </row>
    <row r="2361" spans="1:23" x14ac:dyDescent="0.25">
      <c r="A2361" t="s">
        <v>429</v>
      </c>
      <c r="B2361">
        <v>2001</v>
      </c>
      <c r="C2361" t="s">
        <v>281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COUNT(LifeExpectancyData[[#This Row],[Life expectancy]:[Schooling]])=19</f>
        <v>0</v>
      </c>
    </row>
    <row r="2362" spans="1:23" x14ac:dyDescent="0.25">
      <c r="A2362" t="s">
        <v>429</v>
      </c>
      <c r="B2362">
        <v>2000</v>
      </c>
      <c r="C2362" t="s">
        <v>281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COUNT(LifeExpectancyData[[#This Row],[Life expectancy]:[Schooling]])=19</f>
        <v>0</v>
      </c>
    </row>
    <row r="2363" spans="1:23" x14ac:dyDescent="0.25">
      <c r="A2363" t="s">
        <v>430</v>
      </c>
      <c r="B2363">
        <v>2015</v>
      </c>
      <c r="C2363" t="s">
        <v>273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COUNT(LifeExpectancyData[[#This Row],[Life expectancy]:[Schooling]])=19</f>
        <v>0</v>
      </c>
    </row>
    <row r="2364" spans="1:23" x14ac:dyDescent="0.25">
      <c r="A2364" t="s">
        <v>430</v>
      </c>
      <c r="B2364">
        <v>2014</v>
      </c>
      <c r="C2364" t="s">
        <v>273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COUNT(LifeExpectancyData[[#This Row],[Life expectancy]:[Schooling]])=19</f>
        <v>1</v>
      </c>
    </row>
    <row r="2365" spans="1:23" x14ac:dyDescent="0.25">
      <c r="A2365" t="s">
        <v>430</v>
      </c>
      <c r="B2365">
        <v>2013</v>
      </c>
      <c r="C2365" t="s">
        <v>273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COUNT(LifeExpectancyData[[#This Row],[Life expectancy]:[Schooling]])=19</f>
        <v>1</v>
      </c>
    </row>
    <row r="2366" spans="1:23" x14ac:dyDescent="0.25">
      <c r="A2366" t="s">
        <v>430</v>
      </c>
      <c r="B2366">
        <v>2012</v>
      </c>
      <c r="C2366" t="s">
        <v>273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COUNT(LifeExpectancyData[[#This Row],[Life expectancy]:[Schooling]])=19</f>
        <v>1</v>
      </c>
    </row>
    <row r="2367" spans="1:23" x14ac:dyDescent="0.25">
      <c r="A2367" t="s">
        <v>430</v>
      </c>
      <c r="B2367">
        <v>2011</v>
      </c>
      <c r="C2367" t="s">
        <v>273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COUNT(LifeExpectancyData[[#This Row],[Life expectancy]:[Schooling]])=19</f>
        <v>1</v>
      </c>
    </row>
    <row r="2368" spans="1:23" x14ac:dyDescent="0.25">
      <c r="A2368" t="s">
        <v>430</v>
      </c>
      <c r="B2368">
        <v>2010</v>
      </c>
      <c r="C2368" t="s">
        <v>273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COUNT(LifeExpectancyData[[#This Row],[Life expectancy]:[Schooling]])=19</f>
        <v>1</v>
      </c>
    </row>
    <row r="2369" spans="1:23" x14ac:dyDescent="0.25">
      <c r="A2369" t="s">
        <v>430</v>
      </c>
      <c r="B2369">
        <v>2009</v>
      </c>
      <c r="C2369" t="s">
        <v>273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COUNT(LifeExpectancyData[[#This Row],[Life expectancy]:[Schooling]])=19</f>
        <v>1</v>
      </c>
    </row>
    <row r="2370" spans="1:23" x14ac:dyDescent="0.25">
      <c r="A2370" t="s">
        <v>430</v>
      </c>
      <c r="B2370">
        <v>2008</v>
      </c>
      <c r="C2370" t="s">
        <v>273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COUNT(LifeExpectancyData[[#This Row],[Life expectancy]:[Schooling]])=19</f>
        <v>1</v>
      </c>
    </row>
    <row r="2371" spans="1:23" x14ac:dyDescent="0.25">
      <c r="A2371" t="s">
        <v>430</v>
      </c>
      <c r="B2371">
        <v>2007</v>
      </c>
      <c r="C2371" t="s">
        <v>273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COUNT(LifeExpectancyData[[#This Row],[Life expectancy]:[Schooling]])=19</f>
        <v>1</v>
      </c>
    </row>
    <row r="2372" spans="1:23" x14ac:dyDescent="0.25">
      <c r="A2372" t="s">
        <v>430</v>
      </c>
      <c r="B2372">
        <v>2006</v>
      </c>
      <c r="C2372" t="s">
        <v>273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COUNT(LifeExpectancyData[[#This Row],[Life expectancy]:[Schooling]])=19</f>
        <v>1</v>
      </c>
    </row>
    <row r="2373" spans="1:23" x14ac:dyDescent="0.25">
      <c r="A2373" t="s">
        <v>430</v>
      </c>
      <c r="B2373">
        <v>2005</v>
      </c>
      <c r="C2373" t="s">
        <v>273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COUNT(LifeExpectancyData[[#This Row],[Life expectancy]:[Schooling]])=19</f>
        <v>1</v>
      </c>
    </row>
    <row r="2374" spans="1:23" x14ac:dyDescent="0.25">
      <c r="A2374" t="s">
        <v>430</v>
      </c>
      <c r="B2374">
        <v>2004</v>
      </c>
      <c r="C2374" t="s">
        <v>273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COUNT(LifeExpectancyData[[#This Row],[Life expectancy]:[Schooling]])=19</f>
        <v>1</v>
      </c>
    </row>
    <row r="2375" spans="1:23" x14ac:dyDescent="0.25">
      <c r="A2375" t="s">
        <v>430</v>
      </c>
      <c r="B2375">
        <v>2003</v>
      </c>
      <c r="C2375" t="s">
        <v>273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COUNT(LifeExpectancyData[[#This Row],[Life expectancy]:[Schooling]])=19</f>
        <v>1</v>
      </c>
    </row>
    <row r="2376" spans="1:23" x14ac:dyDescent="0.25">
      <c r="A2376" t="s">
        <v>430</v>
      </c>
      <c r="B2376">
        <v>2002</v>
      </c>
      <c r="C2376" t="s">
        <v>273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COUNT(LifeExpectancyData[[#This Row],[Life expectancy]:[Schooling]])=19</f>
        <v>1</v>
      </c>
    </row>
    <row r="2377" spans="1:23" x14ac:dyDescent="0.25">
      <c r="A2377" t="s">
        <v>430</v>
      </c>
      <c r="B2377">
        <v>2001</v>
      </c>
      <c r="C2377" t="s">
        <v>273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COUNT(LifeExpectancyData[[#This Row],[Life expectancy]:[Schooling]])=19</f>
        <v>1</v>
      </c>
    </row>
    <row r="2378" spans="1:23" x14ac:dyDescent="0.25">
      <c r="A2378" t="s">
        <v>430</v>
      </c>
      <c r="B2378">
        <v>2000</v>
      </c>
      <c r="C2378" t="s">
        <v>273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COUNT(LifeExpectancyData[[#This Row],[Life expectancy]:[Schooling]])=19</f>
        <v>1</v>
      </c>
    </row>
    <row r="2379" spans="1:23" x14ac:dyDescent="0.25">
      <c r="A2379" t="s">
        <v>431</v>
      </c>
      <c r="B2379">
        <v>2015</v>
      </c>
      <c r="C2379" t="s">
        <v>273</v>
      </c>
      <c r="D2379">
        <v>55</v>
      </c>
      <c r="E2379">
        <v>312</v>
      </c>
      <c r="F2379">
        <v>50</v>
      </c>
      <c r="H2379">
        <v>0</v>
      </c>
      <c r="I2379">
        <v>42</v>
      </c>
      <c r="J2379">
        <v>7497</v>
      </c>
      <c r="K2379">
        <v>24.3</v>
      </c>
      <c r="L2379">
        <v>80</v>
      </c>
      <c r="M2379">
        <v>47</v>
      </c>
      <c r="O2379">
        <v>42</v>
      </c>
      <c r="P2379">
        <v>0.7</v>
      </c>
      <c r="Q2379">
        <v>426.98536999999999</v>
      </c>
      <c r="S2379">
        <v>6.6</v>
      </c>
      <c r="T2379">
        <v>6.4</v>
      </c>
      <c r="W2379" t="b">
        <f>COUNT(LifeExpectancyData[[#This Row],[Life expectancy]:[Schooling]])=19</f>
        <v>0</v>
      </c>
    </row>
    <row r="2380" spans="1:23" x14ac:dyDescent="0.25">
      <c r="A2380" t="s">
        <v>431</v>
      </c>
      <c r="B2380">
        <v>2014</v>
      </c>
      <c r="C2380" t="s">
        <v>273</v>
      </c>
      <c r="D2380">
        <v>54.3</v>
      </c>
      <c r="E2380">
        <v>321</v>
      </c>
      <c r="F2380">
        <v>51</v>
      </c>
      <c r="G2380">
        <v>0.01</v>
      </c>
      <c r="H2380">
        <v>0</v>
      </c>
      <c r="I2380">
        <v>42</v>
      </c>
      <c r="J2380">
        <v>10229</v>
      </c>
      <c r="K2380">
        <v>23.8</v>
      </c>
      <c r="L2380">
        <v>80</v>
      </c>
      <c r="M2380">
        <v>47</v>
      </c>
      <c r="O2380">
        <v>42</v>
      </c>
      <c r="P2380">
        <v>0.8</v>
      </c>
      <c r="Q2380">
        <v>417.89143000000001</v>
      </c>
      <c r="S2380">
        <v>6.7</v>
      </c>
      <c r="T2380">
        <v>6.5</v>
      </c>
      <c r="W2380" t="b">
        <f>COUNT(LifeExpectancyData[[#This Row],[Life expectancy]:[Schooling]])=19</f>
        <v>0</v>
      </c>
    </row>
    <row r="2381" spans="1:23" x14ac:dyDescent="0.25">
      <c r="A2381" t="s">
        <v>431</v>
      </c>
      <c r="B2381">
        <v>2013</v>
      </c>
      <c r="C2381" t="s">
        <v>273</v>
      </c>
      <c r="D2381">
        <v>54.2</v>
      </c>
      <c r="E2381">
        <v>318</v>
      </c>
      <c r="F2381">
        <v>51</v>
      </c>
      <c r="G2381">
        <v>0.01</v>
      </c>
      <c r="H2381">
        <v>0</v>
      </c>
      <c r="I2381">
        <v>42</v>
      </c>
      <c r="J2381">
        <v>3173</v>
      </c>
      <c r="K2381">
        <v>23.3</v>
      </c>
      <c r="L2381">
        <v>81</v>
      </c>
      <c r="M2381">
        <v>47</v>
      </c>
      <c r="O2381">
        <v>42</v>
      </c>
      <c r="P2381">
        <v>0.8</v>
      </c>
      <c r="Q2381">
        <v>47.5432354</v>
      </c>
      <c r="S2381">
        <v>6.8</v>
      </c>
      <c r="T2381">
        <v>6.6</v>
      </c>
      <c r="W2381" t="b">
        <f>COUNT(LifeExpectancyData[[#This Row],[Life expectancy]:[Schooling]])=19</f>
        <v>0</v>
      </c>
    </row>
    <row r="2382" spans="1:23" x14ac:dyDescent="0.25">
      <c r="A2382" t="s">
        <v>431</v>
      </c>
      <c r="B2382">
        <v>2012</v>
      </c>
      <c r="C2382" t="s">
        <v>273</v>
      </c>
      <c r="D2382">
        <v>53.1</v>
      </c>
      <c r="E2382">
        <v>336</v>
      </c>
      <c r="F2382">
        <v>51</v>
      </c>
      <c r="G2382">
        <v>0.01</v>
      </c>
      <c r="H2382">
        <v>0</v>
      </c>
      <c r="J2382">
        <v>9983</v>
      </c>
      <c r="K2382">
        <v>22.9</v>
      </c>
      <c r="L2382">
        <v>82</v>
      </c>
      <c r="M2382">
        <v>47</v>
      </c>
      <c r="O2382">
        <v>42</v>
      </c>
      <c r="P2382">
        <v>0.8</v>
      </c>
      <c r="S2382">
        <v>6.8</v>
      </c>
      <c r="T2382">
        <v>6.7</v>
      </c>
      <c r="W2382" t="b">
        <f>COUNT(LifeExpectancyData[[#This Row],[Life expectancy]:[Schooling]])=19</f>
        <v>0</v>
      </c>
    </row>
    <row r="2383" spans="1:23" x14ac:dyDescent="0.25">
      <c r="A2383" t="s">
        <v>431</v>
      </c>
      <c r="B2383">
        <v>2011</v>
      </c>
      <c r="C2383" t="s">
        <v>273</v>
      </c>
      <c r="D2383">
        <v>53.1</v>
      </c>
      <c r="E2383">
        <v>329</v>
      </c>
      <c r="F2383">
        <v>51</v>
      </c>
      <c r="G2383">
        <v>0.01</v>
      </c>
      <c r="H2383">
        <v>0</v>
      </c>
      <c r="J2383">
        <v>17298</v>
      </c>
      <c r="K2383">
        <v>22.4</v>
      </c>
      <c r="L2383">
        <v>82</v>
      </c>
      <c r="M2383">
        <v>49</v>
      </c>
      <c r="O2383">
        <v>41</v>
      </c>
      <c r="P2383">
        <v>0.8</v>
      </c>
      <c r="S2383">
        <v>6.9</v>
      </c>
      <c r="T2383">
        <v>6.7</v>
      </c>
      <c r="W2383" t="b">
        <f>COUNT(LifeExpectancyData[[#This Row],[Life expectancy]:[Schooling]])=19</f>
        <v>0</v>
      </c>
    </row>
    <row r="2384" spans="1:23" x14ac:dyDescent="0.25">
      <c r="A2384" t="s">
        <v>431</v>
      </c>
      <c r="B2384">
        <v>2010</v>
      </c>
      <c r="C2384" t="s">
        <v>273</v>
      </c>
      <c r="D2384">
        <v>52.4</v>
      </c>
      <c r="E2384">
        <v>336</v>
      </c>
      <c r="F2384">
        <v>52</v>
      </c>
      <c r="G2384">
        <v>0.01</v>
      </c>
      <c r="H2384">
        <v>0</v>
      </c>
      <c r="J2384">
        <v>115</v>
      </c>
      <c r="K2384">
        <v>22</v>
      </c>
      <c r="L2384">
        <v>83</v>
      </c>
      <c r="M2384">
        <v>49</v>
      </c>
      <c r="O2384">
        <v>45</v>
      </c>
      <c r="P2384">
        <v>0.8</v>
      </c>
      <c r="S2384">
        <v>7</v>
      </c>
      <c r="T2384">
        <v>6.8</v>
      </c>
      <c r="W2384" t="b">
        <f>COUNT(LifeExpectancyData[[#This Row],[Life expectancy]:[Schooling]])=19</f>
        <v>0</v>
      </c>
    </row>
    <row r="2385" spans="1:23" x14ac:dyDescent="0.25">
      <c r="A2385" t="s">
        <v>431</v>
      </c>
      <c r="B2385">
        <v>2009</v>
      </c>
      <c r="C2385" t="s">
        <v>273</v>
      </c>
      <c r="D2385">
        <v>52.2</v>
      </c>
      <c r="E2385">
        <v>335</v>
      </c>
      <c r="F2385">
        <v>52</v>
      </c>
      <c r="G2385">
        <v>0.01</v>
      </c>
      <c r="H2385">
        <v>0</v>
      </c>
      <c r="J2385">
        <v>13</v>
      </c>
      <c r="K2385">
        <v>21.5</v>
      </c>
      <c r="L2385">
        <v>84</v>
      </c>
      <c r="M2385">
        <v>41</v>
      </c>
      <c r="O2385">
        <v>42</v>
      </c>
      <c r="P2385">
        <v>0.8</v>
      </c>
      <c r="S2385">
        <v>7.1</v>
      </c>
      <c r="T2385">
        <v>6.9</v>
      </c>
      <c r="W2385" t="b">
        <f>COUNT(LifeExpectancyData[[#This Row],[Life expectancy]:[Schooling]])=19</f>
        <v>0</v>
      </c>
    </row>
    <row r="2386" spans="1:23" x14ac:dyDescent="0.25">
      <c r="A2386" t="s">
        <v>431</v>
      </c>
      <c r="B2386">
        <v>2008</v>
      </c>
      <c r="C2386" t="s">
        <v>273</v>
      </c>
      <c r="D2386">
        <v>51.9</v>
      </c>
      <c r="E2386">
        <v>336</v>
      </c>
      <c r="F2386">
        <v>52</v>
      </c>
      <c r="G2386">
        <v>0.01</v>
      </c>
      <c r="H2386">
        <v>0</v>
      </c>
      <c r="J2386">
        <v>1081</v>
      </c>
      <c r="K2386">
        <v>21.1</v>
      </c>
      <c r="L2386">
        <v>84</v>
      </c>
      <c r="M2386">
        <v>4</v>
      </c>
      <c r="O2386">
        <v>31</v>
      </c>
      <c r="P2386">
        <v>0.9</v>
      </c>
      <c r="S2386">
        <v>7.2</v>
      </c>
      <c r="T2386">
        <v>7</v>
      </c>
      <c r="W2386" t="b">
        <f>COUNT(LifeExpectancyData[[#This Row],[Life expectancy]:[Schooling]])=19</f>
        <v>0</v>
      </c>
    </row>
    <row r="2387" spans="1:23" x14ac:dyDescent="0.25">
      <c r="A2387" t="s">
        <v>431</v>
      </c>
      <c r="B2387">
        <v>2007</v>
      </c>
      <c r="C2387" t="s">
        <v>273</v>
      </c>
      <c r="D2387">
        <v>51.5</v>
      </c>
      <c r="E2387">
        <v>34</v>
      </c>
      <c r="F2387">
        <v>52</v>
      </c>
      <c r="G2387">
        <v>0.01</v>
      </c>
      <c r="H2387">
        <v>0</v>
      </c>
      <c r="J2387">
        <v>1149</v>
      </c>
      <c r="K2387">
        <v>2.7</v>
      </c>
      <c r="L2387">
        <v>84</v>
      </c>
      <c r="M2387">
        <v>4</v>
      </c>
      <c r="O2387">
        <v>4</v>
      </c>
      <c r="P2387">
        <v>0.9</v>
      </c>
      <c r="S2387">
        <v>7.3</v>
      </c>
      <c r="T2387">
        <v>7.1</v>
      </c>
      <c r="W2387" t="b">
        <f>COUNT(LifeExpectancyData[[#This Row],[Life expectancy]:[Schooling]])=19</f>
        <v>0</v>
      </c>
    </row>
    <row r="2388" spans="1:23" x14ac:dyDescent="0.25">
      <c r="A2388" t="s">
        <v>431</v>
      </c>
      <c r="B2388">
        <v>2006</v>
      </c>
      <c r="C2388" t="s">
        <v>273</v>
      </c>
      <c r="D2388">
        <v>51.5</v>
      </c>
      <c r="E2388">
        <v>337</v>
      </c>
      <c r="F2388">
        <v>51</v>
      </c>
      <c r="G2388">
        <v>0.01</v>
      </c>
      <c r="H2388">
        <v>0</v>
      </c>
      <c r="J2388">
        <v>7</v>
      </c>
      <c r="K2388">
        <v>2.2000000000000002</v>
      </c>
      <c r="L2388">
        <v>83</v>
      </c>
      <c r="M2388">
        <v>26</v>
      </c>
      <c r="O2388">
        <v>26</v>
      </c>
      <c r="P2388">
        <v>0.9</v>
      </c>
      <c r="S2388">
        <v>7.4</v>
      </c>
      <c r="T2388">
        <v>7.2</v>
      </c>
      <c r="W2388" t="b">
        <f>COUNT(LifeExpectancyData[[#This Row],[Life expectancy]:[Schooling]])=19</f>
        <v>0</v>
      </c>
    </row>
    <row r="2389" spans="1:23" x14ac:dyDescent="0.25">
      <c r="A2389" t="s">
        <v>431</v>
      </c>
      <c r="B2389">
        <v>2005</v>
      </c>
      <c r="C2389" t="s">
        <v>273</v>
      </c>
      <c r="D2389">
        <v>51.6</v>
      </c>
      <c r="E2389">
        <v>334</v>
      </c>
      <c r="F2389">
        <v>50</v>
      </c>
      <c r="G2389">
        <v>0.01</v>
      </c>
      <c r="H2389">
        <v>0</v>
      </c>
      <c r="J2389">
        <v>0</v>
      </c>
      <c r="K2389">
        <v>19.8</v>
      </c>
      <c r="L2389">
        <v>82</v>
      </c>
      <c r="M2389">
        <v>35</v>
      </c>
      <c r="O2389">
        <v>35</v>
      </c>
      <c r="P2389">
        <v>0.9</v>
      </c>
      <c r="S2389">
        <v>7.5</v>
      </c>
      <c r="T2389">
        <v>7.3</v>
      </c>
      <c r="W2389" t="b">
        <f>COUNT(LifeExpectancyData[[#This Row],[Life expectancy]:[Schooling]])=19</f>
        <v>0</v>
      </c>
    </row>
    <row r="2390" spans="1:23" x14ac:dyDescent="0.25">
      <c r="A2390" t="s">
        <v>431</v>
      </c>
      <c r="B2390">
        <v>2004</v>
      </c>
      <c r="C2390" t="s">
        <v>273</v>
      </c>
      <c r="D2390">
        <v>51.2</v>
      </c>
      <c r="E2390">
        <v>341</v>
      </c>
      <c r="F2390">
        <v>49</v>
      </c>
      <c r="G2390">
        <v>0.01</v>
      </c>
      <c r="H2390">
        <v>0</v>
      </c>
      <c r="J2390">
        <v>12008</v>
      </c>
      <c r="K2390">
        <v>19.399999999999999</v>
      </c>
      <c r="L2390">
        <v>80</v>
      </c>
      <c r="M2390">
        <v>3</v>
      </c>
      <c r="O2390">
        <v>3</v>
      </c>
      <c r="P2390">
        <v>0.9</v>
      </c>
      <c r="S2390">
        <v>7.6</v>
      </c>
      <c r="T2390">
        <v>7.4</v>
      </c>
      <c r="W2390" t="b">
        <f>COUNT(LifeExpectancyData[[#This Row],[Life expectancy]:[Schooling]])=19</f>
        <v>0</v>
      </c>
    </row>
    <row r="2391" spans="1:23" x14ac:dyDescent="0.25">
      <c r="A2391" t="s">
        <v>431</v>
      </c>
      <c r="B2391">
        <v>2003</v>
      </c>
      <c r="C2391" t="s">
        <v>273</v>
      </c>
      <c r="D2391">
        <v>51.1</v>
      </c>
      <c r="E2391">
        <v>344</v>
      </c>
      <c r="F2391">
        <v>48</v>
      </c>
      <c r="G2391">
        <v>0.01</v>
      </c>
      <c r="H2391">
        <v>0</v>
      </c>
      <c r="J2391">
        <v>8257</v>
      </c>
      <c r="K2391">
        <v>19</v>
      </c>
      <c r="L2391">
        <v>78</v>
      </c>
      <c r="M2391">
        <v>4</v>
      </c>
      <c r="O2391">
        <v>4</v>
      </c>
      <c r="P2391">
        <v>0.9</v>
      </c>
      <c r="S2391">
        <v>7.7</v>
      </c>
      <c r="T2391">
        <v>7.5</v>
      </c>
      <c r="W2391" t="b">
        <f>COUNT(LifeExpectancyData[[#This Row],[Life expectancy]:[Schooling]])=19</f>
        <v>0</v>
      </c>
    </row>
    <row r="2392" spans="1:23" x14ac:dyDescent="0.25">
      <c r="A2392" t="s">
        <v>431</v>
      </c>
      <c r="B2392">
        <v>2002</v>
      </c>
      <c r="C2392" t="s">
        <v>273</v>
      </c>
      <c r="D2392">
        <v>58</v>
      </c>
      <c r="E2392">
        <v>348</v>
      </c>
      <c r="F2392">
        <v>47</v>
      </c>
      <c r="G2392">
        <v>0.01</v>
      </c>
      <c r="H2392">
        <v>0</v>
      </c>
      <c r="J2392">
        <v>9559</v>
      </c>
      <c r="K2392">
        <v>18.600000000000001</v>
      </c>
      <c r="L2392">
        <v>77</v>
      </c>
      <c r="M2392">
        <v>4</v>
      </c>
      <c r="O2392">
        <v>4</v>
      </c>
      <c r="P2392">
        <v>0.9</v>
      </c>
      <c r="S2392">
        <v>7.8</v>
      </c>
      <c r="T2392">
        <v>7.6</v>
      </c>
      <c r="W2392" t="b">
        <f>COUNT(LifeExpectancyData[[#This Row],[Life expectancy]:[Schooling]])=19</f>
        <v>0</v>
      </c>
    </row>
    <row r="2393" spans="1:23" x14ac:dyDescent="0.25">
      <c r="A2393" t="s">
        <v>431</v>
      </c>
      <c r="B2393">
        <v>2001</v>
      </c>
      <c r="C2393" t="s">
        <v>273</v>
      </c>
      <c r="D2393">
        <v>57</v>
      </c>
      <c r="E2393">
        <v>352</v>
      </c>
      <c r="F2393">
        <v>46</v>
      </c>
      <c r="G2393">
        <v>0.01</v>
      </c>
      <c r="H2393">
        <v>0</v>
      </c>
      <c r="J2393">
        <v>3571</v>
      </c>
      <c r="K2393">
        <v>18.2</v>
      </c>
      <c r="L2393">
        <v>75</v>
      </c>
      <c r="M2393">
        <v>33</v>
      </c>
      <c r="O2393">
        <v>33</v>
      </c>
      <c r="P2393">
        <v>0.8</v>
      </c>
      <c r="S2393">
        <v>7.9</v>
      </c>
      <c r="T2393">
        <v>7.7</v>
      </c>
      <c r="W2393" t="b">
        <f>COUNT(LifeExpectancyData[[#This Row],[Life expectancy]:[Schooling]])=19</f>
        <v>0</v>
      </c>
    </row>
    <row r="2394" spans="1:23" x14ac:dyDescent="0.25">
      <c r="A2394" t="s">
        <v>431</v>
      </c>
      <c r="B2394">
        <v>2000</v>
      </c>
      <c r="C2394" t="s">
        <v>273</v>
      </c>
      <c r="D2394">
        <v>55</v>
      </c>
      <c r="E2394">
        <v>355</v>
      </c>
      <c r="F2394">
        <v>45</v>
      </c>
      <c r="G2394">
        <v>0.01</v>
      </c>
      <c r="H2394">
        <v>0</v>
      </c>
      <c r="J2394">
        <v>3965</v>
      </c>
      <c r="K2394">
        <v>17.8</v>
      </c>
      <c r="L2394">
        <v>74</v>
      </c>
      <c r="M2394">
        <v>37</v>
      </c>
      <c r="O2394">
        <v>33</v>
      </c>
      <c r="P2394">
        <v>0.8</v>
      </c>
      <c r="S2394">
        <v>8</v>
      </c>
      <c r="T2394">
        <v>7.9</v>
      </c>
      <c r="W2394" t="b">
        <f>COUNT(LifeExpectancyData[[#This Row],[Life expectancy]:[Schooling]])=19</f>
        <v>0</v>
      </c>
    </row>
    <row r="2395" spans="1:23" x14ac:dyDescent="0.25">
      <c r="A2395" t="s">
        <v>432</v>
      </c>
      <c r="B2395">
        <v>2015</v>
      </c>
      <c r="C2395" t="s">
        <v>273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COUNT(LifeExpectancyData[[#This Row],[Life expectancy]:[Schooling]])=19</f>
        <v>0</v>
      </c>
    </row>
    <row r="2396" spans="1:23" x14ac:dyDescent="0.25">
      <c r="A2396" t="s">
        <v>432</v>
      </c>
      <c r="B2396">
        <v>2014</v>
      </c>
      <c r="C2396" t="s">
        <v>273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COUNT(LifeExpectancyData[[#This Row],[Life expectancy]:[Schooling]])=19</f>
        <v>1</v>
      </c>
    </row>
    <row r="2397" spans="1:23" x14ac:dyDescent="0.25">
      <c r="A2397" t="s">
        <v>432</v>
      </c>
      <c r="B2397">
        <v>2013</v>
      </c>
      <c r="C2397" t="s">
        <v>273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COUNT(LifeExpectancyData[[#This Row],[Life expectancy]:[Schooling]])=19</f>
        <v>1</v>
      </c>
    </row>
    <row r="2398" spans="1:23" x14ac:dyDescent="0.25">
      <c r="A2398" t="s">
        <v>432</v>
      </c>
      <c r="B2398">
        <v>2012</v>
      </c>
      <c r="C2398" t="s">
        <v>273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COUNT(LifeExpectancyData[[#This Row],[Life expectancy]:[Schooling]])=19</f>
        <v>1</v>
      </c>
    </row>
    <row r="2399" spans="1:23" x14ac:dyDescent="0.25">
      <c r="A2399" t="s">
        <v>432</v>
      </c>
      <c r="B2399">
        <v>2011</v>
      </c>
      <c r="C2399" t="s">
        <v>273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COUNT(LifeExpectancyData[[#This Row],[Life expectancy]:[Schooling]])=19</f>
        <v>1</v>
      </c>
    </row>
    <row r="2400" spans="1:23" x14ac:dyDescent="0.25">
      <c r="A2400" t="s">
        <v>432</v>
      </c>
      <c r="B2400">
        <v>2010</v>
      </c>
      <c r="C2400" t="s">
        <v>273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COUNT(LifeExpectancyData[[#This Row],[Life expectancy]:[Schooling]])=19</f>
        <v>1</v>
      </c>
    </row>
    <row r="2401" spans="1:23" x14ac:dyDescent="0.25">
      <c r="A2401" t="s">
        <v>432</v>
      </c>
      <c r="B2401">
        <v>2009</v>
      </c>
      <c r="C2401" t="s">
        <v>273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COUNT(LifeExpectancyData[[#This Row],[Life expectancy]:[Schooling]])=19</f>
        <v>1</v>
      </c>
    </row>
    <row r="2402" spans="1:23" x14ac:dyDescent="0.25">
      <c r="A2402" t="s">
        <v>432</v>
      </c>
      <c r="B2402">
        <v>2008</v>
      </c>
      <c r="C2402" t="s">
        <v>273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COUNT(LifeExpectancyData[[#This Row],[Life expectancy]:[Schooling]])=19</f>
        <v>1</v>
      </c>
    </row>
    <row r="2403" spans="1:23" x14ac:dyDescent="0.25">
      <c r="A2403" t="s">
        <v>432</v>
      </c>
      <c r="B2403">
        <v>2007</v>
      </c>
      <c r="C2403" t="s">
        <v>273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COUNT(LifeExpectancyData[[#This Row],[Life expectancy]:[Schooling]])=19</f>
        <v>1</v>
      </c>
    </row>
    <row r="2404" spans="1:23" x14ac:dyDescent="0.25">
      <c r="A2404" t="s">
        <v>432</v>
      </c>
      <c r="B2404">
        <v>2006</v>
      </c>
      <c r="C2404" t="s">
        <v>273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COUNT(LifeExpectancyData[[#This Row],[Life expectancy]:[Schooling]])=19</f>
        <v>1</v>
      </c>
    </row>
    <row r="2405" spans="1:23" x14ac:dyDescent="0.25">
      <c r="A2405" t="s">
        <v>432</v>
      </c>
      <c r="B2405">
        <v>2005</v>
      </c>
      <c r="C2405" t="s">
        <v>273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COUNT(LifeExpectancyData[[#This Row],[Life expectancy]:[Schooling]])=19</f>
        <v>1</v>
      </c>
    </row>
    <row r="2406" spans="1:23" x14ac:dyDescent="0.25">
      <c r="A2406" t="s">
        <v>432</v>
      </c>
      <c r="B2406">
        <v>2004</v>
      </c>
      <c r="C2406" t="s">
        <v>273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COUNT(LifeExpectancyData[[#This Row],[Life expectancy]:[Schooling]])=19</f>
        <v>1</v>
      </c>
    </row>
    <row r="2407" spans="1:23" x14ac:dyDescent="0.25">
      <c r="A2407" t="s">
        <v>432</v>
      </c>
      <c r="B2407">
        <v>2003</v>
      </c>
      <c r="C2407" t="s">
        <v>273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COUNT(LifeExpectancyData[[#This Row],[Life expectancy]:[Schooling]])=19</f>
        <v>1</v>
      </c>
    </row>
    <row r="2408" spans="1:23" x14ac:dyDescent="0.25">
      <c r="A2408" t="s">
        <v>432</v>
      </c>
      <c r="B2408">
        <v>2002</v>
      </c>
      <c r="C2408" t="s">
        <v>273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COUNT(LifeExpectancyData[[#This Row],[Life expectancy]:[Schooling]])=19</f>
        <v>1</v>
      </c>
    </row>
    <row r="2409" spans="1:23" x14ac:dyDescent="0.25">
      <c r="A2409" t="s">
        <v>432</v>
      </c>
      <c r="B2409">
        <v>2001</v>
      </c>
      <c r="C2409" t="s">
        <v>273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COUNT(LifeExpectancyData[[#This Row],[Life expectancy]:[Schooling]])=19</f>
        <v>1</v>
      </c>
    </row>
    <row r="2410" spans="1:23" x14ac:dyDescent="0.25">
      <c r="A2410" t="s">
        <v>432</v>
      </c>
      <c r="B2410">
        <v>2000</v>
      </c>
      <c r="C2410" t="s">
        <v>273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COUNT(LifeExpectancyData[[#This Row],[Life expectancy]:[Schooling]])=19</f>
        <v>1</v>
      </c>
    </row>
    <row r="2411" spans="1:23" x14ac:dyDescent="0.25">
      <c r="A2411" t="s">
        <v>433</v>
      </c>
      <c r="B2411">
        <v>2015</v>
      </c>
      <c r="C2411" t="s">
        <v>273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COUNT(LifeExpectancyData[[#This Row],[Life expectancy]:[Schooling]])=19</f>
        <v>0</v>
      </c>
    </row>
    <row r="2412" spans="1:23" x14ac:dyDescent="0.25">
      <c r="A2412" t="s">
        <v>433</v>
      </c>
      <c r="B2412">
        <v>2014</v>
      </c>
      <c r="C2412" t="s">
        <v>273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COUNT(LifeExpectancyData[[#This Row],[Life expectancy]:[Schooling]])=19</f>
        <v>0</v>
      </c>
    </row>
    <row r="2413" spans="1:23" x14ac:dyDescent="0.25">
      <c r="A2413" t="s">
        <v>433</v>
      </c>
      <c r="B2413">
        <v>2013</v>
      </c>
      <c r="C2413" t="s">
        <v>273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COUNT(LifeExpectancyData[[#This Row],[Life expectancy]:[Schooling]])=19</f>
        <v>0</v>
      </c>
    </row>
    <row r="2414" spans="1:23" x14ac:dyDescent="0.25">
      <c r="A2414" t="s">
        <v>433</v>
      </c>
      <c r="B2414">
        <v>2012</v>
      </c>
      <c r="C2414" t="s">
        <v>273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COUNT(LifeExpectancyData[[#This Row],[Life expectancy]:[Schooling]])=19</f>
        <v>0</v>
      </c>
    </row>
    <row r="2415" spans="1:23" x14ac:dyDescent="0.25">
      <c r="A2415" t="s">
        <v>433</v>
      </c>
      <c r="B2415">
        <v>2011</v>
      </c>
      <c r="C2415" t="s">
        <v>273</v>
      </c>
      <c r="D2415">
        <v>55.4</v>
      </c>
      <c r="E2415">
        <v>355</v>
      </c>
      <c r="F2415">
        <v>27</v>
      </c>
      <c r="H2415">
        <v>0</v>
      </c>
      <c r="J2415">
        <v>1256</v>
      </c>
      <c r="L2415">
        <v>41</v>
      </c>
      <c r="M2415">
        <v>66</v>
      </c>
      <c r="O2415">
        <v>61</v>
      </c>
      <c r="P2415">
        <v>3.9</v>
      </c>
      <c r="Q2415">
        <v>176.97130000000001</v>
      </c>
      <c r="R2415">
        <v>1448857</v>
      </c>
      <c r="U2415">
        <v>0.42899999999999999</v>
      </c>
      <c r="V2415">
        <v>4.9000000000000004</v>
      </c>
      <c r="W2415" t="b">
        <f>COUNT(LifeExpectancyData[[#This Row],[Life expectancy]:[Schooling]])=19</f>
        <v>0</v>
      </c>
    </row>
    <row r="2416" spans="1:23" x14ac:dyDescent="0.25">
      <c r="A2416" t="s">
        <v>433</v>
      </c>
      <c r="B2416">
        <v>2010</v>
      </c>
      <c r="C2416" t="s">
        <v>273</v>
      </c>
      <c r="D2416">
        <v>55</v>
      </c>
      <c r="E2416">
        <v>359</v>
      </c>
      <c r="F2416">
        <v>27</v>
      </c>
      <c r="H2416">
        <v>0</v>
      </c>
      <c r="J2416">
        <v>0</v>
      </c>
      <c r="L2416">
        <v>41</v>
      </c>
      <c r="P2416">
        <v>4</v>
      </c>
      <c r="Q2416">
        <v>1562.2393460000001</v>
      </c>
      <c r="R2416">
        <v>167192</v>
      </c>
      <c r="U2416">
        <v>0</v>
      </c>
      <c r="V2416">
        <v>0</v>
      </c>
      <c r="W2416" t="b">
        <f>COUNT(LifeExpectancyData[[#This Row],[Life expectancy]:[Schooling]])=19</f>
        <v>0</v>
      </c>
    </row>
    <row r="2417" spans="1:23" x14ac:dyDescent="0.25">
      <c r="A2417" t="s">
        <v>433</v>
      </c>
      <c r="B2417">
        <v>2009</v>
      </c>
      <c r="C2417" t="s">
        <v>273</v>
      </c>
      <c r="D2417">
        <v>54.3</v>
      </c>
      <c r="E2417">
        <v>369</v>
      </c>
      <c r="F2417">
        <v>27</v>
      </c>
      <c r="H2417">
        <v>0</v>
      </c>
      <c r="J2417">
        <v>0</v>
      </c>
      <c r="L2417">
        <v>42</v>
      </c>
      <c r="P2417">
        <v>4.2</v>
      </c>
      <c r="Q2417">
        <v>1264.78998</v>
      </c>
      <c r="R2417">
        <v>967667</v>
      </c>
      <c r="U2417">
        <v>0</v>
      </c>
      <c r="V2417">
        <v>0</v>
      </c>
      <c r="W2417" t="b">
        <f>COUNT(LifeExpectancyData[[#This Row],[Life expectancy]:[Schooling]])=19</f>
        <v>0</v>
      </c>
    </row>
    <row r="2418" spans="1:23" x14ac:dyDescent="0.25">
      <c r="A2418" t="s">
        <v>433</v>
      </c>
      <c r="B2418">
        <v>2008</v>
      </c>
      <c r="C2418" t="s">
        <v>273</v>
      </c>
      <c r="D2418">
        <v>53.6</v>
      </c>
      <c r="E2418">
        <v>377</v>
      </c>
      <c r="F2418">
        <v>27</v>
      </c>
      <c r="H2418">
        <v>0</v>
      </c>
      <c r="J2418">
        <v>0</v>
      </c>
      <c r="L2418">
        <v>42</v>
      </c>
      <c r="P2418">
        <v>4.2</v>
      </c>
      <c r="Q2418">
        <v>1678.7118620000001</v>
      </c>
      <c r="R2418">
        <v>9263136</v>
      </c>
      <c r="U2418">
        <v>0</v>
      </c>
      <c r="V2418">
        <v>0</v>
      </c>
      <c r="W2418" t="b">
        <f>COUNT(LifeExpectancyData[[#This Row],[Life expectancy]:[Schooling]])=19</f>
        <v>0</v>
      </c>
    </row>
    <row r="2419" spans="1:23" x14ac:dyDescent="0.25">
      <c r="A2419" t="s">
        <v>433</v>
      </c>
      <c r="B2419">
        <v>2007</v>
      </c>
      <c r="C2419" t="s">
        <v>273</v>
      </c>
      <c r="D2419">
        <v>53.1</v>
      </c>
      <c r="E2419">
        <v>381</v>
      </c>
      <c r="F2419">
        <v>27</v>
      </c>
      <c r="H2419">
        <v>0</v>
      </c>
      <c r="J2419">
        <v>0</v>
      </c>
      <c r="L2419">
        <v>43</v>
      </c>
      <c r="P2419">
        <v>4.2</v>
      </c>
      <c r="R2419">
        <v>88568</v>
      </c>
      <c r="U2419">
        <v>0</v>
      </c>
      <c r="V2419">
        <v>0</v>
      </c>
      <c r="W2419" t="b">
        <f>COUNT(LifeExpectancyData[[#This Row],[Life expectancy]:[Schooling]])=19</f>
        <v>0</v>
      </c>
    </row>
    <row r="2420" spans="1:23" x14ac:dyDescent="0.25">
      <c r="A2420" t="s">
        <v>433</v>
      </c>
      <c r="B2420">
        <v>2006</v>
      </c>
      <c r="C2420" t="s">
        <v>273</v>
      </c>
      <c r="D2420">
        <v>52.5</v>
      </c>
      <c r="E2420">
        <v>383</v>
      </c>
      <c r="F2420">
        <v>28</v>
      </c>
      <c r="H2420">
        <v>0</v>
      </c>
      <c r="J2420">
        <v>0</v>
      </c>
      <c r="L2420">
        <v>43</v>
      </c>
      <c r="P2420">
        <v>4.0999999999999996</v>
      </c>
      <c r="R2420">
        <v>8468152</v>
      </c>
      <c r="U2420">
        <v>0</v>
      </c>
      <c r="V2420">
        <v>0</v>
      </c>
      <c r="W2420" t="b">
        <f>COUNT(LifeExpectancyData[[#This Row],[Life expectancy]:[Schooling]])=19</f>
        <v>0</v>
      </c>
    </row>
    <row r="2421" spans="1:23" x14ac:dyDescent="0.25">
      <c r="A2421" t="s">
        <v>433</v>
      </c>
      <c r="B2421">
        <v>2005</v>
      </c>
      <c r="C2421" t="s">
        <v>273</v>
      </c>
      <c r="D2421">
        <v>51.9</v>
      </c>
      <c r="E2421">
        <v>383</v>
      </c>
      <c r="F2421">
        <v>28</v>
      </c>
      <c r="H2421">
        <v>0</v>
      </c>
      <c r="J2421">
        <v>0</v>
      </c>
      <c r="L2421">
        <v>44</v>
      </c>
      <c r="P2421">
        <v>3.9</v>
      </c>
      <c r="R2421">
        <v>818877</v>
      </c>
      <c r="U2421">
        <v>0</v>
      </c>
      <c r="V2421">
        <v>0</v>
      </c>
      <c r="W2421" t="b">
        <f>COUNT(LifeExpectancyData[[#This Row],[Life expectancy]:[Schooling]])=19</f>
        <v>0</v>
      </c>
    </row>
    <row r="2422" spans="1:23" x14ac:dyDescent="0.25">
      <c r="A2422" t="s">
        <v>433</v>
      </c>
      <c r="B2422">
        <v>2004</v>
      </c>
      <c r="C2422" t="s">
        <v>273</v>
      </c>
      <c r="D2422">
        <v>51.4</v>
      </c>
      <c r="E2422">
        <v>383</v>
      </c>
      <c r="F2422">
        <v>29</v>
      </c>
      <c r="H2422">
        <v>0</v>
      </c>
      <c r="J2422">
        <v>0</v>
      </c>
      <c r="L2422">
        <v>45</v>
      </c>
      <c r="P2422">
        <v>3.8</v>
      </c>
      <c r="R2422">
        <v>7787655</v>
      </c>
      <c r="U2422">
        <v>0</v>
      </c>
      <c r="V2422">
        <v>0</v>
      </c>
      <c r="W2422" t="b">
        <f>COUNT(LifeExpectancyData[[#This Row],[Life expectancy]:[Schooling]])=19</f>
        <v>0</v>
      </c>
    </row>
    <row r="2423" spans="1:23" x14ac:dyDescent="0.25">
      <c r="A2423" t="s">
        <v>433</v>
      </c>
      <c r="B2423">
        <v>2003</v>
      </c>
      <c r="C2423" t="s">
        <v>273</v>
      </c>
      <c r="D2423">
        <v>58</v>
      </c>
      <c r="E2423">
        <v>383</v>
      </c>
      <c r="F2423">
        <v>29</v>
      </c>
      <c r="H2423">
        <v>0</v>
      </c>
      <c r="J2423">
        <v>0</v>
      </c>
      <c r="L2423">
        <v>46</v>
      </c>
      <c r="P2423">
        <v>3.5</v>
      </c>
      <c r="R2423">
        <v>751642</v>
      </c>
      <c r="U2423">
        <v>0</v>
      </c>
      <c r="V2423">
        <v>0</v>
      </c>
      <c r="W2423" t="b">
        <f>COUNT(LifeExpectancyData[[#This Row],[Life expectancy]:[Schooling]])=19</f>
        <v>0</v>
      </c>
    </row>
    <row r="2424" spans="1:23" x14ac:dyDescent="0.25">
      <c r="A2424" t="s">
        <v>433</v>
      </c>
      <c r="B2424">
        <v>2002</v>
      </c>
      <c r="C2424" t="s">
        <v>273</v>
      </c>
      <c r="D2424">
        <v>52</v>
      </c>
      <c r="E2424">
        <v>382</v>
      </c>
      <c r="F2424">
        <v>30</v>
      </c>
      <c r="H2424">
        <v>0</v>
      </c>
      <c r="J2424">
        <v>0</v>
      </c>
      <c r="L2424">
        <v>48</v>
      </c>
      <c r="P2424">
        <v>3.3</v>
      </c>
      <c r="R2424">
        <v>7237276</v>
      </c>
      <c r="U2424">
        <v>0</v>
      </c>
      <c r="V2424">
        <v>0</v>
      </c>
      <c r="W2424" t="b">
        <f>COUNT(LifeExpectancyData[[#This Row],[Life expectancy]:[Schooling]])=19</f>
        <v>0</v>
      </c>
    </row>
    <row r="2425" spans="1:23" x14ac:dyDescent="0.25">
      <c r="A2425" t="s">
        <v>433</v>
      </c>
      <c r="B2425">
        <v>2001</v>
      </c>
      <c r="C2425" t="s">
        <v>273</v>
      </c>
      <c r="D2425">
        <v>49.6</v>
      </c>
      <c r="E2425">
        <v>381</v>
      </c>
      <c r="F2425">
        <v>30</v>
      </c>
      <c r="H2425">
        <v>0</v>
      </c>
      <c r="J2425">
        <v>0</v>
      </c>
      <c r="L2425">
        <v>49</v>
      </c>
      <c r="P2425">
        <v>3</v>
      </c>
      <c r="R2425">
        <v>6974442</v>
      </c>
      <c r="U2425">
        <v>0</v>
      </c>
      <c r="V2425">
        <v>0</v>
      </c>
      <c r="W2425" t="b">
        <f>COUNT(LifeExpectancyData[[#This Row],[Life expectancy]:[Schooling]])=19</f>
        <v>0</v>
      </c>
    </row>
    <row r="2426" spans="1:23" x14ac:dyDescent="0.25">
      <c r="A2426" t="s">
        <v>433</v>
      </c>
      <c r="B2426">
        <v>2000</v>
      </c>
      <c r="C2426" t="s">
        <v>273</v>
      </c>
      <c r="D2426">
        <v>48.9</v>
      </c>
      <c r="E2426">
        <v>38</v>
      </c>
      <c r="F2426">
        <v>31</v>
      </c>
      <c r="H2426">
        <v>0</v>
      </c>
      <c r="J2426">
        <v>0</v>
      </c>
      <c r="L2426">
        <v>50</v>
      </c>
      <c r="P2426">
        <v>2.7</v>
      </c>
      <c r="R2426">
        <v>67656</v>
      </c>
      <c r="U2426">
        <v>0</v>
      </c>
      <c r="V2426">
        <v>0</v>
      </c>
      <c r="W2426" t="b">
        <f>COUNT(LifeExpectancyData[[#This Row],[Life expectancy]:[Schooling]])=19</f>
        <v>0</v>
      </c>
    </row>
    <row r="2427" spans="1:23" x14ac:dyDescent="0.25">
      <c r="A2427" t="s">
        <v>434</v>
      </c>
      <c r="B2427">
        <v>2015</v>
      </c>
      <c r="C2427" t="s">
        <v>281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COUNT(LifeExpectancyData[[#This Row],[Life expectancy]:[Schooling]])=19</f>
        <v>0</v>
      </c>
    </row>
    <row r="2428" spans="1:23" x14ac:dyDescent="0.25">
      <c r="A2428" t="s">
        <v>434</v>
      </c>
      <c r="B2428">
        <v>2014</v>
      </c>
      <c r="C2428" t="s">
        <v>281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COUNT(LifeExpectancyData[[#This Row],[Life expectancy]:[Schooling]])=19</f>
        <v>1</v>
      </c>
    </row>
    <row r="2429" spans="1:23" x14ac:dyDescent="0.25">
      <c r="A2429" t="s">
        <v>434</v>
      </c>
      <c r="B2429">
        <v>2013</v>
      </c>
      <c r="C2429" t="s">
        <v>281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COUNT(LifeExpectancyData[[#This Row],[Life expectancy]:[Schooling]])=19</f>
        <v>1</v>
      </c>
    </row>
    <row r="2430" spans="1:23" x14ac:dyDescent="0.25">
      <c r="A2430" t="s">
        <v>434</v>
      </c>
      <c r="B2430">
        <v>2012</v>
      </c>
      <c r="C2430" t="s">
        <v>281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COUNT(LifeExpectancyData[[#This Row],[Life expectancy]:[Schooling]])=19</f>
        <v>1</v>
      </c>
    </row>
    <row r="2431" spans="1:23" x14ac:dyDescent="0.25">
      <c r="A2431" t="s">
        <v>434</v>
      </c>
      <c r="B2431">
        <v>2011</v>
      </c>
      <c r="C2431" t="s">
        <v>281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COUNT(LifeExpectancyData[[#This Row],[Life expectancy]:[Schooling]])=19</f>
        <v>1</v>
      </c>
    </row>
    <row r="2432" spans="1:23" x14ac:dyDescent="0.25">
      <c r="A2432" t="s">
        <v>434</v>
      </c>
      <c r="B2432">
        <v>2010</v>
      </c>
      <c r="C2432" t="s">
        <v>281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COUNT(LifeExpectancyData[[#This Row],[Life expectancy]:[Schooling]])=19</f>
        <v>1</v>
      </c>
    </row>
    <row r="2433" spans="1:23" x14ac:dyDescent="0.25">
      <c r="A2433" t="s">
        <v>434</v>
      </c>
      <c r="B2433">
        <v>2009</v>
      </c>
      <c r="C2433" t="s">
        <v>281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COUNT(LifeExpectancyData[[#This Row],[Life expectancy]:[Schooling]])=19</f>
        <v>1</v>
      </c>
    </row>
    <row r="2434" spans="1:23" x14ac:dyDescent="0.25">
      <c r="A2434" t="s">
        <v>434</v>
      </c>
      <c r="B2434">
        <v>2008</v>
      </c>
      <c r="C2434" t="s">
        <v>281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COUNT(LifeExpectancyData[[#This Row],[Life expectancy]:[Schooling]])=19</f>
        <v>1</v>
      </c>
    </row>
    <row r="2435" spans="1:23" x14ac:dyDescent="0.25">
      <c r="A2435" t="s">
        <v>434</v>
      </c>
      <c r="B2435">
        <v>2007</v>
      </c>
      <c r="C2435" t="s">
        <v>281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COUNT(LifeExpectancyData[[#This Row],[Life expectancy]:[Schooling]])=19</f>
        <v>1</v>
      </c>
    </row>
    <row r="2436" spans="1:23" x14ac:dyDescent="0.25">
      <c r="A2436" t="s">
        <v>434</v>
      </c>
      <c r="B2436">
        <v>2006</v>
      </c>
      <c r="C2436" t="s">
        <v>281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COUNT(LifeExpectancyData[[#This Row],[Life expectancy]:[Schooling]])=19</f>
        <v>1</v>
      </c>
    </row>
    <row r="2437" spans="1:23" x14ac:dyDescent="0.25">
      <c r="A2437" t="s">
        <v>434</v>
      </c>
      <c r="B2437">
        <v>2005</v>
      </c>
      <c r="C2437" t="s">
        <v>281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COUNT(LifeExpectancyData[[#This Row],[Life expectancy]:[Schooling]])=19</f>
        <v>1</v>
      </c>
    </row>
    <row r="2438" spans="1:23" x14ac:dyDescent="0.25">
      <c r="A2438" t="s">
        <v>434</v>
      </c>
      <c r="B2438">
        <v>2004</v>
      </c>
      <c r="C2438" t="s">
        <v>281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COUNT(LifeExpectancyData[[#This Row],[Life expectancy]:[Schooling]])=19</f>
        <v>1</v>
      </c>
    </row>
    <row r="2439" spans="1:23" x14ac:dyDescent="0.25">
      <c r="A2439" t="s">
        <v>434</v>
      </c>
      <c r="B2439">
        <v>2003</v>
      </c>
      <c r="C2439" t="s">
        <v>281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COUNT(LifeExpectancyData[[#This Row],[Life expectancy]:[Schooling]])=19</f>
        <v>1</v>
      </c>
    </row>
    <row r="2440" spans="1:23" x14ac:dyDescent="0.25">
      <c r="A2440" t="s">
        <v>434</v>
      </c>
      <c r="B2440">
        <v>2002</v>
      </c>
      <c r="C2440" t="s">
        <v>281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COUNT(LifeExpectancyData[[#This Row],[Life expectancy]:[Schooling]])=19</f>
        <v>1</v>
      </c>
    </row>
    <row r="2441" spans="1:23" x14ac:dyDescent="0.25">
      <c r="A2441" t="s">
        <v>434</v>
      </c>
      <c r="B2441">
        <v>2001</v>
      </c>
      <c r="C2441" t="s">
        <v>281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COUNT(LifeExpectancyData[[#This Row],[Life expectancy]:[Schooling]])=19</f>
        <v>1</v>
      </c>
    </row>
    <row r="2442" spans="1:23" x14ac:dyDescent="0.25">
      <c r="A2442" t="s">
        <v>434</v>
      </c>
      <c r="B2442">
        <v>2000</v>
      </c>
      <c r="C2442" t="s">
        <v>281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COUNT(LifeExpectancyData[[#This Row],[Life expectancy]:[Schooling]])=19</f>
        <v>1</v>
      </c>
    </row>
    <row r="2443" spans="1:23" x14ac:dyDescent="0.25">
      <c r="A2443" t="s">
        <v>435</v>
      </c>
      <c r="B2443">
        <v>2015</v>
      </c>
      <c r="C2443" t="s">
        <v>273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COUNT(LifeExpectancyData[[#This Row],[Life expectancy]:[Schooling]])=19</f>
        <v>0</v>
      </c>
    </row>
    <row r="2444" spans="1:23" x14ac:dyDescent="0.25">
      <c r="A2444" t="s">
        <v>435</v>
      </c>
      <c r="B2444">
        <v>2014</v>
      </c>
      <c r="C2444" t="s">
        <v>273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COUNT(LifeExpectancyData[[#This Row],[Life expectancy]:[Schooling]])=19</f>
        <v>1</v>
      </c>
    </row>
    <row r="2445" spans="1:23" x14ac:dyDescent="0.25">
      <c r="A2445" t="s">
        <v>435</v>
      </c>
      <c r="B2445">
        <v>2013</v>
      </c>
      <c r="C2445" t="s">
        <v>273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COUNT(LifeExpectancyData[[#This Row],[Life expectancy]:[Schooling]])=19</f>
        <v>1</v>
      </c>
    </row>
    <row r="2446" spans="1:23" x14ac:dyDescent="0.25">
      <c r="A2446" t="s">
        <v>435</v>
      </c>
      <c r="B2446">
        <v>2012</v>
      </c>
      <c r="C2446" t="s">
        <v>273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COUNT(LifeExpectancyData[[#This Row],[Life expectancy]:[Schooling]])=19</f>
        <v>1</v>
      </c>
    </row>
    <row r="2447" spans="1:23" x14ac:dyDescent="0.25">
      <c r="A2447" t="s">
        <v>435</v>
      </c>
      <c r="B2447">
        <v>2011</v>
      </c>
      <c r="C2447" t="s">
        <v>273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COUNT(LifeExpectancyData[[#This Row],[Life expectancy]:[Schooling]])=19</f>
        <v>1</v>
      </c>
    </row>
    <row r="2448" spans="1:23" x14ac:dyDescent="0.25">
      <c r="A2448" t="s">
        <v>435</v>
      </c>
      <c r="B2448">
        <v>2010</v>
      </c>
      <c r="C2448" t="s">
        <v>273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COUNT(LifeExpectancyData[[#This Row],[Life expectancy]:[Schooling]])=19</f>
        <v>1</v>
      </c>
    </row>
    <row r="2449" spans="1:23" x14ac:dyDescent="0.25">
      <c r="A2449" t="s">
        <v>435</v>
      </c>
      <c r="B2449">
        <v>2009</v>
      </c>
      <c r="C2449" t="s">
        <v>273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COUNT(LifeExpectancyData[[#This Row],[Life expectancy]:[Schooling]])=19</f>
        <v>1</v>
      </c>
    </row>
    <row r="2450" spans="1:23" x14ac:dyDescent="0.25">
      <c r="A2450" t="s">
        <v>435</v>
      </c>
      <c r="B2450">
        <v>2008</v>
      </c>
      <c r="C2450" t="s">
        <v>273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COUNT(LifeExpectancyData[[#This Row],[Life expectancy]:[Schooling]])=19</f>
        <v>1</v>
      </c>
    </row>
    <row r="2451" spans="1:23" x14ac:dyDescent="0.25">
      <c r="A2451" t="s">
        <v>435</v>
      </c>
      <c r="B2451">
        <v>2007</v>
      </c>
      <c r="C2451" t="s">
        <v>273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COUNT(LifeExpectancyData[[#This Row],[Life expectancy]:[Schooling]])=19</f>
        <v>1</v>
      </c>
    </row>
    <row r="2452" spans="1:23" x14ac:dyDescent="0.25">
      <c r="A2452" t="s">
        <v>435</v>
      </c>
      <c r="B2452">
        <v>2006</v>
      </c>
      <c r="C2452" t="s">
        <v>273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COUNT(LifeExpectancyData[[#This Row],[Life expectancy]:[Schooling]])=19</f>
        <v>1</v>
      </c>
    </row>
    <row r="2453" spans="1:23" x14ac:dyDescent="0.25">
      <c r="A2453" t="s">
        <v>435</v>
      </c>
      <c r="B2453">
        <v>2005</v>
      </c>
      <c r="C2453" t="s">
        <v>273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COUNT(LifeExpectancyData[[#This Row],[Life expectancy]:[Schooling]])=19</f>
        <v>1</v>
      </c>
    </row>
    <row r="2454" spans="1:23" x14ac:dyDescent="0.25">
      <c r="A2454" t="s">
        <v>435</v>
      </c>
      <c r="B2454">
        <v>2004</v>
      </c>
      <c r="C2454" t="s">
        <v>273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COUNT(LifeExpectancyData[[#This Row],[Life expectancy]:[Schooling]])=19</f>
        <v>1</v>
      </c>
    </row>
    <row r="2455" spans="1:23" x14ac:dyDescent="0.25">
      <c r="A2455" t="s">
        <v>435</v>
      </c>
      <c r="B2455">
        <v>2003</v>
      </c>
      <c r="C2455" t="s">
        <v>273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COUNT(LifeExpectancyData[[#This Row],[Life expectancy]:[Schooling]])=19</f>
        <v>1</v>
      </c>
    </row>
    <row r="2456" spans="1:23" x14ac:dyDescent="0.25">
      <c r="A2456" t="s">
        <v>435</v>
      </c>
      <c r="B2456">
        <v>2002</v>
      </c>
      <c r="C2456" t="s">
        <v>273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COUNT(LifeExpectancyData[[#This Row],[Life expectancy]:[Schooling]])=19</f>
        <v>0</v>
      </c>
    </row>
    <row r="2457" spans="1:23" x14ac:dyDescent="0.25">
      <c r="A2457" t="s">
        <v>435</v>
      </c>
      <c r="B2457">
        <v>2001</v>
      </c>
      <c r="C2457" t="s">
        <v>273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COUNT(LifeExpectancyData[[#This Row],[Life expectancy]:[Schooling]])=19</f>
        <v>0</v>
      </c>
    </row>
    <row r="2458" spans="1:23" x14ac:dyDescent="0.25">
      <c r="A2458" t="s">
        <v>435</v>
      </c>
      <c r="B2458">
        <v>2000</v>
      </c>
      <c r="C2458" t="s">
        <v>273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COUNT(LifeExpectancyData[[#This Row],[Life expectancy]:[Schooling]])=19</f>
        <v>0</v>
      </c>
    </row>
    <row r="2459" spans="1:23" x14ac:dyDescent="0.25">
      <c r="A2459" t="s">
        <v>436</v>
      </c>
      <c r="B2459">
        <v>2015</v>
      </c>
      <c r="C2459" t="s">
        <v>273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COUNT(LifeExpectancyData[[#This Row],[Life expectancy]:[Schooling]])=19</f>
        <v>0</v>
      </c>
    </row>
    <row r="2460" spans="1:23" x14ac:dyDescent="0.25">
      <c r="A2460" t="s">
        <v>436</v>
      </c>
      <c r="B2460">
        <v>2014</v>
      </c>
      <c r="C2460" t="s">
        <v>273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COUNT(LifeExpectancyData[[#This Row],[Life expectancy]:[Schooling]])=19</f>
        <v>0</v>
      </c>
    </row>
    <row r="2461" spans="1:23" x14ac:dyDescent="0.25">
      <c r="A2461" t="s">
        <v>436</v>
      </c>
      <c r="B2461">
        <v>2013</v>
      </c>
      <c r="C2461" t="s">
        <v>273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COUNT(LifeExpectancyData[[#This Row],[Life expectancy]:[Schooling]])=19</f>
        <v>0</v>
      </c>
    </row>
    <row r="2462" spans="1:23" x14ac:dyDescent="0.25">
      <c r="A2462" t="s">
        <v>436</v>
      </c>
      <c r="B2462">
        <v>2012</v>
      </c>
      <c r="C2462" t="s">
        <v>273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COUNT(LifeExpectancyData[[#This Row],[Life expectancy]:[Schooling]])=19</f>
        <v>0</v>
      </c>
    </row>
    <row r="2463" spans="1:23" x14ac:dyDescent="0.25">
      <c r="A2463" t="s">
        <v>436</v>
      </c>
      <c r="B2463">
        <v>2011</v>
      </c>
      <c r="C2463" t="s">
        <v>273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COUNT(LifeExpectancyData[[#This Row],[Life expectancy]:[Schooling]])=19</f>
        <v>0</v>
      </c>
    </row>
    <row r="2464" spans="1:23" x14ac:dyDescent="0.25">
      <c r="A2464" t="s">
        <v>436</v>
      </c>
      <c r="B2464">
        <v>2010</v>
      </c>
      <c r="C2464" t="s">
        <v>273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COUNT(LifeExpectancyData[[#This Row],[Life expectancy]:[Schooling]])=19</f>
        <v>0</v>
      </c>
    </row>
    <row r="2465" spans="1:23" x14ac:dyDescent="0.25">
      <c r="A2465" t="s">
        <v>436</v>
      </c>
      <c r="B2465">
        <v>2009</v>
      </c>
      <c r="C2465" t="s">
        <v>273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COUNT(LifeExpectancyData[[#This Row],[Life expectancy]:[Schooling]])=19</f>
        <v>0</v>
      </c>
    </row>
    <row r="2466" spans="1:23" x14ac:dyDescent="0.25">
      <c r="A2466" t="s">
        <v>436</v>
      </c>
      <c r="B2466">
        <v>2008</v>
      </c>
      <c r="C2466" t="s">
        <v>273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COUNT(LifeExpectancyData[[#This Row],[Life expectancy]:[Schooling]])=19</f>
        <v>0</v>
      </c>
    </row>
    <row r="2467" spans="1:23" x14ac:dyDescent="0.25">
      <c r="A2467" t="s">
        <v>436</v>
      </c>
      <c r="B2467">
        <v>2007</v>
      </c>
      <c r="C2467" t="s">
        <v>273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COUNT(LifeExpectancyData[[#This Row],[Life expectancy]:[Schooling]])=19</f>
        <v>0</v>
      </c>
    </row>
    <row r="2468" spans="1:23" x14ac:dyDescent="0.25">
      <c r="A2468" t="s">
        <v>436</v>
      </c>
      <c r="B2468">
        <v>2006</v>
      </c>
      <c r="C2468" t="s">
        <v>273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COUNT(LifeExpectancyData[[#This Row],[Life expectancy]:[Schooling]])=19</f>
        <v>0</v>
      </c>
    </row>
    <row r="2469" spans="1:23" x14ac:dyDescent="0.25">
      <c r="A2469" t="s">
        <v>436</v>
      </c>
      <c r="B2469">
        <v>2005</v>
      </c>
      <c r="C2469" t="s">
        <v>273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COUNT(LifeExpectancyData[[#This Row],[Life expectancy]:[Schooling]])=19</f>
        <v>0</v>
      </c>
    </row>
    <row r="2470" spans="1:23" x14ac:dyDescent="0.25">
      <c r="A2470" t="s">
        <v>436</v>
      </c>
      <c r="B2470">
        <v>2004</v>
      </c>
      <c r="C2470" t="s">
        <v>273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COUNT(LifeExpectancyData[[#This Row],[Life expectancy]:[Schooling]])=19</f>
        <v>0</v>
      </c>
    </row>
    <row r="2471" spans="1:23" x14ac:dyDescent="0.25">
      <c r="A2471" t="s">
        <v>436</v>
      </c>
      <c r="B2471">
        <v>2003</v>
      </c>
      <c r="C2471" t="s">
        <v>273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COUNT(LifeExpectancyData[[#This Row],[Life expectancy]:[Schooling]])=19</f>
        <v>0</v>
      </c>
    </row>
    <row r="2472" spans="1:23" x14ac:dyDescent="0.25">
      <c r="A2472" t="s">
        <v>436</v>
      </c>
      <c r="B2472">
        <v>2002</v>
      </c>
      <c r="C2472" t="s">
        <v>273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COUNT(LifeExpectancyData[[#This Row],[Life expectancy]:[Schooling]])=19</f>
        <v>0</v>
      </c>
    </row>
    <row r="2473" spans="1:23" x14ac:dyDescent="0.25">
      <c r="A2473" t="s">
        <v>436</v>
      </c>
      <c r="B2473">
        <v>2001</v>
      </c>
      <c r="C2473" t="s">
        <v>273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COUNT(LifeExpectancyData[[#This Row],[Life expectancy]:[Schooling]])=19</f>
        <v>0</v>
      </c>
    </row>
    <row r="2474" spans="1:23" x14ac:dyDescent="0.25">
      <c r="A2474" t="s">
        <v>436</v>
      </c>
      <c r="B2474">
        <v>2000</v>
      </c>
      <c r="C2474" t="s">
        <v>273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COUNT(LifeExpectancyData[[#This Row],[Life expectancy]:[Schooling]])=19</f>
        <v>0</v>
      </c>
    </row>
    <row r="2475" spans="1:23" x14ac:dyDescent="0.25">
      <c r="A2475" t="s">
        <v>437</v>
      </c>
      <c r="B2475">
        <v>2015</v>
      </c>
      <c r="C2475" t="s">
        <v>273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COUNT(LifeExpectancyData[[#This Row],[Life expectancy]:[Schooling]])=19</f>
        <v>0</v>
      </c>
    </row>
    <row r="2476" spans="1:23" x14ac:dyDescent="0.25">
      <c r="A2476" t="s">
        <v>437</v>
      </c>
      <c r="B2476">
        <v>2014</v>
      </c>
      <c r="C2476" t="s">
        <v>273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COUNT(LifeExpectancyData[[#This Row],[Life expectancy]:[Schooling]])=19</f>
        <v>1</v>
      </c>
    </row>
    <row r="2477" spans="1:23" x14ac:dyDescent="0.25">
      <c r="A2477" t="s">
        <v>437</v>
      </c>
      <c r="B2477">
        <v>2013</v>
      </c>
      <c r="C2477" t="s">
        <v>273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COUNT(LifeExpectancyData[[#This Row],[Life expectancy]:[Schooling]])=19</f>
        <v>1</v>
      </c>
    </row>
    <row r="2478" spans="1:23" x14ac:dyDescent="0.25">
      <c r="A2478" t="s">
        <v>437</v>
      </c>
      <c r="B2478">
        <v>2012</v>
      </c>
      <c r="C2478" t="s">
        <v>273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COUNT(LifeExpectancyData[[#This Row],[Life expectancy]:[Schooling]])=19</f>
        <v>1</v>
      </c>
    </row>
    <row r="2479" spans="1:23" x14ac:dyDescent="0.25">
      <c r="A2479" t="s">
        <v>437</v>
      </c>
      <c r="B2479">
        <v>2011</v>
      </c>
      <c r="C2479" t="s">
        <v>273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COUNT(LifeExpectancyData[[#This Row],[Life expectancy]:[Schooling]])=19</f>
        <v>1</v>
      </c>
    </row>
    <row r="2480" spans="1:23" x14ac:dyDescent="0.25">
      <c r="A2480" t="s">
        <v>437</v>
      </c>
      <c r="B2480">
        <v>2010</v>
      </c>
      <c r="C2480" t="s">
        <v>273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COUNT(LifeExpectancyData[[#This Row],[Life expectancy]:[Schooling]])=19</f>
        <v>1</v>
      </c>
    </row>
    <row r="2481" spans="1:23" x14ac:dyDescent="0.25">
      <c r="A2481" t="s">
        <v>437</v>
      </c>
      <c r="B2481">
        <v>2009</v>
      </c>
      <c r="C2481" t="s">
        <v>273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COUNT(LifeExpectancyData[[#This Row],[Life expectancy]:[Schooling]])=19</f>
        <v>1</v>
      </c>
    </row>
    <row r="2482" spans="1:23" x14ac:dyDescent="0.25">
      <c r="A2482" t="s">
        <v>437</v>
      </c>
      <c r="B2482">
        <v>2008</v>
      </c>
      <c r="C2482" t="s">
        <v>273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COUNT(LifeExpectancyData[[#This Row],[Life expectancy]:[Schooling]])=19</f>
        <v>1</v>
      </c>
    </row>
    <row r="2483" spans="1:23" x14ac:dyDescent="0.25">
      <c r="A2483" t="s">
        <v>437</v>
      </c>
      <c r="B2483">
        <v>2007</v>
      </c>
      <c r="C2483" t="s">
        <v>273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COUNT(LifeExpectancyData[[#This Row],[Life expectancy]:[Schooling]])=19</f>
        <v>1</v>
      </c>
    </row>
    <row r="2484" spans="1:23" x14ac:dyDescent="0.25">
      <c r="A2484" t="s">
        <v>437</v>
      </c>
      <c r="B2484">
        <v>2006</v>
      </c>
      <c r="C2484" t="s">
        <v>273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COUNT(LifeExpectancyData[[#This Row],[Life expectancy]:[Schooling]])=19</f>
        <v>1</v>
      </c>
    </row>
    <row r="2485" spans="1:23" x14ac:dyDescent="0.25">
      <c r="A2485" t="s">
        <v>437</v>
      </c>
      <c r="B2485">
        <v>2005</v>
      </c>
      <c r="C2485" t="s">
        <v>273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COUNT(LifeExpectancyData[[#This Row],[Life expectancy]:[Schooling]])=19</f>
        <v>1</v>
      </c>
    </row>
    <row r="2486" spans="1:23" x14ac:dyDescent="0.25">
      <c r="A2486" t="s">
        <v>437</v>
      </c>
      <c r="B2486">
        <v>2004</v>
      </c>
      <c r="C2486" t="s">
        <v>273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COUNT(LifeExpectancyData[[#This Row],[Life expectancy]:[Schooling]])=19</f>
        <v>0</v>
      </c>
    </row>
    <row r="2487" spans="1:23" x14ac:dyDescent="0.25">
      <c r="A2487" t="s">
        <v>437</v>
      </c>
      <c r="B2487">
        <v>2003</v>
      </c>
      <c r="C2487" t="s">
        <v>273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COUNT(LifeExpectancyData[[#This Row],[Life expectancy]:[Schooling]])=19</f>
        <v>0</v>
      </c>
    </row>
    <row r="2488" spans="1:23" x14ac:dyDescent="0.25">
      <c r="A2488" t="s">
        <v>437</v>
      </c>
      <c r="B2488">
        <v>2002</v>
      </c>
      <c r="C2488" t="s">
        <v>273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COUNT(LifeExpectancyData[[#This Row],[Life expectancy]:[Schooling]])=19</f>
        <v>0</v>
      </c>
    </row>
    <row r="2489" spans="1:23" x14ac:dyDescent="0.25">
      <c r="A2489" t="s">
        <v>437</v>
      </c>
      <c r="B2489">
        <v>2001</v>
      </c>
      <c r="C2489" t="s">
        <v>273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COUNT(LifeExpectancyData[[#This Row],[Life expectancy]:[Schooling]])=19</f>
        <v>0</v>
      </c>
    </row>
    <row r="2490" spans="1:23" x14ac:dyDescent="0.25">
      <c r="A2490" t="s">
        <v>437</v>
      </c>
      <c r="B2490">
        <v>2000</v>
      </c>
      <c r="C2490" t="s">
        <v>273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COUNT(LifeExpectancyData[[#This Row],[Life expectancy]:[Schooling]])=19</f>
        <v>0</v>
      </c>
    </row>
    <row r="2491" spans="1:23" x14ac:dyDescent="0.25">
      <c r="A2491" t="s">
        <v>438</v>
      </c>
      <c r="B2491">
        <v>2015</v>
      </c>
      <c r="C2491" t="s">
        <v>273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COUNT(LifeExpectancyData[[#This Row],[Life expectancy]:[Schooling]])=19</f>
        <v>0</v>
      </c>
    </row>
    <row r="2492" spans="1:23" x14ac:dyDescent="0.25">
      <c r="A2492" t="s">
        <v>438</v>
      </c>
      <c r="B2492">
        <v>2014</v>
      </c>
      <c r="C2492" t="s">
        <v>273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COUNT(LifeExpectancyData[[#This Row],[Life expectancy]:[Schooling]])=19</f>
        <v>1</v>
      </c>
    </row>
    <row r="2493" spans="1:23" x14ac:dyDescent="0.25">
      <c r="A2493" t="s">
        <v>438</v>
      </c>
      <c r="B2493">
        <v>2013</v>
      </c>
      <c r="C2493" t="s">
        <v>273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COUNT(LifeExpectancyData[[#This Row],[Life expectancy]:[Schooling]])=19</f>
        <v>1</v>
      </c>
    </row>
    <row r="2494" spans="1:23" x14ac:dyDescent="0.25">
      <c r="A2494" t="s">
        <v>438</v>
      </c>
      <c r="B2494">
        <v>2012</v>
      </c>
      <c r="C2494" t="s">
        <v>273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COUNT(LifeExpectancyData[[#This Row],[Life expectancy]:[Schooling]])=19</f>
        <v>1</v>
      </c>
    </row>
    <row r="2495" spans="1:23" x14ac:dyDescent="0.25">
      <c r="A2495" t="s">
        <v>438</v>
      </c>
      <c r="B2495">
        <v>2011</v>
      </c>
      <c r="C2495" t="s">
        <v>273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COUNT(LifeExpectancyData[[#This Row],[Life expectancy]:[Schooling]])=19</f>
        <v>1</v>
      </c>
    </row>
    <row r="2496" spans="1:23" x14ac:dyDescent="0.25">
      <c r="A2496" t="s">
        <v>438</v>
      </c>
      <c r="B2496">
        <v>2010</v>
      </c>
      <c r="C2496" t="s">
        <v>273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COUNT(LifeExpectancyData[[#This Row],[Life expectancy]:[Schooling]])=19</f>
        <v>1</v>
      </c>
    </row>
    <row r="2497" spans="1:23" x14ac:dyDescent="0.25">
      <c r="A2497" t="s">
        <v>438</v>
      </c>
      <c r="B2497">
        <v>2009</v>
      </c>
      <c r="C2497" t="s">
        <v>273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COUNT(LifeExpectancyData[[#This Row],[Life expectancy]:[Schooling]])=19</f>
        <v>1</v>
      </c>
    </row>
    <row r="2498" spans="1:23" x14ac:dyDescent="0.25">
      <c r="A2498" t="s">
        <v>438</v>
      </c>
      <c r="B2498">
        <v>2008</v>
      </c>
      <c r="C2498" t="s">
        <v>273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COUNT(LifeExpectancyData[[#This Row],[Life expectancy]:[Schooling]])=19</f>
        <v>1</v>
      </c>
    </row>
    <row r="2499" spans="1:23" x14ac:dyDescent="0.25">
      <c r="A2499" t="s">
        <v>438</v>
      </c>
      <c r="B2499">
        <v>2007</v>
      </c>
      <c r="C2499" t="s">
        <v>273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COUNT(LifeExpectancyData[[#This Row],[Life expectancy]:[Schooling]])=19</f>
        <v>1</v>
      </c>
    </row>
    <row r="2500" spans="1:23" x14ac:dyDescent="0.25">
      <c r="A2500" t="s">
        <v>438</v>
      </c>
      <c r="B2500">
        <v>2006</v>
      </c>
      <c r="C2500" t="s">
        <v>273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COUNT(LifeExpectancyData[[#This Row],[Life expectancy]:[Schooling]])=19</f>
        <v>1</v>
      </c>
    </row>
    <row r="2501" spans="1:23" x14ac:dyDescent="0.25">
      <c r="A2501" t="s">
        <v>438</v>
      </c>
      <c r="B2501">
        <v>2005</v>
      </c>
      <c r="C2501" t="s">
        <v>273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COUNT(LifeExpectancyData[[#This Row],[Life expectancy]:[Schooling]])=19</f>
        <v>1</v>
      </c>
    </row>
    <row r="2502" spans="1:23" x14ac:dyDescent="0.25">
      <c r="A2502" t="s">
        <v>438</v>
      </c>
      <c r="B2502">
        <v>2004</v>
      </c>
      <c r="C2502" t="s">
        <v>273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COUNT(LifeExpectancyData[[#This Row],[Life expectancy]:[Schooling]])=19</f>
        <v>1</v>
      </c>
    </row>
    <row r="2503" spans="1:23" x14ac:dyDescent="0.25">
      <c r="A2503" t="s">
        <v>438</v>
      </c>
      <c r="B2503">
        <v>2003</v>
      </c>
      <c r="C2503" t="s">
        <v>273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COUNT(LifeExpectancyData[[#This Row],[Life expectancy]:[Schooling]])=19</f>
        <v>1</v>
      </c>
    </row>
    <row r="2504" spans="1:23" x14ac:dyDescent="0.25">
      <c r="A2504" t="s">
        <v>438</v>
      </c>
      <c r="B2504">
        <v>2002</v>
      </c>
      <c r="C2504" t="s">
        <v>273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COUNT(LifeExpectancyData[[#This Row],[Life expectancy]:[Schooling]])=19</f>
        <v>1</v>
      </c>
    </row>
    <row r="2505" spans="1:23" x14ac:dyDescent="0.25">
      <c r="A2505" t="s">
        <v>438</v>
      </c>
      <c r="B2505">
        <v>2001</v>
      </c>
      <c r="C2505" t="s">
        <v>273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COUNT(LifeExpectancyData[[#This Row],[Life expectancy]:[Schooling]])=19</f>
        <v>1</v>
      </c>
    </row>
    <row r="2506" spans="1:23" x14ac:dyDescent="0.25">
      <c r="A2506" t="s">
        <v>438</v>
      </c>
      <c r="B2506">
        <v>2000</v>
      </c>
      <c r="C2506" t="s">
        <v>273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COUNT(LifeExpectancyData[[#This Row],[Life expectancy]:[Schooling]])=19</f>
        <v>1</v>
      </c>
    </row>
    <row r="2507" spans="1:23" x14ac:dyDescent="0.25">
      <c r="A2507" t="s">
        <v>439</v>
      </c>
      <c r="B2507">
        <v>2015</v>
      </c>
      <c r="C2507" t="s">
        <v>281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COUNT(LifeExpectancyData[[#This Row],[Life expectancy]:[Schooling]])=19</f>
        <v>0</v>
      </c>
    </row>
    <row r="2508" spans="1:23" x14ac:dyDescent="0.25">
      <c r="A2508" t="s">
        <v>439</v>
      </c>
      <c r="B2508">
        <v>2014</v>
      </c>
      <c r="C2508" t="s">
        <v>281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COUNT(LifeExpectancyData[[#This Row],[Life expectancy]:[Schooling]])=19</f>
        <v>1</v>
      </c>
    </row>
    <row r="2509" spans="1:23" x14ac:dyDescent="0.25">
      <c r="A2509" t="s">
        <v>439</v>
      </c>
      <c r="B2509">
        <v>2013</v>
      </c>
      <c r="C2509" t="s">
        <v>281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COUNT(LifeExpectancyData[[#This Row],[Life expectancy]:[Schooling]])=19</f>
        <v>1</v>
      </c>
    </row>
    <row r="2510" spans="1:23" x14ac:dyDescent="0.25">
      <c r="A2510" t="s">
        <v>439</v>
      </c>
      <c r="B2510">
        <v>2012</v>
      </c>
      <c r="C2510" t="s">
        <v>281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COUNT(LifeExpectancyData[[#This Row],[Life expectancy]:[Schooling]])=19</f>
        <v>1</v>
      </c>
    </row>
    <row r="2511" spans="1:23" x14ac:dyDescent="0.25">
      <c r="A2511" t="s">
        <v>439</v>
      </c>
      <c r="B2511">
        <v>2011</v>
      </c>
      <c r="C2511" t="s">
        <v>281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COUNT(LifeExpectancyData[[#This Row],[Life expectancy]:[Schooling]])=19</f>
        <v>1</v>
      </c>
    </row>
    <row r="2512" spans="1:23" x14ac:dyDescent="0.25">
      <c r="A2512" t="s">
        <v>439</v>
      </c>
      <c r="B2512">
        <v>2010</v>
      </c>
      <c r="C2512" t="s">
        <v>281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COUNT(LifeExpectancyData[[#This Row],[Life expectancy]:[Schooling]])=19</f>
        <v>0</v>
      </c>
    </row>
    <row r="2513" spans="1:23" x14ac:dyDescent="0.25">
      <c r="A2513" t="s">
        <v>439</v>
      </c>
      <c r="B2513">
        <v>2009</v>
      </c>
      <c r="C2513" t="s">
        <v>281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COUNT(LifeExpectancyData[[#This Row],[Life expectancy]:[Schooling]])=19</f>
        <v>0</v>
      </c>
    </row>
    <row r="2514" spans="1:23" x14ac:dyDescent="0.25">
      <c r="A2514" t="s">
        <v>439</v>
      </c>
      <c r="B2514">
        <v>2008</v>
      </c>
      <c r="C2514" t="s">
        <v>281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COUNT(LifeExpectancyData[[#This Row],[Life expectancy]:[Schooling]])=19</f>
        <v>0</v>
      </c>
    </row>
    <row r="2515" spans="1:23" x14ac:dyDescent="0.25">
      <c r="A2515" t="s">
        <v>439</v>
      </c>
      <c r="B2515">
        <v>2007</v>
      </c>
      <c r="C2515" t="s">
        <v>281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COUNT(LifeExpectancyData[[#This Row],[Life expectancy]:[Schooling]])=19</f>
        <v>0</v>
      </c>
    </row>
    <row r="2516" spans="1:23" x14ac:dyDescent="0.25">
      <c r="A2516" t="s">
        <v>439</v>
      </c>
      <c r="B2516">
        <v>2006</v>
      </c>
      <c r="C2516" t="s">
        <v>281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COUNT(LifeExpectancyData[[#This Row],[Life expectancy]:[Schooling]])=19</f>
        <v>0</v>
      </c>
    </row>
    <row r="2517" spans="1:23" x14ac:dyDescent="0.25">
      <c r="A2517" t="s">
        <v>439</v>
      </c>
      <c r="B2517">
        <v>2005</v>
      </c>
      <c r="C2517" t="s">
        <v>281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COUNT(LifeExpectancyData[[#This Row],[Life expectancy]:[Schooling]])=19</f>
        <v>0</v>
      </c>
    </row>
    <row r="2518" spans="1:23" x14ac:dyDescent="0.25">
      <c r="A2518" t="s">
        <v>439</v>
      </c>
      <c r="B2518">
        <v>2004</v>
      </c>
      <c r="C2518" t="s">
        <v>281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COUNT(LifeExpectancyData[[#This Row],[Life expectancy]:[Schooling]])=19</f>
        <v>0</v>
      </c>
    </row>
    <row r="2519" spans="1:23" x14ac:dyDescent="0.25">
      <c r="A2519" t="s">
        <v>439</v>
      </c>
      <c r="B2519">
        <v>2003</v>
      </c>
      <c r="C2519" t="s">
        <v>281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COUNT(LifeExpectancyData[[#This Row],[Life expectancy]:[Schooling]])=19</f>
        <v>0</v>
      </c>
    </row>
    <row r="2520" spans="1:23" x14ac:dyDescent="0.25">
      <c r="A2520" t="s">
        <v>439</v>
      </c>
      <c r="B2520">
        <v>2002</v>
      </c>
      <c r="C2520" t="s">
        <v>281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COUNT(LifeExpectancyData[[#This Row],[Life expectancy]:[Schooling]])=19</f>
        <v>0</v>
      </c>
    </row>
    <row r="2521" spans="1:23" x14ac:dyDescent="0.25">
      <c r="A2521" t="s">
        <v>439</v>
      </c>
      <c r="B2521">
        <v>2001</v>
      </c>
      <c r="C2521" t="s">
        <v>281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COUNT(LifeExpectancyData[[#This Row],[Life expectancy]:[Schooling]])=19</f>
        <v>0</v>
      </c>
    </row>
    <row r="2522" spans="1:23" x14ac:dyDescent="0.25">
      <c r="A2522" t="s">
        <v>439</v>
      </c>
      <c r="B2522">
        <v>2000</v>
      </c>
      <c r="C2522" t="s">
        <v>281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COUNT(LifeExpectancyData[[#This Row],[Life expectancy]:[Schooling]])=19</f>
        <v>0</v>
      </c>
    </row>
    <row r="2523" spans="1:23" x14ac:dyDescent="0.25">
      <c r="A2523" t="s">
        <v>440</v>
      </c>
      <c r="B2523">
        <v>2015</v>
      </c>
      <c r="C2523" t="s">
        <v>281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COUNT(LifeExpectancyData[[#This Row],[Life expectancy]:[Schooling]])=19</f>
        <v>0</v>
      </c>
    </row>
    <row r="2524" spans="1:23" x14ac:dyDescent="0.25">
      <c r="A2524" t="s">
        <v>440</v>
      </c>
      <c r="B2524">
        <v>2014</v>
      </c>
      <c r="C2524" t="s">
        <v>281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COUNT(LifeExpectancyData[[#This Row],[Life expectancy]:[Schooling]])=19</f>
        <v>0</v>
      </c>
    </row>
    <row r="2525" spans="1:23" x14ac:dyDescent="0.25">
      <c r="A2525" t="s">
        <v>440</v>
      </c>
      <c r="B2525">
        <v>2013</v>
      </c>
      <c r="C2525" t="s">
        <v>281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COUNT(LifeExpectancyData[[#This Row],[Life expectancy]:[Schooling]])=19</f>
        <v>0</v>
      </c>
    </row>
    <row r="2526" spans="1:23" x14ac:dyDescent="0.25">
      <c r="A2526" t="s">
        <v>440</v>
      </c>
      <c r="B2526">
        <v>2012</v>
      </c>
      <c r="C2526" t="s">
        <v>281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COUNT(LifeExpectancyData[[#This Row],[Life expectancy]:[Schooling]])=19</f>
        <v>0</v>
      </c>
    </row>
    <row r="2527" spans="1:23" x14ac:dyDescent="0.25">
      <c r="A2527" t="s">
        <v>440</v>
      </c>
      <c r="B2527">
        <v>2011</v>
      </c>
      <c r="C2527" t="s">
        <v>281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COUNT(LifeExpectancyData[[#This Row],[Life expectancy]:[Schooling]])=19</f>
        <v>0</v>
      </c>
    </row>
    <row r="2528" spans="1:23" x14ac:dyDescent="0.25">
      <c r="A2528" t="s">
        <v>440</v>
      </c>
      <c r="B2528">
        <v>2010</v>
      </c>
      <c r="C2528" t="s">
        <v>281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COUNT(LifeExpectancyData[[#This Row],[Life expectancy]:[Schooling]])=19</f>
        <v>0</v>
      </c>
    </row>
    <row r="2529" spans="1:23" x14ac:dyDescent="0.25">
      <c r="A2529" t="s">
        <v>440</v>
      </c>
      <c r="B2529">
        <v>2009</v>
      </c>
      <c r="C2529" t="s">
        <v>281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COUNT(LifeExpectancyData[[#This Row],[Life expectancy]:[Schooling]])=19</f>
        <v>0</v>
      </c>
    </row>
    <row r="2530" spans="1:23" x14ac:dyDescent="0.25">
      <c r="A2530" t="s">
        <v>440</v>
      </c>
      <c r="B2530">
        <v>2008</v>
      </c>
      <c r="C2530" t="s">
        <v>281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COUNT(LifeExpectancyData[[#This Row],[Life expectancy]:[Schooling]])=19</f>
        <v>0</v>
      </c>
    </row>
    <row r="2531" spans="1:23" x14ac:dyDescent="0.25">
      <c r="A2531" t="s">
        <v>440</v>
      </c>
      <c r="B2531">
        <v>2007</v>
      </c>
      <c r="C2531" t="s">
        <v>281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COUNT(LifeExpectancyData[[#This Row],[Life expectancy]:[Schooling]])=19</f>
        <v>0</v>
      </c>
    </row>
    <row r="2532" spans="1:23" x14ac:dyDescent="0.25">
      <c r="A2532" t="s">
        <v>440</v>
      </c>
      <c r="B2532">
        <v>2006</v>
      </c>
      <c r="C2532" t="s">
        <v>281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COUNT(LifeExpectancyData[[#This Row],[Life expectancy]:[Schooling]])=19</f>
        <v>0</v>
      </c>
    </row>
    <row r="2533" spans="1:23" x14ac:dyDescent="0.25">
      <c r="A2533" t="s">
        <v>440</v>
      </c>
      <c r="B2533">
        <v>2005</v>
      </c>
      <c r="C2533" t="s">
        <v>281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COUNT(LifeExpectancyData[[#This Row],[Life expectancy]:[Schooling]])=19</f>
        <v>0</v>
      </c>
    </row>
    <row r="2534" spans="1:23" x14ac:dyDescent="0.25">
      <c r="A2534" t="s">
        <v>440</v>
      </c>
      <c r="B2534">
        <v>2004</v>
      </c>
      <c r="C2534" t="s">
        <v>281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COUNT(LifeExpectancyData[[#This Row],[Life expectancy]:[Schooling]])=19</f>
        <v>0</v>
      </c>
    </row>
    <row r="2535" spans="1:23" x14ac:dyDescent="0.25">
      <c r="A2535" t="s">
        <v>440</v>
      </c>
      <c r="B2535">
        <v>2003</v>
      </c>
      <c r="C2535" t="s">
        <v>281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COUNT(LifeExpectancyData[[#This Row],[Life expectancy]:[Schooling]])=19</f>
        <v>0</v>
      </c>
    </row>
    <row r="2536" spans="1:23" x14ac:dyDescent="0.25">
      <c r="A2536" t="s">
        <v>440</v>
      </c>
      <c r="B2536">
        <v>2002</v>
      </c>
      <c r="C2536" t="s">
        <v>281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COUNT(LifeExpectancyData[[#This Row],[Life expectancy]:[Schooling]])=19</f>
        <v>0</v>
      </c>
    </row>
    <row r="2537" spans="1:23" x14ac:dyDescent="0.25">
      <c r="A2537" t="s">
        <v>440</v>
      </c>
      <c r="B2537">
        <v>2001</v>
      </c>
      <c r="C2537" t="s">
        <v>281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COUNT(LifeExpectancyData[[#This Row],[Life expectancy]:[Schooling]])=19</f>
        <v>0</v>
      </c>
    </row>
    <row r="2538" spans="1:23" x14ac:dyDescent="0.25">
      <c r="A2538" t="s">
        <v>440</v>
      </c>
      <c r="B2538">
        <v>2000</v>
      </c>
      <c r="C2538" t="s">
        <v>281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COUNT(LifeExpectancyData[[#This Row],[Life expectancy]:[Schooling]])=19</f>
        <v>0</v>
      </c>
    </row>
    <row r="2539" spans="1:23" x14ac:dyDescent="0.25">
      <c r="A2539" t="s">
        <v>441</v>
      </c>
      <c r="B2539">
        <v>2015</v>
      </c>
      <c r="C2539" t="s">
        <v>273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COUNT(LifeExpectancyData[[#This Row],[Life expectancy]:[Schooling]])=19</f>
        <v>0</v>
      </c>
    </row>
    <row r="2540" spans="1:23" x14ac:dyDescent="0.25">
      <c r="A2540" t="s">
        <v>441</v>
      </c>
      <c r="B2540">
        <v>2014</v>
      </c>
      <c r="C2540" t="s">
        <v>273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COUNT(LifeExpectancyData[[#This Row],[Life expectancy]:[Schooling]])=19</f>
        <v>0</v>
      </c>
    </row>
    <row r="2541" spans="1:23" x14ac:dyDescent="0.25">
      <c r="A2541" t="s">
        <v>441</v>
      </c>
      <c r="B2541">
        <v>2013</v>
      </c>
      <c r="C2541" t="s">
        <v>273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COUNT(LifeExpectancyData[[#This Row],[Life expectancy]:[Schooling]])=19</f>
        <v>0</v>
      </c>
    </row>
    <row r="2542" spans="1:23" x14ac:dyDescent="0.25">
      <c r="A2542" t="s">
        <v>441</v>
      </c>
      <c r="B2542">
        <v>2012</v>
      </c>
      <c r="C2542" t="s">
        <v>273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COUNT(LifeExpectancyData[[#This Row],[Life expectancy]:[Schooling]])=19</f>
        <v>0</v>
      </c>
    </row>
    <row r="2543" spans="1:23" x14ac:dyDescent="0.25">
      <c r="A2543" t="s">
        <v>441</v>
      </c>
      <c r="B2543">
        <v>2011</v>
      </c>
      <c r="C2543" t="s">
        <v>273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COUNT(LifeExpectancyData[[#This Row],[Life expectancy]:[Schooling]])=19</f>
        <v>0</v>
      </c>
    </row>
    <row r="2544" spans="1:23" x14ac:dyDescent="0.25">
      <c r="A2544" t="s">
        <v>441</v>
      </c>
      <c r="B2544">
        <v>2010</v>
      </c>
      <c r="C2544" t="s">
        <v>273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COUNT(LifeExpectancyData[[#This Row],[Life expectancy]:[Schooling]])=19</f>
        <v>0</v>
      </c>
    </row>
    <row r="2545" spans="1:23" x14ac:dyDescent="0.25">
      <c r="A2545" t="s">
        <v>441</v>
      </c>
      <c r="B2545">
        <v>2009</v>
      </c>
      <c r="C2545" t="s">
        <v>273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COUNT(LifeExpectancyData[[#This Row],[Life expectancy]:[Schooling]])=19</f>
        <v>0</v>
      </c>
    </row>
    <row r="2546" spans="1:23" x14ac:dyDescent="0.25">
      <c r="A2546" t="s">
        <v>441</v>
      </c>
      <c r="B2546">
        <v>2008</v>
      </c>
      <c r="C2546" t="s">
        <v>273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COUNT(LifeExpectancyData[[#This Row],[Life expectancy]:[Schooling]])=19</f>
        <v>0</v>
      </c>
    </row>
    <row r="2547" spans="1:23" x14ac:dyDescent="0.25">
      <c r="A2547" t="s">
        <v>441</v>
      </c>
      <c r="B2547">
        <v>2007</v>
      </c>
      <c r="C2547" t="s">
        <v>273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COUNT(LifeExpectancyData[[#This Row],[Life expectancy]:[Schooling]])=19</f>
        <v>1</v>
      </c>
    </row>
    <row r="2548" spans="1:23" x14ac:dyDescent="0.25">
      <c r="A2548" t="s">
        <v>441</v>
      </c>
      <c r="B2548">
        <v>2006</v>
      </c>
      <c r="C2548" t="s">
        <v>273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COUNT(LifeExpectancyData[[#This Row],[Life expectancy]:[Schooling]])=19</f>
        <v>1</v>
      </c>
    </row>
    <row r="2549" spans="1:23" x14ac:dyDescent="0.25">
      <c r="A2549" t="s">
        <v>441</v>
      </c>
      <c r="B2549">
        <v>2005</v>
      </c>
      <c r="C2549" t="s">
        <v>273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COUNT(LifeExpectancyData[[#This Row],[Life expectancy]:[Schooling]])=19</f>
        <v>1</v>
      </c>
    </row>
    <row r="2550" spans="1:23" x14ac:dyDescent="0.25">
      <c r="A2550" t="s">
        <v>441</v>
      </c>
      <c r="B2550">
        <v>2004</v>
      </c>
      <c r="C2550" t="s">
        <v>273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COUNT(LifeExpectancyData[[#This Row],[Life expectancy]:[Schooling]])=19</f>
        <v>1</v>
      </c>
    </row>
    <row r="2551" spans="1:23" x14ac:dyDescent="0.25">
      <c r="A2551" t="s">
        <v>441</v>
      </c>
      <c r="B2551">
        <v>2003</v>
      </c>
      <c r="C2551" t="s">
        <v>273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COUNT(LifeExpectancyData[[#This Row],[Life expectancy]:[Schooling]])=19</f>
        <v>1</v>
      </c>
    </row>
    <row r="2552" spans="1:23" x14ac:dyDescent="0.25">
      <c r="A2552" t="s">
        <v>441</v>
      </c>
      <c r="B2552">
        <v>2002</v>
      </c>
      <c r="C2552" t="s">
        <v>273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COUNT(LifeExpectancyData[[#This Row],[Life expectancy]:[Schooling]])=19</f>
        <v>1</v>
      </c>
    </row>
    <row r="2553" spans="1:23" x14ac:dyDescent="0.25">
      <c r="A2553" t="s">
        <v>441</v>
      </c>
      <c r="B2553">
        <v>2001</v>
      </c>
      <c r="C2553" t="s">
        <v>273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COUNT(LifeExpectancyData[[#This Row],[Life expectancy]:[Schooling]])=19</f>
        <v>1</v>
      </c>
    </row>
    <row r="2554" spans="1:23" x14ac:dyDescent="0.25">
      <c r="A2554" t="s">
        <v>441</v>
      </c>
      <c r="B2554">
        <v>2000</v>
      </c>
      <c r="C2554" t="s">
        <v>273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COUNT(LifeExpectancyData[[#This Row],[Life expectancy]:[Schooling]])=19</f>
        <v>1</v>
      </c>
    </row>
    <row r="2555" spans="1:23" x14ac:dyDescent="0.25">
      <c r="A2555" t="s">
        <v>442</v>
      </c>
      <c r="B2555">
        <v>2015</v>
      </c>
      <c r="C2555" t="s">
        <v>273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COUNT(LifeExpectancyData[[#This Row],[Life expectancy]:[Schooling]])=19</f>
        <v>0</v>
      </c>
    </row>
    <row r="2556" spans="1:23" x14ac:dyDescent="0.25">
      <c r="A2556" t="s">
        <v>442</v>
      </c>
      <c r="B2556">
        <v>2014</v>
      </c>
      <c r="C2556" t="s">
        <v>273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COUNT(LifeExpectancyData[[#This Row],[Life expectancy]:[Schooling]])=19</f>
        <v>1</v>
      </c>
    </row>
    <row r="2557" spans="1:23" x14ac:dyDescent="0.25">
      <c r="A2557" t="s">
        <v>442</v>
      </c>
      <c r="B2557">
        <v>2013</v>
      </c>
      <c r="C2557" t="s">
        <v>273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COUNT(LifeExpectancyData[[#This Row],[Life expectancy]:[Schooling]])=19</f>
        <v>1</v>
      </c>
    </row>
    <row r="2558" spans="1:23" x14ac:dyDescent="0.25">
      <c r="A2558" t="s">
        <v>442</v>
      </c>
      <c r="B2558">
        <v>2012</v>
      </c>
      <c r="C2558" t="s">
        <v>273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COUNT(LifeExpectancyData[[#This Row],[Life expectancy]:[Schooling]])=19</f>
        <v>1</v>
      </c>
    </row>
    <row r="2559" spans="1:23" x14ac:dyDescent="0.25">
      <c r="A2559" t="s">
        <v>442</v>
      </c>
      <c r="B2559">
        <v>2011</v>
      </c>
      <c r="C2559" t="s">
        <v>273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COUNT(LifeExpectancyData[[#This Row],[Life expectancy]:[Schooling]])=19</f>
        <v>1</v>
      </c>
    </row>
    <row r="2560" spans="1:23" x14ac:dyDescent="0.25">
      <c r="A2560" t="s">
        <v>442</v>
      </c>
      <c r="B2560">
        <v>2010</v>
      </c>
      <c r="C2560" t="s">
        <v>273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COUNT(LifeExpectancyData[[#This Row],[Life expectancy]:[Schooling]])=19</f>
        <v>1</v>
      </c>
    </row>
    <row r="2561" spans="1:23" x14ac:dyDescent="0.25">
      <c r="A2561" t="s">
        <v>442</v>
      </c>
      <c r="B2561">
        <v>2009</v>
      </c>
      <c r="C2561" t="s">
        <v>273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COUNT(LifeExpectancyData[[#This Row],[Life expectancy]:[Schooling]])=19</f>
        <v>1</v>
      </c>
    </row>
    <row r="2562" spans="1:23" x14ac:dyDescent="0.25">
      <c r="A2562" t="s">
        <v>442</v>
      </c>
      <c r="B2562">
        <v>2008</v>
      </c>
      <c r="C2562" t="s">
        <v>273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COUNT(LifeExpectancyData[[#This Row],[Life expectancy]:[Schooling]])=19</f>
        <v>1</v>
      </c>
    </row>
    <row r="2563" spans="1:23" x14ac:dyDescent="0.25">
      <c r="A2563" t="s">
        <v>442</v>
      </c>
      <c r="B2563">
        <v>2007</v>
      </c>
      <c r="C2563" t="s">
        <v>273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COUNT(LifeExpectancyData[[#This Row],[Life expectancy]:[Schooling]])=19</f>
        <v>1</v>
      </c>
    </row>
    <row r="2564" spans="1:23" x14ac:dyDescent="0.25">
      <c r="A2564" t="s">
        <v>442</v>
      </c>
      <c r="B2564">
        <v>2006</v>
      </c>
      <c r="C2564" t="s">
        <v>273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COUNT(LifeExpectancyData[[#This Row],[Life expectancy]:[Schooling]])=19</f>
        <v>1</v>
      </c>
    </row>
    <row r="2565" spans="1:23" x14ac:dyDescent="0.25">
      <c r="A2565" t="s">
        <v>442</v>
      </c>
      <c r="B2565">
        <v>2005</v>
      </c>
      <c r="C2565" t="s">
        <v>273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COUNT(LifeExpectancyData[[#This Row],[Life expectancy]:[Schooling]])=19</f>
        <v>1</v>
      </c>
    </row>
    <row r="2566" spans="1:23" x14ac:dyDescent="0.25">
      <c r="A2566" t="s">
        <v>442</v>
      </c>
      <c r="B2566">
        <v>2004</v>
      </c>
      <c r="C2566" t="s">
        <v>273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COUNT(LifeExpectancyData[[#This Row],[Life expectancy]:[Schooling]])=19</f>
        <v>1</v>
      </c>
    </row>
    <row r="2567" spans="1:23" x14ac:dyDescent="0.25">
      <c r="A2567" t="s">
        <v>442</v>
      </c>
      <c r="B2567">
        <v>2003</v>
      </c>
      <c r="C2567" t="s">
        <v>273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COUNT(LifeExpectancyData[[#This Row],[Life expectancy]:[Schooling]])=19</f>
        <v>1</v>
      </c>
    </row>
    <row r="2568" spans="1:23" x14ac:dyDescent="0.25">
      <c r="A2568" t="s">
        <v>442</v>
      </c>
      <c r="B2568">
        <v>2002</v>
      </c>
      <c r="C2568" t="s">
        <v>273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COUNT(LifeExpectancyData[[#This Row],[Life expectancy]:[Schooling]])=19</f>
        <v>1</v>
      </c>
    </row>
    <row r="2569" spans="1:23" x14ac:dyDescent="0.25">
      <c r="A2569" t="s">
        <v>442</v>
      </c>
      <c r="B2569">
        <v>2001</v>
      </c>
      <c r="C2569" t="s">
        <v>273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COUNT(LifeExpectancyData[[#This Row],[Life expectancy]:[Schooling]])=19</f>
        <v>0</v>
      </c>
    </row>
    <row r="2570" spans="1:23" x14ac:dyDescent="0.25">
      <c r="A2570" t="s">
        <v>442</v>
      </c>
      <c r="B2570">
        <v>2000</v>
      </c>
      <c r="C2570" t="s">
        <v>273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COUNT(LifeExpectancyData[[#This Row],[Life expectancy]:[Schooling]])=19</f>
        <v>0</v>
      </c>
    </row>
    <row r="2571" spans="1:23" x14ac:dyDescent="0.25">
      <c r="A2571" t="s">
        <v>443</v>
      </c>
      <c r="B2571">
        <v>2015</v>
      </c>
      <c r="C2571" t="s">
        <v>273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COUNT(LifeExpectancyData[[#This Row],[Life expectancy]:[Schooling]])=19</f>
        <v>0</v>
      </c>
    </row>
    <row r="2572" spans="1:23" x14ac:dyDescent="0.25">
      <c r="A2572" t="s">
        <v>443</v>
      </c>
      <c r="B2572">
        <v>2014</v>
      </c>
      <c r="C2572" t="s">
        <v>273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COUNT(LifeExpectancyData[[#This Row],[Life expectancy]:[Schooling]])=19</f>
        <v>1</v>
      </c>
    </row>
    <row r="2573" spans="1:23" x14ac:dyDescent="0.25">
      <c r="A2573" t="s">
        <v>443</v>
      </c>
      <c r="B2573">
        <v>2013</v>
      </c>
      <c r="C2573" t="s">
        <v>273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COUNT(LifeExpectancyData[[#This Row],[Life expectancy]:[Schooling]])=19</f>
        <v>1</v>
      </c>
    </row>
    <row r="2574" spans="1:23" x14ac:dyDescent="0.25">
      <c r="A2574" t="s">
        <v>443</v>
      </c>
      <c r="B2574">
        <v>2012</v>
      </c>
      <c r="C2574" t="s">
        <v>273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COUNT(LifeExpectancyData[[#This Row],[Life expectancy]:[Schooling]])=19</f>
        <v>1</v>
      </c>
    </row>
    <row r="2575" spans="1:23" x14ac:dyDescent="0.25">
      <c r="A2575" t="s">
        <v>443</v>
      </c>
      <c r="B2575">
        <v>2011</v>
      </c>
      <c r="C2575" t="s">
        <v>273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COUNT(LifeExpectancyData[[#This Row],[Life expectancy]:[Schooling]])=19</f>
        <v>1</v>
      </c>
    </row>
    <row r="2576" spans="1:23" x14ac:dyDescent="0.25">
      <c r="A2576" t="s">
        <v>443</v>
      </c>
      <c r="B2576">
        <v>2010</v>
      </c>
      <c r="C2576" t="s">
        <v>273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COUNT(LifeExpectancyData[[#This Row],[Life expectancy]:[Schooling]])=19</f>
        <v>1</v>
      </c>
    </row>
    <row r="2577" spans="1:23" x14ac:dyDescent="0.25">
      <c r="A2577" t="s">
        <v>443</v>
      </c>
      <c r="B2577">
        <v>2009</v>
      </c>
      <c r="C2577" t="s">
        <v>273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COUNT(LifeExpectancyData[[#This Row],[Life expectancy]:[Schooling]])=19</f>
        <v>1</v>
      </c>
    </row>
    <row r="2578" spans="1:23" x14ac:dyDescent="0.25">
      <c r="A2578" t="s">
        <v>443</v>
      </c>
      <c r="B2578">
        <v>2008</v>
      </c>
      <c r="C2578" t="s">
        <v>273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COUNT(LifeExpectancyData[[#This Row],[Life expectancy]:[Schooling]])=19</f>
        <v>1</v>
      </c>
    </row>
    <row r="2579" spans="1:23" x14ac:dyDescent="0.25">
      <c r="A2579" t="s">
        <v>443</v>
      </c>
      <c r="B2579">
        <v>2007</v>
      </c>
      <c r="C2579" t="s">
        <v>273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COUNT(LifeExpectancyData[[#This Row],[Life expectancy]:[Schooling]])=19</f>
        <v>1</v>
      </c>
    </row>
    <row r="2580" spans="1:23" x14ac:dyDescent="0.25">
      <c r="A2580" t="s">
        <v>443</v>
      </c>
      <c r="B2580">
        <v>2006</v>
      </c>
      <c r="C2580" t="s">
        <v>273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COUNT(LifeExpectancyData[[#This Row],[Life expectancy]:[Schooling]])=19</f>
        <v>1</v>
      </c>
    </row>
    <row r="2581" spans="1:23" x14ac:dyDescent="0.25">
      <c r="A2581" t="s">
        <v>443</v>
      </c>
      <c r="B2581">
        <v>2005</v>
      </c>
      <c r="C2581" t="s">
        <v>273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COUNT(LifeExpectancyData[[#This Row],[Life expectancy]:[Schooling]])=19</f>
        <v>1</v>
      </c>
    </row>
    <row r="2582" spans="1:23" x14ac:dyDescent="0.25">
      <c r="A2582" t="s">
        <v>443</v>
      </c>
      <c r="B2582">
        <v>2004</v>
      </c>
      <c r="C2582" t="s">
        <v>273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COUNT(LifeExpectancyData[[#This Row],[Life expectancy]:[Schooling]])=19</f>
        <v>1</v>
      </c>
    </row>
    <row r="2583" spans="1:23" x14ac:dyDescent="0.25">
      <c r="A2583" t="s">
        <v>443</v>
      </c>
      <c r="B2583">
        <v>2003</v>
      </c>
      <c r="C2583" t="s">
        <v>273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COUNT(LifeExpectancyData[[#This Row],[Life expectancy]:[Schooling]])=19</f>
        <v>1</v>
      </c>
    </row>
    <row r="2584" spans="1:23" x14ac:dyDescent="0.25">
      <c r="A2584" t="s">
        <v>443</v>
      </c>
      <c r="B2584">
        <v>2002</v>
      </c>
      <c r="C2584" t="s">
        <v>273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COUNT(LifeExpectancyData[[#This Row],[Life expectancy]:[Schooling]])=19</f>
        <v>1</v>
      </c>
    </row>
    <row r="2585" spans="1:23" x14ac:dyDescent="0.25">
      <c r="A2585" t="s">
        <v>443</v>
      </c>
      <c r="B2585">
        <v>2001</v>
      </c>
      <c r="C2585" t="s">
        <v>273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COUNT(LifeExpectancyData[[#This Row],[Life expectancy]:[Schooling]])=19</f>
        <v>1</v>
      </c>
    </row>
    <row r="2586" spans="1:23" x14ac:dyDescent="0.25">
      <c r="A2586" t="s">
        <v>443</v>
      </c>
      <c r="B2586">
        <v>2000</v>
      </c>
      <c r="C2586" t="s">
        <v>273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COUNT(LifeExpectancyData[[#This Row],[Life expectancy]:[Schooling]])=19</f>
        <v>1</v>
      </c>
    </row>
    <row r="2587" spans="1:23" x14ac:dyDescent="0.25">
      <c r="A2587" t="s">
        <v>444</v>
      </c>
      <c r="B2587">
        <v>2015</v>
      </c>
      <c r="C2587" t="s">
        <v>273</v>
      </c>
      <c r="D2587">
        <v>75.7</v>
      </c>
      <c r="E2587">
        <v>12</v>
      </c>
      <c r="F2587">
        <v>0</v>
      </c>
      <c r="H2587">
        <v>0</v>
      </c>
      <c r="I2587">
        <v>92</v>
      </c>
      <c r="J2587">
        <v>1</v>
      </c>
      <c r="K2587">
        <v>6.3</v>
      </c>
      <c r="L2587">
        <v>0</v>
      </c>
      <c r="M2587">
        <v>92</v>
      </c>
      <c r="O2587">
        <v>91</v>
      </c>
      <c r="P2587">
        <v>0.1</v>
      </c>
      <c r="S2587">
        <v>2.1</v>
      </c>
      <c r="T2587">
        <v>2.1</v>
      </c>
      <c r="U2587">
        <v>0.746</v>
      </c>
      <c r="V2587">
        <v>12.9</v>
      </c>
      <c r="W2587" t="b">
        <f>COUNT(LifeExpectancyData[[#This Row],[Life expectancy]:[Schooling]])=19</f>
        <v>0</v>
      </c>
    </row>
    <row r="2588" spans="1:23" x14ac:dyDescent="0.25">
      <c r="A2588" t="s">
        <v>444</v>
      </c>
      <c r="B2588">
        <v>2014</v>
      </c>
      <c r="C2588" t="s">
        <v>273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COUNT(LifeExpectancyData[[#This Row],[Life expectancy]:[Schooling]])=19</f>
        <v>0</v>
      </c>
    </row>
    <row r="2589" spans="1:23" x14ac:dyDescent="0.25">
      <c r="A2589" t="s">
        <v>444</v>
      </c>
      <c r="B2589">
        <v>2013</v>
      </c>
      <c r="C2589" t="s">
        <v>273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COUNT(LifeExpectancyData[[#This Row],[Life expectancy]:[Schooling]])=19</f>
        <v>0</v>
      </c>
    </row>
    <row r="2590" spans="1:23" x14ac:dyDescent="0.25">
      <c r="A2590" t="s">
        <v>444</v>
      </c>
      <c r="B2590">
        <v>2012</v>
      </c>
      <c r="C2590" t="s">
        <v>273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COUNT(LifeExpectancyData[[#This Row],[Life expectancy]:[Schooling]])=19</f>
        <v>0</v>
      </c>
    </row>
    <row r="2591" spans="1:23" x14ac:dyDescent="0.25">
      <c r="A2591" t="s">
        <v>444</v>
      </c>
      <c r="B2591">
        <v>2011</v>
      </c>
      <c r="C2591" t="s">
        <v>273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COUNT(LifeExpectancyData[[#This Row],[Life expectancy]:[Schooling]])=19</f>
        <v>0</v>
      </c>
    </row>
    <row r="2592" spans="1:23" x14ac:dyDescent="0.25">
      <c r="A2592" t="s">
        <v>444</v>
      </c>
      <c r="B2592">
        <v>2010</v>
      </c>
      <c r="C2592" t="s">
        <v>273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COUNT(LifeExpectancyData[[#This Row],[Life expectancy]:[Schooling]])=19</f>
        <v>0</v>
      </c>
    </row>
    <row r="2593" spans="1:23" x14ac:dyDescent="0.25">
      <c r="A2593" t="s">
        <v>444</v>
      </c>
      <c r="B2593">
        <v>2009</v>
      </c>
      <c r="C2593" t="s">
        <v>273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COUNT(LifeExpectancyData[[#This Row],[Life expectancy]:[Schooling]])=19</f>
        <v>0</v>
      </c>
    </row>
    <row r="2594" spans="1:23" x14ac:dyDescent="0.25">
      <c r="A2594" t="s">
        <v>444</v>
      </c>
      <c r="B2594">
        <v>2008</v>
      </c>
      <c r="C2594" t="s">
        <v>273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COUNT(LifeExpectancyData[[#This Row],[Life expectancy]:[Schooling]])=19</f>
        <v>0</v>
      </c>
    </row>
    <row r="2595" spans="1:23" x14ac:dyDescent="0.25">
      <c r="A2595" t="s">
        <v>444</v>
      </c>
      <c r="B2595">
        <v>2007</v>
      </c>
      <c r="C2595" t="s">
        <v>273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COUNT(LifeExpectancyData[[#This Row],[Life expectancy]:[Schooling]])=19</f>
        <v>0</v>
      </c>
    </row>
    <row r="2596" spans="1:23" x14ac:dyDescent="0.25">
      <c r="A2596" t="s">
        <v>444</v>
      </c>
      <c r="B2596">
        <v>2006</v>
      </c>
      <c r="C2596" t="s">
        <v>273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COUNT(LifeExpectancyData[[#This Row],[Life expectancy]:[Schooling]])=19</f>
        <v>0</v>
      </c>
    </row>
    <row r="2597" spans="1:23" x14ac:dyDescent="0.25">
      <c r="A2597" t="s">
        <v>444</v>
      </c>
      <c r="B2597">
        <v>2005</v>
      </c>
      <c r="C2597" t="s">
        <v>273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COUNT(LifeExpectancyData[[#This Row],[Life expectancy]:[Schooling]])=19</f>
        <v>0</v>
      </c>
    </row>
    <row r="2598" spans="1:23" x14ac:dyDescent="0.25">
      <c r="A2598" t="s">
        <v>444</v>
      </c>
      <c r="B2598">
        <v>2004</v>
      </c>
      <c r="C2598" t="s">
        <v>273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COUNT(LifeExpectancyData[[#This Row],[Life expectancy]:[Schooling]])=19</f>
        <v>0</v>
      </c>
    </row>
    <row r="2599" spans="1:23" x14ac:dyDescent="0.25">
      <c r="A2599" t="s">
        <v>444</v>
      </c>
      <c r="B2599">
        <v>2003</v>
      </c>
      <c r="C2599" t="s">
        <v>273</v>
      </c>
      <c r="D2599">
        <v>73.2</v>
      </c>
      <c r="E2599">
        <v>126</v>
      </c>
      <c r="F2599">
        <v>0</v>
      </c>
      <c r="G2599">
        <v>2.4</v>
      </c>
      <c r="H2599">
        <v>0</v>
      </c>
      <c r="J2599">
        <v>18</v>
      </c>
      <c r="K2599">
        <v>54.1</v>
      </c>
      <c r="L2599">
        <v>0</v>
      </c>
      <c r="M2599">
        <v>96</v>
      </c>
      <c r="N2599">
        <v>9.17</v>
      </c>
      <c r="O2599">
        <v>96</v>
      </c>
      <c r="P2599">
        <v>0.1</v>
      </c>
      <c r="S2599">
        <v>2.7</v>
      </c>
      <c r="T2599">
        <v>2.7</v>
      </c>
      <c r="U2599">
        <v>0</v>
      </c>
      <c r="V2599">
        <v>11.9</v>
      </c>
      <c r="W2599" t="b">
        <f>COUNT(LifeExpectancyData[[#This Row],[Life expectancy]:[Schooling]])=19</f>
        <v>0</v>
      </c>
    </row>
    <row r="2600" spans="1:23" x14ac:dyDescent="0.25">
      <c r="A2600" t="s">
        <v>444</v>
      </c>
      <c r="B2600">
        <v>2002</v>
      </c>
      <c r="C2600" t="s">
        <v>273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COUNT(LifeExpectancyData[[#This Row],[Life expectancy]:[Schooling]])=19</f>
        <v>0</v>
      </c>
    </row>
    <row r="2601" spans="1:23" x14ac:dyDescent="0.25">
      <c r="A2601" t="s">
        <v>444</v>
      </c>
      <c r="B2601">
        <v>2001</v>
      </c>
      <c r="C2601" t="s">
        <v>273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COUNT(LifeExpectancyData[[#This Row],[Life expectancy]:[Schooling]])=19</f>
        <v>0</v>
      </c>
    </row>
    <row r="2602" spans="1:23" x14ac:dyDescent="0.25">
      <c r="A2602" t="s">
        <v>444</v>
      </c>
      <c r="B2602">
        <v>2000</v>
      </c>
      <c r="C2602" t="s">
        <v>273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COUNT(LifeExpectancyData[[#This Row],[Life expectancy]:[Schooling]])=19</f>
        <v>0</v>
      </c>
    </row>
    <row r="2603" spans="1:23" x14ac:dyDescent="0.25">
      <c r="A2603" t="s">
        <v>445</v>
      </c>
      <c r="B2603">
        <v>2015</v>
      </c>
      <c r="C2603" t="s">
        <v>273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COUNT(LifeExpectancyData[[#This Row],[Life expectancy]:[Schooling]])=19</f>
        <v>0</v>
      </c>
    </row>
    <row r="2604" spans="1:23" x14ac:dyDescent="0.25">
      <c r="A2604" t="s">
        <v>445</v>
      </c>
      <c r="B2604">
        <v>2014</v>
      </c>
      <c r="C2604" t="s">
        <v>273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COUNT(LifeExpectancyData[[#This Row],[Life expectancy]:[Schooling]])=19</f>
        <v>1</v>
      </c>
    </row>
    <row r="2605" spans="1:23" x14ac:dyDescent="0.25">
      <c r="A2605" t="s">
        <v>445</v>
      </c>
      <c r="B2605">
        <v>2013</v>
      </c>
      <c r="C2605" t="s">
        <v>273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COUNT(LifeExpectancyData[[#This Row],[Life expectancy]:[Schooling]])=19</f>
        <v>1</v>
      </c>
    </row>
    <row r="2606" spans="1:23" x14ac:dyDescent="0.25">
      <c r="A2606" t="s">
        <v>445</v>
      </c>
      <c r="B2606">
        <v>2012</v>
      </c>
      <c r="C2606" t="s">
        <v>273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COUNT(LifeExpectancyData[[#This Row],[Life expectancy]:[Schooling]])=19</f>
        <v>1</v>
      </c>
    </row>
    <row r="2607" spans="1:23" x14ac:dyDescent="0.25">
      <c r="A2607" t="s">
        <v>445</v>
      </c>
      <c r="B2607">
        <v>2011</v>
      </c>
      <c r="C2607" t="s">
        <v>273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COUNT(LifeExpectancyData[[#This Row],[Life expectancy]:[Schooling]])=19</f>
        <v>1</v>
      </c>
    </row>
    <row r="2608" spans="1:23" x14ac:dyDescent="0.25">
      <c r="A2608" t="s">
        <v>445</v>
      </c>
      <c r="B2608">
        <v>2010</v>
      </c>
      <c r="C2608" t="s">
        <v>273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COUNT(LifeExpectancyData[[#This Row],[Life expectancy]:[Schooling]])=19</f>
        <v>1</v>
      </c>
    </row>
    <row r="2609" spans="1:23" x14ac:dyDescent="0.25">
      <c r="A2609" t="s">
        <v>445</v>
      </c>
      <c r="B2609">
        <v>2009</v>
      </c>
      <c r="C2609" t="s">
        <v>273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COUNT(LifeExpectancyData[[#This Row],[Life expectancy]:[Schooling]])=19</f>
        <v>1</v>
      </c>
    </row>
    <row r="2610" spans="1:23" x14ac:dyDescent="0.25">
      <c r="A2610" t="s">
        <v>445</v>
      </c>
      <c r="B2610">
        <v>2008</v>
      </c>
      <c r="C2610" t="s">
        <v>273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COUNT(LifeExpectancyData[[#This Row],[Life expectancy]:[Schooling]])=19</f>
        <v>1</v>
      </c>
    </row>
    <row r="2611" spans="1:23" x14ac:dyDescent="0.25">
      <c r="A2611" t="s">
        <v>445</v>
      </c>
      <c r="B2611">
        <v>2007</v>
      </c>
      <c r="C2611" t="s">
        <v>273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COUNT(LifeExpectancyData[[#This Row],[Life expectancy]:[Schooling]])=19</f>
        <v>0</v>
      </c>
    </row>
    <row r="2612" spans="1:23" x14ac:dyDescent="0.25">
      <c r="A2612" t="s">
        <v>445</v>
      </c>
      <c r="B2612">
        <v>2006</v>
      </c>
      <c r="C2612" t="s">
        <v>273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COUNT(LifeExpectancyData[[#This Row],[Life expectancy]:[Schooling]])=19</f>
        <v>0</v>
      </c>
    </row>
    <row r="2613" spans="1:23" x14ac:dyDescent="0.25">
      <c r="A2613" t="s">
        <v>445</v>
      </c>
      <c r="B2613">
        <v>2005</v>
      </c>
      <c r="C2613" t="s">
        <v>273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COUNT(LifeExpectancyData[[#This Row],[Life expectancy]:[Schooling]])=19</f>
        <v>0</v>
      </c>
    </row>
    <row r="2614" spans="1:23" x14ac:dyDescent="0.25">
      <c r="A2614" t="s">
        <v>445</v>
      </c>
      <c r="B2614">
        <v>2004</v>
      </c>
      <c r="C2614" t="s">
        <v>273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COUNT(LifeExpectancyData[[#This Row],[Life expectancy]:[Schooling]])=19</f>
        <v>0</v>
      </c>
    </row>
    <row r="2615" spans="1:23" x14ac:dyDescent="0.25">
      <c r="A2615" t="s">
        <v>445</v>
      </c>
      <c r="B2615">
        <v>2003</v>
      </c>
      <c r="C2615" t="s">
        <v>273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COUNT(LifeExpectancyData[[#This Row],[Life expectancy]:[Schooling]])=19</f>
        <v>0</v>
      </c>
    </row>
    <row r="2616" spans="1:23" x14ac:dyDescent="0.25">
      <c r="A2616" t="s">
        <v>445</v>
      </c>
      <c r="B2616">
        <v>2002</v>
      </c>
      <c r="C2616" t="s">
        <v>273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COUNT(LifeExpectancyData[[#This Row],[Life expectancy]:[Schooling]])=19</f>
        <v>0</v>
      </c>
    </row>
    <row r="2617" spans="1:23" x14ac:dyDescent="0.25">
      <c r="A2617" t="s">
        <v>445</v>
      </c>
      <c r="B2617">
        <v>2001</v>
      </c>
      <c r="C2617" t="s">
        <v>273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COUNT(LifeExpectancyData[[#This Row],[Life expectancy]:[Schooling]])=19</f>
        <v>0</v>
      </c>
    </row>
    <row r="2618" spans="1:23" x14ac:dyDescent="0.25">
      <c r="A2618" t="s">
        <v>445</v>
      </c>
      <c r="B2618">
        <v>2000</v>
      </c>
      <c r="C2618" t="s">
        <v>273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COUNT(LifeExpectancyData[[#This Row],[Life expectancy]:[Schooling]])=19</f>
        <v>0</v>
      </c>
    </row>
    <row r="2619" spans="1:23" x14ac:dyDescent="0.25">
      <c r="A2619" t="s">
        <v>446</v>
      </c>
      <c r="B2619">
        <v>2015</v>
      </c>
      <c r="C2619" t="s">
        <v>273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COUNT(LifeExpectancyData[[#This Row],[Life expectancy]:[Schooling]])=19</f>
        <v>0</v>
      </c>
    </row>
    <row r="2620" spans="1:23" x14ac:dyDescent="0.25">
      <c r="A2620" t="s">
        <v>446</v>
      </c>
      <c r="B2620">
        <v>2014</v>
      </c>
      <c r="C2620" t="s">
        <v>273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COUNT(LifeExpectancyData[[#This Row],[Life expectancy]:[Schooling]])=19</f>
        <v>1</v>
      </c>
    </row>
    <row r="2621" spans="1:23" x14ac:dyDescent="0.25">
      <c r="A2621" t="s">
        <v>446</v>
      </c>
      <c r="B2621">
        <v>2013</v>
      </c>
      <c r="C2621" t="s">
        <v>273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COUNT(LifeExpectancyData[[#This Row],[Life expectancy]:[Schooling]])=19</f>
        <v>1</v>
      </c>
    </row>
    <row r="2622" spans="1:23" x14ac:dyDescent="0.25">
      <c r="A2622" t="s">
        <v>446</v>
      </c>
      <c r="B2622">
        <v>2012</v>
      </c>
      <c r="C2622" t="s">
        <v>273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COUNT(LifeExpectancyData[[#This Row],[Life expectancy]:[Schooling]])=19</f>
        <v>1</v>
      </c>
    </row>
    <row r="2623" spans="1:23" x14ac:dyDescent="0.25">
      <c r="A2623" t="s">
        <v>446</v>
      </c>
      <c r="B2623">
        <v>2011</v>
      </c>
      <c r="C2623" t="s">
        <v>273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COUNT(LifeExpectancyData[[#This Row],[Life expectancy]:[Schooling]])=19</f>
        <v>1</v>
      </c>
    </row>
    <row r="2624" spans="1:23" x14ac:dyDescent="0.25">
      <c r="A2624" t="s">
        <v>446</v>
      </c>
      <c r="B2624">
        <v>2010</v>
      </c>
      <c r="C2624" t="s">
        <v>273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COUNT(LifeExpectancyData[[#This Row],[Life expectancy]:[Schooling]])=19</f>
        <v>1</v>
      </c>
    </row>
    <row r="2625" spans="1:23" x14ac:dyDescent="0.25">
      <c r="A2625" t="s">
        <v>446</v>
      </c>
      <c r="B2625">
        <v>2009</v>
      </c>
      <c r="C2625" t="s">
        <v>273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COUNT(LifeExpectancyData[[#This Row],[Life expectancy]:[Schooling]])=19</f>
        <v>1</v>
      </c>
    </row>
    <row r="2626" spans="1:23" x14ac:dyDescent="0.25">
      <c r="A2626" t="s">
        <v>446</v>
      </c>
      <c r="B2626">
        <v>2008</v>
      </c>
      <c r="C2626" t="s">
        <v>273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COUNT(LifeExpectancyData[[#This Row],[Life expectancy]:[Schooling]])=19</f>
        <v>1</v>
      </c>
    </row>
    <row r="2627" spans="1:23" x14ac:dyDescent="0.25">
      <c r="A2627" t="s">
        <v>446</v>
      </c>
      <c r="B2627">
        <v>2007</v>
      </c>
      <c r="C2627" t="s">
        <v>273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COUNT(LifeExpectancyData[[#This Row],[Life expectancy]:[Schooling]])=19</f>
        <v>0</v>
      </c>
    </row>
    <row r="2628" spans="1:23" x14ac:dyDescent="0.25">
      <c r="A2628" t="s">
        <v>446</v>
      </c>
      <c r="B2628">
        <v>2006</v>
      </c>
      <c r="C2628" t="s">
        <v>273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COUNT(LifeExpectancyData[[#This Row],[Life expectancy]:[Schooling]])=19</f>
        <v>0</v>
      </c>
    </row>
    <row r="2629" spans="1:23" x14ac:dyDescent="0.25">
      <c r="A2629" t="s">
        <v>446</v>
      </c>
      <c r="B2629">
        <v>2005</v>
      </c>
      <c r="C2629" t="s">
        <v>273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COUNT(LifeExpectancyData[[#This Row],[Life expectancy]:[Schooling]])=19</f>
        <v>0</v>
      </c>
    </row>
    <row r="2630" spans="1:23" x14ac:dyDescent="0.25">
      <c r="A2630" t="s">
        <v>446</v>
      </c>
      <c r="B2630">
        <v>2004</v>
      </c>
      <c r="C2630" t="s">
        <v>273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COUNT(LifeExpectancyData[[#This Row],[Life expectancy]:[Schooling]])=19</f>
        <v>0</v>
      </c>
    </row>
    <row r="2631" spans="1:23" x14ac:dyDescent="0.25">
      <c r="A2631" t="s">
        <v>446</v>
      </c>
      <c r="B2631">
        <v>2003</v>
      </c>
      <c r="C2631" t="s">
        <v>273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COUNT(LifeExpectancyData[[#This Row],[Life expectancy]:[Schooling]])=19</f>
        <v>0</v>
      </c>
    </row>
    <row r="2632" spans="1:23" x14ac:dyDescent="0.25">
      <c r="A2632" t="s">
        <v>446</v>
      </c>
      <c r="B2632">
        <v>2002</v>
      </c>
      <c r="C2632" t="s">
        <v>273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COUNT(LifeExpectancyData[[#This Row],[Life expectancy]:[Schooling]])=19</f>
        <v>0</v>
      </c>
    </row>
    <row r="2633" spans="1:23" x14ac:dyDescent="0.25">
      <c r="A2633" t="s">
        <v>446</v>
      </c>
      <c r="B2633">
        <v>2001</v>
      </c>
      <c r="C2633" t="s">
        <v>273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COUNT(LifeExpectancyData[[#This Row],[Life expectancy]:[Schooling]])=19</f>
        <v>0</v>
      </c>
    </row>
    <row r="2634" spans="1:23" x14ac:dyDescent="0.25">
      <c r="A2634" t="s">
        <v>446</v>
      </c>
      <c r="B2634">
        <v>2000</v>
      </c>
      <c r="C2634" t="s">
        <v>273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COUNT(LifeExpectancyData[[#This Row],[Life expectancy]:[Schooling]])=19</f>
        <v>0</v>
      </c>
    </row>
    <row r="2635" spans="1:23" x14ac:dyDescent="0.25">
      <c r="A2635" t="s">
        <v>447</v>
      </c>
      <c r="B2635">
        <v>2015</v>
      </c>
      <c r="C2635" t="s">
        <v>273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COUNT(LifeExpectancyData[[#This Row],[Life expectancy]:[Schooling]])=19</f>
        <v>0</v>
      </c>
    </row>
    <row r="2636" spans="1:23" x14ac:dyDescent="0.25">
      <c r="A2636" t="s">
        <v>447</v>
      </c>
      <c r="B2636">
        <v>2014</v>
      </c>
      <c r="C2636" t="s">
        <v>273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COUNT(LifeExpectancyData[[#This Row],[Life expectancy]:[Schooling]])=19</f>
        <v>1</v>
      </c>
    </row>
    <row r="2637" spans="1:23" x14ac:dyDescent="0.25">
      <c r="A2637" t="s">
        <v>447</v>
      </c>
      <c r="B2637">
        <v>2013</v>
      </c>
      <c r="C2637" t="s">
        <v>273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COUNT(LifeExpectancyData[[#This Row],[Life expectancy]:[Schooling]])=19</f>
        <v>1</v>
      </c>
    </row>
    <row r="2638" spans="1:23" x14ac:dyDescent="0.25">
      <c r="A2638" t="s">
        <v>447</v>
      </c>
      <c r="B2638">
        <v>2012</v>
      </c>
      <c r="C2638" t="s">
        <v>273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COUNT(LifeExpectancyData[[#This Row],[Life expectancy]:[Schooling]])=19</f>
        <v>1</v>
      </c>
    </row>
    <row r="2639" spans="1:23" x14ac:dyDescent="0.25">
      <c r="A2639" t="s">
        <v>447</v>
      </c>
      <c r="B2639">
        <v>2011</v>
      </c>
      <c r="C2639" t="s">
        <v>273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COUNT(LifeExpectancyData[[#This Row],[Life expectancy]:[Schooling]])=19</f>
        <v>1</v>
      </c>
    </row>
    <row r="2640" spans="1:23" x14ac:dyDescent="0.25">
      <c r="A2640" t="s">
        <v>447</v>
      </c>
      <c r="B2640">
        <v>2010</v>
      </c>
      <c r="C2640" t="s">
        <v>273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COUNT(LifeExpectancyData[[#This Row],[Life expectancy]:[Schooling]])=19</f>
        <v>1</v>
      </c>
    </row>
    <row r="2641" spans="1:23" x14ac:dyDescent="0.25">
      <c r="A2641" t="s">
        <v>447</v>
      </c>
      <c r="B2641">
        <v>2009</v>
      </c>
      <c r="C2641" t="s">
        <v>273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COUNT(LifeExpectancyData[[#This Row],[Life expectancy]:[Schooling]])=19</f>
        <v>1</v>
      </c>
    </row>
    <row r="2642" spans="1:23" x14ac:dyDescent="0.25">
      <c r="A2642" t="s">
        <v>447</v>
      </c>
      <c r="B2642">
        <v>2008</v>
      </c>
      <c r="C2642" t="s">
        <v>273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COUNT(LifeExpectancyData[[#This Row],[Life expectancy]:[Schooling]])=19</f>
        <v>1</v>
      </c>
    </row>
    <row r="2643" spans="1:23" x14ac:dyDescent="0.25">
      <c r="A2643" t="s">
        <v>447</v>
      </c>
      <c r="B2643">
        <v>2007</v>
      </c>
      <c r="C2643" t="s">
        <v>273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COUNT(LifeExpectancyData[[#This Row],[Life expectancy]:[Schooling]])=19</f>
        <v>1</v>
      </c>
    </row>
    <row r="2644" spans="1:23" x14ac:dyDescent="0.25">
      <c r="A2644" t="s">
        <v>447</v>
      </c>
      <c r="B2644">
        <v>2006</v>
      </c>
      <c r="C2644" t="s">
        <v>273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COUNT(LifeExpectancyData[[#This Row],[Life expectancy]:[Schooling]])=19</f>
        <v>1</v>
      </c>
    </row>
    <row r="2645" spans="1:23" x14ac:dyDescent="0.25">
      <c r="A2645" t="s">
        <v>447</v>
      </c>
      <c r="B2645">
        <v>2005</v>
      </c>
      <c r="C2645" t="s">
        <v>273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COUNT(LifeExpectancyData[[#This Row],[Life expectancy]:[Schooling]])=19</f>
        <v>1</v>
      </c>
    </row>
    <row r="2646" spans="1:23" x14ac:dyDescent="0.25">
      <c r="A2646" t="s">
        <v>447</v>
      </c>
      <c r="B2646">
        <v>2004</v>
      </c>
      <c r="C2646" t="s">
        <v>273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COUNT(LifeExpectancyData[[#This Row],[Life expectancy]:[Schooling]])=19</f>
        <v>1</v>
      </c>
    </row>
    <row r="2647" spans="1:23" x14ac:dyDescent="0.25">
      <c r="A2647" t="s">
        <v>447</v>
      </c>
      <c r="B2647">
        <v>2003</v>
      </c>
      <c r="C2647" t="s">
        <v>273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COUNT(LifeExpectancyData[[#This Row],[Life expectancy]:[Schooling]])=19</f>
        <v>1</v>
      </c>
    </row>
    <row r="2648" spans="1:23" x14ac:dyDescent="0.25">
      <c r="A2648" t="s">
        <v>447</v>
      </c>
      <c r="B2648">
        <v>2002</v>
      </c>
      <c r="C2648" t="s">
        <v>273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COUNT(LifeExpectancyData[[#This Row],[Life expectancy]:[Schooling]])=19</f>
        <v>1</v>
      </c>
    </row>
    <row r="2649" spans="1:23" x14ac:dyDescent="0.25">
      <c r="A2649" t="s">
        <v>447</v>
      </c>
      <c r="B2649">
        <v>2001</v>
      </c>
      <c r="C2649" t="s">
        <v>273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COUNT(LifeExpectancyData[[#This Row],[Life expectancy]:[Schooling]])=19</f>
        <v>1</v>
      </c>
    </row>
    <row r="2650" spans="1:23" x14ac:dyDescent="0.25">
      <c r="A2650" t="s">
        <v>447</v>
      </c>
      <c r="B2650">
        <v>2000</v>
      </c>
      <c r="C2650" t="s">
        <v>273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COUNT(LifeExpectancyData[[#This Row],[Life expectancy]:[Schooling]])=19</f>
        <v>1</v>
      </c>
    </row>
    <row r="2651" spans="1:23" x14ac:dyDescent="0.25">
      <c r="A2651" t="s">
        <v>448</v>
      </c>
      <c r="B2651">
        <v>2015</v>
      </c>
      <c r="C2651" t="s">
        <v>273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COUNT(LifeExpectancyData[[#This Row],[Life expectancy]:[Schooling]])=19</f>
        <v>0</v>
      </c>
    </row>
    <row r="2652" spans="1:23" x14ac:dyDescent="0.25">
      <c r="A2652" t="s">
        <v>448</v>
      </c>
      <c r="B2652">
        <v>2014</v>
      </c>
      <c r="C2652" t="s">
        <v>273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COUNT(LifeExpectancyData[[#This Row],[Life expectancy]:[Schooling]])=19</f>
        <v>1</v>
      </c>
    </row>
    <row r="2653" spans="1:23" x14ac:dyDescent="0.25">
      <c r="A2653" t="s">
        <v>448</v>
      </c>
      <c r="B2653">
        <v>2013</v>
      </c>
      <c r="C2653" t="s">
        <v>273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COUNT(LifeExpectancyData[[#This Row],[Life expectancy]:[Schooling]])=19</f>
        <v>1</v>
      </c>
    </row>
    <row r="2654" spans="1:23" x14ac:dyDescent="0.25">
      <c r="A2654" t="s">
        <v>448</v>
      </c>
      <c r="B2654">
        <v>2012</v>
      </c>
      <c r="C2654" t="s">
        <v>273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COUNT(LifeExpectancyData[[#This Row],[Life expectancy]:[Schooling]])=19</f>
        <v>1</v>
      </c>
    </row>
    <row r="2655" spans="1:23" x14ac:dyDescent="0.25">
      <c r="A2655" t="s">
        <v>448</v>
      </c>
      <c r="B2655">
        <v>2011</v>
      </c>
      <c r="C2655" t="s">
        <v>273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COUNT(LifeExpectancyData[[#This Row],[Life expectancy]:[Schooling]])=19</f>
        <v>1</v>
      </c>
    </row>
    <row r="2656" spans="1:23" x14ac:dyDescent="0.25">
      <c r="A2656" t="s">
        <v>448</v>
      </c>
      <c r="B2656">
        <v>2010</v>
      </c>
      <c r="C2656" t="s">
        <v>273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COUNT(LifeExpectancyData[[#This Row],[Life expectancy]:[Schooling]])=19</f>
        <v>1</v>
      </c>
    </row>
    <row r="2657" spans="1:23" x14ac:dyDescent="0.25">
      <c r="A2657" t="s">
        <v>448</v>
      </c>
      <c r="B2657">
        <v>2009</v>
      </c>
      <c r="C2657" t="s">
        <v>273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COUNT(LifeExpectancyData[[#This Row],[Life expectancy]:[Schooling]])=19</f>
        <v>1</v>
      </c>
    </row>
    <row r="2658" spans="1:23" x14ac:dyDescent="0.25">
      <c r="A2658" t="s">
        <v>448</v>
      </c>
      <c r="B2658">
        <v>2008</v>
      </c>
      <c r="C2658" t="s">
        <v>273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COUNT(LifeExpectancyData[[#This Row],[Life expectancy]:[Schooling]])=19</f>
        <v>1</v>
      </c>
    </row>
    <row r="2659" spans="1:23" x14ac:dyDescent="0.25">
      <c r="A2659" t="s">
        <v>448</v>
      </c>
      <c r="B2659">
        <v>2007</v>
      </c>
      <c r="C2659" t="s">
        <v>273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COUNT(LifeExpectancyData[[#This Row],[Life expectancy]:[Schooling]])=19</f>
        <v>1</v>
      </c>
    </row>
    <row r="2660" spans="1:23" x14ac:dyDescent="0.25">
      <c r="A2660" t="s">
        <v>448</v>
      </c>
      <c r="B2660">
        <v>2006</v>
      </c>
      <c r="C2660" t="s">
        <v>273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COUNT(LifeExpectancyData[[#This Row],[Life expectancy]:[Schooling]])=19</f>
        <v>1</v>
      </c>
    </row>
    <row r="2661" spans="1:23" x14ac:dyDescent="0.25">
      <c r="A2661" t="s">
        <v>448</v>
      </c>
      <c r="B2661">
        <v>2005</v>
      </c>
      <c r="C2661" t="s">
        <v>273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COUNT(LifeExpectancyData[[#This Row],[Life expectancy]:[Schooling]])=19</f>
        <v>1</v>
      </c>
    </row>
    <row r="2662" spans="1:23" x14ac:dyDescent="0.25">
      <c r="A2662" t="s">
        <v>448</v>
      </c>
      <c r="B2662">
        <v>2004</v>
      </c>
      <c r="C2662" t="s">
        <v>273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COUNT(LifeExpectancyData[[#This Row],[Life expectancy]:[Schooling]])=19</f>
        <v>1</v>
      </c>
    </row>
    <row r="2663" spans="1:23" x14ac:dyDescent="0.25">
      <c r="A2663" t="s">
        <v>448</v>
      </c>
      <c r="B2663">
        <v>2003</v>
      </c>
      <c r="C2663" t="s">
        <v>273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COUNT(LifeExpectancyData[[#This Row],[Life expectancy]:[Schooling]])=19</f>
        <v>1</v>
      </c>
    </row>
    <row r="2664" spans="1:23" x14ac:dyDescent="0.25">
      <c r="A2664" t="s">
        <v>448</v>
      </c>
      <c r="B2664">
        <v>2002</v>
      </c>
      <c r="C2664" t="s">
        <v>273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COUNT(LifeExpectancyData[[#This Row],[Life expectancy]:[Schooling]])=19</f>
        <v>1</v>
      </c>
    </row>
    <row r="2665" spans="1:23" x14ac:dyDescent="0.25">
      <c r="A2665" t="s">
        <v>448</v>
      </c>
      <c r="B2665">
        <v>2001</v>
      </c>
      <c r="C2665" t="s">
        <v>273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COUNT(LifeExpectancyData[[#This Row],[Life expectancy]:[Schooling]])=19</f>
        <v>0</v>
      </c>
    </row>
    <row r="2666" spans="1:23" x14ac:dyDescent="0.25">
      <c r="A2666" t="s">
        <v>448</v>
      </c>
      <c r="B2666">
        <v>2000</v>
      </c>
      <c r="C2666" t="s">
        <v>273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COUNT(LifeExpectancyData[[#This Row],[Life expectancy]:[Schooling]])=19</f>
        <v>0</v>
      </c>
    </row>
    <row r="2667" spans="1:23" x14ac:dyDescent="0.25">
      <c r="A2667" t="s">
        <v>449</v>
      </c>
      <c r="B2667">
        <v>2015</v>
      </c>
      <c r="C2667" t="s">
        <v>273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COUNT(LifeExpectancyData[[#This Row],[Life expectancy]:[Schooling]])=19</f>
        <v>0</v>
      </c>
    </row>
    <row r="2668" spans="1:23" x14ac:dyDescent="0.25">
      <c r="A2668" t="s">
        <v>449</v>
      </c>
      <c r="B2668">
        <v>2014</v>
      </c>
      <c r="C2668" t="s">
        <v>273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COUNT(LifeExpectancyData[[#This Row],[Life expectancy]:[Schooling]])=19</f>
        <v>1</v>
      </c>
    </row>
    <row r="2669" spans="1:23" x14ac:dyDescent="0.25">
      <c r="A2669" t="s">
        <v>449</v>
      </c>
      <c r="B2669">
        <v>2013</v>
      </c>
      <c r="C2669" t="s">
        <v>273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COUNT(LifeExpectancyData[[#This Row],[Life expectancy]:[Schooling]])=19</f>
        <v>1</v>
      </c>
    </row>
    <row r="2670" spans="1:23" x14ac:dyDescent="0.25">
      <c r="A2670" t="s">
        <v>449</v>
      </c>
      <c r="B2670">
        <v>2012</v>
      </c>
      <c r="C2670" t="s">
        <v>273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COUNT(LifeExpectancyData[[#This Row],[Life expectancy]:[Schooling]])=19</f>
        <v>1</v>
      </c>
    </row>
    <row r="2671" spans="1:23" x14ac:dyDescent="0.25">
      <c r="A2671" t="s">
        <v>449</v>
      </c>
      <c r="B2671">
        <v>2011</v>
      </c>
      <c r="C2671" t="s">
        <v>273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COUNT(LifeExpectancyData[[#This Row],[Life expectancy]:[Schooling]])=19</f>
        <v>1</v>
      </c>
    </row>
    <row r="2672" spans="1:23" x14ac:dyDescent="0.25">
      <c r="A2672" t="s">
        <v>449</v>
      </c>
      <c r="B2672">
        <v>2010</v>
      </c>
      <c r="C2672" t="s">
        <v>273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COUNT(LifeExpectancyData[[#This Row],[Life expectancy]:[Schooling]])=19</f>
        <v>1</v>
      </c>
    </row>
    <row r="2673" spans="1:23" x14ac:dyDescent="0.25">
      <c r="A2673" t="s">
        <v>449</v>
      </c>
      <c r="B2673">
        <v>2009</v>
      </c>
      <c r="C2673" t="s">
        <v>273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COUNT(LifeExpectancyData[[#This Row],[Life expectancy]:[Schooling]])=19</f>
        <v>1</v>
      </c>
    </row>
    <row r="2674" spans="1:23" x14ac:dyDescent="0.25">
      <c r="A2674" t="s">
        <v>449</v>
      </c>
      <c r="B2674">
        <v>2008</v>
      </c>
      <c r="C2674" t="s">
        <v>273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COUNT(LifeExpectancyData[[#This Row],[Life expectancy]:[Schooling]])=19</f>
        <v>1</v>
      </c>
    </row>
    <row r="2675" spans="1:23" x14ac:dyDescent="0.25">
      <c r="A2675" t="s">
        <v>449</v>
      </c>
      <c r="B2675">
        <v>2007</v>
      </c>
      <c r="C2675" t="s">
        <v>273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COUNT(LifeExpectancyData[[#This Row],[Life expectancy]:[Schooling]])=19</f>
        <v>1</v>
      </c>
    </row>
    <row r="2676" spans="1:23" x14ac:dyDescent="0.25">
      <c r="A2676" t="s">
        <v>449</v>
      </c>
      <c r="B2676">
        <v>2006</v>
      </c>
      <c r="C2676" t="s">
        <v>273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COUNT(LifeExpectancyData[[#This Row],[Life expectancy]:[Schooling]])=19</f>
        <v>1</v>
      </c>
    </row>
    <row r="2677" spans="1:23" x14ac:dyDescent="0.25">
      <c r="A2677" t="s">
        <v>449</v>
      </c>
      <c r="B2677">
        <v>2005</v>
      </c>
      <c r="C2677" t="s">
        <v>273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COUNT(LifeExpectancyData[[#This Row],[Life expectancy]:[Schooling]])=19</f>
        <v>1</v>
      </c>
    </row>
    <row r="2678" spans="1:23" x14ac:dyDescent="0.25">
      <c r="A2678" t="s">
        <v>449</v>
      </c>
      <c r="B2678">
        <v>2004</v>
      </c>
      <c r="C2678" t="s">
        <v>273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COUNT(LifeExpectancyData[[#This Row],[Life expectancy]:[Schooling]])=19</f>
        <v>1</v>
      </c>
    </row>
    <row r="2679" spans="1:23" x14ac:dyDescent="0.25">
      <c r="A2679" t="s">
        <v>449</v>
      </c>
      <c r="B2679">
        <v>2003</v>
      </c>
      <c r="C2679" t="s">
        <v>273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COUNT(LifeExpectancyData[[#This Row],[Life expectancy]:[Schooling]])=19</f>
        <v>1</v>
      </c>
    </row>
    <row r="2680" spans="1:23" x14ac:dyDescent="0.25">
      <c r="A2680" t="s">
        <v>449</v>
      </c>
      <c r="B2680">
        <v>2002</v>
      </c>
      <c r="C2680" t="s">
        <v>273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COUNT(LifeExpectancyData[[#This Row],[Life expectancy]:[Schooling]])=19</f>
        <v>1</v>
      </c>
    </row>
    <row r="2681" spans="1:23" x14ac:dyDescent="0.25">
      <c r="A2681" t="s">
        <v>449</v>
      </c>
      <c r="B2681">
        <v>2001</v>
      </c>
      <c r="C2681" t="s">
        <v>273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COUNT(LifeExpectancyData[[#This Row],[Life expectancy]:[Schooling]])=19</f>
        <v>1</v>
      </c>
    </row>
    <row r="2682" spans="1:23" x14ac:dyDescent="0.25">
      <c r="A2682" t="s">
        <v>449</v>
      </c>
      <c r="B2682">
        <v>2000</v>
      </c>
      <c r="C2682" t="s">
        <v>273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COUNT(LifeExpectancyData[[#This Row],[Life expectancy]:[Schooling]])=19</f>
        <v>1</v>
      </c>
    </row>
    <row r="2683" spans="1:23" x14ac:dyDescent="0.25">
      <c r="A2683" t="s">
        <v>450</v>
      </c>
      <c r="B2683">
        <v>2015</v>
      </c>
      <c r="C2683" t="s">
        <v>273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COUNT(LifeExpectancyData[[#This Row],[Life expectancy]:[Schooling]])=19</f>
        <v>0</v>
      </c>
    </row>
    <row r="2684" spans="1:23" x14ac:dyDescent="0.25">
      <c r="A2684" t="s">
        <v>450</v>
      </c>
      <c r="B2684">
        <v>2014</v>
      </c>
      <c r="C2684" t="s">
        <v>273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COUNT(LifeExpectancyData[[#This Row],[Life expectancy]:[Schooling]])=19</f>
        <v>1</v>
      </c>
    </row>
    <row r="2685" spans="1:23" x14ac:dyDescent="0.25">
      <c r="A2685" t="s">
        <v>450</v>
      </c>
      <c r="B2685">
        <v>2013</v>
      </c>
      <c r="C2685" t="s">
        <v>273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COUNT(LifeExpectancyData[[#This Row],[Life expectancy]:[Schooling]])=19</f>
        <v>1</v>
      </c>
    </row>
    <row r="2686" spans="1:23" x14ac:dyDescent="0.25">
      <c r="A2686" t="s">
        <v>450</v>
      </c>
      <c r="B2686">
        <v>2012</v>
      </c>
      <c r="C2686" t="s">
        <v>273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COUNT(LifeExpectancyData[[#This Row],[Life expectancy]:[Schooling]])=19</f>
        <v>1</v>
      </c>
    </row>
    <row r="2687" spans="1:23" x14ac:dyDescent="0.25">
      <c r="A2687" t="s">
        <v>450</v>
      </c>
      <c r="B2687">
        <v>2011</v>
      </c>
      <c r="C2687" t="s">
        <v>273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COUNT(LifeExpectancyData[[#This Row],[Life expectancy]:[Schooling]])=19</f>
        <v>1</v>
      </c>
    </row>
    <row r="2688" spans="1:23" x14ac:dyDescent="0.25">
      <c r="A2688" t="s">
        <v>450</v>
      </c>
      <c r="B2688">
        <v>2010</v>
      </c>
      <c r="C2688" t="s">
        <v>273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COUNT(LifeExpectancyData[[#This Row],[Life expectancy]:[Schooling]])=19</f>
        <v>1</v>
      </c>
    </row>
    <row r="2689" spans="1:23" x14ac:dyDescent="0.25">
      <c r="A2689" t="s">
        <v>450</v>
      </c>
      <c r="B2689">
        <v>2009</v>
      </c>
      <c r="C2689" t="s">
        <v>273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COUNT(LifeExpectancyData[[#This Row],[Life expectancy]:[Schooling]])=19</f>
        <v>1</v>
      </c>
    </row>
    <row r="2690" spans="1:23" x14ac:dyDescent="0.25">
      <c r="A2690" t="s">
        <v>450</v>
      </c>
      <c r="B2690">
        <v>2008</v>
      </c>
      <c r="C2690" t="s">
        <v>273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COUNT(LifeExpectancyData[[#This Row],[Life expectancy]:[Schooling]])=19</f>
        <v>1</v>
      </c>
    </row>
    <row r="2691" spans="1:23" x14ac:dyDescent="0.25">
      <c r="A2691" t="s">
        <v>450</v>
      </c>
      <c r="B2691">
        <v>2007</v>
      </c>
      <c r="C2691" t="s">
        <v>273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COUNT(LifeExpectancyData[[#This Row],[Life expectancy]:[Schooling]])=19</f>
        <v>1</v>
      </c>
    </row>
    <row r="2692" spans="1:23" x14ac:dyDescent="0.25">
      <c r="A2692" t="s">
        <v>450</v>
      </c>
      <c r="B2692">
        <v>2006</v>
      </c>
      <c r="C2692" t="s">
        <v>273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COUNT(LifeExpectancyData[[#This Row],[Life expectancy]:[Schooling]])=19</f>
        <v>1</v>
      </c>
    </row>
    <row r="2693" spans="1:23" x14ac:dyDescent="0.25">
      <c r="A2693" t="s">
        <v>450</v>
      </c>
      <c r="B2693">
        <v>2005</v>
      </c>
      <c r="C2693" t="s">
        <v>273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COUNT(LifeExpectancyData[[#This Row],[Life expectancy]:[Schooling]])=19</f>
        <v>1</v>
      </c>
    </row>
    <row r="2694" spans="1:23" x14ac:dyDescent="0.25">
      <c r="A2694" t="s">
        <v>450</v>
      </c>
      <c r="B2694">
        <v>2004</v>
      </c>
      <c r="C2694" t="s">
        <v>273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COUNT(LifeExpectancyData[[#This Row],[Life expectancy]:[Schooling]])=19</f>
        <v>1</v>
      </c>
    </row>
    <row r="2695" spans="1:23" x14ac:dyDescent="0.25">
      <c r="A2695" t="s">
        <v>450</v>
      </c>
      <c r="B2695">
        <v>2003</v>
      </c>
      <c r="C2695" t="s">
        <v>273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COUNT(LifeExpectancyData[[#This Row],[Life expectancy]:[Schooling]])=19</f>
        <v>1</v>
      </c>
    </row>
    <row r="2696" spans="1:23" x14ac:dyDescent="0.25">
      <c r="A2696" t="s">
        <v>450</v>
      </c>
      <c r="B2696">
        <v>2002</v>
      </c>
      <c r="C2696" t="s">
        <v>273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COUNT(LifeExpectancyData[[#This Row],[Life expectancy]:[Schooling]])=19</f>
        <v>1</v>
      </c>
    </row>
    <row r="2697" spans="1:23" x14ac:dyDescent="0.25">
      <c r="A2697" t="s">
        <v>450</v>
      </c>
      <c r="B2697">
        <v>2001</v>
      </c>
      <c r="C2697" t="s">
        <v>273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COUNT(LifeExpectancyData[[#This Row],[Life expectancy]:[Schooling]])=19</f>
        <v>1</v>
      </c>
    </row>
    <row r="2698" spans="1:23" x14ac:dyDescent="0.25">
      <c r="A2698" t="s">
        <v>450</v>
      </c>
      <c r="B2698">
        <v>2000</v>
      </c>
      <c r="C2698" t="s">
        <v>273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COUNT(LifeExpectancyData[[#This Row],[Life expectancy]:[Schooling]])=19</f>
        <v>1</v>
      </c>
    </row>
    <row r="2699" spans="1:23" x14ac:dyDescent="0.25">
      <c r="A2699" t="s">
        <v>451</v>
      </c>
      <c r="B2699">
        <v>2015</v>
      </c>
      <c r="C2699" t="s">
        <v>273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COUNT(LifeExpectancyData[[#This Row],[Life expectancy]:[Schooling]])=19</f>
        <v>0</v>
      </c>
    </row>
    <row r="2700" spans="1:23" x14ac:dyDescent="0.25">
      <c r="A2700" t="s">
        <v>451</v>
      </c>
      <c r="B2700">
        <v>2014</v>
      </c>
      <c r="C2700" t="s">
        <v>273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COUNT(LifeExpectancyData[[#This Row],[Life expectancy]:[Schooling]])=19</f>
        <v>1</v>
      </c>
    </row>
    <row r="2701" spans="1:23" x14ac:dyDescent="0.25">
      <c r="A2701" t="s">
        <v>451</v>
      </c>
      <c r="B2701">
        <v>2013</v>
      </c>
      <c r="C2701" t="s">
        <v>273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COUNT(LifeExpectancyData[[#This Row],[Life expectancy]:[Schooling]])=19</f>
        <v>1</v>
      </c>
    </row>
    <row r="2702" spans="1:23" x14ac:dyDescent="0.25">
      <c r="A2702" t="s">
        <v>451</v>
      </c>
      <c r="B2702">
        <v>2012</v>
      </c>
      <c r="C2702" t="s">
        <v>273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COUNT(LifeExpectancyData[[#This Row],[Life expectancy]:[Schooling]])=19</f>
        <v>1</v>
      </c>
    </row>
    <row r="2703" spans="1:23" x14ac:dyDescent="0.25">
      <c r="A2703" t="s">
        <v>451</v>
      </c>
      <c r="B2703">
        <v>2011</v>
      </c>
      <c r="C2703" t="s">
        <v>273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COUNT(LifeExpectancyData[[#This Row],[Life expectancy]:[Schooling]])=19</f>
        <v>1</v>
      </c>
    </row>
    <row r="2704" spans="1:23" x14ac:dyDescent="0.25">
      <c r="A2704" t="s">
        <v>451</v>
      </c>
      <c r="B2704">
        <v>2010</v>
      </c>
      <c r="C2704" t="s">
        <v>273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COUNT(LifeExpectancyData[[#This Row],[Life expectancy]:[Schooling]])=19</f>
        <v>1</v>
      </c>
    </row>
    <row r="2705" spans="1:23" x14ac:dyDescent="0.25">
      <c r="A2705" t="s">
        <v>451</v>
      </c>
      <c r="B2705">
        <v>2009</v>
      </c>
      <c r="C2705" t="s">
        <v>273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COUNT(LifeExpectancyData[[#This Row],[Life expectancy]:[Schooling]])=19</f>
        <v>1</v>
      </c>
    </row>
    <row r="2706" spans="1:23" x14ac:dyDescent="0.25">
      <c r="A2706" t="s">
        <v>451</v>
      </c>
      <c r="B2706">
        <v>2008</v>
      </c>
      <c r="C2706" t="s">
        <v>273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COUNT(LifeExpectancyData[[#This Row],[Life expectancy]:[Schooling]])=19</f>
        <v>1</v>
      </c>
    </row>
    <row r="2707" spans="1:23" x14ac:dyDescent="0.25">
      <c r="A2707" t="s">
        <v>451</v>
      </c>
      <c r="B2707">
        <v>2007</v>
      </c>
      <c r="C2707" t="s">
        <v>273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COUNT(LifeExpectancyData[[#This Row],[Life expectancy]:[Schooling]])=19</f>
        <v>1</v>
      </c>
    </row>
    <row r="2708" spans="1:23" x14ac:dyDescent="0.25">
      <c r="A2708" t="s">
        <v>451</v>
      </c>
      <c r="B2708">
        <v>2006</v>
      </c>
      <c r="C2708" t="s">
        <v>273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COUNT(LifeExpectancyData[[#This Row],[Life expectancy]:[Schooling]])=19</f>
        <v>1</v>
      </c>
    </row>
    <row r="2709" spans="1:23" x14ac:dyDescent="0.25">
      <c r="A2709" t="s">
        <v>451</v>
      </c>
      <c r="B2709">
        <v>2005</v>
      </c>
      <c r="C2709" t="s">
        <v>273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COUNT(LifeExpectancyData[[#This Row],[Life expectancy]:[Schooling]])=19</f>
        <v>1</v>
      </c>
    </row>
    <row r="2710" spans="1:23" x14ac:dyDescent="0.25">
      <c r="A2710" t="s">
        <v>451</v>
      </c>
      <c r="B2710">
        <v>2004</v>
      </c>
      <c r="C2710" t="s">
        <v>273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COUNT(LifeExpectancyData[[#This Row],[Life expectancy]:[Schooling]])=19</f>
        <v>1</v>
      </c>
    </row>
    <row r="2711" spans="1:23" x14ac:dyDescent="0.25">
      <c r="A2711" t="s">
        <v>451</v>
      </c>
      <c r="B2711">
        <v>2003</v>
      </c>
      <c r="C2711" t="s">
        <v>273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COUNT(LifeExpectancyData[[#This Row],[Life expectancy]:[Schooling]])=19</f>
        <v>1</v>
      </c>
    </row>
    <row r="2712" spans="1:23" x14ac:dyDescent="0.25">
      <c r="A2712" t="s">
        <v>451</v>
      </c>
      <c r="B2712">
        <v>2002</v>
      </c>
      <c r="C2712" t="s">
        <v>273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COUNT(LifeExpectancyData[[#This Row],[Life expectancy]:[Schooling]])=19</f>
        <v>1</v>
      </c>
    </row>
    <row r="2713" spans="1:23" x14ac:dyDescent="0.25">
      <c r="A2713" t="s">
        <v>451</v>
      </c>
      <c r="B2713">
        <v>2001</v>
      </c>
      <c r="C2713" t="s">
        <v>273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COUNT(LifeExpectancyData[[#This Row],[Life expectancy]:[Schooling]])=19</f>
        <v>0</v>
      </c>
    </row>
    <row r="2714" spans="1:23" x14ac:dyDescent="0.25">
      <c r="A2714" t="s">
        <v>451</v>
      </c>
      <c r="B2714">
        <v>2000</v>
      </c>
      <c r="C2714" t="s">
        <v>273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COUNT(LifeExpectancyData[[#This Row],[Life expectancy]:[Schooling]])=19</f>
        <v>0</v>
      </c>
    </row>
    <row r="2715" spans="1:23" x14ac:dyDescent="0.25">
      <c r="A2715" t="s">
        <v>452</v>
      </c>
      <c r="B2715">
        <v>2013</v>
      </c>
      <c r="C2715" t="s">
        <v>273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COUNT(LifeExpectancyData[[#This Row],[Life expectancy]:[Schooling]])=19</f>
        <v>0</v>
      </c>
    </row>
    <row r="2716" spans="1:23" x14ac:dyDescent="0.25">
      <c r="A2716" t="s">
        <v>453</v>
      </c>
      <c r="B2716">
        <v>2015</v>
      </c>
      <c r="C2716" t="s">
        <v>273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COUNT(LifeExpectancyData[[#This Row],[Life expectancy]:[Schooling]])=19</f>
        <v>0</v>
      </c>
    </row>
    <row r="2717" spans="1:23" x14ac:dyDescent="0.25">
      <c r="A2717" t="s">
        <v>453</v>
      </c>
      <c r="B2717">
        <v>2014</v>
      </c>
      <c r="C2717" t="s">
        <v>273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COUNT(LifeExpectancyData[[#This Row],[Life expectancy]:[Schooling]])=19</f>
        <v>1</v>
      </c>
    </row>
    <row r="2718" spans="1:23" x14ac:dyDescent="0.25">
      <c r="A2718" t="s">
        <v>453</v>
      </c>
      <c r="B2718">
        <v>2013</v>
      </c>
      <c r="C2718" t="s">
        <v>273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COUNT(LifeExpectancyData[[#This Row],[Life expectancy]:[Schooling]])=19</f>
        <v>1</v>
      </c>
    </row>
    <row r="2719" spans="1:23" x14ac:dyDescent="0.25">
      <c r="A2719" t="s">
        <v>453</v>
      </c>
      <c r="B2719">
        <v>2012</v>
      </c>
      <c r="C2719" t="s">
        <v>273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COUNT(LifeExpectancyData[[#This Row],[Life expectancy]:[Schooling]])=19</f>
        <v>1</v>
      </c>
    </row>
    <row r="2720" spans="1:23" x14ac:dyDescent="0.25">
      <c r="A2720" t="s">
        <v>453</v>
      </c>
      <c r="B2720">
        <v>2011</v>
      </c>
      <c r="C2720" t="s">
        <v>273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COUNT(LifeExpectancyData[[#This Row],[Life expectancy]:[Schooling]])=19</f>
        <v>1</v>
      </c>
    </row>
    <row r="2721" spans="1:23" x14ac:dyDescent="0.25">
      <c r="A2721" t="s">
        <v>453</v>
      </c>
      <c r="B2721">
        <v>2010</v>
      </c>
      <c r="C2721" t="s">
        <v>273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COUNT(LifeExpectancyData[[#This Row],[Life expectancy]:[Schooling]])=19</f>
        <v>1</v>
      </c>
    </row>
    <row r="2722" spans="1:23" x14ac:dyDescent="0.25">
      <c r="A2722" t="s">
        <v>453</v>
      </c>
      <c r="B2722">
        <v>2009</v>
      </c>
      <c r="C2722" t="s">
        <v>273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COUNT(LifeExpectancyData[[#This Row],[Life expectancy]:[Schooling]])=19</f>
        <v>1</v>
      </c>
    </row>
    <row r="2723" spans="1:23" x14ac:dyDescent="0.25">
      <c r="A2723" t="s">
        <v>453</v>
      </c>
      <c r="B2723">
        <v>2008</v>
      </c>
      <c r="C2723" t="s">
        <v>273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COUNT(LifeExpectancyData[[#This Row],[Life expectancy]:[Schooling]])=19</f>
        <v>1</v>
      </c>
    </row>
    <row r="2724" spans="1:23" x14ac:dyDescent="0.25">
      <c r="A2724" t="s">
        <v>453</v>
      </c>
      <c r="B2724">
        <v>2007</v>
      </c>
      <c r="C2724" t="s">
        <v>273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COUNT(LifeExpectancyData[[#This Row],[Life expectancy]:[Schooling]])=19</f>
        <v>1</v>
      </c>
    </row>
    <row r="2725" spans="1:23" x14ac:dyDescent="0.25">
      <c r="A2725" t="s">
        <v>453</v>
      </c>
      <c r="B2725">
        <v>2006</v>
      </c>
      <c r="C2725" t="s">
        <v>273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COUNT(LifeExpectancyData[[#This Row],[Life expectancy]:[Schooling]])=19</f>
        <v>1</v>
      </c>
    </row>
    <row r="2726" spans="1:23" x14ac:dyDescent="0.25">
      <c r="A2726" t="s">
        <v>453</v>
      </c>
      <c r="B2726">
        <v>2005</v>
      </c>
      <c r="C2726" t="s">
        <v>273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COUNT(LifeExpectancyData[[#This Row],[Life expectancy]:[Schooling]])=19</f>
        <v>1</v>
      </c>
    </row>
    <row r="2727" spans="1:23" x14ac:dyDescent="0.25">
      <c r="A2727" t="s">
        <v>453</v>
      </c>
      <c r="B2727">
        <v>2004</v>
      </c>
      <c r="C2727" t="s">
        <v>273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COUNT(LifeExpectancyData[[#This Row],[Life expectancy]:[Schooling]])=19</f>
        <v>1</v>
      </c>
    </row>
    <row r="2728" spans="1:23" x14ac:dyDescent="0.25">
      <c r="A2728" t="s">
        <v>453</v>
      </c>
      <c r="B2728">
        <v>2003</v>
      </c>
      <c r="C2728" t="s">
        <v>273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COUNT(LifeExpectancyData[[#This Row],[Life expectancy]:[Schooling]])=19</f>
        <v>1</v>
      </c>
    </row>
    <row r="2729" spans="1:23" x14ac:dyDescent="0.25">
      <c r="A2729" t="s">
        <v>453</v>
      </c>
      <c r="B2729">
        <v>2002</v>
      </c>
      <c r="C2729" t="s">
        <v>273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COUNT(LifeExpectancyData[[#This Row],[Life expectancy]:[Schooling]])=19</f>
        <v>1</v>
      </c>
    </row>
    <row r="2730" spans="1:23" x14ac:dyDescent="0.25">
      <c r="A2730" t="s">
        <v>453</v>
      </c>
      <c r="B2730">
        <v>2001</v>
      </c>
      <c r="C2730" t="s">
        <v>273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COUNT(LifeExpectancyData[[#This Row],[Life expectancy]:[Schooling]])=19</f>
        <v>0</v>
      </c>
    </row>
    <row r="2731" spans="1:23" x14ac:dyDescent="0.25">
      <c r="A2731" t="s">
        <v>453</v>
      </c>
      <c r="B2731">
        <v>2000</v>
      </c>
      <c r="C2731" t="s">
        <v>273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COUNT(LifeExpectancyData[[#This Row],[Life expectancy]:[Schooling]])=19</f>
        <v>0</v>
      </c>
    </row>
    <row r="2732" spans="1:23" x14ac:dyDescent="0.25">
      <c r="A2732" t="s">
        <v>454</v>
      </c>
      <c r="B2732">
        <v>2015</v>
      </c>
      <c r="C2732" t="s">
        <v>273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COUNT(LifeExpectancyData[[#This Row],[Life expectancy]:[Schooling]])=19</f>
        <v>0</v>
      </c>
    </row>
    <row r="2733" spans="1:23" x14ac:dyDescent="0.25">
      <c r="A2733" t="s">
        <v>454</v>
      </c>
      <c r="B2733">
        <v>2014</v>
      </c>
      <c r="C2733" t="s">
        <v>273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COUNT(LifeExpectancyData[[#This Row],[Life expectancy]:[Schooling]])=19</f>
        <v>1</v>
      </c>
    </row>
    <row r="2734" spans="1:23" x14ac:dyDescent="0.25">
      <c r="A2734" t="s">
        <v>454</v>
      </c>
      <c r="B2734">
        <v>2013</v>
      </c>
      <c r="C2734" t="s">
        <v>273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COUNT(LifeExpectancyData[[#This Row],[Life expectancy]:[Schooling]])=19</f>
        <v>1</v>
      </c>
    </row>
    <row r="2735" spans="1:23" x14ac:dyDescent="0.25">
      <c r="A2735" t="s">
        <v>454</v>
      </c>
      <c r="B2735">
        <v>2012</v>
      </c>
      <c r="C2735" t="s">
        <v>273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COUNT(LifeExpectancyData[[#This Row],[Life expectancy]:[Schooling]])=19</f>
        <v>1</v>
      </c>
    </row>
    <row r="2736" spans="1:23" x14ac:dyDescent="0.25">
      <c r="A2736" t="s">
        <v>454</v>
      </c>
      <c r="B2736">
        <v>2011</v>
      </c>
      <c r="C2736" t="s">
        <v>273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COUNT(LifeExpectancyData[[#This Row],[Life expectancy]:[Schooling]])=19</f>
        <v>1</v>
      </c>
    </row>
    <row r="2737" spans="1:23" x14ac:dyDescent="0.25">
      <c r="A2737" t="s">
        <v>454</v>
      </c>
      <c r="B2737">
        <v>2010</v>
      </c>
      <c r="C2737" t="s">
        <v>273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COUNT(LifeExpectancyData[[#This Row],[Life expectancy]:[Schooling]])=19</f>
        <v>1</v>
      </c>
    </row>
    <row r="2738" spans="1:23" x14ac:dyDescent="0.25">
      <c r="A2738" t="s">
        <v>454</v>
      </c>
      <c r="B2738">
        <v>2009</v>
      </c>
      <c r="C2738" t="s">
        <v>273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COUNT(LifeExpectancyData[[#This Row],[Life expectancy]:[Schooling]])=19</f>
        <v>1</v>
      </c>
    </row>
    <row r="2739" spans="1:23" x14ac:dyDescent="0.25">
      <c r="A2739" t="s">
        <v>454</v>
      </c>
      <c r="B2739">
        <v>2008</v>
      </c>
      <c r="C2739" t="s">
        <v>273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COUNT(LifeExpectancyData[[#This Row],[Life expectancy]:[Schooling]])=19</f>
        <v>1</v>
      </c>
    </row>
    <row r="2740" spans="1:23" x14ac:dyDescent="0.25">
      <c r="A2740" t="s">
        <v>454</v>
      </c>
      <c r="B2740">
        <v>2007</v>
      </c>
      <c r="C2740" t="s">
        <v>273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COUNT(LifeExpectancyData[[#This Row],[Life expectancy]:[Schooling]])=19</f>
        <v>1</v>
      </c>
    </row>
    <row r="2741" spans="1:23" x14ac:dyDescent="0.25">
      <c r="A2741" t="s">
        <v>454</v>
      </c>
      <c r="B2741">
        <v>2006</v>
      </c>
      <c r="C2741" t="s">
        <v>273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COUNT(LifeExpectancyData[[#This Row],[Life expectancy]:[Schooling]])=19</f>
        <v>1</v>
      </c>
    </row>
    <row r="2742" spans="1:23" x14ac:dyDescent="0.25">
      <c r="A2742" t="s">
        <v>454</v>
      </c>
      <c r="B2742">
        <v>2005</v>
      </c>
      <c r="C2742" t="s">
        <v>273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COUNT(LifeExpectancyData[[#This Row],[Life expectancy]:[Schooling]])=19</f>
        <v>1</v>
      </c>
    </row>
    <row r="2743" spans="1:23" x14ac:dyDescent="0.25">
      <c r="A2743" t="s">
        <v>454</v>
      </c>
      <c r="B2743">
        <v>2004</v>
      </c>
      <c r="C2743" t="s">
        <v>273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COUNT(LifeExpectancyData[[#This Row],[Life expectancy]:[Schooling]])=19</f>
        <v>1</v>
      </c>
    </row>
    <row r="2744" spans="1:23" x14ac:dyDescent="0.25">
      <c r="A2744" t="s">
        <v>454</v>
      </c>
      <c r="B2744">
        <v>2003</v>
      </c>
      <c r="C2744" t="s">
        <v>273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COUNT(LifeExpectancyData[[#This Row],[Life expectancy]:[Schooling]])=19</f>
        <v>1</v>
      </c>
    </row>
    <row r="2745" spans="1:23" x14ac:dyDescent="0.25">
      <c r="A2745" t="s">
        <v>454</v>
      </c>
      <c r="B2745">
        <v>2002</v>
      </c>
      <c r="C2745" t="s">
        <v>273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COUNT(LifeExpectancyData[[#This Row],[Life expectancy]:[Schooling]])=19</f>
        <v>1</v>
      </c>
    </row>
    <row r="2746" spans="1:23" x14ac:dyDescent="0.25">
      <c r="A2746" t="s">
        <v>454</v>
      </c>
      <c r="B2746">
        <v>2001</v>
      </c>
      <c r="C2746" t="s">
        <v>273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COUNT(LifeExpectancyData[[#This Row],[Life expectancy]:[Schooling]])=19</f>
        <v>1</v>
      </c>
    </row>
    <row r="2747" spans="1:23" x14ac:dyDescent="0.25">
      <c r="A2747" t="s">
        <v>454</v>
      </c>
      <c r="B2747">
        <v>2000</v>
      </c>
      <c r="C2747" t="s">
        <v>273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COUNT(LifeExpectancyData[[#This Row],[Life expectancy]:[Schooling]])=19</f>
        <v>1</v>
      </c>
    </row>
    <row r="2748" spans="1:23" x14ac:dyDescent="0.25">
      <c r="A2748" t="s">
        <v>455</v>
      </c>
      <c r="B2748">
        <v>2015</v>
      </c>
      <c r="C2748" t="s">
        <v>273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COUNT(LifeExpectancyData[[#This Row],[Life expectancy]:[Schooling]])=19</f>
        <v>0</v>
      </c>
    </row>
    <row r="2749" spans="1:23" x14ac:dyDescent="0.25">
      <c r="A2749" t="s">
        <v>455</v>
      </c>
      <c r="B2749">
        <v>2014</v>
      </c>
      <c r="C2749" t="s">
        <v>273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COUNT(LifeExpectancyData[[#This Row],[Life expectancy]:[Schooling]])=19</f>
        <v>0</v>
      </c>
    </row>
    <row r="2750" spans="1:23" x14ac:dyDescent="0.25">
      <c r="A2750" t="s">
        <v>455</v>
      </c>
      <c r="B2750">
        <v>2013</v>
      </c>
      <c r="C2750" t="s">
        <v>273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COUNT(LifeExpectancyData[[#This Row],[Life expectancy]:[Schooling]])=19</f>
        <v>0</v>
      </c>
    </row>
    <row r="2751" spans="1:23" x14ac:dyDescent="0.25">
      <c r="A2751" t="s">
        <v>455</v>
      </c>
      <c r="B2751">
        <v>2012</v>
      </c>
      <c r="C2751" t="s">
        <v>273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COUNT(LifeExpectancyData[[#This Row],[Life expectancy]:[Schooling]])=19</f>
        <v>0</v>
      </c>
    </row>
    <row r="2752" spans="1:23" x14ac:dyDescent="0.25">
      <c r="A2752" t="s">
        <v>455</v>
      </c>
      <c r="B2752">
        <v>2011</v>
      </c>
      <c r="C2752" t="s">
        <v>273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COUNT(LifeExpectancyData[[#This Row],[Life expectancy]:[Schooling]])=19</f>
        <v>0</v>
      </c>
    </row>
    <row r="2753" spans="1:23" x14ac:dyDescent="0.25">
      <c r="A2753" t="s">
        <v>455</v>
      </c>
      <c r="B2753">
        <v>2010</v>
      </c>
      <c r="C2753" t="s">
        <v>273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COUNT(LifeExpectancyData[[#This Row],[Life expectancy]:[Schooling]])=19</f>
        <v>0</v>
      </c>
    </row>
    <row r="2754" spans="1:23" x14ac:dyDescent="0.25">
      <c r="A2754" t="s">
        <v>455</v>
      </c>
      <c r="B2754">
        <v>2009</v>
      </c>
      <c r="C2754" t="s">
        <v>273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COUNT(LifeExpectancyData[[#This Row],[Life expectancy]:[Schooling]])=19</f>
        <v>0</v>
      </c>
    </row>
    <row r="2755" spans="1:23" x14ac:dyDescent="0.25">
      <c r="A2755" t="s">
        <v>455</v>
      </c>
      <c r="B2755">
        <v>2008</v>
      </c>
      <c r="C2755" t="s">
        <v>273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COUNT(LifeExpectancyData[[#This Row],[Life expectancy]:[Schooling]])=19</f>
        <v>0</v>
      </c>
    </row>
    <row r="2756" spans="1:23" x14ac:dyDescent="0.25">
      <c r="A2756" t="s">
        <v>455</v>
      </c>
      <c r="B2756">
        <v>2007</v>
      </c>
      <c r="C2756" t="s">
        <v>273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COUNT(LifeExpectancyData[[#This Row],[Life expectancy]:[Schooling]])=19</f>
        <v>0</v>
      </c>
    </row>
    <row r="2757" spans="1:23" x14ac:dyDescent="0.25">
      <c r="A2757" t="s">
        <v>455</v>
      </c>
      <c r="B2757">
        <v>2006</v>
      </c>
      <c r="C2757" t="s">
        <v>273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COUNT(LifeExpectancyData[[#This Row],[Life expectancy]:[Schooling]])=19</f>
        <v>0</v>
      </c>
    </row>
    <row r="2758" spans="1:23" x14ac:dyDescent="0.25">
      <c r="A2758" t="s">
        <v>455</v>
      </c>
      <c r="B2758">
        <v>2005</v>
      </c>
      <c r="C2758" t="s">
        <v>273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COUNT(LifeExpectancyData[[#This Row],[Life expectancy]:[Schooling]])=19</f>
        <v>0</v>
      </c>
    </row>
    <row r="2759" spans="1:23" x14ac:dyDescent="0.25">
      <c r="A2759" t="s">
        <v>455</v>
      </c>
      <c r="B2759">
        <v>2004</v>
      </c>
      <c r="C2759" t="s">
        <v>273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COUNT(LifeExpectancyData[[#This Row],[Life expectancy]:[Schooling]])=19</f>
        <v>0</v>
      </c>
    </row>
    <row r="2760" spans="1:23" x14ac:dyDescent="0.25">
      <c r="A2760" t="s">
        <v>455</v>
      </c>
      <c r="B2760">
        <v>2003</v>
      </c>
      <c r="C2760" t="s">
        <v>273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COUNT(LifeExpectancyData[[#This Row],[Life expectancy]:[Schooling]])=19</f>
        <v>0</v>
      </c>
    </row>
    <row r="2761" spans="1:23" x14ac:dyDescent="0.25">
      <c r="A2761" t="s">
        <v>455</v>
      </c>
      <c r="B2761">
        <v>2002</v>
      </c>
      <c r="C2761" t="s">
        <v>273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COUNT(LifeExpectancyData[[#This Row],[Life expectancy]:[Schooling]])=19</f>
        <v>0</v>
      </c>
    </row>
    <row r="2762" spans="1:23" x14ac:dyDescent="0.25">
      <c r="A2762" t="s">
        <v>455</v>
      </c>
      <c r="B2762">
        <v>2001</v>
      </c>
      <c r="C2762" t="s">
        <v>273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COUNT(LifeExpectancyData[[#This Row],[Life expectancy]:[Schooling]])=19</f>
        <v>0</v>
      </c>
    </row>
    <row r="2763" spans="1:23" x14ac:dyDescent="0.25">
      <c r="A2763" t="s">
        <v>455</v>
      </c>
      <c r="B2763">
        <v>2000</v>
      </c>
      <c r="C2763" t="s">
        <v>273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COUNT(LifeExpectancyData[[#This Row],[Life expectancy]:[Schooling]])=19</f>
        <v>0</v>
      </c>
    </row>
    <row r="2764" spans="1:23" x14ac:dyDescent="0.25">
      <c r="A2764" t="s">
        <v>456</v>
      </c>
      <c r="B2764">
        <v>2015</v>
      </c>
      <c r="C2764" t="s">
        <v>281</v>
      </c>
      <c r="D2764">
        <v>81.2</v>
      </c>
      <c r="E2764">
        <v>69</v>
      </c>
      <c r="F2764">
        <v>3</v>
      </c>
      <c r="G2764">
        <v>10.66</v>
      </c>
      <c r="H2764">
        <v>0</v>
      </c>
      <c r="J2764">
        <v>91</v>
      </c>
      <c r="K2764">
        <v>66.599999999999994</v>
      </c>
      <c r="L2764">
        <v>4</v>
      </c>
      <c r="M2764">
        <v>96</v>
      </c>
      <c r="O2764">
        <v>96</v>
      </c>
      <c r="P2764">
        <v>0.1</v>
      </c>
      <c r="S2764">
        <v>0.8</v>
      </c>
      <c r="T2764">
        <v>0.6</v>
      </c>
      <c r="W2764" t="b">
        <f>COUNT(LifeExpectancyData[[#This Row],[Life expectancy]:[Schooling]])=19</f>
        <v>0</v>
      </c>
    </row>
    <row r="2765" spans="1:23" x14ac:dyDescent="0.25">
      <c r="A2765" t="s">
        <v>456</v>
      </c>
      <c r="B2765">
        <v>2014</v>
      </c>
      <c r="C2765" t="s">
        <v>281</v>
      </c>
      <c r="D2765">
        <v>81</v>
      </c>
      <c r="E2765">
        <v>71</v>
      </c>
      <c r="F2765">
        <v>3</v>
      </c>
      <c r="G2765">
        <v>10.37</v>
      </c>
      <c r="H2765">
        <v>0</v>
      </c>
      <c r="J2765">
        <v>133</v>
      </c>
      <c r="K2765">
        <v>66</v>
      </c>
      <c r="L2765">
        <v>4</v>
      </c>
      <c r="M2765">
        <v>95</v>
      </c>
      <c r="N2765">
        <v>9.1199999999999992</v>
      </c>
      <c r="O2765">
        <v>95</v>
      </c>
      <c r="P2765">
        <v>0.1</v>
      </c>
      <c r="S2765">
        <v>0.8</v>
      </c>
      <c r="T2765">
        <v>0.5</v>
      </c>
      <c r="W2765" t="b">
        <f>COUNT(LifeExpectancyData[[#This Row],[Life expectancy]:[Schooling]])=19</f>
        <v>0</v>
      </c>
    </row>
    <row r="2766" spans="1:23" x14ac:dyDescent="0.25">
      <c r="A2766" t="s">
        <v>456</v>
      </c>
      <c r="B2766">
        <v>2013</v>
      </c>
      <c r="C2766" t="s">
        <v>281</v>
      </c>
      <c r="D2766">
        <v>87</v>
      </c>
      <c r="E2766">
        <v>72</v>
      </c>
      <c r="F2766">
        <v>3</v>
      </c>
      <c r="G2766">
        <v>10.32</v>
      </c>
      <c r="H2766">
        <v>0</v>
      </c>
      <c r="J2766">
        <v>1919</v>
      </c>
      <c r="K2766">
        <v>65.400000000000006</v>
      </c>
      <c r="L2766">
        <v>4</v>
      </c>
      <c r="M2766">
        <v>95</v>
      </c>
      <c r="N2766">
        <v>9.34</v>
      </c>
      <c r="O2766">
        <v>95</v>
      </c>
      <c r="P2766">
        <v>0.1</v>
      </c>
      <c r="S2766">
        <v>0.8</v>
      </c>
      <c r="T2766">
        <v>0.5</v>
      </c>
      <c r="W2766" t="b">
        <f>COUNT(LifeExpectancyData[[#This Row],[Life expectancy]:[Schooling]])=19</f>
        <v>0</v>
      </c>
    </row>
    <row r="2767" spans="1:23" x14ac:dyDescent="0.25">
      <c r="A2767" t="s">
        <v>456</v>
      </c>
      <c r="B2767">
        <v>2012</v>
      </c>
      <c r="C2767" t="s">
        <v>281</v>
      </c>
      <c r="D2767">
        <v>86</v>
      </c>
      <c r="E2767">
        <v>72</v>
      </c>
      <c r="F2767">
        <v>3</v>
      </c>
      <c r="G2767">
        <v>10.42</v>
      </c>
      <c r="H2767">
        <v>0</v>
      </c>
      <c r="J2767">
        <v>2092</v>
      </c>
      <c r="K2767">
        <v>64.8</v>
      </c>
      <c r="L2767">
        <v>4</v>
      </c>
      <c r="M2767">
        <v>95</v>
      </c>
      <c r="N2767">
        <v>9.41</v>
      </c>
      <c r="O2767">
        <v>95</v>
      </c>
      <c r="P2767">
        <v>0.1</v>
      </c>
      <c r="S2767">
        <v>0.8</v>
      </c>
      <c r="T2767">
        <v>0.5</v>
      </c>
      <c r="W2767" t="b">
        <f>COUNT(LifeExpectancyData[[#This Row],[Life expectancy]:[Schooling]])=19</f>
        <v>0</v>
      </c>
    </row>
    <row r="2768" spans="1:23" x14ac:dyDescent="0.25">
      <c r="A2768" t="s">
        <v>456</v>
      </c>
      <c r="B2768">
        <v>2011</v>
      </c>
      <c r="C2768" t="s">
        <v>281</v>
      </c>
      <c r="D2768">
        <v>86</v>
      </c>
      <c r="E2768">
        <v>74</v>
      </c>
      <c r="F2768">
        <v>3</v>
      </c>
      <c r="G2768">
        <v>10.68</v>
      </c>
      <c r="H2768">
        <v>0</v>
      </c>
      <c r="J2768">
        <v>1112</v>
      </c>
      <c r="K2768">
        <v>64.2</v>
      </c>
      <c r="L2768">
        <v>4</v>
      </c>
      <c r="M2768">
        <v>95</v>
      </c>
      <c r="N2768">
        <v>9.34</v>
      </c>
      <c r="O2768">
        <v>95</v>
      </c>
      <c r="P2768">
        <v>0.1</v>
      </c>
      <c r="S2768">
        <v>0.8</v>
      </c>
      <c r="T2768">
        <v>0.5</v>
      </c>
      <c r="W2768" t="b">
        <f>COUNT(LifeExpectancyData[[#This Row],[Life expectancy]:[Schooling]])=19</f>
        <v>0</v>
      </c>
    </row>
    <row r="2769" spans="1:23" x14ac:dyDescent="0.25">
      <c r="A2769" t="s">
        <v>456</v>
      </c>
      <c r="B2769">
        <v>2010</v>
      </c>
      <c r="C2769" t="s">
        <v>281</v>
      </c>
      <c r="D2769">
        <v>82</v>
      </c>
      <c r="E2769">
        <v>77</v>
      </c>
      <c r="F2769">
        <v>3</v>
      </c>
      <c r="G2769">
        <v>10.88</v>
      </c>
      <c r="H2769">
        <v>0</v>
      </c>
      <c r="J2769">
        <v>443</v>
      </c>
      <c r="K2769">
        <v>63.6</v>
      </c>
      <c r="L2769">
        <v>4</v>
      </c>
      <c r="M2769">
        <v>94</v>
      </c>
      <c r="N2769">
        <v>9.51</v>
      </c>
      <c r="O2769">
        <v>94</v>
      </c>
      <c r="P2769">
        <v>0.1</v>
      </c>
      <c r="S2769">
        <v>0.8</v>
      </c>
      <c r="T2769">
        <v>0.5</v>
      </c>
      <c r="W2769" t="b">
        <f>COUNT(LifeExpectancyData[[#This Row],[Life expectancy]:[Schooling]])=19</f>
        <v>0</v>
      </c>
    </row>
    <row r="2770" spans="1:23" x14ac:dyDescent="0.25">
      <c r="A2770" t="s">
        <v>456</v>
      </c>
      <c r="B2770">
        <v>2009</v>
      </c>
      <c r="C2770" t="s">
        <v>281</v>
      </c>
      <c r="D2770">
        <v>81</v>
      </c>
      <c r="E2770">
        <v>78</v>
      </c>
      <c r="F2770">
        <v>4</v>
      </c>
      <c r="G2770">
        <v>10.79</v>
      </c>
      <c r="H2770">
        <v>0</v>
      </c>
      <c r="J2770">
        <v>1212</v>
      </c>
      <c r="K2770">
        <v>63.1</v>
      </c>
      <c r="L2770">
        <v>4</v>
      </c>
      <c r="M2770">
        <v>93</v>
      </c>
      <c r="N2770">
        <v>9.81</v>
      </c>
      <c r="O2770">
        <v>93</v>
      </c>
      <c r="P2770">
        <v>0.1</v>
      </c>
      <c r="S2770">
        <v>0.8</v>
      </c>
      <c r="T2770">
        <v>0.5</v>
      </c>
      <c r="W2770" t="b">
        <f>COUNT(LifeExpectancyData[[#This Row],[Life expectancy]:[Schooling]])=19</f>
        <v>0</v>
      </c>
    </row>
    <row r="2771" spans="1:23" x14ac:dyDescent="0.25">
      <c r="A2771" t="s">
        <v>456</v>
      </c>
      <c r="B2771">
        <v>2008</v>
      </c>
      <c r="C2771" t="s">
        <v>281</v>
      </c>
      <c r="D2771">
        <v>79.599999999999994</v>
      </c>
      <c r="E2771">
        <v>8</v>
      </c>
      <c r="F2771">
        <v>4</v>
      </c>
      <c r="G2771">
        <v>11.47</v>
      </c>
      <c r="H2771">
        <v>0</v>
      </c>
      <c r="J2771">
        <v>1445</v>
      </c>
      <c r="K2771">
        <v>62.5</v>
      </c>
      <c r="L2771">
        <v>4</v>
      </c>
      <c r="M2771">
        <v>92</v>
      </c>
      <c r="N2771">
        <v>8.85</v>
      </c>
      <c r="O2771">
        <v>92</v>
      </c>
      <c r="P2771">
        <v>0.1</v>
      </c>
      <c r="S2771">
        <v>0.8</v>
      </c>
      <c r="T2771">
        <v>0.5</v>
      </c>
      <c r="W2771" t="b">
        <f>COUNT(LifeExpectancyData[[#This Row],[Life expectancy]:[Schooling]])=19</f>
        <v>0</v>
      </c>
    </row>
    <row r="2772" spans="1:23" x14ac:dyDescent="0.25">
      <c r="A2772" t="s">
        <v>456</v>
      </c>
      <c r="B2772">
        <v>2007</v>
      </c>
      <c r="C2772" t="s">
        <v>281</v>
      </c>
      <c r="D2772">
        <v>79.5</v>
      </c>
      <c r="E2772">
        <v>8</v>
      </c>
      <c r="F2772">
        <v>4</v>
      </c>
      <c r="G2772">
        <v>11.84</v>
      </c>
      <c r="H2772">
        <v>0</v>
      </c>
      <c r="J2772">
        <v>1022</v>
      </c>
      <c r="K2772">
        <v>61.9</v>
      </c>
      <c r="L2772">
        <v>4</v>
      </c>
      <c r="M2772">
        <v>92</v>
      </c>
      <c r="N2772">
        <v>8.42</v>
      </c>
      <c r="O2772">
        <v>92</v>
      </c>
      <c r="P2772">
        <v>0.1</v>
      </c>
      <c r="S2772">
        <v>0.7</v>
      </c>
      <c r="T2772">
        <v>0.5</v>
      </c>
      <c r="W2772" t="b">
        <f>COUNT(LifeExpectancyData[[#This Row],[Life expectancy]:[Schooling]])=19</f>
        <v>0</v>
      </c>
    </row>
    <row r="2773" spans="1:23" x14ac:dyDescent="0.25">
      <c r="A2773" t="s">
        <v>456</v>
      </c>
      <c r="B2773">
        <v>2006</v>
      </c>
      <c r="C2773" t="s">
        <v>281</v>
      </c>
      <c r="D2773">
        <v>79.3</v>
      </c>
      <c r="E2773">
        <v>82</v>
      </c>
      <c r="F2773">
        <v>4</v>
      </c>
      <c r="G2773">
        <v>11.61</v>
      </c>
      <c r="H2773">
        <v>0</v>
      </c>
      <c r="J2773">
        <v>764</v>
      </c>
      <c r="K2773">
        <v>61.3</v>
      </c>
      <c r="L2773">
        <v>4</v>
      </c>
      <c r="M2773">
        <v>92</v>
      </c>
      <c r="N2773">
        <v>8.36</v>
      </c>
      <c r="O2773">
        <v>92</v>
      </c>
      <c r="P2773">
        <v>0.1</v>
      </c>
      <c r="S2773">
        <v>0.7</v>
      </c>
      <c r="T2773">
        <v>0.5</v>
      </c>
      <c r="W2773" t="b">
        <f>COUNT(LifeExpectancyData[[#This Row],[Life expectancy]:[Schooling]])=19</f>
        <v>0</v>
      </c>
    </row>
    <row r="2774" spans="1:23" x14ac:dyDescent="0.25">
      <c r="A2774" t="s">
        <v>456</v>
      </c>
      <c r="B2774">
        <v>2005</v>
      </c>
      <c r="C2774" t="s">
        <v>281</v>
      </c>
      <c r="D2774">
        <v>79</v>
      </c>
      <c r="E2774">
        <v>82</v>
      </c>
      <c r="F2774">
        <v>4</v>
      </c>
      <c r="G2774">
        <v>12.05</v>
      </c>
      <c r="H2774">
        <v>0</v>
      </c>
      <c r="J2774">
        <v>79</v>
      </c>
      <c r="K2774">
        <v>6.7</v>
      </c>
      <c r="L2774">
        <v>4</v>
      </c>
      <c r="M2774">
        <v>91</v>
      </c>
      <c r="N2774">
        <v>8.24</v>
      </c>
      <c r="O2774">
        <v>91</v>
      </c>
      <c r="P2774">
        <v>0.1</v>
      </c>
      <c r="S2774">
        <v>0.7</v>
      </c>
      <c r="T2774">
        <v>0.5</v>
      </c>
      <c r="W2774" t="b">
        <f>COUNT(LifeExpectancyData[[#This Row],[Life expectancy]:[Schooling]])=19</f>
        <v>0</v>
      </c>
    </row>
    <row r="2775" spans="1:23" x14ac:dyDescent="0.25">
      <c r="A2775" t="s">
        <v>456</v>
      </c>
      <c r="B2775">
        <v>2004</v>
      </c>
      <c r="C2775" t="s">
        <v>281</v>
      </c>
      <c r="D2775">
        <v>78.8</v>
      </c>
      <c r="E2775">
        <v>83</v>
      </c>
      <c r="F2775">
        <v>4</v>
      </c>
      <c r="G2775">
        <v>12.22</v>
      </c>
      <c r="H2775">
        <v>0</v>
      </c>
      <c r="J2775">
        <v>189</v>
      </c>
      <c r="K2775">
        <v>6.1</v>
      </c>
      <c r="L2775">
        <v>4</v>
      </c>
      <c r="M2775">
        <v>92</v>
      </c>
      <c r="N2775">
        <v>7.98</v>
      </c>
      <c r="O2775">
        <v>92</v>
      </c>
      <c r="P2775">
        <v>0.1</v>
      </c>
      <c r="S2775">
        <v>0.7</v>
      </c>
      <c r="T2775">
        <v>0.5</v>
      </c>
      <c r="W2775" t="b">
        <f>COUNT(LifeExpectancyData[[#This Row],[Life expectancy]:[Schooling]])=19</f>
        <v>0</v>
      </c>
    </row>
    <row r="2776" spans="1:23" x14ac:dyDescent="0.25">
      <c r="A2776" t="s">
        <v>456</v>
      </c>
      <c r="B2776">
        <v>2003</v>
      </c>
      <c r="C2776" t="s">
        <v>281</v>
      </c>
      <c r="D2776">
        <v>78.3</v>
      </c>
      <c r="E2776">
        <v>86</v>
      </c>
      <c r="F2776">
        <v>4</v>
      </c>
      <c r="G2776">
        <v>11.85</v>
      </c>
      <c r="H2776">
        <v>0</v>
      </c>
      <c r="J2776">
        <v>460</v>
      </c>
      <c r="K2776">
        <v>59.5</v>
      </c>
      <c r="L2776">
        <v>4</v>
      </c>
      <c r="M2776">
        <v>91</v>
      </c>
      <c r="N2776">
        <v>7.81</v>
      </c>
      <c r="O2776">
        <v>91</v>
      </c>
      <c r="P2776">
        <v>0.1</v>
      </c>
      <c r="S2776">
        <v>0.7</v>
      </c>
      <c r="T2776">
        <v>0.5</v>
      </c>
      <c r="W2776" t="b">
        <f>COUNT(LifeExpectancyData[[#This Row],[Life expectancy]:[Schooling]])=19</f>
        <v>0</v>
      </c>
    </row>
    <row r="2777" spans="1:23" x14ac:dyDescent="0.25">
      <c r="A2777" t="s">
        <v>456</v>
      </c>
      <c r="B2777">
        <v>2002</v>
      </c>
      <c r="C2777" t="s">
        <v>281</v>
      </c>
      <c r="D2777">
        <v>78.2</v>
      </c>
      <c r="E2777">
        <v>87</v>
      </c>
      <c r="F2777">
        <v>4</v>
      </c>
      <c r="G2777">
        <v>11.44</v>
      </c>
      <c r="H2777">
        <v>0</v>
      </c>
      <c r="J2777">
        <v>314</v>
      </c>
      <c r="K2777">
        <v>58.8</v>
      </c>
      <c r="L2777">
        <v>4</v>
      </c>
      <c r="M2777">
        <v>91</v>
      </c>
      <c r="N2777">
        <v>7.57</v>
      </c>
      <c r="O2777">
        <v>91</v>
      </c>
      <c r="P2777">
        <v>0.1</v>
      </c>
      <c r="S2777">
        <v>0.7</v>
      </c>
      <c r="T2777">
        <v>0.5</v>
      </c>
      <c r="W2777" t="b">
        <f>COUNT(LifeExpectancyData[[#This Row],[Life expectancy]:[Schooling]])=19</f>
        <v>0</v>
      </c>
    </row>
    <row r="2778" spans="1:23" x14ac:dyDescent="0.25">
      <c r="A2778" t="s">
        <v>456</v>
      </c>
      <c r="B2778">
        <v>2001</v>
      </c>
      <c r="C2778" t="s">
        <v>281</v>
      </c>
      <c r="D2778">
        <v>78</v>
      </c>
      <c r="E2778">
        <v>88</v>
      </c>
      <c r="F2778">
        <v>4</v>
      </c>
      <c r="G2778">
        <v>10.91</v>
      </c>
      <c r="H2778">
        <v>0</v>
      </c>
      <c r="J2778">
        <v>73</v>
      </c>
      <c r="K2778">
        <v>58.2</v>
      </c>
      <c r="L2778">
        <v>4</v>
      </c>
      <c r="M2778">
        <v>91</v>
      </c>
      <c r="N2778">
        <v>7.31</v>
      </c>
      <c r="O2778">
        <v>91</v>
      </c>
      <c r="P2778">
        <v>0.1</v>
      </c>
      <c r="S2778">
        <v>0.7</v>
      </c>
      <c r="T2778">
        <v>0.5</v>
      </c>
      <c r="W2778" t="b">
        <f>COUNT(LifeExpectancyData[[#This Row],[Life expectancy]:[Schooling]])=19</f>
        <v>0</v>
      </c>
    </row>
    <row r="2779" spans="1:23" x14ac:dyDescent="0.25">
      <c r="A2779" t="s">
        <v>456</v>
      </c>
      <c r="B2779">
        <v>2000</v>
      </c>
      <c r="C2779" t="s">
        <v>281</v>
      </c>
      <c r="D2779">
        <v>77.8</v>
      </c>
      <c r="E2779">
        <v>89</v>
      </c>
      <c r="F2779">
        <v>4</v>
      </c>
      <c r="G2779">
        <v>10.59</v>
      </c>
      <c r="H2779">
        <v>0</v>
      </c>
      <c r="J2779">
        <v>104</v>
      </c>
      <c r="K2779">
        <v>57.5</v>
      </c>
      <c r="L2779">
        <v>5</v>
      </c>
      <c r="M2779">
        <v>91</v>
      </c>
      <c r="N2779">
        <v>6.94</v>
      </c>
      <c r="O2779">
        <v>91</v>
      </c>
      <c r="P2779">
        <v>0.1</v>
      </c>
      <c r="S2779">
        <v>0.7</v>
      </c>
      <c r="T2779">
        <v>0.5</v>
      </c>
      <c r="W2779" t="b">
        <f>COUNT(LifeExpectancyData[[#This Row],[Life expectancy]:[Schooling]])=19</f>
        <v>0</v>
      </c>
    </row>
    <row r="2780" spans="1:23" x14ac:dyDescent="0.25">
      <c r="A2780" t="s">
        <v>457</v>
      </c>
      <c r="B2780">
        <v>2015</v>
      </c>
      <c r="C2780" t="s">
        <v>273</v>
      </c>
      <c r="D2780">
        <v>61.8</v>
      </c>
      <c r="E2780">
        <v>279</v>
      </c>
      <c r="F2780">
        <v>85</v>
      </c>
      <c r="H2780">
        <v>0</v>
      </c>
      <c r="I2780">
        <v>98</v>
      </c>
      <c r="J2780">
        <v>30</v>
      </c>
      <c r="K2780">
        <v>23.8</v>
      </c>
      <c r="L2780">
        <v>119</v>
      </c>
      <c r="M2780">
        <v>96</v>
      </c>
      <c r="O2780">
        <v>98</v>
      </c>
      <c r="P2780">
        <v>1.4</v>
      </c>
      <c r="S2780">
        <v>6.7</v>
      </c>
      <c r="T2780">
        <v>6.5</v>
      </c>
      <c r="W2780" t="b">
        <f>COUNT(LifeExpectancyData[[#This Row],[Life expectancy]:[Schooling]])=19</f>
        <v>0</v>
      </c>
    </row>
    <row r="2781" spans="1:23" x14ac:dyDescent="0.25">
      <c r="A2781" t="s">
        <v>457</v>
      </c>
      <c r="B2781">
        <v>2014</v>
      </c>
      <c r="C2781" t="s">
        <v>273</v>
      </c>
      <c r="D2781">
        <v>67</v>
      </c>
      <c r="E2781">
        <v>34</v>
      </c>
      <c r="F2781">
        <v>86</v>
      </c>
      <c r="G2781">
        <v>0.01</v>
      </c>
      <c r="H2781">
        <v>0</v>
      </c>
      <c r="I2781">
        <v>97</v>
      </c>
      <c r="J2781">
        <v>88</v>
      </c>
      <c r="K2781">
        <v>23.2</v>
      </c>
      <c r="L2781">
        <v>121</v>
      </c>
      <c r="M2781">
        <v>97</v>
      </c>
      <c r="N2781">
        <v>5.58</v>
      </c>
      <c r="O2781">
        <v>97</v>
      </c>
      <c r="P2781">
        <v>1.4</v>
      </c>
      <c r="S2781">
        <v>6.8</v>
      </c>
      <c r="T2781">
        <v>6.6</v>
      </c>
      <c r="W2781" t="b">
        <f>COUNT(LifeExpectancyData[[#This Row],[Life expectancy]:[Schooling]])=19</f>
        <v>0</v>
      </c>
    </row>
    <row r="2782" spans="1:23" x14ac:dyDescent="0.25">
      <c r="A2782" t="s">
        <v>457</v>
      </c>
      <c r="B2782">
        <v>2013</v>
      </c>
      <c r="C2782" t="s">
        <v>273</v>
      </c>
      <c r="D2782">
        <v>59.7</v>
      </c>
      <c r="E2782">
        <v>323</v>
      </c>
      <c r="F2782">
        <v>86</v>
      </c>
      <c r="G2782">
        <v>4.2</v>
      </c>
      <c r="H2782">
        <v>0</v>
      </c>
      <c r="I2782">
        <v>91</v>
      </c>
      <c r="J2782">
        <v>185</v>
      </c>
      <c r="K2782">
        <v>22.5</v>
      </c>
      <c r="L2782">
        <v>124</v>
      </c>
      <c r="M2782">
        <v>91</v>
      </c>
      <c r="N2782">
        <v>5.57</v>
      </c>
      <c r="O2782">
        <v>91</v>
      </c>
      <c r="P2782">
        <v>2.1</v>
      </c>
      <c r="S2782">
        <v>6.8</v>
      </c>
      <c r="T2782">
        <v>6.7</v>
      </c>
      <c r="W2782" t="b">
        <f>COUNT(LifeExpectancyData[[#This Row],[Life expectancy]:[Schooling]])=19</f>
        <v>0</v>
      </c>
    </row>
    <row r="2783" spans="1:23" x14ac:dyDescent="0.25">
      <c r="A2783" t="s">
        <v>457</v>
      </c>
      <c r="B2783">
        <v>2012</v>
      </c>
      <c r="C2783" t="s">
        <v>273</v>
      </c>
      <c r="D2783">
        <v>58.6</v>
      </c>
      <c r="E2783">
        <v>348</v>
      </c>
      <c r="F2783">
        <v>87</v>
      </c>
      <c r="G2783">
        <v>3.98</v>
      </c>
      <c r="H2783">
        <v>0</v>
      </c>
      <c r="I2783">
        <v>92</v>
      </c>
      <c r="J2783">
        <v>1668</v>
      </c>
      <c r="K2783">
        <v>21.9</v>
      </c>
      <c r="L2783">
        <v>126</v>
      </c>
      <c r="M2783">
        <v>9</v>
      </c>
      <c r="N2783">
        <v>5.72</v>
      </c>
      <c r="O2783">
        <v>92</v>
      </c>
      <c r="P2783">
        <v>2.4</v>
      </c>
      <c r="S2783">
        <v>6.9</v>
      </c>
      <c r="T2783">
        <v>6.8</v>
      </c>
      <c r="W2783" t="b">
        <f>COUNT(LifeExpectancyData[[#This Row],[Life expectancy]:[Schooling]])=19</f>
        <v>0</v>
      </c>
    </row>
    <row r="2784" spans="1:23" x14ac:dyDescent="0.25">
      <c r="A2784" t="s">
        <v>457</v>
      </c>
      <c r="B2784">
        <v>2011</v>
      </c>
      <c r="C2784" t="s">
        <v>273</v>
      </c>
      <c r="D2784">
        <v>58.3</v>
      </c>
      <c r="E2784">
        <v>348</v>
      </c>
      <c r="F2784">
        <v>88</v>
      </c>
      <c r="G2784">
        <v>4.04</v>
      </c>
      <c r="H2784">
        <v>0</v>
      </c>
      <c r="I2784">
        <v>9</v>
      </c>
      <c r="J2784">
        <v>1622</v>
      </c>
      <c r="K2784">
        <v>21.3</v>
      </c>
      <c r="L2784">
        <v>128</v>
      </c>
      <c r="M2784">
        <v>88</v>
      </c>
      <c r="N2784">
        <v>5.72</v>
      </c>
      <c r="O2784">
        <v>9</v>
      </c>
      <c r="P2784">
        <v>3.1</v>
      </c>
      <c r="S2784">
        <v>7</v>
      </c>
      <c r="T2784">
        <v>6.9</v>
      </c>
      <c r="W2784" t="b">
        <f>COUNT(LifeExpectancyData[[#This Row],[Life expectancy]:[Schooling]])=19</f>
        <v>0</v>
      </c>
    </row>
    <row r="2785" spans="1:23" x14ac:dyDescent="0.25">
      <c r="A2785" t="s">
        <v>457</v>
      </c>
      <c r="B2785">
        <v>2010</v>
      </c>
      <c r="C2785" t="s">
        <v>273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COUNT(LifeExpectancyData[[#This Row],[Life expectancy]:[Schooling]])=19</f>
        <v>0</v>
      </c>
    </row>
    <row r="2786" spans="1:23" x14ac:dyDescent="0.25">
      <c r="A2786" t="s">
        <v>457</v>
      </c>
      <c r="B2786">
        <v>2009</v>
      </c>
      <c r="C2786" t="s">
        <v>273</v>
      </c>
      <c r="D2786">
        <v>56.9</v>
      </c>
      <c r="E2786">
        <v>368</v>
      </c>
      <c r="F2786">
        <v>91</v>
      </c>
      <c r="G2786">
        <v>3.97</v>
      </c>
      <c r="H2786">
        <v>0</v>
      </c>
      <c r="I2786">
        <v>85</v>
      </c>
      <c r="J2786">
        <v>1574</v>
      </c>
      <c r="K2786">
        <v>2.2000000000000002</v>
      </c>
      <c r="L2786">
        <v>135</v>
      </c>
      <c r="M2786">
        <v>88</v>
      </c>
      <c r="N2786">
        <v>3.97</v>
      </c>
      <c r="O2786">
        <v>85</v>
      </c>
      <c r="P2786">
        <v>6.4</v>
      </c>
      <c r="S2786">
        <v>7.2</v>
      </c>
      <c r="T2786">
        <v>7.2</v>
      </c>
      <c r="W2786" t="b">
        <f>COUNT(LifeExpectancyData[[#This Row],[Life expectancy]:[Schooling]])=19</f>
        <v>0</v>
      </c>
    </row>
    <row r="2787" spans="1:23" x14ac:dyDescent="0.25">
      <c r="A2787" t="s">
        <v>457</v>
      </c>
      <c r="B2787">
        <v>2008</v>
      </c>
      <c r="C2787" t="s">
        <v>273</v>
      </c>
      <c r="D2787">
        <v>56.2</v>
      </c>
      <c r="E2787">
        <v>376</v>
      </c>
      <c r="F2787">
        <v>92</v>
      </c>
      <c r="G2787">
        <v>3.44</v>
      </c>
      <c r="H2787">
        <v>0</v>
      </c>
      <c r="I2787">
        <v>86</v>
      </c>
      <c r="J2787">
        <v>3413</v>
      </c>
      <c r="K2787">
        <v>19.600000000000001</v>
      </c>
      <c r="L2787">
        <v>138</v>
      </c>
      <c r="M2787">
        <v>89</v>
      </c>
      <c r="N2787">
        <v>4.21</v>
      </c>
      <c r="O2787">
        <v>86</v>
      </c>
      <c r="P2787">
        <v>7.4</v>
      </c>
      <c r="S2787">
        <v>7.3</v>
      </c>
      <c r="T2787">
        <v>7.3</v>
      </c>
      <c r="W2787" t="b">
        <f>COUNT(LifeExpectancyData[[#This Row],[Life expectancy]:[Schooling]])=19</f>
        <v>0</v>
      </c>
    </row>
    <row r="2788" spans="1:23" x14ac:dyDescent="0.25">
      <c r="A2788" t="s">
        <v>457</v>
      </c>
      <c r="B2788">
        <v>2007</v>
      </c>
      <c r="C2788" t="s">
        <v>273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COUNT(LifeExpectancyData[[#This Row],[Life expectancy]:[Schooling]])=19</f>
        <v>0</v>
      </c>
    </row>
    <row r="2789" spans="1:23" x14ac:dyDescent="0.25">
      <c r="A2789" t="s">
        <v>457</v>
      </c>
      <c r="B2789">
        <v>2006</v>
      </c>
      <c r="C2789" t="s">
        <v>273</v>
      </c>
      <c r="D2789">
        <v>53.1</v>
      </c>
      <c r="E2789">
        <v>437</v>
      </c>
      <c r="F2789">
        <v>96</v>
      </c>
      <c r="G2789">
        <v>4.07</v>
      </c>
      <c r="H2789">
        <v>0</v>
      </c>
      <c r="I2789">
        <v>9</v>
      </c>
      <c r="J2789">
        <v>2362</v>
      </c>
      <c r="K2789">
        <v>18.600000000000001</v>
      </c>
      <c r="L2789">
        <v>145</v>
      </c>
      <c r="M2789">
        <v>91</v>
      </c>
      <c r="N2789">
        <v>6.86</v>
      </c>
      <c r="O2789">
        <v>9</v>
      </c>
      <c r="P2789">
        <v>9.4</v>
      </c>
      <c r="S2789">
        <v>7.6</v>
      </c>
      <c r="T2789">
        <v>7.5</v>
      </c>
      <c r="W2789" t="b">
        <f>COUNT(LifeExpectancyData[[#This Row],[Life expectancy]:[Schooling]])=19</f>
        <v>0</v>
      </c>
    </row>
    <row r="2790" spans="1:23" x14ac:dyDescent="0.25">
      <c r="A2790" t="s">
        <v>457</v>
      </c>
      <c r="B2790">
        <v>2005</v>
      </c>
      <c r="C2790" t="s">
        <v>273</v>
      </c>
      <c r="D2790">
        <v>52.2</v>
      </c>
      <c r="E2790">
        <v>449</v>
      </c>
      <c r="F2790">
        <v>97</v>
      </c>
      <c r="G2790">
        <v>3.94</v>
      </c>
      <c r="H2790">
        <v>0</v>
      </c>
      <c r="I2790">
        <v>9</v>
      </c>
      <c r="J2790">
        <v>23</v>
      </c>
      <c r="K2790">
        <v>18.100000000000001</v>
      </c>
      <c r="L2790">
        <v>149</v>
      </c>
      <c r="M2790">
        <v>91</v>
      </c>
      <c r="N2790">
        <v>4.66</v>
      </c>
      <c r="O2790">
        <v>9</v>
      </c>
      <c r="P2790">
        <v>10</v>
      </c>
      <c r="S2790">
        <v>7.7</v>
      </c>
      <c r="T2790">
        <v>7.6</v>
      </c>
      <c r="W2790" t="b">
        <f>COUNT(LifeExpectancyData[[#This Row],[Life expectancy]:[Schooling]])=19</f>
        <v>0</v>
      </c>
    </row>
    <row r="2791" spans="1:23" x14ac:dyDescent="0.25">
      <c r="A2791" t="s">
        <v>457</v>
      </c>
      <c r="B2791">
        <v>2004</v>
      </c>
      <c r="C2791" t="s">
        <v>273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COUNT(LifeExpectancyData[[#This Row],[Life expectancy]:[Schooling]])=19</f>
        <v>0</v>
      </c>
    </row>
    <row r="2792" spans="1:23" x14ac:dyDescent="0.25">
      <c r="A2792" t="s">
        <v>457</v>
      </c>
      <c r="B2792">
        <v>2003</v>
      </c>
      <c r="C2792" t="s">
        <v>273</v>
      </c>
      <c r="D2792">
        <v>58</v>
      </c>
      <c r="E2792">
        <v>459</v>
      </c>
      <c r="F2792">
        <v>103</v>
      </c>
      <c r="G2792">
        <v>2.34</v>
      </c>
      <c r="H2792">
        <v>0</v>
      </c>
      <c r="I2792">
        <v>95</v>
      </c>
      <c r="J2792">
        <v>1673</v>
      </c>
      <c r="K2792">
        <v>17.2</v>
      </c>
      <c r="L2792">
        <v>160</v>
      </c>
      <c r="M2792">
        <v>97</v>
      </c>
      <c r="N2792">
        <v>4.5999999999999996</v>
      </c>
      <c r="O2792">
        <v>95</v>
      </c>
      <c r="P2792">
        <v>11.5</v>
      </c>
      <c r="S2792">
        <v>7.9</v>
      </c>
      <c r="T2792">
        <v>7.9</v>
      </c>
      <c r="W2792" t="b">
        <f>COUNT(LifeExpectancyData[[#This Row],[Life expectancy]:[Schooling]])=19</f>
        <v>0</v>
      </c>
    </row>
    <row r="2793" spans="1:23" x14ac:dyDescent="0.25">
      <c r="A2793" t="s">
        <v>457</v>
      </c>
      <c r="B2793">
        <v>2002</v>
      </c>
      <c r="C2793" t="s">
        <v>273</v>
      </c>
      <c r="D2793">
        <v>52</v>
      </c>
      <c r="E2793">
        <v>46</v>
      </c>
      <c r="F2793">
        <v>106</v>
      </c>
      <c r="G2793">
        <v>3.37</v>
      </c>
      <c r="H2793">
        <v>0</v>
      </c>
      <c r="I2793">
        <v>89</v>
      </c>
      <c r="J2793">
        <v>5131</v>
      </c>
      <c r="K2793">
        <v>16.8</v>
      </c>
      <c r="L2793">
        <v>166</v>
      </c>
      <c r="M2793">
        <v>91</v>
      </c>
      <c r="N2793">
        <v>3.59</v>
      </c>
      <c r="O2793">
        <v>89</v>
      </c>
      <c r="P2793">
        <v>12.1</v>
      </c>
      <c r="S2793">
        <v>8</v>
      </c>
      <c r="T2793">
        <v>8</v>
      </c>
      <c r="W2793" t="b">
        <f>COUNT(LifeExpectancyData[[#This Row],[Life expectancy]:[Schooling]])=19</f>
        <v>0</v>
      </c>
    </row>
    <row r="2794" spans="1:23" x14ac:dyDescent="0.25">
      <c r="A2794" t="s">
        <v>457</v>
      </c>
      <c r="B2794">
        <v>2001</v>
      </c>
      <c r="C2794" t="s">
        <v>273</v>
      </c>
      <c r="D2794">
        <v>49.6</v>
      </c>
      <c r="E2794">
        <v>46</v>
      </c>
      <c r="F2794">
        <v>110</v>
      </c>
      <c r="G2794">
        <v>4.09</v>
      </c>
      <c r="H2794">
        <v>0</v>
      </c>
      <c r="J2794">
        <v>11847</v>
      </c>
      <c r="K2794">
        <v>16.399999999999999</v>
      </c>
      <c r="L2794">
        <v>173</v>
      </c>
      <c r="M2794">
        <v>65</v>
      </c>
      <c r="N2794">
        <v>3.28</v>
      </c>
      <c r="O2794">
        <v>87</v>
      </c>
      <c r="P2794">
        <v>12.5</v>
      </c>
      <c r="S2794">
        <v>8.1999999999999993</v>
      </c>
      <c r="T2794">
        <v>8.1</v>
      </c>
      <c r="W2794" t="b">
        <f>COUNT(LifeExpectancyData[[#This Row],[Life expectancy]:[Schooling]])=19</f>
        <v>0</v>
      </c>
    </row>
    <row r="2795" spans="1:23" x14ac:dyDescent="0.25">
      <c r="A2795" t="s">
        <v>457</v>
      </c>
      <c r="B2795">
        <v>2000</v>
      </c>
      <c r="C2795" t="s">
        <v>273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COUNT(LifeExpectancyData[[#This Row],[Life expectancy]:[Schooling]])=19</f>
        <v>0</v>
      </c>
    </row>
    <row r="2796" spans="1:23" x14ac:dyDescent="0.25">
      <c r="A2796" t="s">
        <v>458</v>
      </c>
      <c r="B2796">
        <v>2015</v>
      </c>
      <c r="C2796" t="s">
        <v>281</v>
      </c>
      <c r="D2796">
        <v>79.3</v>
      </c>
      <c r="E2796">
        <v>13</v>
      </c>
      <c r="F2796">
        <v>23</v>
      </c>
      <c r="H2796">
        <v>0</v>
      </c>
      <c r="I2796">
        <v>92</v>
      </c>
      <c r="J2796">
        <v>188</v>
      </c>
      <c r="K2796">
        <v>69.599999999999994</v>
      </c>
      <c r="L2796">
        <v>26</v>
      </c>
      <c r="M2796">
        <v>93</v>
      </c>
      <c r="O2796">
        <v>95</v>
      </c>
      <c r="P2796">
        <v>0.1</v>
      </c>
      <c r="S2796">
        <v>0.8</v>
      </c>
      <c r="T2796">
        <v>0.6</v>
      </c>
      <c r="W2796" t="b">
        <f>COUNT(LifeExpectancyData[[#This Row],[Life expectancy]:[Schooling]])=19</f>
        <v>0</v>
      </c>
    </row>
    <row r="2797" spans="1:23" x14ac:dyDescent="0.25">
      <c r="A2797" t="s">
        <v>458</v>
      </c>
      <c r="B2797">
        <v>2014</v>
      </c>
      <c r="C2797" t="s">
        <v>281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COUNT(LifeExpectancyData[[#This Row],[Life expectancy]:[Schooling]])=19</f>
        <v>0</v>
      </c>
    </row>
    <row r="2798" spans="1:23" x14ac:dyDescent="0.25">
      <c r="A2798" t="s">
        <v>458</v>
      </c>
      <c r="B2798">
        <v>2013</v>
      </c>
      <c r="C2798" t="s">
        <v>281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COUNT(LifeExpectancyData[[#This Row],[Life expectancy]:[Schooling]])=19</f>
        <v>0</v>
      </c>
    </row>
    <row r="2799" spans="1:23" x14ac:dyDescent="0.25">
      <c r="A2799" t="s">
        <v>458</v>
      </c>
      <c r="B2799">
        <v>2012</v>
      </c>
      <c r="C2799" t="s">
        <v>281</v>
      </c>
      <c r="D2799">
        <v>78.8</v>
      </c>
      <c r="E2799">
        <v>16</v>
      </c>
      <c r="F2799">
        <v>24</v>
      </c>
      <c r="G2799">
        <v>8.82</v>
      </c>
      <c r="H2799">
        <v>0</v>
      </c>
      <c r="I2799">
        <v>9</v>
      </c>
      <c r="J2799">
        <v>55</v>
      </c>
      <c r="K2799">
        <v>68</v>
      </c>
      <c r="L2799">
        <v>28</v>
      </c>
      <c r="M2799">
        <v>93</v>
      </c>
      <c r="N2799">
        <v>17.2</v>
      </c>
      <c r="O2799">
        <v>94</v>
      </c>
      <c r="P2799">
        <v>0.1</v>
      </c>
      <c r="S2799">
        <v>0.7</v>
      </c>
      <c r="T2799">
        <v>0.6</v>
      </c>
      <c r="W2799" t="b">
        <f>COUNT(LifeExpectancyData[[#This Row],[Life expectancy]:[Schooling]])=19</f>
        <v>0</v>
      </c>
    </row>
    <row r="2800" spans="1:23" x14ac:dyDescent="0.25">
      <c r="A2800" t="s">
        <v>458</v>
      </c>
      <c r="B2800">
        <v>2011</v>
      </c>
      <c r="C2800" t="s">
        <v>281</v>
      </c>
      <c r="D2800">
        <v>78.7</v>
      </c>
      <c r="E2800">
        <v>16</v>
      </c>
      <c r="F2800">
        <v>25</v>
      </c>
      <c r="G2800">
        <v>8.67</v>
      </c>
      <c r="H2800">
        <v>0</v>
      </c>
      <c r="I2800">
        <v>91</v>
      </c>
      <c r="J2800">
        <v>220</v>
      </c>
      <c r="K2800">
        <v>67.5</v>
      </c>
      <c r="L2800">
        <v>29</v>
      </c>
      <c r="M2800">
        <v>94</v>
      </c>
      <c r="N2800">
        <v>17.600000000000001</v>
      </c>
      <c r="O2800">
        <v>96</v>
      </c>
      <c r="P2800">
        <v>0.1</v>
      </c>
      <c r="S2800">
        <v>0.7</v>
      </c>
      <c r="T2800">
        <v>0.6</v>
      </c>
      <c r="W2800" t="b">
        <f>COUNT(LifeExpectancyData[[#This Row],[Life expectancy]:[Schooling]])=19</f>
        <v>0</v>
      </c>
    </row>
    <row r="2801" spans="1:23" x14ac:dyDescent="0.25">
      <c r="A2801" t="s">
        <v>458</v>
      </c>
      <c r="B2801">
        <v>2010</v>
      </c>
      <c r="C2801" t="s">
        <v>281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COUNT(LifeExpectancyData[[#This Row],[Life expectancy]:[Schooling]])=19</f>
        <v>0</v>
      </c>
    </row>
    <row r="2802" spans="1:23" x14ac:dyDescent="0.25">
      <c r="A2802" t="s">
        <v>458</v>
      </c>
      <c r="B2802">
        <v>2009</v>
      </c>
      <c r="C2802" t="s">
        <v>281</v>
      </c>
      <c r="D2802">
        <v>78.5</v>
      </c>
      <c r="E2802">
        <v>18</v>
      </c>
      <c r="F2802">
        <v>26</v>
      </c>
      <c r="G2802">
        <v>8.7100000000000009</v>
      </c>
      <c r="H2802">
        <v>0</v>
      </c>
      <c r="I2802">
        <v>92</v>
      </c>
      <c r="J2802">
        <v>71</v>
      </c>
      <c r="K2802">
        <v>66.3</v>
      </c>
      <c r="L2802">
        <v>31</v>
      </c>
      <c r="M2802">
        <v>93</v>
      </c>
      <c r="N2802">
        <v>17</v>
      </c>
      <c r="O2802">
        <v>95</v>
      </c>
      <c r="P2802">
        <v>0.1</v>
      </c>
      <c r="S2802">
        <v>0.7</v>
      </c>
      <c r="T2802">
        <v>0.6</v>
      </c>
      <c r="W2802" t="b">
        <f>COUNT(LifeExpectancyData[[#This Row],[Life expectancy]:[Schooling]])=19</f>
        <v>0</v>
      </c>
    </row>
    <row r="2803" spans="1:23" x14ac:dyDescent="0.25">
      <c r="A2803" t="s">
        <v>458</v>
      </c>
      <c r="B2803">
        <v>2008</v>
      </c>
      <c r="C2803" t="s">
        <v>281</v>
      </c>
      <c r="D2803">
        <v>78.2</v>
      </c>
      <c r="E2803">
        <v>18</v>
      </c>
      <c r="F2803">
        <v>27</v>
      </c>
      <c r="G2803">
        <v>8.74</v>
      </c>
      <c r="H2803">
        <v>0</v>
      </c>
      <c r="I2803">
        <v>94</v>
      </c>
      <c r="J2803">
        <v>140</v>
      </c>
      <c r="K2803">
        <v>65.7</v>
      </c>
      <c r="L2803">
        <v>31</v>
      </c>
      <c r="M2803">
        <v>94</v>
      </c>
      <c r="N2803">
        <v>16.2</v>
      </c>
      <c r="O2803">
        <v>96</v>
      </c>
      <c r="P2803">
        <v>0.1</v>
      </c>
      <c r="S2803">
        <v>0.7</v>
      </c>
      <c r="T2803">
        <v>0.6</v>
      </c>
      <c r="W2803" t="b">
        <f>COUNT(LifeExpectancyData[[#This Row],[Life expectancy]:[Schooling]])=19</f>
        <v>0</v>
      </c>
    </row>
    <row r="2804" spans="1:23" x14ac:dyDescent="0.25">
      <c r="A2804" t="s">
        <v>458</v>
      </c>
      <c r="B2804">
        <v>2007</v>
      </c>
      <c r="C2804" t="s">
        <v>281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COUNT(LifeExpectancyData[[#This Row],[Life expectancy]:[Schooling]])=19</f>
        <v>0</v>
      </c>
    </row>
    <row r="2805" spans="1:23" x14ac:dyDescent="0.25">
      <c r="A2805" t="s">
        <v>458</v>
      </c>
      <c r="B2805">
        <v>2006</v>
      </c>
      <c r="C2805" t="s">
        <v>281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COUNT(LifeExpectancyData[[#This Row],[Life expectancy]:[Schooling]])=19</f>
        <v>0</v>
      </c>
    </row>
    <row r="2806" spans="1:23" x14ac:dyDescent="0.25">
      <c r="A2806" t="s">
        <v>458</v>
      </c>
      <c r="B2806">
        <v>2005</v>
      </c>
      <c r="C2806" t="s">
        <v>281</v>
      </c>
      <c r="D2806">
        <v>77.5</v>
      </c>
      <c r="E2806">
        <v>112</v>
      </c>
      <c r="F2806">
        <v>28</v>
      </c>
      <c r="G2806">
        <v>8.52</v>
      </c>
      <c r="H2806">
        <v>0</v>
      </c>
      <c r="I2806">
        <v>93</v>
      </c>
      <c r="J2806">
        <v>66</v>
      </c>
      <c r="K2806">
        <v>63.8</v>
      </c>
      <c r="L2806">
        <v>33</v>
      </c>
      <c r="M2806">
        <v>92</v>
      </c>
      <c r="N2806">
        <v>15.15</v>
      </c>
      <c r="O2806">
        <v>96</v>
      </c>
      <c r="P2806">
        <v>0.1</v>
      </c>
      <c r="S2806">
        <v>0.7</v>
      </c>
      <c r="T2806">
        <v>0.6</v>
      </c>
      <c r="W2806" t="b">
        <f>COUNT(LifeExpectancyData[[#This Row],[Life expectancy]:[Schooling]])=19</f>
        <v>0</v>
      </c>
    </row>
    <row r="2807" spans="1:23" x14ac:dyDescent="0.25">
      <c r="A2807" t="s">
        <v>458</v>
      </c>
      <c r="B2807">
        <v>2004</v>
      </c>
      <c r="C2807" t="s">
        <v>281</v>
      </c>
      <c r="D2807">
        <v>77.5</v>
      </c>
      <c r="E2807">
        <v>111</v>
      </c>
      <c r="F2807">
        <v>28</v>
      </c>
      <c r="G2807">
        <v>8.48</v>
      </c>
      <c r="H2807">
        <v>0</v>
      </c>
      <c r="I2807">
        <v>92</v>
      </c>
      <c r="J2807">
        <v>37</v>
      </c>
      <c r="K2807">
        <v>63.1</v>
      </c>
      <c r="L2807">
        <v>33</v>
      </c>
      <c r="M2807">
        <v>92</v>
      </c>
      <c r="N2807">
        <v>15.14</v>
      </c>
      <c r="O2807">
        <v>96</v>
      </c>
      <c r="P2807">
        <v>0.1</v>
      </c>
      <c r="S2807">
        <v>0.7</v>
      </c>
      <c r="T2807">
        <v>0.6</v>
      </c>
      <c r="W2807" t="b">
        <f>COUNT(LifeExpectancyData[[#This Row],[Life expectancy]:[Schooling]])=19</f>
        <v>0</v>
      </c>
    </row>
    <row r="2808" spans="1:23" x14ac:dyDescent="0.25">
      <c r="A2808" t="s">
        <v>458</v>
      </c>
      <c r="B2808">
        <v>2003</v>
      </c>
      <c r="C2808" t="s">
        <v>281</v>
      </c>
      <c r="D2808">
        <v>77.2</v>
      </c>
      <c r="E2808">
        <v>114</v>
      </c>
      <c r="F2808">
        <v>28</v>
      </c>
      <c r="G2808">
        <v>8.4</v>
      </c>
      <c r="H2808">
        <v>0</v>
      </c>
      <c r="I2808">
        <v>92</v>
      </c>
      <c r="J2808">
        <v>56</v>
      </c>
      <c r="K2808">
        <v>62.4</v>
      </c>
      <c r="L2808">
        <v>33</v>
      </c>
      <c r="M2808">
        <v>91</v>
      </c>
      <c r="N2808">
        <v>15.6</v>
      </c>
      <c r="O2808">
        <v>96</v>
      </c>
      <c r="P2808">
        <v>0.1</v>
      </c>
      <c r="S2808">
        <v>0.7</v>
      </c>
      <c r="T2808">
        <v>0.6</v>
      </c>
      <c r="W2808" t="b">
        <f>COUNT(LifeExpectancyData[[#This Row],[Life expectancy]:[Schooling]])=19</f>
        <v>0</v>
      </c>
    </row>
    <row r="2809" spans="1:23" x14ac:dyDescent="0.25">
      <c r="A2809" t="s">
        <v>458</v>
      </c>
      <c r="B2809">
        <v>2002</v>
      </c>
      <c r="C2809" t="s">
        <v>281</v>
      </c>
      <c r="D2809">
        <v>77</v>
      </c>
      <c r="E2809">
        <v>115</v>
      </c>
      <c r="F2809">
        <v>28</v>
      </c>
      <c r="G2809">
        <v>8.33</v>
      </c>
      <c r="H2809">
        <v>0</v>
      </c>
      <c r="I2809">
        <v>88</v>
      </c>
      <c r="J2809">
        <v>41</v>
      </c>
      <c r="K2809">
        <v>61.7</v>
      </c>
      <c r="L2809">
        <v>33</v>
      </c>
      <c r="M2809">
        <v>9</v>
      </c>
      <c r="N2809">
        <v>14.55</v>
      </c>
      <c r="O2809">
        <v>94</v>
      </c>
      <c r="P2809">
        <v>0.1</v>
      </c>
      <c r="S2809">
        <v>0.8</v>
      </c>
      <c r="T2809">
        <v>0.6</v>
      </c>
      <c r="W2809" t="b">
        <f>COUNT(LifeExpectancyData[[#This Row],[Life expectancy]:[Schooling]])=19</f>
        <v>0</v>
      </c>
    </row>
    <row r="2810" spans="1:23" x14ac:dyDescent="0.25">
      <c r="A2810" t="s">
        <v>458</v>
      </c>
      <c r="B2810">
        <v>2001</v>
      </c>
      <c r="C2810" t="s">
        <v>281</v>
      </c>
      <c r="D2810">
        <v>76.900000000000006</v>
      </c>
      <c r="E2810">
        <v>115</v>
      </c>
      <c r="F2810">
        <v>28</v>
      </c>
      <c r="G2810">
        <v>8.25</v>
      </c>
      <c r="H2810">
        <v>0</v>
      </c>
      <c r="I2810">
        <v>89</v>
      </c>
      <c r="J2810">
        <v>116</v>
      </c>
      <c r="K2810">
        <v>6.9</v>
      </c>
      <c r="L2810">
        <v>33</v>
      </c>
      <c r="M2810">
        <v>89</v>
      </c>
      <c r="N2810">
        <v>13.73</v>
      </c>
      <c r="O2810">
        <v>94</v>
      </c>
      <c r="P2810">
        <v>0.1</v>
      </c>
      <c r="S2810">
        <v>0.8</v>
      </c>
      <c r="T2810">
        <v>0.6</v>
      </c>
      <c r="W2810" t="b">
        <f>COUNT(LifeExpectancyData[[#This Row],[Life expectancy]:[Schooling]])=19</f>
        <v>0</v>
      </c>
    </row>
    <row r="2811" spans="1:23" x14ac:dyDescent="0.25">
      <c r="A2811" t="s">
        <v>458</v>
      </c>
      <c r="B2811">
        <v>2000</v>
      </c>
      <c r="C2811" t="s">
        <v>281</v>
      </c>
      <c r="D2811">
        <v>76.8</v>
      </c>
      <c r="E2811">
        <v>114</v>
      </c>
      <c r="F2811">
        <v>28</v>
      </c>
      <c r="G2811">
        <v>8.2100000000000009</v>
      </c>
      <c r="H2811">
        <v>0</v>
      </c>
      <c r="I2811">
        <v>9</v>
      </c>
      <c r="J2811">
        <v>85</v>
      </c>
      <c r="K2811">
        <v>6.1</v>
      </c>
      <c r="L2811">
        <v>33</v>
      </c>
      <c r="M2811">
        <v>9</v>
      </c>
      <c r="N2811">
        <v>13.7</v>
      </c>
      <c r="O2811">
        <v>94</v>
      </c>
      <c r="P2811">
        <v>0.1</v>
      </c>
      <c r="S2811">
        <v>0.8</v>
      </c>
      <c r="T2811">
        <v>0.7</v>
      </c>
      <c r="W2811" t="b">
        <f>COUNT(LifeExpectancyData[[#This Row],[Life expectancy]:[Schooling]])=19</f>
        <v>0</v>
      </c>
    </row>
    <row r="2812" spans="1:23" x14ac:dyDescent="0.25">
      <c r="A2812" t="s">
        <v>459</v>
      </c>
      <c r="B2812">
        <v>2015</v>
      </c>
      <c r="C2812" t="s">
        <v>273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COUNT(LifeExpectancyData[[#This Row],[Life expectancy]:[Schooling]])=19</f>
        <v>0</v>
      </c>
    </row>
    <row r="2813" spans="1:23" x14ac:dyDescent="0.25">
      <c r="A2813" t="s">
        <v>459</v>
      </c>
      <c r="B2813">
        <v>2014</v>
      </c>
      <c r="C2813" t="s">
        <v>273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COUNT(LifeExpectancyData[[#This Row],[Life expectancy]:[Schooling]])=19</f>
        <v>1</v>
      </c>
    </row>
    <row r="2814" spans="1:23" x14ac:dyDescent="0.25">
      <c r="A2814" t="s">
        <v>459</v>
      </c>
      <c r="B2814">
        <v>2013</v>
      </c>
      <c r="C2814" t="s">
        <v>273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COUNT(LifeExpectancyData[[#This Row],[Life expectancy]:[Schooling]])=19</f>
        <v>1</v>
      </c>
    </row>
    <row r="2815" spans="1:23" x14ac:dyDescent="0.25">
      <c r="A2815" t="s">
        <v>459</v>
      </c>
      <c r="B2815">
        <v>2012</v>
      </c>
      <c r="C2815" t="s">
        <v>273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COUNT(LifeExpectancyData[[#This Row],[Life expectancy]:[Schooling]])=19</f>
        <v>1</v>
      </c>
    </row>
    <row r="2816" spans="1:23" x14ac:dyDescent="0.25">
      <c r="A2816" t="s">
        <v>459</v>
      </c>
      <c r="B2816">
        <v>2011</v>
      </c>
      <c r="C2816" t="s">
        <v>273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COUNT(LifeExpectancyData[[#This Row],[Life expectancy]:[Schooling]])=19</f>
        <v>1</v>
      </c>
    </row>
    <row r="2817" spans="1:23" x14ac:dyDescent="0.25">
      <c r="A2817" t="s">
        <v>459</v>
      </c>
      <c r="B2817">
        <v>2010</v>
      </c>
      <c r="C2817" t="s">
        <v>273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COUNT(LifeExpectancyData[[#This Row],[Life expectancy]:[Schooling]])=19</f>
        <v>1</v>
      </c>
    </row>
    <row r="2818" spans="1:23" x14ac:dyDescent="0.25">
      <c r="A2818" t="s">
        <v>459</v>
      </c>
      <c r="B2818">
        <v>2009</v>
      </c>
      <c r="C2818" t="s">
        <v>273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COUNT(LifeExpectancyData[[#This Row],[Life expectancy]:[Schooling]])=19</f>
        <v>1</v>
      </c>
    </row>
    <row r="2819" spans="1:23" x14ac:dyDescent="0.25">
      <c r="A2819" t="s">
        <v>459</v>
      </c>
      <c r="B2819">
        <v>2008</v>
      </c>
      <c r="C2819" t="s">
        <v>273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COUNT(LifeExpectancyData[[#This Row],[Life expectancy]:[Schooling]])=19</f>
        <v>1</v>
      </c>
    </row>
    <row r="2820" spans="1:23" x14ac:dyDescent="0.25">
      <c r="A2820" t="s">
        <v>459</v>
      </c>
      <c r="B2820">
        <v>2007</v>
      </c>
      <c r="C2820" t="s">
        <v>273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COUNT(LifeExpectancyData[[#This Row],[Life expectancy]:[Schooling]])=19</f>
        <v>1</v>
      </c>
    </row>
    <row r="2821" spans="1:23" x14ac:dyDescent="0.25">
      <c r="A2821" t="s">
        <v>459</v>
      </c>
      <c r="B2821">
        <v>2006</v>
      </c>
      <c r="C2821" t="s">
        <v>273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COUNT(LifeExpectancyData[[#This Row],[Life expectancy]:[Schooling]])=19</f>
        <v>1</v>
      </c>
    </row>
    <row r="2822" spans="1:23" x14ac:dyDescent="0.25">
      <c r="A2822" t="s">
        <v>459</v>
      </c>
      <c r="B2822">
        <v>2005</v>
      </c>
      <c r="C2822" t="s">
        <v>273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COUNT(LifeExpectancyData[[#This Row],[Life expectancy]:[Schooling]])=19</f>
        <v>1</v>
      </c>
    </row>
    <row r="2823" spans="1:23" x14ac:dyDescent="0.25">
      <c r="A2823" t="s">
        <v>459</v>
      </c>
      <c r="B2823">
        <v>2004</v>
      </c>
      <c r="C2823" t="s">
        <v>273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COUNT(LifeExpectancyData[[#This Row],[Life expectancy]:[Schooling]])=19</f>
        <v>1</v>
      </c>
    </row>
    <row r="2824" spans="1:23" x14ac:dyDescent="0.25">
      <c r="A2824" t="s">
        <v>459</v>
      </c>
      <c r="B2824">
        <v>2003</v>
      </c>
      <c r="C2824" t="s">
        <v>273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COUNT(LifeExpectancyData[[#This Row],[Life expectancy]:[Schooling]])=19</f>
        <v>1</v>
      </c>
    </row>
    <row r="2825" spans="1:23" x14ac:dyDescent="0.25">
      <c r="A2825" t="s">
        <v>459</v>
      </c>
      <c r="B2825">
        <v>2002</v>
      </c>
      <c r="C2825" t="s">
        <v>273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COUNT(LifeExpectancyData[[#This Row],[Life expectancy]:[Schooling]])=19</f>
        <v>1</v>
      </c>
    </row>
    <row r="2826" spans="1:23" x14ac:dyDescent="0.25">
      <c r="A2826" t="s">
        <v>459</v>
      </c>
      <c r="B2826">
        <v>2001</v>
      </c>
      <c r="C2826" t="s">
        <v>273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COUNT(LifeExpectancyData[[#This Row],[Life expectancy]:[Schooling]])=19</f>
        <v>1</v>
      </c>
    </row>
    <row r="2827" spans="1:23" x14ac:dyDescent="0.25">
      <c r="A2827" t="s">
        <v>459</v>
      </c>
      <c r="B2827">
        <v>2000</v>
      </c>
      <c r="C2827" t="s">
        <v>273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COUNT(LifeExpectancyData[[#This Row],[Life expectancy]:[Schooling]])=19</f>
        <v>1</v>
      </c>
    </row>
    <row r="2828" spans="1:23" x14ac:dyDescent="0.25">
      <c r="A2828" t="s">
        <v>460</v>
      </c>
      <c r="B2828">
        <v>2015</v>
      </c>
      <c r="C2828" t="s">
        <v>273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COUNT(LifeExpectancyData[[#This Row],[Life expectancy]:[Schooling]])=19</f>
        <v>0</v>
      </c>
    </row>
    <row r="2829" spans="1:23" x14ac:dyDescent="0.25">
      <c r="A2829" t="s">
        <v>460</v>
      </c>
      <c r="B2829">
        <v>2014</v>
      </c>
      <c r="C2829" t="s">
        <v>273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COUNT(LifeExpectancyData[[#This Row],[Life expectancy]:[Schooling]])=19</f>
        <v>1</v>
      </c>
    </row>
    <row r="2830" spans="1:23" x14ac:dyDescent="0.25">
      <c r="A2830" t="s">
        <v>460</v>
      </c>
      <c r="B2830">
        <v>2013</v>
      </c>
      <c r="C2830" t="s">
        <v>273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COUNT(LifeExpectancyData[[#This Row],[Life expectancy]:[Schooling]])=19</f>
        <v>1</v>
      </c>
    </row>
    <row r="2831" spans="1:23" x14ac:dyDescent="0.25">
      <c r="A2831" t="s">
        <v>460</v>
      </c>
      <c r="B2831">
        <v>2012</v>
      </c>
      <c r="C2831" t="s">
        <v>273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COUNT(LifeExpectancyData[[#This Row],[Life expectancy]:[Schooling]])=19</f>
        <v>1</v>
      </c>
    </row>
    <row r="2832" spans="1:23" x14ac:dyDescent="0.25">
      <c r="A2832" t="s">
        <v>460</v>
      </c>
      <c r="B2832">
        <v>2011</v>
      </c>
      <c r="C2832" t="s">
        <v>273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COUNT(LifeExpectancyData[[#This Row],[Life expectancy]:[Schooling]])=19</f>
        <v>1</v>
      </c>
    </row>
    <row r="2833" spans="1:23" x14ac:dyDescent="0.25">
      <c r="A2833" t="s">
        <v>460</v>
      </c>
      <c r="B2833">
        <v>2010</v>
      </c>
      <c r="C2833" t="s">
        <v>273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COUNT(LifeExpectancyData[[#This Row],[Life expectancy]:[Schooling]])=19</f>
        <v>1</v>
      </c>
    </row>
    <row r="2834" spans="1:23" x14ac:dyDescent="0.25">
      <c r="A2834" t="s">
        <v>460</v>
      </c>
      <c r="B2834">
        <v>2009</v>
      </c>
      <c r="C2834" t="s">
        <v>273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COUNT(LifeExpectancyData[[#This Row],[Life expectancy]:[Schooling]])=19</f>
        <v>1</v>
      </c>
    </row>
    <row r="2835" spans="1:23" x14ac:dyDescent="0.25">
      <c r="A2835" t="s">
        <v>460</v>
      </c>
      <c r="B2835">
        <v>2008</v>
      </c>
      <c r="C2835" t="s">
        <v>273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COUNT(LifeExpectancyData[[#This Row],[Life expectancy]:[Schooling]])=19</f>
        <v>1</v>
      </c>
    </row>
    <row r="2836" spans="1:23" x14ac:dyDescent="0.25">
      <c r="A2836" t="s">
        <v>460</v>
      </c>
      <c r="B2836">
        <v>2007</v>
      </c>
      <c r="C2836" t="s">
        <v>273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COUNT(LifeExpectancyData[[#This Row],[Life expectancy]:[Schooling]])=19</f>
        <v>1</v>
      </c>
    </row>
    <row r="2837" spans="1:23" x14ac:dyDescent="0.25">
      <c r="A2837" t="s">
        <v>460</v>
      </c>
      <c r="B2837">
        <v>2006</v>
      </c>
      <c r="C2837" t="s">
        <v>273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COUNT(LifeExpectancyData[[#This Row],[Life expectancy]:[Schooling]])=19</f>
        <v>1</v>
      </c>
    </row>
    <row r="2838" spans="1:23" x14ac:dyDescent="0.25">
      <c r="A2838" t="s">
        <v>460</v>
      </c>
      <c r="B2838">
        <v>2005</v>
      </c>
      <c r="C2838" t="s">
        <v>273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COUNT(LifeExpectancyData[[#This Row],[Life expectancy]:[Schooling]])=19</f>
        <v>1</v>
      </c>
    </row>
    <row r="2839" spans="1:23" x14ac:dyDescent="0.25">
      <c r="A2839" t="s">
        <v>460</v>
      </c>
      <c r="B2839">
        <v>2004</v>
      </c>
      <c r="C2839" t="s">
        <v>273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COUNT(LifeExpectancyData[[#This Row],[Life expectancy]:[Schooling]])=19</f>
        <v>1</v>
      </c>
    </row>
    <row r="2840" spans="1:23" x14ac:dyDescent="0.25">
      <c r="A2840" t="s">
        <v>460</v>
      </c>
      <c r="B2840">
        <v>2003</v>
      </c>
      <c r="C2840" t="s">
        <v>273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COUNT(LifeExpectancyData[[#This Row],[Life expectancy]:[Schooling]])=19</f>
        <v>1</v>
      </c>
    </row>
    <row r="2841" spans="1:23" x14ac:dyDescent="0.25">
      <c r="A2841" t="s">
        <v>460</v>
      </c>
      <c r="B2841">
        <v>2002</v>
      </c>
      <c r="C2841" t="s">
        <v>273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COUNT(LifeExpectancyData[[#This Row],[Life expectancy]:[Schooling]])=19</f>
        <v>1</v>
      </c>
    </row>
    <row r="2842" spans="1:23" x14ac:dyDescent="0.25">
      <c r="A2842" t="s">
        <v>460</v>
      </c>
      <c r="B2842">
        <v>2001</v>
      </c>
      <c r="C2842" t="s">
        <v>273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COUNT(LifeExpectancyData[[#This Row],[Life expectancy]:[Schooling]])=19</f>
        <v>0</v>
      </c>
    </row>
    <row r="2843" spans="1:23" x14ac:dyDescent="0.25">
      <c r="A2843" t="s">
        <v>460</v>
      </c>
      <c r="B2843">
        <v>2000</v>
      </c>
      <c r="C2843" t="s">
        <v>273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COUNT(LifeExpectancyData[[#This Row],[Life expectancy]:[Schooling]])=19</f>
        <v>0</v>
      </c>
    </row>
    <row r="2844" spans="1:23" x14ac:dyDescent="0.25">
      <c r="A2844" t="s">
        <v>461</v>
      </c>
      <c r="B2844">
        <v>2015</v>
      </c>
      <c r="C2844" t="s">
        <v>273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COUNT(LifeExpectancyData[[#This Row],[Life expectancy]:[Schooling]])=19</f>
        <v>0</v>
      </c>
    </row>
    <row r="2845" spans="1:23" x14ac:dyDescent="0.25">
      <c r="A2845" t="s">
        <v>461</v>
      </c>
      <c r="B2845">
        <v>2014</v>
      </c>
      <c r="C2845" t="s">
        <v>273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COUNT(LifeExpectancyData[[#This Row],[Life expectancy]:[Schooling]])=19</f>
        <v>1</v>
      </c>
    </row>
    <row r="2846" spans="1:23" x14ac:dyDescent="0.25">
      <c r="A2846" t="s">
        <v>461</v>
      </c>
      <c r="B2846">
        <v>2013</v>
      </c>
      <c r="C2846" t="s">
        <v>273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COUNT(LifeExpectancyData[[#This Row],[Life expectancy]:[Schooling]])=19</f>
        <v>1</v>
      </c>
    </row>
    <row r="2847" spans="1:23" x14ac:dyDescent="0.25">
      <c r="A2847" t="s">
        <v>461</v>
      </c>
      <c r="B2847">
        <v>2012</v>
      </c>
      <c r="C2847" t="s">
        <v>273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COUNT(LifeExpectancyData[[#This Row],[Life expectancy]:[Schooling]])=19</f>
        <v>1</v>
      </c>
    </row>
    <row r="2848" spans="1:23" x14ac:dyDescent="0.25">
      <c r="A2848" t="s">
        <v>461</v>
      </c>
      <c r="B2848">
        <v>2011</v>
      </c>
      <c r="C2848" t="s">
        <v>273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COUNT(LifeExpectancyData[[#This Row],[Life expectancy]:[Schooling]])=19</f>
        <v>1</v>
      </c>
    </row>
    <row r="2849" spans="1:23" x14ac:dyDescent="0.25">
      <c r="A2849" t="s">
        <v>461</v>
      </c>
      <c r="B2849">
        <v>2010</v>
      </c>
      <c r="C2849" t="s">
        <v>273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COUNT(LifeExpectancyData[[#This Row],[Life expectancy]:[Schooling]])=19</f>
        <v>1</v>
      </c>
    </row>
    <row r="2850" spans="1:23" x14ac:dyDescent="0.25">
      <c r="A2850" t="s">
        <v>461</v>
      </c>
      <c r="B2850">
        <v>2009</v>
      </c>
      <c r="C2850" t="s">
        <v>273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COUNT(LifeExpectancyData[[#This Row],[Life expectancy]:[Schooling]])=19</f>
        <v>1</v>
      </c>
    </row>
    <row r="2851" spans="1:23" x14ac:dyDescent="0.25">
      <c r="A2851" t="s">
        <v>461</v>
      </c>
      <c r="B2851">
        <v>2008</v>
      </c>
      <c r="C2851" t="s">
        <v>273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COUNT(LifeExpectancyData[[#This Row],[Life expectancy]:[Schooling]])=19</f>
        <v>1</v>
      </c>
    </row>
    <row r="2852" spans="1:23" x14ac:dyDescent="0.25">
      <c r="A2852" t="s">
        <v>461</v>
      </c>
      <c r="B2852">
        <v>2007</v>
      </c>
      <c r="C2852" t="s">
        <v>273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COUNT(LifeExpectancyData[[#This Row],[Life expectancy]:[Schooling]])=19</f>
        <v>1</v>
      </c>
    </row>
    <row r="2853" spans="1:23" x14ac:dyDescent="0.25">
      <c r="A2853" t="s">
        <v>461</v>
      </c>
      <c r="B2853">
        <v>2006</v>
      </c>
      <c r="C2853" t="s">
        <v>273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COUNT(LifeExpectancyData[[#This Row],[Life expectancy]:[Schooling]])=19</f>
        <v>1</v>
      </c>
    </row>
    <row r="2854" spans="1:23" x14ac:dyDescent="0.25">
      <c r="A2854" t="s">
        <v>461</v>
      </c>
      <c r="B2854">
        <v>2005</v>
      </c>
      <c r="C2854" t="s">
        <v>273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COUNT(LifeExpectancyData[[#This Row],[Life expectancy]:[Schooling]])=19</f>
        <v>1</v>
      </c>
    </row>
    <row r="2855" spans="1:23" x14ac:dyDescent="0.25">
      <c r="A2855" t="s">
        <v>461</v>
      </c>
      <c r="B2855">
        <v>2004</v>
      </c>
      <c r="C2855" t="s">
        <v>273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COUNT(LifeExpectancyData[[#This Row],[Life expectancy]:[Schooling]])=19</f>
        <v>1</v>
      </c>
    </row>
    <row r="2856" spans="1:23" x14ac:dyDescent="0.25">
      <c r="A2856" t="s">
        <v>461</v>
      </c>
      <c r="B2856">
        <v>2003</v>
      </c>
      <c r="C2856" t="s">
        <v>273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COUNT(LifeExpectancyData[[#This Row],[Life expectancy]:[Schooling]])=19</f>
        <v>1</v>
      </c>
    </row>
    <row r="2857" spans="1:23" x14ac:dyDescent="0.25">
      <c r="A2857" t="s">
        <v>461</v>
      </c>
      <c r="B2857">
        <v>2002</v>
      </c>
      <c r="C2857" t="s">
        <v>273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COUNT(LifeExpectancyData[[#This Row],[Life expectancy]:[Schooling]])=19</f>
        <v>1</v>
      </c>
    </row>
    <row r="2858" spans="1:23" x14ac:dyDescent="0.25">
      <c r="A2858" t="s">
        <v>461</v>
      </c>
      <c r="B2858">
        <v>2001</v>
      </c>
      <c r="C2858" t="s">
        <v>273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COUNT(LifeExpectancyData[[#This Row],[Life expectancy]:[Schooling]])=19</f>
        <v>1</v>
      </c>
    </row>
    <row r="2859" spans="1:23" x14ac:dyDescent="0.25">
      <c r="A2859" t="s">
        <v>461</v>
      </c>
      <c r="B2859">
        <v>2000</v>
      </c>
      <c r="C2859" t="s">
        <v>273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COUNT(LifeExpectancyData[[#This Row],[Life expectancy]:[Schooling]])=19</f>
        <v>1</v>
      </c>
    </row>
    <row r="2860" spans="1:23" x14ac:dyDescent="0.25">
      <c r="A2860" t="s">
        <v>462</v>
      </c>
      <c r="B2860">
        <v>2015</v>
      </c>
      <c r="C2860" t="s">
        <v>273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COUNT(LifeExpectancyData[[#This Row],[Life expectancy]:[Schooling]])=19</f>
        <v>0</v>
      </c>
    </row>
    <row r="2861" spans="1:23" x14ac:dyDescent="0.25">
      <c r="A2861" t="s">
        <v>462</v>
      </c>
      <c r="B2861">
        <v>2014</v>
      </c>
      <c r="C2861" t="s">
        <v>273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COUNT(LifeExpectancyData[[#This Row],[Life expectancy]:[Schooling]])=19</f>
        <v>0</v>
      </c>
    </row>
    <row r="2862" spans="1:23" x14ac:dyDescent="0.25">
      <c r="A2862" t="s">
        <v>462</v>
      </c>
      <c r="B2862">
        <v>2013</v>
      </c>
      <c r="C2862" t="s">
        <v>273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COUNT(LifeExpectancyData[[#This Row],[Life expectancy]:[Schooling]])=19</f>
        <v>0</v>
      </c>
    </row>
    <row r="2863" spans="1:23" x14ac:dyDescent="0.25">
      <c r="A2863" t="s">
        <v>462</v>
      </c>
      <c r="B2863">
        <v>2012</v>
      </c>
      <c r="C2863" t="s">
        <v>273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COUNT(LifeExpectancyData[[#This Row],[Life expectancy]:[Schooling]])=19</f>
        <v>0</v>
      </c>
    </row>
    <row r="2864" spans="1:23" x14ac:dyDescent="0.25">
      <c r="A2864" t="s">
        <v>462</v>
      </c>
      <c r="B2864">
        <v>2011</v>
      </c>
      <c r="C2864" t="s">
        <v>273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COUNT(LifeExpectancyData[[#This Row],[Life expectancy]:[Schooling]])=19</f>
        <v>0</v>
      </c>
    </row>
    <row r="2865" spans="1:23" x14ac:dyDescent="0.25">
      <c r="A2865" t="s">
        <v>462</v>
      </c>
      <c r="B2865">
        <v>2010</v>
      </c>
      <c r="C2865" t="s">
        <v>273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COUNT(LifeExpectancyData[[#This Row],[Life expectancy]:[Schooling]])=19</f>
        <v>0</v>
      </c>
    </row>
    <row r="2866" spans="1:23" x14ac:dyDescent="0.25">
      <c r="A2866" t="s">
        <v>462</v>
      </c>
      <c r="B2866">
        <v>2009</v>
      </c>
      <c r="C2866" t="s">
        <v>273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COUNT(LifeExpectancyData[[#This Row],[Life expectancy]:[Schooling]])=19</f>
        <v>0</v>
      </c>
    </row>
    <row r="2867" spans="1:23" x14ac:dyDescent="0.25">
      <c r="A2867" t="s">
        <v>462</v>
      </c>
      <c r="B2867">
        <v>2008</v>
      </c>
      <c r="C2867" t="s">
        <v>273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COUNT(LifeExpectancyData[[#This Row],[Life expectancy]:[Schooling]])=19</f>
        <v>0</v>
      </c>
    </row>
    <row r="2868" spans="1:23" x14ac:dyDescent="0.25">
      <c r="A2868" t="s">
        <v>462</v>
      </c>
      <c r="B2868">
        <v>2007</v>
      </c>
      <c r="C2868" t="s">
        <v>273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COUNT(LifeExpectancyData[[#This Row],[Life expectancy]:[Schooling]])=19</f>
        <v>0</v>
      </c>
    </row>
    <row r="2869" spans="1:23" x14ac:dyDescent="0.25">
      <c r="A2869" t="s">
        <v>462</v>
      </c>
      <c r="B2869">
        <v>2006</v>
      </c>
      <c r="C2869" t="s">
        <v>273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COUNT(LifeExpectancyData[[#This Row],[Life expectancy]:[Schooling]])=19</f>
        <v>0</v>
      </c>
    </row>
    <row r="2870" spans="1:23" x14ac:dyDescent="0.25">
      <c r="A2870" t="s">
        <v>462</v>
      </c>
      <c r="B2870">
        <v>2005</v>
      </c>
      <c r="C2870" t="s">
        <v>273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COUNT(LifeExpectancyData[[#This Row],[Life expectancy]:[Schooling]])=19</f>
        <v>0</v>
      </c>
    </row>
    <row r="2871" spans="1:23" x14ac:dyDescent="0.25">
      <c r="A2871" t="s">
        <v>462</v>
      </c>
      <c r="B2871">
        <v>2004</v>
      </c>
      <c r="C2871" t="s">
        <v>273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COUNT(LifeExpectancyData[[#This Row],[Life expectancy]:[Schooling]])=19</f>
        <v>0</v>
      </c>
    </row>
    <row r="2872" spans="1:23" x14ac:dyDescent="0.25">
      <c r="A2872" t="s">
        <v>462</v>
      </c>
      <c r="B2872">
        <v>2003</v>
      </c>
      <c r="C2872" t="s">
        <v>273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COUNT(LifeExpectancyData[[#This Row],[Life expectancy]:[Schooling]])=19</f>
        <v>0</v>
      </c>
    </row>
    <row r="2873" spans="1:23" x14ac:dyDescent="0.25">
      <c r="A2873" t="s">
        <v>462</v>
      </c>
      <c r="B2873">
        <v>2002</v>
      </c>
      <c r="C2873" t="s">
        <v>273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COUNT(LifeExpectancyData[[#This Row],[Life expectancy]:[Schooling]])=19</f>
        <v>0</v>
      </c>
    </row>
    <row r="2874" spans="1:23" x14ac:dyDescent="0.25">
      <c r="A2874" t="s">
        <v>462</v>
      </c>
      <c r="B2874">
        <v>2001</v>
      </c>
      <c r="C2874" t="s">
        <v>273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COUNT(LifeExpectancyData[[#This Row],[Life expectancy]:[Schooling]])=19</f>
        <v>0</v>
      </c>
    </row>
    <row r="2875" spans="1:23" x14ac:dyDescent="0.25">
      <c r="A2875" t="s">
        <v>462</v>
      </c>
      <c r="B2875">
        <v>2000</v>
      </c>
      <c r="C2875" t="s">
        <v>273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COUNT(LifeExpectancyData[[#This Row],[Life expectancy]:[Schooling]])=19</f>
        <v>0</v>
      </c>
    </row>
    <row r="2876" spans="1:23" x14ac:dyDescent="0.25">
      <c r="A2876" t="s">
        <v>463</v>
      </c>
      <c r="B2876">
        <v>2015</v>
      </c>
      <c r="C2876" t="s">
        <v>273</v>
      </c>
      <c r="D2876">
        <v>76</v>
      </c>
      <c r="E2876">
        <v>127</v>
      </c>
      <c r="F2876">
        <v>28</v>
      </c>
      <c r="H2876">
        <v>0</v>
      </c>
      <c r="I2876">
        <v>97</v>
      </c>
      <c r="J2876">
        <v>256</v>
      </c>
      <c r="K2876">
        <v>17.5</v>
      </c>
      <c r="L2876">
        <v>35</v>
      </c>
      <c r="M2876">
        <v>97</v>
      </c>
      <c r="O2876">
        <v>97</v>
      </c>
      <c r="P2876">
        <v>0.1</v>
      </c>
      <c r="S2876">
        <v>14.2</v>
      </c>
      <c r="T2876">
        <v>14.5</v>
      </c>
      <c r="U2876">
        <v>0.67800000000000005</v>
      </c>
      <c r="V2876">
        <v>12.6</v>
      </c>
      <c r="W2876" t="b">
        <f>COUNT(LifeExpectancyData[[#This Row],[Life expectancy]:[Schooling]])=19</f>
        <v>0</v>
      </c>
    </row>
    <row r="2877" spans="1:23" x14ac:dyDescent="0.25">
      <c r="A2877" t="s">
        <v>463</v>
      </c>
      <c r="B2877">
        <v>2014</v>
      </c>
      <c r="C2877" t="s">
        <v>273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COUNT(LifeExpectancyData[[#This Row],[Life expectancy]:[Schooling]])=19</f>
        <v>0</v>
      </c>
    </row>
    <row r="2878" spans="1:23" x14ac:dyDescent="0.25">
      <c r="A2878" t="s">
        <v>463</v>
      </c>
      <c r="B2878">
        <v>2013</v>
      </c>
      <c r="C2878" t="s">
        <v>273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COUNT(LifeExpectancyData[[#This Row],[Life expectancy]:[Schooling]])=19</f>
        <v>0</v>
      </c>
    </row>
    <row r="2879" spans="1:23" x14ac:dyDescent="0.25">
      <c r="A2879" t="s">
        <v>463</v>
      </c>
      <c r="B2879">
        <v>2012</v>
      </c>
      <c r="C2879" t="s">
        <v>273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COUNT(LifeExpectancyData[[#This Row],[Life expectancy]:[Schooling]])=19</f>
        <v>0</v>
      </c>
    </row>
    <row r="2880" spans="1:23" x14ac:dyDescent="0.25">
      <c r="A2880" t="s">
        <v>463</v>
      </c>
      <c r="B2880">
        <v>2011</v>
      </c>
      <c r="C2880" t="s">
        <v>273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COUNT(LifeExpectancyData[[#This Row],[Life expectancy]:[Schooling]])=19</f>
        <v>0</v>
      </c>
    </row>
    <row r="2881" spans="1:23" x14ac:dyDescent="0.25">
      <c r="A2881" t="s">
        <v>463</v>
      </c>
      <c r="B2881">
        <v>2010</v>
      </c>
      <c r="C2881" t="s">
        <v>273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COUNT(LifeExpectancyData[[#This Row],[Life expectancy]:[Schooling]])=19</f>
        <v>0</v>
      </c>
    </row>
    <row r="2882" spans="1:23" x14ac:dyDescent="0.25">
      <c r="A2882" t="s">
        <v>463</v>
      </c>
      <c r="B2882">
        <v>2009</v>
      </c>
      <c r="C2882" t="s">
        <v>273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COUNT(LifeExpectancyData[[#This Row],[Life expectancy]:[Schooling]])=19</f>
        <v>0</v>
      </c>
    </row>
    <row r="2883" spans="1:23" x14ac:dyDescent="0.25">
      <c r="A2883" t="s">
        <v>463</v>
      </c>
      <c r="B2883">
        <v>2008</v>
      </c>
      <c r="C2883" t="s">
        <v>273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COUNT(LifeExpectancyData[[#This Row],[Life expectancy]:[Schooling]])=19</f>
        <v>0</v>
      </c>
    </row>
    <row r="2884" spans="1:23" x14ac:dyDescent="0.25">
      <c r="A2884" t="s">
        <v>463</v>
      </c>
      <c r="B2884">
        <v>2007</v>
      </c>
      <c r="C2884" t="s">
        <v>273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COUNT(LifeExpectancyData[[#This Row],[Life expectancy]:[Schooling]])=19</f>
        <v>0</v>
      </c>
    </row>
    <row r="2885" spans="1:23" x14ac:dyDescent="0.25">
      <c r="A2885" t="s">
        <v>463</v>
      </c>
      <c r="B2885">
        <v>2006</v>
      </c>
      <c r="C2885" t="s">
        <v>273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COUNT(LifeExpectancyData[[#This Row],[Life expectancy]:[Schooling]])=19</f>
        <v>0</v>
      </c>
    </row>
    <row r="2886" spans="1:23" x14ac:dyDescent="0.25">
      <c r="A2886" t="s">
        <v>463</v>
      </c>
      <c r="B2886">
        <v>2005</v>
      </c>
      <c r="C2886" t="s">
        <v>273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COUNT(LifeExpectancyData[[#This Row],[Life expectancy]:[Schooling]])=19</f>
        <v>0</v>
      </c>
    </row>
    <row r="2887" spans="1:23" x14ac:dyDescent="0.25">
      <c r="A2887" t="s">
        <v>463</v>
      </c>
      <c r="B2887">
        <v>2004</v>
      </c>
      <c r="C2887" t="s">
        <v>273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COUNT(LifeExpectancyData[[#This Row],[Life expectancy]:[Schooling]])=19</f>
        <v>0</v>
      </c>
    </row>
    <row r="2888" spans="1:23" x14ac:dyDescent="0.25">
      <c r="A2888" t="s">
        <v>463</v>
      </c>
      <c r="B2888">
        <v>2003</v>
      </c>
      <c r="C2888" t="s">
        <v>273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COUNT(LifeExpectancyData[[#This Row],[Life expectancy]:[Schooling]])=19</f>
        <v>0</v>
      </c>
    </row>
    <row r="2889" spans="1:23" x14ac:dyDescent="0.25">
      <c r="A2889" t="s">
        <v>463</v>
      </c>
      <c r="B2889">
        <v>2002</v>
      </c>
      <c r="C2889" t="s">
        <v>273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COUNT(LifeExpectancyData[[#This Row],[Life expectancy]:[Schooling]])=19</f>
        <v>0</v>
      </c>
    </row>
    <row r="2890" spans="1:23" x14ac:dyDescent="0.25">
      <c r="A2890" t="s">
        <v>463</v>
      </c>
      <c r="B2890">
        <v>2001</v>
      </c>
      <c r="C2890" t="s">
        <v>273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COUNT(LifeExpectancyData[[#This Row],[Life expectancy]:[Schooling]])=19</f>
        <v>0</v>
      </c>
    </row>
    <row r="2891" spans="1:23" x14ac:dyDescent="0.25">
      <c r="A2891" t="s">
        <v>463</v>
      </c>
      <c r="B2891">
        <v>2000</v>
      </c>
      <c r="C2891" t="s">
        <v>273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COUNT(LifeExpectancyData[[#This Row],[Life expectancy]:[Schooling]])=19</f>
        <v>0</v>
      </c>
    </row>
    <row r="2892" spans="1:23" x14ac:dyDescent="0.25">
      <c r="A2892" t="s">
        <v>464</v>
      </c>
      <c r="B2892">
        <v>2015</v>
      </c>
      <c r="C2892" t="s">
        <v>273</v>
      </c>
      <c r="D2892">
        <v>65.7</v>
      </c>
      <c r="E2892">
        <v>224</v>
      </c>
      <c r="F2892">
        <v>37</v>
      </c>
      <c r="H2892">
        <v>0</v>
      </c>
      <c r="I2892">
        <v>69</v>
      </c>
      <c r="J2892">
        <v>468</v>
      </c>
      <c r="K2892">
        <v>41.3</v>
      </c>
      <c r="L2892">
        <v>47</v>
      </c>
      <c r="M2892">
        <v>63</v>
      </c>
      <c r="O2892">
        <v>69</v>
      </c>
      <c r="P2892">
        <v>0.1</v>
      </c>
      <c r="S2892">
        <v>13.6</v>
      </c>
      <c r="T2892">
        <v>13.4</v>
      </c>
      <c r="U2892">
        <v>0.499</v>
      </c>
      <c r="V2892">
        <v>9</v>
      </c>
      <c r="W2892" t="b">
        <f>COUNT(LifeExpectancyData[[#This Row],[Life expectancy]:[Schooling]])=19</f>
        <v>0</v>
      </c>
    </row>
    <row r="2893" spans="1:23" x14ac:dyDescent="0.25">
      <c r="A2893" t="s">
        <v>464</v>
      </c>
      <c r="B2893">
        <v>2014</v>
      </c>
      <c r="C2893" t="s">
        <v>273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COUNT(LifeExpectancyData[[#This Row],[Life expectancy]:[Schooling]])=19</f>
        <v>0</v>
      </c>
    </row>
    <row r="2894" spans="1:23" x14ac:dyDescent="0.25">
      <c r="A2894" t="s">
        <v>464</v>
      </c>
      <c r="B2894">
        <v>2013</v>
      </c>
      <c r="C2894" t="s">
        <v>273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COUNT(LifeExpectancyData[[#This Row],[Life expectancy]:[Schooling]])=19</f>
        <v>0</v>
      </c>
    </row>
    <row r="2895" spans="1:23" x14ac:dyDescent="0.25">
      <c r="A2895" t="s">
        <v>464</v>
      </c>
      <c r="B2895">
        <v>2012</v>
      </c>
      <c r="C2895" t="s">
        <v>273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COUNT(LifeExpectancyData[[#This Row],[Life expectancy]:[Schooling]])=19</f>
        <v>0</v>
      </c>
    </row>
    <row r="2896" spans="1:23" x14ac:dyDescent="0.25">
      <c r="A2896" t="s">
        <v>464</v>
      </c>
      <c r="B2896">
        <v>2011</v>
      </c>
      <c r="C2896" t="s">
        <v>273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COUNT(LifeExpectancyData[[#This Row],[Life expectancy]:[Schooling]])=19</f>
        <v>0</v>
      </c>
    </row>
    <row r="2897" spans="1:23" x14ac:dyDescent="0.25">
      <c r="A2897" t="s">
        <v>464</v>
      </c>
      <c r="B2897">
        <v>2010</v>
      </c>
      <c r="C2897" t="s">
        <v>273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COUNT(LifeExpectancyData[[#This Row],[Life expectancy]:[Schooling]])=19</f>
        <v>0</v>
      </c>
    </row>
    <row r="2898" spans="1:23" x14ac:dyDescent="0.25">
      <c r="A2898" t="s">
        <v>464</v>
      </c>
      <c r="B2898">
        <v>2009</v>
      </c>
      <c r="C2898" t="s">
        <v>273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COUNT(LifeExpectancyData[[#This Row],[Life expectancy]:[Schooling]])=19</f>
        <v>0</v>
      </c>
    </row>
    <row r="2899" spans="1:23" x14ac:dyDescent="0.25">
      <c r="A2899" t="s">
        <v>464</v>
      </c>
      <c r="B2899">
        <v>2008</v>
      </c>
      <c r="C2899" t="s">
        <v>273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COUNT(LifeExpectancyData[[#This Row],[Life expectancy]:[Schooling]])=19</f>
        <v>0</v>
      </c>
    </row>
    <row r="2900" spans="1:23" x14ac:dyDescent="0.25">
      <c r="A2900" t="s">
        <v>464</v>
      </c>
      <c r="B2900">
        <v>2007</v>
      </c>
      <c r="C2900" t="s">
        <v>273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COUNT(LifeExpectancyData[[#This Row],[Life expectancy]:[Schooling]])=19</f>
        <v>0</v>
      </c>
    </row>
    <row r="2901" spans="1:23" x14ac:dyDescent="0.25">
      <c r="A2901" t="s">
        <v>464</v>
      </c>
      <c r="B2901">
        <v>2006</v>
      </c>
      <c r="C2901" t="s">
        <v>273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COUNT(LifeExpectancyData[[#This Row],[Life expectancy]:[Schooling]])=19</f>
        <v>0</v>
      </c>
    </row>
    <row r="2902" spans="1:23" x14ac:dyDescent="0.25">
      <c r="A2902" t="s">
        <v>464</v>
      </c>
      <c r="B2902">
        <v>2005</v>
      </c>
      <c r="C2902" t="s">
        <v>273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COUNT(LifeExpectancyData[[#This Row],[Life expectancy]:[Schooling]])=19</f>
        <v>0</v>
      </c>
    </row>
    <row r="2903" spans="1:23" x14ac:dyDescent="0.25">
      <c r="A2903" t="s">
        <v>464</v>
      </c>
      <c r="B2903">
        <v>2004</v>
      </c>
      <c r="C2903" t="s">
        <v>273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COUNT(LifeExpectancyData[[#This Row],[Life expectancy]:[Schooling]])=19</f>
        <v>0</v>
      </c>
    </row>
    <row r="2904" spans="1:23" x14ac:dyDescent="0.25">
      <c r="A2904" t="s">
        <v>464</v>
      </c>
      <c r="B2904">
        <v>2003</v>
      </c>
      <c r="C2904" t="s">
        <v>273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COUNT(LifeExpectancyData[[#This Row],[Life expectancy]:[Schooling]])=19</f>
        <v>0</v>
      </c>
    </row>
    <row r="2905" spans="1:23" x14ac:dyDescent="0.25">
      <c r="A2905" t="s">
        <v>464</v>
      </c>
      <c r="B2905">
        <v>2002</v>
      </c>
      <c r="C2905" t="s">
        <v>273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COUNT(LifeExpectancyData[[#This Row],[Life expectancy]:[Schooling]])=19</f>
        <v>0</v>
      </c>
    </row>
    <row r="2906" spans="1:23" x14ac:dyDescent="0.25">
      <c r="A2906" t="s">
        <v>464</v>
      </c>
      <c r="B2906">
        <v>2001</v>
      </c>
      <c r="C2906" t="s">
        <v>273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COUNT(LifeExpectancyData[[#This Row],[Life expectancy]:[Schooling]])=19</f>
        <v>0</v>
      </c>
    </row>
    <row r="2907" spans="1:23" x14ac:dyDescent="0.25">
      <c r="A2907" t="s">
        <v>464</v>
      </c>
      <c r="B2907">
        <v>2000</v>
      </c>
      <c r="C2907" t="s">
        <v>273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COUNT(LifeExpectancyData[[#This Row],[Life expectancy]:[Schooling]])=19</f>
        <v>0</v>
      </c>
    </row>
    <row r="2908" spans="1:23" x14ac:dyDescent="0.25">
      <c r="A2908" t="s">
        <v>465</v>
      </c>
      <c r="B2908">
        <v>2015</v>
      </c>
      <c r="C2908" t="s">
        <v>273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COUNT(LifeExpectancyData[[#This Row],[Life expectancy]:[Schooling]])=19</f>
        <v>0</v>
      </c>
    </row>
    <row r="2909" spans="1:23" x14ac:dyDescent="0.25">
      <c r="A2909" t="s">
        <v>465</v>
      </c>
      <c r="B2909">
        <v>2014</v>
      </c>
      <c r="C2909" t="s">
        <v>273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COUNT(LifeExpectancyData[[#This Row],[Life expectancy]:[Schooling]])=19</f>
        <v>1</v>
      </c>
    </row>
    <row r="2910" spans="1:23" x14ac:dyDescent="0.25">
      <c r="A2910" t="s">
        <v>465</v>
      </c>
      <c r="B2910">
        <v>2013</v>
      </c>
      <c r="C2910" t="s">
        <v>273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COUNT(LifeExpectancyData[[#This Row],[Life expectancy]:[Schooling]])=19</f>
        <v>1</v>
      </c>
    </row>
    <row r="2911" spans="1:23" x14ac:dyDescent="0.25">
      <c r="A2911" t="s">
        <v>465</v>
      </c>
      <c r="B2911">
        <v>2012</v>
      </c>
      <c r="C2911" t="s">
        <v>273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COUNT(LifeExpectancyData[[#This Row],[Life expectancy]:[Schooling]])=19</f>
        <v>1</v>
      </c>
    </row>
    <row r="2912" spans="1:23" x14ac:dyDescent="0.25">
      <c r="A2912" t="s">
        <v>465</v>
      </c>
      <c r="B2912">
        <v>2011</v>
      </c>
      <c r="C2912" t="s">
        <v>273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COUNT(LifeExpectancyData[[#This Row],[Life expectancy]:[Schooling]])=19</f>
        <v>1</v>
      </c>
    </row>
    <row r="2913" spans="1:23" x14ac:dyDescent="0.25">
      <c r="A2913" t="s">
        <v>465</v>
      </c>
      <c r="B2913">
        <v>2010</v>
      </c>
      <c r="C2913" t="s">
        <v>273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COUNT(LifeExpectancyData[[#This Row],[Life expectancy]:[Schooling]])=19</f>
        <v>1</v>
      </c>
    </row>
    <row r="2914" spans="1:23" x14ac:dyDescent="0.25">
      <c r="A2914" t="s">
        <v>465</v>
      </c>
      <c r="B2914">
        <v>2009</v>
      </c>
      <c r="C2914" t="s">
        <v>273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COUNT(LifeExpectancyData[[#This Row],[Life expectancy]:[Schooling]])=19</f>
        <v>1</v>
      </c>
    </row>
    <row r="2915" spans="1:23" x14ac:dyDescent="0.25">
      <c r="A2915" t="s">
        <v>465</v>
      </c>
      <c r="B2915">
        <v>2008</v>
      </c>
      <c r="C2915" t="s">
        <v>273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COUNT(LifeExpectancyData[[#This Row],[Life expectancy]:[Schooling]])=19</f>
        <v>1</v>
      </c>
    </row>
    <row r="2916" spans="1:23" x14ac:dyDescent="0.25">
      <c r="A2916" t="s">
        <v>465</v>
      </c>
      <c r="B2916">
        <v>2007</v>
      </c>
      <c r="C2916" t="s">
        <v>273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COUNT(LifeExpectancyData[[#This Row],[Life expectancy]:[Schooling]])=19</f>
        <v>1</v>
      </c>
    </row>
    <row r="2917" spans="1:23" x14ac:dyDescent="0.25">
      <c r="A2917" t="s">
        <v>465</v>
      </c>
      <c r="B2917">
        <v>2006</v>
      </c>
      <c r="C2917" t="s">
        <v>273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COUNT(LifeExpectancyData[[#This Row],[Life expectancy]:[Schooling]])=19</f>
        <v>1</v>
      </c>
    </row>
    <row r="2918" spans="1:23" x14ac:dyDescent="0.25">
      <c r="A2918" t="s">
        <v>465</v>
      </c>
      <c r="B2918">
        <v>2005</v>
      </c>
      <c r="C2918" t="s">
        <v>273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COUNT(LifeExpectancyData[[#This Row],[Life expectancy]:[Schooling]])=19</f>
        <v>1</v>
      </c>
    </row>
    <row r="2919" spans="1:23" x14ac:dyDescent="0.25">
      <c r="A2919" t="s">
        <v>465</v>
      </c>
      <c r="B2919">
        <v>2004</v>
      </c>
      <c r="C2919" t="s">
        <v>273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COUNT(LifeExpectancyData[[#This Row],[Life expectancy]:[Schooling]])=19</f>
        <v>0</v>
      </c>
    </row>
    <row r="2920" spans="1:23" x14ac:dyDescent="0.25">
      <c r="A2920" t="s">
        <v>465</v>
      </c>
      <c r="B2920">
        <v>2003</v>
      </c>
      <c r="C2920" t="s">
        <v>273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COUNT(LifeExpectancyData[[#This Row],[Life expectancy]:[Schooling]])=19</f>
        <v>0</v>
      </c>
    </row>
    <row r="2921" spans="1:23" x14ac:dyDescent="0.25">
      <c r="A2921" t="s">
        <v>465</v>
      </c>
      <c r="B2921">
        <v>2002</v>
      </c>
      <c r="C2921" t="s">
        <v>273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COUNT(LifeExpectancyData[[#This Row],[Life expectancy]:[Schooling]])=19</f>
        <v>0</v>
      </c>
    </row>
    <row r="2922" spans="1:23" x14ac:dyDescent="0.25">
      <c r="A2922" t="s">
        <v>465</v>
      </c>
      <c r="B2922">
        <v>2001</v>
      </c>
      <c r="C2922" t="s">
        <v>273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COUNT(LifeExpectancyData[[#This Row],[Life expectancy]:[Schooling]])=19</f>
        <v>0</v>
      </c>
    </row>
    <row r="2923" spans="1:23" x14ac:dyDescent="0.25">
      <c r="A2923" t="s">
        <v>465</v>
      </c>
      <c r="B2923">
        <v>2000</v>
      </c>
      <c r="C2923" t="s">
        <v>273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COUNT(LifeExpectancyData[[#This Row],[Life expectancy]:[Schooling]])=19</f>
        <v>0</v>
      </c>
    </row>
    <row r="2924" spans="1:23" x14ac:dyDescent="0.25">
      <c r="A2924" t="s">
        <v>466</v>
      </c>
      <c r="B2924">
        <v>2015</v>
      </c>
      <c r="C2924" t="s">
        <v>273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COUNT(LifeExpectancyData[[#This Row],[Life expectancy]:[Schooling]])=19</f>
        <v>0</v>
      </c>
    </row>
    <row r="2925" spans="1:23" x14ac:dyDescent="0.25">
      <c r="A2925" t="s">
        <v>466</v>
      </c>
      <c r="B2925">
        <v>2014</v>
      </c>
      <c r="C2925" t="s">
        <v>273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COUNT(LifeExpectancyData[[#This Row],[Life expectancy]:[Schooling]])=19</f>
        <v>1</v>
      </c>
    </row>
    <row r="2926" spans="1:23" x14ac:dyDescent="0.25">
      <c r="A2926" t="s">
        <v>466</v>
      </c>
      <c r="B2926">
        <v>2013</v>
      </c>
      <c r="C2926" t="s">
        <v>273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COUNT(LifeExpectancyData[[#This Row],[Life expectancy]:[Schooling]])=19</f>
        <v>1</v>
      </c>
    </row>
    <row r="2927" spans="1:23" x14ac:dyDescent="0.25">
      <c r="A2927" t="s">
        <v>466</v>
      </c>
      <c r="B2927">
        <v>2012</v>
      </c>
      <c r="C2927" t="s">
        <v>273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COUNT(LifeExpectancyData[[#This Row],[Life expectancy]:[Schooling]])=19</f>
        <v>1</v>
      </c>
    </row>
    <row r="2928" spans="1:23" x14ac:dyDescent="0.25">
      <c r="A2928" t="s">
        <v>466</v>
      </c>
      <c r="B2928">
        <v>2011</v>
      </c>
      <c r="C2928" t="s">
        <v>273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COUNT(LifeExpectancyData[[#This Row],[Life expectancy]:[Schooling]])=19</f>
        <v>1</v>
      </c>
    </row>
    <row r="2929" spans="1:23" x14ac:dyDescent="0.25">
      <c r="A2929" t="s">
        <v>466</v>
      </c>
      <c r="B2929">
        <v>2010</v>
      </c>
      <c r="C2929" t="s">
        <v>273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COUNT(LifeExpectancyData[[#This Row],[Life expectancy]:[Schooling]])=19</f>
        <v>1</v>
      </c>
    </row>
    <row r="2930" spans="1:23" x14ac:dyDescent="0.25">
      <c r="A2930" t="s">
        <v>466</v>
      </c>
      <c r="B2930">
        <v>2009</v>
      </c>
      <c r="C2930" t="s">
        <v>273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COUNT(LifeExpectancyData[[#This Row],[Life expectancy]:[Schooling]])=19</f>
        <v>1</v>
      </c>
    </row>
    <row r="2931" spans="1:23" x14ac:dyDescent="0.25">
      <c r="A2931" t="s">
        <v>466</v>
      </c>
      <c r="B2931">
        <v>2008</v>
      </c>
      <c r="C2931" t="s">
        <v>273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COUNT(LifeExpectancyData[[#This Row],[Life expectancy]:[Schooling]])=19</f>
        <v>1</v>
      </c>
    </row>
    <row r="2932" spans="1:23" x14ac:dyDescent="0.25">
      <c r="A2932" t="s">
        <v>466</v>
      </c>
      <c r="B2932">
        <v>2007</v>
      </c>
      <c r="C2932" t="s">
        <v>273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COUNT(LifeExpectancyData[[#This Row],[Life expectancy]:[Schooling]])=19</f>
        <v>1</v>
      </c>
    </row>
    <row r="2933" spans="1:23" x14ac:dyDescent="0.25">
      <c r="A2933" t="s">
        <v>466</v>
      </c>
      <c r="B2933">
        <v>2006</v>
      </c>
      <c r="C2933" t="s">
        <v>273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COUNT(LifeExpectancyData[[#This Row],[Life expectancy]:[Schooling]])=19</f>
        <v>1</v>
      </c>
    </row>
    <row r="2934" spans="1:23" x14ac:dyDescent="0.25">
      <c r="A2934" t="s">
        <v>466</v>
      </c>
      <c r="B2934">
        <v>2005</v>
      </c>
      <c r="C2934" t="s">
        <v>273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COUNT(LifeExpectancyData[[#This Row],[Life expectancy]:[Schooling]])=19</f>
        <v>1</v>
      </c>
    </row>
    <row r="2935" spans="1:23" x14ac:dyDescent="0.25">
      <c r="A2935" t="s">
        <v>466</v>
      </c>
      <c r="B2935">
        <v>2004</v>
      </c>
      <c r="C2935" t="s">
        <v>273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COUNT(LifeExpectancyData[[#This Row],[Life expectancy]:[Schooling]])=19</f>
        <v>1</v>
      </c>
    </row>
    <row r="2936" spans="1:23" x14ac:dyDescent="0.25">
      <c r="A2936" t="s">
        <v>466</v>
      </c>
      <c r="B2936">
        <v>2003</v>
      </c>
      <c r="C2936" t="s">
        <v>273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COUNT(LifeExpectancyData[[#This Row],[Life expectancy]:[Schooling]])=19</f>
        <v>1</v>
      </c>
    </row>
    <row r="2937" spans="1:23" x14ac:dyDescent="0.25">
      <c r="A2937" t="s">
        <v>466</v>
      </c>
      <c r="B2937">
        <v>2002</v>
      </c>
      <c r="C2937" t="s">
        <v>273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COUNT(LifeExpectancyData[[#This Row],[Life expectancy]:[Schooling]])=19</f>
        <v>1</v>
      </c>
    </row>
    <row r="2938" spans="1:23" x14ac:dyDescent="0.25">
      <c r="A2938" t="s">
        <v>466</v>
      </c>
      <c r="B2938">
        <v>2001</v>
      </c>
      <c r="C2938" t="s">
        <v>273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COUNT(LifeExpectancyData[[#This Row],[Life expectancy]:[Schooling]])=19</f>
        <v>1</v>
      </c>
    </row>
    <row r="2939" spans="1:23" x14ac:dyDescent="0.25">
      <c r="A2939" t="s">
        <v>466</v>
      </c>
      <c r="B2939">
        <v>2000</v>
      </c>
      <c r="C2939" t="s">
        <v>273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COUNT(LifeExpectancyData[[#This Row],[Life expectancy]:[Schooling]])=19</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2810-D099-4032-AC23-13C6D91749E0}">
  <dimension ref="A1:AF1651"/>
  <sheetViews>
    <sheetView tabSelected="1" zoomScaleNormal="100" workbookViewId="0">
      <pane ySplit="2" topLeftCell="A3" activePane="bottomLeft" state="frozenSplit"/>
      <selection pane="bottomLeft" activeCell="P5" sqref="P5"/>
    </sheetView>
  </sheetViews>
  <sheetFormatPr defaultRowHeight="15" x14ac:dyDescent="0.25"/>
  <cols>
    <col min="1" max="1" width="28.7109375" customWidth="1"/>
    <col min="2" max="2" width="14.7109375" customWidth="1"/>
    <col min="3" max="3" width="2.7109375" customWidth="1"/>
    <col min="4" max="4" width="28.7109375" customWidth="1"/>
    <col min="5" max="5" width="10.7109375" customWidth="1"/>
    <col min="6" max="6" width="11.7109375" customWidth="1"/>
    <col min="7" max="10" width="10.7109375" customWidth="1"/>
    <col min="11" max="11" width="2.7109375" customWidth="1"/>
    <col min="12" max="12" width="22.7109375" customWidth="1"/>
    <col min="13" max="14" width="14.7109375" customWidth="1"/>
    <col min="15" max="15" width="20.7109375" customWidth="1"/>
    <col min="16" max="16" width="14.7109375" customWidth="1"/>
    <col min="17" max="17" width="16.7109375" customWidth="1"/>
    <col min="18" max="18" width="14.7109375" customWidth="1"/>
    <col min="19" max="19" width="2.7109375" customWidth="1"/>
    <col min="20" max="20" width="20.7109375" customWidth="1"/>
    <col min="21" max="21" width="14.7109375" customWidth="1"/>
    <col min="22" max="22" width="2.7109375" customWidth="1"/>
    <col min="23" max="23" width="18.7109375" customWidth="1"/>
    <col min="24" max="24" width="12" bestFit="1" customWidth="1"/>
    <col min="25" max="25" width="12.7109375" bestFit="1" customWidth="1"/>
    <col min="26" max="26" width="15.85546875" bestFit="1" customWidth="1"/>
    <col min="27" max="27" width="12.42578125" bestFit="1" customWidth="1"/>
    <col min="28" max="28" width="21.5703125" bestFit="1" customWidth="1"/>
    <col min="29" max="29" width="15.7109375" bestFit="1" customWidth="1"/>
    <col min="30" max="30" width="2.7109375" customWidth="1"/>
    <col min="31" max="31" width="21.7109375" bestFit="1" customWidth="1"/>
    <col min="32" max="32" width="28.85546875" style="5" bestFit="1" customWidth="1"/>
    <col min="33" max="33" width="26.7109375" customWidth="1"/>
    <col min="34" max="34" width="22.7109375" customWidth="1"/>
    <col min="35" max="35" width="26.7109375" customWidth="1"/>
    <col min="36" max="36" width="14.7109375" customWidth="1"/>
  </cols>
  <sheetData>
    <row r="1" spans="1:32" x14ac:dyDescent="0.25">
      <c r="A1" s="15" t="s">
        <v>467</v>
      </c>
      <c r="B1" s="3" t="s">
        <v>468</v>
      </c>
      <c r="D1" s="15" t="s">
        <v>470</v>
      </c>
      <c r="L1" s="15" t="s">
        <v>473</v>
      </c>
      <c r="T1" s="17" t="s">
        <v>499</v>
      </c>
      <c r="U1" s="8"/>
      <c r="W1" s="15" t="s">
        <v>508</v>
      </c>
      <c r="AA1" cm="1">
        <f t="array" ref="AA1">2*DF_Regression(x_s)/Observations(y,fil)</f>
        <v>2.1831412977562158E-2</v>
      </c>
      <c r="AF1"/>
    </row>
    <row r="2" spans="1:32" x14ac:dyDescent="0.25">
      <c r="A2" t="s">
        <v>469</v>
      </c>
      <c r="B2" s="16" t="b">
        <v>1</v>
      </c>
      <c r="D2" s="3"/>
      <c r="E2" s="3" t="s">
        <v>471</v>
      </c>
      <c r="F2" s="3" t="s">
        <v>472</v>
      </c>
      <c r="G2" s="3" t="s">
        <v>227</v>
      </c>
      <c r="H2" s="3" t="s">
        <v>232</v>
      </c>
      <c r="I2" s="3" t="s">
        <v>118</v>
      </c>
      <c r="J2" s="3" t="s">
        <v>123</v>
      </c>
      <c r="T2" s="14" t="s">
        <v>500</v>
      </c>
      <c r="U2" s="9"/>
      <c r="W2" s="3" t="s">
        <v>519</v>
      </c>
      <c r="X2" s="3" t="s">
        <v>509</v>
      </c>
      <c r="Y2" s="3" t="s">
        <v>163</v>
      </c>
      <c r="Z2" s="3" t="s">
        <v>520</v>
      </c>
      <c r="AA2" s="3" t="s">
        <v>510</v>
      </c>
      <c r="AB2" s="3" t="s">
        <v>511</v>
      </c>
      <c r="AC2" s="3" t="s">
        <v>513</v>
      </c>
      <c r="AE2" s="3" t="s">
        <v>521</v>
      </c>
      <c r="AF2" s="3" t="s">
        <v>512</v>
      </c>
    </row>
    <row r="3" spans="1:32" x14ac:dyDescent="0.25">
      <c r="A3" t="str" cm="1">
        <f t="array" aca="1" ref="A3:A20" ca="1">Coefficient_Name_Col(All_Xs)</f>
        <v>Adult Mortality</v>
      </c>
      <c r="B3" s="16" t="b">
        <v>1</v>
      </c>
      <c r="D3" t="str" cm="1">
        <f t="array" aca="1" ref="D3:D20" ca="1">Coefficient_Name_Col(All_Xs,Ind_Var_Filter)</f>
        <v>Adult Mortality</v>
      </c>
      <c r="E3" s="4" cm="1">
        <f t="array" ref="E3:E20">Pearson_R(x_s,y,fil)</f>
        <v>-0.70252306230697348</v>
      </c>
      <c r="F3" s="4" cm="1">
        <f t="array" ref="F3:F20">Spearman_R(x_s,y,fil)</f>
        <v>-0.65562080697254088</v>
      </c>
      <c r="G3" s="5" cm="1">
        <f t="array" ref="G3:G20">Skewness(x_s,fil)</f>
        <v>1.2764291138226984</v>
      </c>
      <c r="H3" s="5" cm="1">
        <f t="array" ref="H3:H20">Kurtosis(x_s,fil)</f>
        <v>2.4009445877439255</v>
      </c>
      <c r="I3" s="5" cm="1">
        <f t="array" ref="I3:I20">VIF(x_s,Allow_Intercept,fil)</f>
        <v>1.7959837847979341</v>
      </c>
      <c r="J3" s="4" cm="1">
        <f t="array" ref="J3:J20">Tolerance(x_s,Allow_Intercept,fil)</f>
        <v>0.55679790010604679</v>
      </c>
      <c r="L3" s="17" t="s">
        <v>474</v>
      </c>
      <c r="M3" s="8"/>
      <c r="O3" s="17" t="s">
        <v>479</v>
      </c>
      <c r="P3" s="8"/>
      <c r="T3" s="12" t="s">
        <v>501</v>
      </c>
      <c r="U3" s="9" cm="1">
        <f t="array" ref="U3">INDEX(Prediction_Interval(x_s,y,pred_input,Allow_Intercept,fil,alpha),1)</f>
        <v>53.281559019872098</v>
      </c>
      <c r="W3" cm="1">
        <f t="array" ref="W3:W1651">Dependent_Var(y,fil)</f>
        <v>65</v>
      </c>
      <c r="X3" s="5" cm="1">
        <f t="array" ref="X3:X1651">Predictions(x_s,y,Allow_Intercept,fil)</f>
        <v>63.208825243148453</v>
      </c>
      <c r="Y3" s="5" cm="1">
        <f t="array" ref="Y3:Y1651">Residuals(x_s,y,Allow_Intercept,fil)</f>
        <v>1.7911747568515466</v>
      </c>
      <c r="Z3" s="5" cm="1">
        <f t="array" ref="Z3:Z1651">Dependent_Var(y,fil)-LOOCV_prediction(x_s,y,Allow_Intercept,fil)</f>
        <v>1.8237306351892784</v>
      </c>
      <c r="AA3" s="18" cm="1">
        <f t="array" ref="AA3:AA1651">Hat_diagonal(x_s,Allow_Intercept,fil)</f>
        <v>1.7851253748528771E-2</v>
      </c>
      <c r="AB3" s="5" cm="1">
        <f t="array" ref="AB3:AB1651">Studentized_Residuals(x_s,y,Allow_Intercept,fil)</f>
        <v>0.50263325470209952</v>
      </c>
      <c r="AC3" s="4" cm="1">
        <f t="array" ref="AC3:AC1651">Cooks_Distance(x_s,y,Allow_Intercept,fil)</f>
        <v>2.4167976663689572E-4</v>
      </c>
      <c r="AE3" s="5" cm="1">
        <f t="array" ref="AE3:AE1651">_xlfn._xlws.SORT(Normal_Scores(y,fil))</f>
        <v>-3.4287229888501014</v>
      </c>
      <c r="AF3" s="5" cm="1">
        <f t="array" ref="AF3:AF1651">Studentized_Residuals_Ranked(x_s,y,Allow_Intercept,fil)</f>
        <v>-4.7556630357299623</v>
      </c>
    </row>
    <row r="4" spans="1:32" x14ac:dyDescent="0.25">
      <c r="A4" t="str">
        <f ca="1"/>
        <v>infant deaths</v>
      </c>
      <c r="B4" s="16" t="b">
        <v>1</v>
      </c>
      <c r="D4" t="str">
        <f ca="1"/>
        <v>infant deaths</v>
      </c>
      <c r="E4" s="4">
        <v>-0.16907380399959634</v>
      </c>
      <c r="F4" s="4">
        <v>-0.52145512663077931</v>
      </c>
      <c r="G4" s="5">
        <v>8.4773694116605309</v>
      </c>
      <c r="H4" s="5">
        <v>85.319968793192416</v>
      </c>
      <c r="I4" s="5">
        <v>212.1776986884056</v>
      </c>
      <c r="J4" s="4">
        <v>4.7130306633618169E-3</v>
      </c>
      <c r="L4" s="12" t="s">
        <v>475</v>
      </c>
      <c r="M4" s="9" cm="1">
        <f t="array" ref="M4">Multiple_R(x_s,y,Allow_Intercept,fil)</f>
        <v>0.91363980575441461</v>
      </c>
      <c r="O4" s="12" t="s">
        <v>61</v>
      </c>
      <c r="P4" s="9" cm="1">
        <f t="array" ref="P4">PRESS(x_s,y,Allow_Intercept,fil)</f>
        <v>21644.337291621447</v>
      </c>
      <c r="T4" s="12" t="s">
        <v>502</v>
      </c>
      <c r="U4" s="9" cm="1">
        <f t="array" ref="U4">INDEX(Prediction_Interval(x_s,y,pred_input,Allow_Intercept,fil,alpha),2)</f>
        <v>3.6703339786591909</v>
      </c>
      <c r="W4">
        <v>59.9</v>
      </c>
      <c r="X4" s="5">
        <v>63.3155128837898</v>
      </c>
      <c r="Y4" s="5">
        <v>-3.4155128837898019</v>
      </c>
      <c r="Z4" s="5">
        <v>-3.4499594048971503</v>
      </c>
      <c r="AA4" s="18">
        <v>9.9846163576449015E-3</v>
      </c>
      <c r="AB4" s="5">
        <v>-0.95463389033168689</v>
      </c>
      <c r="AC4" s="4">
        <v>4.8373725376668836E-4</v>
      </c>
      <c r="AE4" s="5">
        <v>-3.118249953252767</v>
      </c>
      <c r="AF4" s="5">
        <v>-3.6237753759145934</v>
      </c>
    </row>
    <row r="5" spans="1:32" x14ac:dyDescent="0.25">
      <c r="A5" t="str">
        <f ca="1"/>
        <v>Alcohol</v>
      </c>
      <c r="B5" s="16" t="b">
        <v>1</v>
      </c>
      <c r="D5" t="str">
        <f ca="1"/>
        <v>Alcohol</v>
      </c>
      <c r="E5" s="4">
        <v>0.4027183217273525</v>
      </c>
      <c r="F5" s="4">
        <v>0.45156709663151606</v>
      </c>
      <c r="G5" s="5">
        <v>0.66251839935723011</v>
      </c>
      <c r="H5" s="5">
        <v>-0.59110044260500194</v>
      </c>
      <c r="I5" s="5">
        <v>1.9383807427033666</v>
      </c>
      <c r="J5" s="4">
        <v>0.5158945185378534</v>
      </c>
      <c r="L5" s="12" t="s">
        <v>476</v>
      </c>
      <c r="M5" s="9" cm="1">
        <f t="array" ref="M5">R_squared(x_s,y,Allow_Intercept,fil)</f>
        <v>0.83473769465896452</v>
      </c>
      <c r="O5" s="12" t="s">
        <v>480</v>
      </c>
      <c r="P5" s="9" cm="1">
        <f t="array" ref="P5">1-PRESS(x_s,y,Allow_Intercept,fil)/SS_Total(y,Allow_Intercept,fil)</f>
        <v>0.830279509231025</v>
      </c>
      <c r="T5" s="12" t="s">
        <v>503</v>
      </c>
      <c r="U5" s="9" cm="1">
        <f t="array" ref="U5">INDEX(Prediction_Interval(x_s,y,pred_input,Allow_Intercept,fil,alpha),3)</f>
        <v>1.9614204285810608</v>
      </c>
      <c r="W5">
        <v>59.9</v>
      </c>
      <c r="X5" s="5">
        <v>63.190581385013246</v>
      </c>
      <c r="Y5" s="5">
        <v>-3.2905813850132475</v>
      </c>
      <c r="Z5" s="5">
        <v>-3.3226588922625311</v>
      </c>
      <c r="AA5" s="18">
        <v>9.6541680290996631E-3</v>
      </c>
      <c r="AB5" s="5">
        <v>-0.9195621547553654</v>
      </c>
      <c r="AC5" s="4">
        <v>4.3384695415967189E-4</v>
      </c>
      <c r="AE5" s="5">
        <v>-2.9644605992605717</v>
      </c>
      <c r="AF5" s="5">
        <v>-3.4154828724569519</v>
      </c>
    </row>
    <row r="6" spans="1:32" x14ac:dyDescent="0.25">
      <c r="A6" t="str">
        <f ca="1"/>
        <v>percentage expenditure</v>
      </c>
      <c r="B6" s="16" t="b">
        <v>1</v>
      </c>
      <c r="D6" t="str">
        <f ca="1"/>
        <v>percentage expenditure</v>
      </c>
      <c r="E6" s="4">
        <v>0.40963082412504903</v>
      </c>
      <c r="F6" s="4">
        <v>0.57668637597311545</v>
      </c>
      <c r="G6" s="5">
        <v>4.9805739179663373</v>
      </c>
      <c r="H6" s="5">
        <v>30.992195235914028</v>
      </c>
      <c r="I6" s="5">
        <v>12.847294716102079</v>
      </c>
      <c r="J6" s="4">
        <v>7.7837398619544085E-2</v>
      </c>
      <c r="L6" s="12" t="s">
        <v>477</v>
      </c>
      <c r="M6" s="9" cm="1">
        <f t="array" ref="M6">Adjusted_R2(x_s,y,Allow_Intercept,fil)</f>
        <v>0.83291271214599605</v>
      </c>
      <c r="O6" s="12" t="s">
        <v>481</v>
      </c>
      <c r="P6" s="9" cm="1">
        <f t="array" ref="P6">(DF_Regression(x_s)+IF(Allow_Intercept,1,0))/Observations(y,fil)</f>
        <v>1.1522134627046696E-2</v>
      </c>
      <c r="T6" s="12" t="s">
        <v>497</v>
      </c>
      <c r="U6" s="9" cm="1">
        <f t="array" ref="U6">INDEX(Prediction_Interval(x_s,y,pred_input,Allow_Intercept,fil,alpha),4)</f>
        <v>46.08249097441476</v>
      </c>
      <c r="W6">
        <v>59.5</v>
      </c>
      <c r="X6" s="5">
        <v>63.029961578160005</v>
      </c>
      <c r="Y6" s="5">
        <v>-3.5299615781600053</v>
      </c>
      <c r="Z6" s="5">
        <v>-3.5662935813810464</v>
      </c>
      <c r="AA6" s="18">
        <v>1.0187608617172437E-2</v>
      </c>
      <c r="AB6" s="5">
        <v>-0.98672339853065394</v>
      </c>
      <c r="AC6" s="4">
        <v>5.2742002930859452E-4</v>
      </c>
      <c r="AE6" s="5">
        <v>-2.9644605992605717</v>
      </c>
      <c r="AF6" s="5">
        <v>-3.3372523963301397</v>
      </c>
    </row>
    <row r="7" spans="1:32" x14ac:dyDescent="0.25">
      <c r="A7" t="str">
        <f ca="1"/>
        <v>Hepatitis B</v>
      </c>
      <c r="B7" s="16" t="b">
        <v>1</v>
      </c>
      <c r="D7" t="str">
        <f ca="1"/>
        <v>Hepatitis B</v>
      </c>
      <c r="E7" s="4">
        <v>0.19993527639757758</v>
      </c>
      <c r="F7" s="4">
        <v>0.29839199664291366</v>
      </c>
      <c r="G7" s="5">
        <v>-1.7933774066676584</v>
      </c>
      <c r="H7" s="5">
        <v>2.2314153470486389</v>
      </c>
      <c r="I7" s="5">
        <v>1.6518638507945069</v>
      </c>
      <c r="J7" s="4">
        <v>0.60537676850245492</v>
      </c>
      <c r="L7" s="12" t="s">
        <v>478</v>
      </c>
      <c r="M7" s="9" cm="1">
        <f t="array" ref="M7">SE_Regression(x_s,y,Allow_Intercept,fil)</f>
        <v>3.5958213627434183</v>
      </c>
      <c r="O7" s="12" t="s">
        <v>65</v>
      </c>
      <c r="P7" s="9" cm="1">
        <f t="array" ref="P7">AIC(x_s,y,Allow_Intercept,fil)</f>
        <v>4239.5791944720204</v>
      </c>
      <c r="T7" s="12" t="s">
        <v>498</v>
      </c>
      <c r="U7" s="9" cm="1">
        <f t="array" ref="U7">INDEX(Prediction_Interval(x_s,y,pred_input,Allow_Intercept,fil,alpha),5)</f>
        <v>60.480627065329436</v>
      </c>
      <c r="W7">
        <v>59.2</v>
      </c>
      <c r="X7" s="5">
        <v>62.434755565308066</v>
      </c>
      <c r="Y7" s="5">
        <v>-3.2347555653080633</v>
      </c>
      <c r="Z7" s="5">
        <v>-3.2665621490990731</v>
      </c>
      <c r="AA7" s="18">
        <v>9.7370208614537511E-3</v>
      </c>
      <c r="AB7" s="5">
        <v>-0.90399928889247871</v>
      </c>
      <c r="AC7" s="4">
        <v>4.2291991272888001E-4</v>
      </c>
      <c r="AE7" s="5">
        <v>-2.7786903070508315</v>
      </c>
      <c r="AF7" s="5">
        <v>-3.1846140107056757</v>
      </c>
    </row>
    <row r="8" spans="1:32" x14ac:dyDescent="0.25">
      <c r="A8" t="str">
        <f ca="1"/>
        <v>Measles</v>
      </c>
      <c r="B8" s="16" t="b">
        <v>1</v>
      </c>
      <c r="D8" t="str">
        <f ca="1"/>
        <v>Measles</v>
      </c>
      <c r="E8" s="4">
        <v>-6.8881222111176282E-2</v>
      </c>
      <c r="F8" s="4">
        <v>-0.24957375369248747</v>
      </c>
      <c r="G8" s="5">
        <v>7.9578377460109904</v>
      </c>
      <c r="H8" s="5">
        <v>74.67143971345466</v>
      </c>
      <c r="I8" s="5">
        <v>1.5141144309884405</v>
      </c>
      <c r="J8" s="4">
        <v>0.66045206328770178</v>
      </c>
      <c r="L8" s="13" t="s">
        <v>5</v>
      </c>
      <c r="M8" s="10" cm="1">
        <f t="array" ref="M8">Observations(y,fil)</f>
        <v>1649</v>
      </c>
      <c r="O8" s="12" t="s">
        <v>69</v>
      </c>
      <c r="P8" s="9" cm="1">
        <f t="array" ref="P8">BIC(x_s,y,Allow_Intercept,fil)</f>
        <v>4342.3297566006531</v>
      </c>
      <c r="T8" s="13" t="s">
        <v>504</v>
      </c>
      <c r="U8" s="10" cm="1">
        <f t="array" ref="U8">INDEX(Prediction_Interval(x_s,y,pred_input,Allow_Intercept,fil,alpha),6)</f>
        <v>0.95</v>
      </c>
      <c r="W8">
        <v>58.8</v>
      </c>
      <c r="X8" s="5">
        <v>62.060621208288715</v>
      </c>
      <c r="Y8" s="5">
        <v>-3.2606212082887183</v>
      </c>
      <c r="Z8" s="5">
        <v>-3.2980030007553012</v>
      </c>
      <c r="AA8" s="18">
        <v>1.1334675092175802E-2</v>
      </c>
      <c r="AB8" s="5">
        <v>-0.91196377895255154</v>
      </c>
      <c r="AC8" s="4">
        <v>5.0183546641407453E-4</v>
      </c>
      <c r="AE8" s="5">
        <v>-2.7786903070508315</v>
      </c>
      <c r="AF8" s="5">
        <v>-3.046987196434594</v>
      </c>
    </row>
    <row r="9" spans="1:32" x14ac:dyDescent="0.25">
      <c r="A9" t="str">
        <f ca="1"/>
        <v>BMI</v>
      </c>
      <c r="B9" s="16" t="b">
        <v>1</v>
      </c>
      <c r="D9" t="str">
        <f ca="1"/>
        <v>BMI</v>
      </c>
      <c r="E9" s="4">
        <v>0.54204158769157829</v>
      </c>
      <c r="F9" s="4">
        <v>0.5836370658786586</v>
      </c>
      <c r="G9" s="5">
        <v>-0.23360071764187307</v>
      </c>
      <c r="H9" s="5">
        <v>-1.2702262093966004</v>
      </c>
      <c r="I9" s="5">
        <v>1.7969198098458758</v>
      </c>
      <c r="J9" s="4">
        <v>0.55650786113030348</v>
      </c>
      <c r="O9" s="12" t="s">
        <v>73</v>
      </c>
      <c r="P9" s="9" cm="1">
        <f t="array" ref="P9">AICc(x_s,y,Allow_Intercept,fil)</f>
        <v>4240.0457383639787</v>
      </c>
      <c r="W9">
        <v>58.6</v>
      </c>
      <c r="X9" s="5">
        <v>61.542913642342043</v>
      </c>
      <c r="Y9" s="5">
        <v>-2.9429136423420417</v>
      </c>
      <c r="Z9" s="5">
        <v>-2.9788960703122456</v>
      </c>
      <c r="AA9" s="18">
        <v>1.2079114920727519E-2</v>
      </c>
      <c r="AB9" s="5">
        <v>-0.82341415146343555</v>
      </c>
      <c r="AC9" s="4">
        <v>4.3631083576778921E-4</v>
      </c>
      <c r="AE9" s="5">
        <v>-2.6570161854420777</v>
      </c>
      <c r="AF9" s="5">
        <v>-3.0127608553572469</v>
      </c>
    </row>
    <row r="10" spans="1:32" x14ac:dyDescent="0.25">
      <c r="A10" t="str">
        <f ca="1"/>
        <v>under-five deaths</v>
      </c>
      <c r="B10" s="16" t="b">
        <v>1</v>
      </c>
      <c r="D10" t="str">
        <f ca="1"/>
        <v>under-five deaths</v>
      </c>
      <c r="E10" s="4">
        <v>-0.19226530105304498</v>
      </c>
      <c r="F10" s="4">
        <v>-0.5384373468110879</v>
      </c>
      <c r="G10" s="5">
        <v>8.3408629723813945</v>
      </c>
      <c r="H10" s="5">
        <v>82.187220775460347</v>
      </c>
      <c r="I10" s="5">
        <v>201.99931076514267</v>
      </c>
      <c r="J10" s="4">
        <v>4.9505119409177789E-3</v>
      </c>
      <c r="O10" s="13" t="s">
        <v>482</v>
      </c>
      <c r="P10" s="10" cm="1">
        <f t="array" ref="P10">QQ_Correlation(x_s,y,Allow_Intercept,fil)</f>
        <v>0.99482008680564749</v>
      </c>
      <c r="T10" s="15" t="s">
        <v>467</v>
      </c>
      <c r="W10">
        <v>58.1</v>
      </c>
      <c r="X10" s="5">
        <v>61.151703953904835</v>
      </c>
      <c r="Y10" s="5">
        <v>-3.0517039539048341</v>
      </c>
      <c r="Z10" s="5">
        <v>-3.0855292315522505</v>
      </c>
      <c r="AA10" s="18">
        <v>1.0962552971957265E-2</v>
      </c>
      <c r="AB10" s="5">
        <v>-0.85337108713972454</v>
      </c>
      <c r="AC10" s="4">
        <v>4.2483590875825802E-4</v>
      </c>
      <c r="AE10" s="5">
        <v>-2.6570161854420777</v>
      </c>
      <c r="AF10" s="5">
        <v>-2.984339698104892</v>
      </c>
    </row>
    <row r="11" spans="1:32" x14ac:dyDescent="0.25">
      <c r="A11" t="str">
        <f ca="1"/>
        <v>Polio</v>
      </c>
      <c r="B11" s="16" t="b">
        <v>1</v>
      </c>
      <c r="D11" t="str">
        <f ca="1"/>
        <v>Polio</v>
      </c>
      <c r="E11" s="4">
        <v>0.32729440310492808</v>
      </c>
      <c r="F11" s="4">
        <v>0.43534266254009202</v>
      </c>
      <c r="G11" s="5">
        <v>-2.3601768849724745</v>
      </c>
      <c r="H11" s="5">
        <v>5.0635507264435367</v>
      </c>
      <c r="I11" s="5">
        <v>1.7126197216980923</v>
      </c>
      <c r="J11" s="4">
        <v>0.58390078505488807</v>
      </c>
      <c r="T11" s="3" t="s">
        <v>505</v>
      </c>
      <c r="U11" s="3" t="s">
        <v>506</v>
      </c>
      <c r="W11">
        <v>57.5</v>
      </c>
      <c r="X11" s="5">
        <v>60.361530832249926</v>
      </c>
      <c r="Y11" s="5">
        <v>-2.861530832249926</v>
      </c>
      <c r="Z11" s="5">
        <v>-2.8899643180219101</v>
      </c>
      <c r="AA11" s="18">
        <v>9.8386978671926445E-3</v>
      </c>
      <c r="AB11" s="5">
        <v>-0.79973729042388886</v>
      </c>
      <c r="AC11" s="4">
        <v>3.3448201282408905E-4</v>
      </c>
      <c r="AE11" s="5">
        <v>-2.5652792972685243</v>
      </c>
      <c r="AF11" s="5">
        <v>-2.9778913210961564</v>
      </c>
    </row>
    <row r="12" spans="1:32" x14ac:dyDescent="0.25">
      <c r="A12" t="str">
        <f ca="1"/>
        <v>Total expenditure</v>
      </c>
      <c r="B12" s="16" t="b">
        <v>1</v>
      </c>
      <c r="D12" t="str">
        <f ca="1"/>
        <v>Total expenditure</v>
      </c>
      <c r="E12" s="4">
        <v>0.17471764064230411</v>
      </c>
      <c r="F12" s="4">
        <v>0.27107970455247493</v>
      </c>
      <c r="G12" s="5">
        <v>0.21336165862070411</v>
      </c>
      <c r="H12" s="5">
        <v>-1.0252562552346411E-2</v>
      </c>
      <c r="I12" s="5">
        <v>1.1185619729448348</v>
      </c>
      <c r="J12" s="4">
        <v>0.89400500301945984</v>
      </c>
      <c r="L12" s="3" t="s">
        <v>483</v>
      </c>
      <c r="M12" s="16">
        <v>0.05</v>
      </c>
      <c r="T12" t="s">
        <v>507</v>
      </c>
      <c r="U12" s="16">
        <f>IF(Allow_Intercept,1,0)</f>
        <v>1</v>
      </c>
      <c r="W12">
        <v>57.3</v>
      </c>
      <c r="X12" s="5">
        <v>59.895933200646468</v>
      </c>
      <c r="Y12" s="5">
        <v>-2.5959332006464706</v>
      </c>
      <c r="Z12" s="5">
        <v>-2.6247358807630619</v>
      </c>
      <c r="AA12" s="18">
        <v>1.0973553692655309E-2</v>
      </c>
      <c r="AB12" s="5">
        <v>-0.72592449697535788</v>
      </c>
      <c r="AC12" s="4">
        <v>3.0772918875861103E-4</v>
      </c>
      <c r="AE12" s="5">
        <v>-2.5264513477970261</v>
      </c>
      <c r="AF12" s="5">
        <v>-2.9761912720292414</v>
      </c>
    </row>
    <row r="13" spans="1:32" x14ac:dyDescent="0.25">
      <c r="A13" t="str">
        <f ca="1"/>
        <v>Diphtheria</v>
      </c>
      <c r="B13" s="16" t="b">
        <v>1</v>
      </c>
      <c r="D13" t="str">
        <f ca="1"/>
        <v>Diphtheria</v>
      </c>
      <c r="E13" s="4">
        <v>0.34133123426064216</v>
      </c>
      <c r="F13" s="4">
        <v>0.44819623351132853</v>
      </c>
      <c r="G13" s="5">
        <v>-2.4874916081791545</v>
      </c>
      <c r="H13" s="5">
        <v>5.8556393600326784</v>
      </c>
      <c r="I13" s="5">
        <v>2.0929357702033715</v>
      </c>
      <c r="J13" s="4">
        <v>0.47779774909328898</v>
      </c>
      <c r="L13" s="17" t="s">
        <v>484</v>
      </c>
      <c r="M13" s="6"/>
      <c r="N13" s="6"/>
      <c r="O13" s="6"/>
      <c r="P13" s="6"/>
      <c r="Q13" s="8"/>
      <c r="T13" t="str" cm="1">
        <f t="array" aca="1" ref="T13:T30" ca="1">Coefficient_Name_Col(All_Xs)</f>
        <v>Adult Mortality</v>
      </c>
      <c r="U13" s="16">
        <v>0</v>
      </c>
      <c r="W13">
        <v>57.3</v>
      </c>
      <c r="X13" s="5">
        <v>59.71317036353333</v>
      </c>
      <c r="Y13" s="5">
        <v>-2.4131703635333324</v>
      </c>
      <c r="Z13" s="5">
        <v>-2.4432782876110224</v>
      </c>
      <c r="AA13" s="18">
        <v>1.2322756777382652E-2</v>
      </c>
      <c r="AB13" s="5">
        <v>-0.67527761144894538</v>
      </c>
      <c r="AC13" s="4">
        <v>2.9943594330917282E-4</v>
      </c>
      <c r="AE13" s="5">
        <v>-2.5264513477970261</v>
      </c>
      <c r="AF13" s="5">
        <v>-2.9233220915481097</v>
      </c>
    </row>
    <row r="14" spans="1:32" x14ac:dyDescent="0.25">
      <c r="A14" t="str">
        <f ca="1"/>
        <v>HIV/AIDS</v>
      </c>
      <c r="B14" s="16" t="b">
        <v>1</v>
      </c>
      <c r="D14" t="str">
        <f ca="1"/>
        <v>HIV/AIDS</v>
      </c>
      <c r="E14" s="4">
        <v>-0.59223629259263988</v>
      </c>
      <c r="F14" s="4">
        <v>-0.72026469818695804</v>
      </c>
      <c r="G14" s="5">
        <v>4.9741755969625574</v>
      </c>
      <c r="H14" s="5">
        <v>27.751491599089142</v>
      </c>
      <c r="I14" s="5">
        <v>1.4820785003440076</v>
      </c>
      <c r="J14" s="4">
        <v>0.67472809285600488</v>
      </c>
      <c r="L14" s="14"/>
      <c r="M14" s="3" t="s">
        <v>485</v>
      </c>
      <c r="N14" s="3" t="s">
        <v>486</v>
      </c>
      <c r="O14" s="3" t="s">
        <v>487</v>
      </c>
      <c r="P14" s="3" t="s">
        <v>488</v>
      </c>
      <c r="Q14" s="11" t="s">
        <v>489</v>
      </c>
      <c r="T14" t="str">
        <f ca="1"/>
        <v>infant deaths</v>
      </c>
      <c r="U14" s="16">
        <v>0</v>
      </c>
      <c r="W14">
        <v>57</v>
      </c>
      <c r="X14" s="5">
        <v>57.409168303982227</v>
      </c>
      <c r="Y14" s="5">
        <v>-0.40916830398222714</v>
      </c>
      <c r="Z14" s="5">
        <v>-0.41961866779401191</v>
      </c>
      <c r="AA14" s="18">
        <v>2.4904430174000611E-2</v>
      </c>
      <c r="AB14" s="5">
        <v>-0.11523390625493084</v>
      </c>
      <c r="AC14" s="4">
        <v>1.7849924896844846E-5</v>
      </c>
      <c r="AE14" s="5">
        <v>-2.5264513477970261</v>
      </c>
      <c r="AF14" s="5">
        <v>-2.8625670309046316</v>
      </c>
    </row>
    <row r="15" spans="1:32" x14ac:dyDescent="0.25">
      <c r="A15" t="str">
        <f ca="1"/>
        <v>GDP</v>
      </c>
      <c r="B15" s="16" t="b">
        <v>1</v>
      </c>
      <c r="D15" t="str">
        <f ca="1"/>
        <v>GDP</v>
      </c>
      <c r="E15" s="4">
        <v>0.44132180991356607</v>
      </c>
      <c r="F15" s="4">
        <v>0.57079636904265585</v>
      </c>
      <c r="G15" s="5">
        <v>4.5172974225641669</v>
      </c>
      <c r="H15" s="5">
        <v>28.015318265499179</v>
      </c>
      <c r="I15" s="5">
        <v>13.516874113156392</v>
      </c>
      <c r="J15" s="4">
        <v>7.3981601931667695E-2</v>
      </c>
      <c r="L15" s="12" t="s">
        <v>490</v>
      </c>
      <c r="M15" cm="1">
        <f t="array" ref="M15">DF_Regression(x_s)</f>
        <v>18</v>
      </c>
      <c r="N15" cm="1">
        <f t="array" ref="N15">SS_Regression(x_s,y,Allow_Intercept,fil)</f>
        <v>106453.52326857558</v>
      </c>
      <c r="O15" cm="1">
        <f t="array" ref="O15">MS_Regression(x_s,y,Allow_Intercept,fil)</f>
        <v>5914.0846260319768</v>
      </c>
      <c r="P15" cm="1">
        <f t="array" ref="P15">F_Stat(x_s,y,Allow_Intercept,fil)</f>
        <v>457.3949003495888</v>
      </c>
      <c r="Q15" s="9" cm="1">
        <f t="array" ref="Q15">P_Value_F(x_s,y,Allow_Intercept,fil)</f>
        <v>0</v>
      </c>
      <c r="T15" t="str">
        <f ca="1"/>
        <v>Alcohol</v>
      </c>
      <c r="U15" s="16">
        <v>0</v>
      </c>
      <c r="W15">
        <v>56.7</v>
      </c>
      <c r="X15" s="5">
        <v>57.69150417826279</v>
      </c>
      <c r="Y15" s="5">
        <v>-0.9915041782627867</v>
      </c>
      <c r="Z15" s="5">
        <v>-1.0071944777496711</v>
      </c>
      <c r="AA15" s="18">
        <v>1.5578222313071221E-2</v>
      </c>
      <c r="AB15" s="5">
        <v>-0.27791106217407591</v>
      </c>
      <c r="AC15" s="4">
        <v>6.4327215358126971E-5</v>
      </c>
      <c r="AE15" s="5">
        <v>-2.4285172603656537</v>
      </c>
      <c r="AF15" s="5">
        <v>-2.8211570737593124</v>
      </c>
    </row>
    <row r="16" spans="1:32" x14ac:dyDescent="0.25">
      <c r="A16" t="str">
        <f ca="1"/>
        <v>Population</v>
      </c>
      <c r="B16" s="16" t="b">
        <v>1</v>
      </c>
      <c r="D16" t="str">
        <f ca="1"/>
        <v>Population</v>
      </c>
      <c r="E16" s="4">
        <v>-2.2304977802841353E-2</v>
      </c>
      <c r="F16" s="4">
        <v>-7.9789533339711019E-2</v>
      </c>
      <c r="G16" s="5">
        <v>14.186299010071318</v>
      </c>
      <c r="H16" s="5">
        <v>230.16446135150653</v>
      </c>
      <c r="I16" s="5">
        <v>1.9433905318505209</v>
      </c>
      <c r="J16" s="4">
        <v>0.5145646145799565</v>
      </c>
      <c r="L16" s="12" t="s">
        <v>491</v>
      </c>
      <c r="M16" cm="1">
        <f t="array" ref="M16">DF_Residual(x_s,y,Allow_Intercept,fil)</f>
        <v>1630</v>
      </c>
      <c r="N16" cm="1">
        <f t="array" ref="N16">SS_Residual(x_s,y,Allow_Intercept,fil)</f>
        <v>21075.787974601953</v>
      </c>
      <c r="O16" cm="1">
        <f t="array" ref="O16">MS_Residual(x_s,y,Allow_Intercept,fil)</f>
        <v>12.929931272761934</v>
      </c>
      <c r="Q16" s="9"/>
      <c r="T16" t="str">
        <f ca="1"/>
        <v>percentage expenditure</v>
      </c>
      <c r="U16" s="16">
        <v>0</v>
      </c>
      <c r="W16">
        <v>56.2</v>
      </c>
      <c r="X16" s="5">
        <v>62.814219997451467</v>
      </c>
      <c r="Y16" s="5">
        <v>-6.6142199974514639</v>
      </c>
      <c r="Z16" s="5">
        <v>-7.1340148710687501</v>
      </c>
      <c r="AA16" s="18">
        <v>7.2861478846260916E-2</v>
      </c>
      <c r="AB16" s="5">
        <v>-1.9103292037941246</v>
      </c>
      <c r="AC16" s="4">
        <v>1.5094411482224289E-2</v>
      </c>
      <c r="AE16" s="5">
        <v>-2.4004805754973497</v>
      </c>
      <c r="AF16" s="5">
        <v>-2.8027034462765874</v>
      </c>
    </row>
    <row r="17" spans="1:32" x14ac:dyDescent="0.25">
      <c r="A17" t="str">
        <f ca="1"/>
        <v>thinness 1-19 years</v>
      </c>
      <c r="B17" s="16" t="b">
        <v>1</v>
      </c>
      <c r="D17" t="str">
        <f ca="1"/>
        <v>thinness 1-19 years</v>
      </c>
      <c r="E17" s="4">
        <v>-0.45783819334984405</v>
      </c>
      <c r="F17" s="4">
        <v>-0.61960046774864874</v>
      </c>
      <c r="G17" s="5">
        <v>1.8210735142413568</v>
      </c>
      <c r="H17" s="5">
        <v>4.1593458501427047</v>
      </c>
      <c r="I17" s="5">
        <v>7.6025617770389342</v>
      </c>
      <c r="J17" s="4">
        <v>0.13153461021785773</v>
      </c>
      <c r="L17" s="13" t="s">
        <v>492</v>
      </c>
      <c r="M17" s="7" cm="1">
        <f t="array" ref="M17">DF_Total(y,Allow_Intercept,fil)</f>
        <v>1648</v>
      </c>
      <c r="N17" s="7" cm="1">
        <f t="array" ref="N17">SS_Total(y,Allow_Intercept,fil)</f>
        <v>127529.31124317752</v>
      </c>
      <c r="O17" s="7"/>
      <c r="P17" s="7"/>
      <c r="Q17" s="10"/>
      <c r="T17" t="str">
        <f ca="1"/>
        <v>Hepatitis B</v>
      </c>
      <c r="U17" s="16">
        <v>0</v>
      </c>
      <c r="W17">
        <v>55.3</v>
      </c>
      <c r="X17" s="5">
        <v>57.298951152094432</v>
      </c>
      <c r="Y17" s="5">
        <v>-1.9989511520944347</v>
      </c>
      <c r="Z17" s="5">
        <v>-2.0234443908309672</v>
      </c>
      <c r="AA17" s="18">
        <v>1.2104725411541607E-2</v>
      </c>
      <c r="AB17" s="5">
        <v>-0.55930489367306124</v>
      </c>
      <c r="AC17" s="4">
        <v>2.0173798171414084E-4</v>
      </c>
      <c r="AE17" s="5">
        <v>-2.3742127090260081</v>
      </c>
      <c r="AF17" s="5">
        <v>-2.8017613831567418</v>
      </c>
    </row>
    <row r="18" spans="1:32" x14ac:dyDescent="0.25">
      <c r="A18" t="str">
        <f ca="1"/>
        <v>thinness 5-9 years</v>
      </c>
      <c r="B18" s="16" t="b">
        <v>1</v>
      </c>
      <c r="D18" t="str">
        <f ca="1"/>
        <v>thinness 5-9 years</v>
      </c>
      <c r="E18" s="4">
        <v>-0.45750828676579908</v>
      </c>
      <c r="F18" s="4">
        <v>-0.62981654942690735</v>
      </c>
      <c r="G18" s="5">
        <v>1.8669799469852892</v>
      </c>
      <c r="H18" s="5">
        <v>4.5198333738580816</v>
      </c>
      <c r="I18" s="5">
        <v>7.5845186690958011</v>
      </c>
      <c r="J18" s="4">
        <v>0.13184752304383429</v>
      </c>
      <c r="T18" t="str">
        <f ca="1"/>
        <v>Measles</v>
      </c>
      <c r="U18" s="16">
        <v>0</v>
      </c>
      <c r="W18">
        <v>54.8</v>
      </c>
      <c r="X18" s="5">
        <v>56.666021183009462</v>
      </c>
      <c r="Y18" s="5">
        <v>-1.8660211830094653</v>
      </c>
      <c r="Z18" s="5">
        <v>-1.8940979872693404</v>
      </c>
      <c r="AA18" s="18">
        <v>1.4823311385464185E-2</v>
      </c>
      <c r="AB18" s="5">
        <v>-0.52283108152250746</v>
      </c>
      <c r="AC18" s="4">
        <v>2.1647128713145008E-4</v>
      </c>
      <c r="AE18" s="5">
        <v>-2.3494875599978426</v>
      </c>
      <c r="AF18" s="5">
        <v>-2.7869245027896805</v>
      </c>
    </row>
    <row r="19" spans="1:32" x14ac:dyDescent="0.25">
      <c r="A19" t="str">
        <f ca="1"/>
        <v>Income composition of resources</v>
      </c>
      <c r="B19" s="16" t="b">
        <v>1</v>
      </c>
      <c r="D19" t="str">
        <f ca="1"/>
        <v>Income composition of resources</v>
      </c>
      <c r="E19" s="4">
        <v>0.72108259291729193</v>
      </c>
      <c r="F19" s="4">
        <v>0.84902333027593679</v>
      </c>
      <c r="G19" s="5">
        <v>-1.1552436094975105</v>
      </c>
      <c r="H19" s="5">
        <v>2.0611920694297563</v>
      </c>
      <c r="I19" s="5">
        <v>2.9714887896518474</v>
      </c>
      <c r="J19" s="4">
        <v>0.33653164147294812</v>
      </c>
      <c r="L19" s="15" t="s">
        <v>493</v>
      </c>
      <c r="T19" t="str">
        <f ca="1"/>
        <v>BMI</v>
      </c>
      <c r="U19" s="16">
        <v>0</v>
      </c>
      <c r="W19">
        <v>77.8</v>
      </c>
      <c r="X19" s="5">
        <v>75.880891745403332</v>
      </c>
      <c r="Y19" s="5">
        <v>1.9191082545966651</v>
      </c>
      <c r="Z19" s="5">
        <v>1.9232444017140864</v>
      </c>
      <c r="AA19" s="18">
        <v>2.1506092068875864E-3</v>
      </c>
      <c r="AB19" s="5">
        <v>0.53427993808565277</v>
      </c>
      <c r="AC19" s="4">
        <v>3.2380282781727835E-5</v>
      </c>
      <c r="AE19" s="5">
        <v>-2.3261203997549518</v>
      </c>
      <c r="AF19" s="5">
        <v>-2.7243428381933401</v>
      </c>
    </row>
    <row r="20" spans="1:32" x14ac:dyDescent="0.25">
      <c r="A20" t="str">
        <f ca="1"/>
        <v>Schooling</v>
      </c>
      <c r="B20" s="16" t="b">
        <v>1</v>
      </c>
      <c r="D20" t="str">
        <f ca="1"/>
        <v>Schooling</v>
      </c>
      <c r="E20" s="4">
        <v>0.72763003232110479</v>
      </c>
      <c r="F20" s="4">
        <v>0.77476911930540282</v>
      </c>
      <c r="G20" s="5">
        <v>-0.12816419625645914</v>
      </c>
      <c r="H20" s="5">
        <v>4.5707552951051778E-2</v>
      </c>
      <c r="I20" s="5">
        <v>3.5129929693031889</v>
      </c>
      <c r="J20" s="4">
        <v>0.284657558024761</v>
      </c>
      <c r="L20" s="3"/>
      <c r="M20" s="3" t="s">
        <v>85</v>
      </c>
      <c r="N20" s="3" t="s">
        <v>494</v>
      </c>
      <c r="O20" s="3" t="s">
        <v>495</v>
      </c>
      <c r="P20" s="3" t="s">
        <v>496</v>
      </c>
      <c r="Q20" s="3" t="s">
        <v>497</v>
      </c>
      <c r="R20" s="3" t="s">
        <v>498</v>
      </c>
      <c r="T20" t="str">
        <f ca="1"/>
        <v>under-five deaths</v>
      </c>
      <c r="U20" s="16">
        <v>0</v>
      </c>
      <c r="W20">
        <v>77.5</v>
      </c>
      <c r="X20" s="5">
        <v>76.899624192575914</v>
      </c>
      <c r="Y20" s="5">
        <v>0.60037580742408636</v>
      </c>
      <c r="Z20" s="5">
        <v>0.60204271275438259</v>
      </c>
      <c r="AA20" s="18">
        <v>2.7687492846897831E-3</v>
      </c>
      <c r="AB20" s="5">
        <v>0.16719648217594898</v>
      </c>
      <c r="AC20" s="4">
        <v>4.0849657718616073E-6</v>
      </c>
      <c r="AE20" s="5">
        <v>-2.3261203997549518</v>
      </c>
      <c r="AF20" s="5">
        <v>-2.656918431023767</v>
      </c>
    </row>
    <row r="21" spans="1:32" x14ac:dyDescent="0.25">
      <c r="L21" t="str" cm="1">
        <f t="array" aca="1" ref="L21:L39" ca="1">IF(Allow_Intercept,_xlfn.VSTACK("Intercept",Coefficient_Name_Col(All_Xs,Ind_Var_Filter)),_xlfn.VSTACK("",Coefficient_Name_Col(All_Xs,Ind_Var_Filter)))</f>
        <v>Intercept</v>
      </c>
      <c r="M21" cm="1">
        <f t="array" ref="M21:M39">IF(Allow_Intercept,Coefficients(x_s,y,Allow_Intercept,fil),_xlfn.VSTACK("",Coefficients(x_s,y,Allow_Intercept,fil)))</f>
        <v>53.281559019872098</v>
      </c>
      <c r="N21" cm="1">
        <f t="array" ref="N21:N39">IF(Allow_Intercept,SE_Coefficients(x_s,y,Allow_Intercept,fil),_xlfn.VSTACK("",SE_Coefficients(x_s,y,Allow_Intercept,fil)))</f>
        <v>0.73581264064861296</v>
      </c>
      <c r="O21" cm="1">
        <f t="array" ref="O21:O39">IF(Allow_Intercept,T_Stats(x_s,y,Allow_Intercept,fil),_xlfn.VSTACK("",T_Stats(x_s,y,Allow_Intercept,fil)))</f>
        <v>72.411856057412706</v>
      </c>
      <c r="P21" cm="1">
        <f t="array" ref="P21:P39">IF(Allow_Intercept,P_Values(x_s,y,Allow_Intercept,fil),_xlfn.VSTACK("",P_Values(x_s,y,Allow_Intercept,fil)))</f>
        <v>0</v>
      </c>
      <c r="Q21" cm="1">
        <f t="array" ref="Q21:Q39">IF(Allow_Intercept,CI_Lower(x_s,y,Allow_Intercept,fil),_xlfn.VSTACK("",CI_Lower(x_s,y,Allow_Intercept,fil)))</f>
        <v>51.838321074895731</v>
      </c>
      <c r="R21" cm="1">
        <f t="array" ref="R21:R39">IF(Allow_Intercept,CI_Upper(x_s,y,Allow_Intercept,fil),_xlfn.VSTACK("",CI_Upper(x_s,y,Allow_Intercept,fil)))</f>
        <v>54.724796964848466</v>
      </c>
      <c r="T21" t="str">
        <f ca="1"/>
        <v>Polio</v>
      </c>
      <c r="U21" s="16">
        <v>0</v>
      </c>
      <c r="W21">
        <v>77.2</v>
      </c>
      <c r="X21" s="5">
        <v>75.551094952745061</v>
      </c>
      <c r="Y21" s="5">
        <v>1.6489050472549422</v>
      </c>
      <c r="Z21" s="5">
        <v>1.6523148810774302</v>
      </c>
      <c r="AA21" s="18">
        <v>2.0636707092227887E-3</v>
      </c>
      <c r="AB21" s="5">
        <v>0.45903534051016326</v>
      </c>
      <c r="AC21" s="4">
        <v>2.2933810047121915E-5</v>
      </c>
      <c r="AE21" s="5">
        <v>-2.3261203997549518</v>
      </c>
      <c r="AF21" s="5">
        <v>-2.6210044252204265</v>
      </c>
    </row>
    <row r="22" spans="1:32" x14ac:dyDescent="0.25">
      <c r="L22" t="str">
        <f ca="1"/>
        <v>Adult Mortality</v>
      </c>
      <c r="M22">
        <v>-1.6888530199683449E-2</v>
      </c>
      <c r="N22">
        <v>9.4729127053766037E-4</v>
      </c>
      <c r="O22">
        <v>-17.828233749159235</v>
      </c>
      <c r="P22">
        <v>4.3051998381958088E-65</v>
      </c>
      <c r="Q22">
        <v>-1.8746566649532524E-2</v>
      </c>
      <c r="R22">
        <v>-1.5030493749834374E-2</v>
      </c>
      <c r="T22" t="str">
        <f ca="1"/>
        <v>Total expenditure</v>
      </c>
      <c r="U22" s="16">
        <v>0</v>
      </c>
      <c r="W22">
        <v>76.900000000000006</v>
      </c>
      <c r="X22" s="5">
        <v>75.38971227266957</v>
      </c>
      <c r="Y22" s="5">
        <v>1.5102877273304358</v>
      </c>
      <c r="Z22" s="5">
        <v>1.5132796825119499</v>
      </c>
      <c r="AA22" s="18">
        <v>1.9771329887555986E-3</v>
      </c>
      <c r="AB22" s="5">
        <v>0.4204277165757847</v>
      </c>
      <c r="AC22" s="4">
        <v>1.8429963175524905E-5</v>
      </c>
      <c r="AE22" s="5">
        <v>-2.3261203997549518</v>
      </c>
      <c r="AF22" s="5">
        <v>-2.5304099296411859</v>
      </c>
    </row>
    <row r="23" spans="1:32" x14ac:dyDescent="0.25">
      <c r="L23" t="str">
        <f ca="1"/>
        <v>infant deaths</v>
      </c>
      <c r="M23">
        <v>9.3693837832986432E-2</v>
      </c>
      <c r="N23">
        <v>1.0676596104392339E-2</v>
      </c>
      <c r="O23">
        <v>8.7756281980584525</v>
      </c>
      <c r="P23">
        <v>4.2006946451565517E-18</v>
      </c>
      <c r="Q23">
        <v>7.2752544126122323E-2</v>
      </c>
      <c r="R23">
        <v>0.11463513153985054</v>
      </c>
      <c r="T23" t="str">
        <f ca="1"/>
        <v>Diphtheria</v>
      </c>
      <c r="U23" s="16">
        <v>0</v>
      </c>
      <c r="W23">
        <v>76.599999999999994</v>
      </c>
      <c r="X23" s="5">
        <v>74.407081796585118</v>
      </c>
      <c r="Y23" s="5">
        <v>2.1929182034148766</v>
      </c>
      <c r="Z23" s="5">
        <v>2.1969648219589004</v>
      </c>
      <c r="AA23" s="18">
        <v>1.8419132175363571E-3</v>
      </c>
      <c r="AB23" s="5">
        <v>0.61041424440039793</v>
      </c>
      <c r="AC23" s="4">
        <v>3.6188080938443596E-5</v>
      </c>
      <c r="AE23" s="5">
        <v>-2.2435160869312201</v>
      </c>
      <c r="AF23" s="5">
        <v>-2.524519815966217</v>
      </c>
    </row>
    <row r="24" spans="1:32" x14ac:dyDescent="0.25">
      <c r="L24" t="str">
        <f ca="1"/>
        <v>Alcohol</v>
      </c>
      <c r="M24">
        <v>-5.4348345042438746E-2</v>
      </c>
      <c r="N24">
        <v>3.060704543923112E-2</v>
      </c>
      <c r="O24">
        <v>-1.7756808689798198</v>
      </c>
      <c r="P24">
        <v>7.5972069104877124E-2</v>
      </c>
      <c r="Q24">
        <v>-0.11438162922545544</v>
      </c>
      <c r="R24">
        <v>5.684939140577959E-3</v>
      </c>
      <c r="T24" t="str">
        <f ca="1"/>
        <v>HIV/AIDS</v>
      </c>
      <c r="U24" s="16">
        <v>0</v>
      </c>
      <c r="W24">
        <v>76.2</v>
      </c>
      <c r="X24" s="5">
        <v>73.364655509418071</v>
      </c>
      <c r="Y24" s="5">
        <v>2.8353444905819316</v>
      </c>
      <c r="Z24" s="5">
        <v>2.8421458481311532</v>
      </c>
      <c r="AA24" s="18">
        <v>2.3930360764884535E-3</v>
      </c>
      <c r="AB24" s="5">
        <v>0.78945610642516406</v>
      </c>
      <c r="AC24" s="4">
        <v>7.8685036302639764E-5</v>
      </c>
      <c r="AE24" s="5">
        <v>-2.2435160869312201</v>
      </c>
      <c r="AF24" s="5">
        <v>-2.5175342773589398</v>
      </c>
    </row>
    <row r="25" spans="1:32" x14ac:dyDescent="0.25">
      <c r="L25" t="str">
        <f ca="1"/>
        <v>percentage expenditure</v>
      </c>
      <c r="M25">
        <v>3.7768262346544172E-4</v>
      </c>
      <c r="N25">
        <v>1.8046911534510949E-4</v>
      </c>
      <c r="O25">
        <v>2.0927825946461951</v>
      </c>
      <c r="P25">
        <v>3.6522850199107303E-2</v>
      </c>
      <c r="Q25">
        <v>2.3706813899592165E-5</v>
      </c>
      <c r="R25">
        <v>7.3165843303129121E-4</v>
      </c>
      <c r="T25" t="str">
        <f ca="1"/>
        <v>GDP</v>
      </c>
      <c r="U25" s="16">
        <v>0</v>
      </c>
      <c r="W25">
        <v>76.099999999999994</v>
      </c>
      <c r="X25" s="5">
        <v>73.184591471372585</v>
      </c>
      <c r="Y25" s="5">
        <v>2.9154085286274096</v>
      </c>
      <c r="Z25" s="5">
        <v>2.921771440050378</v>
      </c>
      <c r="AA25" s="18">
        <v>2.177758101041794E-3</v>
      </c>
      <c r="AB25" s="5">
        <v>0.81166107988003555</v>
      </c>
      <c r="AC25" s="4">
        <v>7.5674977363507449E-5</v>
      </c>
      <c r="AE25" s="5">
        <v>-2.2073550198913567</v>
      </c>
      <c r="AF25" s="5">
        <v>-2.4900435749168026</v>
      </c>
    </row>
    <row r="26" spans="1:32" x14ac:dyDescent="0.25">
      <c r="L26" t="str">
        <f ca="1"/>
        <v>Hepatitis B</v>
      </c>
      <c r="M26">
        <v>-5.582499705270378E-3</v>
      </c>
      <c r="N26">
        <v>4.4461852137428646E-3</v>
      </c>
      <c r="O26">
        <v>-1.2555706604428534</v>
      </c>
      <c r="P26">
        <v>0.20945162853357524</v>
      </c>
      <c r="Q26">
        <v>-1.4303338212760683E-2</v>
      </c>
      <c r="R26">
        <v>3.1383388022199268E-3</v>
      </c>
      <c r="T26" t="str">
        <f ca="1"/>
        <v>Population</v>
      </c>
      <c r="U26" s="16">
        <v>0</v>
      </c>
      <c r="W26">
        <v>75.3</v>
      </c>
      <c r="X26" s="5">
        <v>74.283595157164399</v>
      </c>
      <c r="Y26" s="5">
        <v>1.0164048428355983</v>
      </c>
      <c r="Z26" s="5">
        <v>1.0201243936138269</v>
      </c>
      <c r="AA26" s="18">
        <v>3.6461737426512052E-3</v>
      </c>
      <c r="AB26" s="5">
        <v>0.28317950674949788</v>
      </c>
      <c r="AC26" s="4">
        <v>1.5445209634004598E-5</v>
      </c>
      <c r="AE26" s="5">
        <v>-2.2073550198913567</v>
      </c>
      <c r="AF26" s="5">
        <v>-2.4626246159272069</v>
      </c>
    </row>
    <row r="27" spans="1:32" x14ac:dyDescent="0.25">
      <c r="L27" t="str">
        <f ca="1"/>
        <v>Measles</v>
      </c>
      <c r="M27">
        <v>-8.6173382207203657E-6</v>
      </c>
      <c r="N27">
        <v>1.0806583538963232E-5</v>
      </c>
      <c r="O27">
        <v>-0.79741559297168041</v>
      </c>
      <c r="P27">
        <v>0.42532584916473692</v>
      </c>
      <c r="Q27">
        <v>-2.9813591937210667E-5</v>
      </c>
      <c r="R27">
        <v>1.2578915495769934E-5</v>
      </c>
      <c r="T27" t="str">
        <f ca="1"/>
        <v>thinness 1-19 years</v>
      </c>
      <c r="U27" s="16">
        <v>0</v>
      </c>
      <c r="W27">
        <v>75.900000000000006</v>
      </c>
      <c r="X27" s="5">
        <v>73.673954103044807</v>
      </c>
      <c r="Y27" s="5">
        <v>2.2260458969551991</v>
      </c>
      <c r="Z27" s="5">
        <v>2.2344174173425131</v>
      </c>
      <c r="AA27" s="18">
        <v>3.7466233132330993E-3</v>
      </c>
      <c r="AB27" s="5">
        <v>0.62022762094856909</v>
      </c>
      <c r="AC27" s="4">
        <v>7.6141044447235729E-5</v>
      </c>
      <c r="AE27" s="5">
        <v>-2.1738689464820578</v>
      </c>
      <c r="AF27" s="5">
        <v>-2.4615699599494847</v>
      </c>
    </row>
    <row r="28" spans="1:32" x14ac:dyDescent="0.25">
      <c r="L28" t="str">
        <f ca="1"/>
        <v>BMI</v>
      </c>
      <c r="M28">
        <v>3.3498059904934437E-2</v>
      </c>
      <c r="N28">
        <v>6.0106760258809705E-3</v>
      </c>
      <c r="O28">
        <v>5.5730935689591927</v>
      </c>
      <c r="P28">
        <v>2.9233529911097799E-8</v>
      </c>
      <c r="Q28">
        <v>2.1708597158189076E-2</v>
      </c>
      <c r="R28">
        <v>4.5287522651679797E-2</v>
      </c>
      <c r="T28" t="str">
        <f ca="1"/>
        <v>thinness 5-9 years</v>
      </c>
      <c r="U28" s="16">
        <v>0</v>
      </c>
      <c r="W28">
        <v>74.2</v>
      </c>
      <c r="X28" s="5">
        <v>70.313556770136856</v>
      </c>
      <c r="Y28" s="5">
        <v>3.8864432298631471</v>
      </c>
      <c r="Z28" s="5">
        <v>3.9121417835526557</v>
      </c>
      <c r="AA28" s="18">
        <v>6.5689218620745855E-3</v>
      </c>
      <c r="AB28" s="5">
        <v>1.0843896129106505</v>
      </c>
      <c r="AC28" s="4">
        <v>4.0923564152193224E-4</v>
      </c>
      <c r="AE28" s="5">
        <v>-2.1579999581558846</v>
      </c>
      <c r="AF28" s="5">
        <v>-2.4324780135462265</v>
      </c>
    </row>
    <row r="29" spans="1:32" x14ac:dyDescent="0.25">
      <c r="L29" t="str">
        <f ca="1"/>
        <v>under-five deaths</v>
      </c>
      <c r="M29">
        <v>-7.0470196114536116E-2</v>
      </c>
      <c r="N29">
        <v>7.7282061767825691E-3</v>
      </c>
      <c r="O29">
        <v>-9.1185709209267607</v>
      </c>
      <c r="P29">
        <v>2.1761040202951045E-19</v>
      </c>
      <c r="Q29">
        <v>-8.5628457585963783E-2</v>
      </c>
      <c r="R29">
        <v>-5.5311934643108449E-2</v>
      </c>
      <c r="T29" t="str">
        <f ca="1"/>
        <v>Income composition of resources</v>
      </c>
      <c r="U29" s="16">
        <v>0</v>
      </c>
      <c r="W29">
        <v>73.5</v>
      </c>
      <c r="X29" s="5">
        <v>72.631512567397678</v>
      </c>
      <c r="Y29" s="5">
        <v>0.86848743260232197</v>
      </c>
      <c r="Z29" s="5">
        <v>0.87218434490260677</v>
      </c>
      <c r="AA29" s="18">
        <v>4.2386822486423677E-3</v>
      </c>
      <c r="AB29" s="5">
        <v>0.24204036798190057</v>
      </c>
      <c r="AC29" s="4">
        <v>1.3124948799496704E-5</v>
      </c>
      <c r="AE29" s="5">
        <v>-2.1426564926871321</v>
      </c>
      <c r="AF29" s="5">
        <v>-2.4270662993165439</v>
      </c>
    </row>
    <row r="30" spans="1:32" x14ac:dyDescent="0.25">
      <c r="L30" t="str">
        <f ca="1"/>
        <v>Polio</v>
      </c>
      <c r="M30">
        <v>7.8363788926499225E-3</v>
      </c>
      <c r="N30">
        <v>5.1632463325136076E-3</v>
      </c>
      <c r="O30">
        <v>1.5177232283695754</v>
      </c>
      <c r="P30">
        <v>0.12927810089588262</v>
      </c>
      <c r="Q30">
        <v>-2.2909179417385083E-3</v>
      </c>
      <c r="R30">
        <v>1.7963675727038352E-2</v>
      </c>
      <c r="T30" t="str">
        <f ca="1"/>
        <v>Schooling</v>
      </c>
      <c r="U30" s="16">
        <v>0</v>
      </c>
      <c r="W30">
        <v>73</v>
      </c>
      <c r="X30" s="5">
        <v>72.753086844700448</v>
      </c>
      <c r="Y30" s="5">
        <v>0.24691315529955205</v>
      </c>
      <c r="Z30" s="5">
        <v>0.24785691119089392</v>
      </c>
      <c r="AA30" s="18">
        <v>3.8076642156202297E-3</v>
      </c>
      <c r="AB30" s="5">
        <v>6.8797795619932392E-2</v>
      </c>
      <c r="AC30" s="4">
        <v>9.521621015778405E-7</v>
      </c>
      <c r="AE30" s="5">
        <v>-2.1426564926871321</v>
      </c>
      <c r="AF30" s="5">
        <v>-2.4234466380113786</v>
      </c>
    </row>
    <row r="31" spans="1:32" x14ac:dyDescent="0.25">
      <c r="L31" t="str">
        <f ca="1"/>
        <v>Total expenditure</v>
      </c>
      <c r="M31">
        <v>7.9752221077025925E-2</v>
      </c>
      <c r="N31">
        <v>4.0741569617034977E-2</v>
      </c>
      <c r="O31">
        <v>1.9575146914241544</v>
      </c>
      <c r="P31">
        <v>5.0457411502454648E-2</v>
      </c>
      <c r="Q31">
        <v>-1.5912586228394865E-4</v>
      </c>
      <c r="R31">
        <v>0.1596635680163358</v>
      </c>
      <c r="W31">
        <v>72.8</v>
      </c>
      <c r="X31" s="5">
        <v>72.35136883509432</v>
      </c>
      <c r="Y31" s="5">
        <v>0.44863116490567734</v>
      </c>
      <c r="Z31" s="5">
        <v>0.45042299370091143</v>
      </c>
      <c r="AA31" s="18">
        <v>3.9781024066240702E-3</v>
      </c>
      <c r="AB31" s="5">
        <v>0.12501349237600753</v>
      </c>
      <c r="AC31" s="4">
        <v>3.2852410960927208E-6</v>
      </c>
      <c r="AE31" s="5">
        <v>-2.1426564926871321</v>
      </c>
      <c r="AF31" s="5">
        <v>-2.4142528936760117</v>
      </c>
    </row>
    <row r="32" spans="1:32" x14ac:dyDescent="0.25">
      <c r="L32" t="str">
        <f ca="1"/>
        <v>Diphtheria</v>
      </c>
      <c r="M32">
        <v>1.4388918695851512E-2</v>
      </c>
      <c r="N32">
        <v>5.9383017026632574E-3</v>
      </c>
      <c r="O32">
        <v>2.4230696613811746</v>
      </c>
      <c r="P32">
        <v>1.5498293938616995E-2</v>
      </c>
      <c r="Q32">
        <v>2.7414124251701026E-3</v>
      </c>
      <c r="R32">
        <v>2.6036424966532922E-2</v>
      </c>
      <c r="W32">
        <v>73.3</v>
      </c>
      <c r="X32" s="5">
        <v>72.435447990987953</v>
      </c>
      <c r="Y32" s="5">
        <v>0.86455200901204421</v>
      </c>
      <c r="Z32" s="5">
        <v>0.86788858569136096</v>
      </c>
      <c r="AA32" s="18">
        <v>3.8444758167366618E-3</v>
      </c>
      <c r="AB32" s="5">
        <v>0.24089591874989316</v>
      </c>
      <c r="AC32" s="4">
        <v>1.1787325303679587E-5</v>
      </c>
      <c r="AE32" s="5">
        <v>-2.0994271873972417</v>
      </c>
      <c r="AF32" s="5">
        <v>-2.4072829946546728</v>
      </c>
    </row>
    <row r="33" spans="12:32" x14ac:dyDescent="0.25">
      <c r="L33" t="str">
        <f ca="1"/>
        <v>HIV/AIDS</v>
      </c>
      <c r="M33">
        <v>-0.43829804765003344</v>
      </c>
      <c r="N33">
        <v>1.7875898457980013E-2</v>
      </c>
      <c r="O33">
        <v>-24.518938093115651</v>
      </c>
      <c r="P33">
        <v>2.8660520746977611E-113</v>
      </c>
      <c r="Q33">
        <v>-0.4733602000647561</v>
      </c>
      <c r="R33">
        <v>-0.40323589523531078</v>
      </c>
      <c r="W33">
        <v>73.599999999999994</v>
      </c>
      <c r="X33" s="5">
        <v>72.175551411030924</v>
      </c>
      <c r="Y33" s="5">
        <v>1.4244485889690708</v>
      </c>
      <c r="Z33" s="5">
        <v>1.4300124384990625</v>
      </c>
      <c r="AA33" s="18">
        <v>3.8907700242367402E-3</v>
      </c>
      <c r="AB33" s="5">
        <v>0.39691287706540446</v>
      </c>
      <c r="AC33" s="4">
        <v>3.2386601232651709E-5</v>
      </c>
      <c r="AE33" s="5">
        <v>-2.0994271873972417</v>
      </c>
      <c r="AF33" s="5">
        <v>-2.3907004591887699</v>
      </c>
    </row>
    <row r="34" spans="12:32" x14ac:dyDescent="0.25">
      <c r="L34" t="str">
        <f ca="1"/>
        <v>GDP</v>
      </c>
      <c r="M34">
        <v>1.3832740538209066E-5</v>
      </c>
      <c r="N34">
        <v>2.8377287452573056E-5</v>
      </c>
      <c r="O34">
        <v>0.48745816742800796</v>
      </c>
      <c r="P34">
        <v>0.62599923177660277</v>
      </c>
      <c r="Q34">
        <v>-4.1827050778984734E-5</v>
      </c>
      <c r="R34">
        <v>6.9492531855402863E-5</v>
      </c>
      <c r="W34">
        <v>72.599999999999994</v>
      </c>
      <c r="X34" s="5">
        <v>72.259945793239169</v>
      </c>
      <c r="Y34" s="5">
        <v>0.34005420676082565</v>
      </c>
      <c r="Z34" s="5">
        <v>0.34132972952484408</v>
      </c>
      <c r="AA34" s="18">
        <v>3.7369225522466158E-3</v>
      </c>
      <c r="AB34" s="5">
        <v>9.474646731360814E-2</v>
      </c>
      <c r="AC34" s="4">
        <v>1.7721991053534706E-6</v>
      </c>
      <c r="AE34" s="5">
        <v>-2.0994271873972417</v>
      </c>
      <c r="AF34" s="5">
        <v>-2.3703151069025581</v>
      </c>
    </row>
    <row r="35" spans="12:32" x14ac:dyDescent="0.25">
      <c r="L35" t="str">
        <f ca="1"/>
        <v>Population</v>
      </c>
      <c r="M35">
        <v>-6.9165245616436886E-10</v>
      </c>
      <c r="N35">
        <v>1.752485697063701E-9</v>
      </c>
      <c r="O35">
        <v>-0.39466938721567668</v>
      </c>
      <c r="P35">
        <v>0.69313853171933548</v>
      </c>
      <c r="Q35">
        <v>-4.1290137031812319E-9</v>
      </c>
      <c r="R35">
        <v>2.7457087908524946E-9</v>
      </c>
      <c r="W35">
        <v>75.400000000000006</v>
      </c>
      <c r="X35" s="5">
        <v>77.019647095479513</v>
      </c>
      <c r="Y35" s="5">
        <v>-1.6196470954795075</v>
      </c>
      <c r="Z35" s="5">
        <v>-1.6286371378996449</v>
      </c>
      <c r="AA35" s="18">
        <v>5.5199787668661253E-3</v>
      </c>
      <c r="AB35" s="5">
        <v>-0.45167313182800556</v>
      </c>
      <c r="AC35" s="4">
        <v>5.9598627352375385E-5</v>
      </c>
      <c r="AE35" s="5">
        <v>-2.0597982810364517</v>
      </c>
      <c r="AF35" s="5">
        <v>-2.3602912005470853</v>
      </c>
    </row>
    <row r="36" spans="12:32" x14ac:dyDescent="0.25">
      <c r="L36" t="str">
        <f ca="1"/>
        <v>thinness 1-19 years</v>
      </c>
      <c r="M36">
        <v>-8.670228683905129E-3</v>
      </c>
      <c r="N36">
        <v>5.3102443915796778E-2</v>
      </c>
      <c r="O36">
        <v>-0.1632736281903201</v>
      </c>
      <c r="P36">
        <v>0.87032323696639657</v>
      </c>
      <c r="Q36">
        <v>-0.11282644698792899</v>
      </c>
      <c r="R36">
        <v>9.5485989620118727E-2</v>
      </c>
      <c r="W36">
        <v>75.3</v>
      </c>
      <c r="X36" s="5">
        <v>75.453417610246106</v>
      </c>
      <c r="Y36" s="5">
        <v>-0.15341761024610889</v>
      </c>
      <c r="Z36" s="5">
        <v>-0.15406758630318507</v>
      </c>
      <c r="AA36" s="18">
        <v>4.2187722458475766E-3</v>
      </c>
      <c r="AB36" s="5">
        <v>-4.275580994652154E-2</v>
      </c>
      <c r="AC36" s="4">
        <v>4.0762313082876501E-7</v>
      </c>
      <c r="AE36" s="5">
        <v>-2.0597982810364517</v>
      </c>
      <c r="AF36" s="5">
        <v>-2.3572262374037543</v>
      </c>
    </row>
    <row r="37" spans="12:32" x14ac:dyDescent="0.25">
      <c r="L37" t="str">
        <f ca="1"/>
        <v>thinness 5-9 years</v>
      </c>
      <c r="M37">
        <v>-5.1227822387597412E-2</v>
      </c>
      <c r="N37">
        <v>5.2417926575909844E-2</v>
      </c>
      <c r="O37">
        <v>-0.97729585532939833</v>
      </c>
      <c r="P37">
        <v>0.3285677233054739</v>
      </c>
      <c r="Q37">
        <v>-0.15404141439744909</v>
      </c>
      <c r="R37">
        <v>5.1585769622254259E-2</v>
      </c>
      <c r="W37">
        <v>75.099999999999994</v>
      </c>
      <c r="X37" s="5">
        <v>75.271552703471258</v>
      </c>
      <c r="Y37" s="5">
        <v>-0.17155270347126361</v>
      </c>
      <c r="Z37" s="5">
        <v>-0.1722243678402009</v>
      </c>
      <c r="AA37" s="18">
        <v>3.8999380712872065E-3</v>
      </c>
      <c r="AB37" s="5">
        <v>-4.7802209911054147E-2</v>
      </c>
      <c r="AC37" s="4">
        <v>4.7086573943420638E-7</v>
      </c>
      <c r="AE37" s="5">
        <v>-2.0597982810364517</v>
      </c>
      <c r="AF37" s="5">
        <v>-2.3481883207284375</v>
      </c>
    </row>
    <row r="38" spans="12:32" x14ac:dyDescent="0.25">
      <c r="L38" t="str">
        <f ca="1"/>
        <v>Income composition of resources</v>
      </c>
      <c r="M38">
        <v>9.8241467234536515</v>
      </c>
      <c r="N38">
        <v>0.83395947812394966</v>
      </c>
      <c r="O38">
        <v>11.780124791619082</v>
      </c>
      <c r="P38">
        <v>8.4306727253031009E-31</v>
      </c>
      <c r="Q38">
        <v>8.1884015664525371</v>
      </c>
      <c r="R38">
        <v>11.459891880454766</v>
      </c>
      <c r="W38">
        <v>74.900000000000006</v>
      </c>
      <c r="X38" s="5">
        <v>74.671907432067016</v>
      </c>
      <c r="Y38" s="5">
        <v>0.22809256793298971</v>
      </c>
      <c r="Z38" s="5">
        <v>0.22893345140552412</v>
      </c>
      <c r="AA38" s="18">
        <v>3.6730476362332965E-3</v>
      </c>
      <c r="AB38" s="5">
        <v>6.3549492544484013E-2</v>
      </c>
      <c r="AC38" s="4">
        <v>7.8360149321840948E-7</v>
      </c>
      <c r="AE38" s="5">
        <v>-2.0231624874260845</v>
      </c>
      <c r="AF38" s="5">
        <v>-2.347690329960991</v>
      </c>
    </row>
    <row r="39" spans="12:32" x14ac:dyDescent="0.25">
      <c r="L39" t="str">
        <f ca="1"/>
        <v>Schooling</v>
      </c>
      <c r="M39">
        <v>0.87833495505192805</v>
      </c>
      <c r="N39">
        <v>5.9390382178830484E-2</v>
      </c>
      <c r="O39">
        <v>14.789178362368038</v>
      </c>
      <c r="P39">
        <v>1.5497721426886084E-46</v>
      </c>
      <c r="Q39">
        <v>0.76184544618513339</v>
      </c>
      <c r="R39">
        <v>0.9948244639187227</v>
      </c>
      <c r="W39">
        <v>74.7</v>
      </c>
      <c r="X39" s="5">
        <v>74.084833373857037</v>
      </c>
      <c r="Y39" s="5">
        <v>0.61516662614296536</v>
      </c>
      <c r="Z39" s="5">
        <v>0.61727702403203466</v>
      </c>
      <c r="AA39" s="18">
        <v>3.4188829438083377E-3</v>
      </c>
      <c r="AB39" s="5">
        <v>0.17137139459338691</v>
      </c>
      <c r="AC39" s="4">
        <v>5.3026704636598778E-6</v>
      </c>
      <c r="AE39" s="5">
        <v>-2.0231624874260845</v>
      </c>
      <c r="AF39" s="5">
        <v>-2.2652899498390768</v>
      </c>
    </row>
    <row r="40" spans="12:32" x14ac:dyDescent="0.25">
      <c r="W40">
        <v>74.400000000000006</v>
      </c>
      <c r="X40" s="5">
        <v>73.422365094047322</v>
      </c>
      <c r="Y40" s="5">
        <v>0.97763490595268365</v>
      </c>
      <c r="Z40" s="5">
        <v>0.98057673245622823</v>
      </c>
      <c r="AA40" s="18">
        <v>3.0000982138042322E-3</v>
      </c>
      <c r="AB40" s="5">
        <v>0.27228958714967955</v>
      </c>
      <c r="AC40" s="4">
        <v>1.1742182413163327E-5</v>
      </c>
      <c r="AE40" s="5">
        <v>-2.0001681446016244</v>
      </c>
      <c r="AF40" s="5">
        <v>-2.2532294842288416</v>
      </c>
    </row>
    <row r="41" spans="12:32" x14ac:dyDescent="0.25">
      <c r="W41">
        <v>74.099999999999994</v>
      </c>
      <c r="X41" s="5">
        <v>72.53813169956041</v>
      </c>
      <c r="Y41" s="5">
        <v>1.5618683004395848</v>
      </c>
      <c r="Z41" s="5">
        <v>1.5667980165920312</v>
      </c>
      <c r="AA41" s="18">
        <v>3.1463635390373522E-3</v>
      </c>
      <c r="AB41" s="5">
        <v>0.435041415803609</v>
      </c>
      <c r="AC41" s="4">
        <v>3.1440186205693053E-5</v>
      </c>
      <c r="AE41" s="5">
        <v>-1.9890565032593337</v>
      </c>
      <c r="AF41" s="5">
        <v>-2.1940818428003759</v>
      </c>
    </row>
    <row r="42" spans="12:32" x14ac:dyDescent="0.25">
      <c r="W42">
        <v>73.8</v>
      </c>
      <c r="X42" s="5">
        <v>71.251667835131187</v>
      </c>
      <c r="Y42" s="5">
        <v>2.5483321648688104</v>
      </c>
      <c r="Z42" s="5">
        <v>2.5869632946238568</v>
      </c>
      <c r="AA42" s="18">
        <v>1.4933002658110839E-2</v>
      </c>
      <c r="AB42" s="5">
        <v>0.71404411326362149</v>
      </c>
      <c r="AC42" s="4">
        <v>4.0679710957369178E-4</v>
      </c>
      <c r="AE42" s="5">
        <v>-1.9781851538562727</v>
      </c>
      <c r="AF42" s="5">
        <v>-2.183524094127125</v>
      </c>
    </row>
    <row r="43" spans="12:32" x14ac:dyDescent="0.25">
      <c r="W43">
        <v>73.400000000000006</v>
      </c>
      <c r="X43" s="5">
        <v>72.545976301626666</v>
      </c>
      <c r="Y43" s="5">
        <v>0.85402369837333936</v>
      </c>
      <c r="Z43" s="5">
        <v>0.8657064966597261</v>
      </c>
      <c r="AA43" s="18">
        <v>1.3495102937852161E-2</v>
      </c>
      <c r="AB43" s="5">
        <v>0.2391234627906236</v>
      </c>
      <c r="AC43" s="4">
        <v>4.1168755381509889E-5</v>
      </c>
      <c r="AE43" s="5">
        <v>-1.9675426916276542</v>
      </c>
      <c r="AF43" s="5">
        <v>-2.1759203146301718</v>
      </c>
    </row>
    <row r="44" spans="12:32" x14ac:dyDescent="0.25">
      <c r="W44">
        <v>72.900000000000006</v>
      </c>
      <c r="X44" s="5">
        <v>71.351200530718671</v>
      </c>
      <c r="Y44" s="5">
        <v>1.5487994692813345</v>
      </c>
      <c r="Z44" s="5">
        <v>1.5538462064513965</v>
      </c>
      <c r="AA44" s="18">
        <v>3.2479000489967595E-3</v>
      </c>
      <c r="AB44" s="5">
        <v>0.4314232074188622</v>
      </c>
      <c r="AC44" s="4">
        <v>3.1920442418442829E-5</v>
      </c>
      <c r="AE44" s="5">
        <v>-1.957118520190694</v>
      </c>
      <c r="AF44" s="5">
        <v>-2.1203485789562539</v>
      </c>
    </row>
    <row r="45" spans="12:32" x14ac:dyDescent="0.25">
      <c r="W45">
        <v>72.3</v>
      </c>
      <c r="X45" s="5">
        <v>73.092775740632845</v>
      </c>
      <c r="Y45" s="5">
        <v>-0.79277574063284817</v>
      </c>
      <c r="Z45" s="5">
        <v>-0.79586068613723171</v>
      </c>
      <c r="AA45" s="18">
        <v>3.8762380880403343E-3</v>
      </c>
      <c r="AB45" s="5">
        <v>-0.22089993790099516</v>
      </c>
      <c r="AC45" s="4">
        <v>9.9938938251017025E-6</v>
      </c>
      <c r="AE45" s="5">
        <v>-1.94690277624242</v>
      </c>
      <c r="AF45" s="5">
        <v>-2.1181613260913394</v>
      </c>
    </row>
    <row r="46" spans="12:32" x14ac:dyDescent="0.25">
      <c r="W46">
        <v>51.7</v>
      </c>
      <c r="X46" s="5">
        <v>61.960361467546349</v>
      </c>
      <c r="Y46" s="5">
        <v>-10.260361467546346</v>
      </c>
      <c r="Z46" s="5">
        <v>-10.326303507653677</v>
      </c>
      <c r="AA46" s="18">
        <v>6.3858320703487573E-3</v>
      </c>
      <c r="AB46" s="5">
        <v>-2.8625670309046316</v>
      </c>
      <c r="AC46" s="4">
        <v>2.771771642814099E-3</v>
      </c>
      <c r="AE46" s="5">
        <v>-1.9368862628682149</v>
      </c>
      <c r="AF46" s="5">
        <v>-2.117669030994382</v>
      </c>
    </row>
    <row r="47" spans="12:32" x14ac:dyDescent="0.25">
      <c r="W47">
        <v>51.1</v>
      </c>
      <c r="X47" s="5">
        <v>61.772598666244235</v>
      </c>
      <c r="Y47" s="5">
        <v>-10.672598666244234</v>
      </c>
      <c r="Z47" s="5">
        <v>-10.731185828432515</v>
      </c>
      <c r="AA47" s="18">
        <v>5.459523590865119E-3</v>
      </c>
      <c r="AB47" s="5">
        <v>-2.9761912720292414</v>
      </c>
      <c r="AC47" s="4">
        <v>2.5591772150504806E-3</v>
      </c>
      <c r="AE47" s="5">
        <v>-1.9270603903023944</v>
      </c>
      <c r="AF47" s="5">
        <v>-2.1093760091151355</v>
      </c>
    </row>
    <row r="48" spans="12:32" x14ac:dyDescent="0.25">
      <c r="W48">
        <v>56</v>
      </c>
      <c r="X48" s="5">
        <v>60.516298187851568</v>
      </c>
      <c r="Y48" s="5">
        <v>-4.516298187851568</v>
      </c>
      <c r="Z48" s="5">
        <v>-4.5420701309303126</v>
      </c>
      <c r="AA48" s="18">
        <v>5.6740522131618967E-3</v>
      </c>
      <c r="AB48" s="5">
        <v>-1.2595636355456186</v>
      </c>
      <c r="AC48" s="4">
        <v>4.7648713753914798E-4</v>
      </c>
      <c r="AE48" s="5">
        <v>-1.9270603903023944</v>
      </c>
      <c r="AF48" s="5">
        <v>-2.1025368615046625</v>
      </c>
    </row>
    <row r="49" spans="23:32" x14ac:dyDescent="0.25">
      <c r="W49">
        <v>51</v>
      </c>
      <c r="X49" s="5">
        <v>59.450888319996992</v>
      </c>
      <c r="Y49" s="5">
        <v>-8.4508883199969915</v>
      </c>
      <c r="Z49" s="5">
        <v>-8.5015162021001487</v>
      </c>
      <c r="AA49" s="18">
        <v>5.9551591621560358E-3</v>
      </c>
      <c r="AB49" s="5">
        <v>-2.3572262374037543</v>
      </c>
      <c r="AC49" s="4">
        <v>1.752008986779099E-3</v>
      </c>
      <c r="AE49" s="5">
        <v>-1.907948933309944</v>
      </c>
      <c r="AF49" s="5">
        <v>-2.0968235904648691</v>
      </c>
    </row>
    <row r="50" spans="23:32" x14ac:dyDescent="0.25">
      <c r="W50">
        <v>49.6</v>
      </c>
      <c r="X50" s="5">
        <v>58.296443425081719</v>
      </c>
      <c r="Y50" s="5">
        <v>-8.6964434250817177</v>
      </c>
      <c r="Z50" s="5">
        <v>-8.7582597330872431</v>
      </c>
      <c r="AA50" s="18">
        <v>7.0580583231612719E-3</v>
      </c>
      <c r="AB50" s="5">
        <v>-2.4270662993165439</v>
      </c>
      <c r="AC50" s="4">
        <v>2.2037943542402021E-3</v>
      </c>
      <c r="AE50" s="5">
        <v>-1.8986487576703672</v>
      </c>
      <c r="AF50" s="5">
        <v>-2.0777253725740179</v>
      </c>
    </row>
    <row r="51" spans="23:32" x14ac:dyDescent="0.25">
      <c r="W51">
        <v>49.1</v>
      </c>
      <c r="X51" s="5">
        <v>57.180172304291204</v>
      </c>
      <c r="Y51" s="5">
        <v>-8.080172304291203</v>
      </c>
      <c r="Z51" s="5">
        <v>-8.2115131168993543</v>
      </c>
      <c r="AA51" s="18">
        <v>1.5994715071190491E-2</v>
      </c>
      <c r="AB51" s="5">
        <v>-2.2652899498390768</v>
      </c>
      <c r="AC51" s="4">
        <v>4.3900864499851261E-3</v>
      </c>
      <c r="AE51" s="5">
        <v>-1.8895099603334302</v>
      </c>
      <c r="AF51" s="5">
        <v>-2.0649905484968976</v>
      </c>
    </row>
    <row r="52" spans="23:32" x14ac:dyDescent="0.25">
      <c r="W52">
        <v>48.7</v>
      </c>
      <c r="X52" s="5">
        <v>57.352027806280105</v>
      </c>
      <c r="Y52" s="5">
        <v>-8.6520278062801026</v>
      </c>
      <c r="Z52" s="5">
        <v>-8.7105149636969372</v>
      </c>
      <c r="AA52" s="18">
        <v>6.7145464602943921E-3</v>
      </c>
      <c r="AB52" s="5">
        <v>-2.4142528936760117</v>
      </c>
      <c r="AC52" s="4">
        <v>2.0737410664340033E-3</v>
      </c>
      <c r="AE52" s="5">
        <v>-1.8805262984826756</v>
      </c>
      <c r="AF52" s="5">
        <v>-2.0609363458554926</v>
      </c>
    </row>
    <row r="53" spans="23:32" x14ac:dyDescent="0.25">
      <c r="W53">
        <v>48.2</v>
      </c>
      <c r="X53" s="5">
        <v>56.767208299554213</v>
      </c>
      <c r="Y53" s="5">
        <v>-8.5672082995542098</v>
      </c>
      <c r="Z53" s="5">
        <v>-8.6259556337860346</v>
      </c>
      <c r="AA53" s="18">
        <v>6.8105305343472283E-3</v>
      </c>
      <c r="AB53" s="5">
        <v>-2.3907004591887699</v>
      </c>
      <c r="AC53" s="4">
        <v>2.0627451144040057E-3</v>
      </c>
      <c r="AE53" s="5">
        <v>-1.8805262984826756</v>
      </c>
      <c r="AF53" s="5">
        <v>-2.0569072831551796</v>
      </c>
    </row>
    <row r="54" spans="23:32" x14ac:dyDescent="0.25">
      <c r="W54">
        <v>76.2</v>
      </c>
      <c r="X54" s="5">
        <v>78.648588573422259</v>
      </c>
      <c r="Y54" s="5">
        <v>-2.4485885734222563</v>
      </c>
      <c r="Z54" s="5">
        <v>-2.4618086594724105</v>
      </c>
      <c r="AA54" s="18">
        <v>5.3700704964571638E-3</v>
      </c>
      <c r="AB54" s="5">
        <v>-0.68278968023243425</v>
      </c>
      <c r="AC54" s="4">
        <v>1.3247647375481031E-4</v>
      </c>
      <c r="AE54" s="5">
        <v>-1.8630011940066851</v>
      </c>
      <c r="AF54" s="5">
        <v>-2.0207918185359195</v>
      </c>
    </row>
    <row r="55" spans="23:32" x14ac:dyDescent="0.25">
      <c r="W55">
        <v>76</v>
      </c>
      <c r="X55" s="5">
        <v>78.642020409578208</v>
      </c>
      <c r="Y55" s="5">
        <v>-2.6420204095782083</v>
      </c>
      <c r="Z55" s="5">
        <v>-2.6554782167194446</v>
      </c>
      <c r="AA55" s="18">
        <v>5.0679410798793231E-3</v>
      </c>
      <c r="AB55" s="5">
        <v>-0.73661633848085117</v>
      </c>
      <c r="AC55" s="4">
        <v>1.4546791900893228E-4</v>
      </c>
      <c r="AE55" s="5">
        <v>-1.8544489690938102</v>
      </c>
      <c r="AF55" s="5">
        <v>-2.0183447585116223</v>
      </c>
    </row>
    <row r="56" spans="23:32" x14ac:dyDescent="0.25">
      <c r="W56">
        <v>75.900000000000006</v>
      </c>
      <c r="X56" s="5">
        <v>80.487657713527653</v>
      </c>
      <c r="Y56" s="5">
        <v>-4.5876577135276477</v>
      </c>
      <c r="Z56" s="5">
        <v>-4.6092412278284485</v>
      </c>
      <c r="AA56" s="18">
        <v>4.6826610355054652E-3</v>
      </c>
      <c r="AB56" s="5">
        <v>-1.2788279348694824</v>
      </c>
      <c r="AC56" s="4">
        <v>4.0495035107227483E-4</v>
      </c>
      <c r="AE56" s="5">
        <v>-1.8544489690938102</v>
      </c>
      <c r="AF56" s="5">
        <v>-2.0151589528139895</v>
      </c>
    </row>
    <row r="57" spans="23:32" x14ac:dyDescent="0.25">
      <c r="W57">
        <v>75.7</v>
      </c>
      <c r="X57" s="5">
        <v>78.643766298402426</v>
      </c>
      <c r="Y57" s="5">
        <v>-2.9437662984024229</v>
      </c>
      <c r="Z57" s="5">
        <v>-2.97734288689756</v>
      </c>
      <c r="AA57" s="18">
        <v>1.1277367025108816E-2</v>
      </c>
      <c r="AB57" s="5">
        <v>-0.82331870615128722</v>
      </c>
      <c r="AC57" s="4">
        <v>4.0692615416451758E-4</v>
      </c>
      <c r="AE57" s="5">
        <v>-1.8544489690938102</v>
      </c>
      <c r="AF57" s="5">
        <v>-2.0084755090492501</v>
      </c>
    </row>
    <row r="58" spans="23:32" x14ac:dyDescent="0.25">
      <c r="W58">
        <v>75.5</v>
      </c>
      <c r="X58" s="5">
        <v>77.650934869903935</v>
      </c>
      <c r="Y58" s="5">
        <v>-2.150934869903935</v>
      </c>
      <c r="Z58" s="5">
        <v>-2.1594994563999421</v>
      </c>
      <c r="AA58" s="18">
        <v>3.9660053956568943E-3</v>
      </c>
      <c r="AB58" s="5">
        <v>-0.59936595603501652</v>
      </c>
      <c r="AC58" s="4">
        <v>7.5285212647668579E-5</v>
      </c>
      <c r="AE58" s="5">
        <v>-1.8295749434197282</v>
      </c>
      <c r="AF58" s="5">
        <v>-1.9943607313416341</v>
      </c>
    </row>
    <row r="59" spans="23:32" x14ac:dyDescent="0.25">
      <c r="W59">
        <v>75.599999999999994</v>
      </c>
      <c r="X59" s="5">
        <v>77.877022341629498</v>
      </c>
      <c r="Y59" s="5">
        <v>-2.2770223416295039</v>
      </c>
      <c r="Z59" s="5">
        <v>-2.2845626041659699</v>
      </c>
      <c r="AA59" s="18">
        <v>3.3005278659115865E-3</v>
      </c>
      <c r="AB59" s="5">
        <v>-0.63428883885306364</v>
      </c>
      <c r="AC59" s="4">
        <v>7.0119645784482066E-5</v>
      </c>
      <c r="AE59" s="5">
        <v>-1.8215296776288319</v>
      </c>
      <c r="AF59" s="5">
        <v>-1.9853153856280548</v>
      </c>
    </row>
    <row r="60" spans="23:32" x14ac:dyDescent="0.25">
      <c r="W60">
        <v>75.400000000000006</v>
      </c>
      <c r="X60" s="5">
        <v>78.030724124546182</v>
      </c>
      <c r="Y60" s="5">
        <v>-2.6307241245461768</v>
      </c>
      <c r="Z60" s="5">
        <v>-2.6619985427781643</v>
      </c>
      <c r="AA60" s="18">
        <v>1.1748473084944137E-2</v>
      </c>
      <c r="AB60" s="5">
        <v>-0.73594176867540551</v>
      </c>
      <c r="AC60" s="4">
        <v>3.3888101223818889E-4</v>
      </c>
      <c r="AE60" s="5">
        <v>-1.8215296776288319</v>
      </c>
      <c r="AF60" s="5">
        <v>-1.9465797823567685</v>
      </c>
    </row>
    <row r="61" spans="23:32" x14ac:dyDescent="0.25">
      <c r="W61">
        <v>74.8</v>
      </c>
      <c r="X61" s="5">
        <v>77.240203776292333</v>
      </c>
      <c r="Y61" s="5">
        <v>-2.4402037762923356</v>
      </c>
      <c r="Z61" s="5">
        <v>-2.4469828544779517</v>
      </c>
      <c r="AA61" s="18">
        <v>2.7703823805749605E-3</v>
      </c>
      <c r="AB61" s="5">
        <v>-0.67956406006873504</v>
      </c>
      <c r="AC61" s="4">
        <v>6.7523003468416578E-5</v>
      </c>
      <c r="AE61" s="5">
        <v>-1.8215296776288319</v>
      </c>
      <c r="AF61" s="5">
        <v>-1.9103292037941246</v>
      </c>
    </row>
    <row r="62" spans="23:32" x14ac:dyDescent="0.25">
      <c r="W62">
        <v>75.2</v>
      </c>
      <c r="X62" s="5">
        <v>77.086604362934182</v>
      </c>
      <c r="Y62" s="5">
        <v>-1.8866043629341789</v>
      </c>
      <c r="Z62" s="5">
        <v>-1.8918238974231087</v>
      </c>
      <c r="AA62" s="18">
        <v>2.7589959594257352E-3</v>
      </c>
      <c r="AB62" s="5">
        <v>-0.52539104060649322</v>
      </c>
      <c r="AC62" s="4">
        <v>4.01941326405133E-5</v>
      </c>
      <c r="AE62" s="5">
        <v>-1.7980761038936304</v>
      </c>
      <c r="AF62" s="5">
        <v>-1.892758764650303</v>
      </c>
    </row>
    <row r="63" spans="23:32" x14ac:dyDescent="0.25">
      <c r="W63">
        <v>74.900000000000006</v>
      </c>
      <c r="X63" s="5">
        <v>76.920439458330847</v>
      </c>
      <c r="Y63" s="5">
        <v>-2.0204394583308414</v>
      </c>
      <c r="Z63" s="5">
        <v>-2.0275751593391931</v>
      </c>
      <c r="AA63" s="18">
        <v>3.5193274959410478E-3</v>
      </c>
      <c r="AB63" s="5">
        <v>-0.56287672829393809</v>
      </c>
      <c r="AC63" s="4">
        <v>5.8893015071160791E-5</v>
      </c>
      <c r="AE63" s="5">
        <v>-1.7980761038936304</v>
      </c>
      <c r="AF63" s="5">
        <v>-1.8922120621598761</v>
      </c>
    </row>
    <row r="64" spans="23:32" x14ac:dyDescent="0.25">
      <c r="W64">
        <v>74.7</v>
      </c>
      <c r="X64" s="5">
        <v>79.064503025461576</v>
      </c>
      <c r="Y64" s="5">
        <v>-4.3645030254615733</v>
      </c>
      <c r="Z64" s="5">
        <v>-4.3809783290764557</v>
      </c>
      <c r="AA64" s="18">
        <v>3.7606448554051326E-3</v>
      </c>
      <c r="AB64" s="5">
        <v>-1.2160595526956997</v>
      </c>
      <c r="AC64" s="4">
        <v>2.9380197726025406E-4</v>
      </c>
      <c r="AE64" s="5">
        <v>-1.7980761038936304</v>
      </c>
      <c r="AF64" s="5">
        <v>-1.8709790576043557</v>
      </c>
    </row>
    <row r="65" spans="23:32" x14ac:dyDescent="0.25">
      <c r="W65">
        <v>74.099999999999994</v>
      </c>
      <c r="X65" s="5">
        <v>76.795420473837794</v>
      </c>
      <c r="Y65" s="5">
        <v>-2.6954204738377996</v>
      </c>
      <c r="Z65" s="5">
        <v>-2.707416465185716</v>
      </c>
      <c r="AA65" s="18">
        <v>4.4307890943903741E-3</v>
      </c>
      <c r="AB65" s="5">
        <v>-0.75126418647432025</v>
      </c>
      <c r="AC65" s="4">
        <v>1.3220302488950474E-4</v>
      </c>
      <c r="AE65" s="5">
        <v>-1.7755718253255368</v>
      </c>
      <c r="AF65" s="5">
        <v>-1.8699799799407228</v>
      </c>
    </row>
    <row r="66" spans="23:32" x14ac:dyDescent="0.25">
      <c r="W66">
        <v>74.099999999999994</v>
      </c>
      <c r="X66" s="5">
        <v>76.995096746897815</v>
      </c>
      <c r="Y66" s="5">
        <v>-2.8950967468978206</v>
      </c>
      <c r="Z66" s="5">
        <v>-2.9078782999632011</v>
      </c>
      <c r="AA66" s="18">
        <v>4.3954910580482473E-3</v>
      </c>
      <c r="AB66" s="5">
        <v>-0.80690340053211995</v>
      </c>
      <c r="AC66" s="4">
        <v>1.512899350986986E-4</v>
      </c>
      <c r="AE66" s="5">
        <v>-1.7755718253255368</v>
      </c>
      <c r="AF66" s="5">
        <v>-1.8673124194259085</v>
      </c>
    </row>
    <row r="67" spans="23:32" x14ac:dyDescent="0.25">
      <c r="W67">
        <v>74.599999999999994</v>
      </c>
      <c r="X67" s="5">
        <v>75.034660448804431</v>
      </c>
      <c r="Y67" s="5">
        <v>-0.43466044880443633</v>
      </c>
      <c r="Z67" s="5">
        <v>-0.43596397672436638</v>
      </c>
      <c r="AA67" s="18">
        <v>2.9899899751596251E-3</v>
      </c>
      <c r="AB67" s="5">
        <v>-0.12106044236598147</v>
      </c>
      <c r="AC67" s="4">
        <v>2.3132423023533344E-6</v>
      </c>
      <c r="AE67" s="5">
        <v>-1.7610542000458449</v>
      </c>
      <c r="AF67" s="5">
        <v>-1.8561644760737943</v>
      </c>
    </row>
    <row r="68" spans="23:32" x14ac:dyDescent="0.25">
      <c r="W68">
        <v>74.400000000000006</v>
      </c>
      <c r="X68" s="5">
        <v>73.132961400757196</v>
      </c>
      <c r="Y68" s="5">
        <v>1.2670385992428095</v>
      </c>
      <c r="Z68" s="5">
        <v>1.2696856049028185</v>
      </c>
      <c r="AA68" s="18">
        <v>2.0847725214664763E-3</v>
      </c>
      <c r="AB68" s="5">
        <v>0.35273204189002294</v>
      </c>
      <c r="AC68" s="4">
        <v>1.3680477253262115E-5</v>
      </c>
      <c r="AE68" s="5">
        <v>-1.7610542000458449</v>
      </c>
      <c r="AF68" s="5">
        <v>-1.8491697888275669</v>
      </c>
    </row>
    <row r="69" spans="23:32" x14ac:dyDescent="0.25">
      <c r="W69">
        <v>74.400000000000006</v>
      </c>
      <c r="X69" s="5">
        <v>73.087947135716405</v>
      </c>
      <c r="Y69" s="5">
        <v>1.3120528642836007</v>
      </c>
      <c r="Z69" s="5">
        <v>1.3147467561225881</v>
      </c>
      <c r="AA69" s="18">
        <v>2.0489815444963934E-3</v>
      </c>
      <c r="AB69" s="5">
        <v>0.36525705451797941</v>
      </c>
      <c r="AC69" s="4">
        <v>1.4416918559495004E-5</v>
      </c>
      <c r="AE69" s="5">
        <v>-1.7468985212689381</v>
      </c>
      <c r="AF69" s="5">
        <v>-1.8441721461622138</v>
      </c>
    </row>
    <row r="70" spans="23:32" x14ac:dyDescent="0.25">
      <c r="W70">
        <v>73.900000000000006</v>
      </c>
      <c r="X70" s="5">
        <v>72.837379162649256</v>
      </c>
      <c r="Y70" s="5">
        <v>1.0626208373507495</v>
      </c>
      <c r="Z70" s="5">
        <v>1.0651537250132606</v>
      </c>
      <c r="AA70" s="18">
        <v>2.3779550341268031E-3</v>
      </c>
      <c r="AB70" s="5">
        <v>0.29586745838430628</v>
      </c>
      <c r="AC70" s="4">
        <v>1.0981923186204593E-5</v>
      </c>
      <c r="AE70" s="5">
        <v>-1.739949995904148</v>
      </c>
      <c r="AF70" s="5">
        <v>-1.8435096771059469</v>
      </c>
    </row>
    <row r="71" spans="23:32" x14ac:dyDescent="0.25">
      <c r="W71">
        <v>73.5</v>
      </c>
      <c r="X71" s="5">
        <v>72.339860552967764</v>
      </c>
      <c r="Y71" s="5">
        <v>1.1601394470322361</v>
      </c>
      <c r="Z71" s="5">
        <v>1.162430420355534</v>
      </c>
      <c r="AA71" s="18">
        <v>1.9708477025229183E-3</v>
      </c>
      <c r="AB71" s="5">
        <v>0.32295385437503926</v>
      </c>
      <c r="AC71" s="4">
        <v>1.0840197169157376E-5</v>
      </c>
      <c r="AE71" s="5">
        <v>-1.7330844772440359</v>
      </c>
      <c r="AF71" s="5">
        <v>-1.8382247177222772</v>
      </c>
    </row>
    <row r="72" spans="23:32" x14ac:dyDescent="0.25">
      <c r="W72">
        <v>73.3</v>
      </c>
      <c r="X72" s="5">
        <v>70.406605654984787</v>
      </c>
      <c r="Y72" s="5">
        <v>2.89339434501521</v>
      </c>
      <c r="Z72" s="5">
        <v>2.9112122003268013</v>
      </c>
      <c r="AA72" s="18">
        <v>6.1204247871697731E-3</v>
      </c>
      <c r="AB72" s="5">
        <v>0.80712841557163273</v>
      </c>
      <c r="AC72" s="4">
        <v>2.111443541448268E-4</v>
      </c>
      <c r="AE72" s="5">
        <v>-1.7262996894247766</v>
      </c>
      <c r="AF72" s="5">
        <v>-1.8355579541450546</v>
      </c>
    </row>
    <row r="73" spans="23:32" x14ac:dyDescent="0.25">
      <c r="W73">
        <v>73.2</v>
      </c>
      <c r="X73" s="5">
        <v>72.543526489894958</v>
      </c>
      <c r="Y73" s="5">
        <v>0.65647351010504451</v>
      </c>
      <c r="Z73" s="5">
        <v>0.66185870465299956</v>
      </c>
      <c r="AA73" s="18">
        <v>8.1364715914444396E-3</v>
      </c>
      <c r="AB73" s="5">
        <v>0.18331294617480129</v>
      </c>
      <c r="AC73" s="4">
        <v>1.4508311283526362E-5</v>
      </c>
      <c r="AE73" s="5">
        <v>-1.7262996894247766</v>
      </c>
      <c r="AF73" s="5">
        <v>-1.8155622442212729</v>
      </c>
    </row>
    <row r="74" spans="23:32" x14ac:dyDescent="0.25">
      <c r="W74">
        <v>73.5</v>
      </c>
      <c r="X74" s="5">
        <v>70.842956268558183</v>
      </c>
      <c r="Y74" s="5">
        <v>2.6570437314418172</v>
      </c>
      <c r="Z74" s="5">
        <v>2.6954932827666909</v>
      </c>
      <c r="AA74" s="18">
        <v>1.4264384025993589E-2</v>
      </c>
      <c r="AB74" s="5">
        <v>0.74425261612523375</v>
      </c>
      <c r="AC74" s="4">
        <v>4.2187103923220612E-4</v>
      </c>
      <c r="AE74" s="5">
        <v>-1.7129636683890181</v>
      </c>
      <c r="AF74" s="5">
        <v>-1.8147240912136082</v>
      </c>
    </row>
    <row r="75" spans="23:32" x14ac:dyDescent="0.25">
      <c r="W75">
        <v>72.900000000000006</v>
      </c>
      <c r="X75" s="5">
        <v>70.805021889954475</v>
      </c>
      <c r="Y75" s="5">
        <v>2.0949781100455311</v>
      </c>
      <c r="Z75" s="5">
        <v>2.0994873712464255</v>
      </c>
      <c r="AA75" s="18">
        <v>2.1477915336156131E-3</v>
      </c>
      <c r="AB75" s="5">
        <v>0.58324130070937363</v>
      </c>
      <c r="AC75" s="4">
        <v>3.8536195979047449E-5</v>
      </c>
      <c r="AE75" s="5">
        <v>-1.7129636683890181</v>
      </c>
      <c r="AF75" s="5">
        <v>-1.8114347989013382</v>
      </c>
    </row>
    <row r="76" spans="23:32" x14ac:dyDescent="0.25">
      <c r="W76">
        <v>73</v>
      </c>
      <c r="X76" s="5">
        <v>69.240271254490409</v>
      </c>
      <c r="Y76" s="5">
        <v>3.7597287455095909</v>
      </c>
      <c r="Z76" s="5">
        <v>3.8384733735623087</v>
      </c>
      <c r="AA76" s="18">
        <v>2.0514569306401435E-2</v>
      </c>
      <c r="AB76" s="5">
        <v>1.0564754618288306</v>
      </c>
      <c r="AC76" s="4">
        <v>1.2303527687859363E-3</v>
      </c>
      <c r="AE76" s="5">
        <v>-1.6999255180307868</v>
      </c>
      <c r="AF76" s="5">
        <v>-1.8093881484033418</v>
      </c>
    </row>
    <row r="77" spans="23:32" x14ac:dyDescent="0.25">
      <c r="W77">
        <v>73</v>
      </c>
      <c r="X77" s="5">
        <v>70.464208411974667</v>
      </c>
      <c r="Y77" s="5">
        <v>2.535791588025333</v>
      </c>
      <c r="Z77" s="5">
        <v>2.5413374972917069</v>
      </c>
      <c r="AA77" s="18">
        <v>2.1822797138438075E-3</v>
      </c>
      <c r="AB77" s="5">
        <v>0.70597584587130169</v>
      </c>
      <c r="AC77" s="4">
        <v>5.7370057760536637E-5</v>
      </c>
      <c r="AE77" s="5">
        <v>-1.6935133675401242</v>
      </c>
      <c r="AF77" s="5">
        <v>-1.782405130078095</v>
      </c>
    </row>
    <row r="78" spans="23:32" x14ac:dyDescent="0.25">
      <c r="W78">
        <v>72.7</v>
      </c>
      <c r="X78" s="5">
        <v>70.293139684654406</v>
      </c>
      <c r="Y78" s="5">
        <v>2.4068603153455967</v>
      </c>
      <c r="Z78" s="5">
        <v>2.4127603700898845</v>
      </c>
      <c r="AA78" s="18">
        <v>2.4453546309158259E-3</v>
      </c>
      <c r="AB78" s="5">
        <v>0.67016914744757528</v>
      </c>
      <c r="AC78" s="4">
        <v>5.7945593416997468E-5</v>
      </c>
      <c r="AE78" s="5">
        <v>-1.6935133675401242</v>
      </c>
      <c r="AF78" s="5">
        <v>-1.7756700237436112</v>
      </c>
    </row>
    <row r="79" spans="23:32" x14ac:dyDescent="0.25">
      <c r="W79">
        <v>72.599999999999994</v>
      </c>
      <c r="X79" s="5">
        <v>70.19982650036313</v>
      </c>
      <c r="Y79" s="5">
        <v>2.400173499636864</v>
      </c>
      <c r="Z79" s="5">
        <v>2.4056984664268271</v>
      </c>
      <c r="AA79" s="18">
        <v>2.2966164991456714E-3</v>
      </c>
      <c r="AB79" s="5">
        <v>0.66825744460324377</v>
      </c>
      <c r="AC79" s="4">
        <v>5.4102962438535773E-5</v>
      </c>
      <c r="AE79" s="5">
        <v>-1.6935133675401242</v>
      </c>
      <c r="AF79" s="5">
        <v>-1.7746933113825774</v>
      </c>
    </row>
    <row r="80" spans="23:32" x14ac:dyDescent="0.25">
      <c r="W80">
        <v>72.599999999999994</v>
      </c>
      <c r="X80" s="5">
        <v>70.49282430976389</v>
      </c>
      <c r="Y80" s="5">
        <v>2.1071756902361045</v>
      </c>
      <c r="Z80" s="5">
        <v>2.1127623596435541</v>
      </c>
      <c r="AA80" s="18">
        <v>2.6442488346799025E-3</v>
      </c>
      <c r="AB80" s="5">
        <v>0.58678309155952924</v>
      </c>
      <c r="AC80" s="4">
        <v>4.804562046090623E-5</v>
      </c>
      <c r="AE80" s="5">
        <v>-1.6746834237964712</v>
      </c>
      <c r="AF80" s="5">
        <v>-1.7702635707155301</v>
      </c>
    </row>
    <row r="81" spans="23:32" x14ac:dyDescent="0.25">
      <c r="W81">
        <v>72</v>
      </c>
      <c r="X81" s="5">
        <v>70.569479088862593</v>
      </c>
      <c r="Y81" s="5">
        <v>1.4305209111374069</v>
      </c>
      <c r="Z81" s="5">
        <v>1.4356748705300646</v>
      </c>
      <c r="AA81" s="18">
        <v>3.5899210179491299E-3</v>
      </c>
      <c r="AB81" s="5">
        <v>0.39854470768015715</v>
      </c>
      <c r="AC81" s="4">
        <v>3.0119466415506461E-5</v>
      </c>
      <c r="AE81" s="5">
        <v>-1.6746834237964712</v>
      </c>
      <c r="AF81" s="5">
        <v>-1.7688093546525816</v>
      </c>
    </row>
    <row r="82" spans="23:32" x14ac:dyDescent="0.25">
      <c r="W82">
        <v>82.7</v>
      </c>
      <c r="X82" s="5">
        <v>89.135050397204893</v>
      </c>
      <c r="Y82" s="5">
        <v>-6.4350503972048898</v>
      </c>
      <c r="Z82" s="5">
        <v>-6.6170661058747271</v>
      </c>
      <c r="AA82" s="18">
        <v>2.7507010774494696E-2</v>
      </c>
      <c r="AB82" s="5">
        <v>-1.8147240912136082</v>
      </c>
      <c r="AC82" s="4">
        <v>4.9025781676576173E-3</v>
      </c>
      <c r="AE82" s="5">
        <v>-1.6746834237964712</v>
      </c>
      <c r="AF82" s="5">
        <v>-1.767652753581364</v>
      </c>
    </row>
    <row r="83" spans="23:32" x14ac:dyDescent="0.25">
      <c r="W83">
        <v>82.5</v>
      </c>
      <c r="X83" s="5">
        <v>88.462075809252781</v>
      </c>
      <c r="Y83" s="5">
        <v>-5.9620758092527808</v>
      </c>
      <c r="Z83" s="5">
        <v>-6.1586885311084671</v>
      </c>
      <c r="AA83" s="18">
        <v>3.192444639188495E-2</v>
      </c>
      <c r="AB83" s="5">
        <v>-1.6851740354664615</v>
      </c>
      <c r="AC83" s="4">
        <v>4.9289003598612441E-3</v>
      </c>
      <c r="AE83" s="5">
        <v>-1.6746834237964712</v>
      </c>
      <c r="AF83" s="5">
        <v>-1.7386479045139271</v>
      </c>
    </row>
    <row r="84" spans="23:32" x14ac:dyDescent="0.25">
      <c r="W84">
        <v>82.3</v>
      </c>
      <c r="X84" s="5">
        <v>88.244547077238238</v>
      </c>
      <c r="Y84" s="5">
        <v>-5.9445470772382407</v>
      </c>
      <c r="Z84" s="5">
        <v>-6.136916747098681</v>
      </c>
      <c r="AA84" s="18">
        <v>3.1346305936346283E-2</v>
      </c>
      <c r="AB84" s="5">
        <v>-1.6797180651103494</v>
      </c>
      <c r="AC84" s="4">
        <v>4.805482654308019E-3</v>
      </c>
      <c r="AE84" s="5">
        <v>-1.6504653896281696</v>
      </c>
      <c r="AF84" s="5">
        <v>-1.733178058511591</v>
      </c>
    </row>
    <row r="85" spans="23:32" x14ac:dyDescent="0.25">
      <c r="W85">
        <v>82</v>
      </c>
      <c r="X85" s="5">
        <v>87.529948071843776</v>
      </c>
      <c r="Y85" s="5">
        <v>-5.5299480718437763</v>
      </c>
      <c r="Z85" s="5">
        <v>-5.692066969378871</v>
      </c>
      <c r="AA85" s="18">
        <v>2.8481551325245859E-2</v>
      </c>
      <c r="AB85" s="5">
        <v>-1.5602615956728967</v>
      </c>
      <c r="AC85" s="4">
        <v>3.756244257504949E-3</v>
      </c>
      <c r="AE85" s="5">
        <v>-1.6504653896281696</v>
      </c>
      <c r="AF85" s="5">
        <v>-1.7325769452384523</v>
      </c>
    </row>
    <row r="86" spans="23:32" x14ac:dyDescent="0.25">
      <c r="W86">
        <v>81.900000000000006</v>
      </c>
      <c r="X86" s="5">
        <v>86.280480051559465</v>
      </c>
      <c r="Y86" s="5">
        <v>-4.3804800515594593</v>
      </c>
      <c r="Z86" s="5">
        <v>-4.4609902902493559</v>
      </c>
      <c r="AA86" s="18">
        <v>1.8047615765018815E-2</v>
      </c>
      <c r="AB86" s="5">
        <v>-1.2293580353521656</v>
      </c>
      <c r="AC86" s="4">
        <v>1.4619501856208471E-3</v>
      </c>
      <c r="AE86" s="5">
        <v>-1.6387108222805178</v>
      </c>
      <c r="AF86" s="5">
        <v>-1.719048608811051</v>
      </c>
    </row>
    <row r="87" spans="23:32" x14ac:dyDescent="0.25">
      <c r="W87">
        <v>81.7</v>
      </c>
      <c r="X87" s="5">
        <v>85.096303755591634</v>
      </c>
      <c r="Y87" s="5">
        <v>-3.3963037555916316</v>
      </c>
      <c r="Z87" s="5">
        <v>-3.4382458629443278</v>
      </c>
      <c r="AA87" s="18">
        <v>1.2198693468880077E-2</v>
      </c>
      <c r="AB87" s="5">
        <v>-0.95032820504586235</v>
      </c>
      <c r="AC87" s="4">
        <v>5.8699899703738617E-4</v>
      </c>
      <c r="AE87" s="5">
        <v>-1.6387108222805178</v>
      </c>
      <c r="AF87" s="5">
        <v>-1.7080625350452927</v>
      </c>
    </row>
    <row r="88" spans="23:32" x14ac:dyDescent="0.25">
      <c r="W88">
        <v>81.3</v>
      </c>
      <c r="X88" s="5">
        <v>85.590632876564314</v>
      </c>
      <c r="Y88" s="5">
        <v>-4.2906328765643167</v>
      </c>
      <c r="Z88" s="5">
        <v>-4.3628812887925363</v>
      </c>
      <c r="AA88" s="18">
        <v>1.655979327556133E-2</v>
      </c>
      <c r="AB88" s="5">
        <v>-1.2032317077583261</v>
      </c>
      <c r="AC88" s="4">
        <v>1.2830745362342958E-3</v>
      </c>
      <c r="AE88" s="5">
        <v>-1.6271784104016083</v>
      </c>
      <c r="AF88" s="5">
        <v>-1.6851740354664615</v>
      </c>
    </row>
    <row r="89" spans="23:32" x14ac:dyDescent="0.25">
      <c r="W89">
        <v>81.3</v>
      </c>
      <c r="X89" s="5">
        <v>81.864437512339919</v>
      </c>
      <c r="Y89" s="5">
        <v>-0.56443751233992145</v>
      </c>
      <c r="Z89" s="5">
        <v>-0.56823150106662013</v>
      </c>
      <c r="AA89" s="18">
        <v>6.6768363238924426E-3</v>
      </c>
      <c r="AB89" s="5">
        <v>-0.15749707020362619</v>
      </c>
      <c r="AC89" s="4">
        <v>8.7754930125616563E-6</v>
      </c>
      <c r="AE89" s="5">
        <v>-1.6271784104016083</v>
      </c>
      <c r="AF89" s="5">
        <v>-1.6811197280319459</v>
      </c>
    </row>
    <row r="90" spans="23:32" x14ac:dyDescent="0.25">
      <c r="W90">
        <v>81.2</v>
      </c>
      <c r="X90" s="5">
        <v>85.402704196000087</v>
      </c>
      <c r="Y90" s="5">
        <v>-4.2027041960000844</v>
      </c>
      <c r="Z90" s="5">
        <v>-4.2560159289458994</v>
      </c>
      <c r="AA90" s="18">
        <v>1.2526206159906021E-2</v>
      </c>
      <c r="AB90" s="5">
        <v>-1.1761641179220628</v>
      </c>
      <c r="AC90" s="4">
        <v>9.2358363108564832E-4</v>
      </c>
      <c r="AE90" s="5">
        <v>-1.6158584342289828</v>
      </c>
      <c r="AF90" s="5">
        <v>-1.6797180651103494</v>
      </c>
    </row>
    <row r="91" spans="23:32" x14ac:dyDescent="0.25">
      <c r="W91">
        <v>81</v>
      </c>
      <c r="X91" s="5">
        <v>82.746845619439824</v>
      </c>
      <c r="Y91" s="5">
        <v>-1.7468456194398243</v>
      </c>
      <c r="Z91" s="5">
        <v>-1.7637330527260957</v>
      </c>
      <c r="AA91" s="18">
        <v>9.5748238431959815E-3</v>
      </c>
      <c r="AB91" s="5">
        <v>-0.48814133125453008</v>
      </c>
      <c r="AC91" s="4">
        <v>1.2124021077177246E-4</v>
      </c>
      <c r="AE91" s="5">
        <v>-1.6158584342289828</v>
      </c>
      <c r="AF91" s="5">
        <v>-1.6795795320060671</v>
      </c>
    </row>
    <row r="92" spans="23:32" x14ac:dyDescent="0.25">
      <c r="W92">
        <v>86</v>
      </c>
      <c r="X92" s="5">
        <v>81.324619199871734</v>
      </c>
      <c r="Y92" s="5">
        <v>4.6753808001282664</v>
      </c>
      <c r="Z92" s="5">
        <v>4.7738821113853618</v>
      </c>
      <c r="AA92" s="18">
        <v>2.0633377397856881E-2</v>
      </c>
      <c r="AB92" s="5">
        <v>1.3138513491231574</v>
      </c>
      <c r="AC92" s="4">
        <v>1.9140967444918079E-3</v>
      </c>
      <c r="AE92" s="5">
        <v>-1.6158584342289828</v>
      </c>
      <c r="AF92" s="5">
        <v>-1.6668007559812019</v>
      </c>
    </row>
    <row r="93" spans="23:32" x14ac:dyDescent="0.25">
      <c r="W93">
        <v>83</v>
      </c>
      <c r="X93" s="5">
        <v>82.636017164095577</v>
      </c>
      <c r="Y93" s="5">
        <v>0.36398283590442304</v>
      </c>
      <c r="Z93" s="5">
        <v>0.37114433433123395</v>
      </c>
      <c r="AA93" s="18">
        <v>1.9295723427148637E-2</v>
      </c>
      <c r="AB93" s="5">
        <v>0.10221479491494798</v>
      </c>
      <c r="AC93" s="4">
        <v>1.0819244085116491E-5</v>
      </c>
      <c r="AE93" s="5">
        <v>-1.6158584342289828</v>
      </c>
      <c r="AF93" s="5">
        <v>-1.6369154346861412</v>
      </c>
    </row>
    <row r="94" spans="23:32" x14ac:dyDescent="0.25">
      <c r="W94">
        <v>79.900000000000006</v>
      </c>
      <c r="X94" s="5">
        <v>82.097818226073429</v>
      </c>
      <c r="Y94" s="5">
        <v>-2.1978182260734229</v>
      </c>
      <c r="Z94" s="5">
        <v>-2.2194817454965801</v>
      </c>
      <c r="AA94" s="18">
        <v>9.7606206796316975E-3</v>
      </c>
      <c r="AB94" s="5">
        <v>-0.61421945141925205</v>
      </c>
      <c r="AC94" s="4">
        <v>1.9571800168888452E-4</v>
      </c>
      <c r="AE94" s="5">
        <v>-1.5938200328066188</v>
      </c>
      <c r="AF94" s="5">
        <v>-1.6285063637070087</v>
      </c>
    </row>
    <row r="95" spans="23:32" x14ac:dyDescent="0.25">
      <c r="W95">
        <v>79.900000000000006</v>
      </c>
      <c r="X95" s="5">
        <v>83.768733807675986</v>
      </c>
      <c r="Y95" s="5">
        <v>-3.8687338076759801</v>
      </c>
      <c r="Z95" s="5">
        <v>-3.9039158085087706</v>
      </c>
      <c r="AA95" s="18">
        <v>9.0119773474914497E-3</v>
      </c>
      <c r="AB95" s="5">
        <v>-1.0807781043682108</v>
      </c>
      <c r="AC95" s="4">
        <v>5.590764003658449E-4</v>
      </c>
      <c r="AE95" s="5">
        <v>-1.5884297017318656</v>
      </c>
      <c r="AF95" s="5">
        <v>-1.6081667438854106</v>
      </c>
    </row>
    <row r="96" spans="23:32" x14ac:dyDescent="0.25">
      <c r="W96">
        <v>81.400000000000006</v>
      </c>
      <c r="X96" s="5">
        <v>82.358612757398717</v>
      </c>
      <c r="Y96" s="5">
        <v>-0.95861275739871132</v>
      </c>
      <c r="Z96" s="5">
        <v>-0.9730287817366019</v>
      </c>
      <c r="AA96" s="18">
        <v>1.4815619649158023E-2</v>
      </c>
      <c r="AB96" s="5">
        <v>-0.26858783424559107</v>
      </c>
      <c r="AC96" s="4">
        <v>5.7098063087217465E-5</v>
      </c>
      <c r="AE96" s="5">
        <v>-1.5884297017318656</v>
      </c>
      <c r="AF96" s="5">
        <v>-1.5803189745190624</v>
      </c>
    </row>
    <row r="97" spans="23:32" x14ac:dyDescent="0.25">
      <c r="W97">
        <v>81.099999999999994</v>
      </c>
      <c r="X97" s="5">
        <v>78.234243174500534</v>
      </c>
      <c r="Y97" s="5">
        <v>2.8657568254994601</v>
      </c>
      <c r="Z97" s="5">
        <v>2.8862652064384662</v>
      </c>
      <c r="AA97" s="18">
        <v>7.1055081470865538E-3</v>
      </c>
      <c r="AB97" s="5">
        <v>0.79981524261897985</v>
      </c>
      <c r="AC97" s="4">
        <v>2.4094493008806932E-4</v>
      </c>
      <c r="AE97" s="5">
        <v>-1.5777854040319945</v>
      </c>
      <c r="AF97" s="5">
        <v>-1.5785485511020705</v>
      </c>
    </row>
    <row r="98" spans="23:32" x14ac:dyDescent="0.25">
      <c r="W98">
        <v>88</v>
      </c>
      <c r="X98" s="5">
        <v>82.748721372661763</v>
      </c>
      <c r="Y98" s="5">
        <v>5.2512786273382375</v>
      </c>
      <c r="Z98" s="5">
        <v>5.3240823473060033</v>
      </c>
      <c r="AA98" s="18">
        <v>1.3674416588353978E-2</v>
      </c>
      <c r="AB98" s="5">
        <v>1.4704721542534949</v>
      </c>
      <c r="AC98" s="4">
        <v>1.5777875222907766E-3</v>
      </c>
      <c r="AE98" s="5">
        <v>-1.5725296242490356</v>
      </c>
      <c r="AF98" s="5">
        <v>-1.5715933327772247</v>
      </c>
    </row>
    <row r="99" spans="23:32" x14ac:dyDescent="0.25">
      <c r="W99">
        <v>88</v>
      </c>
      <c r="X99" s="5">
        <v>80.995334957653156</v>
      </c>
      <c r="Y99" s="5">
        <v>7.0046650423468435</v>
      </c>
      <c r="Z99" s="5">
        <v>7.1252161626178463</v>
      </c>
      <c r="AA99" s="18">
        <v>1.6918942179393E-2</v>
      </c>
      <c r="AB99" s="5">
        <v>1.9646925584740611</v>
      </c>
      <c r="AC99" s="4">
        <v>3.4963868450355539E-3</v>
      </c>
      <c r="AE99" s="5">
        <v>-1.5725296242490356</v>
      </c>
      <c r="AF99" s="5">
        <v>-1.5679866755780101</v>
      </c>
    </row>
    <row r="100" spans="23:32" x14ac:dyDescent="0.25">
      <c r="W100">
        <v>84</v>
      </c>
      <c r="X100" s="5">
        <v>80.913623141674378</v>
      </c>
      <c r="Y100" s="5">
        <v>3.0863768583256217</v>
      </c>
      <c r="Z100" s="5">
        <v>3.124533821043272</v>
      </c>
      <c r="AA100" s="18">
        <v>1.2212049829853711E-2</v>
      </c>
      <c r="AB100" s="5">
        <v>0.86361262731897526</v>
      </c>
      <c r="AC100" s="4">
        <v>4.8529879200240528E-4</v>
      </c>
      <c r="AE100" s="5">
        <v>-1.5621464731395975</v>
      </c>
      <c r="AF100" s="5">
        <v>-1.5602615956728967</v>
      </c>
    </row>
    <row r="101" spans="23:32" x14ac:dyDescent="0.25">
      <c r="W101">
        <v>82</v>
      </c>
      <c r="X101" s="5">
        <v>80.997443610878847</v>
      </c>
      <c r="Y101" s="5">
        <v>1.0025563891211533</v>
      </c>
      <c r="Z101" s="5">
        <v>1.0173749404140722</v>
      </c>
      <c r="AA101" s="18">
        <v>1.4565476997974381E-2</v>
      </c>
      <c r="AB101" s="5">
        <v>0.28086447703670564</v>
      </c>
      <c r="AC101" s="4">
        <v>6.1367293007451144E-5</v>
      </c>
      <c r="AE101" s="5">
        <v>-1.5621464731395975</v>
      </c>
      <c r="AF101" s="5">
        <v>-1.5595835544784531</v>
      </c>
    </row>
    <row r="102" spans="23:32" x14ac:dyDescent="0.25">
      <c r="W102">
        <v>84</v>
      </c>
      <c r="X102" s="5">
        <v>80.112612912301174</v>
      </c>
      <c r="Y102" s="5">
        <v>3.8873870876988263</v>
      </c>
      <c r="Z102" s="5">
        <v>3.9577728419625515</v>
      </c>
      <c r="AA102" s="18">
        <v>1.7784182436510945E-2</v>
      </c>
      <c r="AB102" s="5">
        <v>1.0908278507204283</v>
      </c>
      <c r="AC102" s="4">
        <v>1.1339288777231303E-3</v>
      </c>
      <c r="AE102" s="5">
        <v>-1.5621464731395975</v>
      </c>
      <c r="AF102" s="5">
        <v>-1.5497008382575828</v>
      </c>
    </row>
    <row r="103" spans="23:32" x14ac:dyDescent="0.25">
      <c r="W103">
        <v>81</v>
      </c>
      <c r="X103" s="5">
        <v>80.889494852017791</v>
      </c>
      <c r="Y103" s="5">
        <v>0.11050514798220945</v>
      </c>
      <c r="Z103" s="5">
        <v>0.11228823161567902</v>
      </c>
      <c r="AA103" s="18">
        <v>1.5879523684895161E-2</v>
      </c>
      <c r="AB103" s="5">
        <v>3.0978491661154208E-2</v>
      </c>
      <c r="AC103" s="4">
        <v>8.1499724127325905E-7</v>
      </c>
      <c r="AE103" s="5">
        <v>-1.5468805340999257</v>
      </c>
      <c r="AF103" s="5">
        <v>-1.5422045636905448</v>
      </c>
    </row>
    <row r="104" spans="23:32" x14ac:dyDescent="0.25">
      <c r="W104">
        <v>79.8</v>
      </c>
      <c r="X104" s="5">
        <v>75.946362065943916</v>
      </c>
      <c r="Y104" s="5">
        <v>3.8536379340560813</v>
      </c>
      <c r="Z104" s="5">
        <v>3.8872196652304609</v>
      </c>
      <c r="AA104" s="18">
        <v>8.6390104152733321E-3</v>
      </c>
      <c r="AB104" s="5">
        <v>1.0763583581028449</v>
      </c>
      <c r="AC104" s="4">
        <v>5.3136426783209178E-4</v>
      </c>
      <c r="AE104" s="5">
        <v>-1.5418711328403236</v>
      </c>
      <c r="AF104" s="5">
        <v>-1.5207943381606877</v>
      </c>
    </row>
    <row r="105" spans="23:32" x14ac:dyDescent="0.25">
      <c r="W105">
        <v>79.400000000000006</v>
      </c>
      <c r="X105" s="5">
        <v>78.539454502569924</v>
      </c>
      <c r="Y105" s="5">
        <v>0.86054549743008124</v>
      </c>
      <c r="Z105" s="5">
        <v>0.87054662826035667</v>
      </c>
      <c r="AA105" s="18">
        <v>1.1488334462064081E-2</v>
      </c>
      <c r="AB105" s="5">
        <v>0.24070484331505831</v>
      </c>
      <c r="AC105" s="4">
        <v>3.5439805434149312E-5</v>
      </c>
      <c r="AE105" s="5">
        <v>-1.5418711328403236</v>
      </c>
      <c r="AF105" s="5">
        <v>-1.5023665065073819</v>
      </c>
    </row>
    <row r="106" spans="23:32" x14ac:dyDescent="0.25">
      <c r="W106">
        <v>79.3</v>
      </c>
      <c r="X106" s="5">
        <v>77.95350549141547</v>
      </c>
      <c r="Y106" s="5">
        <v>1.3464945085845272</v>
      </c>
      <c r="Z106" s="5">
        <v>1.3604220385362424</v>
      </c>
      <c r="AA106" s="18">
        <v>1.023765387298944E-2</v>
      </c>
      <c r="AB106" s="5">
        <v>0.37639254625048979</v>
      </c>
      <c r="AC106" s="4">
        <v>7.7125491108041093E-5</v>
      </c>
      <c r="AE106" s="5">
        <v>-1.5319668124298669</v>
      </c>
      <c r="AF106" s="5">
        <v>-1.492809094579884</v>
      </c>
    </row>
    <row r="107" spans="23:32" x14ac:dyDescent="0.25">
      <c r="W107">
        <v>78.8</v>
      </c>
      <c r="X107" s="5">
        <v>75.592777365880551</v>
      </c>
      <c r="Y107" s="5">
        <v>3.2072226341194465</v>
      </c>
      <c r="Z107" s="5">
        <v>3.2321963125346542</v>
      </c>
      <c r="AA107" s="18">
        <v>7.7265351483613047E-3</v>
      </c>
      <c r="AB107" s="5">
        <v>0.8953963322681987</v>
      </c>
      <c r="AC107" s="4">
        <v>3.2857190678144696E-4</v>
      </c>
      <c r="AE107" s="5">
        <v>-1.5319668124298669</v>
      </c>
      <c r="AF107" s="5">
        <v>-1.4841366669898415</v>
      </c>
    </row>
    <row r="108" spans="23:32" x14ac:dyDescent="0.25">
      <c r="W108">
        <v>78.7</v>
      </c>
      <c r="X108" s="5">
        <v>79.824340459320709</v>
      </c>
      <c r="Y108" s="5">
        <v>-1.124340459320706</v>
      </c>
      <c r="Z108" s="5">
        <v>-1.1348976910035873</v>
      </c>
      <c r="AA108" s="18">
        <v>9.3023642276904052E-3</v>
      </c>
      <c r="AB108" s="5">
        <v>-0.31414428801516664</v>
      </c>
      <c r="AC108" s="4">
        <v>4.8770470735645168E-5</v>
      </c>
      <c r="AE108" s="5">
        <v>-1.5319668124298669</v>
      </c>
      <c r="AF108" s="5">
        <v>-1.483680625620351</v>
      </c>
    </row>
    <row r="109" spans="23:32" x14ac:dyDescent="0.25">
      <c r="W109">
        <v>78.599999999999994</v>
      </c>
      <c r="X109" s="5">
        <v>76.316722704187725</v>
      </c>
      <c r="Y109" s="5">
        <v>2.2832772958122689</v>
      </c>
      <c r="Z109" s="5">
        <v>2.3175710675172922</v>
      </c>
      <c r="AA109" s="18">
        <v>1.4797290225821675E-2</v>
      </c>
      <c r="AB109" s="5">
        <v>0.63973152280081691</v>
      </c>
      <c r="AC109" s="4">
        <v>3.2351803457938559E-4</v>
      </c>
      <c r="AE109" s="5">
        <v>-1.5319668124298669</v>
      </c>
      <c r="AF109" s="5">
        <v>-1.4804644084753242</v>
      </c>
    </row>
    <row r="110" spans="23:32" x14ac:dyDescent="0.25">
      <c r="W110">
        <v>78.099999999999994</v>
      </c>
      <c r="X110" s="5">
        <v>76.015107729691238</v>
      </c>
      <c r="Y110" s="5">
        <v>2.0848922703087567</v>
      </c>
      <c r="Z110" s="5">
        <v>2.1185576025587523</v>
      </c>
      <c r="AA110" s="18">
        <v>1.58906853461699E-2</v>
      </c>
      <c r="AB110" s="5">
        <v>0.58447217398297924</v>
      </c>
      <c r="AC110" s="4">
        <v>2.9031759955512197E-4</v>
      </c>
      <c r="AE110" s="5">
        <v>-1.5125970273974985</v>
      </c>
      <c r="AF110" s="5">
        <v>-1.4801411445939252</v>
      </c>
    </row>
    <row r="111" spans="23:32" x14ac:dyDescent="0.25">
      <c r="W111">
        <v>72.5</v>
      </c>
      <c r="X111" s="5">
        <v>73.251341091468063</v>
      </c>
      <c r="Y111" s="5">
        <v>-0.75134109146806338</v>
      </c>
      <c r="Z111" s="5">
        <v>-0.75506842031273891</v>
      </c>
      <c r="AA111" s="18">
        <v>4.9364120447975123E-3</v>
      </c>
      <c r="AB111" s="5">
        <v>-0.20946603689665469</v>
      </c>
      <c r="AC111" s="4">
        <v>1.1456031514730607E-5</v>
      </c>
      <c r="AE111" s="5">
        <v>-1.5078422496152202</v>
      </c>
      <c r="AF111" s="5">
        <v>-1.4762533227605081</v>
      </c>
    </row>
    <row r="112" spans="23:32" x14ac:dyDescent="0.25">
      <c r="W112">
        <v>72.2</v>
      </c>
      <c r="X112" s="5">
        <v>71.138713648393363</v>
      </c>
      <c r="Y112" s="5">
        <v>1.0612863516066398</v>
      </c>
      <c r="Z112" s="5">
        <v>1.0694104383610608</v>
      </c>
      <c r="AA112" s="18">
        <v>7.5967902154251161E-3</v>
      </c>
      <c r="AB112" s="5">
        <v>0.29627185097569553</v>
      </c>
      <c r="AC112" s="4">
        <v>3.5364632869618645E-5</v>
      </c>
      <c r="AE112" s="5">
        <v>-1.5078422496152202</v>
      </c>
      <c r="AF112" s="5">
        <v>-1.4652992029737115</v>
      </c>
    </row>
    <row r="113" spans="23:32" x14ac:dyDescent="0.25">
      <c r="W113">
        <v>71.900000000000006</v>
      </c>
      <c r="X113" s="5">
        <v>72.500258474552695</v>
      </c>
      <c r="Y113" s="5">
        <v>-0.60025847455268888</v>
      </c>
      <c r="Z113" s="5">
        <v>-0.60302165692677079</v>
      </c>
      <c r="AA113" s="18">
        <v>4.5822274247392589E-3</v>
      </c>
      <c r="AB113" s="5">
        <v>-0.16731600897796303</v>
      </c>
      <c r="AC113" s="4">
        <v>6.7825443496347603E-6</v>
      </c>
      <c r="AE113" s="5">
        <v>-1.4984336523422108</v>
      </c>
      <c r="AF113" s="5">
        <v>-1.455019344823719</v>
      </c>
    </row>
    <row r="114" spans="23:32" x14ac:dyDescent="0.25">
      <c r="W114">
        <v>71.599999999999994</v>
      </c>
      <c r="X114" s="5">
        <v>72.183736730480391</v>
      </c>
      <c r="Y114" s="5">
        <v>-0.5837367304803962</v>
      </c>
      <c r="Z114" s="5">
        <v>-0.58577212271183043</v>
      </c>
      <c r="AA114" s="18">
        <v>3.4747167926114063E-3</v>
      </c>
      <c r="AB114" s="5">
        <v>-0.16262029784462714</v>
      </c>
      <c r="AC114" s="4">
        <v>4.8531866541797171E-6</v>
      </c>
      <c r="AE114" s="5">
        <v>-1.4984336523422108</v>
      </c>
      <c r="AF114" s="5">
        <v>-1.4293781489816981</v>
      </c>
    </row>
    <row r="115" spans="23:32" x14ac:dyDescent="0.25">
      <c r="W115">
        <v>71.099999999999994</v>
      </c>
      <c r="X115" s="5">
        <v>74.293502578678201</v>
      </c>
      <c r="Y115" s="5">
        <v>-3.1935025786782063</v>
      </c>
      <c r="Z115" s="5">
        <v>-3.2303356590986709</v>
      </c>
      <c r="AA115" s="18">
        <v>1.1402245558204297E-2</v>
      </c>
      <c r="AB115" s="5">
        <v>-0.8932218806094615</v>
      </c>
      <c r="AC115" s="4">
        <v>4.8432387167859984E-4</v>
      </c>
      <c r="AE115" s="5">
        <v>-1.4984336523422108</v>
      </c>
      <c r="AF115" s="5">
        <v>-1.4220710844912798</v>
      </c>
    </row>
    <row r="116" spans="23:32" x14ac:dyDescent="0.25">
      <c r="W116">
        <v>78</v>
      </c>
      <c r="X116" s="5">
        <v>71.672298130521966</v>
      </c>
      <c r="Y116" s="5">
        <v>6.3277018694780338</v>
      </c>
      <c r="Z116" s="5">
        <v>6.3419582858446546</v>
      </c>
      <c r="AA116" s="18">
        <v>2.2479517720013597E-3</v>
      </c>
      <c r="AB116" s="5">
        <v>1.7617187919347066</v>
      </c>
      <c r="AC116" s="4">
        <v>3.6803060399547845E-4</v>
      </c>
      <c r="AE116" s="5">
        <v>-1.4984336523422108</v>
      </c>
      <c r="AF116" s="5">
        <v>-1.4074379653898692</v>
      </c>
    </row>
    <row r="117" spans="23:32" x14ac:dyDescent="0.25">
      <c r="W117">
        <v>73</v>
      </c>
      <c r="X117" s="5">
        <v>71.527488597717962</v>
      </c>
      <c r="Y117" s="5">
        <v>1.4725114022820378</v>
      </c>
      <c r="Z117" s="5">
        <v>1.4774170296508231</v>
      </c>
      <c r="AA117" s="18">
        <v>3.320408029916914E-3</v>
      </c>
      <c r="AB117" s="5">
        <v>0.41018783407199161</v>
      </c>
      <c r="AC117" s="4">
        <v>2.9501754140419974E-5</v>
      </c>
      <c r="AE117" s="5">
        <v>-1.4984336523422108</v>
      </c>
      <c r="AF117" s="5">
        <v>-1.4042087122029465</v>
      </c>
    </row>
    <row r="118" spans="23:32" x14ac:dyDescent="0.25">
      <c r="W118">
        <v>73</v>
      </c>
      <c r="X118" s="5">
        <v>73.47541650571857</v>
      </c>
      <c r="Y118" s="5">
        <v>-0.47541650571857019</v>
      </c>
      <c r="Z118" s="5">
        <v>-0.47722385593007743</v>
      </c>
      <c r="AA118" s="18">
        <v>3.7872168146038895E-3</v>
      </c>
      <c r="AB118" s="5">
        <v>-0.13246467928915875</v>
      </c>
      <c r="AC118" s="4">
        <v>3.5108691395228282E-6</v>
      </c>
      <c r="AE118" s="5">
        <v>-1.4754749432056431</v>
      </c>
      <c r="AF118" s="5">
        <v>-1.3956917906660498</v>
      </c>
    </row>
    <row r="119" spans="23:32" x14ac:dyDescent="0.25">
      <c r="W119">
        <v>69.2</v>
      </c>
      <c r="X119" s="5">
        <v>69.560005254457963</v>
      </c>
      <c r="Y119" s="5">
        <v>-0.36000525445795972</v>
      </c>
      <c r="Z119" s="5">
        <v>-0.36463274221186737</v>
      </c>
      <c r="AA119" s="18">
        <v>1.2690817960671943E-2</v>
      </c>
      <c r="AB119" s="5">
        <v>-0.10075906837585046</v>
      </c>
      <c r="AC119" s="4">
        <v>6.8683295398121984E-6</v>
      </c>
      <c r="AE119" s="5">
        <v>-1.4754749432056431</v>
      </c>
      <c r="AF119" s="5">
        <v>-1.3938705505807882</v>
      </c>
    </row>
    <row r="120" spans="23:32" x14ac:dyDescent="0.25">
      <c r="W120">
        <v>68.400000000000006</v>
      </c>
      <c r="X120" s="5">
        <v>70.411010792284401</v>
      </c>
      <c r="Y120" s="5">
        <v>-2.0110107922843952</v>
      </c>
      <c r="Z120" s="5">
        <v>-2.0191129545271878</v>
      </c>
      <c r="AA120" s="18">
        <v>4.0127335247032922E-3</v>
      </c>
      <c r="AB120" s="5">
        <v>-0.56038873958878166</v>
      </c>
      <c r="AC120" s="4">
        <v>6.6590416815400836E-5</v>
      </c>
      <c r="AE120" s="5">
        <v>-1.4754749432056431</v>
      </c>
      <c r="AF120" s="5">
        <v>-1.3871280616079238</v>
      </c>
    </row>
    <row r="121" spans="23:32" x14ac:dyDescent="0.25">
      <c r="W121">
        <v>68.400000000000006</v>
      </c>
      <c r="X121" s="5">
        <v>70.447768324413175</v>
      </c>
      <c r="Y121" s="5">
        <v>-2.0477683244131697</v>
      </c>
      <c r="Z121" s="5">
        <v>-2.0702025706621185</v>
      </c>
      <c r="AA121" s="18">
        <v>1.0836739634506116E-2</v>
      </c>
      <c r="AB121" s="5">
        <v>-0.5725965460425616</v>
      </c>
      <c r="AC121" s="4">
        <v>1.8904905409293873E-4</v>
      </c>
      <c r="AE121" s="5">
        <v>-1.462064744247453</v>
      </c>
      <c r="AF121" s="5">
        <v>-1.3833164229030315</v>
      </c>
    </row>
    <row r="122" spans="23:32" x14ac:dyDescent="0.25">
      <c r="W122">
        <v>67.8</v>
      </c>
      <c r="X122" s="5">
        <v>69.916679038801206</v>
      </c>
      <c r="Y122" s="5">
        <v>-2.1166790388012089</v>
      </c>
      <c r="Z122" s="5">
        <v>-2.1238633627002486</v>
      </c>
      <c r="AA122" s="18">
        <v>3.3826676542429213E-3</v>
      </c>
      <c r="AB122" s="5">
        <v>-0.58964780058256083</v>
      </c>
      <c r="AC122" s="4">
        <v>6.211016167816787E-5</v>
      </c>
      <c r="AE122" s="5">
        <v>-1.4576525936309461</v>
      </c>
      <c r="AF122" s="5">
        <v>-1.3767074695376171</v>
      </c>
    </row>
    <row r="123" spans="23:32" x14ac:dyDescent="0.25">
      <c r="W123">
        <v>67.8</v>
      </c>
      <c r="X123" s="5">
        <v>69.199861886918754</v>
      </c>
      <c r="Y123" s="5">
        <v>-1.3998618869187567</v>
      </c>
      <c r="Z123" s="5">
        <v>-1.42389574032822</v>
      </c>
      <c r="AA123" s="18">
        <v>1.6878941855618567E-2</v>
      </c>
      <c r="AB123" s="5">
        <v>-0.39263009210644328</v>
      </c>
      <c r="AC123" s="4">
        <v>1.3930021327010486E-4</v>
      </c>
      <c r="AE123" s="5">
        <v>-1.4576525936309461</v>
      </c>
      <c r="AF123" s="5">
        <v>-1.3727139051375838</v>
      </c>
    </row>
    <row r="124" spans="23:32" x14ac:dyDescent="0.25">
      <c r="W124">
        <v>71.400000000000006</v>
      </c>
      <c r="X124" s="5">
        <v>67.361494457394471</v>
      </c>
      <c r="Y124" s="5">
        <v>4.0385055426055345</v>
      </c>
      <c r="Z124" s="5">
        <v>4.0777341483702259</v>
      </c>
      <c r="AA124" s="18">
        <v>9.6201969862041645E-3</v>
      </c>
      <c r="AB124" s="5">
        <v>1.1285522929162761</v>
      </c>
      <c r="AC124" s="4">
        <v>6.5113638451965241E-4</v>
      </c>
      <c r="AE124" s="5">
        <v>-1.4576525936309461</v>
      </c>
      <c r="AF124" s="5">
        <v>-1.3704978501844876</v>
      </c>
    </row>
    <row r="125" spans="23:32" x14ac:dyDescent="0.25">
      <c r="W125">
        <v>71</v>
      </c>
      <c r="X125" s="5">
        <v>67.07146729121061</v>
      </c>
      <c r="Y125" s="5">
        <v>3.9285327087893904</v>
      </c>
      <c r="Z125" s="5">
        <v>3.9767284853094225</v>
      </c>
      <c r="AA125" s="18">
        <v>1.2119453640869811E-2</v>
      </c>
      <c r="AB125" s="5">
        <v>1.0992084253326686</v>
      </c>
      <c r="AC125" s="4">
        <v>7.801625599738192E-4</v>
      </c>
      <c r="AE125" s="5">
        <v>-1.4445835579455348</v>
      </c>
      <c r="AF125" s="5">
        <v>-1.3626105692984638</v>
      </c>
    </row>
    <row r="126" spans="23:32" x14ac:dyDescent="0.25">
      <c r="W126">
        <v>77</v>
      </c>
      <c r="X126" s="5">
        <v>66.985145049866233</v>
      </c>
      <c r="Y126" s="5">
        <v>10.014854950133767</v>
      </c>
      <c r="Z126" s="5">
        <v>10.108067705734769</v>
      </c>
      <c r="AA126" s="18">
        <v>9.2216196324171884E-3</v>
      </c>
      <c r="AB126" s="5">
        <v>2.7980681930751596</v>
      </c>
      <c r="AC126" s="4">
        <v>3.8352499401215208E-3</v>
      </c>
      <c r="AE126" s="5">
        <v>-1.4402815816722083</v>
      </c>
      <c r="AF126" s="5">
        <v>-1.34433227587116</v>
      </c>
    </row>
    <row r="127" spans="23:32" x14ac:dyDescent="0.25">
      <c r="W127">
        <v>73</v>
      </c>
      <c r="X127" s="5">
        <v>68.21006943635598</v>
      </c>
      <c r="Y127" s="5">
        <v>4.7899305636440204</v>
      </c>
      <c r="Z127" s="5">
        <v>4.8581442364877319</v>
      </c>
      <c r="AA127" s="18">
        <v>1.4041096666373043E-2</v>
      </c>
      <c r="AB127" s="5">
        <v>1.3415340588717739</v>
      </c>
      <c r="AC127" s="4">
        <v>1.3489381000623786E-3</v>
      </c>
      <c r="AE127" s="5">
        <v>-1.4402815816722083</v>
      </c>
      <c r="AF127" s="5">
        <v>-1.3405255148411312</v>
      </c>
    </row>
    <row r="128" spans="23:32" x14ac:dyDescent="0.25">
      <c r="W128">
        <v>69.900000000000006</v>
      </c>
      <c r="X128" s="5">
        <v>65.591682633988185</v>
      </c>
      <c r="Y128" s="5">
        <v>4.3083173660118206</v>
      </c>
      <c r="Z128" s="5">
        <v>4.3511332362889164</v>
      </c>
      <c r="AA128" s="18">
        <v>9.8401652976304425E-3</v>
      </c>
      <c r="AB128" s="5">
        <v>1.2040843910900216</v>
      </c>
      <c r="AC128" s="4">
        <v>7.5832843424865793E-4</v>
      </c>
      <c r="AE128" s="5">
        <v>-1.4402815816722083</v>
      </c>
      <c r="AF128" s="5">
        <v>-1.3343736950896321</v>
      </c>
    </row>
    <row r="129" spans="23:32" x14ac:dyDescent="0.25">
      <c r="W129">
        <v>69.5</v>
      </c>
      <c r="X129" s="5">
        <v>64.961599021740781</v>
      </c>
      <c r="Y129" s="5">
        <v>4.5384009782592187</v>
      </c>
      <c r="Z129" s="5">
        <v>4.5895445367106333</v>
      </c>
      <c r="AA129" s="18">
        <v>1.1143493225162761E-2</v>
      </c>
      <c r="AB129" s="5">
        <v>1.2692235396671032</v>
      </c>
      <c r="AC129" s="4">
        <v>9.5545604644398389E-4</v>
      </c>
      <c r="AE129" s="5">
        <v>-1.4402815816722083</v>
      </c>
      <c r="AF129" s="5">
        <v>-1.3291320514802278</v>
      </c>
    </row>
    <row r="130" spans="23:32" x14ac:dyDescent="0.25">
      <c r="W130">
        <v>69.099999999999994</v>
      </c>
      <c r="X130" s="5">
        <v>64.899818245409236</v>
      </c>
      <c r="Y130" s="5">
        <v>4.2001817545907585</v>
      </c>
      <c r="Z130" s="5">
        <v>4.2452752350718441</v>
      </c>
      <c r="AA130" s="18">
        <v>1.0622039322340446E-2</v>
      </c>
      <c r="AB130" s="5">
        <v>1.1743264961319577</v>
      </c>
      <c r="AC130" s="4">
        <v>7.7923740583478603E-4</v>
      </c>
      <c r="AE130" s="5">
        <v>-1.4402815816722083</v>
      </c>
      <c r="AF130" s="5">
        <v>-1.3131154496895989</v>
      </c>
    </row>
    <row r="131" spans="23:32" x14ac:dyDescent="0.25">
      <c r="W131">
        <v>68.599999999999994</v>
      </c>
      <c r="X131" s="5">
        <v>65.416260199914404</v>
      </c>
      <c r="Y131" s="5">
        <v>3.1837398000855899</v>
      </c>
      <c r="Z131" s="5">
        <v>3.4112704160944105</v>
      </c>
      <c r="AA131" s="18">
        <v>6.6699671458273088E-2</v>
      </c>
      <c r="AB131" s="5">
        <v>0.91649214905815424</v>
      </c>
      <c r="AC131" s="4">
        <v>3.1594113435150181E-3</v>
      </c>
      <c r="AE131" s="5">
        <v>-1.4191611772342045</v>
      </c>
      <c r="AF131" s="5">
        <v>-1.3112316458263693</v>
      </c>
    </row>
    <row r="132" spans="23:32" x14ac:dyDescent="0.25">
      <c r="W132">
        <v>68.2</v>
      </c>
      <c r="X132" s="5">
        <v>65.189395092438417</v>
      </c>
      <c r="Y132" s="5">
        <v>3.0106049075615857</v>
      </c>
      <c r="Z132" s="5">
        <v>3.2253342690425058</v>
      </c>
      <c r="AA132" s="18">
        <v>6.6575847205031194E-2</v>
      </c>
      <c r="AB132" s="5">
        <v>0.86659492201784094</v>
      </c>
      <c r="AC132" s="4">
        <v>2.819138069092425E-3</v>
      </c>
      <c r="AE132" s="5">
        <v>-1.4191611772342045</v>
      </c>
      <c r="AF132" s="5">
        <v>-1.3104802307873942</v>
      </c>
    </row>
    <row r="133" spans="23:32" x14ac:dyDescent="0.25">
      <c r="W133">
        <v>67.8</v>
      </c>
      <c r="X133" s="5">
        <v>64.691270308388482</v>
      </c>
      <c r="Y133" s="5">
        <v>3.108729691611515</v>
      </c>
      <c r="Z133" s="5">
        <v>3.3427289461091192</v>
      </c>
      <c r="AA133" s="18">
        <v>7.0002461542677669E-2</v>
      </c>
      <c r="AB133" s="5">
        <v>0.89648691165023042</v>
      </c>
      <c r="AC133" s="4">
        <v>3.1839469167206139E-3</v>
      </c>
      <c r="AE133" s="5">
        <v>-1.4191611772342045</v>
      </c>
      <c r="AF133" s="5">
        <v>-1.3064014108906874</v>
      </c>
    </row>
    <row r="134" spans="23:32" x14ac:dyDescent="0.25">
      <c r="W134">
        <v>67.3</v>
      </c>
      <c r="X134" s="5">
        <v>64.849754314425525</v>
      </c>
      <c r="Y134" s="5">
        <v>2.4502456855744725</v>
      </c>
      <c r="Z134" s="5">
        <v>2.493424005900664</v>
      </c>
      <c r="AA134" s="18">
        <v>1.7316878406565699E-2</v>
      </c>
      <c r="AB134" s="5">
        <v>0.68739247978548379</v>
      </c>
      <c r="AC134" s="4">
        <v>4.3824004842811471E-4</v>
      </c>
      <c r="AE134" s="5">
        <v>-1.4067868590764927</v>
      </c>
      <c r="AF134" s="5">
        <v>-1.301505501104308</v>
      </c>
    </row>
    <row r="135" spans="23:32" x14ac:dyDescent="0.25">
      <c r="W135">
        <v>66.8</v>
      </c>
      <c r="X135" s="5">
        <v>63.670675057973824</v>
      </c>
      <c r="Y135" s="5">
        <v>3.1293249420261731</v>
      </c>
      <c r="Z135" s="5">
        <v>3.2069301228121532</v>
      </c>
      <c r="AA135" s="18">
        <v>2.4199211649155259E-2</v>
      </c>
      <c r="AB135" s="5">
        <v>0.88099201288439932</v>
      </c>
      <c r="AC135" s="4">
        <v>1.013048865575007E-3</v>
      </c>
      <c r="AE135" s="5">
        <v>-1.4067868590764927</v>
      </c>
      <c r="AF135" s="5">
        <v>-1.2961710798474064</v>
      </c>
    </row>
    <row r="136" spans="23:32" x14ac:dyDescent="0.25">
      <c r="W136">
        <v>72</v>
      </c>
      <c r="X136" s="5">
        <v>75.286424249742623</v>
      </c>
      <c r="Y136" s="5">
        <v>-3.2864242497426233</v>
      </c>
      <c r="Z136" s="5">
        <v>-3.3054963203351804</v>
      </c>
      <c r="AA136" s="18">
        <v>5.7698054223292551E-3</v>
      </c>
      <c r="AB136" s="5">
        <v>-0.91660462449417812</v>
      </c>
      <c r="AC136" s="4">
        <v>2.566165761358718E-4</v>
      </c>
      <c r="AE136" s="5">
        <v>-1.4067868590764927</v>
      </c>
      <c r="AF136" s="5">
        <v>-1.2890552708090761</v>
      </c>
    </row>
    <row r="137" spans="23:32" x14ac:dyDescent="0.25">
      <c r="W137">
        <v>71.7</v>
      </c>
      <c r="X137" s="5">
        <v>78.207081872918479</v>
      </c>
      <c r="Y137" s="5">
        <v>-6.5070818729184765</v>
      </c>
      <c r="Z137" s="5">
        <v>-6.549863220572405</v>
      </c>
      <c r="AA137" s="18">
        <v>6.5316398546394197E-3</v>
      </c>
      <c r="AB137" s="5">
        <v>-1.8155622442212729</v>
      </c>
      <c r="AC137" s="4">
        <v>1.1406092113505001E-3</v>
      </c>
      <c r="AE137" s="5">
        <v>-1.3946242806491973</v>
      </c>
      <c r="AF137" s="5">
        <v>-1.2849932820614418</v>
      </c>
    </row>
    <row r="138" spans="23:32" x14ac:dyDescent="0.25">
      <c r="W138">
        <v>71.900000000000006</v>
      </c>
      <c r="X138" s="5">
        <v>72.668602005745583</v>
      </c>
      <c r="Y138" s="5">
        <v>-0.7686020057455778</v>
      </c>
      <c r="Z138" s="5">
        <v>-0.77998638118465635</v>
      </c>
      <c r="AA138" s="18">
        <v>1.459560796663378E-2</v>
      </c>
      <c r="AB138" s="5">
        <v>-0.21532584412512956</v>
      </c>
      <c r="AC138" s="4">
        <v>3.6144848778264122E-5</v>
      </c>
      <c r="AE138" s="5">
        <v>-1.3946242806491973</v>
      </c>
      <c r="AF138" s="5">
        <v>-1.2815683360498682</v>
      </c>
    </row>
    <row r="139" spans="23:32" x14ac:dyDescent="0.25">
      <c r="W139">
        <v>72</v>
      </c>
      <c r="X139" s="5">
        <v>73.962201694514192</v>
      </c>
      <c r="Y139" s="5">
        <v>-1.9622016945141922</v>
      </c>
      <c r="Z139" s="5">
        <v>-1.9830033705820398</v>
      </c>
      <c r="AA139" s="18">
        <v>1.0489985229701449E-2</v>
      </c>
      <c r="AB139" s="5">
        <v>-0.54857427925052948</v>
      </c>
      <c r="AC139" s="4">
        <v>1.6790822246838958E-4</v>
      </c>
      <c r="AE139" s="5">
        <v>-1.3946242806491973</v>
      </c>
      <c r="AF139" s="5">
        <v>-1.2792435935419131</v>
      </c>
    </row>
    <row r="140" spans="23:32" x14ac:dyDescent="0.25">
      <c r="W140">
        <v>73</v>
      </c>
      <c r="X140" s="5">
        <v>73.862674657235658</v>
      </c>
      <c r="Y140" s="5">
        <v>-0.86267465723565806</v>
      </c>
      <c r="Z140" s="5">
        <v>-0.86931241981442042</v>
      </c>
      <c r="AA140" s="18">
        <v>7.6356467795320876E-3</v>
      </c>
      <c r="AB140" s="5">
        <v>-0.24083153510978253</v>
      </c>
      <c r="AC140" s="4">
        <v>2.3488094275505238E-5</v>
      </c>
      <c r="AE140" s="5">
        <v>-1.3946242806491973</v>
      </c>
      <c r="AF140" s="5">
        <v>-1.2788279348694824</v>
      </c>
    </row>
    <row r="141" spans="23:32" x14ac:dyDescent="0.25">
      <c r="W141">
        <v>70</v>
      </c>
      <c r="X141" s="5">
        <v>73.908547294801167</v>
      </c>
      <c r="Y141" s="5">
        <v>-3.908547294801167</v>
      </c>
      <c r="Z141" s="5">
        <v>-3.9336150494513475</v>
      </c>
      <c r="AA141" s="18">
        <v>6.3727015315542751E-3</v>
      </c>
      <c r="AB141" s="5">
        <v>-1.090449369984321</v>
      </c>
      <c r="AC141" s="4">
        <v>4.0138161386844579E-4</v>
      </c>
      <c r="AE141" s="5">
        <v>-1.3946242806491973</v>
      </c>
      <c r="AF141" s="5">
        <v>-1.2781176790447006</v>
      </c>
    </row>
    <row r="142" spans="23:32" x14ac:dyDescent="0.25">
      <c r="W142">
        <v>70</v>
      </c>
      <c r="X142" s="5">
        <v>73.536540365579086</v>
      </c>
      <c r="Y142" s="5">
        <v>-3.5365403655790857</v>
      </c>
      <c r="Z142" s="5">
        <v>-3.5617476696003081</v>
      </c>
      <c r="AA142" s="18">
        <v>7.0772290346028718E-3</v>
      </c>
      <c r="AB142" s="5">
        <v>-0.98701277971383505</v>
      </c>
      <c r="AC142" s="4">
        <v>3.6545989977792892E-4</v>
      </c>
      <c r="AE142" s="5">
        <v>-1.3946242806491973</v>
      </c>
      <c r="AF142" s="5">
        <v>-1.2712007036774327</v>
      </c>
    </row>
    <row r="143" spans="23:32" x14ac:dyDescent="0.25">
      <c r="W143">
        <v>69.8</v>
      </c>
      <c r="X143" s="5">
        <v>72.497666152018994</v>
      </c>
      <c r="Y143" s="5">
        <v>-2.6976661520189964</v>
      </c>
      <c r="Z143" s="5">
        <v>-2.7576831413470018</v>
      </c>
      <c r="AA143" s="18">
        <v>2.1763555220740628E-2</v>
      </c>
      <c r="AB143" s="5">
        <v>-0.75852198911206137</v>
      </c>
      <c r="AC143" s="4">
        <v>6.737034208409322E-4</v>
      </c>
      <c r="AE143" s="5">
        <v>-1.3946242806491973</v>
      </c>
      <c r="AF143" s="5">
        <v>-1.2610131324258123</v>
      </c>
    </row>
    <row r="144" spans="23:32" x14ac:dyDescent="0.25">
      <c r="W144">
        <v>68.900000000000006</v>
      </c>
      <c r="X144" s="5">
        <v>72.504960244220172</v>
      </c>
      <c r="Y144" s="5">
        <v>-3.604960244220166</v>
      </c>
      <c r="Z144" s="5">
        <v>-3.6248696189517915</v>
      </c>
      <c r="AA144" s="18">
        <v>5.4924388528430216E-3</v>
      </c>
      <c r="AB144" s="5">
        <v>-1.0053061207364855</v>
      </c>
      <c r="AC144" s="4">
        <v>2.9376509626975235E-4</v>
      </c>
      <c r="AE144" s="5">
        <v>-1.3946242806491973</v>
      </c>
      <c r="AF144" s="5">
        <v>-1.2595636355456186</v>
      </c>
    </row>
    <row r="145" spans="23:32" x14ac:dyDescent="0.25">
      <c r="W145">
        <v>68.099999999999994</v>
      </c>
      <c r="X145" s="5">
        <v>72.053729891188112</v>
      </c>
      <c r="Y145" s="5">
        <v>-3.953729891188118</v>
      </c>
      <c r="Z145" s="5">
        <v>-3.9722438131380216</v>
      </c>
      <c r="AA145" s="18">
        <v>4.6608221501073296E-3</v>
      </c>
      <c r="AB145" s="5">
        <v>-1.1021059282175949</v>
      </c>
      <c r="AC145" s="4">
        <v>2.9935361592221127E-4</v>
      </c>
      <c r="AE145" s="5">
        <v>-1.3946242806491973</v>
      </c>
      <c r="AF145" s="5">
        <v>-1.2503801606561413</v>
      </c>
    </row>
    <row r="146" spans="23:32" x14ac:dyDescent="0.25">
      <c r="W146">
        <v>68.2</v>
      </c>
      <c r="X146" s="5">
        <v>71.680600960271306</v>
      </c>
      <c r="Y146" s="5">
        <v>-3.4806009602713033</v>
      </c>
      <c r="Z146" s="5">
        <v>-3.4994421902329691</v>
      </c>
      <c r="AA146" s="18">
        <v>5.3840666418945842E-3</v>
      </c>
      <c r="AB146" s="5">
        <v>-0.97057348200235072</v>
      </c>
      <c r="AC146" s="4">
        <v>2.683850104025961E-4</v>
      </c>
      <c r="AE146" s="5">
        <v>-1.3593210527266006</v>
      </c>
      <c r="AF146" s="5">
        <v>-1.2501163376808324</v>
      </c>
    </row>
    <row r="147" spans="23:32" x14ac:dyDescent="0.25">
      <c r="W147">
        <v>67.7</v>
      </c>
      <c r="X147" s="5">
        <v>69.859479689865026</v>
      </c>
      <c r="Y147" s="5">
        <v>-2.159479689865023</v>
      </c>
      <c r="Z147" s="5">
        <v>-2.1981296976463085</v>
      </c>
      <c r="AA147" s="18">
        <v>1.7583133435062147E-2</v>
      </c>
      <c r="AB147" s="5">
        <v>-0.60590301082771403</v>
      </c>
      <c r="AC147" s="4">
        <v>3.458223694355024E-4</v>
      </c>
      <c r="AE147" s="5">
        <v>-1.3593210527266006</v>
      </c>
      <c r="AF147" s="5">
        <v>-1.2466953125441684</v>
      </c>
    </row>
    <row r="148" spans="23:32" x14ac:dyDescent="0.25">
      <c r="W148">
        <v>67.2</v>
      </c>
      <c r="X148" s="5">
        <v>70.790551380885589</v>
      </c>
      <c r="Y148" s="5">
        <v>-3.5905513808855858</v>
      </c>
      <c r="Z148" s="5">
        <v>-3.6119938530264619</v>
      </c>
      <c r="AA148" s="18">
        <v>5.9364641838791227E-3</v>
      </c>
      <c r="AB148" s="5">
        <v>-1.0015115587512982</v>
      </c>
      <c r="AC148" s="4">
        <v>3.1526230000243058E-4</v>
      </c>
      <c r="AE148" s="5">
        <v>-1.3517022399306602</v>
      </c>
      <c r="AF148" s="5">
        <v>-1.2426710454016898</v>
      </c>
    </row>
    <row r="149" spans="23:32" x14ac:dyDescent="0.25">
      <c r="W149">
        <v>67.7</v>
      </c>
      <c r="X149" s="5">
        <v>70.662210205907684</v>
      </c>
      <c r="Y149" s="5">
        <v>-2.9622102059076809</v>
      </c>
      <c r="Z149" s="5">
        <v>-2.9758963202313993</v>
      </c>
      <c r="AA149" s="18">
        <v>4.5989889602902042E-3</v>
      </c>
      <c r="AB149" s="5">
        <v>-0.82569323601607614</v>
      </c>
      <c r="AC149" s="4">
        <v>1.6578611039447233E-4</v>
      </c>
      <c r="AE149" s="5">
        <v>-1.3517022399306602</v>
      </c>
      <c r="AF149" s="5">
        <v>-1.2331952598660307</v>
      </c>
    </row>
    <row r="150" spans="23:32" x14ac:dyDescent="0.25">
      <c r="W150">
        <v>68</v>
      </c>
      <c r="X150" s="5">
        <v>70.853028311410043</v>
      </c>
      <c r="Y150" s="5">
        <v>-2.8530283114100428</v>
      </c>
      <c r="Z150" s="5">
        <v>-2.9043059671338369</v>
      </c>
      <c r="AA150" s="18">
        <v>1.7655734727703199E-2</v>
      </c>
      <c r="AB150" s="5">
        <v>-0.80052724276458664</v>
      </c>
      <c r="AC150" s="4">
        <v>6.0620667193619069E-4</v>
      </c>
      <c r="AE150" s="5">
        <v>-1.3441610904494867</v>
      </c>
      <c r="AF150" s="5">
        <v>-1.2293580353521656</v>
      </c>
    </row>
    <row r="151" spans="23:32" x14ac:dyDescent="0.25">
      <c r="W151">
        <v>89</v>
      </c>
      <c r="X151" s="5">
        <v>81.464204337212934</v>
      </c>
      <c r="Y151" s="5">
        <v>7.5357956627870664</v>
      </c>
      <c r="Z151" s="5">
        <v>7.6468679126245718</v>
      </c>
      <c r="AA151" s="18">
        <v>1.4525195296511615E-2</v>
      </c>
      <c r="AB151" s="5">
        <v>2.1110972641812791</v>
      </c>
      <c r="AC151" s="4">
        <v>3.4573181010785093E-3</v>
      </c>
      <c r="AE151" s="5">
        <v>-1.3404190152831756</v>
      </c>
      <c r="AF151" s="5">
        <v>-1.2274818560979668</v>
      </c>
    </row>
    <row r="152" spans="23:32" x14ac:dyDescent="0.25">
      <c r="W152">
        <v>87</v>
      </c>
      <c r="X152" s="5">
        <v>78.433261007092568</v>
      </c>
      <c r="Y152" s="5">
        <v>8.5667389929074318</v>
      </c>
      <c r="Z152" s="5">
        <v>8.6340169208715167</v>
      </c>
      <c r="AA152" s="18">
        <v>7.7921932028480112E-3</v>
      </c>
      <c r="AB152" s="5">
        <v>2.391751786979365</v>
      </c>
      <c r="AC152" s="4">
        <v>2.3644802215282011E-3</v>
      </c>
      <c r="AE152" s="5">
        <v>-1.3366956165977166</v>
      </c>
      <c r="AF152" s="5">
        <v>-1.2263525353885127</v>
      </c>
    </row>
    <row r="153" spans="23:32" x14ac:dyDescent="0.25">
      <c r="W153">
        <v>83</v>
      </c>
      <c r="X153" s="5">
        <v>78.358670494532007</v>
      </c>
      <c r="Y153" s="5">
        <v>4.6413295054679935</v>
      </c>
      <c r="Z153" s="5">
        <v>4.674006552421119</v>
      </c>
      <c r="AA153" s="18">
        <v>6.991228314859866E-3</v>
      </c>
      <c r="AB153" s="5">
        <v>1.2952922023197804</v>
      </c>
      <c r="AC153" s="4">
        <v>6.2170205316938937E-4</v>
      </c>
      <c r="AE153" s="5">
        <v>-1.3329906577816031</v>
      </c>
      <c r="AF153" s="5">
        <v>-1.2256618048485042</v>
      </c>
    </row>
    <row r="154" spans="23:32" x14ac:dyDescent="0.25">
      <c r="W154">
        <v>83</v>
      </c>
      <c r="X154" s="5">
        <v>79.42102412326858</v>
      </c>
      <c r="Y154" s="5">
        <v>3.5789758767314197</v>
      </c>
      <c r="Z154" s="5">
        <v>3.606554872906969</v>
      </c>
      <c r="AA154" s="18">
        <v>7.6469087945176019E-3</v>
      </c>
      <c r="AB154" s="5">
        <v>0.99914276860580131</v>
      </c>
      <c r="AC154" s="4">
        <v>4.0487520551928851E-4</v>
      </c>
      <c r="AE154" s="5">
        <v>-1.3329906577816031</v>
      </c>
      <c r="AF154" s="5">
        <v>-1.2248963838681881</v>
      </c>
    </row>
    <row r="155" spans="23:32" x14ac:dyDescent="0.25">
      <c r="W155">
        <v>80</v>
      </c>
      <c r="X155" s="5">
        <v>77.895657026659151</v>
      </c>
      <c r="Y155" s="5">
        <v>2.1043429733408487</v>
      </c>
      <c r="Z155" s="5">
        <v>2.1200102690921767</v>
      </c>
      <c r="AA155" s="18">
        <v>7.39019804750333E-3</v>
      </c>
      <c r="AB155" s="5">
        <v>0.58739349966625676</v>
      </c>
      <c r="AC155" s="4">
        <v>1.3520171136277158E-4</v>
      </c>
      <c r="AE155" s="5">
        <v>-1.3329906577816031</v>
      </c>
      <c r="AF155" s="5">
        <v>-1.219509916180219</v>
      </c>
    </row>
    <row r="156" spans="23:32" x14ac:dyDescent="0.25">
      <c r="W156">
        <v>79.8</v>
      </c>
      <c r="X156" s="5">
        <v>77.740523790259402</v>
      </c>
      <c r="Y156" s="5">
        <v>2.0594762097405948</v>
      </c>
      <c r="Z156" s="5">
        <v>2.0738673656237268</v>
      </c>
      <c r="AA156" s="18">
        <v>6.9392846050220953E-3</v>
      </c>
      <c r="AB156" s="5">
        <v>0.574739135418049</v>
      </c>
      <c r="AC156" s="4">
        <v>1.2148616916349838E-4</v>
      </c>
      <c r="AE156" s="5">
        <v>-1.3219841213691266</v>
      </c>
      <c r="AF156" s="5">
        <v>-1.2160595526956997</v>
      </c>
    </row>
    <row r="157" spans="23:32" x14ac:dyDescent="0.25">
      <c r="W157">
        <v>79.5</v>
      </c>
      <c r="X157" s="5">
        <v>81.402090688711596</v>
      </c>
      <c r="Y157" s="5">
        <v>-1.9020906887115956</v>
      </c>
      <c r="Z157" s="5">
        <v>-1.9221580269337153</v>
      </c>
      <c r="AA157" s="18">
        <v>1.0440004380979527E-2</v>
      </c>
      <c r="AB157" s="5">
        <v>-0.53175556832364079</v>
      </c>
      <c r="AC157" s="4">
        <v>1.5701062510714824E-4</v>
      </c>
      <c r="AE157" s="5">
        <v>-1.3219841213691266</v>
      </c>
      <c r="AF157" s="5">
        <v>-1.2082827957094511</v>
      </c>
    </row>
    <row r="158" spans="23:32" x14ac:dyDescent="0.25">
      <c r="W158">
        <v>79.5</v>
      </c>
      <c r="X158" s="5">
        <v>76.477144739172871</v>
      </c>
      <c r="Y158" s="5">
        <v>3.0228552608271286</v>
      </c>
      <c r="Z158" s="5">
        <v>3.0547933768449411</v>
      </c>
      <c r="AA158" s="18">
        <v>1.0455082252009333E-2</v>
      </c>
      <c r="AB158" s="5">
        <v>0.8450871312007715</v>
      </c>
      <c r="AC158" s="4">
        <v>3.971378836231937E-4</v>
      </c>
      <c r="AE158" s="5">
        <v>-1.3147344895569</v>
      </c>
      <c r="AF158" s="5">
        <v>-1.2054373862452621</v>
      </c>
    </row>
    <row r="159" spans="23:32" x14ac:dyDescent="0.25">
      <c r="W159">
        <v>79.400000000000006</v>
      </c>
      <c r="X159" s="5">
        <v>78.631793296255267</v>
      </c>
      <c r="Y159" s="5">
        <v>0.76820670374473821</v>
      </c>
      <c r="Z159" s="5">
        <v>0.77808283483639684</v>
      </c>
      <c r="AA159" s="18">
        <v>1.2692904469145996E-2</v>
      </c>
      <c r="AB159" s="5">
        <v>0.21500762175232299</v>
      </c>
      <c r="AC159" s="4">
        <v>3.1279720448660199E-5</v>
      </c>
      <c r="AE159" s="5">
        <v>-1.3147344895569</v>
      </c>
      <c r="AF159" s="5">
        <v>-1.2033433036456751</v>
      </c>
    </row>
    <row r="160" spans="23:32" x14ac:dyDescent="0.25">
      <c r="W160">
        <v>78.900000000000006</v>
      </c>
      <c r="X160" s="5">
        <v>78.292744840117621</v>
      </c>
      <c r="Y160" s="5">
        <v>0.60725515988238499</v>
      </c>
      <c r="Z160" s="5">
        <v>0.61503624039757199</v>
      </c>
      <c r="AA160" s="18">
        <v>1.2651417923195069E-2</v>
      </c>
      <c r="AB160" s="5">
        <v>0.16995652865270386</v>
      </c>
      <c r="AC160" s="4">
        <v>1.948008280913709E-5</v>
      </c>
      <c r="AE160" s="5">
        <v>-1.3147344895569</v>
      </c>
      <c r="AF160" s="5">
        <v>-1.2032317077583261</v>
      </c>
    </row>
    <row r="161" spans="23:32" x14ac:dyDescent="0.25">
      <c r="W161">
        <v>78.8</v>
      </c>
      <c r="X161" s="5">
        <v>83.127490250224241</v>
      </c>
      <c r="Y161" s="5">
        <v>-4.3274902502242441</v>
      </c>
      <c r="Z161" s="5">
        <v>-4.3621169189609361</v>
      </c>
      <c r="AA161" s="18">
        <v>7.9380423266910641E-3</v>
      </c>
      <c r="AB161" s="5">
        <v>-1.2082827957094511</v>
      </c>
      <c r="AC161" s="4">
        <v>6.1483445437034514E-4</v>
      </c>
      <c r="AE161" s="5">
        <v>-1.3039878652542525</v>
      </c>
      <c r="AF161" s="5">
        <v>-1.1950056055031117</v>
      </c>
    </row>
    <row r="162" spans="23:32" x14ac:dyDescent="0.25">
      <c r="W162">
        <v>78.3</v>
      </c>
      <c r="X162" s="5">
        <v>80.600010886344776</v>
      </c>
      <c r="Y162" s="5">
        <v>-2.3000108863447792</v>
      </c>
      <c r="Z162" s="5">
        <v>-2.3173139350623444</v>
      </c>
      <c r="AA162" s="18">
        <v>7.4668556796557957E-3</v>
      </c>
      <c r="AB162" s="5">
        <v>-0.6420358430830988</v>
      </c>
      <c r="AC162" s="4">
        <v>1.6321410444952776E-4</v>
      </c>
      <c r="AE162" s="5">
        <v>-1.3039878652542525</v>
      </c>
      <c r="AF162" s="5">
        <v>-1.1940941903135569</v>
      </c>
    </row>
    <row r="163" spans="23:32" x14ac:dyDescent="0.25">
      <c r="W163">
        <v>78</v>
      </c>
      <c r="X163" s="5">
        <v>80.928499012667501</v>
      </c>
      <c r="Y163" s="5">
        <v>-2.9284990126675012</v>
      </c>
      <c r="Z163" s="5">
        <v>-2.9798292584619475</v>
      </c>
      <c r="AA163" s="18">
        <v>1.7225901668251331E-2</v>
      </c>
      <c r="AB163" s="5">
        <v>-0.82152374909944137</v>
      </c>
      <c r="AC163" s="4">
        <v>6.2260830087172269E-4</v>
      </c>
      <c r="AE163" s="5">
        <v>-1.2969062889401866</v>
      </c>
      <c r="AF163" s="5">
        <v>-1.1875320952616182</v>
      </c>
    </row>
    <row r="164" spans="23:32" x14ac:dyDescent="0.25">
      <c r="W164">
        <v>78</v>
      </c>
      <c r="X164" s="5">
        <v>83.297166091666483</v>
      </c>
      <c r="Y164" s="5">
        <v>-5.2971660916664831</v>
      </c>
      <c r="Z164" s="5">
        <v>-5.3765094790327481</v>
      </c>
      <c r="AA164" s="18">
        <v>1.4757416066257682E-2</v>
      </c>
      <c r="AB164" s="5">
        <v>-1.4841366669898415</v>
      </c>
      <c r="AC164" s="4">
        <v>1.7364462154727282E-3</v>
      </c>
      <c r="AE164" s="5">
        <v>-1.2969062889401866</v>
      </c>
      <c r="AF164" s="5">
        <v>-1.1858223013071747</v>
      </c>
    </row>
    <row r="165" spans="23:32" x14ac:dyDescent="0.25">
      <c r="W165">
        <v>77.599999999999994</v>
      </c>
      <c r="X165" s="5">
        <v>81.585380533455549</v>
      </c>
      <c r="Y165" s="5">
        <v>-3.9853805334555545</v>
      </c>
      <c r="Z165" s="5">
        <v>-4.0508520048112331</v>
      </c>
      <c r="AA165" s="18">
        <v>1.6162395288180285E-2</v>
      </c>
      <c r="AB165" s="5">
        <v>-1.1174033724121335</v>
      </c>
      <c r="AC165" s="4">
        <v>1.0795646628140934E-3</v>
      </c>
      <c r="AE165" s="5">
        <v>-1.2898891601746336</v>
      </c>
      <c r="AF165" s="5">
        <v>-1.1761641179220628</v>
      </c>
    </row>
    <row r="166" spans="23:32" x14ac:dyDescent="0.25">
      <c r="W166">
        <v>70</v>
      </c>
      <c r="X166" s="5">
        <v>70.345704648992168</v>
      </c>
      <c r="Y166" s="5">
        <v>-0.34570464899216802</v>
      </c>
      <c r="Z166" s="5">
        <v>-0.34751367668019384</v>
      </c>
      <c r="AA166" s="18">
        <v>5.2056301936380051E-3</v>
      </c>
      <c r="AB166" s="5">
        <v>-9.6391880367691349E-2</v>
      </c>
      <c r="AC166" s="4">
        <v>2.5589823936465224E-6</v>
      </c>
      <c r="AE166" s="5">
        <v>-1.2898891601746336</v>
      </c>
      <c r="AF166" s="5">
        <v>-1.1735843902424459</v>
      </c>
    </row>
    <row r="167" spans="23:32" x14ac:dyDescent="0.25">
      <c r="W167">
        <v>69.8</v>
      </c>
      <c r="X167" s="5">
        <v>74.592637259796277</v>
      </c>
      <c r="Y167" s="5">
        <v>-4.7926372597962796</v>
      </c>
      <c r="Z167" s="5">
        <v>-4.803708003413675</v>
      </c>
      <c r="AA167" s="18">
        <v>2.3046245961508768E-3</v>
      </c>
      <c r="AB167" s="5">
        <v>-1.3343736950896321</v>
      </c>
      <c r="AC167" s="4">
        <v>2.1647292055500977E-4</v>
      </c>
      <c r="AE167" s="5">
        <v>-1.2898891601746336</v>
      </c>
      <c r="AF167" s="5">
        <v>-1.1729838324282309</v>
      </c>
    </row>
    <row r="168" spans="23:32" x14ac:dyDescent="0.25">
      <c r="W168">
        <v>69.400000000000006</v>
      </c>
      <c r="X168" s="5">
        <v>71.330094673221339</v>
      </c>
      <c r="Y168" s="5">
        <v>-1.9300946732213333</v>
      </c>
      <c r="Z168" s="5">
        <v>-1.9335097918543909</v>
      </c>
      <c r="AA168" s="18">
        <v>1.7662794610340208E-3</v>
      </c>
      <c r="AB168" s="5">
        <v>-0.53723510791721762</v>
      </c>
      <c r="AC168" s="4">
        <v>2.6878334414324495E-5</v>
      </c>
      <c r="AE168" s="5">
        <v>-1.2898891601746336</v>
      </c>
      <c r="AF168" s="5">
        <v>-1.1718077449906563</v>
      </c>
    </row>
    <row r="169" spans="23:32" x14ac:dyDescent="0.25">
      <c r="W169">
        <v>69.400000000000006</v>
      </c>
      <c r="X169" s="5">
        <v>71.010891897806616</v>
      </c>
      <c r="Y169" s="5">
        <v>-1.61089189780661</v>
      </c>
      <c r="Z169" s="5">
        <v>-1.6134488859349574</v>
      </c>
      <c r="AA169" s="18">
        <v>1.5847964882157715E-3</v>
      </c>
      <c r="AB169" s="5">
        <v>-0.44834537711872874</v>
      </c>
      <c r="AC169" s="4">
        <v>1.6793224959967284E-5</v>
      </c>
      <c r="AE169" s="5">
        <v>-1.2760422901524544</v>
      </c>
      <c r="AF169" s="5">
        <v>-1.1687110598212613</v>
      </c>
    </row>
    <row r="170" spans="23:32" x14ac:dyDescent="0.25">
      <c r="W170">
        <v>69.5</v>
      </c>
      <c r="X170" s="5">
        <v>71.16297214969849</v>
      </c>
      <c r="Y170" s="5">
        <v>-1.6629721496984899</v>
      </c>
      <c r="Z170" s="5">
        <v>-1.6656689788127323</v>
      </c>
      <c r="AA170" s="18">
        <v>1.619066662431216E-3</v>
      </c>
      <c r="AB170" s="5">
        <v>-0.46284835928286333</v>
      </c>
      <c r="AC170" s="4">
        <v>1.8284888156789656E-5</v>
      </c>
      <c r="AE170" s="5">
        <v>-1.2726185683477402</v>
      </c>
      <c r="AF170" s="5">
        <v>-1.1615352038161288</v>
      </c>
    </row>
    <row r="171" spans="23:32" x14ac:dyDescent="0.25">
      <c r="W171">
        <v>69.5</v>
      </c>
      <c r="X171" s="5">
        <v>71.400385599879343</v>
      </c>
      <c r="Y171" s="5">
        <v>-1.9003855998793426</v>
      </c>
      <c r="Z171" s="5">
        <v>-1.9033430091654964</v>
      </c>
      <c r="AA171" s="18">
        <v>1.5537973302279628E-3</v>
      </c>
      <c r="AB171" s="5">
        <v>-0.52890940283609644</v>
      </c>
      <c r="AC171" s="4">
        <v>2.2912827003722783E-5</v>
      </c>
      <c r="AE171" s="5">
        <v>-1.2726185683477402</v>
      </c>
      <c r="AF171" s="5">
        <v>-1.149699847646598</v>
      </c>
    </row>
    <row r="172" spans="23:32" x14ac:dyDescent="0.25">
      <c r="W172">
        <v>69.599999999999994</v>
      </c>
      <c r="X172" s="5">
        <v>71.28509671563009</v>
      </c>
      <c r="Y172" s="5">
        <v>-1.6850967156300953</v>
      </c>
      <c r="Z172" s="5">
        <v>-1.6881087558726762</v>
      </c>
      <c r="AA172" s="18">
        <v>1.7842690715872377E-3</v>
      </c>
      <c r="AB172" s="5">
        <v>-0.46904500897628698</v>
      </c>
      <c r="AC172" s="4">
        <v>2.0697189454518315E-5</v>
      </c>
      <c r="AE172" s="5">
        <v>-1.2726185683477402</v>
      </c>
      <c r="AF172" s="5">
        <v>-1.1479687737765354</v>
      </c>
    </row>
    <row r="173" spans="23:32" x14ac:dyDescent="0.25">
      <c r="W173">
        <v>69.599999999999994</v>
      </c>
      <c r="X173" s="5">
        <v>71.056901886686816</v>
      </c>
      <c r="Y173" s="5">
        <v>-1.456901886686822</v>
      </c>
      <c r="Z173" s="5">
        <v>-1.4600099838471579</v>
      </c>
      <c r="AA173" s="18">
        <v>2.1288191140669526E-3</v>
      </c>
      <c r="AB173" s="5">
        <v>-0.40559720858899212</v>
      </c>
      <c r="AC173" s="4">
        <v>1.8471433244548269E-5</v>
      </c>
      <c r="AE173" s="5">
        <v>-1.2726185683477402</v>
      </c>
      <c r="AF173" s="5">
        <v>-1.1443162773914202</v>
      </c>
    </row>
    <row r="174" spans="23:32" x14ac:dyDescent="0.25">
      <c r="W174">
        <v>69.400000000000006</v>
      </c>
      <c r="X174" s="5">
        <v>70.623641556897681</v>
      </c>
      <c r="Y174" s="5">
        <v>-1.2236415568976753</v>
      </c>
      <c r="Z174" s="5">
        <v>-1.2260032906073093</v>
      </c>
      <c r="AA174" s="18">
        <v>1.9263681653427186E-3</v>
      </c>
      <c r="AB174" s="5">
        <v>-0.34062366590244603</v>
      </c>
      <c r="AC174" s="4">
        <v>1.1786171246530552E-5</v>
      </c>
      <c r="AE174" s="5">
        <v>-1.2726185683477402</v>
      </c>
      <c r="AF174" s="5">
        <v>-1.1442727127963219</v>
      </c>
    </row>
    <row r="175" spans="23:32" x14ac:dyDescent="0.25">
      <c r="W175">
        <v>69</v>
      </c>
      <c r="X175" s="5">
        <v>70.837683456495199</v>
      </c>
      <c r="Y175" s="5">
        <v>-1.8376834564951992</v>
      </c>
      <c r="Z175" s="5">
        <v>-1.8407342233488464</v>
      </c>
      <c r="AA175" s="18">
        <v>1.6573641185935982E-3</v>
      </c>
      <c r="AB175" s="5">
        <v>-0.51148486585706554</v>
      </c>
      <c r="AC175" s="4">
        <v>2.2858634770910684E-5</v>
      </c>
      <c r="AE175" s="5">
        <v>-1.2726185683477402</v>
      </c>
      <c r="AF175" s="5">
        <v>-1.1410833054711571</v>
      </c>
    </row>
    <row r="176" spans="23:32" x14ac:dyDescent="0.25">
      <c r="W176">
        <v>68.7</v>
      </c>
      <c r="X176" s="5">
        <v>70.411647829799605</v>
      </c>
      <c r="Y176" s="5">
        <v>-1.7116478297996025</v>
      </c>
      <c r="Z176" s="5">
        <v>-1.7147338504665868</v>
      </c>
      <c r="AA176" s="18">
        <v>1.7997082556811194E-3</v>
      </c>
      <c r="AB176" s="5">
        <v>-0.47643916992541907</v>
      </c>
      <c r="AC176" s="4">
        <v>2.154000174308135E-5</v>
      </c>
      <c r="AE176" s="5">
        <v>-1.2523823790942721</v>
      </c>
      <c r="AF176" s="5">
        <v>-1.1335874437125468</v>
      </c>
    </row>
    <row r="177" spans="23:32" x14ac:dyDescent="0.25">
      <c r="W177">
        <v>68.400000000000006</v>
      </c>
      <c r="X177" s="5">
        <v>72.728259432021474</v>
      </c>
      <c r="Y177" s="5">
        <v>-4.3282594320214685</v>
      </c>
      <c r="Z177" s="5">
        <v>-4.3408246840460691</v>
      </c>
      <c r="AA177" s="18">
        <v>2.8946693172812489E-3</v>
      </c>
      <c r="AB177" s="5">
        <v>-1.2054373862452621</v>
      </c>
      <c r="AC177" s="4">
        <v>2.2202078425651056E-4</v>
      </c>
      <c r="AE177" s="5">
        <v>-1.2523823790942721</v>
      </c>
      <c r="AF177" s="5">
        <v>-1.1313698160387984</v>
      </c>
    </row>
    <row r="178" spans="23:32" x14ac:dyDescent="0.25">
      <c r="W178">
        <v>68.5</v>
      </c>
      <c r="X178" s="5">
        <v>69.874743825314042</v>
      </c>
      <c r="Y178" s="5">
        <v>-1.3747438253140416</v>
      </c>
      <c r="Z178" s="5">
        <v>-1.377254471736066</v>
      </c>
      <c r="AA178" s="18">
        <v>1.8229357562835539E-3</v>
      </c>
      <c r="AB178" s="5">
        <v>-0.38266599953113684</v>
      </c>
      <c r="AC178" s="4">
        <v>1.4075049420498713E-5</v>
      </c>
      <c r="AE178" s="5">
        <v>-1.2523823790942721</v>
      </c>
      <c r="AF178" s="5">
        <v>-1.1174033724121335</v>
      </c>
    </row>
    <row r="179" spans="23:32" x14ac:dyDescent="0.25">
      <c r="W179">
        <v>68.2</v>
      </c>
      <c r="X179" s="5">
        <v>72.764532768930181</v>
      </c>
      <c r="Y179" s="5">
        <v>-4.564532768930178</v>
      </c>
      <c r="Z179" s="5">
        <v>-4.577497717557236</v>
      </c>
      <c r="AA179" s="18">
        <v>2.8323222483159468E-3</v>
      </c>
      <c r="AB179" s="5">
        <v>-1.2712007036774327</v>
      </c>
      <c r="AC179" s="4">
        <v>2.4157340415746856E-4</v>
      </c>
      <c r="AE179" s="5">
        <v>-1.2523823790942721</v>
      </c>
      <c r="AF179" s="5">
        <v>-1.1158751475839455</v>
      </c>
    </row>
    <row r="180" spans="23:32" x14ac:dyDescent="0.25">
      <c r="W180">
        <v>68.3</v>
      </c>
      <c r="X180" s="5">
        <v>68.401674614566389</v>
      </c>
      <c r="Y180" s="5">
        <v>-0.1016746145663916</v>
      </c>
      <c r="Z180" s="5">
        <v>-0.10218535752473201</v>
      </c>
      <c r="AA180" s="18">
        <v>4.9982010212826136E-3</v>
      </c>
      <c r="AB180" s="5">
        <v>-2.8346699088615521E-2</v>
      </c>
      <c r="AC180" s="4">
        <v>2.1244241955579089E-7</v>
      </c>
      <c r="AE180" s="5">
        <v>-1.2523823790942721</v>
      </c>
      <c r="AF180" s="5">
        <v>-1.1114299487909058</v>
      </c>
    </row>
    <row r="181" spans="23:32" x14ac:dyDescent="0.25">
      <c r="W181">
        <v>59.7</v>
      </c>
      <c r="X181" s="5">
        <v>64.303044134504518</v>
      </c>
      <c r="Y181" s="5">
        <v>-4.6030441345045148</v>
      </c>
      <c r="Z181" s="5">
        <v>-4.6135434469454282</v>
      </c>
      <c r="AA181" s="18">
        <v>2.2757588742055176E-3</v>
      </c>
      <c r="AB181" s="5">
        <v>-1.2815683360498682</v>
      </c>
      <c r="AC181" s="4">
        <v>1.9717218862755942E-4</v>
      </c>
      <c r="AE181" s="5">
        <v>-1.2359023985485402</v>
      </c>
      <c r="AF181" s="5">
        <v>-1.1111581997664921</v>
      </c>
    </row>
    <row r="182" spans="23:32" x14ac:dyDescent="0.25">
      <c r="W182">
        <v>59.5</v>
      </c>
      <c r="X182" s="5">
        <v>63.789243127499653</v>
      </c>
      <c r="Y182" s="5">
        <v>-4.2892431274996525</v>
      </c>
      <c r="Z182" s="5">
        <v>-4.2982604040953518</v>
      </c>
      <c r="AA182" s="18">
        <v>2.0978897851576142E-3</v>
      </c>
      <c r="AB182" s="5">
        <v>-1.1940941903135569</v>
      </c>
      <c r="AC182" s="4">
        <v>1.5776777368010968E-4</v>
      </c>
      <c r="AE182" s="5">
        <v>-1.2359023985485402</v>
      </c>
      <c r="AF182" s="5">
        <v>-1.1109795725175484</v>
      </c>
    </row>
    <row r="183" spans="23:32" x14ac:dyDescent="0.25">
      <c r="W183">
        <v>59.3</v>
      </c>
      <c r="X183" s="5">
        <v>62.251081998068031</v>
      </c>
      <c r="Y183" s="5">
        <v>-2.9510819980680338</v>
      </c>
      <c r="Z183" s="5">
        <v>-2.9852051520569844</v>
      </c>
      <c r="AA183" s="18">
        <v>1.1430756765723528E-2</v>
      </c>
      <c r="AB183" s="5">
        <v>-0.82542880702061616</v>
      </c>
      <c r="AC183" s="4">
        <v>4.14642229573537E-4</v>
      </c>
      <c r="AE183" s="5">
        <v>-1.2294035019788656</v>
      </c>
      <c r="AF183" s="5">
        <v>-1.1090749227915548</v>
      </c>
    </row>
    <row r="184" spans="23:32" x14ac:dyDescent="0.25">
      <c r="W184">
        <v>59.1</v>
      </c>
      <c r="X184" s="5">
        <v>63.093273622293744</v>
      </c>
      <c r="Y184" s="5">
        <v>-3.9932736222937422</v>
      </c>
      <c r="Z184" s="5">
        <v>-3.9997360963229411</v>
      </c>
      <c r="AA184" s="18">
        <v>1.6157251062488599E-3</v>
      </c>
      <c r="AB184" s="5">
        <v>-1.1114299487909058</v>
      </c>
      <c r="AC184" s="4">
        <v>1.0521564716315266E-4</v>
      </c>
      <c r="AE184" s="5">
        <v>-1.2294035019788656</v>
      </c>
      <c r="AF184" s="5">
        <v>-1.1025230196463305</v>
      </c>
    </row>
    <row r="185" spans="23:32" x14ac:dyDescent="0.25">
      <c r="W185">
        <v>58.7</v>
      </c>
      <c r="X185" s="5">
        <v>62.692150681843799</v>
      </c>
      <c r="Y185" s="5">
        <v>-3.9921506818437962</v>
      </c>
      <c r="Z185" s="5">
        <v>-3.9989049568282766</v>
      </c>
      <c r="AA185" s="18">
        <v>1.6890311366235271E-3</v>
      </c>
      <c r="AB185" s="5">
        <v>-1.1111581997664921</v>
      </c>
      <c r="AC185" s="4">
        <v>1.0994361249447858E-4</v>
      </c>
      <c r="AE185" s="5">
        <v>-1.2294035019788656</v>
      </c>
      <c r="AF185" s="5">
        <v>-1.1021059282175949</v>
      </c>
    </row>
    <row r="186" spans="23:32" x14ac:dyDescent="0.25">
      <c r="W186">
        <v>58.4</v>
      </c>
      <c r="X186" s="5">
        <v>61.731165192065411</v>
      </c>
      <c r="Y186" s="5">
        <v>-3.3311651920654128</v>
      </c>
      <c r="Z186" s="5">
        <v>-3.3703883749492789</v>
      </c>
      <c r="AA186" s="18">
        <v>1.1637585500649909E-2</v>
      </c>
      <c r="AB186" s="5">
        <v>-0.93183699999354763</v>
      </c>
      <c r="AC186" s="4">
        <v>5.3811235517907678E-4</v>
      </c>
      <c r="AE186" s="5">
        <v>-1.2197514087080794</v>
      </c>
      <c r="AF186" s="5">
        <v>-1.0989148622377753</v>
      </c>
    </row>
    <row r="187" spans="23:32" x14ac:dyDescent="0.25">
      <c r="W187">
        <v>57.6</v>
      </c>
      <c r="X187" s="5">
        <v>61.522571065252897</v>
      </c>
      <c r="Y187" s="5">
        <v>-3.922571065252896</v>
      </c>
      <c r="Z187" s="5">
        <v>-3.9305278133790367</v>
      </c>
      <c r="AA187" s="18">
        <v>2.0243459667312982E-3</v>
      </c>
      <c r="AB187" s="5">
        <v>-1.0919751088186307</v>
      </c>
      <c r="AC187" s="4">
        <v>1.2730242214179429E-4</v>
      </c>
      <c r="AE187" s="5">
        <v>-1.2197514087080794</v>
      </c>
      <c r="AF187" s="5">
        <v>-1.097258575690133</v>
      </c>
    </row>
    <row r="188" spans="23:32" x14ac:dyDescent="0.25">
      <c r="W188">
        <v>57.1</v>
      </c>
      <c r="X188" s="5">
        <v>61.229665984709825</v>
      </c>
      <c r="Y188" s="5">
        <v>-4.129665984709824</v>
      </c>
      <c r="Z188" s="5">
        <v>-4.1385693547592552</v>
      </c>
      <c r="AA188" s="18">
        <v>2.1513158983773781E-3</v>
      </c>
      <c r="AB188" s="5">
        <v>-1.149699847646598</v>
      </c>
      <c r="AC188" s="4">
        <v>1.4998742336004477E-4</v>
      </c>
      <c r="AE188" s="5">
        <v>-1.2197514087080794</v>
      </c>
      <c r="AF188" s="5">
        <v>-1.0919751088186307</v>
      </c>
    </row>
    <row r="189" spans="23:32" x14ac:dyDescent="0.25">
      <c r="W189">
        <v>56.8</v>
      </c>
      <c r="X189" s="5">
        <v>60.898788052468696</v>
      </c>
      <c r="Y189" s="5">
        <v>-4.0987880524686986</v>
      </c>
      <c r="Z189" s="5">
        <v>-4.1074800036883445</v>
      </c>
      <c r="AA189" s="18">
        <v>2.1161274581589454E-3</v>
      </c>
      <c r="AB189" s="5">
        <v>-1.1410833054711571</v>
      </c>
      <c r="AC189" s="4">
        <v>1.4532586639306362E-4</v>
      </c>
      <c r="AE189" s="5">
        <v>-1.210211632562187</v>
      </c>
      <c r="AF189" s="5">
        <v>-1.090449369984321</v>
      </c>
    </row>
    <row r="190" spans="23:32" x14ac:dyDescent="0.25">
      <c r="W190">
        <v>56.5</v>
      </c>
      <c r="X190" s="5">
        <v>59.345618860754222</v>
      </c>
      <c r="Y190" s="5">
        <v>-2.8456188607542217</v>
      </c>
      <c r="Z190" s="5">
        <v>-2.8878041596199964</v>
      </c>
      <c r="AA190" s="18">
        <v>1.4608088545494386E-2</v>
      </c>
      <c r="AB190" s="5">
        <v>-0.79721254822036725</v>
      </c>
      <c r="AC190" s="4">
        <v>4.9588280649594458E-4</v>
      </c>
      <c r="AE190" s="5">
        <v>-1.207056068729359</v>
      </c>
      <c r="AF190" s="5">
        <v>-1.0872093199552832</v>
      </c>
    </row>
    <row r="191" spans="23:32" x14ac:dyDescent="0.25">
      <c r="W191">
        <v>56.1</v>
      </c>
      <c r="X191" s="5">
        <v>59.462652916617678</v>
      </c>
      <c r="Y191" s="5">
        <v>-3.3626529166176766</v>
      </c>
      <c r="Z191" s="5">
        <v>-3.3741801548852379</v>
      </c>
      <c r="AA191" s="18">
        <v>3.4163078847083E-3</v>
      </c>
      <c r="AB191" s="5">
        <v>-0.93675721481910768</v>
      </c>
      <c r="AC191" s="4">
        <v>1.5832289389769292E-4</v>
      </c>
      <c r="AE191" s="5">
        <v>-1.207056068729359</v>
      </c>
      <c r="AF191" s="5">
        <v>-1.0819343961395391</v>
      </c>
    </row>
    <row r="192" spans="23:32" x14ac:dyDescent="0.25">
      <c r="W192">
        <v>55.8</v>
      </c>
      <c r="X192" s="5">
        <v>59.57607228614841</v>
      </c>
      <c r="Y192" s="5">
        <v>-3.7760722861484126</v>
      </c>
      <c r="Z192" s="5">
        <v>-3.786568246900103</v>
      </c>
      <c r="AA192" s="18">
        <v>2.7718926656824031E-3</v>
      </c>
      <c r="AB192" s="5">
        <v>-1.0515863396174674</v>
      </c>
      <c r="AC192" s="4">
        <v>1.6177751843925156E-4</v>
      </c>
      <c r="AE192" s="5">
        <v>-1.207056068729359</v>
      </c>
      <c r="AF192" s="5">
        <v>-1.0817969157722156</v>
      </c>
    </row>
    <row r="193" spans="23:32" x14ac:dyDescent="0.25">
      <c r="W193">
        <v>55.6</v>
      </c>
      <c r="X193" s="5">
        <v>59.47376665244861</v>
      </c>
      <c r="Y193" s="5">
        <v>-3.8737666524486087</v>
      </c>
      <c r="Z193" s="5">
        <v>-3.9071907661453338</v>
      </c>
      <c r="AA193" s="18">
        <v>8.5545128705601815E-3</v>
      </c>
      <c r="AB193" s="5">
        <v>-1.0819343961395391</v>
      </c>
      <c r="AC193" s="4">
        <v>5.315874244254744E-4</v>
      </c>
      <c r="AE193" s="5">
        <v>-1.207056068729359</v>
      </c>
      <c r="AF193" s="5">
        <v>-1.0807781043682108</v>
      </c>
    </row>
    <row r="194" spans="23:32" x14ac:dyDescent="0.25">
      <c r="W194">
        <v>69.400000000000006</v>
      </c>
      <c r="X194" s="5">
        <v>68.040353052262205</v>
      </c>
      <c r="Y194" s="5">
        <v>1.3596469477378008</v>
      </c>
      <c r="Z194" s="5">
        <v>1.3721092729870747</v>
      </c>
      <c r="AA194" s="18">
        <v>9.0826040568546661E-3</v>
      </c>
      <c r="AB194" s="5">
        <v>0.37984753945162381</v>
      </c>
      <c r="AC194" s="4">
        <v>6.9604603445392254E-5</v>
      </c>
      <c r="AE194" s="5">
        <v>-1.207056068729359</v>
      </c>
      <c r="AF194" s="5">
        <v>-1.0746950664337371</v>
      </c>
    </row>
    <row r="195" spans="23:32" x14ac:dyDescent="0.25">
      <c r="W195">
        <v>69.099999999999994</v>
      </c>
      <c r="X195" s="5">
        <v>67.809722283227856</v>
      </c>
      <c r="Y195" s="5">
        <v>1.2902777167721382</v>
      </c>
      <c r="Z195" s="5">
        <v>1.3024152729984166</v>
      </c>
      <c r="AA195" s="18">
        <v>9.3192674240825946E-3</v>
      </c>
      <c r="AB195" s="5">
        <v>0.36051075921224929</v>
      </c>
      <c r="AC195" s="4">
        <v>6.4347387275338411E-5</v>
      </c>
      <c r="AE195" s="5">
        <v>-1.1914554566319386</v>
      </c>
      <c r="AF195" s="5">
        <v>-1.0738128048773372</v>
      </c>
    </row>
    <row r="196" spans="23:32" x14ac:dyDescent="0.25">
      <c r="W196">
        <v>68.7</v>
      </c>
      <c r="X196" s="5">
        <v>67.444987879520269</v>
      </c>
      <c r="Y196" s="5">
        <v>1.2550121204797335</v>
      </c>
      <c r="Z196" s="5">
        <v>1.2666930639217924</v>
      </c>
      <c r="AA196" s="18">
        <v>9.22160527656927E-3</v>
      </c>
      <c r="AB196" s="5">
        <v>0.35064007299981703</v>
      </c>
      <c r="AC196" s="4">
        <v>6.0228146233086397E-5</v>
      </c>
      <c r="AE196" s="5">
        <v>-1.1914554566319386</v>
      </c>
      <c r="AF196" s="5">
        <v>-1.0713032329859948</v>
      </c>
    </row>
    <row r="197" spans="23:32" x14ac:dyDescent="0.25">
      <c r="W197">
        <v>68.3</v>
      </c>
      <c r="X197" s="5">
        <v>67.047411563137629</v>
      </c>
      <c r="Y197" s="5">
        <v>1.2525884368623679</v>
      </c>
      <c r="Z197" s="5">
        <v>1.2636725612187405</v>
      </c>
      <c r="AA197" s="18">
        <v>8.7713579423473707E-3</v>
      </c>
      <c r="AB197" s="5">
        <v>0.34988342458575222</v>
      </c>
      <c r="AC197" s="4">
        <v>5.7014606036373293E-5</v>
      </c>
      <c r="AE197" s="5">
        <v>-1.1914554566319386</v>
      </c>
      <c r="AF197" s="5">
        <v>-1.0675201303277413</v>
      </c>
    </row>
    <row r="198" spans="23:32" x14ac:dyDescent="0.25">
      <c r="W198">
        <v>67.900000000000006</v>
      </c>
      <c r="X198" s="5">
        <v>60.336003665490722</v>
      </c>
      <c r="Y198" s="5">
        <v>7.5639963345092838</v>
      </c>
      <c r="Z198" s="5">
        <v>7.7446258032317914</v>
      </c>
      <c r="AA198" s="18">
        <v>2.332320157381015E-2</v>
      </c>
      <c r="AB198" s="5">
        <v>2.1285201508880149</v>
      </c>
      <c r="AC198" s="4">
        <v>5.6942853420847246E-3</v>
      </c>
      <c r="AE198" s="5">
        <v>-1.182232646923248</v>
      </c>
      <c r="AF198" s="5">
        <v>-1.0674250864360919</v>
      </c>
    </row>
    <row r="199" spans="23:32" x14ac:dyDescent="0.25">
      <c r="W199">
        <v>67.400000000000006</v>
      </c>
      <c r="X199" s="5">
        <v>60.449508780419279</v>
      </c>
      <c r="Y199" s="5">
        <v>6.9504912195807265</v>
      </c>
      <c r="Z199" s="5">
        <v>7.1109013384293078</v>
      </c>
      <c r="AA199" s="18">
        <v>2.2558338417898859E-2</v>
      </c>
      <c r="AB199" s="5">
        <v>1.9551134696821983</v>
      </c>
      <c r="AC199" s="4">
        <v>4.6430845924988057E-3</v>
      </c>
      <c r="AE199" s="5">
        <v>-1.182232646923248</v>
      </c>
      <c r="AF199" s="5">
        <v>-1.0626366835951053</v>
      </c>
    </row>
    <row r="200" spans="23:32" x14ac:dyDescent="0.25">
      <c r="W200">
        <v>67</v>
      </c>
      <c r="X200" s="5">
        <v>60.219860532240368</v>
      </c>
      <c r="Y200" s="5">
        <v>6.7801394677596321</v>
      </c>
      <c r="Z200" s="5">
        <v>6.9351378967553075</v>
      </c>
      <c r="AA200" s="18">
        <v>2.2349725600726053E-2</v>
      </c>
      <c r="AB200" s="5">
        <v>1.9069914941091515</v>
      </c>
      <c r="AC200" s="4">
        <v>4.3755492837317909E-3</v>
      </c>
      <c r="AE200" s="5">
        <v>-1.182232646923248</v>
      </c>
      <c r="AF200" s="5">
        <v>-1.0616984638497122</v>
      </c>
    </row>
    <row r="201" spans="23:32" x14ac:dyDescent="0.25">
      <c r="W201">
        <v>66.5</v>
      </c>
      <c r="X201" s="5">
        <v>59.707096538506647</v>
      </c>
      <c r="Y201" s="5">
        <v>6.7929034614933528</v>
      </c>
      <c r="Z201" s="5">
        <v>6.9419521521259284</v>
      </c>
      <c r="AA201" s="18">
        <v>2.1470717078758833E-2</v>
      </c>
      <c r="AB201" s="5">
        <v>1.9097231865521502</v>
      </c>
      <c r="AC201" s="4">
        <v>4.2117245835964212E-3</v>
      </c>
      <c r="AE201" s="5">
        <v>-1.182232646923248</v>
      </c>
      <c r="AF201" s="5">
        <v>-1.0556983110033562</v>
      </c>
    </row>
    <row r="202" spans="23:32" x14ac:dyDescent="0.25">
      <c r="W202">
        <v>65.8</v>
      </c>
      <c r="X202" s="5">
        <v>59.036618022293261</v>
      </c>
      <c r="Y202" s="5">
        <v>6.7633819777067359</v>
      </c>
      <c r="Z202" s="5">
        <v>6.9062390172428891</v>
      </c>
      <c r="AA202" s="18">
        <v>2.0685215090221695E-2</v>
      </c>
      <c r="AB202" s="5">
        <v>1.9006609503071605</v>
      </c>
      <c r="AC202" s="4">
        <v>4.0159974945751346E-3</v>
      </c>
      <c r="AE202" s="5">
        <v>-1.1700898139672218</v>
      </c>
      <c r="AF202" s="5">
        <v>-1.0515863396174674</v>
      </c>
    </row>
    <row r="203" spans="23:32" x14ac:dyDescent="0.25">
      <c r="W203">
        <v>65</v>
      </c>
      <c r="X203" s="5">
        <v>58.450719678639828</v>
      </c>
      <c r="Y203" s="5">
        <v>6.5492803213601718</v>
      </c>
      <c r="Z203" s="5">
        <v>6.6855696684232768</v>
      </c>
      <c r="AA203" s="18">
        <v>2.0385599705409888E-2</v>
      </c>
      <c r="AB203" s="5">
        <v>1.8402121377063636</v>
      </c>
      <c r="AC203" s="4">
        <v>3.708946017263088E-3</v>
      </c>
      <c r="AE203" s="5">
        <v>-1.1700898139672218</v>
      </c>
      <c r="AF203" s="5">
        <v>-1.042848818372055</v>
      </c>
    </row>
    <row r="204" spans="23:32" x14ac:dyDescent="0.25">
      <c r="W204">
        <v>64.2</v>
      </c>
      <c r="X204" s="5">
        <v>57.038598602188877</v>
      </c>
      <c r="Y204" s="5">
        <v>7.1614013978111259</v>
      </c>
      <c r="Z204" s="5">
        <v>7.392754487416326</v>
      </c>
      <c r="AA204" s="18">
        <v>3.1294572273298314E-2</v>
      </c>
      <c r="AB204" s="5">
        <v>2.0235038819873807</v>
      </c>
      <c r="AC204" s="4">
        <v>6.9619639451743978E-3</v>
      </c>
      <c r="AE204" s="5">
        <v>-1.1700898139672218</v>
      </c>
      <c r="AF204" s="5">
        <v>-1.0420739133538597</v>
      </c>
    </row>
    <row r="205" spans="23:32" x14ac:dyDescent="0.25">
      <c r="W205">
        <v>63.3</v>
      </c>
      <c r="X205" s="5">
        <v>57.338703620639635</v>
      </c>
      <c r="Y205" s="5">
        <v>5.9612963793603626</v>
      </c>
      <c r="Z205" s="5">
        <v>6.0815636709445187</v>
      </c>
      <c r="AA205" s="18">
        <v>1.9775718563755249E-2</v>
      </c>
      <c r="AB205" s="5">
        <v>1.6744796653565959</v>
      </c>
      <c r="AC205" s="4">
        <v>2.9772340091400698E-3</v>
      </c>
      <c r="AE205" s="5">
        <v>-1.1700898139672218</v>
      </c>
      <c r="AF205" s="5">
        <v>-1.0417577358150856</v>
      </c>
    </row>
    <row r="206" spans="23:32" x14ac:dyDescent="0.25">
      <c r="W206">
        <v>62.5</v>
      </c>
      <c r="X206" s="5">
        <v>57.012328736148596</v>
      </c>
      <c r="Y206" s="5">
        <v>5.4876712638514036</v>
      </c>
      <c r="Z206" s="5">
        <v>5.5998633646721387</v>
      </c>
      <c r="AA206" s="18">
        <v>2.0034792550211761E-2</v>
      </c>
      <c r="AB206" s="5">
        <v>1.5416459652863319</v>
      </c>
      <c r="AC206" s="4">
        <v>2.5573483722960344E-3</v>
      </c>
      <c r="AE206" s="5">
        <v>-1.1700898139672218</v>
      </c>
      <c r="AF206" s="5">
        <v>-1.0413948404715365</v>
      </c>
    </row>
    <row r="207" spans="23:32" x14ac:dyDescent="0.25">
      <c r="W207">
        <v>61.7</v>
      </c>
      <c r="X207" s="5">
        <v>60.681617043962696</v>
      </c>
      <c r="Y207" s="5">
        <v>1.018382956037307</v>
      </c>
      <c r="Z207" s="5">
        <v>1.0424342704383278</v>
      </c>
      <c r="AA207" s="18">
        <v>2.3072259885420537E-2</v>
      </c>
      <c r="AB207" s="5">
        <v>0.28653771491862162</v>
      </c>
      <c r="AC207" s="4">
        <v>1.0205579699173762E-4</v>
      </c>
      <c r="AE207" s="5">
        <v>-1.1700898139672218</v>
      </c>
      <c r="AF207" s="5">
        <v>-1.040900524763881</v>
      </c>
    </row>
    <row r="208" spans="23:32" x14ac:dyDescent="0.25">
      <c r="W208">
        <v>62</v>
      </c>
      <c r="X208" s="5">
        <v>55.811662197152501</v>
      </c>
      <c r="Y208" s="5">
        <v>6.1883378028474993</v>
      </c>
      <c r="Z208" s="5">
        <v>6.3153377270791964</v>
      </c>
      <c r="AA208" s="18">
        <v>2.0109759718334331E-2</v>
      </c>
      <c r="AB208" s="5">
        <v>1.738550011584886</v>
      </c>
      <c r="AC208" s="4">
        <v>3.264752212346911E-3</v>
      </c>
      <c r="AE208" s="5">
        <v>-1.1521925343545227</v>
      </c>
      <c r="AF208" s="5">
        <v>-1.038942950608672</v>
      </c>
    </row>
    <row r="209" spans="23:32" x14ac:dyDescent="0.25">
      <c r="W209">
        <v>77.2</v>
      </c>
      <c r="X209" s="5">
        <v>75.486709412624165</v>
      </c>
      <c r="Y209" s="5">
        <v>1.7132905873758375</v>
      </c>
      <c r="Z209" s="5">
        <v>1.7187179231258369</v>
      </c>
      <c r="AA209" s="18">
        <v>3.1577815515722515E-3</v>
      </c>
      <c r="AB209" s="5">
        <v>0.47722117882404963</v>
      </c>
      <c r="AC209" s="4">
        <v>3.7970076974576741E-5</v>
      </c>
      <c r="AE209" s="5">
        <v>-1.1521925343545227</v>
      </c>
      <c r="AF209" s="5">
        <v>-1.037751132201558</v>
      </c>
    </row>
    <row r="210" spans="23:32" x14ac:dyDescent="0.25">
      <c r="W210">
        <v>77</v>
      </c>
      <c r="X210" s="5">
        <v>76.488054142665405</v>
      </c>
      <c r="Y210" s="5">
        <v>0.51194585733459519</v>
      </c>
      <c r="Z210" s="5">
        <v>0.51399815857705278</v>
      </c>
      <c r="AA210" s="18">
        <v>3.9928182780711802E-3</v>
      </c>
      <c r="AB210" s="5">
        <v>0.14265752657027481</v>
      </c>
      <c r="AC210" s="4">
        <v>4.2939091730060917E-6</v>
      </c>
      <c r="AE210" s="5">
        <v>-1.1463081367501964</v>
      </c>
      <c r="AF210" s="5">
        <v>-1.0367514930411104</v>
      </c>
    </row>
    <row r="211" spans="23:32" x14ac:dyDescent="0.25">
      <c r="W211">
        <v>76.8</v>
      </c>
      <c r="X211" s="5">
        <v>75.071890024656199</v>
      </c>
      <c r="Y211" s="5">
        <v>1.7281099753437985</v>
      </c>
      <c r="Z211" s="5">
        <v>1.7335355649280899</v>
      </c>
      <c r="AA211" s="18">
        <v>3.1297826788538115E-3</v>
      </c>
      <c r="AB211" s="5">
        <v>0.48134222187075193</v>
      </c>
      <c r="AC211" s="4">
        <v>3.8285108065426565E-5</v>
      </c>
      <c r="AE211" s="5">
        <v>-1.1463081367501964</v>
      </c>
      <c r="AF211" s="5">
        <v>-1.0317036248982261</v>
      </c>
    </row>
    <row r="212" spans="23:32" x14ac:dyDescent="0.25">
      <c r="W212">
        <v>76.900000000000006</v>
      </c>
      <c r="X212" s="5">
        <v>74.08262656921886</v>
      </c>
      <c r="Y212" s="5">
        <v>2.8173734307811458</v>
      </c>
      <c r="Z212" s="5">
        <v>2.8262833080072483</v>
      </c>
      <c r="AA212" s="18">
        <v>3.1525067571483252E-3</v>
      </c>
      <c r="AB212" s="5">
        <v>0.78475112307582406</v>
      </c>
      <c r="AC212" s="4">
        <v>1.0250324065238717E-4</v>
      </c>
      <c r="AE212" s="5">
        <v>-1.1463081367501964</v>
      </c>
      <c r="AF212" s="5">
        <v>-1.0314090239936167</v>
      </c>
    </row>
    <row r="213" spans="23:32" x14ac:dyDescent="0.25">
      <c r="W213">
        <v>76.400000000000006</v>
      </c>
      <c r="X213" s="5">
        <v>73.671801785146272</v>
      </c>
      <c r="Y213" s="5">
        <v>2.7281982148537338</v>
      </c>
      <c r="Z213" s="5">
        <v>2.771790027965892</v>
      </c>
      <c r="AA213" s="18">
        <v>1.5726953583187618E-2</v>
      </c>
      <c r="AB213" s="5">
        <v>0.76475093382967407</v>
      </c>
      <c r="AC213" s="4">
        <v>4.9183048449590364E-4</v>
      </c>
      <c r="AE213" s="5">
        <v>-1.1375552391677688</v>
      </c>
      <c r="AF213" s="5">
        <v>-1.0290599117150248</v>
      </c>
    </row>
    <row r="214" spans="23:32" x14ac:dyDescent="0.25">
      <c r="W214">
        <v>76.099999999999994</v>
      </c>
      <c r="X214" s="5">
        <v>72.882018140882252</v>
      </c>
      <c r="Y214" s="5">
        <v>3.2179818591177423</v>
      </c>
      <c r="Z214" s="5">
        <v>3.2689027734182616</v>
      </c>
      <c r="AA214" s="18">
        <v>1.5577371928766591E-2</v>
      </c>
      <c r="AB214" s="5">
        <v>0.90197539239753188</v>
      </c>
      <c r="AC214" s="4">
        <v>6.7756096695943029E-4</v>
      </c>
      <c r="AE214" s="5">
        <v>-1.1375552391677688</v>
      </c>
      <c r="AF214" s="5">
        <v>-1.0230458218865293</v>
      </c>
    </row>
    <row r="215" spans="23:32" x14ac:dyDescent="0.25">
      <c r="W215">
        <v>76</v>
      </c>
      <c r="X215" s="5">
        <v>73.621418756262358</v>
      </c>
      <c r="Y215" s="5">
        <v>2.3785812437376421</v>
      </c>
      <c r="Z215" s="5">
        <v>2.3837263529549517</v>
      </c>
      <c r="AA215" s="18">
        <v>2.1584311516853333E-3</v>
      </c>
      <c r="AB215" s="5">
        <v>0.66219986158014976</v>
      </c>
      <c r="AC215" s="4">
        <v>4.9923057844018342E-5</v>
      </c>
      <c r="AE215" s="5">
        <v>-1.1375552391677688</v>
      </c>
      <c r="AF215" s="5">
        <v>-1.0151504698030425</v>
      </c>
    </row>
    <row r="216" spans="23:32" x14ac:dyDescent="0.25">
      <c r="W216">
        <v>75.400000000000006</v>
      </c>
      <c r="X216" s="5">
        <v>74.743046547302697</v>
      </c>
      <c r="Y216" s="5">
        <v>0.65695345269730865</v>
      </c>
      <c r="Z216" s="5">
        <v>0.658912657844553</v>
      </c>
      <c r="AA216" s="18">
        <v>2.9733912741294198E-3</v>
      </c>
      <c r="AB216" s="5">
        <v>0.18297136026215818</v>
      </c>
      <c r="AC216" s="4">
        <v>5.2548212344765321E-6</v>
      </c>
      <c r="AE216" s="5">
        <v>-1.1375552391677688</v>
      </c>
      <c r="AF216" s="5">
        <v>-1.0123811484403478</v>
      </c>
    </row>
    <row r="217" spans="23:32" x14ac:dyDescent="0.25">
      <c r="W217">
        <v>75.7</v>
      </c>
      <c r="X217" s="5">
        <v>75.092487909267433</v>
      </c>
      <c r="Y217" s="5">
        <v>0.60751209073256973</v>
      </c>
      <c r="Z217" s="5">
        <v>0.61470589135689124</v>
      </c>
      <c r="AA217" s="18">
        <v>1.1702833380106343E-2</v>
      </c>
      <c r="AB217" s="5">
        <v>0.16994681990148855</v>
      </c>
      <c r="AC217" s="4">
        <v>1.8000142996369774E-5</v>
      </c>
      <c r="AE217" s="5">
        <v>-1.1375552391677688</v>
      </c>
      <c r="AF217" s="5">
        <v>-1.011868760868613</v>
      </c>
    </row>
    <row r="218" spans="23:32" x14ac:dyDescent="0.25">
      <c r="W218">
        <v>75</v>
      </c>
      <c r="X218" s="5">
        <v>66.076173891468528</v>
      </c>
      <c r="Y218" s="5">
        <v>8.9238261085314718</v>
      </c>
      <c r="Z218" s="5">
        <v>9.2007399993516117</v>
      </c>
      <c r="AA218" s="18">
        <v>3.0096915122007427E-2</v>
      </c>
      <c r="AB218" s="5">
        <v>2.5199319931824578</v>
      </c>
      <c r="AC218" s="4">
        <v>1.0370929515962397E-2</v>
      </c>
      <c r="AE218" s="5">
        <v>-1.1375552391677688</v>
      </c>
      <c r="AF218" s="5">
        <v>-1.0095493171189773</v>
      </c>
    </row>
    <row r="219" spans="23:32" x14ac:dyDescent="0.25">
      <c r="W219">
        <v>75.5</v>
      </c>
      <c r="X219" s="5">
        <v>66.071430513913299</v>
      </c>
      <c r="Y219" s="5">
        <v>9.4285694860867011</v>
      </c>
      <c r="Z219" s="5">
        <v>9.7089174333627</v>
      </c>
      <c r="AA219" s="18">
        <v>2.8875304502296518E-2</v>
      </c>
      <c r="AB219" s="5">
        <v>2.6607875432501578</v>
      </c>
      <c r="AC219" s="4">
        <v>1.1079454310501984E-2</v>
      </c>
      <c r="AE219" s="5">
        <v>-1.1375552391677688</v>
      </c>
      <c r="AF219" s="5">
        <v>-1.0053061207364855</v>
      </c>
    </row>
    <row r="220" spans="23:32" x14ac:dyDescent="0.25">
      <c r="W220">
        <v>65.099999999999994</v>
      </c>
      <c r="X220" s="5">
        <v>68.944127606320293</v>
      </c>
      <c r="Y220" s="5">
        <v>-3.8441276063202992</v>
      </c>
      <c r="Z220" s="5">
        <v>-3.8603195106962858</v>
      </c>
      <c r="AA220" s="18">
        <v>4.1944466853394815E-3</v>
      </c>
      <c r="AB220" s="5">
        <v>-1.0713032329859948</v>
      </c>
      <c r="AC220" s="4">
        <v>2.5443178499390045E-4</v>
      </c>
      <c r="AE220" s="5">
        <v>-1.1174634002413726</v>
      </c>
      <c r="AF220" s="5">
        <v>-1.0015115587512982</v>
      </c>
    </row>
    <row r="221" spans="23:32" x14ac:dyDescent="0.25">
      <c r="W221">
        <v>64.2</v>
      </c>
      <c r="X221" s="5">
        <v>68.03006861974859</v>
      </c>
      <c r="Y221" s="5">
        <v>-3.8300686197485874</v>
      </c>
      <c r="Z221" s="5">
        <v>-3.8464887995491921</v>
      </c>
      <c r="AA221" s="18">
        <v>4.2688749808723163E-3</v>
      </c>
      <c r="AB221" s="5">
        <v>-1.0674250864360919</v>
      </c>
      <c r="AC221" s="4">
        <v>2.5709436808697445E-4</v>
      </c>
      <c r="AE221" s="5">
        <v>-1.1174634002413726</v>
      </c>
      <c r="AF221" s="5">
        <v>-0.9943361224761218</v>
      </c>
    </row>
    <row r="222" spans="23:32" x14ac:dyDescent="0.25">
      <c r="W222">
        <v>63.4</v>
      </c>
      <c r="X222" s="5">
        <v>71.900556507384564</v>
      </c>
      <c r="Y222" s="5">
        <v>-8.5005565073845659</v>
      </c>
      <c r="Z222" s="5">
        <v>-8.5459633635663224</v>
      </c>
      <c r="AA222" s="18">
        <v>5.3132519120474677E-3</v>
      </c>
      <c r="AB222" s="5">
        <v>-2.3703151069025581</v>
      </c>
      <c r="AC222" s="4">
        <v>1.5795473276533328E-3</v>
      </c>
      <c r="AE222" s="5">
        <v>-1.1174634002413726</v>
      </c>
      <c r="AF222" s="5">
        <v>-0.99271706076910748</v>
      </c>
    </row>
    <row r="223" spans="23:32" x14ac:dyDescent="0.25">
      <c r="W223">
        <v>62.2</v>
      </c>
      <c r="X223" s="5">
        <v>65.713003072525851</v>
      </c>
      <c r="Y223" s="5">
        <v>-3.5130030725258479</v>
      </c>
      <c r="Z223" s="5">
        <v>-3.5243171789279302</v>
      </c>
      <c r="AA223" s="18">
        <v>3.2102974356925397E-3</v>
      </c>
      <c r="AB223" s="5">
        <v>-0.978540150708192</v>
      </c>
      <c r="AC223" s="4">
        <v>1.6231005619075497E-4</v>
      </c>
      <c r="AE223" s="5">
        <v>-1.1174634002413726</v>
      </c>
      <c r="AF223" s="5">
        <v>-0.99264175489645157</v>
      </c>
    </row>
    <row r="224" spans="23:32" x14ac:dyDescent="0.25">
      <c r="W224">
        <v>61.1</v>
      </c>
      <c r="X224" s="5">
        <v>64.7321087894464</v>
      </c>
      <c r="Y224" s="5">
        <v>-3.6321087894463986</v>
      </c>
      <c r="Z224" s="5">
        <v>-3.6449010676031222</v>
      </c>
      <c r="AA224" s="18">
        <v>3.5096365908031703E-3</v>
      </c>
      <c r="AB224" s="5">
        <v>-1.011868760868613</v>
      </c>
      <c r="AC224" s="4">
        <v>1.8979458683434164E-4</v>
      </c>
      <c r="AE224" s="5">
        <v>-1.1174634002413726</v>
      </c>
      <c r="AF224" s="5">
        <v>-0.98701277971383505</v>
      </c>
    </row>
    <row r="225" spans="23:32" x14ac:dyDescent="0.25">
      <c r="W225">
        <v>59.2</v>
      </c>
      <c r="X225" s="5">
        <v>62.630765807369279</v>
      </c>
      <c r="Y225" s="5">
        <v>-3.4307658073692764</v>
      </c>
      <c r="Z225" s="5">
        <v>-3.4458078509821632</v>
      </c>
      <c r="AA225" s="18">
        <v>4.3653170064597586E-3</v>
      </c>
      <c r="AB225" s="5">
        <v>-0.95618726751133798</v>
      </c>
      <c r="AC225" s="4">
        <v>2.1098330069518588E-4</v>
      </c>
      <c r="AE225" s="5">
        <v>-1.1174634002413726</v>
      </c>
      <c r="AF225" s="5">
        <v>-0.98672339853065394</v>
      </c>
    </row>
    <row r="226" spans="23:32" x14ac:dyDescent="0.25">
      <c r="W226">
        <v>57.5</v>
      </c>
      <c r="X226" s="5">
        <v>60.034293154751317</v>
      </c>
      <c r="Y226" s="5">
        <v>-2.5342931547513174</v>
      </c>
      <c r="Z226" s="5">
        <v>-2.5488259398397801</v>
      </c>
      <c r="AA226" s="18">
        <v>5.7017565857688706E-3</v>
      </c>
      <c r="AB226" s="5">
        <v>-0.70680629082241653</v>
      </c>
      <c r="AC226" s="4">
        <v>1.5077842838237242E-4</v>
      </c>
      <c r="AE226" s="5">
        <v>-1.1005940465096573</v>
      </c>
      <c r="AF226" s="5">
        <v>-0.98599791595026287</v>
      </c>
    </row>
    <row r="227" spans="23:32" x14ac:dyDescent="0.25">
      <c r="W227">
        <v>56.9</v>
      </c>
      <c r="X227" s="5">
        <v>59.349972507914281</v>
      </c>
      <c r="Y227" s="5">
        <v>-2.449972507914282</v>
      </c>
      <c r="Z227" s="5">
        <v>-2.465310737923339</v>
      </c>
      <c r="AA227" s="18">
        <v>6.2216213855352635E-3</v>
      </c>
      <c r="AB227" s="5">
        <v>-0.68346822857985434</v>
      </c>
      <c r="AC227" s="4">
        <v>1.539207234682116E-4</v>
      </c>
      <c r="AE227" s="5">
        <v>-1.1005940465096573</v>
      </c>
      <c r="AF227" s="5">
        <v>-0.98286037232688295</v>
      </c>
    </row>
    <row r="228" spans="23:32" x14ac:dyDescent="0.25">
      <c r="W228">
        <v>54.8</v>
      </c>
      <c r="X228" s="5">
        <v>57.404953062800246</v>
      </c>
      <c r="Y228" s="5">
        <v>-2.6049530628002486</v>
      </c>
      <c r="Z228" s="5">
        <v>-2.6269785662242313</v>
      </c>
      <c r="AA228" s="18">
        <v>8.3843483563848329E-3</v>
      </c>
      <c r="AB228" s="5">
        <v>-0.72749515886651428</v>
      </c>
      <c r="AC228" s="4">
        <v>2.3552258295522668E-4</v>
      </c>
      <c r="AE228" s="5">
        <v>-1.0950400512086547</v>
      </c>
      <c r="AF228" s="5">
        <v>-0.98107655331799892</v>
      </c>
    </row>
    <row r="229" spans="23:32" x14ac:dyDescent="0.25">
      <c r="W229">
        <v>51.7</v>
      </c>
      <c r="X229" s="5">
        <v>53.559777618621695</v>
      </c>
      <c r="Y229" s="5">
        <v>-1.8597776186216919</v>
      </c>
      <c r="Z229" s="5">
        <v>-1.9069525402556948</v>
      </c>
      <c r="AA229" s="18">
        <v>2.4738382648830274E-2</v>
      </c>
      <c r="AB229" s="5">
        <v>-0.52372383880018225</v>
      </c>
      <c r="AC229" s="4">
        <v>3.6618559375541597E-4</v>
      </c>
      <c r="AE229" s="5">
        <v>-1.0950400512086547</v>
      </c>
      <c r="AF229" s="5">
        <v>-0.978540150708192</v>
      </c>
    </row>
    <row r="230" spans="23:32" x14ac:dyDescent="0.25">
      <c r="W230">
        <v>48.1</v>
      </c>
      <c r="X230" s="5">
        <v>48.832038164437478</v>
      </c>
      <c r="Y230" s="5">
        <v>-0.73203816443747627</v>
      </c>
      <c r="Z230" s="5">
        <v>-0.74651834436161124</v>
      </c>
      <c r="AA230" s="18">
        <v>1.9396951238378819E-2</v>
      </c>
      <c r="AB230" s="5">
        <v>-0.20558385031389373</v>
      </c>
      <c r="AC230" s="4">
        <v>4.4001210569370359E-5</v>
      </c>
      <c r="AE230" s="5">
        <v>-1.0895196306228982</v>
      </c>
      <c r="AF230" s="5">
        <v>-0.97615217773450702</v>
      </c>
    </row>
    <row r="231" spans="23:32" x14ac:dyDescent="0.25">
      <c r="W231">
        <v>46.4</v>
      </c>
      <c r="X231" s="5">
        <v>46.710904783330008</v>
      </c>
      <c r="Y231" s="5">
        <v>-0.31090478333000959</v>
      </c>
      <c r="Z231" s="5">
        <v>-0.3212695048271641</v>
      </c>
      <c r="AA231" s="18">
        <v>3.2261765718261878E-2</v>
      </c>
      <c r="AB231" s="5">
        <v>-8.7892202092477292E-2</v>
      </c>
      <c r="AC231" s="4">
        <v>1.3554307170247125E-5</v>
      </c>
      <c r="AE231" s="5">
        <v>-1.0895196306228982</v>
      </c>
      <c r="AF231" s="5">
        <v>-0.97256997538873158</v>
      </c>
    </row>
    <row r="232" spans="23:32" x14ac:dyDescent="0.25">
      <c r="W232">
        <v>46</v>
      </c>
      <c r="X232" s="5">
        <v>44.353241703652202</v>
      </c>
      <c r="Y232" s="5">
        <v>1.646758296347798</v>
      </c>
      <c r="Z232" s="5">
        <v>1.6876702584435108</v>
      </c>
      <c r="AA232" s="18">
        <v>2.4241679848910666E-2</v>
      </c>
      <c r="AB232" s="5">
        <v>0.46361835352270747</v>
      </c>
      <c r="AC232" s="4">
        <v>2.8105291100795544E-4</v>
      </c>
      <c r="AE232" s="5">
        <v>-1.0895196306228982</v>
      </c>
      <c r="AF232" s="5">
        <v>-0.97204175565278372</v>
      </c>
    </row>
    <row r="233" spans="23:32" x14ac:dyDescent="0.25">
      <c r="W233">
        <v>46.7</v>
      </c>
      <c r="X233" s="5">
        <v>42.678705693959884</v>
      </c>
      <c r="Y233" s="5">
        <v>4.0212943060401187</v>
      </c>
      <c r="Z233" s="5">
        <v>4.1305590032909265</v>
      </c>
      <c r="AA233" s="18">
        <v>2.645276272866607E-2</v>
      </c>
      <c r="AB233" s="5">
        <v>1.133415731838767</v>
      </c>
      <c r="AC233" s="4">
        <v>1.8371257293204794E-3</v>
      </c>
      <c r="AE233" s="5">
        <v>-1.0895196306228982</v>
      </c>
      <c r="AF233" s="5">
        <v>-0.97202160568125395</v>
      </c>
    </row>
    <row r="234" spans="23:32" x14ac:dyDescent="0.25">
      <c r="W234">
        <v>47.8</v>
      </c>
      <c r="X234" s="5">
        <v>43.164314660505681</v>
      </c>
      <c r="Y234" s="5">
        <v>4.6356853394943158</v>
      </c>
      <c r="Z234" s="5">
        <v>4.7713946021700124</v>
      </c>
      <c r="AA234" s="18">
        <v>2.844226352898567E-2</v>
      </c>
      <c r="AB234" s="5">
        <v>1.3079210632652858</v>
      </c>
      <c r="AC234" s="4">
        <v>2.6357548142228512E-3</v>
      </c>
      <c r="AE234" s="5">
        <v>-1.0895196306228982</v>
      </c>
      <c r="AF234" s="5">
        <v>-0.97158790302081488</v>
      </c>
    </row>
    <row r="235" spans="23:32" x14ac:dyDescent="0.25">
      <c r="W235">
        <v>74.8</v>
      </c>
      <c r="X235" s="5">
        <v>75.699648912159105</v>
      </c>
      <c r="Y235" s="5">
        <v>-0.89964891215910825</v>
      </c>
      <c r="Z235" s="5">
        <v>-0.90268107946860709</v>
      </c>
      <c r="AA235" s="18">
        <v>3.3590682007954877E-3</v>
      </c>
      <c r="AB235" s="5">
        <v>-0.25061415170702783</v>
      </c>
      <c r="AC235" s="4">
        <v>1.1141346556913536E-5</v>
      </c>
      <c r="AE235" s="5">
        <v>-1.0758617643853021</v>
      </c>
      <c r="AF235" s="5">
        <v>-0.97057348200235072</v>
      </c>
    </row>
    <row r="236" spans="23:32" x14ac:dyDescent="0.25">
      <c r="W236">
        <v>74.7</v>
      </c>
      <c r="X236" s="5">
        <v>75.170319356348216</v>
      </c>
      <c r="Y236" s="5">
        <v>-0.47031935634821309</v>
      </c>
      <c r="Z236" s="5">
        <v>-0.47228113772489166</v>
      </c>
      <c r="AA236" s="18">
        <v>4.1538423196933773E-3</v>
      </c>
      <c r="AB236" s="5">
        <v>-0.13106858732814447</v>
      </c>
      <c r="AC236" s="4">
        <v>3.7713895277807512E-6</v>
      </c>
      <c r="AE236" s="5">
        <v>-1.0758617643853021</v>
      </c>
      <c r="AF236" s="5">
        <v>-0.96500683945327348</v>
      </c>
    </row>
    <row r="237" spans="23:32" x14ac:dyDescent="0.25">
      <c r="W237">
        <v>74.5</v>
      </c>
      <c r="X237" s="5">
        <v>75.115631818640651</v>
      </c>
      <c r="Y237" s="5">
        <v>-0.61563181864065086</v>
      </c>
      <c r="Z237" s="5">
        <v>-0.6185650079872147</v>
      </c>
      <c r="AA237" s="18">
        <v>4.7419257615514444E-3</v>
      </c>
      <c r="AB237" s="5">
        <v>-0.17161494087345178</v>
      </c>
      <c r="AC237" s="4">
        <v>7.3854273440340479E-6</v>
      </c>
      <c r="AE237" s="5">
        <v>-1.0704544602760233</v>
      </c>
      <c r="AF237" s="5">
        <v>-0.96320583727740727</v>
      </c>
    </row>
    <row r="238" spans="23:32" x14ac:dyDescent="0.25">
      <c r="W238">
        <v>74.099999999999994</v>
      </c>
      <c r="X238" s="5">
        <v>74.839097307552365</v>
      </c>
      <c r="Y238" s="5">
        <v>-0.73909730755237035</v>
      </c>
      <c r="Z238" s="5">
        <v>-0.74704452894539486</v>
      </c>
      <c r="AA238" s="18">
        <v>1.0638216445059818E-2</v>
      </c>
      <c r="AB238" s="5">
        <v>-0.20664549727805018</v>
      </c>
      <c r="AC238" s="4">
        <v>2.4166401346858812E-5</v>
      </c>
      <c r="AE238" s="5">
        <v>-1.0704544602760233</v>
      </c>
      <c r="AF238" s="5">
        <v>-0.96261532874796207</v>
      </c>
    </row>
    <row r="239" spans="23:32" x14ac:dyDescent="0.25">
      <c r="W239">
        <v>73.8</v>
      </c>
      <c r="X239" s="5">
        <v>74.47446072224291</v>
      </c>
      <c r="Y239" s="5">
        <v>-0.67446072224291242</v>
      </c>
      <c r="Z239" s="5">
        <v>-0.6806442937356536</v>
      </c>
      <c r="AA239" s="18">
        <v>9.0848796495521453E-3</v>
      </c>
      <c r="AB239" s="5">
        <v>-0.18842578243852012</v>
      </c>
      <c r="AC239" s="4">
        <v>1.713206750028835E-5</v>
      </c>
      <c r="AE239" s="5">
        <v>-1.0704544602760233</v>
      </c>
      <c r="AF239" s="5">
        <v>-0.95618726751133798</v>
      </c>
    </row>
    <row r="240" spans="23:32" x14ac:dyDescent="0.25">
      <c r="W240">
        <v>73.599999999999994</v>
      </c>
      <c r="X240" s="5">
        <v>74.22517627489762</v>
      </c>
      <c r="Y240" s="5">
        <v>-0.62517627489762617</v>
      </c>
      <c r="Z240" s="5">
        <v>-0.63120524892511298</v>
      </c>
      <c r="AA240" s="18">
        <v>9.5515270789640703E-3</v>
      </c>
      <c r="AB240" s="5">
        <v>-0.17469820264092001</v>
      </c>
      <c r="AC240" s="4">
        <v>1.5490455812655763E-5</v>
      </c>
      <c r="AE240" s="5">
        <v>-1.0704544602760233</v>
      </c>
      <c r="AF240" s="5">
        <v>-0.95463389033168689</v>
      </c>
    </row>
    <row r="241" spans="23:32" x14ac:dyDescent="0.25">
      <c r="W241">
        <v>73.400000000000006</v>
      </c>
      <c r="X241" s="5">
        <v>72.325296367796</v>
      </c>
      <c r="Y241" s="5">
        <v>1.074703632204006</v>
      </c>
      <c r="Z241" s="5">
        <v>1.0840829881933729</v>
      </c>
      <c r="AA241" s="18">
        <v>8.6518800603928164E-3</v>
      </c>
      <c r="AB241" s="5">
        <v>0.30017707042677355</v>
      </c>
      <c r="AC241" s="4">
        <v>4.1389076056730141E-5</v>
      </c>
      <c r="AE241" s="5">
        <v>-1.0597326997110486</v>
      </c>
      <c r="AF241" s="5">
        <v>-0.95337504802796857</v>
      </c>
    </row>
    <row r="242" spans="23:32" x14ac:dyDescent="0.25">
      <c r="W242">
        <v>73.3</v>
      </c>
      <c r="X242" s="5">
        <v>73.861212986234079</v>
      </c>
      <c r="Y242" s="5">
        <v>-0.56121298623408222</v>
      </c>
      <c r="Z242" s="5">
        <v>-0.56354302266100831</v>
      </c>
      <c r="AA242" s="18">
        <v>4.1346203097853522E-3</v>
      </c>
      <c r="AB242" s="5">
        <v>-0.15639731260051548</v>
      </c>
      <c r="AC242" s="4">
        <v>5.3449047519593193E-6</v>
      </c>
      <c r="AE242" s="5">
        <v>-1.0570712344634026</v>
      </c>
      <c r="AF242" s="5">
        <v>-0.95251405788862009</v>
      </c>
    </row>
    <row r="243" spans="23:32" x14ac:dyDescent="0.25">
      <c r="W243">
        <v>73</v>
      </c>
      <c r="X243" s="5">
        <v>73.865171062139794</v>
      </c>
      <c r="Y243" s="5">
        <v>-0.86517106213979389</v>
      </c>
      <c r="Z243" s="5">
        <v>-0.86873029485174413</v>
      </c>
      <c r="AA243" s="18">
        <v>4.0970514474308285E-3</v>
      </c>
      <c r="AB243" s="5">
        <v>-0.24109897697914559</v>
      </c>
      <c r="AC243" s="4">
        <v>1.2586110304315174E-5</v>
      </c>
      <c r="AE243" s="5">
        <v>-1.0570712344634026</v>
      </c>
      <c r="AF243" s="5">
        <v>-0.95208414220028559</v>
      </c>
    </row>
    <row r="244" spans="23:32" x14ac:dyDescent="0.25">
      <c r="W244">
        <v>72.7</v>
      </c>
      <c r="X244" s="5">
        <v>73.695811167955213</v>
      </c>
      <c r="Y244" s="5">
        <v>-0.99581116795521041</v>
      </c>
      <c r="Z244" s="5">
        <v>-1.0041872819908804</v>
      </c>
      <c r="AA244" s="18">
        <v>8.3411871330114802E-3</v>
      </c>
      <c r="AB244" s="5">
        <v>-0.27809792371166742</v>
      </c>
      <c r="AC244" s="4">
        <v>3.423792850416556E-5</v>
      </c>
      <c r="AE244" s="5">
        <v>-1.0570712344634026</v>
      </c>
      <c r="AF244" s="5">
        <v>-0.95032820504586235</v>
      </c>
    </row>
    <row r="245" spans="23:32" x14ac:dyDescent="0.25">
      <c r="W245">
        <v>72</v>
      </c>
      <c r="X245" s="5">
        <v>76.388970644878995</v>
      </c>
      <c r="Y245" s="5">
        <v>-4.3889706448789951</v>
      </c>
      <c r="Z245" s="5">
        <v>-4.4256273792657908</v>
      </c>
      <c r="AA245" s="18">
        <v>8.2828334257274965E-3</v>
      </c>
      <c r="AB245" s="5">
        <v>-1.2256618048485042</v>
      </c>
      <c r="AC245" s="4">
        <v>6.6035702219422799E-4</v>
      </c>
      <c r="AE245" s="5">
        <v>-1.0491313979639725</v>
      </c>
      <c r="AF245" s="5">
        <v>-0.94954367429860687</v>
      </c>
    </row>
    <row r="246" spans="23:32" x14ac:dyDescent="0.25">
      <c r="W246">
        <v>71.8</v>
      </c>
      <c r="X246" s="5">
        <v>74.463266272897357</v>
      </c>
      <c r="Y246" s="5">
        <v>-2.66326627289736</v>
      </c>
      <c r="Z246" s="5">
        <v>-2.6850289183279159</v>
      </c>
      <c r="AA246" s="18">
        <v>8.1051810213310753E-3</v>
      </c>
      <c r="AB246" s="5">
        <v>-0.74367583571781126</v>
      </c>
      <c r="AC246" s="4">
        <v>2.3785420651504868E-4</v>
      </c>
      <c r="AE246" s="5">
        <v>-1.0491313979639725</v>
      </c>
      <c r="AF246" s="5">
        <v>-0.94611542416964378</v>
      </c>
    </row>
    <row r="247" spans="23:32" x14ac:dyDescent="0.25">
      <c r="W247">
        <v>71.400000000000006</v>
      </c>
      <c r="X247" s="5">
        <v>74.392705010276472</v>
      </c>
      <c r="Y247" s="5">
        <v>-2.9927050102764667</v>
      </c>
      <c r="Z247" s="5">
        <v>-3.0089524997384132</v>
      </c>
      <c r="AA247" s="18">
        <v>5.3997161681210038E-3</v>
      </c>
      <c r="AB247" s="5">
        <v>-0.83452915373159609</v>
      </c>
      <c r="AC247" s="4">
        <v>1.9899940525056075E-4</v>
      </c>
      <c r="AE247" s="5">
        <v>-1.0491313979639725</v>
      </c>
      <c r="AF247" s="5">
        <v>-0.94591101856297222</v>
      </c>
    </row>
    <row r="248" spans="23:32" x14ac:dyDescent="0.25">
      <c r="W248">
        <v>71</v>
      </c>
      <c r="X248" s="5">
        <v>74.088976927288272</v>
      </c>
      <c r="Y248" s="5">
        <v>-3.0889769272882717</v>
      </c>
      <c r="Z248" s="5">
        <v>-3.1073522554666368</v>
      </c>
      <c r="AA248" s="18">
        <v>5.9135001981298644E-3</v>
      </c>
      <c r="AB248" s="5">
        <v>-0.86159757555095617</v>
      </c>
      <c r="AC248" s="4">
        <v>2.324212193579651E-4</v>
      </c>
      <c r="AE248" s="5">
        <v>-1.0491313979639725</v>
      </c>
      <c r="AF248" s="5">
        <v>-0.93705258703699601</v>
      </c>
    </row>
    <row r="249" spans="23:32" x14ac:dyDescent="0.25">
      <c r="W249">
        <v>75</v>
      </c>
      <c r="X249" s="5">
        <v>73.739853696162115</v>
      </c>
      <c r="Y249" s="5">
        <v>1.2601463038378853</v>
      </c>
      <c r="Z249" s="5">
        <v>1.2703045980910872</v>
      </c>
      <c r="AA249" s="18">
        <v>7.9967389462865506E-3</v>
      </c>
      <c r="AB249" s="5">
        <v>0.35185709421384259</v>
      </c>
      <c r="AC249" s="4">
        <v>5.252654572674101E-5</v>
      </c>
      <c r="AE249" s="5">
        <v>-1.0386467129748296</v>
      </c>
      <c r="AF249" s="5">
        <v>-0.93675721481910768</v>
      </c>
    </row>
    <row r="250" spans="23:32" x14ac:dyDescent="0.25">
      <c r="W250">
        <v>74.3</v>
      </c>
      <c r="X250" s="5">
        <v>75.334475793213585</v>
      </c>
      <c r="Y250" s="5">
        <v>-1.0344757932135877</v>
      </c>
      <c r="Z250" s="5">
        <v>-1.0411337482011476</v>
      </c>
      <c r="AA250" s="18">
        <v>6.3949084342557073E-3</v>
      </c>
      <c r="AB250" s="5">
        <v>-0.28861262193054066</v>
      </c>
      <c r="AC250" s="4">
        <v>2.8216137406599498E-5</v>
      </c>
      <c r="AE250" s="5">
        <v>-1.0386467129748296</v>
      </c>
      <c r="AF250" s="5">
        <v>-0.93631970496459771</v>
      </c>
    </row>
    <row r="251" spans="23:32" x14ac:dyDescent="0.25">
      <c r="W251">
        <v>74.099999999999994</v>
      </c>
      <c r="X251" s="5">
        <v>77.107616598194596</v>
      </c>
      <c r="Y251" s="5">
        <v>-3.0076165981946019</v>
      </c>
      <c r="Z251" s="5">
        <v>-3.0284782788867659</v>
      </c>
      <c r="AA251" s="18">
        <v>6.888502664059928E-3</v>
      </c>
      <c r="AB251" s="5">
        <v>-0.83931572476189753</v>
      </c>
      <c r="AC251" s="4">
        <v>2.5717215230666371E-4</v>
      </c>
      <c r="AE251" s="5">
        <v>-1.0334469496720613</v>
      </c>
      <c r="AF251" s="5">
        <v>-0.93548846808132557</v>
      </c>
    </row>
    <row r="252" spans="23:32" x14ac:dyDescent="0.25">
      <c r="W252">
        <v>73.900000000000006</v>
      </c>
      <c r="X252" s="5">
        <v>75.117480696702742</v>
      </c>
      <c r="Y252" s="5">
        <v>-1.2174806967027365</v>
      </c>
      <c r="Z252" s="5">
        <v>-1.2215890990823937</v>
      </c>
      <c r="AA252" s="18">
        <v>3.3631622799763258E-3</v>
      </c>
      <c r="AB252" s="5">
        <v>-0.33915287907925268</v>
      </c>
      <c r="AC252" s="4">
        <v>2.0429056206543536E-5</v>
      </c>
      <c r="AE252" s="5">
        <v>-1.0334469496720613</v>
      </c>
      <c r="AF252" s="5">
        <v>-0.93491949306671496</v>
      </c>
    </row>
    <row r="253" spans="23:32" x14ac:dyDescent="0.25">
      <c r="W253">
        <v>73.7</v>
      </c>
      <c r="X253" s="5">
        <v>74.892167515970399</v>
      </c>
      <c r="Y253" s="5">
        <v>-1.1921675159703966</v>
      </c>
      <c r="Z253" s="5">
        <v>-1.1959469385545702</v>
      </c>
      <c r="AA253" s="18">
        <v>3.1601925322341895E-3</v>
      </c>
      <c r="AB253" s="5">
        <v>-0.33206758942688619</v>
      </c>
      <c r="AC253" s="4">
        <v>1.8398717362347099E-5</v>
      </c>
      <c r="AE253" s="5">
        <v>-1.0334469496720613</v>
      </c>
      <c r="AF253" s="5">
        <v>-0.93183699999354763</v>
      </c>
    </row>
    <row r="254" spans="23:32" x14ac:dyDescent="0.25">
      <c r="W254">
        <v>73.400000000000006</v>
      </c>
      <c r="X254" s="5">
        <v>74.271007612999014</v>
      </c>
      <c r="Y254" s="5">
        <v>-0.87100761299900853</v>
      </c>
      <c r="Z254" s="5">
        <v>-0.87762920823952584</v>
      </c>
      <c r="AA254" s="18">
        <v>7.5448665317339502E-3</v>
      </c>
      <c r="AB254" s="5">
        <v>-0.24314671221614731</v>
      </c>
      <c r="AC254" s="4">
        <v>2.3655050585739011E-5</v>
      </c>
      <c r="AE254" s="5">
        <v>-1.0334469496720613</v>
      </c>
      <c r="AF254" s="5">
        <v>-0.92616988779841747</v>
      </c>
    </row>
    <row r="255" spans="23:32" x14ac:dyDescent="0.25">
      <c r="W255">
        <v>73.2</v>
      </c>
      <c r="X255" s="5">
        <v>74.136658133939093</v>
      </c>
      <c r="Y255" s="5">
        <v>-0.93665813393909048</v>
      </c>
      <c r="Z255" s="5">
        <v>-0.94003561390070445</v>
      </c>
      <c r="AA255" s="18">
        <v>3.5929276632320588E-3</v>
      </c>
      <c r="AB255" s="5">
        <v>-0.26095438556288114</v>
      </c>
      <c r="AC255" s="4">
        <v>1.2923711992332252E-5</v>
      </c>
      <c r="AE255" s="5">
        <v>-1.0334469496720613</v>
      </c>
      <c r="AF255" s="5">
        <v>-0.92306753322809687</v>
      </c>
    </row>
    <row r="256" spans="23:32" x14ac:dyDescent="0.25">
      <c r="W256">
        <v>72.900000000000006</v>
      </c>
      <c r="X256" s="5">
        <v>73.825028179973629</v>
      </c>
      <c r="Y256" s="5">
        <v>-0.92502817997362285</v>
      </c>
      <c r="Z256" s="5">
        <v>-0.92978298393525449</v>
      </c>
      <c r="AA256" s="18">
        <v>5.1138857602117333E-3</v>
      </c>
      <c r="AB256" s="5">
        <v>-0.25791118110765732</v>
      </c>
      <c r="AC256" s="4">
        <v>1.7995519657833088E-5</v>
      </c>
      <c r="AE256" s="5">
        <v>-1.0205681915260707</v>
      </c>
      <c r="AF256" s="5">
        <v>-0.9195621547553654</v>
      </c>
    </row>
    <row r="257" spans="23:32" x14ac:dyDescent="0.25">
      <c r="W257">
        <v>72.599999999999994</v>
      </c>
      <c r="X257" s="5">
        <v>71.785102245753492</v>
      </c>
      <c r="Y257" s="5">
        <v>0.8148977542465019</v>
      </c>
      <c r="Z257" s="5">
        <v>0.82093720082929167</v>
      </c>
      <c r="AA257" s="18">
        <v>7.3567705016782548E-3</v>
      </c>
      <c r="AB257" s="5">
        <v>0.22746177316701754</v>
      </c>
      <c r="AC257" s="4">
        <v>2.0181677558606676E-5</v>
      </c>
      <c r="AE257" s="5">
        <v>-1.0205681915260707</v>
      </c>
      <c r="AF257" s="5">
        <v>-0.91885456010998612</v>
      </c>
    </row>
    <row r="258" spans="23:32" x14ac:dyDescent="0.25">
      <c r="W258">
        <v>72.2</v>
      </c>
      <c r="X258" s="5">
        <v>71.651849845121063</v>
      </c>
      <c r="Y258" s="5">
        <v>0.54815015487893959</v>
      </c>
      <c r="Z258" s="5">
        <v>0.55216880672406887</v>
      </c>
      <c r="AA258" s="18">
        <v>7.2779407242778557E-3</v>
      </c>
      <c r="AB258" s="5">
        <v>0.15299864926503154</v>
      </c>
      <c r="AC258" s="4">
        <v>9.0323848602313245E-6</v>
      </c>
      <c r="AE258" s="5">
        <v>-1.0205681915260707</v>
      </c>
      <c r="AF258" s="5">
        <v>-0.91660462449417812</v>
      </c>
    </row>
    <row r="259" spans="23:32" x14ac:dyDescent="0.25">
      <c r="W259">
        <v>72.099999999999994</v>
      </c>
      <c r="X259" s="5">
        <v>75.909113970270425</v>
      </c>
      <c r="Y259" s="5">
        <v>-3.8091139702704311</v>
      </c>
      <c r="Z259" s="5">
        <v>-3.8262613185171261</v>
      </c>
      <c r="AA259" s="18">
        <v>4.4814890618449649E-3</v>
      </c>
      <c r="AB259" s="5">
        <v>-1.0616984638497122</v>
      </c>
      <c r="AC259" s="4">
        <v>2.6706795316271684E-4</v>
      </c>
      <c r="AE259" s="5">
        <v>-1.0205681915260707</v>
      </c>
      <c r="AF259" s="5">
        <v>-0.9151715633363926</v>
      </c>
    </row>
    <row r="260" spans="23:32" x14ac:dyDescent="0.25">
      <c r="W260">
        <v>72.2</v>
      </c>
      <c r="X260" s="5">
        <v>73.188023745858004</v>
      </c>
      <c r="Y260" s="5">
        <v>-0.98802374585800123</v>
      </c>
      <c r="Z260" s="5">
        <v>-0.99204971752271831</v>
      </c>
      <c r="AA260" s="18">
        <v>4.0582357855712256E-3</v>
      </c>
      <c r="AB260" s="5">
        <v>-0.27532921838131508</v>
      </c>
      <c r="AC260" s="4">
        <v>1.6257521399001977E-5</v>
      </c>
      <c r="AE260" s="5">
        <v>-1.0205681915260707</v>
      </c>
      <c r="AF260" s="5">
        <v>-0.91223280198918155</v>
      </c>
    </row>
    <row r="261" spans="23:32" x14ac:dyDescent="0.25">
      <c r="W261">
        <v>72</v>
      </c>
      <c r="X261" s="5">
        <v>72.548371202508775</v>
      </c>
      <c r="Y261" s="5">
        <v>-0.54837120250877547</v>
      </c>
      <c r="Z261" s="5">
        <v>-0.5510198576733103</v>
      </c>
      <c r="AA261" s="18">
        <v>4.8068234341406575E-3</v>
      </c>
      <c r="AB261" s="5">
        <v>-0.15287020108891058</v>
      </c>
      <c r="AC261" s="4">
        <v>5.940771560852576E-6</v>
      </c>
      <c r="AE261" s="5">
        <v>-1.0205681915260707</v>
      </c>
      <c r="AF261" s="5">
        <v>-0.91196377895255154</v>
      </c>
    </row>
    <row r="262" spans="23:32" x14ac:dyDescent="0.25">
      <c r="W262">
        <v>71.8</v>
      </c>
      <c r="X262" s="5">
        <v>72.476575960071841</v>
      </c>
      <c r="Y262" s="5">
        <v>-0.67657596007184395</v>
      </c>
      <c r="Z262" s="5">
        <v>-0.67920651686868894</v>
      </c>
      <c r="AA262" s="18">
        <v>3.8729852136508884E-3</v>
      </c>
      <c r="AB262" s="5">
        <v>-0.18852159050734707</v>
      </c>
      <c r="AC262" s="4">
        <v>7.2727676001123821E-6</v>
      </c>
      <c r="AE262" s="5">
        <v>-1.0205681915260707</v>
      </c>
      <c r="AF262" s="5">
        <v>-0.90863869361072469</v>
      </c>
    </row>
    <row r="263" spans="23:32" x14ac:dyDescent="0.25">
      <c r="W263">
        <v>71.599999999999994</v>
      </c>
      <c r="X263" s="5">
        <v>74.700883598671425</v>
      </c>
      <c r="Y263" s="5">
        <v>-3.1008835986714303</v>
      </c>
      <c r="Z263" s="5">
        <v>-3.1169874204353647</v>
      </c>
      <c r="AA263" s="18">
        <v>5.1664699248904324E-3</v>
      </c>
      <c r="AB263" s="5">
        <v>-0.86459386298320606</v>
      </c>
      <c r="AC263" s="4">
        <v>2.043215560133763E-4</v>
      </c>
      <c r="AE263" s="5">
        <v>-1.0028172174115717</v>
      </c>
      <c r="AF263" s="5">
        <v>-0.90686666610310451</v>
      </c>
    </row>
    <row r="264" spans="23:32" x14ac:dyDescent="0.25">
      <c r="W264">
        <v>71.099999999999994</v>
      </c>
      <c r="X264" s="5">
        <v>72.128480528654805</v>
      </c>
      <c r="Y264" s="5">
        <v>-1.0284805286548107</v>
      </c>
      <c r="Z264" s="5">
        <v>-1.0319974131626708</v>
      </c>
      <c r="AA264" s="18">
        <v>3.4078423676349302E-3</v>
      </c>
      <c r="AB264" s="5">
        <v>-0.28650963612972413</v>
      </c>
      <c r="AC264" s="4">
        <v>1.477361910758218E-5</v>
      </c>
      <c r="AE264" s="5">
        <v>-1.0028172174115717</v>
      </c>
      <c r="AF264" s="5">
        <v>-0.90399928889247871</v>
      </c>
    </row>
    <row r="265" spans="23:32" x14ac:dyDescent="0.25">
      <c r="W265">
        <v>59.3</v>
      </c>
      <c r="X265" s="5">
        <v>60.442904251276012</v>
      </c>
      <c r="Y265" s="5">
        <v>-1.1429042512760148</v>
      </c>
      <c r="Z265" s="5">
        <v>-1.1473034467903176</v>
      </c>
      <c r="AA265" s="18">
        <v>3.834378364858065E-3</v>
      </c>
      <c r="AB265" s="5">
        <v>-0.31845345498054739</v>
      </c>
      <c r="AC265" s="4">
        <v>2.0544791811820292E-5</v>
      </c>
      <c r="AE265" s="5">
        <v>-1.0028172174115717</v>
      </c>
      <c r="AF265" s="5">
        <v>-0.89888046541897892</v>
      </c>
    </row>
    <row r="266" spans="23:32" x14ac:dyDescent="0.25">
      <c r="W266">
        <v>59</v>
      </c>
      <c r="X266" s="5">
        <v>63.91657550460971</v>
      </c>
      <c r="Y266" s="5">
        <v>-4.9165755046097104</v>
      </c>
      <c r="Z266" s="5">
        <v>-4.9555694768674314</v>
      </c>
      <c r="AA266" s="18">
        <v>7.8687166913399449E-3</v>
      </c>
      <c r="AB266" s="5">
        <v>-1.3727139051375838</v>
      </c>
      <c r="AC266" s="4">
        <v>7.8657697654650369E-4</v>
      </c>
      <c r="AE266" s="5">
        <v>-1.0028172174115717</v>
      </c>
      <c r="AF266" s="5">
        <v>-0.89425047198798968</v>
      </c>
    </row>
    <row r="267" spans="23:32" x14ac:dyDescent="0.25">
      <c r="W267">
        <v>58.6</v>
      </c>
      <c r="X267" s="5">
        <v>57.884371604687686</v>
      </c>
      <c r="Y267" s="5">
        <v>0.71562839531231504</v>
      </c>
      <c r="Z267" s="5">
        <v>0.72510585003729489</v>
      </c>
      <c r="AA267" s="18">
        <v>1.3070443059437236E-2</v>
      </c>
      <c r="AB267" s="5">
        <v>0.20033017874418096</v>
      </c>
      <c r="AC267" s="4">
        <v>2.7973274687739092E-5</v>
      </c>
      <c r="AE267" s="5">
        <v>-1.0028172174115717</v>
      </c>
      <c r="AF267" s="5">
        <v>-0.8932218806094615</v>
      </c>
    </row>
    <row r="268" spans="23:32" x14ac:dyDescent="0.25">
      <c r="W268">
        <v>58.1</v>
      </c>
      <c r="X268" s="5">
        <v>57.902384347695566</v>
      </c>
      <c r="Y268" s="5">
        <v>0.19761565230443523</v>
      </c>
      <c r="Z268" s="5">
        <v>0.20101525826554933</v>
      </c>
      <c r="AA268" s="18">
        <v>1.6912178659698435E-2</v>
      </c>
      <c r="AB268" s="5">
        <v>5.5427727607509761E-2</v>
      </c>
      <c r="AC268" s="4">
        <v>2.7816839770658939E-6</v>
      </c>
      <c r="AE268" s="5">
        <v>-0.99032898964496086</v>
      </c>
      <c r="AF268" s="5">
        <v>-0.88854318828231837</v>
      </c>
    </row>
    <row r="269" spans="23:32" x14ac:dyDescent="0.25">
      <c r="W269">
        <v>57.5</v>
      </c>
      <c r="X269" s="5">
        <v>57.318056306842209</v>
      </c>
      <c r="Y269" s="5">
        <v>0.18194369315779113</v>
      </c>
      <c r="Z269" s="5">
        <v>0.1853006976018392</v>
      </c>
      <c r="AA269" s="18">
        <v>1.8116523507431599E-2</v>
      </c>
      <c r="AB269" s="5">
        <v>5.1063305166924214E-2</v>
      </c>
      <c r="AC269" s="4">
        <v>2.5320900874425853E-6</v>
      </c>
      <c r="AE269" s="5">
        <v>-0.99032898964496086</v>
      </c>
      <c r="AF269" s="5">
        <v>-0.88567347615739678</v>
      </c>
    </row>
    <row r="270" spans="23:32" x14ac:dyDescent="0.25">
      <c r="W270">
        <v>56.9</v>
      </c>
      <c r="X270" s="5">
        <v>56.841626063840444</v>
      </c>
      <c r="Y270" s="5">
        <v>5.8373936159554773E-2</v>
      </c>
      <c r="Z270" s="5">
        <v>6.0451446460128011E-2</v>
      </c>
      <c r="AA270" s="18">
        <v>3.4366593724818303E-2</v>
      </c>
      <c r="AB270" s="5">
        <v>1.6520178275993801E-2</v>
      </c>
      <c r="AC270" s="4">
        <v>5.1121085298787267E-7</v>
      </c>
      <c r="AE270" s="5">
        <v>-0.99032898964496086</v>
      </c>
      <c r="AF270" s="5">
        <v>-0.88351866963692771</v>
      </c>
    </row>
    <row r="271" spans="23:32" x14ac:dyDescent="0.25">
      <c r="W271">
        <v>56.1</v>
      </c>
      <c r="X271" s="5">
        <v>56.315520900283936</v>
      </c>
      <c r="Y271" s="5">
        <v>-0.21552090028393422</v>
      </c>
      <c r="Z271" s="5">
        <v>-0.21756948446981994</v>
      </c>
      <c r="AA271" s="18">
        <v>9.4157698211876396E-3</v>
      </c>
      <c r="AB271" s="5">
        <v>-6.0220669490788928E-2</v>
      </c>
      <c r="AC271" s="4">
        <v>1.8142702581565309E-6</v>
      </c>
      <c r="AE271" s="5">
        <v>-0.99032898964496086</v>
      </c>
      <c r="AF271" s="5">
        <v>-0.88175647114025479</v>
      </c>
    </row>
    <row r="272" spans="23:32" x14ac:dyDescent="0.25">
      <c r="W272">
        <v>55.3</v>
      </c>
      <c r="X272" s="5">
        <v>55.404343569821492</v>
      </c>
      <c r="Y272" s="5">
        <v>-0.10434356982149495</v>
      </c>
      <c r="Z272" s="5">
        <v>-0.10544218591608967</v>
      </c>
      <c r="AA272" s="18">
        <v>1.0419132390440742E-2</v>
      </c>
      <c r="AB272" s="5">
        <v>-2.9170369981215728E-2</v>
      </c>
      <c r="AC272" s="4">
        <v>4.7153131530421553E-7</v>
      </c>
      <c r="AE272" s="5">
        <v>-0.98044852568054008</v>
      </c>
      <c r="AF272" s="5">
        <v>-0.87281817208811119</v>
      </c>
    </row>
    <row r="273" spans="23:32" x14ac:dyDescent="0.25">
      <c r="W273">
        <v>54.3</v>
      </c>
      <c r="X273" s="5">
        <v>59.354304835481038</v>
      </c>
      <c r="Y273" s="5">
        <v>-5.0543048354810409</v>
      </c>
      <c r="Z273" s="5">
        <v>-5.2267179197727316</v>
      </c>
      <c r="AA273" s="18">
        <v>3.2986873777796605E-2</v>
      </c>
      <c r="AB273" s="5">
        <v>-1.4293781489816981</v>
      </c>
      <c r="AC273" s="4">
        <v>3.6681700949707111E-3</v>
      </c>
      <c r="AE273" s="5">
        <v>-0.98044852568054008</v>
      </c>
      <c r="AF273" s="5">
        <v>-0.87234884810262725</v>
      </c>
    </row>
    <row r="274" spans="23:32" x14ac:dyDescent="0.25">
      <c r="W274">
        <v>59.1</v>
      </c>
      <c r="X274" s="5">
        <v>63.416998846931619</v>
      </c>
      <c r="Y274" s="5">
        <v>-4.3169988469316181</v>
      </c>
      <c r="Z274" s="5">
        <v>-4.3370394736101758</v>
      </c>
      <c r="AA274" s="18">
        <v>4.6208079959838303E-3</v>
      </c>
      <c r="AB274" s="5">
        <v>-1.2033433036456751</v>
      </c>
      <c r="AC274" s="4">
        <v>3.5379757795358342E-4</v>
      </c>
      <c r="AE274" s="5">
        <v>-0.97554401628441823</v>
      </c>
      <c r="AF274" s="5">
        <v>-0.87091281269900622</v>
      </c>
    </row>
    <row r="275" spans="23:32" x14ac:dyDescent="0.25">
      <c r="W275">
        <v>58.6</v>
      </c>
      <c r="X275" s="5">
        <v>67.64912307997804</v>
      </c>
      <c r="Y275" s="5">
        <v>-9.0491230799780382</v>
      </c>
      <c r="Z275" s="5">
        <v>-9.1064118759163293</v>
      </c>
      <c r="AA275" s="18">
        <v>6.2910394037636258E-3</v>
      </c>
      <c r="AB275" s="5">
        <v>-2.524519815966217</v>
      </c>
      <c r="AC275" s="4">
        <v>2.1235728606995188E-3</v>
      </c>
      <c r="AE275" s="5">
        <v>-0.97554401628441823</v>
      </c>
      <c r="AF275" s="5">
        <v>-0.87009956380726283</v>
      </c>
    </row>
    <row r="276" spans="23:32" x14ac:dyDescent="0.25">
      <c r="W276">
        <v>58</v>
      </c>
      <c r="X276" s="5">
        <v>62.522610959958563</v>
      </c>
      <c r="Y276" s="5">
        <v>-4.5226109599585627</v>
      </c>
      <c r="Z276" s="5">
        <v>-4.5461755761613745</v>
      </c>
      <c r="AA276" s="18">
        <v>5.1833933397508851E-3</v>
      </c>
      <c r="AB276" s="5">
        <v>-1.2610131324258123</v>
      </c>
      <c r="AC276" s="4">
        <v>4.3607055021537423E-4</v>
      </c>
      <c r="AE276" s="5">
        <v>-0.97554401628441823</v>
      </c>
      <c r="AF276" s="5">
        <v>-0.86855333445242622</v>
      </c>
    </row>
    <row r="277" spans="23:32" x14ac:dyDescent="0.25">
      <c r="W277">
        <v>57.4</v>
      </c>
      <c r="X277" s="5">
        <v>61.565901554337913</v>
      </c>
      <c r="Y277" s="5">
        <v>-4.1659015543379141</v>
      </c>
      <c r="Z277" s="5">
        <v>-4.1874724959817229</v>
      </c>
      <c r="AA277" s="18">
        <v>5.1513034806822018E-3</v>
      </c>
      <c r="AB277" s="5">
        <v>-1.1615352038161288</v>
      </c>
      <c r="AC277" s="4">
        <v>3.6768105576689752E-4</v>
      </c>
      <c r="AE277" s="5">
        <v>-0.96823093621551704</v>
      </c>
      <c r="AF277" s="5">
        <v>-0.86459386298320606</v>
      </c>
    </row>
    <row r="278" spans="23:32" x14ac:dyDescent="0.25">
      <c r="W278">
        <v>56.8</v>
      </c>
      <c r="X278" s="5">
        <v>65.513027816041046</v>
      </c>
      <c r="Y278" s="5">
        <v>-8.7130278160410484</v>
      </c>
      <c r="Z278" s="5">
        <v>-8.7806155601312099</v>
      </c>
      <c r="AA278" s="18">
        <v>7.6973810807809762E-3</v>
      </c>
      <c r="AB278" s="5">
        <v>-2.4324780135462265</v>
      </c>
      <c r="AC278" s="4">
        <v>2.4157005409548055E-3</v>
      </c>
      <c r="AE278" s="5">
        <v>-0.96823093621551704</v>
      </c>
      <c r="AF278" s="5">
        <v>-0.86454306167835204</v>
      </c>
    </row>
    <row r="279" spans="23:32" x14ac:dyDescent="0.25">
      <c r="W279">
        <v>56.2</v>
      </c>
      <c r="X279" s="5">
        <v>59.10655765712886</v>
      </c>
      <c r="Y279" s="5">
        <v>-2.9065576571288574</v>
      </c>
      <c r="Z279" s="5">
        <v>-2.9209923162051368</v>
      </c>
      <c r="AA279" s="18">
        <v>4.9416970377487834E-3</v>
      </c>
      <c r="AB279" s="5">
        <v>-0.8103200226499675</v>
      </c>
      <c r="AC279" s="4">
        <v>1.7162759947561876E-4</v>
      </c>
      <c r="AE279" s="5">
        <v>-0.96823093621551704</v>
      </c>
      <c r="AF279" s="5">
        <v>-0.86159757555095617</v>
      </c>
    </row>
    <row r="280" spans="23:32" x14ac:dyDescent="0.25">
      <c r="W280">
        <v>55.3</v>
      </c>
      <c r="X280" s="5">
        <v>63.1173592984875</v>
      </c>
      <c r="Y280" s="5">
        <v>-7.8173592984875029</v>
      </c>
      <c r="Z280" s="5">
        <v>-7.8859155185707976</v>
      </c>
      <c r="AA280" s="18">
        <v>8.6935017147784805E-3</v>
      </c>
      <c r="AB280" s="5">
        <v>-2.183524094127125</v>
      </c>
      <c r="AC280" s="4">
        <v>2.2006408331695405E-3</v>
      </c>
      <c r="AE280" s="5">
        <v>-0.96823093621551704</v>
      </c>
      <c r="AF280" s="5">
        <v>-0.85846839494706118</v>
      </c>
    </row>
    <row r="281" spans="23:32" x14ac:dyDescent="0.25">
      <c r="W281">
        <v>54.8</v>
      </c>
      <c r="X281" s="5">
        <v>56.336493851142251</v>
      </c>
      <c r="Y281" s="5">
        <v>-1.5364938511422537</v>
      </c>
      <c r="Z281" s="5">
        <v>-1.5496461468403311</v>
      </c>
      <c r="AA281" s="18">
        <v>8.4872896466662191E-3</v>
      </c>
      <c r="AB281" s="5">
        <v>-0.42912476187827231</v>
      </c>
      <c r="AC281" s="4">
        <v>8.2962969369985564E-5</v>
      </c>
      <c r="AE281" s="5">
        <v>-0.96823093621551704</v>
      </c>
      <c r="AF281" s="5">
        <v>-0.85711607327023309</v>
      </c>
    </row>
    <row r="282" spans="23:32" x14ac:dyDescent="0.25">
      <c r="W282">
        <v>54.1</v>
      </c>
      <c r="X282" s="5">
        <v>55.427428442465313</v>
      </c>
      <c r="Y282" s="5">
        <v>-1.3274284424653118</v>
      </c>
      <c r="Z282" s="5">
        <v>-1.3442078542676015</v>
      </c>
      <c r="AA282" s="18">
        <v>1.2482750899732782E-2</v>
      </c>
      <c r="AB282" s="5">
        <v>-0.37148447246541039</v>
      </c>
      <c r="AC282" s="4">
        <v>9.1810709580566062E-5</v>
      </c>
      <c r="AE282" s="5">
        <v>-0.95615619123390583</v>
      </c>
      <c r="AF282" s="5">
        <v>-0.85582609762498307</v>
      </c>
    </row>
    <row r="283" spans="23:32" x14ac:dyDescent="0.25">
      <c r="W283">
        <v>53.4</v>
      </c>
      <c r="X283" s="5">
        <v>54.398836800937502</v>
      </c>
      <c r="Y283" s="5">
        <v>-0.99883680093750371</v>
      </c>
      <c r="Z283" s="5">
        <v>-1.0100575868140567</v>
      </c>
      <c r="AA283" s="18">
        <v>1.1109055585581357E-2</v>
      </c>
      <c r="AB283" s="5">
        <v>-0.27933298789180283</v>
      </c>
      <c r="AC283" s="4">
        <v>4.6133838673854912E-5</v>
      </c>
      <c r="AE283" s="5">
        <v>-0.95615619123390583</v>
      </c>
      <c r="AF283" s="5">
        <v>-0.85337108713972454</v>
      </c>
    </row>
    <row r="284" spans="23:32" x14ac:dyDescent="0.25">
      <c r="W284">
        <v>52.6</v>
      </c>
      <c r="X284" s="5">
        <v>53.214940520280933</v>
      </c>
      <c r="Y284" s="5">
        <v>-0.61494052028093193</v>
      </c>
      <c r="Z284" s="5">
        <v>-0.62083653432951991</v>
      </c>
      <c r="AA284" s="18">
        <v>9.4968864146427467E-3</v>
      </c>
      <c r="AB284" s="5">
        <v>-0.17183320090680237</v>
      </c>
      <c r="AC284" s="4">
        <v>1.4899989355438887E-5</v>
      </c>
      <c r="AE284" s="5">
        <v>-0.95615619123390583</v>
      </c>
      <c r="AF284" s="5">
        <v>-0.84800311097298864</v>
      </c>
    </row>
    <row r="285" spans="23:32" x14ac:dyDescent="0.25">
      <c r="W285">
        <v>73</v>
      </c>
      <c r="X285" s="5">
        <v>71.261256692671623</v>
      </c>
      <c r="Y285" s="5">
        <v>1.7387433073283773</v>
      </c>
      <c r="Z285" s="5">
        <v>1.7511373889710029</v>
      </c>
      <c r="AA285" s="18">
        <v>7.0777322902752446E-3</v>
      </c>
      <c r="AB285" s="5">
        <v>0.48526585942310674</v>
      </c>
      <c r="AC285" s="4">
        <v>8.8345565716422555E-5</v>
      </c>
      <c r="AE285" s="5">
        <v>-0.94897780985887348</v>
      </c>
      <c r="AF285" s="5">
        <v>-0.83931572476189753</v>
      </c>
    </row>
    <row r="286" spans="23:32" x14ac:dyDescent="0.25">
      <c r="W286">
        <v>72.8</v>
      </c>
      <c r="X286" s="5">
        <v>73.89111489422514</v>
      </c>
      <c r="Y286" s="5">
        <v>-1.091114894225143</v>
      </c>
      <c r="Z286" s="5">
        <v>-1.0966708493458697</v>
      </c>
      <c r="AA286" s="18">
        <v>5.0662011523761753E-3</v>
      </c>
      <c r="AB286" s="5">
        <v>-0.30421125913823127</v>
      </c>
      <c r="AC286" s="4">
        <v>2.4801914796097457E-5</v>
      </c>
      <c r="AE286" s="5">
        <v>-0.94897780985887348</v>
      </c>
      <c r="AF286" s="5">
        <v>-0.83533402688257419</v>
      </c>
    </row>
    <row r="287" spans="23:32" x14ac:dyDescent="0.25">
      <c r="W287">
        <v>72.7</v>
      </c>
      <c r="X287" s="5">
        <v>71.443580591990411</v>
      </c>
      <c r="Y287" s="5">
        <v>1.2564194080095916</v>
      </c>
      <c r="Z287" s="5">
        <v>1.2610049474851763</v>
      </c>
      <c r="AA287" s="18">
        <v>3.6364167204310433E-3</v>
      </c>
      <c r="AB287" s="5">
        <v>0.35004800367003036</v>
      </c>
      <c r="AC287" s="4">
        <v>2.3537341560099775E-5</v>
      </c>
      <c r="AE287" s="5">
        <v>-0.94897780985887348</v>
      </c>
      <c r="AF287" s="5">
        <v>-0.83452915373159609</v>
      </c>
    </row>
    <row r="288" spans="23:32" x14ac:dyDescent="0.25">
      <c r="W288">
        <v>72.599999999999994</v>
      </c>
      <c r="X288" s="5">
        <v>69.56507290789429</v>
      </c>
      <c r="Y288" s="5">
        <v>3.0349270921057041</v>
      </c>
      <c r="Z288" s="5">
        <v>3.0806168901206519</v>
      </c>
      <c r="AA288" s="18">
        <v>1.4831379442691188E-2</v>
      </c>
      <c r="AB288" s="5">
        <v>0.85034442573270475</v>
      </c>
      <c r="AC288" s="4">
        <v>5.7293732088829069E-4</v>
      </c>
      <c r="AE288" s="5">
        <v>-0.94897780985887348</v>
      </c>
      <c r="AF288" s="5">
        <v>-0.83302982453363039</v>
      </c>
    </row>
    <row r="289" spans="23:32" x14ac:dyDescent="0.25">
      <c r="W289">
        <v>72.5</v>
      </c>
      <c r="X289" s="5">
        <v>70.755906533912224</v>
      </c>
      <c r="Y289" s="5">
        <v>1.7440934660877758</v>
      </c>
      <c r="Z289" s="5">
        <v>1.7478189137372055</v>
      </c>
      <c r="AA289" s="18">
        <v>2.1314837710884145E-3</v>
      </c>
      <c r="AB289" s="5">
        <v>0.48555114955147932</v>
      </c>
      <c r="AC289" s="4">
        <v>2.6504833615385185E-5</v>
      </c>
      <c r="AE289" s="5">
        <v>-0.94897780985887348</v>
      </c>
      <c r="AF289" s="5">
        <v>-0.83189461714908897</v>
      </c>
    </row>
    <row r="290" spans="23:32" x14ac:dyDescent="0.25">
      <c r="W290">
        <v>72.400000000000006</v>
      </c>
      <c r="X290" s="5">
        <v>70.371959818782457</v>
      </c>
      <c r="Y290" s="5">
        <v>2.0280401812175484</v>
      </c>
      <c r="Z290" s="5">
        <v>2.0327296438845224</v>
      </c>
      <c r="AA290" s="18">
        <v>2.3069780484997089E-3</v>
      </c>
      <c r="AB290" s="5">
        <v>0.56465084158933454</v>
      </c>
      <c r="AC290" s="4">
        <v>3.8801890524854253E-5</v>
      </c>
      <c r="AE290" s="5">
        <v>-0.93712127394454381</v>
      </c>
      <c r="AF290" s="5">
        <v>-0.82569323601607614</v>
      </c>
    </row>
    <row r="291" spans="23:32" x14ac:dyDescent="0.25">
      <c r="W291">
        <v>72.400000000000006</v>
      </c>
      <c r="X291" s="5">
        <v>70.109189205591591</v>
      </c>
      <c r="Y291" s="5">
        <v>2.2908107944084151</v>
      </c>
      <c r="Z291" s="5">
        <v>2.2964368097930361</v>
      </c>
      <c r="AA291" s="18">
        <v>2.4498890457708812E-3</v>
      </c>
      <c r="AB291" s="5">
        <v>0.6378576257603491</v>
      </c>
      <c r="AC291" s="4">
        <v>5.2590293869921496E-5</v>
      </c>
      <c r="AE291" s="5">
        <v>-0.93712127394454381</v>
      </c>
      <c r="AF291" s="5">
        <v>-0.82542880702061616</v>
      </c>
    </row>
    <row r="292" spans="23:32" x14ac:dyDescent="0.25">
      <c r="W292">
        <v>72.3</v>
      </c>
      <c r="X292" s="5">
        <v>69.502421892181772</v>
      </c>
      <c r="Y292" s="5">
        <v>2.7975781078182251</v>
      </c>
      <c r="Z292" s="5">
        <v>2.8045738968597647</v>
      </c>
      <c r="AA292" s="18">
        <v>2.4944213626813109E-3</v>
      </c>
      <c r="AB292" s="5">
        <v>0.77898024838793112</v>
      </c>
      <c r="AC292" s="4">
        <v>7.9864499622741501E-5</v>
      </c>
      <c r="AE292" s="5">
        <v>-0.93241539434320697</v>
      </c>
      <c r="AF292" s="5">
        <v>-0.82505294640174553</v>
      </c>
    </row>
    <row r="293" spans="23:32" x14ac:dyDescent="0.25">
      <c r="W293">
        <v>72.099999999999994</v>
      </c>
      <c r="X293" s="5">
        <v>69.285163265165039</v>
      </c>
      <c r="Y293" s="5">
        <v>2.8148367348349552</v>
      </c>
      <c r="Z293" s="5">
        <v>2.8211630876117511</v>
      </c>
      <c r="AA293" s="18">
        <v>2.242462622802777E-3</v>
      </c>
      <c r="AB293" s="5">
        <v>0.78368691089706122</v>
      </c>
      <c r="AC293" s="4">
        <v>7.2649358081669719E-5</v>
      </c>
      <c r="AE293" s="5">
        <v>-0.93241539434320697</v>
      </c>
      <c r="AF293" s="5">
        <v>-0.82490840252367492</v>
      </c>
    </row>
    <row r="294" spans="23:32" x14ac:dyDescent="0.25">
      <c r="W294">
        <v>71.8</v>
      </c>
      <c r="X294" s="5">
        <v>68.280403802709628</v>
      </c>
      <c r="Y294" s="5">
        <v>3.5195961972903689</v>
      </c>
      <c r="Z294" s="5">
        <v>3.5275162098603374</v>
      </c>
      <c r="AA294" s="18">
        <v>2.2452094048030077E-3</v>
      </c>
      <c r="AB294" s="5">
        <v>0.97990239860732287</v>
      </c>
      <c r="AC294" s="4">
        <v>1.137221525756454E-4</v>
      </c>
      <c r="AE294" s="5">
        <v>-0.9277300733017374</v>
      </c>
      <c r="AF294" s="5">
        <v>-0.82341415146343555</v>
      </c>
    </row>
    <row r="295" spans="23:32" x14ac:dyDescent="0.25">
      <c r="W295">
        <v>71.400000000000006</v>
      </c>
      <c r="X295" s="5">
        <v>70.259237783517563</v>
      </c>
      <c r="Y295" s="5">
        <v>1.1407622164824431</v>
      </c>
      <c r="Z295" s="5">
        <v>1.1452981345851185</v>
      </c>
      <c r="AA295" s="18">
        <v>3.9604693011444942E-3</v>
      </c>
      <c r="AB295" s="5">
        <v>0.31787672696243763</v>
      </c>
      <c r="AC295" s="4">
        <v>2.1146278156932777E-5</v>
      </c>
      <c r="AE295" s="5">
        <v>-0.9277300733017374</v>
      </c>
      <c r="AF295" s="5">
        <v>-0.82331870615128722</v>
      </c>
    </row>
    <row r="296" spans="23:32" x14ac:dyDescent="0.25">
      <c r="W296">
        <v>71.099999999999994</v>
      </c>
      <c r="X296" s="5">
        <v>68.203997897705932</v>
      </c>
      <c r="Y296" s="5">
        <v>2.8960021022940623</v>
      </c>
      <c r="Z296" s="5">
        <v>2.9041114863540685</v>
      </c>
      <c r="AA296" s="18">
        <v>2.7923804227572169E-3</v>
      </c>
      <c r="AB296" s="5">
        <v>0.80650668296600359</v>
      </c>
      <c r="AC296" s="4">
        <v>9.5863070686605847E-5</v>
      </c>
      <c r="AE296" s="5">
        <v>-0.9277300733017374</v>
      </c>
      <c r="AF296" s="5">
        <v>-0.82152374909944137</v>
      </c>
    </row>
    <row r="297" spans="23:32" x14ac:dyDescent="0.25">
      <c r="W297">
        <v>77</v>
      </c>
      <c r="X297" s="5">
        <v>68.447963521098799</v>
      </c>
      <c r="Y297" s="5">
        <v>8.5520364789012007</v>
      </c>
      <c r="Z297" s="5">
        <v>8.6607651609765099</v>
      </c>
      <c r="AA297" s="18">
        <v>1.2554165833432256E-2</v>
      </c>
      <c r="AB297" s="5">
        <v>2.3933972929986531</v>
      </c>
      <c r="AC297" s="4">
        <v>3.8331037043625063E-3</v>
      </c>
      <c r="AE297" s="5">
        <v>-0.9277300733017374</v>
      </c>
      <c r="AF297" s="5">
        <v>-0.81452539765809451</v>
      </c>
    </row>
    <row r="298" spans="23:32" x14ac:dyDescent="0.25">
      <c r="W298">
        <v>68.3</v>
      </c>
      <c r="X298" s="5">
        <v>67.332002044820101</v>
      </c>
      <c r="Y298" s="5">
        <v>0.96799795517989651</v>
      </c>
      <c r="Z298" s="5">
        <v>0.98635815893116785</v>
      </c>
      <c r="AA298" s="18">
        <v>1.8614134820117319E-2</v>
      </c>
      <c r="AB298" s="5">
        <v>0.27174179034097418</v>
      </c>
      <c r="AC298" s="4">
        <v>7.3716094881221122E-5</v>
      </c>
      <c r="AE298" s="5">
        <v>-0.91841998904288702</v>
      </c>
      <c r="AF298" s="5">
        <v>-0.81440284476639158</v>
      </c>
    </row>
    <row r="299" spans="23:32" x14ac:dyDescent="0.25">
      <c r="W299">
        <v>67.8</v>
      </c>
      <c r="X299" s="5">
        <v>66.738035039300399</v>
      </c>
      <c r="Y299" s="5">
        <v>1.0619649606995978</v>
      </c>
      <c r="Z299" s="5">
        <v>1.0658135824426722</v>
      </c>
      <c r="AA299" s="18">
        <v>3.6109708174737647E-3</v>
      </c>
      <c r="AB299" s="5">
        <v>0.29586773756144918</v>
      </c>
      <c r="AC299" s="4">
        <v>1.6696931373758381E-5</v>
      </c>
      <c r="AE299" s="5">
        <v>-0.91841998904288702</v>
      </c>
      <c r="AF299" s="5">
        <v>-0.81396501367622398</v>
      </c>
    </row>
    <row r="300" spans="23:32" x14ac:dyDescent="0.25">
      <c r="W300">
        <v>67.400000000000006</v>
      </c>
      <c r="X300" s="5">
        <v>66.676508853578071</v>
      </c>
      <c r="Y300" s="5">
        <v>0.72349114642193513</v>
      </c>
      <c r="Z300" s="5">
        <v>0.72578366469031153</v>
      </c>
      <c r="AA300" s="18">
        <v>3.1586798930758036E-3</v>
      </c>
      <c r="AB300" s="5">
        <v>0.2015218293281546</v>
      </c>
      <c r="AC300" s="4">
        <v>6.7728300332746985E-6</v>
      </c>
      <c r="AE300" s="5">
        <v>-0.91841998904288702</v>
      </c>
      <c r="AF300" s="5">
        <v>-0.81229676542960638</v>
      </c>
    </row>
    <row r="301" spans="23:32" x14ac:dyDescent="0.25">
      <c r="W301">
        <v>67</v>
      </c>
      <c r="X301" s="5">
        <v>69.334927034849002</v>
      </c>
      <c r="Y301" s="5">
        <v>-2.3349270348490023</v>
      </c>
      <c r="Z301" s="5">
        <v>-2.3461039596581514</v>
      </c>
      <c r="AA301" s="18">
        <v>4.7640364627213813E-3</v>
      </c>
      <c r="AB301" s="5">
        <v>-0.65089685758370475</v>
      </c>
      <c r="AC301" s="4">
        <v>1.067381728827956E-4</v>
      </c>
      <c r="AE301" s="5">
        <v>-0.91148934236618206</v>
      </c>
      <c r="AF301" s="5">
        <v>-0.8103200226499675</v>
      </c>
    </row>
    <row r="302" spans="23:32" x14ac:dyDescent="0.25">
      <c r="W302">
        <v>66.599999999999994</v>
      </c>
      <c r="X302" s="5">
        <v>66.138830018146876</v>
      </c>
      <c r="Y302" s="5">
        <v>0.46116998185311786</v>
      </c>
      <c r="Z302" s="5">
        <v>0.46248423178161602</v>
      </c>
      <c r="AA302" s="18">
        <v>2.841718351001294E-3</v>
      </c>
      <c r="AB302" s="5">
        <v>0.12843425541014836</v>
      </c>
      <c r="AC302" s="4">
        <v>2.4741445814869897E-6</v>
      </c>
      <c r="AE302" s="5">
        <v>-0.91148934236618206</v>
      </c>
      <c r="AF302" s="5">
        <v>-0.80690340053211995</v>
      </c>
    </row>
    <row r="303" spans="23:32" x14ac:dyDescent="0.25">
      <c r="W303">
        <v>66.099999999999994</v>
      </c>
      <c r="X303" s="5">
        <v>66.078355082197419</v>
      </c>
      <c r="Y303" s="5">
        <v>2.1644917802575492E-2</v>
      </c>
      <c r="Z303" s="5">
        <v>2.1716714527556746E-2</v>
      </c>
      <c r="AA303" s="18">
        <v>3.3060583306338256E-3</v>
      </c>
      <c r="AB303" s="5">
        <v>6.029439245795909E-3</v>
      </c>
      <c r="AC303" s="4">
        <v>6.3467141613018047E-9</v>
      </c>
      <c r="AE303" s="5">
        <v>-0.91148934236618206</v>
      </c>
      <c r="AF303" s="5">
        <v>-0.80370432094321764</v>
      </c>
    </row>
    <row r="304" spans="23:32" x14ac:dyDescent="0.25">
      <c r="W304">
        <v>65.599999999999994</v>
      </c>
      <c r="X304" s="5">
        <v>65.748010094313472</v>
      </c>
      <c r="Y304" s="5">
        <v>-0.14801009431347723</v>
      </c>
      <c r="Z304" s="5">
        <v>-0.14846231729961801</v>
      </c>
      <c r="AA304" s="18">
        <v>3.046045584937557E-3</v>
      </c>
      <c r="AB304" s="5">
        <v>-4.1224526583330631E-2</v>
      </c>
      <c r="AC304" s="4">
        <v>2.7328704897435224E-7</v>
      </c>
      <c r="AE304" s="5">
        <v>-0.90460220385671419</v>
      </c>
      <c r="AF304" s="5">
        <v>-0.80261359627555817</v>
      </c>
    </row>
    <row r="305" spans="23:32" x14ac:dyDescent="0.25">
      <c r="W305">
        <v>65</v>
      </c>
      <c r="X305" s="5">
        <v>67.8583682702684</v>
      </c>
      <c r="Y305" s="5">
        <v>-2.8583682702684001</v>
      </c>
      <c r="Z305" s="5">
        <v>-2.8738061405765478</v>
      </c>
      <c r="AA305" s="18">
        <v>5.3719247412608142E-3</v>
      </c>
      <c r="AB305" s="5">
        <v>-0.79705761826654653</v>
      </c>
      <c r="AC305" s="4">
        <v>1.8059055768837002E-4</v>
      </c>
      <c r="AE305" s="5">
        <v>-0.90460220385671419</v>
      </c>
      <c r="AF305" s="5">
        <v>-0.80052724276458664</v>
      </c>
    </row>
    <row r="306" spans="23:32" x14ac:dyDescent="0.25">
      <c r="W306">
        <v>64.099999999999994</v>
      </c>
      <c r="X306" s="5">
        <v>63.062700414581599</v>
      </c>
      <c r="Y306" s="5">
        <v>1.0372995854183955</v>
      </c>
      <c r="Z306" s="5">
        <v>1.0518397966907855</v>
      </c>
      <c r="AA306" s="18">
        <v>1.3823598724954202E-2</v>
      </c>
      <c r="AB306" s="5">
        <v>0.29048839910378987</v>
      </c>
      <c r="AC306" s="4">
        <v>6.2254463962073517E-5</v>
      </c>
      <c r="AE306" s="5">
        <v>-0.90460220385671419</v>
      </c>
      <c r="AF306" s="5">
        <v>-0.79973729042388886</v>
      </c>
    </row>
    <row r="307" spans="23:32" x14ac:dyDescent="0.25">
      <c r="W307">
        <v>56.7</v>
      </c>
      <c r="X307" s="5">
        <v>61.405282868164043</v>
      </c>
      <c r="Y307" s="5">
        <v>-4.7052828681640406</v>
      </c>
      <c r="Z307" s="5">
        <v>-4.7246465399355912</v>
      </c>
      <c r="AA307" s="18">
        <v>4.0984381811168405E-3</v>
      </c>
      <c r="AB307" s="5">
        <v>-1.3112316458263693</v>
      </c>
      <c r="AC307" s="4">
        <v>3.7239789603784587E-4</v>
      </c>
      <c r="AE307" s="5">
        <v>-0.90460220385671419</v>
      </c>
      <c r="AF307" s="5">
        <v>-0.79721254822036725</v>
      </c>
    </row>
    <row r="308" spans="23:32" x14ac:dyDescent="0.25">
      <c r="W308">
        <v>56.4</v>
      </c>
      <c r="X308" s="5">
        <v>61.210489175469327</v>
      </c>
      <c r="Y308" s="5">
        <v>-4.8104891754693284</v>
      </c>
      <c r="Z308" s="5">
        <v>-4.8301113608880826</v>
      </c>
      <c r="AA308" s="18">
        <v>4.0624706042270897E-3</v>
      </c>
      <c r="AB308" s="5">
        <v>-1.3405255148411312</v>
      </c>
      <c r="AC308" s="4">
        <v>3.8579331824088221E-4</v>
      </c>
      <c r="AE308" s="5">
        <v>-0.90460220385671419</v>
      </c>
      <c r="AF308" s="5">
        <v>-0.79709459676327554</v>
      </c>
    </row>
    <row r="309" spans="23:32" x14ac:dyDescent="0.25">
      <c r="W309">
        <v>55.9</v>
      </c>
      <c r="X309" s="5">
        <v>60.724410314593079</v>
      </c>
      <c r="Y309" s="5">
        <v>-4.8244103145930808</v>
      </c>
      <c r="Z309" s="5">
        <v>-4.8435660951186108</v>
      </c>
      <c r="AA309" s="18">
        <v>3.9548919431153821E-3</v>
      </c>
      <c r="AB309" s="5">
        <v>-1.34433227587116</v>
      </c>
      <c r="AC309" s="4">
        <v>3.7767241523285419E-4</v>
      </c>
      <c r="AE309" s="5">
        <v>-0.90460220385671419</v>
      </c>
      <c r="AF309" s="5">
        <v>-0.79705761826654653</v>
      </c>
    </row>
    <row r="310" spans="23:32" x14ac:dyDescent="0.25">
      <c r="W310">
        <v>55.6</v>
      </c>
      <c r="X310" s="5">
        <v>58.978079544041556</v>
      </c>
      <c r="Y310" s="5">
        <v>-3.3780795440415545</v>
      </c>
      <c r="Z310" s="5">
        <v>-3.4262148263094474</v>
      </c>
      <c r="AA310" s="18">
        <v>1.4049113878751884E-2</v>
      </c>
      <c r="AB310" s="5">
        <v>-0.94611542416964378</v>
      </c>
      <c r="AC310" s="4">
        <v>6.7131800542861639E-4</v>
      </c>
      <c r="AE310" s="5">
        <v>-0.89095501331493132</v>
      </c>
      <c r="AF310" s="5">
        <v>-0.79557442612233831</v>
      </c>
    </row>
    <row r="311" spans="23:32" x14ac:dyDescent="0.25">
      <c r="W311">
        <v>55.3</v>
      </c>
      <c r="X311" s="5">
        <v>64.697177960119788</v>
      </c>
      <c r="Y311" s="5">
        <v>-9.3971779601197909</v>
      </c>
      <c r="Z311" s="5">
        <v>-9.4522298408569299</v>
      </c>
      <c r="AA311" s="18">
        <v>5.8242215502603651E-3</v>
      </c>
      <c r="AB311" s="5">
        <v>-2.6210044252204265</v>
      </c>
      <c r="AC311" s="4">
        <v>2.1181495331770361E-3</v>
      </c>
      <c r="AE311" s="5">
        <v>-0.88869659543514345</v>
      </c>
      <c r="AF311" s="5">
        <v>-0.79212507109675068</v>
      </c>
    </row>
    <row r="312" spans="23:32" x14ac:dyDescent="0.25">
      <c r="W312">
        <v>54.8</v>
      </c>
      <c r="X312" s="5">
        <v>57.304873130918267</v>
      </c>
      <c r="Y312" s="5">
        <v>-2.5048731309182699</v>
      </c>
      <c r="Z312" s="5">
        <v>-2.543296007417986</v>
      </c>
      <c r="AA312" s="18">
        <v>1.5107512608696565E-2</v>
      </c>
      <c r="AB312" s="5">
        <v>-0.70192904540048939</v>
      </c>
      <c r="AC312" s="4">
        <v>3.9777452605603233E-4</v>
      </c>
      <c r="AE312" s="5">
        <v>-0.88869659543514345</v>
      </c>
      <c r="AF312" s="5">
        <v>-0.79072178111453095</v>
      </c>
    </row>
    <row r="313" spans="23:32" x14ac:dyDescent="0.25">
      <c r="W313">
        <v>54.2</v>
      </c>
      <c r="X313" s="5">
        <v>57.276040183166245</v>
      </c>
      <c r="Y313" s="5">
        <v>-3.0760401831662421</v>
      </c>
      <c r="Z313" s="5">
        <v>-3.0880440782276679</v>
      </c>
      <c r="AA313" s="18">
        <v>3.8872162305126374E-3</v>
      </c>
      <c r="AB313" s="5">
        <v>-0.85711607327023309</v>
      </c>
      <c r="AC313" s="4">
        <v>1.5088840352025585E-4</v>
      </c>
      <c r="AE313" s="5">
        <v>-0.88869659543514345</v>
      </c>
      <c r="AF313" s="5">
        <v>-0.78193609487208071</v>
      </c>
    </row>
    <row r="314" spans="23:32" x14ac:dyDescent="0.25">
      <c r="W314">
        <v>53.6</v>
      </c>
      <c r="X314" s="5">
        <v>55.971375958088437</v>
      </c>
      <c r="Y314" s="5">
        <v>-2.3713759580884357</v>
      </c>
      <c r="Z314" s="5">
        <v>-2.3823505370770306</v>
      </c>
      <c r="AA314" s="18">
        <v>4.6066180512875123E-3</v>
      </c>
      <c r="AB314" s="5">
        <v>-0.66100528189473029</v>
      </c>
      <c r="AC314" s="4">
        <v>1.0642501371481224E-4</v>
      </c>
      <c r="AE314" s="5">
        <v>-0.88869659543514345</v>
      </c>
      <c r="AF314" s="5">
        <v>-0.77863182865414948</v>
      </c>
    </row>
    <row r="315" spans="23:32" x14ac:dyDescent="0.25">
      <c r="W315">
        <v>53.3</v>
      </c>
      <c r="X315" s="5">
        <v>55.967529532075041</v>
      </c>
      <c r="Y315" s="5">
        <v>-2.6675295320750436</v>
      </c>
      <c r="Z315" s="5">
        <v>-2.6788753735932787</v>
      </c>
      <c r="AA315" s="18">
        <v>4.2353002420638256E-3</v>
      </c>
      <c r="AB315" s="5">
        <v>-0.74341747372296574</v>
      </c>
      <c r="AC315" s="4">
        <v>1.237198558694874E-4</v>
      </c>
      <c r="AE315" s="5">
        <v>-0.87970786716299942</v>
      </c>
      <c r="AF315" s="5">
        <v>-0.77551711926024136</v>
      </c>
    </row>
    <row r="316" spans="23:32" x14ac:dyDescent="0.25">
      <c r="W316">
        <v>52.8</v>
      </c>
      <c r="X316" s="5">
        <v>61.416144542242627</v>
      </c>
      <c r="Y316" s="5">
        <v>-8.6161445422426297</v>
      </c>
      <c r="Z316" s="5">
        <v>-8.8135356049835067</v>
      </c>
      <c r="AA316" s="18">
        <v>2.2396353925122386E-2</v>
      </c>
      <c r="AB316" s="5">
        <v>-2.4234466380113786</v>
      </c>
      <c r="AC316" s="4">
        <v>7.0815419333814175E-3</v>
      </c>
      <c r="AE316" s="5">
        <v>-0.87970786716299942</v>
      </c>
      <c r="AF316" s="5">
        <v>-0.77334246860028066</v>
      </c>
    </row>
    <row r="317" spans="23:32" x14ac:dyDescent="0.25">
      <c r="W317">
        <v>82</v>
      </c>
      <c r="X317" s="5">
        <v>78.714715455059235</v>
      </c>
      <c r="Y317" s="5">
        <v>3.2852845449407653</v>
      </c>
      <c r="Z317" s="5">
        <v>3.3136222650932865</v>
      </c>
      <c r="AA317" s="18">
        <v>8.5518860888379525E-3</v>
      </c>
      <c r="AB317" s="5">
        <v>0.91757143899228155</v>
      </c>
      <c r="AC317" s="4">
        <v>3.8222411997520936E-4</v>
      </c>
      <c r="AE317" s="5">
        <v>-0.87970786716299942</v>
      </c>
      <c r="AF317" s="5">
        <v>-0.76918059581867482</v>
      </c>
    </row>
    <row r="318" spans="23:32" x14ac:dyDescent="0.25">
      <c r="W318">
        <v>81.8</v>
      </c>
      <c r="X318" s="5">
        <v>83.001603730281104</v>
      </c>
      <c r="Y318" s="5">
        <v>-1.2016037302811071</v>
      </c>
      <c r="Z318" s="5">
        <v>-1.2368787134256962</v>
      </c>
      <c r="AA318" s="18">
        <v>2.8519355019769255E-2</v>
      </c>
      <c r="AB318" s="5">
        <v>-0.33903620914241106</v>
      </c>
      <c r="AC318" s="4">
        <v>1.7760047088285642E-4</v>
      </c>
      <c r="AE318" s="5">
        <v>-0.873012700415573</v>
      </c>
      <c r="AF318" s="5">
        <v>-0.76653175559471098</v>
      </c>
    </row>
    <row r="319" spans="23:32" x14ac:dyDescent="0.25">
      <c r="W319">
        <v>81.599999999999994</v>
      </c>
      <c r="X319" s="5">
        <v>83.369370198759015</v>
      </c>
      <c r="Y319" s="5">
        <v>-1.7693701987590202</v>
      </c>
      <c r="Z319" s="5">
        <v>-1.8342876620104249</v>
      </c>
      <c r="AA319" s="18">
        <v>3.5391102822039555E-2</v>
      </c>
      <c r="AB319" s="5">
        <v>-0.50100835493675311</v>
      </c>
      <c r="AC319" s="4">
        <v>4.8470686217198079E-4</v>
      </c>
      <c r="AE319" s="5">
        <v>-0.873012700415573</v>
      </c>
      <c r="AF319" s="5">
        <v>-0.76103900725420792</v>
      </c>
    </row>
    <row r="320" spans="23:32" x14ac:dyDescent="0.25">
      <c r="W320">
        <v>81.5</v>
      </c>
      <c r="X320" s="5">
        <v>79.13473100464283</v>
      </c>
      <c r="Y320" s="5">
        <v>2.3652689953571695</v>
      </c>
      <c r="Z320" s="5">
        <v>2.3996883293664268</v>
      </c>
      <c r="AA320" s="18">
        <v>1.4343251824849981E-2</v>
      </c>
      <c r="AB320" s="5">
        <v>0.66255140753818997</v>
      </c>
      <c r="AC320" s="4">
        <v>3.3620756768148454E-4</v>
      </c>
      <c r="AE320" s="5">
        <v>-0.873012700415573</v>
      </c>
      <c r="AF320" s="5">
        <v>-0.76097871436855047</v>
      </c>
    </row>
    <row r="321" spans="23:32" x14ac:dyDescent="0.25">
      <c r="W321">
        <v>81.2</v>
      </c>
      <c r="X321" s="5">
        <v>84.092328241320743</v>
      </c>
      <c r="Y321" s="5">
        <v>-2.8923282413207403</v>
      </c>
      <c r="Z321" s="5">
        <v>-2.9497016155678466</v>
      </c>
      <c r="AA321" s="18">
        <v>1.9450568811537696E-2</v>
      </c>
      <c r="AB321" s="5">
        <v>-0.81229676542960638</v>
      </c>
      <c r="AC321" s="4">
        <v>6.8887220356031616E-4</v>
      </c>
      <c r="AE321" s="5">
        <v>-0.873012700415573</v>
      </c>
      <c r="AF321" s="5">
        <v>-0.7589928142189305</v>
      </c>
    </row>
    <row r="322" spans="23:32" x14ac:dyDescent="0.25">
      <c r="W322">
        <v>81</v>
      </c>
      <c r="X322" s="5">
        <v>79.537459367928506</v>
      </c>
      <c r="Y322" s="5">
        <v>1.4625406320714944</v>
      </c>
      <c r="Z322" s="5">
        <v>1.4751686937521953</v>
      </c>
      <c r="AA322" s="18">
        <v>8.5604187061379886E-3</v>
      </c>
      <c r="AB322" s="5">
        <v>0.40848555695654248</v>
      </c>
      <c r="AC322" s="4">
        <v>7.5827818909281482E-5</v>
      </c>
      <c r="AE322" s="5">
        <v>-0.86414620345364646</v>
      </c>
      <c r="AF322" s="5">
        <v>-0.75871616148820575</v>
      </c>
    </row>
    <row r="323" spans="23:32" x14ac:dyDescent="0.25">
      <c r="W323">
        <v>87</v>
      </c>
      <c r="X323" s="5">
        <v>82.13380118081615</v>
      </c>
      <c r="Y323" s="5">
        <v>4.8661988191838503</v>
      </c>
      <c r="Z323" s="5">
        <v>4.9887968135880243</v>
      </c>
      <c r="AA323" s="18">
        <v>2.4574661784230501E-2</v>
      </c>
      <c r="AB323" s="5">
        <v>1.3702339518784261</v>
      </c>
      <c r="AC323" s="4">
        <v>2.4895987902370824E-3</v>
      </c>
      <c r="AE323" s="5">
        <v>-0.86414620345364646</v>
      </c>
      <c r="AF323" s="5">
        <v>-0.75852198911206137</v>
      </c>
    </row>
    <row r="324" spans="23:32" x14ac:dyDescent="0.25">
      <c r="W324">
        <v>85</v>
      </c>
      <c r="X324" s="5">
        <v>82.035413543983168</v>
      </c>
      <c r="Y324" s="5">
        <v>2.964586456016832</v>
      </c>
      <c r="Z324" s="5">
        <v>3.0624751583343368</v>
      </c>
      <c r="AA324" s="18">
        <v>3.1963917176960607E-2</v>
      </c>
      <c r="AB324" s="5">
        <v>0.83795411713295775</v>
      </c>
      <c r="AC324" s="4">
        <v>1.2202682972143393E-3</v>
      </c>
      <c r="AE324" s="5">
        <v>-0.85973834429501084</v>
      </c>
      <c r="AF324" s="5">
        <v>-0.75126418647432025</v>
      </c>
    </row>
    <row r="325" spans="23:32" x14ac:dyDescent="0.25">
      <c r="W325">
        <v>85</v>
      </c>
      <c r="X325" s="5">
        <v>79.414028114607476</v>
      </c>
      <c r="Y325" s="5">
        <v>5.5859718853925244</v>
      </c>
      <c r="Z325" s="5">
        <v>5.6570998393430187</v>
      </c>
      <c r="AA325" s="18">
        <v>1.2573218781790331E-2</v>
      </c>
      <c r="AB325" s="5">
        <v>1.5633210881536634</v>
      </c>
      <c r="AC325" s="4">
        <v>1.6378885319724191E-3</v>
      </c>
      <c r="AE325" s="5">
        <v>-0.85973834429501084</v>
      </c>
      <c r="AF325" s="5">
        <v>-0.74514236004582435</v>
      </c>
    </row>
    <row r="326" spans="23:32" x14ac:dyDescent="0.25">
      <c r="W326">
        <v>81</v>
      </c>
      <c r="X326" s="5">
        <v>81.820837397260135</v>
      </c>
      <c r="Y326" s="5">
        <v>-0.82083739726013505</v>
      </c>
      <c r="Z326" s="5">
        <v>-0.83427888717314147</v>
      </c>
      <c r="AA326" s="18">
        <v>1.6111506739125706E-2</v>
      </c>
      <c r="AB326" s="5">
        <v>-0.2301368082869544</v>
      </c>
      <c r="AC326" s="4">
        <v>4.5646643272493367E-5</v>
      </c>
      <c r="AE326" s="5">
        <v>-0.85973834429501084</v>
      </c>
      <c r="AF326" s="5">
        <v>-0.74367583571781126</v>
      </c>
    </row>
    <row r="327" spans="23:32" x14ac:dyDescent="0.25">
      <c r="W327">
        <v>80</v>
      </c>
      <c r="X327" s="5">
        <v>79.520223135340729</v>
      </c>
      <c r="Y327" s="5">
        <v>0.4797768646592715</v>
      </c>
      <c r="Z327" s="5">
        <v>0.48958623279114022</v>
      </c>
      <c r="AA327" s="18">
        <v>2.0036037524868301E-2</v>
      </c>
      <c r="AB327" s="5">
        <v>0.13478331735096552</v>
      </c>
      <c r="AC327" s="4">
        <v>1.9548813924872907E-5</v>
      </c>
      <c r="AE327" s="5">
        <v>-0.85973834429501084</v>
      </c>
      <c r="AF327" s="5">
        <v>-0.74341747372296574</v>
      </c>
    </row>
    <row r="328" spans="23:32" x14ac:dyDescent="0.25">
      <c r="W328">
        <v>79.7</v>
      </c>
      <c r="X328" s="5">
        <v>79.05975877334329</v>
      </c>
      <c r="Y328" s="5">
        <v>0.64024122665671257</v>
      </c>
      <c r="Z328" s="5">
        <v>0.65233578756257771</v>
      </c>
      <c r="AA328" s="18">
        <v>1.854039152298247E-2</v>
      </c>
      <c r="AB328" s="5">
        <v>0.17972533929995393</v>
      </c>
      <c r="AC328" s="4">
        <v>3.2115263770196006E-5</v>
      </c>
      <c r="AE328" s="5">
        <v>-0.85973834429501084</v>
      </c>
      <c r="AF328" s="5">
        <v>-0.7428505223265891</v>
      </c>
    </row>
    <row r="329" spans="23:32" x14ac:dyDescent="0.25">
      <c r="W329">
        <v>58</v>
      </c>
      <c r="X329" s="5">
        <v>54.788883058895927</v>
      </c>
      <c r="Y329" s="5">
        <v>3.2111169411040734</v>
      </c>
      <c r="Z329" s="5">
        <v>3.2314281524536099</v>
      </c>
      <c r="AA329" s="18">
        <v>6.2855215685708029E-3</v>
      </c>
      <c r="AB329" s="5">
        <v>0.8958333057041773</v>
      </c>
      <c r="AC329" s="4">
        <v>2.6716558405511789E-4</v>
      </c>
      <c r="AE329" s="5">
        <v>-0.85973834429501084</v>
      </c>
      <c r="AF329" s="5">
        <v>-0.74106985552256055</v>
      </c>
    </row>
    <row r="330" spans="23:32" x14ac:dyDescent="0.25">
      <c r="W330">
        <v>49.9</v>
      </c>
      <c r="X330" s="5">
        <v>54.096432578843988</v>
      </c>
      <c r="Y330" s="5">
        <v>-4.1964325788439893</v>
      </c>
      <c r="Z330" s="5">
        <v>-4.2393572765375254</v>
      </c>
      <c r="AA330" s="18">
        <v>1.0125284304557253E-2</v>
      </c>
      <c r="AB330" s="5">
        <v>-1.1729838324282309</v>
      </c>
      <c r="AC330" s="4">
        <v>7.4072575716586876E-4</v>
      </c>
      <c r="AE330" s="5">
        <v>-0.85973834429501084</v>
      </c>
      <c r="AF330" s="5">
        <v>-0.7383179628381118</v>
      </c>
    </row>
    <row r="331" spans="23:32" x14ac:dyDescent="0.25">
      <c r="W331">
        <v>53</v>
      </c>
      <c r="X331" s="5">
        <v>54.614793181963925</v>
      </c>
      <c r="Y331" s="5">
        <v>-1.6147931819639254</v>
      </c>
      <c r="Z331" s="5">
        <v>-1.6251917191895231</v>
      </c>
      <c r="AA331" s="18">
        <v>6.398344947746765E-3</v>
      </c>
      <c r="AB331" s="5">
        <v>-0.45051851684558691</v>
      </c>
      <c r="AC331" s="4">
        <v>6.8790273204978345E-5</v>
      </c>
      <c r="AE331" s="5">
        <v>-0.84444052159937644</v>
      </c>
      <c r="AF331" s="5">
        <v>-0.73661633848085117</v>
      </c>
    </row>
    <row r="332" spans="23:32" x14ac:dyDescent="0.25">
      <c r="W332">
        <v>49.8</v>
      </c>
      <c r="X332" s="5">
        <v>53.157630252875975</v>
      </c>
      <c r="Y332" s="5">
        <v>-3.3576302528759783</v>
      </c>
      <c r="Z332" s="5">
        <v>-3.3813589438271379</v>
      </c>
      <c r="AA332" s="18">
        <v>7.0175013494129454E-3</v>
      </c>
      <c r="AB332" s="5">
        <v>-0.93705258703699601</v>
      </c>
      <c r="AC332" s="4">
        <v>3.26599291130705E-4</v>
      </c>
      <c r="AE332" s="5">
        <v>-0.84444052159937644</v>
      </c>
      <c r="AF332" s="5">
        <v>-0.7361578383554952</v>
      </c>
    </row>
    <row r="333" spans="23:32" x14ac:dyDescent="0.25">
      <c r="W333">
        <v>49.2</v>
      </c>
      <c r="X333" s="5">
        <v>52.549403052311519</v>
      </c>
      <c r="Y333" s="5">
        <v>-3.3494030523115157</v>
      </c>
      <c r="Z333" s="5">
        <v>-3.3742498288136602</v>
      </c>
      <c r="AA333" s="18">
        <v>7.3636445914494874E-3</v>
      </c>
      <c r="AB333" s="5">
        <v>-0.93491949306671496</v>
      </c>
      <c r="AC333" s="4">
        <v>3.412694956429967E-4</v>
      </c>
      <c r="AE333" s="5">
        <v>-0.84444052159937644</v>
      </c>
      <c r="AF333" s="5">
        <v>-0.73594176867540551</v>
      </c>
    </row>
    <row r="334" spans="23:32" x14ac:dyDescent="0.25">
      <c r="W334">
        <v>48.6</v>
      </c>
      <c r="X334" s="5">
        <v>52.335995810323055</v>
      </c>
      <c r="Y334" s="5">
        <v>-3.7359958103230539</v>
      </c>
      <c r="Z334" s="5">
        <v>-3.7638520406372606</v>
      </c>
      <c r="AA334" s="18">
        <v>7.4009897343060458E-3</v>
      </c>
      <c r="AB334" s="5">
        <v>-1.042848818372055</v>
      </c>
      <c r="AC334" s="4">
        <v>4.2678099324571471E-4</v>
      </c>
      <c r="AE334" s="5">
        <v>-0.84444052159937644</v>
      </c>
      <c r="AF334" s="5">
        <v>-0.73430289333132159</v>
      </c>
    </row>
    <row r="335" spans="23:32" x14ac:dyDescent="0.25">
      <c r="W335">
        <v>52.6</v>
      </c>
      <c r="X335" s="5">
        <v>56.013333415618291</v>
      </c>
      <c r="Y335" s="5">
        <v>-3.4133334156182897</v>
      </c>
      <c r="Z335" s="5">
        <v>-3.4337460068803054</v>
      </c>
      <c r="AA335" s="18">
        <v>5.9447004004132943E-3</v>
      </c>
      <c r="AB335" s="5">
        <v>-0.95208414220028559</v>
      </c>
      <c r="AC335" s="4">
        <v>2.8530966865470845E-4</v>
      </c>
      <c r="AE335" s="5">
        <v>-0.8357870519497973</v>
      </c>
      <c r="AF335" s="5">
        <v>-0.73036405980618335</v>
      </c>
    </row>
    <row r="336" spans="23:32" x14ac:dyDescent="0.25">
      <c r="W336">
        <v>52.2</v>
      </c>
      <c r="X336" s="5">
        <v>55.829753490840929</v>
      </c>
      <c r="Y336" s="5">
        <v>-3.6297534908409261</v>
      </c>
      <c r="Z336" s="5">
        <v>-3.6509609175575264</v>
      </c>
      <c r="AA336" s="18">
        <v>5.8087246605714703E-3</v>
      </c>
      <c r="AB336" s="5">
        <v>-1.0123811484403478</v>
      </c>
      <c r="AC336" s="4">
        <v>3.1517034094200513E-4</v>
      </c>
      <c r="AE336" s="5">
        <v>-0.8357870519497973</v>
      </c>
      <c r="AF336" s="5">
        <v>-0.7301630997167502</v>
      </c>
    </row>
    <row r="337" spans="23:32" x14ac:dyDescent="0.25">
      <c r="W337">
        <v>51.8</v>
      </c>
      <c r="X337" s="5">
        <v>55.142697854547407</v>
      </c>
      <c r="Y337" s="5">
        <v>-3.34269785454741</v>
      </c>
      <c r="Z337" s="5">
        <v>-3.3851348222931321</v>
      </c>
      <c r="AA337" s="18">
        <v>1.2536271071465445E-2</v>
      </c>
      <c r="AB337" s="5">
        <v>-0.93548846808132557</v>
      </c>
      <c r="AC337" s="4">
        <v>5.8475035961186241E-4</v>
      </c>
      <c r="AE337" s="5">
        <v>-0.8357870519497973</v>
      </c>
      <c r="AF337" s="5">
        <v>-0.72810469907103637</v>
      </c>
    </row>
    <row r="338" spans="23:32" x14ac:dyDescent="0.25">
      <c r="W338">
        <v>51.6</v>
      </c>
      <c r="X338" s="5">
        <v>54.211283405071342</v>
      </c>
      <c r="Y338" s="5">
        <v>-2.6112834050713403</v>
      </c>
      <c r="Z338" s="5">
        <v>-2.6398665320241079</v>
      </c>
      <c r="AA338" s="18">
        <v>1.0827489422676027E-2</v>
      </c>
      <c r="AB338" s="5">
        <v>-0.7301630997167502</v>
      </c>
      <c r="AC338" s="4">
        <v>3.0714389749293995E-4</v>
      </c>
      <c r="AE338" s="5">
        <v>-0.8357870519497973</v>
      </c>
      <c r="AF338" s="5">
        <v>-0.72749515886651428</v>
      </c>
    </row>
    <row r="339" spans="23:32" x14ac:dyDescent="0.25">
      <c r="W339">
        <v>51.2</v>
      </c>
      <c r="X339" s="5">
        <v>54.360722286014671</v>
      </c>
      <c r="Y339" s="5">
        <v>-3.1607222860146678</v>
      </c>
      <c r="Z339" s="5">
        <v>-3.1805863373053</v>
      </c>
      <c r="AA339" s="18">
        <v>6.2454054642827293E-3</v>
      </c>
      <c r="AB339" s="5">
        <v>-0.88175647114025479</v>
      </c>
      <c r="AC339" s="4">
        <v>2.5717289843849516E-4</v>
      </c>
      <c r="AE339" s="5">
        <v>-0.8357870519497973</v>
      </c>
      <c r="AF339" s="5">
        <v>-0.72619398839167515</v>
      </c>
    </row>
    <row r="340" spans="23:32" x14ac:dyDescent="0.25">
      <c r="W340">
        <v>57</v>
      </c>
      <c r="X340" s="5">
        <v>58.994569813160645</v>
      </c>
      <c r="Y340" s="5">
        <v>-1.9945698131606449</v>
      </c>
      <c r="Z340" s="5">
        <v>-2.0192982110330604</v>
      </c>
      <c r="AA340" s="18">
        <v>1.2246035646099055E-2</v>
      </c>
      <c r="AB340" s="5">
        <v>-0.55811891720225248</v>
      </c>
      <c r="AC340" s="4">
        <v>2.032575202617854E-4</v>
      </c>
      <c r="AE340" s="5">
        <v>-0.82505741806651978</v>
      </c>
      <c r="AF340" s="5">
        <v>-0.72592449697535788</v>
      </c>
    </row>
    <row r="341" spans="23:32" x14ac:dyDescent="0.25">
      <c r="W341">
        <v>49.6</v>
      </c>
      <c r="X341" s="5">
        <v>52.231414196872024</v>
      </c>
      <c r="Y341" s="5">
        <v>-2.6314141968720222</v>
      </c>
      <c r="Z341" s="5">
        <v>-2.6628633745005885</v>
      </c>
      <c r="AA341" s="18">
        <v>1.1810285848579688E-2</v>
      </c>
      <c r="AB341" s="5">
        <v>-0.7361578383554952</v>
      </c>
      <c r="AC341" s="4">
        <v>3.4088536817420664E-4</v>
      </c>
      <c r="AE341" s="5">
        <v>-0.82505741806651978</v>
      </c>
      <c r="AF341" s="5">
        <v>-0.72591222163555147</v>
      </c>
    </row>
    <row r="342" spans="23:32" x14ac:dyDescent="0.25">
      <c r="W342">
        <v>83</v>
      </c>
      <c r="X342" s="5">
        <v>79.334042122153576</v>
      </c>
      <c r="Y342" s="5">
        <v>3.6659578778464237</v>
      </c>
      <c r="Z342" s="5">
        <v>3.6761090970796602</v>
      </c>
      <c r="AA342" s="18">
        <v>2.7614031480451408E-3</v>
      </c>
      <c r="AB342" s="5">
        <v>1.0209155595718671</v>
      </c>
      <c r="AC342" s="4">
        <v>1.5189965287974461E-4</v>
      </c>
      <c r="AE342" s="5">
        <v>-0.8207920883323806</v>
      </c>
      <c r="AF342" s="5">
        <v>-0.72250285546419091</v>
      </c>
    </row>
    <row r="343" spans="23:32" x14ac:dyDescent="0.25">
      <c r="W343">
        <v>81</v>
      </c>
      <c r="X343" s="5">
        <v>78.446863874993596</v>
      </c>
      <c r="Y343" s="5">
        <v>2.5531361250064037</v>
      </c>
      <c r="Z343" s="5">
        <v>2.6085516443023238</v>
      </c>
      <c r="AA343" s="18">
        <v>2.1243788451326358E-2</v>
      </c>
      <c r="AB343" s="5">
        <v>0.71769281222397541</v>
      </c>
      <c r="AC343" s="4">
        <v>5.8841133364702413E-4</v>
      </c>
      <c r="AE343" s="5">
        <v>-0.81866501502518862</v>
      </c>
      <c r="AF343" s="5">
        <v>-0.71980606449294804</v>
      </c>
    </row>
    <row r="344" spans="23:32" x14ac:dyDescent="0.25">
      <c r="W344">
        <v>79.900000000000006</v>
      </c>
      <c r="X344" s="5">
        <v>77.042654074295257</v>
      </c>
      <c r="Y344" s="5">
        <v>2.8573459257047489</v>
      </c>
      <c r="Z344" s="5">
        <v>2.90343530976034</v>
      </c>
      <c r="AA344" s="18">
        <v>1.5874086775984904E-2</v>
      </c>
      <c r="AB344" s="5">
        <v>0.80101265904459262</v>
      </c>
      <c r="AC344" s="4">
        <v>5.4470735686298476E-4</v>
      </c>
      <c r="AE344" s="5">
        <v>-0.81866501502518862</v>
      </c>
      <c r="AF344" s="5">
        <v>-0.71631368705368381</v>
      </c>
    </row>
    <row r="345" spans="23:32" x14ac:dyDescent="0.25">
      <c r="W345">
        <v>79.8</v>
      </c>
      <c r="X345" s="5">
        <v>77.224787578563081</v>
      </c>
      <c r="Y345" s="5">
        <v>2.5752124214369161</v>
      </c>
      <c r="Z345" s="5">
        <v>2.5819869658607928</v>
      </c>
      <c r="AA345" s="18">
        <v>2.62377173605206E-3</v>
      </c>
      <c r="AB345" s="5">
        <v>0.71710944697893453</v>
      </c>
      <c r="AC345" s="4">
        <v>7.1200709802737795E-5</v>
      </c>
      <c r="AE345" s="5">
        <v>-0.81866501502518862</v>
      </c>
      <c r="AF345" s="5">
        <v>-0.71598885620590902</v>
      </c>
    </row>
    <row r="346" spans="23:32" x14ac:dyDescent="0.25">
      <c r="W346">
        <v>79.099999999999994</v>
      </c>
      <c r="X346" s="5">
        <v>75.035615894424296</v>
      </c>
      <c r="Y346" s="5">
        <v>4.064384105575698</v>
      </c>
      <c r="Z346" s="5">
        <v>4.1007138461404793</v>
      </c>
      <c r="AA346" s="18">
        <v>8.8593698384917575E-3</v>
      </c>
      <c r="AB346" s="5">
        <v>1.1353479921505021</v>
      </c>
      <c r="AC346" s="4">
        <v>6.064178045007149E-4</v>
      </c>
      <c r="AE346" s="5">
        <v>-0.81230589119800856</v>
      </c>
      <c r="AF346" s="5">
        <v>-0.71490550151828647</v>
      </c>
    </row>
    <row r="347" spans="23:32" x14ac:dyDescent="0.25">
      <c r="W347">
        <v>79.3</v>
      </c>
      <c r="X347" s="5">
        <v>76.966890544062508</v>
      </c>
      <c r="Y347" s="5">
        <v>2.333109455937489</v>
      </c>
      <c r="Z347" s="5">
        <v>2.339263216730842</v>
      </c>
      <c r="AA347" s="18">
        <v>2.630640600569997E-3</v>
      </c>
      <c r="AB347" s="5">
        <v>0.64969420737413075</v>
      </c>
      <c r="AC347" s="4">
        <v>5.8596258332193378E-5</v>
      </c>
      <c r="AE347" s="5">
        <v>-0.81230589119800856</v>
      </c>
      <c r="AF347" s="5">
        <v>-0.71419790854143772</v>
      </c>
    </row>
    <row r="348" spans="23:32" x14ac:dyDescent="0.25">
      <c r="W348">
        <v>79.599999999999994</v>
      </c>
      <c r="X348" s="5">
        <v>76.815842395341505</v>
      </c>
      <c r="Y348" s="5">
        <v>2.784157604658489</v>
      </c>
      <c r="Z348" s="5">
        <v>2.7908283024102047</v>
      </c>
      <c r="AA348" s="18">
        <v>2.3902214786741811E-3</v>
      </c>
      <c r="AB348" s="5">
        <v>0.77520284710876808</v>
      </c>
      <c r="AC348" s="4">
        <v>7.5779993638406859E-5</v>
      </c>
      <c r="AE348" s="5">
        <v>-0.80808466725232064</v>
      </c>
      <c r="AF348" s="5">
        <v>-0.70761858054909088</v>
      </c>
    </row>
    <row r="349" spans="23:32" x14ac:dyDescent="0.25">
      <c r="W349">
        <v>78.900000000000006</v>
      </c>
      <c r="X349" s="5">
        <v>77.679638626805783</v>
      </c>
      <c r="Y349" s="5">
        <v>1.2203613731942227</v>
      </c>
      <c r="Z349" s="5">
        <v>1.2239317443693949</v>
      </c>
      <c r="AA349" s="18">
        <v>2.9171325865117578E-3</v>
      </c>
      <c r="AB349" s="5">
        <v>0.33987930202439948</v>
      </c>
      <c r="AC349" s="4">
        <v>1.7787739032069781E-5</v>
      </c>
      <c r="AE349" s="5">
        <v>-0.80808466725232064</v>
      </c>
      <c r="AF349" s="5">
        <v>-0.70680629082241653</v>
      </c>
    </row>
    <row r="350" spans="23:32" x14ac:dyDescent="0.25">
      <c r="W350">
        <v>78.900000000000006</v>
      </c>
      <c r="X350" s="5">
        <v>76.801914080018832</v>
      </c>
      <c r="Y350" s="5">
        <v>2.0980859199811732</v>
      </c>
      <c r="Z350" s="5">
        <v>2.1015775869747131</v>
      </c>
      <c r="AA350" s="18">
        <v>1.66145043380106E-3</v>
      </c>
      <c r="AB350" s="5">
        <v>0.58396422288311411</v>
      </c>
      <c r="AC350" s="4">
        <v>2.9869532702301146E-5</v>
      </c>
      <c r="AE350" s="5">
        <v>-0.80808466725232064</v>
      </c>
      <c r="AF350" s="5">
        <v>-0.70554373230474521</v>
      </c>
    </row>
    <row r="351" spans="23:32" x14ac:dyDescent="0.25">
      <c r="W351">
        <v>75.8</v>
      </c>
      <c r="X351" s="5">
        <v>74.816036432855341</v>
      </c>
      <c r="Y351" s="5">
        <v>0.98396356714465583</v>
      </c>
      <c r="Z351" s="5">
        <v>1.0069369406626265</v>
      </c>
      <c r="AA351" s="18">
        <v>2.2815106478124382E-2</v>
      </c>
      <c r="AB351" s="5">
        <v>0.27681685984087206</v>
      </c>
      <c r="AC351" s="4">
        <v>9.4162337305000416E-5</v>
      </c>
      <c r="AE351" s="5">
        <v>-0.80808466725232064</v>
      </c>
      <c r="AF351" s="5">
        <v>-0.70231707391198317</v>
      </c>
    </row>
    <row r="352" spans="23:32" x14ac:dyDescent="0.25">
      <c r="W352">
        <v>75.599999999999994</v>
      </c>
      <c r="X352" s="5">
        <v>73.502162833440977</v>
      </c>
      <c r="Y352" s="5">
        <v>2.0978371665590174</v>
      </c>
      <c r="Z352" s="5">
        <v>2.1290660559206174</v>
      </c>
      <c r="AA352" s="18">
        <v>1.4667881851181494E-2</v>
      </c>
      <c r="AB352" s="5">
        <v>0.58773607377028836</v>
      </c>
      <c r="AC352" s="4">
        <v>2.7064241345503781E-4</v>
      </c>
      <c r="AE352" s="5">
        <v>-0.79968509868701798</v>
      </c>
      <c r="AF352" s="5">
        <v>-0.70192904540048939</v>
      </c>
    </row>
    <row r="353" spans="23:32" x14ac:dyDescent="0.25">
      <c r="W353">
        <v>75.400000000000006</v>
      </c>
      <c r="X353" s="5">
        <v>73.668048661359549</v>
      </c>
      <c r="Y353" s="5">
        <v>1.7319513386404566</v>
      </c>
      <c r="Z353" s="5">
        <v>1.764597508669425</v>
      </c>
      <c r="AA353" s="18">
        <v>1.8500632506041038E-2</v>
      </c>
      <c r="AB353" s="5">
        <v>0.48617493582075427</v>
      </c>
      <c r="AC353" s="4">
        <v>2.3449202794201818E-4</v>
      </c>
      <c r="AE353" s="5">
        <v>-0.79968509868701798</v>
      </c>
      <c r="AF353" s="5">
        <v>-0.70157207185898141</v>
      </c>
    </row>
    <row r="354" spans="23:32" x14ac:dyDescent="0.25">
      <c r="W354">
        <v>75.2</v>
      </c>
      <c r="X354" s="5">
        <v>74.824185835722005</v>
      </c>
      <c r="Y354" s="5">
        <v>0.37581416427799752</v>
      </c>
      <c r="Z354" s="5">
        <v>0.38122210225284903</v>
      </c>
      <c r="AA354" s="18">
        <v>1.4185793381072741E-2</v>
      </c>
      <c r="AB354" s="5">
        <v>0.10526342578485759</v>
      </c>
      <c r="AC354" s="4">
        <v>8.3918933606443783E-6</v>
      </c>
      <c r="AE354" s="5">
        <v>-0.79968509868701798</v>
      </c>
      <c r="AF354" s="5">
        <v>-0.70122684301760574</v>
      </c>
    </row>
    <row r="355" spans="23:32" x14ac:dyDescent="0.25">
      <c r="W355">
        <v>75</v>
      </c>
      <c r="X355" s="5">
        <v>74.3340347238411</v>
      </c>
      <c r="Y355" s="5">
        <v>0.66596527615890011</v>
      </c>
      <c r="Z355" s="5">
        <v>0.67821243068091519</v>
      </c>
      <c r="AA355" s="18">
        <v>1.8057991814914486E-2</v>
      </c>
      <c r="AB355" s="5">
        <v>0.18690054045717522</v>
      </c>
      <c r="AC355" s="4">
        <v>3.3810463579567315E-5</v>
      </c>
      <c r="AE355" s="5">
        <v>-0.79968509868701798</v>
      </c>
      <c r="AF355" s="5">
        <v>-0.69949488981508934</v>
      </c>
    </row>
    <row r="356" spans="23:32" x14ac:dyDescent="0.25">
      <c r="W356">
        <v>74.900000000000006</v>
      </c>
      <c r="X356" s="5">
        <v>74.170088986603332</v>
      </c>
      <c r="Y356" s="5">
        <v>0.72991101339667352</v>
      </c>
      <c r="Z356" s="5">
        <v>0.74885424985701832</v>
      </c>
      <c r="AA356" s="18">
        <v>2.52962929221048E-2</v>
      </c>
      <c r="AB356" s="5">
        <v>0.2056058652611478</v>
      </c>
      <c r="AC356" s="4">
        <v>5.7743308224856309E-5</v>
      </c>
      <c r="AE356" s="5">
        <v>-0.79968509868701798</v>
      </c>
      <c r="AF356" s="5">
        <v>-0.69841123275254702</v>
      </c>
    </row>
    <row r="357" spans="23:32" x14ac:dyDescent="0.25">
      <c r="W357">
        <v>74.5</v>
      </c>
      <c r="X357" s="5">
        <v>73.219494241802181</v>
      </c>
      <c r="Y357" s="5">
        <v>1.280505758197819</v>
      </c>
      <c r="Z357" s="5">
        <v>1.4609615376606655</v>
      </c>
      <c r="AA357" s="18">
        <v>0.12351850121379121</v>
      </c>
      <c r="AB357" s="5">
        <v>0.38037507492633565</v>
      </c>
      <c r="AC357" s="4">
        <v>1.073148346886883E-3</v>
      </c>
      <c r="AE357" s="5">
        <v>-0.78926429572475043</v>
      </c>
      <c r="AF357" s="5">
        <v>-0.69146800832855526</v>
      </c>
    </row>
    <row r="358" spans="23:32" x14ac:dyDescent="0.25">
      <c r="W358">
        <v>74.400000000000006</v>
      </c>
      <c r="X358" s="5">
        <v>72.930145162447019</v>
      </c>
      <c r="Y358" s="5">
        <v>1.4698548375529867</v>
      </c>
      <c r="Z358" s="5">
        <v>1.605037411394008</v>
      </c>
      <c r="AA358" s="18">
        <v>8.4223939505321199E-2</v>
      </c>
      <c r="AB358" s="5">
        <v>0.42715126284343774</v>
      </c>
      <c r="AC358" s="4">
        <v>8.831938847780876E-4</v>
      </c>
      <c r="AE358" s="5">
        <v>-0.78926429572475043</v>
      </c>
      <c r="AF358" s="5">
        <v>-0.68817977272493014</v>
      </c>
    </row>
    <row r="359" spans="23:32" x14ac:dyDescent="0.25">
      <c r="W359">
        <v>74.2</v>
      </c>
      <c r="X359" s="5">
        <v>72.463737717266497</v>
      </c>
      <c r="Y359" s="5">
        <v>1.7362622827335059</v>
      </c>
      <c r="Z359" s="5">
        <v>1.8688511003366415</v>
      </c>
      <c r="AA359" s="18">
        <v>7.0946699594875776E-2</v>
      </c>
      <c r="AB359" s="5">
        <v>0.50095291445386003</v>
      </c>
      <c r="AC359" s="4">
        <v>1.0086297665827346E-3</v>
      </c>
      <c r="AE359" s="5">
        <v>-0.78926429572475043</v>
      </c>
      <c r="AF359" s="5">
        <v>-0.68346822857985434</v>
      </c>
    </row>
    <row r="360" spans="23:32" x14ac:dyDescent="0.25">
      <c r="W360">
        <v>73.900000000000006</v>
      </c>
      <c r="X360" s="5">
        <v>71.821471371966865</v>
      </c>
      <c r="Y360" s="5">
        <v>2.0785286280331405</v>
      </c>
      <c r="Z360" s="5">
        <v>2.3306130928830555</v>
      </c>
      <c r="AA360" s="18">
        <v>0.10816229670196856</v>
      </c>
      <c r="AB360" s="5">
        <v>0.61208958239022315</v>
      </c>
      <c r="AC360" s="4">
        <v>2.3914783128827373E-3</v>
      </c>
      <c r="AE360" s="5">
        <v>-0.78926429572475043</v>
      </c>
      <c r="AF360" s="5">
        <v>-0.68278968023243425</v>
      </c>
    </row>
    <row r="361" spans="23:32" x14ac:dyDescent="0.25">
      <c r="W361">
        <v>73.5</v>
      </c>
      <c r="X361" s="5">
        <v>73.363142244649495</v>
      </c>
      <c r="Y361" s="5">
        <v>0.13685775535050482</v>
      </c>
      <c r="Z361" s="5">
        <v>0.14306729414263941</v>
      </c>
      <c r="AA361" s="18">
        <v>4.3402923284117108E-2</v>
      </c>
      <c r="AB361" s="5">
        <v>3.8914081111811154E-2</v>
      </c>
      <c r="AC361" s="4">
        <v>3.6161787557892877E-6</v>
      </c>
      <c r="AE361" s="5">
        <v>-0.78098898173722842</v>
      </c>
      <c r="AF361" s="5">
        <v>-0.67974777870180614</v>
      </c>
    </row>
    <row r="362" spans="23:32" x14ac:dyDescent="0.25">
      <c r="W362">
        <v>73.099999999999994</v>
      </c>
      <c r="X362" s="5">
        <v>73.070367051538057</v>
      </c>
      <c r="Y362" s="5">
        <v>2.9632948461937758E-2</v>
      </c>
      <c r="Z362" s="5">
        <v>3.1063064013082453E-2</v>
      </c>
      <c r="AA362" s="18">
        <v>4.6039101311591106E-2</v>
      </c>
      <c r="AB362" s="5">
        <v>8.4374550164360816E-3</v>
      </c>
      <c r="AC362" s="4">
        <v>1.8082796857456002E-7</v>
      </c>
      <c r="AE362" s="5">
        <v>-0.78098898173722842</v>
      </c>
      <c r="AF362" s="5">
        <v>-0.67956406006873504</v>
      </c>
    </row>
    <row r="363" spans="23:32" x14ac:dyDescent="0.25">
      <c r="W363">
        <v>72.7</v>
      </c>
      <c r="X363" s="5">
        <v>72.994754685424823</v>
      </c>
      <c r="Y363" s="5">
        <v>-0.2947546854248202</v>
      </c>
      <c r="Z363" s="5">
        <v>-0.30827435117591051</v>
      </c>
      <c r="AA363" s="18">
        <v>4.3855953956320588E-2</v>
      </c>
      <c r="AB363" s="5">
        <v>-8.3830285772046667E-2</v>
      </c>
      <c r="AC363" s="4">
        <v>1.6964986936573833E-5</v>
      </c>
      <c r="AE363" s="5">
        <v>-0.78098898173722842</v>
      </c>
      <c r="AF363" s="5">
        <v>-0.67527761144894538</v>
      </c>
    </row>
    <row r="364" spans="23:32" x14ac:dyDescent="0.25">
      <c r="W364">
        <v>72.2</v>
      </c>
      <c r="X364" s="5">
        <v>72.198803653071877</v>
      </c>
      <c r="Y364" s="5">
        <v>1.1963469281255357E-3</v>
      </c>
      <c r="Z364" s="5">
        <v>1.2749022730531578E-3</v>
      </c>
      <c r="AA364" s="18">
        <v>6.161675807833536E-2</v>
      </c>
      <c r="AB364" s="5">
        <v>3.4345426111546235E-4</v>
      </c>
      <c r="AC364" s="4">
        <v>4.0766442850453764E-10</v>
      </c>
      <c r="AE364" s="5">
        <v>-0.78098898173722842</v>
      </c>
      <c r="AF364" s="5">
        <v>-0.67487195428744173</v>
      </c>
    </row>
    <row r="365" spans="23:32" x14ac:dyDescent="0.25">
      <c r="W365">
        <v>71.7</v>
      </c>
      <c r="X365" s="5">
        <v>69.673043582690966</v>
      </c>
      <c r="Y365" s="5">
        <v>2.0269564173090373</v>
      </c>
      <c r="Z365" s="5">
        <v>2.1400055850787965</v>
      </c>
      <c r="AA365" s="18">
        <v>5.2826576041665657E-2</v>
      </c>
      <c r="AB365" s="5">
        <v>0.57920399748461393</v>
      </c>
      <c r="AC365" s="4">
        <v>9.8476466942949616E-4</v>
      </c>
      <c r="AE365" s="5">
        <v>-0.78098898173722842</v>
      </c>
      <c r="AF365" s="5">
        <v>-0.67409076665251522</v>
      </c>
    </row>
    <row r="366" spans="23:32" x14ac:dyDescent="0.25">
      <c r="W366">
        <v>74.599999999999994</v>
      </c>
      <c r="X366" s="5">
        <v>72.91458303236854</v>
      </c>
      <c r="Y366" s="5">
        <v>1.6854169676314541</v>
      </c>
      <c r="Z366" s="5">
        <v>1.7105124251404931</v>
      </c>
      <c r="AA366" s="18">
        <v>1.4671309684860741E-2</v>
      </c>
      <c r="AB366" s="5">
        <v>0.47219207003402131</v>
      </c>
      <c r="AC366" s="4">
        <v>1.7473163207319729E-4</v>
      </c>
      <c r="AE366" s="5">
        <v>-0.78098898173722842</v>
      </c>
      <c r="AF366" s="5">
        <v>-0.66524031843716691</v>
      </c>
    </row>
    <row r="367" spans="23:32" x14ac:dyDescent="0.25">
      <c r="W367">
        <v>74.400000000000006</v>
      </c>
      <c r="X367" s="5">
        <v>73.148262560540218</v>
      </c>
      <c r="Y367" s="5">
        <v>1.251737439459788</v>
      </c>
      <c r="Z367" s="5">
        <v>1.254418279692544</v>
      </c>
      <c r="AA367" s="18">
        <v>2.13711827718112E-3</v>
      </c>
      <c r="AB367" s="5">
        <v>0.34848147787151851</v>
      </c>
      <c r="AC367" s="4">
        <v>1.368874045633509E-5</v>
      </c>
      <c r="AE367" s="5">
        <v>-0.78098898173722842</v>
      </c>
      <c r="AF367" s="5">
        <v>-0.66455870111768978</v>
      </c>
    </row>
    <row r="368" spans="23:32" x14ac:dyDescent="0.25">
      <c r="W368">
        <v>74.3</v>
      </c>
      <c r="X368" s="5">
        <v>73.686061461134727</v>
      </c>
      <c r="Y368" s="5">
        <v>0.61393853886526983</v>
      </c>
      <c r="Z368" s="5">
        <v>0.61535589603020924</v>
      </c>
      <c r="AA368" s="18">
        <v>2.3033128862132457E-3</v>
      </c>
      <c r="AB368" s="5">
        <v>0.17093363292970265</v>
      </c>
      <c r="AC368" s="4">
        <v>3.5502247900367462E-6</v>
      </c>
      <c r="AE368" s="5">
        <v>-0.78098898173722842</v>
      </c>
      <c r="AF368" s="5">
        <v>-0.66100528189473029</v>
      </c>
    </row>
    <row r="369" spans="23:32" x14ac:dyDescent="0.25">
      <c r="W369">
        <v>74.2</v>
      </c>
      <c r="X369" s="5">
        <v>72.832658311371489</v>
      </c>
      <c r="Y369" s="5">
        <v>1.3673416886285139</v>
      </c>
      <c r="Z369" s="5">
        <v>1.3710279616920786</v>
      </c>
      <c r="AA369" s="18">
        <v>2.6886928396525609E-3</v>
      </c>
      <c r="AB369" s="5">
        <v>0.38077074650348031</v>
      </c>
      <c r="AC369" s="4">
        <v>2.057235441169348E-5</v>
      </c>
      <c r="AE369" s="5">
        <v>-0.76459654801725674</v>
      </c>
      <c r="AF369" s="5">
        <v>-0.66072138025689253</v>
      </c>
    </row>
    <row r="370" spans="23:32" x14ac:dyDescent="0.25">
      <c r="W370">
        <v>73.599999999999994</v>
      </c>
      <c r="X370" s="5">
        <v>74.635537467781489</v>
      </c>
      <c r="Y370" s="5">
        <v>-1.035537467781495</v>
      </c>
      <c r="Z370" s="5">
        <v>-1.0381206788567283</v>
      </c>
      <c r="AA370" s="18">
        <v>2.4883533560672217E-3</v>
      </c>
      <c r="AB370" s="5">
        <v>-0.28834254103048124</v>
      </c>
      <c r="AC370" s="4">
        <v>1.0915859035186053E-5</v>
      </c>
      <c r="AE370" s="5">
        <v>-0.7625619542054235</v>
      </c>
      <c r="AF370" s="5">
        <v>-0.65089685758370475</v>
      </c>
    </row>
    <row r="371" spans="23:32" x14ac:dyDescent="0.25">
      <c r="W371">
        <v>73.599999999999994</v>
      </c>
      <c r="X371" s="5">
        <v>74.752777513787592</v>
      </c>
      <c r="Y371" s="5">
        <v>-1.1527775137875977</v>
      </c>
      <c r="Z371" s="5">
        <v>-1.1561749430822204</v>
      </c>
      <c r="AA371" s="18">
        <v>2.9385079783602595E-3</v>
      </c>
      <c r="AB371" s="5">
        <v>-0.32106015906073404</v>
      </c>
      <c r="AC371" s="4">
        <v>1.5989105304658831E-5</v>
      </c>
      <c r="AE371" s="5">
        <v>-0.7625619542054235</v>
      </c>
      <c r="AF371" s="5">
        <v>-0.65060543475110411</v>
      </c>
    </row>
    <row r="372" spans="23:32" x14ac:dyDescent="0.25">
      <c r="W372">
        <v>73.5</v>
      </c>
      <c r="X372" s="5">
        <v>72.286777339223349</v>
      </c>
      <c r="Y372" s="5">
        <v>1.2132226607766512</v>
      </c>
      <c r="Z372" s="5">
        <v>1.215359553470762</v>
      </c>
      <c r="AA372" s="18">
        <v>1.7582391054584146E-3</v>
      </c>
      <c r="AB372" s="5">
        <v>0.33769492824245823</v>
      </c>
      <c r="AC372" s="4">
        <v>1.0571525847705383E-5</v>
      </c>
      <c r="AE372" s="5">
        <v>-0.7625619542054235</v>
      </c>
      <c r="AF372" s="5">
        <v>-0.64956438445779552</v>
      </c>
    </row>
    <row r="373" spans="23:32" x14ac:dyDescent="0.25">
      <c r="W373">
        <v>73.5</v>
      </c>
      <c r="X373" s="5">
        <v>71.739116254608405</v>
      </c>
      <c r="Y373" s="5">
        <v>1.7608837453915953</v>
      </c>
      <c r="Z373" s="5">
        <v>1.7643426505079418</v>
      </c>
      <c r="AA373" s="18">
        <v>1.9604497546730488E-3</v>
      </c>
      <c r="AB373" s="5">
        <v>0.49018351349548017</v>
      </c>
      <c r="AC373" s="4">
        <v>2.4841153819538302E-5</v>
      </c>
      <c r="AE373" s="5">
        <v>-0.75647701124006039</v>
      </c>
      <c r="AF373" s="5">
        <v>-0.64725317098580093</v>
      </c>
    </row>
    <row r="374" spans="23:32" x14ac:dyDescent="0.25">
      <c r="W374">
        <v>73.099999999999994</v>
      </c>
      <c r="X374" s="5">
        <v>71.021886651704165</v>
      </c>
      <c r="Y374" s="5">
        <v>2.0781133482958296</v>
      </c>
      <c r="Z374" s="5">
        <v>2.0828348543742266</v>
      </c>
      <c r="AA374" s="18">
        <v>2.2668653102703371E-3</v>
      </c>
      <c r="AB374" s="5">
        <v>0.57858067797670121</v>
      </c>
      <c r="AC374" s="4">
        <v>4.0029998360038695E-5</v>
      </c>
      <c r="AE374" s="5">
        <v>-0.75647701124006039</v>
      </c>
      <c r="AF374" s="5">
        <v>-0.64271283568494231</v>
      </c>
    </row>
    <row r="375" spans="23:32" x14ac:dyDescent="0.25">
      <c r="W375">
        <v>73.099999999999994</v>
      </c>
      <c r="X375" s="5">
        <v>69.204098677435127</v>
      </c>
      <c r="Y375" s="5">
        <v>3.8959013225648675</v>
      </c>
      <c r="Z375" s="5">
        <v>3.9189898990291709</v>
      </c>
      <c r="AA375" s="18">
        <v>5.8914610803213058E-3</v>
      </c>
      <c r="AB375" s="5">
        <v>1.0866581409824747</v>
      </c>
      <c r="AC375" s="4">
        <v>3.6831676192065232E-4</v>
      </c>
      <c r="AE375" s="5">
        <v>-0.75647701124006039</v>
      </c>
      <c r="AF375" s="5">
        <v>-0.6420358430830988</v>
      </c>
    </row>
    <row r="376" spans="23:32" x14ac:dyDescent="0.25">
      <c r="W376">
        <v>72.8</v>
      </c>
      <c r="X376" s="5">
        <v>70.490689912460439</v>
      </c>
      <c r="Y376" s="5">
        <v>2.3093100875395578</v>
      </c>
      <c r="Z376" s="5">
        <v>2.3142496506719823</v>
      </c>
      <c r="AA376" s="18">
        <v>2.1344123919354897E-3</v>
      </c>
      <c r="AB376" s="5">
        <v>0.6429069513204575</v>
      </c>
      <c r="AC376" s="4">
        <v>4.6531701125906016E-5</v>
      </c>
      <c r="AE376" s="5">
        <v>-0.75647701124006039</v>
      </c>
      <c r="AF376" s="5">
        <v>-0.64126672805389029</v>
      </c>
    </row>
    <row r="377" spans="23:32" x14ac:dyDescent="0.25">
      <c r="W377">
        <v>72.400000000000006</v>
      </c>
      <c r="X377" s="5">
        <v>73.246399879818128</v>
      </c>
      <c r="Y377" s="5">
        <v>-0.84639987981812226</v>
      </c>
      <c r="Z377" s="5">
        <v>-0.84899926674741266</v>
      </c>
      <c r="AA377" s="18">
        <v>3.0617069190811046E-3</v>
      </c>
      <c r="AB377" s="5">
        <v>-0.23574546436591023</v>
      </c>
      <c r="AC377" s="4">
        <v>8.9831453873620583E-6</v>
      </c>
      <c r="AE377" s="5">
        <v>-0.75647701124006039</v>
      </c>
      <c r="AF377" s="5">
        <v>-0.63980931082964476</v>
      </c>
    </row>
    <row r="378" spans="23:32" x14ac:dyDescent="0.25">
      <c r="W378">
        <v>71.8</v>
      </c>
      <c r="X378" s="5">
        <v>70.431116369770947</v>
      </c>
      <c r="Y378" s="5">
        <v>1.3688836302290497</v>
      </c>
      <c r="Z378" s="5">
        <v>1.3712773755515428</v>
      </c>
      <c r="AA378" s="18">
        <v>1.7456317483086842E-3</v>
      </c>
      <c r="AB378" s="5">
        <v>0.38102003461703726</v>
      </c>
      <c r="AC378" s="4">
        <v>1.3361445236236385E-5</v>
      </c>
      <c r="AE378" s="5">
        <v>-0.74639716414434454</v>
      </c>
      <c r="AF378" s="5">
        <v>-0.63807361207895852</v>
      </c>
    </row>
    <row r="379" spans="23:32" x14ac:dyDescent="0.25">
      <c r="W379">
        <v>71.5</v>
      </c>
      <c r="X379" s="5">
        <v>69.584831279432606</v>
      </c>
      <c r="Y379" s="5">
        <v>1.9151687205673937</v>
      </c>
      <c r="Z379" s="5">
        <v>1.9453712560179355</v>
      </c>
      <c r="AA379" s="18">
        <v>1.552533243056527E-2</v>
      </c>
      <c r="AB379" s="5">
        <v>0.53679277168334738</v>
      </c>
      <c r="AC379" s="4">
        <v>2.3916414958721099E-4</v>
      </c>
      <c r="AE379" s="5">
        <v>-0.74639716414434454</v>
      </c>
      <c r="AF379" s="5">
        <v>-0.63751406076187545</v>
      </c>
    </row>
    <row r="380" spans="23:32" x14ac:dyDescent="0.25">
      <c r="W380">
        <v>71.400000000000006</v>
      </c>
      <c r="X380" s="5">
        <v>70.134864694549037</v>
      </c>
      <c r="Y380" s="5">
        <v>1.2651353054509684</v>
      </c>
      <c r="Z380" s="5">
        <v>1.2673353447461295</v>
      </c>
      <c r="AA380" s="18">
        <v>1.735956709701962E-3</v>
      </c>
      <c r="AB380" s="5">
        <v>0.35214064313835503</v>
      </c>
      <c r="AC380" s="4">
        <v>1.1349380790491047E-5</v>
      </c>
      <c r="AE380" s="5">
        <v>-0.74639716414434454</v>
      </c>
      <c r="AF380" s="5">
        <v>-0.63654914642326477</v>
      </c>
    </row>
    <row r="381" spans="23:32" x14ac:dyDescent="0.25">
      <c r="W381">
        <v>63.2</v>
      </c>
      <c r="X381" s="5">
        <v>69.543495831122826</v>
      </c>
      <c r="Y381" s="5">
        <v>-6.3434958311228229</v>
      </c>
      <c r="Z381" s="5">
        <v>-6.3688565322411677</v>
      </c>
      <c r="AA381" s="18">
        <v>3.9819865606900567E-3</v>
      </c>
      <c r="AB381" s="5">
        <v>-1.767652753581364</v>
      </c>
      <c r="AC381" s="4">
        <v>6.574654028153492E-4</v>
      </c>
      <c r="AE381" s="5">
        <v>-0.74038552290047832</v>
      </c>
      <c r="AF381" s="5">
        <v>-0.63605416231155265</v>
      </c>
    </row>
    <row r="382" spans="23:32" x14ac:dyDescent="0.25">
      <c r="W382">
        <v>62.9</v>
      </c>
      <c r="X382" s="5">
        <v>65.69652653804954</v>
      </c>
      <c r="Y382" s="5">
        <v>-2.796526538049541</v>
      </c>
      <c r="Z382" s="5">
        <v>-2.8031192692940792</v>
      </c>
      <c r="AA382" s="18">
        <v>2.3519267684249056E-3</v>
      </c>
      <c r="AB382" s="5">
        <v>-0.77863182865414948</v>
      </c>
      <c r="AC382" s="4">
        <v>7.5224122676053001E-5</v>
      </c>
      <c r="AE382" s="5">
        <v>-0.74038552290047832</v>
      </c>
      <c r="AF382" s="5">
        <v>-0.63457535150867905</v>
      </c>
    </row>
    <row r="383" spans="23:32" x14ac:dyDescent="0.25">
      <c r="W383">
        <v>62.5</v>
      </c>
      <c r="X383" s="5">
        <v>65.582893692543891</v>
      </c>
      <c r="Y383" s="5">
        <v>-3.082893692543891</v>
      </c>
      <c r="Z383" s="5">
        <v>-3.0909094987323726</v>
      </c>
      <c r="AA383" s="18">
        <v>2.5933487188037549E-3</v>
      </c>
      <c r="AB383" s="5">
        <v>-0.85846839494706118</v>
      </c>
      <c r="AC383" s="4">
        <v>1.0085180600811461E-4</v>
      </c>
      <c r="AE383" s="5">
        <v>-0.74038552290047832</v>
      </c>
      <c r="AF383" s="5">
        <v>-0.63428883885306364</v>
      </c>
    </row>
    <row r="384" spans="23:32" x14ac:dyDescent="0.25">
      <c r="W384">
        <v>62.2</v>
      </c>
      <c r="X384" s="5">
        <v>65.428517218383817</v>
      </c>
      <c r="Y384" s="5">
        <v>-3.2285172183838142</v>
      </c>
      <c r="Z384" s="5">
        <v>-3.2359141738303947</v>
      </c>
      <c r="AA384" s="18">
        <v>2.2858935834572927E-3</v>
      </c>
      <c r="AB384" s="5">
        <v>-0.89888046541897892</v>
      </c>
      <c r="AC384" s="4">
        <v>9.7431677456602205E-5</v>
      </c>
      <c r="AE384" s="5">
        <v>-0.74038552290047832</v>
      </c>
      <c r="AF384" s="5">
        <v>-0.63361045284813888</v>
      </c>
    </row>
    <row r="385" spans="23:32" x14ac:dyDescent="0.25">
      <c r="W385">
        <v>61.8</v>
      </c>
      <c r="X385" s="5">
        <v>65.115228925683553</v>
      </c>
      <c r="Y385" s="5">
        <v>-3.3152289256835559</v>
      </c>
      <c r="Z385" s="5">
        <v>-3.3231477078667808</v>
      </c>
      <c r="AA385" s="18">
        <v>2.382916102249943E-3</v>
      </c>
      <c r="AB385" s="5">
        <v>-0.92306753322809687</v>
      </c>
      <c r="AC385" s="4">
        <v>1.0711695663491124E-4</v>
      </c>
      <c r="AE385" s="5">
        <v>-0.74038552290047832</v>
      </c>
      <c r="AF385" s="5">
        <v>-0.62822624705487418</v>
      </c>
    </row>
    <row r="386" spans="23:32" x14ac:dyDescent="0.25">
      <c r="W386">
        <v>61.3</v>
      </c>
      <c r="X386" s="5">
        <v>64.662444307945847</v>
      </c>
      <c r="Y386" s="5">
        <v>-3.3624443079458501</v>
      </c>
      <c r="Z386" s="5">
        <v>-3.3712382292507783</v>
      </c>
      <c r="AA386" s="18">
        <v>2.6085137587232715E-3</v>
      </c>
      <c r="AB386" s="5">
        <v>-0.93631970496459771</v>
      </c>
      <c r="AC386" s="4">
        <v>1.2067635962683006E-4</v>
      </c>
      <c r="AE386" s="5">
        <v>-0.73042509746273321</v>
      </c>
      <c r="AF386" s="5">
        <v>-0.62482615116762641</v>
      </c>
    </row>
    <row r="387" spans="23:32" x14ac:dyDescent="0.25">
      <c r="W387">
        <v>61</v>
      </c>
      <c r="X387" s="5">
        <v>63.92299434399439</v>
      </c>
      <c r="Y387" s="5">
        <v>-2.9229943439943895</v>
      </c>
      <c r="Z387" s="5">
        <v>-2.934793189517606</v>
      </c>
      <c r="AA387" s="18">
        <v>4.0203328688926745E-3</v>
      </c>
      <c r="AB387" s="5">
        <v>-0.81452539765809451</v>
      </c>
      <c r="AC387" s="4">
        <v>1.4095068808399417E-4</v>
      </c>
      <c r="AE387" s="5">
        <v>-0.73042509746273321</v>
      </c>
      <c r="AF387" s="5">
        <v>-0.62272221751252343</v>
      </c>
    </row>
    <row r="388" spans="23:32" x14ac:dyDescent="0.25">
      <c r="W388">
        <v>66</v>
      </c>
      <c r="X388" s="5">
        <v>63.477979890500706</v>
      </c>
      <c r="Y388" s="5">
        <v>2.5220201094992944</v>
      </c>
      <c r="Z388" s="5">
        <v>2.5322439942838173</v>
      </c>
      <c r="AA388" s="18">
        <v>4.0374801194510024E-3</v>
      </c>
      <c r="AB388" s="5">
        <v>0.70279544690154172</v>
      </c>
      <c r="AC388" s="4">
        <v>1.0538327209335309E-4</v>
      </c>
      <c r="AE388" s="5">
        <v>-0.73042509746273321</v>
      </c>
      <c r="AF388" s="5">
        <v>-0.61959499633196957</v>
      </c>
    </row>
    <row r="389" spans="23:32" x14ac:dyDescent="0.25">
      <c r="W389">
        <v>63</v>
      </c>
      <c r="X389" s="5">
        <v>63.740156125928699</v>
      </c>
      <c r="Y389" s="5">
        <v>-0.74015612592869928</v>
      </c>
      <c r="Z389" s="5">
        <v>-0.74205146448163362</v>
      </c>
      <c r="AA389" s="18">
        <v>2.5541874703547207E-3</v>
      </c>
      <c r="AB389" s="5">
        <v>-0.2061012254330824</v>
      </c>
      <c r="AC389" s="4">
        <v>5.7249408744404824E-6</v>
      </c>
      <c r="AE389" s="5">
        <v>-0.72448350403832318</v>
      </c>
      <c r="AF389" s="5">
        <v>-0.61821927102813745</v>
      </c>
    </row>
    <row r="390" spans="23:32" x14ac:dyDescent="0.25">
      <c r="W390">
        <v>60</v>
      </c>
      <c r="X390" s="5">
        <v>63.256512753590791</v>
      </c>
      <c r="Y390" s="5">
        <v>-3.2565127535907905</v>
      </c>
      <c r="Z390" s="5">
        <v>-3.2653543018227253</v>
      </c>
      <c r="AA390" s="18">
        <v>2.7076841943305982E-3</v>
      </c>
      <c r="AB390" s="5">
        <v>-0.90686666610310451</v>
      </c>
      <c r="AC390" s="4">
        <v>1.1751919653416219E-4</v>
      </c>
      <c r="AE390" s="5">
        <v>-0.72448350403832318</v>
      </c>
      <c r="AF390" s="5">
        <v>-0.61644658222307103</v>
      </c>
    </row>
    <row r="391" spans="23:32" x14ac:dyDescent="0.25">
      <c r="W391">
        <v>59.8</v>
      </c>
      <c r="X391" s="5">
        <v>58.813615424845807</v>
      </c>
      <c r="Y391" s="5">
        <v>0.9863845751541902</v>
      </c>
      <c r="Z391" s="5">
        <v>1.0009700262808963</v>
      </c>
      <c r="AA391" s="18">
        <v>1.4571316566692097E-2</v>
      </c>
      <c r="AB391" s="5">
        <v>0.27633478946614154</v>
      </c>
      <c r="AC391" s="4">
        <v>5.9428000975885613E-5</v>
      </c>
      <c r="AE391" s="5">
        <v>-0.72448350403832318</v>
      </c>
      <c r="AF391" s="5">
        <v>-0.61421945141925205</v>
      </c>
    </row>
    <row r="392" spans="23:32" x14ac:dyDescent="0.25">
      <c r="W392">
        <v>59.6</v>
      </c>
      <c r="X392" s="5">
        <v>57.271822159748758</v>
      </c>
      <c r="Y392" s="5">
        <v>2.328177840251243</v>
      </c>
      <c r="Z392" s="5">
        <v>2.3796247730501463</v>
      </c>
      <c r="AA392" s="18">
        <v>2.1619766856333694E-2</v>
      </c>
      <c r="AB392" s="5">
        <v>0.65458222525773579</v>
      </c>
      <c r="AC392" s="4">
        <v>4.9833128389885405E-4</v>
      </c>
      <c r="AE392" s="5">
        <v>-0.72448350403832318</v>
      </c>
      <c r="AF392" s="5">
        <v>-0.61413691378631852</v>
      </c>
    </row>
    <row r="393" spans="23:32" x14ac:dyDescent="0.25">
      <c r="W393">
        <v>79.5</v>
      </c>
      <c r="X393" s="5">
        <v>75.518961664317757</v>
      </c>
      <c r="Y393" s="5">
        <v>3.9810383356822427</v>
      </c>
      <c r="Z393" s="5">
        <v>3.99555536054595</v>
      </c>
      <c r="AA393" s="18">
        <v>3.6332933857107998E-3</v>
      </c>
      <c r="AB393" s="5">
        <v>1.1091458225250623</v>
      </c>
      <c r="AC393" s="4">
        <v>2.3610487574091777E-4</v>
      </c>
      <c r="AE393" s="5">
        <v>-0.71660092108895201</v>
      </c>
      <c r="AF393" s="5">
        <v>-0.61313761544588541</v>
      </c>
    </row>
    <row r="394" spans="23:32" x14ac:dyDescent="0.25">
      <c r="W394">
        <v>79.400000000000006</v>
      </c>
      <c r="X394" s="5">
        <v>75.340200370442716</v>
      </c>
      <c r="Y394" s="5">
        <v>4.0597996295572898</v>
      </c>
      <c r="Z394" s="5">
        <v>4.0752004687606416</v>
      </c>
      <c r="AA394" s="18">
        <v>3.7791611287387962E-3</v>
      </c>
      <c r="AB394" s="5">
        <v>1.131172088313724</v>
      </c>
      <c r="AC394" s="4">
        <v>2.5547214043567001E-4</v>
      </c>
      <c r="AE394" s="5">
        <v>-0.71660092108895201</v>
      </c>
      <c r="AF394" s="5">
        <v>-0.60985227705489142</v>
      </c>
    </row>
    <row r="395" spans="23:32" x14ac:dyDescent="0.25">
      <c r="W395">
        <v>79.2</v>
      </c>
      <c r="X395" s="5">
        <v>75.395972568543769</v>
      </c>
      <c r="Y395" s="5">
        <v>3.8040274314562339</v>
      </c>
      <c r="Z395" s="5">
        <v>3.8816474976901389</v>
      </c>
      <c r="AA395" s="18">
        <v>1.9996680862981345E-2</v>
      </c>
      <c r="AB395" s="5">
        <v>1.0686408179169016</v>
      </c>
      <c r="AC395" s="4">
        <v>1.2264229956934021E-3</v>
      </c>
      <c r="AE395" s="5">
        <v>-0.7126762947196924</v>
      </c>
      <c r="AF395" s="5">
        <v>-0.60932070762868662</v>
      </c>
    </row>
    <row r="396" spans="23:32" x14ac:dyDescent="0.25">
      <c r="W396">
        <v>79</v>
      </c>
      <c r="X396" s="5">
        <v>75.585400318682531</v>
      </c>
      <c r="Y396" s="5">
        <v>3.414599681317469</v>
      </c>
      <c r="Z396" s="5">
        <v>3.438163121405438</v>
      </c>
      <c r="AA396" s="18">
        <v>6.8534968400016695E-3</v>
      </c>
      <c r="AB396" s="5">
        <v>0.95287301557724668</v>
      </c>
      <c r="AC396" s="4">
        <v>3.2977319716488896E-4</v>
      </c>
      <c r="AE396" s="5">
        <v>-0.7126762947196924</v>
      </c>
      <c r="AF396" s="5">
        <v>-0.6093115950249729</v>
      </c>
    </row>
    <row r="397" spans="23:32" x14ac:dyDescent="0.25">
      <c r="W397">
        <v>78.099999999999994</v>
      </c>
      <c r="X397" s="5">
        <v>76.867069478658237</v>
      </c>
      <c r="Y397" s="5">
        <v>1.232930521341757</v>
      </c>
      <c r="Z397" s="5">
        <v>1.2427113655341628</v>
      </c>
      <c r="AA397" s="18">
        <v>7.8705679079423708E-3</v>
      </c>
      <c r="AB397" s="5">
        <v>0.34423603341596648</v>
      </c>
      <c r="AC397" s="4">
        <v>4.9476252083615265E-5</v>
      </c>
      <c r="AE397" s="5">
        <v>-0.7126762947196924</v>
      </c>
      <c r="AF397" s="5">
        <v>-0.60590301082771403</v>
      </c>
    </row>
    <row r="398" spans="23:32" x14ac:dyDescent="0.25">
      <c r="W398">
        <v>79.2</v>
      </c>
      <c r="X398" s="5">
        <v>73.579983623174087</v>
      </c>
      <c r="Y398" s="5">
        <v>5.6200163768259159</v>
      </c>
      <c r="Z398" s="5">
        <v>5.7119834863970169</v>
      </c>
      <c r="AA398" s="18">
        <v>1.6100730996530838E-2</v>
      </c>
      <c r="AB398" s="5">
        <v>1.5756659640766657</v>
      </c>
      <c r="AC398" s="4">
        <v>2.1383050571825201E-3</v>
      </c>
      <c r="AE398" s="5">
        <v>-0.7126762947196924</v>
      </c>
      <c r="AF398" s="5">
        <v>-0.60520984283617851</v>
      </c>
    </row>
    <row r="399" spans="23:32" x14ac:dyDescent="0.25">
      <c r="W399">
        <v>78.900000000000006</v>
      </c>
      <c r="X399" s="5">
        <v>73.493423149787404</v>
      </c>
      <c r="Y399" s="5">
        <v>5.4065768502126019</v>
      </c>
      <c r="Z399" s="5">
        <v>5.5346613840759034</v>
      </c>
      <c r="AA399" s="18">
        <v>2.3142252971758485E-2</v>
      </c>
      <c r="AB399" s="5">
        <v>1.5212780876329783</v>
      </c>
      <c r="AC399" s="4">
        <v>2.8856119654548039E-3</v>
      </c>
      <c r="AE399" s="5">
        <v>-0.7126762947196924</v>
      </c>
      <c r="AF399" s="5">
        <v>-0.60508084975728549</v>
      </c>
    </row>
    <row r="400" spans="23:32" x14ac:dyDescent="0.25">
      <c r="W400">
        <v>78.900000000000006</v>
      </c>
      <c r="X400" s="5">
        <v>73.768335078815554</v>
      </c>
      <c r="Y400" s="5">
        <v>5.1316649211844521</v>
      </c>
      <c r="Z400" s="5">
        <v>5.1440584595646612</v>
      </c>
      <c r="AA400" s="18">
        <v>2.4092919000882492E-3</v>
      </c>
      <c r="AB400" s="5">
        <v>1.4288412674358002</v>
      </c>
      <c r="AC400" s="4">
        <v>2.5950838449648834E-4</v>
      </c>
      <c r="AE400" s="5">
        <v>-0.70291235686137066</v>
      </c>
      <c r="AF400" s="5">
        <v>-0.60253262064445434</v>
      </c>
    </row>
    <row r="401" spans="23:32" x14ac:dyDescent="0.25">
      <c r="W401">
        <v>78</v>
      </c>
      <c r="X401" s="5">
        <v>75.211908150423071</v>
      </c>
      <c r="Y401" s="5">
        <v>2.7880918495769293</v>
      </c>
      <c r="Z401" s="5">
        <v>2.7970624055455744</v>
      </c>
      <c r="AA401" s="18">
        <v>3.2071347249400441E-3</v>
      </c>
      <c r="AB401" s="5">
        <v>0.77661631205995352</v>
      </c>
      <c r="AC401" s="4">
        <v>1.0213431931263919E-4</v>
      </c>
      <c r="AE401" s="5">
        <v>-0.70291235686137066</v>
      </c>
      <c r="AF401" s="5">
        <v>-0.60152498624841499</v>
      </c>
    </row>
    <row r="402" spans="23:32" x14ac:dyDescent="0.25">
      <c r="W402">
        <v>78.599999999999994</v>
      </c>
      <c r="X402" s="5">
        <v>72.482214103208108</v>
      </c>
      <c r="Y402" s="5">
        <v>6.1177858967918866</v>
      </c>
      <c r="Z402" s="5">
        <v>6.2109395633902977</v>
      </c>
      <c r="AA402" s="18">
        <v>1.4998321211737425E-2</v>
      </c>
      <c r="AB402" s="5">
        <v>1.7142639031778741</v>
      </c>
      <c r="AC402" s="4">
        <v>2.3550896270129657E-3</v>
      </c>
      <c r="AE402" s="5">
        <v>-0.70291235686137066</v>
      </c>
      <c r="AF402" s="5">
        <v>-0.60046792625930956</v>
      </c>
    </row>
    <row r="403" spans="23:32" x14ac:dyDescent="0.25">
      <c r="W403">
        <v>77.7</v>
      </c>
      <c r="X403" s="5">
        <v>72.926189418322636</v>
      </c>
      <c r="Y403" s="5">
        <v>4.7738105816773668</v>
      </c>
      <c r="Z403" s="5">
        <v>4.880427861835642</v>
      </c>
      <c r="AA403" s="18">
        <v>2.184588793781897E-2</v>
      </c>
      <c r="AB403" s="5">
        <v>1.3423427826203533</v>
      </c>
      <c r="AC403" s="4">
        <v>2.1180474230512504E-3</v>
      </c>
      <c r="AE403" s="5">
        <v>-0.69708605805955215</v>
      </c>
      <c r="AF403" s="5">
        <v>-0.59936595603501652</v>
      </c>
    </row>
    <row r="404" spans="23:32" x14ac:dyDescent="0.25">
      <c r="W404">
        <v>78</v>
      </c>
      <c r="X404" s="5">
        <v>74.776566277370279</v>
      </c>
      <c r="Y404" s="5">
        <v>3.2234337226297214</v>
      </c>
      <c r="Z404" s="5">
        <v>3.2364337958621832</v>
      </c>
      <c r="AA404" s="18">
        <v>4.0167894826343064E-3</v>
      </c>
      <c r="AB404" s="5">
        <v>0.89824462701327668</v>
      </c>
      <c r="AC404" s="4">
        <v>1.7126266941839191E-4</v>
      </c>
      <c r="AE404" s="5">
        <v>-0.69708605805955215</v>
      </c>
      <c r="AF404" s="5">
        <v>-0.59216243217500686</v>
      </c>
    </row>
    <row r="405" spans="23:32" x14ac:dyDescent="0.25">
      <c r="W405">
        <v>78.3</v>
      </c>
      <c r="X405" s="5">
        <v>72.531820274250435</v>
      </c>
      <c r="Y405" s="5">
        <v>5.7681797257495617</v>
      </c>
      <c r="Z405" s="5">
        <v>5.782959680133672</v>
      </c>
      <c r="AA405" s="18">
        <v>2.5557768342885714E-3</v>
      </c>
      <c r="AB405" s="5">
        <v>1.6061879588780448</v>
      </c>
      <c r="AC405" s="4">
        <v>3.479152301515446E-4</v>
      </c>
      <c r="AE405" s="5">
        <v>-0.69708605805955215</v>
      </c>
      <c r="AF405" s="5">
        <v>-0.58964780058256083</v>
      </c>
    </row>
    <row r="406" spans="23:32" x14ac:dyDescent="0.25">
      <c r="W406">
        <v>77.5</v>
      </c>
      <c r="X406" s="5">
        <v>74.608753917922556</v>
      </c>
      <c r="Y406" s="5">
        <v>2.8912460820774442</v>
      </c>
      <c r="Z406" s="5">
        <v>2.927104763579095</v>
      </c>
      <c r="AA406" s="18">
        <v>1.2250563064166095E-2</v>
      </c>
      <c r="AB406" s="5">
        <v>0.80902800202932945</v>
      </c>
      <c r="AC406" s="4">
        <v>4.2725068323590297E-4</v>
      </c>
      <c r="AE406" s="5">
        <v>-0.69708605805955215</v>
      </c>
      <c r="AF406" s="5">
        <v>-0.58922355471291588</v>
      </c>
    </row>
    <row r="407" spans="23:32" x14ac:dyDescent="0.25">
      <c r="W407">
        <v>77.599999999999994</v>
      </c>
      <c r="X407" s="5">
        <v>71.275556713720007</v>
      </c>
      <c r="Y407" s="5">
        <v>6.3244432862799869</v>
      </c>
      <c r="Z407" s="5">
        <v>6.4187121574090042</v>
      </c>
      <c r="AA407" s="18">
        <v>1.4686570891048316E-2</v>
      </c>
      <c r="AB407" s="5">
        <v>1.7718909633360733</v>
      </c>
      <c r="AC407" s="4">
        <v>2.4630112159574891E-3</v>
      </c>
      <c r="AE407" s="5">
        <v>-0.69708605805955215</v>
      </c>
      <c r="AF407" s="5">
        <v>-0.58740895880638355</v>
      </c>
    </row>
    <row r="408" spans="23:32" x14ac:dyDescent="0.25">
      <c r="W408">
        <v>77.8</v>
      </c>
      <c r="X408" s="5">
        <v>77.380376522070605</v>
      </c>
      <c r="Y408" s="5">
        <v>0.4196234779293917</v>
      </c>
      <c r="Z408" s="5">
        <v>0.42110369259970071</v>
      </c>
      <c r="AA408" s="18">
        <v>3.5150835680642441E-3</v>
      </c>
      <c r="AB408" s="5">
        <v>0.11690317491563391</v>
      </c>
      <c r="AC408" s="4">
        <v>2.5372539451205687E-6</v>
      </c>
      <c r="AE408" s="5">
        <v>-0.68742774275107121</v>
      </c>
      <c r="AF408" s="5">
        <v>-0.58242415562533167</v>
      </c>
    </row>
    <row r="409" spans="23:32" x14ac:dyDescent="0.25">
      <c r="W409">
        <v>77.7</v>
      </c>
      <c r="X409" s="5">
        <v>77.167727031719963</v>
      </c>
      <c r="Y409" s="5">
        <v>0.53227296828004</v>
      </c>
      <c r="Z409" s="5">
        <v>0.53427061424993383</v>
      </c>
      <c r="AA409" s="18">
        <v>3.7390152417273144E-3</v>
      </c>
      <c r="AB409" s="5">
        <v>0.14830293334009603</v>
      </c>
      <c r="AC409" s="4">
        <v>4.3444018902666156E-6</v>
      </c>
      <c r="AE409" s="5">
        <v>-0.68742774275107121</v>
      </c>
      <c r="AF409" s="5">
        <v>-0.58234887612569175</v>
      </c>
    </row>
    <row r="410" spans="23:32" x14ac:dyDescent="0.25">
      <c r="W410">
        <v>77.099999999999994</v>
      </c>
      <c r="X410" s="5">
        <v>78.278971848979708</v>
      </c>
      <c r="Y410" s="5">
        <v>-1.1789718489797139</v>
      </c>
      <c r="Z410" s="5">
        <v>-1.1836363950220345</v>
      </c>
      <c r="AA410" s="18">
        <v>3.9408606071444129E-3</v>
      </c>
      <c r="AB410" s="5">
        <v>-0.32852071905209129</v>
      </c>
      <c r="AC410" s="4">
        <v>2.2473870674993921E-5</v>
      </c>
      <c r="AE410" s="5">
        <v>-0.68742774275107121</v>
      </c>
      <c r="AF410" s="5">
        <v>-0.58072638101573748</v>
      </c>
    </row>
    <row r="411" spans="23:32" x14ac:dyDescent="0.25">
      <c r="W411">
        <v>77</v>
      </c>
      <c r="X411" s="5">
        <v>78.112819714702283</v>
      </c>
      <c r="Y411" s="5">
        <v>-1.1128197147022831</v>
      </c>
      <c r="Z411" s="5">
        <v>-1.1177978544941567</v>
      </c>
      <c r="AA411" s="18">
        <v>4.4535241965736796E-3</v>
      </c>
      <c r="AB411" s="5">
        <v>-0.31016724542618201</v>
      </c>
      <c r="AC411" s="4">
        <v>2.2650643368457124E-5</v>
      </c>
      <c r="AE411" s="5">
        <v>-0.68742774275107121</v>
      </c>
      <c r="AF411" s="5">
        <v>-0.57465737791624172</v>
      </c>
    </row>
    <row r="412" spans="23:32" x14ac:dyDescent="0.25">
      <c r="W412">
        <v>76.599999999999994</v>
      </c>
      <c r="X412" s="5">
        <v>75.162376816314691</v>
      </c>
      <c r="Y412" s="5">
        <v>1.4376231836853037</v>
      </c>
      <c r="Z412" s="5">
        <v>1.453928663081399</v>
      </c>
      <c r="AA412" s="18">
        <v>1.1214772643338713E-2</v>
      </c>
      <c r="AB412" s="5">
        <v>0.40206472754861089</v>
      </c>
      <c r="AC412" s="4">
        <v>9.6499897710414847E-5</v>
      </c>
      <c r="AE412" s="5">
        <v>-0.68742774275107121</v>
      </c>
      <c r="AF412" s="5">
        <v>-0.57276507658476883</v>
      </c>
    </row>
    <row r="413" spans="23:32" x14ac:dyDescent="0.25">
      <c r="W413">
        <v>76.3</v>
      </c>
      <c r="X413" s="5">
        <v>75.974630291027637</v>
      </c>
      <c r="Y413" s="5">
        <v>0.32536970897236017</v>
      </c>
      <c r="Z413" s="5">
        <v>0.32868051498894602</v>
      </c>
      <c r="AA413" s="18">
        <v>1.0073021872600124E-2</v>
      </c>
      <c r="AB413" s="5">
        <v>9.0944707518648762E-2</v>
      </c>
      <c r="AC413" s="4">
        <v>4.4295323430590117E-6</v>
      </c>
      <c r="AE413" s="5">
        <v>-0.68742774275107121</v>
      </c>
      <c r="AF413" s="5">
        <v>-0.5725965460425616</v>
      </c>
    </row>
    <row r="414" spans="23:32" x14ac:dyDescent="0.25">
      <c r="W414">
        <v>76</v>
      </c>
      <c r="X414" s="5">
        <v>76.272044598093046</v>
      </c>
      <c r="Y414" s="5">
        <v>-0.27204459809304637</v>
      </c>
      <c r="Z414" s="5">
        <v>-0.27307521273861823</v>
      </c>
      <c r="AA414" s="18">
        <v>3.7741054387029366E-3</v>
      </c>
      <c r="AB414" s="5">
        <v>-7.5798931814058557E-2</v>
      </c>
      <c r="AC414" s="4">
        <v>1.1455888367363813E-6</v>
      </c>
      <c r="AE414" s="5">
        <v>-0.68742774275107121</v>
      </c>
      <c r="AF414" s="5">
        <v>-0.57120222281356892</v>
      </c>
    </row>
    <row r="415" spans="23:32" x14ac:dyDescent="0.25">
      <c r="W415">
        <v>75.8</v>
      </c>
      <c r="X415" s="5">
        <v>75.991082885244211</v>
      </c>
      <c r="Y415" s="5">
        <v>-0.19108288524421368</v>
      </c>
      <c r="Z415" s="5">
        <v>-0.19183872455066364</v>
      </c>
      <c r="AA415" s="18">
        <v>3.9399725379599491E-3</v>
      </c>
      <c r="AB415" s="5">
        <v>-5.324525681330413E-2</v>
      </c>
      <c r="AC415" s="4">
        <v>5.9022273471409681E-7</v>
      </c>
      <c r="AE415" s="5">
        <v>-0.67401274003943057</v>
      </c>
      <c r="AF415" s="5">
        <v>-0.57042069836592901</v>
      </c>
    </row>
    <row r="416" spans="23:32" x14ac:dyDescent="0.25">
      <c r="W416">
        <v>83</v>
      </c>
      <c r="X416" s="5">
        <v>77.30157928100023</v>
      </c>
      <c r="Y416" s="5">
        <v>5.6984207189997704</v>
      </c>
      <c r="Z416" s="5">
        <v>5.7320957538064192</v>
      </c>
      <c r="AA416" s="18">
        <v>5.8748207031053849E-3</v>
      </c>
      <c r="AB416" s="5">
        <v>1.5894097224523007</v>
      </c>
      <c r="AC416" s="4">
        <v>7.8572699165760482E-4</v>
      </c>
      <c r="AE416" s="5">
        <v>-0.67401274003943057</v>
      </c>
      <c r="AF416" s="5">
        <v>-0.56998395779132482</v>
      </c>
    </row>
    <row r="417" spans="23:32" x14ac:dyDescent="0.25">
      <c r="W417">
        <v>81</v>
      </c>
      <c r="X417" s="5">
        <v>76.607390363693327</v>
      </c>
      <c r="Y417" s="5">
        <v>4.3926096363066733</v>
      </c>
      <c r="Z417" s="5">
        <v>4.4077574234634369</v>
      </c>
      <c r="AA417" s="18">
        <v>3.4366199637338715E-3</v>
      </c>
      <c r="AB417" s="5">
        <v>1.2236917709877888</v>
      </c>
      <c r="AC417" s="4">
        <v>2.7177972965373656E-4</v>
      </c>
      <c r="AE417" s="5">
        <v>-0.67401274003943057</v>
      </c>
      <c r="AF417" s="5">
        <v>-0.56855605332066284</v>
      </c>
    </row>
    <row r="418" spans="23:32" x14ac:dyDescent="0.25">
      <c r="W418">
        <v>80</v>
      </c>
      <c r="X418" s="5">
        <v>77.571278730883137</v>
      </c>
      <c r="Y418" s="5">
        <v>2.4287212691168634</v>
      </c>
      <c r="Z418" s="5">
        <v>2.4656662944513812</v>
      </c>
      <c r="AA418" s="18">
        <v>1.4983789743835248E-2</v>
      </c>
      <c r="AB418" s="5">
        <v>0.68054661634584634</v>
      </c>
      <c r="AC418" s="4">
        <v>3.7080061836172826E-4</v>
      </c>
      <c r="AE418" s="5">
        <v>-0.67401274003943057</v>
      </c>
      <c r="AF418" s="5">
        <v>-0.56792977648932008</v>
      </c>
    </row>
    <row r="419" spans="23:32" x14ac:dyDescent="0.25">
      <c r="W419">
        <v>79.7</v>
      </c>
      <c r="X419" s="5">
        <v>77.663701689344791</v>
      </c>
      <c r="Y419" s="5">
        <v>2.0362983106552122</v>
      </c>
      <c r="Z419" s="5">
        <v>2.0734642959262288</v>
      </c>
      <c r="AA419" s="18">
        <v>1.7924584158035439E-2</v>
      </c>
      <c r="AB419" s="5">
        <v>0.57144031032566456</v>
      </c>
      <c r="AC419" s="4">
        <v>3.1368401960537055E-4</v>
      </c>
      <c r="AE419" s="5">
        <v>-0.6664012884495929</v>
      </c>
      <c r="AF419" s="5">
        <v>-0.56406855167537395</v>
      </c>
    </row>
    <row r="420" spans="23:32" x14ac:dyDescent="0.25">
      <c r="W420">
        <v>79.5</v>
      </c>
      <c r="X420" s="5">
        <v>77.10751662703619</v>
      </c>
      <c r="Y420" s="5">
        <v>2.3924833729638095</v>
      </c>
      <c r="Z420" s="5">
        <v>2.4017565573007573</v>
      </c>
      <c r="AA420" s="18">
        <v>3.8610009448115292E-3</v>
      </c>
      <c r="AB420" s="5">
        <v>0.66663920122297748</v>
      </c>
      <c r="AC420" s="4">
        <v>9.0658402212918772E-5</v>
      </c>
      <c r="AE420" s="5">
        <v>-0.6664012884495929</v>
      </c>
      <c r="AF420" s="5">
        <v>-0.56287672829393809</v>
      </c>
    </row>
    <row r="421" spans="23:32" x14ac:dyDescent="0.25">
      <c r="W421">
        <v>79.3</v>
      </c>
      <c r="X421" s="5">
        <v>77.521050208890003</v>
      </c>
      <c r="Y421" s="5">
        <v>1.7789497911099943</v>
      </c>
      <c r="Z421" s="5">
        <v>1.7870628419055521</v>
      </c>
      <c r="AA421" s="18">
        <v>4.5398799669007514E-3</v>
      </c>
      <c r="AB421" s="5">
        <v>0.4958538042146266</v>
      </c>
      <c r="AC421" s="4">
        <v>5.901660225567026E-5</v>
      </c>
      <c r="AE421" s="5">
        <v>-0.6664012884495929</v>
      </c>
      <c r="AF421" s="5">
        <v>-0.56279579667904311</v>
      </c>
    </row>
    <row r="422" spans="23:32" x14ac:dyDescent="0.25">
      <c r="W422">
        <v>79.099999999999994</v>
      </c>
      <c r="X422" s="5">
        <v>76.031856878801676</v>
      </c>
      <c r="Y422" s="5">
        <v>3.0681431211983181</v>
      </c>
      <c r="Z422" s="5">
        <v>3.083261579843267</v>
      </c>
      <c r="AA422" s="18">
        <v>4.9033979937932589E-3</v>
      </c>
      <c r="AB422" s="5">
        <v>0.85535201862982713</v>
      </c>
      <c r="AC422" s="4">
        <v>1.8974400804922653E-4</v>
      </c>
      <c r="AE422" s="5">
        <v>-0.66071795340131467</v>
      </c>
      <c r="AF422" s="5">
        <v>-0.56038873958878166</v>
      </c>
    </row>
    <row r="423" spans="23:32" x14ac:dyDescent="0.25">
      <c r="W423">
        <v>78.900000000000006</v>
      </c>
      <c r="X423" s="5">
        <v>76.771725178143527</v>
      </c>
      <c r="Y423" s="5">
        <v>2.1282748218564791</v>
      </c>
      <c r="Z423" s="5">
        <v>2.1773438036160542</v>
      </c>
      <c r="AA423" s="18">
        <v>2.2536166166353705E-2</v>
      </c>
      <c r="AB423" s="5">
        <v>0.598658633835495</v>
      </c>
      <c r="AC423" s="4">
        <v>4.348948234511101E-4</v>
      </c>
      <c r="AE423" s="5">
        <v>-0.66071795340131467</v>
      </c>
      <c r="AF423" s="5">
        <v>-0.55982497928829689</v>
      </c>
    </row>
    <row r="424" spans="23:32" x14ac:dyDescent="0.25">
      <c r="W424">
        <v>78.8</v>
      </c>
      <c r="X424" s="5">
        <v>76.41328353287949</v>
      </c>
      <c r="Y424" s="5">
        <v>2.3867164671205074</v>
      </c>
      <c r="Z424" s="5">
        <v>2.4286965144346908</v>
      </c>
      <c r="AA424" s="18">
        <v>1.7285011554421199E-2</v>
      </c>
      <c r="AB424" s="5">
        <v>0.66955912216534763</v>
      </c>
      <c r="AC424" s="4">
        <v>4.1501744830391943E-4</v>
      </c>
      <c r="AE424" s="5">
        <v>-0.66071795340131467</v>
      </c>
      <c r="AF424" s="5">
        <v>-0.55944120375480566</v>
      </c>
    </row>
    <row r="425" spans="23:32" x14ac:dyDescent="0.25">
      <c r="W425">
        <v>78.7</v>
      </c>
      <c r="X425" s="5">
        <v>76.420726850461349</v>
      </c>
      <c r="Y425" s="5">
        <v>2.2792731495386533</v>
      </c>
      <c r="Z425" s="5">
        <v>2.3147090799400587</v>
      </c>
      <c r="AA425" s="18">
        <v>1.5309021210703225E-2</v>
      </c>
      <c r="AB425" s="5">
        <v>0.63877555300161049</v>
      </c>
      <c r="AC425" s="4">
        <v>3.338800254107346E-4</v>
      </c>
      <c r="AE425" s="5">
        <v>-0.66071795340131467</v>
      </c>
      <c r="AF425" s="5">
        <v>-0.55930489367306124</v>
      </c>
    </row>
    <row r="426" spans="23:32" x14ac:dyDescent="0.25">
      <c r="W426">
        <v>78.599999999999994</v>
      </c>
      <c r="X426" s="5">
        <v>76.192597371964752</v>
      </c>
      <c r="Y426" s="5">
        <v>2.4074026280352427</v>
      </c>
      <c r="Z426" s="5">
        <v>2.4420515069967053</v>
      </c>
      <c r="AA426" s="18">
        <v>1.4188430859134911E-2</v>
      </c>
      <c r="AB426" s="5">
        <v>0.67430078733309573</v>
      </c>
      <c r="AC426" s="4">
        <v>3.4442462180693116E-4</v>
      </c>
      <c r="AE426" s="5">
        <v>-0.66071795340131467</v>
      </c>
      <c r="AF426" s="5">
        <v>-0.55869484340411346</v>
      </c>
    </row>
    <row r="427" spans="23:32" x14ac:dyDescent="0.25">
      <c r="W427">
        <v>78.5</v>
      </c>
      <c r="X427" s="5">
        <v>75.053360708583924</v>
      </c>
      <c r="Y427" s="5">
        <v>3.4466392914160764</v>
      </c>
      <c r="Z427" s="5">
        <v>3.4616878175997101</v>
      </c>
      <c r="AA427" s="18">
        <v>4.3471644401700919E-3</v>
      </c>
      <c r="AB427" s="5">
        <v>0.96060260255749907</v>
      </c>
      <c r="AC427" s="4">
        <v>2.120469599762742E-4</v>
      </c>
      <c r="AE427" s="5">
        <v>-0.66071795340131467</v>
      </c>
      <c r="AF427" s="5">
        <v>-0.55819038373494112</v>
      </c>
    </row>
    <row r="428" spans="23:32" x14ac:dyDescent="0.25">
      <c r="W428">
        <v>78.400000000000006</v>
      </c>
      <c r="X428" s="5">
        <v>74.912056076950918</v>
      </c>
      <c r="Y428" s="5">
        <v>3.4879439230490874</v>
      </c>
      <c r="Z428" s="5">
        <v>3.5182554997474966</v>
      </c>
      <c r="AA428" s="18">
        <v>8.6155131998171489E-3</v>
      </c>
      <c r="AB428" s="5">
        <v>0.97420493759427995</v>
      </c>
      <c r="AC428" s="4">
        <v>4.3409630103689384E-4</v>
      </c>
      <c r="AE428" s="5">
        <v>-0.64941472986293491</v>
      </c>
      <c r="AF428" s="5">
        <v>-0.55811891720225248</v>
      </c>
    </row>
    <row r="429" spans="23:32" x14ac:dyDescent="0.25">
      <c r="W429">
        <v>78.2</v>
      </c>
      <c r="X429" s="5">
        <v>74.17693365883639</v>
      </c>
      <c r="Y429" s="5">
        <v>4.0230663411636129</v>
      </c>
      <c r="Z429" s="5">
        <v>4.0418360197040215</v>
      </c>
      <c r="AA429" s="18">
        <v>4.6438495893729084E-3</v>
      </c>
      <c r="AB429" s="5">
        <v>1.1214239676633204</v>
      </c>
      <c r="AC429" s="4">
        <v>3.0880598382863509E-4</v>
      </c>
      <c r="AE429" s="5">
        <v>-0.64941472986293491</v>
      </c>
      <c r="AF429" s="5">
        <v>-0.55684466485067363</v>
      </c>
    </row>
    <row r="430" spans="23:32" x14ac:dyDescent="0.25">
      <c r="W430">
        <v>78.099999999999994</v>
      </c>
      <c r="X430" s="5">
        <v>75.809059036220461</v>
      </c>
      <c r="Y430" s="5">
        <v>2.2909409637795335</v>
      </c>
      <c r="Z430" s="5">
        <v>2.3080065922264907</v>
      </c>
      <c r="AA430" s="18">
        <v>7.3940986583149442E-3</v>
      </c>
      <c r="AB430" s="5">
        <v>0.63948058435979116</v>
      </c>
      <c r="AC430" s="4">
        <v>1.6032805110619751E-4</v>
      </c>
      <c r="AE430" s="5">
        <v>-0.64941472986293491</v>
      </c>
      <c r="AF430" s="5">
        <v>-0.55253039621355571</v>
      </c>
    </row>
    <row r="431" spans="23:32" x14ac:dyDescent="0.25">
      <c r="W431">
        <v>63</v>
      </c>
      <c r="X431" s="5">
        <v>60.490810355843912</v>
      </c>
      <c r="Y431" s="5">
        <v>2.5091896441560877</v>
      </c>
      <c r="Z431" s="5">
        <v>2.5269294693357836</v>
      </c>
      <c r="AA431" s="18">
        <v>7.0203087957011658E-3</v>
      </c>
      <c r="AB431" s="5">
        <v>0.70026947405379514</v>
      </c>
      <c r="AC431" s="4">
        <v>1.8247049009076531E-4</v>
      </c>
      <c r="AE431" s="5">
        <v>-0.64941472986293491</v>
      </c>
      <c r="AF431" s="5">
        <v>-0.55224635582269033</v>
      </c>
    </row>
    <row r="432" spans="23:32" x14ac:dyDescent="0.25">
      <c r="W432">
        <v>62.7</v>
      </c>
      <c r="X432" s="5">
        <v>61.062468068814496</v>
      </c>
      <c r="Y432" s="5">
        <v>1.6375319311855066</v>
      </c>
      <c r="Z432" s="5">
        <v>1.6499489232132944</v>
      </c>
      <c r="AA432" s="18">
        <v>7.5256826760457312E-3</v>
      </c>
      <c r="AB432" s="5">
        <v>0.45712190246063811</v>
      </c>
      <c r="AC432" s="4">
        <v>8.3394437756798497E-5</v>
      </c>
      <c r="AE432" s="5">
        <v>-0.64941472986293491</v>
      </c>
      <c r="AF432" s="5">
        <v>-0.5513870061462911</v>
      </c>
    </row>
    <row r="433" spans="23:32" x14ac:dyDescent="0.25">
      <c r="W433">
        <v>62.2</v>
      </c>
      <c r="X433" s="5">
        <v>60.924465103980531</v>
      </c>
      <c r="Y433" s="5">
        <v>1.2755348960194723</v>
      </c>
      <c r="Z433" s="5">
        <v>1.2849070064518244</v>
      </c>
      <c r="AA433" s="18">
        <v>7.2939990094953687E-3</v>
      </c>
      <c r="AB433" s="5">
        <v>0.35602780165138875</v>
      </c>
      <c r="AC433" s="4">
        <v>4.9018416448398787E-5</v>
      </c>
      <c r="AE433" s="5">
        <v>-0.64941472986293491</v>
      </c>
      <c r="AF433" s="5">
        <v>-0.55035232193750461</v>
      </c>
    </row>
    <row r="434" spans="23:32" x14ac:dyDescent="0.25">
      <c r="W434">
        <v>61.8</v>
      </c>
      <c r="X434" s="5">
        <v>60.032757791553635</v>
      </c>
      <c r="Y434" s="5">
        <v>1.7672422084463619</v>
      </c>
      <c r="Z434" s="5">
        <v>1.7814111892379145</v>
      </c>
      <c r="AA434" s="18">
        <v>7.9537957755926939E-3</v>
      </c>
      <c r="AB434" s="5">
        <v>0.49343734752100799</v>
      </c>
      <c r="AC434" s="4">
        <v>1.027431720845283E-4</v>
      </c>
      <c r="AE434" s="5">
        <v>-0.64941472986293491</v>
      </c>
      <c r="AF434" s="5">
        <v>-0.54945086631217699</v>
      </c>
    </row>
    <row r="435" spans="23:32" x14ac:dyDescent="0.25">
      <c r="W435">
        <v>61.3</v>
      </c>
      <c r="X435" s="5">
        <v>59.405688892260159</v>
      </c>
      <c r="Y435" s="5">
        <v>1.8943111077398385</v>
      </c>
      <c r="Z435" s="5">
        <v>1.9115348862575132</v>
      </c>
      <c r="AA435" s="18">
        <v>9.0104442464033103E-3</v>
      </c>
      <c r="AB435" s="5">
        <v>0.52919856630938911</v>
      </c>
      <c r="AC435" s="4">
        <v>1.3401729357204832E-4</v>
      </c>
      <c r="AE435" s="5">
        <v>-0.63633155866502356</v>
      </c>
      <c r="AF435" s="5">
        <v>-0.54903142888438405</v>
      </c>
    </row>
    <row r="436" spans="23:32" x14ac:dyDescent="0.25">
      <c r="W436">
        <v>69</v>
      </c>
      <c r="X436" s="5">
        <v>58.989879555349859</v>
      </c>
      <c r="Y436" s="5">
        <v>10.010120444650141</v>
      </c>
      <c r="Z436" s="5">
        <v>10.101808367931675</v>
      </c>
      <c r="AA436" s="18">
        <v>9.076387112291296E-3</v>
      </c>
      <c r="AB436" s="5">
        <v>2.7965404542385945</v>
      </c>
      <c r="AC436" s="4">
        <v>3.7701744364533559E-3</v>
      </c>
      <c r="AE436" s="5">
        <v>-0.63633155866502356</v>
      </c>
      <c r="AF436" s="5">
        <v>-0.54857427925052948</v>
      </c>
    </row>
    <row r="437" spans="23:32" x14ac:dyDescent="0.25">
      <c r="W437">
        <v>62</v>
      </c>
      <c r="X437" s="5">
        <v>58.423853157542403</v>
      </c>
      <c r="Y437" s="5">
        <v>3.5761468424575966</v>
      </c>
      <c r="Z437" s="5">
        <v>3.6118139321892144</v>
      </c>
      <c r="AA437" s="18">
        <v>9.8751182650210229E-3</v>
      </c>
      <c r="AB437" s="5">
        <v>0.99947571888077891</v>
      </c>
      <c r="AC437" s="4">
        <v>5.2437650650602788E-4</v>
      </c>
      <c r="AE437" s="5">
        <v>-0.63633155866502356</v>
      </c>
      <c r="AF437" s="5">
        <v>-0.54779545105407668</v>
      </c>
    </row>
    <row r="438" spans="23:32" x14ac:dyDescent="0.25">
      <c r="W438">
        <v>59.8</v>
      </c>
      <c r="X438" s="5">
        <v>56.946177609162518</v>
      </c>
      <c r="Y438" s="5">
        <v>2.8538223908374789</v>
      </c>
      <c r="Z438" s="5">
        <v>2.8992660113731148</v>
      </c>
      <c r="AA438" s="18">
        <v>1.5674181105622288E-2</v>
      </c>
      <c r="AB438" s="5">
        <v>0.79994364841586407</v>
      </c>
      <c r="AC438" s="4">
        <v>5.3630416724911542E-4</v>
      </c>
      <c r="AE438" s="5">
        <v>-0.63633155866502356</v>
      </c>
      <c r="AF438" s="5">
        <v>-0.54615783871585555</v>
      </c>
    </row>
    <row r="439" spans="23:32" x14ac:dyDescent="0.25">
      <c r="W439">
        <v>73.599999999999994</v>
      </c>
      <c r="X439" s="5">
        <v>72.362190954979496</v>
      </c>
      <c r="Y439" s="5">
        <v>1.2378090450204979</v>
      </c>
      <c r="Z439" s="5">
        <v>1.2571689652886704</v>
      </c>
      <c r="AA439" s="18">
        <v>1.5399616760129044E-2</v>
      </c>
      <c r="AB439" s="5">
        <v>0.34691696907426578</v>
      </c>
      <c r="AC439" s="4">
        <v>9.907119428710233E-5</v>
      </c>
      <c r="AE439" s="5">
        <v>-0.62890421763218984</v>
      </c>
      <c r="AF439" s="5">
        <v>-0.54583245592742524</v>
      </c>
    </row>
    <row r="440" spans="23:32" x14ac:dyDescent="0.25">
      <c r="W440">
        <v>73.400000000000006</v>
      </c>
      <c r="X440" s="5">
        <v>72.680056264818617</v>
      </c>
      <c r="Y440" s="5">
        <v>0.71994373518138843</v>
      </c>
      <c r="Z440" s="5">
        <v>0.72725721021697609</v>
      </c>
      <c r="AA440" s="18">
        <v>1.0056242733443852E-2</v>
      </c>
      <c r="AB440" s="5">
        <v>0.20123114023931407</v>
      </c>
      <c r="AC440" s="4">
        <v>2.1650204431108348E-5</v>
      </c>
      <c r="AE440" s="5">
        <v>-0.62890421763218984</v>
      </c>
      <c r="AF440" s="5">
        <v>-0.54559059432246759</v>
      </c>
    </row>
    <row r="441" spans="23:32" x14ac:dyDescent="0.25">
      <c r="W441">
        <v>72.099999999999994</v>
      </c>
      <c r="X441" s="5">
        <v>72.25490716116731</v>
      </c>
      <c r="Y441" s="5">
        <v>-0.15490716116731562</v>
      </c>
      <c r="Z441" s="5">
        <v>-0.15520930929862686</v>
      </c>
      <c r="AA441" s="18">
        <v>1.9467139740522083E-3</v>
      </c>
      <c r="AB441" s="5">
        <v>-4.3121764402256194E-2</v>
      </c>
      <c r="AC441" s="4">
        <v>1.9089205860467902E-7</v>
      </c>
      <c r="AE441" s="5">
        <v>-0.62890421763218984</v>
      </c>
      <c r="AF441" s="5">
        <v>-0.54254225695123626</v>
      </c>
    </row>
    <row r="442" spans="23:32" x14ac:dyDescent="0.25">
      <c r="W442">
        <v>73.099999999999994</v>
      </c>
      <c r="X442" s="5">
        <v>74.973888378657321</v>
      </c>
      <c r="Y442" s="5">
        <v>-1.8738883786573268</v>
      </c>
      <c r="Z442" s="5">
        <v>-1.8935449854183162</v>
      </c>
      <c r="AA442" s="18">
        <v>1.0380850157960919E-2</v>
      </c>
      <c r="AB442" s="5">
        <v>-0.52385556795554633</v>
      </c>
      <c r="AC442" s="4">
        <v>1.5150757928870554E-4</v>
      </c>
      <c r="AE442" s="5">
        <v>-0.62335641379693996</v>
      </c>
      <c r="AF442" s="5">
        <v>-0.53932116518799167</v>
      </c>
    </row>
    <row r="443" spans="23:32" x14ac:dyDescent="0.25">
      <c r="W443">
        <v>72.7</v>
      </c>
      <c r="X443" s="5">
        <v>71.6859903783851</v>
      </c>
      <c r="Y443" s="5">
        <v>1.0140096216149033</v>
      </c>
      <c r="Z443" s="5">
        <v>1.0155119494879017</v>
      </c>
      <c r="AA443" s="18">
        <v>1.4793798081358116E-3</v>
      </c>
      <c r="AB443" s="5">
        <v>0.28220548385565947</v>
      </c>
      <c r="AC443" s="4">
        <v>6.2101193322579074E-6</v>
      </c>
      <c r="AE443" s="5">
        <v>-0.62335641379693996</v>
      </c>
      <c r="AF443" s="5">
        <v>-0.53930990219916664</v>
      </c>
    </row>
    <row r="444" spans="23:32" x14ac:dyDescent="0.25">
      <c r="W444">
        <v>73.599999999999994</v>
      </c>
      <c r="X444" s="5">
        <v>71.932283516959941</v>
      </c>
      <c r="Y444" s="5">
        <v>1.6677164830400528</v>
      </c>
      <c r="Z444" s="5">
        <v>1.6831206662897671</v>
      </c>
      <c r="AA444" s="18">
        <v>9.1521562049773908E-3</v>
      </c>
      <c r="AB444" s="5">
        <v>0.46592995086752675</v>
      </c>
      <c r="AC444" s="4">
        <v>1.0553684612188594E-4</v>
      </c>
      <c r="AE444" s="5">
        <v>-0.62335641379693996</v>
      </c>
      <c r="AF444" s="5">
        <v>-0.53723510791721762</v>
      </c>
    </row>
    <row r="445" spans="23:32" x14ac:dyDescent="0.25">
      <c r="W445">
        <v>73.3</v>
      </c>
      <c r="X445" s="5">
        <v>70.943839818319333</v>
      </c>
      <c r="Y445" s="5">
        <v>2.3561601816806643</v>
      </c>
      <c r="Z445" s="5">
        <v>2.3606508877206949</v>
      </c>
      <c r="AA445" s="18">
        <v>1.9023168836117316E-3</v>
      </c>
      <c r="AB445" s="5">
        <v>0.65587364552537264</v>
      </c>
      <c r="AC445" s="4">
        <v>4.3151567338088917E-5</v>
      </c>
      <c r="AE445" s="5">
        <v>-0.62335641379693996</v>
      </c>
      <c r="AF445" s="5">
        <v>-0.53686636239047725</v>
      </c>
    </row>
    <row r="446" spans="23:32" x14ac:dyDescent="0.25">
      <c r="W446">
        <v>72.900000000000006</v>
      </c>
      <c r="X446" s="5">
        <v>69.224600460163003</v>
      </c>
      <c r="Y446" s="5">
        <v>3.6753995398370023</v>
      </c>
      <c r="Z446" s="5">
        <v>3.695679632109929</v>
      </c>
      <c r="AA446" s="18">
        <v>5.4875136082473104E-3</v>
      </c>
      <c r="AB446" s="5">
        <v>1.0249468104699595</v>
      </c>
      <c r="AC446" s="4">
        <v>3.0508048328978834E-4</v>
      </c>
      <c r="AE446" s="5">
        <v>-0.62335641379693996</v>
      </c>
      <c r="AF446" s="5">
        <v>-0.53550072176883701</v>
      </c>
    </row>
    <row r="447" spans="23:32" x14ac:dyDescent="0.25">
      <c r="W447">
        <v>72.3</v>
      </c>
      <c r="X447" s="5">
        <v>70.433803394599735</v>
      </c>
      <c r="Y447" s="5">
        <v>1.8661966054002619</v>
      </c>
      <c r="Z447" s="5">
        <v>1.8690470673379167</v>
      </c>
      <c r="AA447" s="18">
        <v>1.5250883658705511E-3</v>
      </c>
      <c r="AB447" s="5">
        <v>0.5193865612747357</v>
      </c>
      <c r="AC447" s="4">
        <v>2.1686310267874136E-5</v>
      </c>
      <c r="AE447" s="5">
        <v>-0.62335641379693996</v>
      </c>
      <c r="AF447" s="5">
        <v>-0.5354957117515512</v>
      </c>
    </row>
    <row r="448" spans="23:32" x14ac:dyDescent="0.25">
      <c r="W448">
        <v>69.7</v>
      </c>
      <c r="X448" s="5">
        <v>72.687286249600305</v>
      </c>
      <c r="Y448" s="5">
        <v>-2.9872862496003023</v>
      </c>
      <c r="Z448" s="5">
        <v>-2.9954081351805257</v>
      </c>
      <c r="AA448" s="18">
        <v>2.7114453903070825E-3</v>
      </c>
      <c r="AB448" s="5">
        <v>-0.83189461714908897</v>
      </c>
      <c r="AC448" s="4">
        <v>9.9029150706262035E-5</v>
      </c>
      <c r="AE448" s="5">
        <v>-0.62335641379693996</v>
      </c>
      <c r="AF448" s="5">
        <v>-0.53322448702300296</v>
      </c>
    </row>
    <row r="449" spans="23:32" x14ac:dyDescent="0.25">
      <c r="W449">
        <v>69.3</v>
      </c>
      <c r="X449" s="5">
        <v>69.090654426380226</v>
      </c>
      <c r="Y449" s="5">
        <v>0.20934557361977113</v>
      </c>
      <c r="Z449" s="5">
        <v>0.20979652462888509</v>
      </c>
      <c r="AA449" s="18">
        <v>2.1494684428450751E-3</v>
      </c>
      <c r="AB449" s="5">
        <v>5.8281796198830123E-2</v>
      </c>
      <c r="AC449" s="4">
        <v>3.851038277532613E-7</v>
      </c>
      <c r="AE449" s="5">
        <v>-0.62335641379693996</v>
      </c>
      <c r="AF449" s="5">
        <v>-0.53282936088017241</v>
      </c>
    </row>
    <row r="450" spans="23:32" x14ac:dyDescent="0.25">
      <c r="W450">
        <v>73</v>
      </c>
      <c r="X450" s="5">
        <v>72.197670621291763</v>
      </c>
      <c r="Y450" s="5">
        <v>0.80232937870823662</v>
      </c>
      <c r="Z450" s="5">
        <v>0.80504761011492576</v>
      </c>
      <c r="AA450" s="18">
        <v>3.3764852817776353E-3</v>
      </c>
      <c r="AB450" s="5">
        <v>0.2235059153769858</v>
      </c>
      <c r="AC450" s="4">
        <v>8.9075480495055524E-6</v>
      </c>
      <c r="AE450" s="5">
        <v>-0.62335641379693996</v>
      </c>
      <c r="AF450" s="5">
        <v>-0.53175556832364079</v>
      </c>
    </row>
    <row r="451" spans="23:32" x14ac:dyDescent="0.25">
      <c r="W451">
        <v>71.400000000000006</v>
      </c>
      <c r="X451" s="5">
        <v>69.228105814518401</v>
      </c>
      <c r="Y451" s="5">
        <v>2.1718941854816052</v>
      </c>
      <c r="Z451" s="5">
        <v>2.1759416540092076</v>
      </c>
      <c r="AA451" s="18">
        <v>1.8600997504434589E-3</v>
      </c>
      <c r="AB451" s="5">
        <v>0.6045675684299423</v>
      </c>
      <c r="AC451" s="4">
        <v>3.5849318904096742E-5</v>
      </c>
      <c r="AE451" s="5">
        <v>-0.62335641379693996</v>
      </c>
      <c r="AF451" s="5">
        <v>-0.53125839738810154</v>
      </c>
    </row>
    <row r="452" spans="23:32" x14ac:dyDescent="0.25">
      <c r="W452">
        <v>71.2</v>
      </c>
      <c r="X452" s="5">
        <v>69.03807601231847</v>
      </c>
      <c r="Y452" s="5">
        <v>2.1619239876815328</v>
      </c>
      <c r="Z452" s="5">
        <v>2.1650467839001379</v>
      </c>
      <c r="AA452" s="18">
        <v>1.4423689325427798E-3</v>
      </c>
      <c r="AB452" s="5">
        <v>0.60166637997438366</v>
      </c>
      <c r="AC452" s="4">
        <v>2.752080370823239E-5</v>
      </c>
      <c r="AE452" s="5">
        <v>-0.62335641379693996</v>
      </c>
      <c r="AF452" s="5">
        <v>-0.52999719583868399</v>
      </c>
    </row>
    <row r="453" spans="23:32" x14ac:dyDescent="0.25">
      <c r="W453">
        <v>72</v>
      </c>
      <c r="X453" s="5">
        <v>68.992296293966589</v>
      </c>
      <c r="Y453" s="5">
        <v>3.0077037060334106</v>
      </c>
      <c r="Z453" s="5">
        <v>3.0126836357003128</v>
      </c>
      <c r="AA453" s="18">
        <v>1.6529879234233307E-3</v>
      </c>
      <c r="AB453" s="5">
        <v>0.83713631389866427</v>
      </c>
      <c r="AC453" s="4">
        <v>6.10698594070256E-5</v>
      </c>
      <c r="AE453" s="5">
        <v>-0.60317578841021124</v>
      </c>
      <c r="AF453" s="5">
        <v>-0.52890940283609644</v>
      </c>
    </row>
    <row r="454" spans="23:32" x14ac:dyDescent="0.25">
      <c r="W454">
        <v>76</v>
      </c>
      <c r="X454" s="5">
        <v>74.555427957662758</v>
      </c>
      <c r="Y454" s="5">
        <v>1.4445720423372421</v>
      </c>
      <c r="Z454" s="5">
        <v>1.4505147056490983</v>
      </c>
      <c r="AA454" s="18">
        <v>4.096934204605638E-3</v>
      </c>
      <c r="AB454" s="5">
        <v>0.4025618011516055</v>
      </c>
      <c r="AC454" s="4">
        <v>3.5087582295559757E-5</v>
      </c>
      <c r="AE454" s="5">
        <v>-0.60317578841021124</v>
      </c>
      <c r="AF454" s="5">
        <v>-0.52786456712378715</v>
      </c>
    </row>
    <row r="455" spans="23:32" x14ac:dyDescent="0.25">
      <c r="W455">
        <v>76</v>
      </c>
      <c r="X455" s="5">
        <v>73.631149122620073</v>
      </c>
      <c r="Y455" s="5">
        <v>2.3688508773799271</v>
      </c>
      <c r="Z455" s="5">
        <v>2.3735277642273331</v>
      </c>
      <c r="AA455" s="18">
        <v>1.9704369663964385E-3</v>
      </c>
      <c r="AB455" s="5">
        <v>0.65942880041164964</v>
      </c>
      <c r="AC455" s="4">
        <v>4.5185736096323674E-5</v>
      </c>
      <c r="AE455" s="5">
        <v>-0.60317578841021124</v>
      </c>
      <c r="AF455" s="5">
        <v>-0.52682749442007837</v>
      </c>
    </row>
    <row r="456" spans="23:32" x14ac:dyDescent="0.25">
      <c r="W456">
        <v>75.5</v>
      </c>
      <c r="X456" s="5">
        <v>73.326117042622712</v>
      </c>
      <c r="Y456" s="5">
        <v>2.1738829573772875</v>
      </c>
      <c r="Z456" s="5">
        <v>2.1776886085911826</v>
      </c>
      <c r="AA456" s="18">
        <v>1.7475644584269436E-3</v>
      </c>
      <c r="AB456" s="5">
        <v>0.60508705284220077</v>
      </c>
      <c r="AC456" s="4">
        <v>3.3734551829444565E-5</v>
      </c>
      <c r="AE456" s="5">
        <v>-0.60317578841021124</v>
      </c>
      <c r="AF456" s="5">
        <v>-0.52674126588624326</v>
      </c>
    </row>
    <row r="457" spans="23:32" x14ac:dyDescent="0.25">
      <c r="W457">
        <v>75.3</v>
      </c>
      <c r="X457" s="5">
        <v>73.221732485180624</v>
      </c>
      <c r="Y457" s="5">
        <v>2.0782675148193732</v>
      </c>
      <c r="Z457" s="5">
        <v>2.0815638789667332</v>
      </c>
      <c r="AA457" s="18">
        <v>1.5835998023754068E-3</v>
      </c>
      <c r="AB457" s="5">
        <v>0.57842557625660718</v>
      </c>
      <c r="AC457" s="4">
        <v>2.7930268298557581E-5</v>
      </c>
      <c r="AE457" s="5">
        <v>-0.60317578841021124</v>
      </c>
      <c r="AF457" s="5">
        <v>-0.52539104060649322</v>
      </c>
    </row>
    <row r="458" spans="23:32" x14ac:dyDescent="0.25">
      <c r="W458">
        <v>75</v>
      </c>
      <c r="X458" s="5">
        <v>72.004482180651479</v>
      </c>
      <c r="Y458" s="5">
        <v>2.995517819348521</v>
      </c>
      <c r="Z458" s="5">
        <v>3.0396397519314604</v>
      </c>
      <c r="AA458" s="18">
        <v>1.451551373971088E-2</v>
      </c>
      <c r="AB458" s="5">
        <v>0.83916797813796518</v>
      </c>
      <c r="AC458" s="4">
        <v>5.459172592479516E-4</v>
      </c>
      <c r="AE458" s="5">
        <v>-0.60317578841021124</v>
      </c>
      <c r="AF458" s="5">
        <v>-0.52519721774048678</v>
      </c>
    </row>
    <row r="459" spans="23:32" x14ac:dyDescent="0.25">
      <c r="W459">
        <v>75.099999999999994</v>
      </c>
      <c r="X459" s="5">
        <v>71.46119683031695</v>
      </c>
      <c r="Y459" s="5">
        <v>3.6388031696830438</v>
      </c>
      <c r="Z459" s="5">
        <v>3.6631503070841802</v>
      </c>
      <c r="AA459" s="18">
        <v>6.6465024255336702E-3</v>
      </c>
      <c r="AB459" s="5">
        <v>1.0153330976880512</v>
      </c>
      <c r="AC459" s="4">
        <v>3.6303862054691224E-4</v>
      </c>
      <c r="AE459" s="5">
        <v>-0.60317578841021124</v>
      </c>
      <c r="AF459" s="5">
        <v>-0.52385643935361026</v>
      </c>
    </row>
    <row r="460" spans="23:32" x14ac:dyDescent="0.25">
      <c r="W460">
        <v>74.599999999999994</v>
      </c>
      <c r="X460" s="5">
        <v>72.735886086627985</v>
      </c>
      <c r="Y460" s="5">
        <v>1.8641139133720088</v>
      </c>
      <c r="Z460" s="5">
        <v>1.867452674854718</v>
      </c>
      <c r="AA460" s="18">
        <v>1.7878693943174206E-3</v>
      </c>
      <c r="AB460" s="5">
        <v>0.51887520515296803</v>
      </c>
      <c r="AC460" s="4">
        <v>2.5379623896871224E-5</v>
      </c>
      <c r="AE460" s="5">
        <v>-0.59046081866695443</v>
      </c>
      <c r="AF460" s="5">
        <v>-0.52385556795554633</v>
      </c>
    </row>
    <row r="461" spans="23:32" x14ac:dyDescent="0.25">
      <c r="W461">
        <v>74.7</v>
      </c>
      <c r="X461" s="5">
        <v>74.585358592918851</v>
      </c>
      <c r="Y461" s="5">
        <v>0.11464140708115167</v>
      </c>
      <c r="Z461" s="5">
        <v>0.11495979308851645</v>
      </c>
      <c r="AA461" s="18">
        <v>2.7695422791595464E-3</v>
      </c>
      <c r="AB461" s="5">
        <v>3.192608256306962E-2</v>
      </c>
      <c r="AC461" s="4">
        <v>1.4898760157627195E-7</v>
      </c>
      <c r="AE461" s="5">
        <v>-0.59046081866695443</v>
      </c>
      <c r="AF461" s="5">
        <v>-0.52372383880018225</v>
      </c>
    </row>
    <row r="462" spans="23:32" x14ac:dyDescent="0.25">
      <c r="W462">
        <v>74.400000000000006</v>
      </c>
      <c r="X462" s="5">
        <v>72.263396367033124</v>
      </c>
      <c r="Y462" s="5">
        <v>2.1366036329668816</v>
      </c>
      <c r="Z462" s="5">
        <v>2.1406269607442567</v>
      </c>
      <c r="AA462" s="18">
        <v>1.8795090649406274E-3</v>
      </c>
      <c r="AB462" s="5">
        <v>0.59474988743585944</v>
      </c>
      <c r="AC462" s="4">
        <v>3.5057148574915154E-5</v>
      </c>
      <c r="AE462" s="5">
        <v>-0.59046081866695443</v>
      </c>
      <c r="AF462" s="5">
        <v>-0.52283108152250746</v>
      </c>
    </row>
    <row r="463" spans="23:32" x14ac:dyDescent="0.25">
      <c r="W463">
        <v>74.2</v>
      </c>
      <c r="X463" s="5">
        <v>72.00446227298491</v>
      </c>
      <c r="Y463" s="5">
        <v>2.1955377270150933</v>
      </c>
      <c r="Z463" s="5">
        <v>2.1993558252433587</v>
      </c>
      <c r="AA463" s="18">
        <v>1.7360075093104635E-3</v>
      </c>
      <c r="AB463" s="5">
        <v>0.61111098833948896</v>
      </c>
      <c r="AC463" s="4">
        <v>3.4181630702427388E-5</v>
      </c>
      <c r="AE463" s="5">
        <v>-0.59046081866695443</v>
      </c>
      <c r="AF463" s="5">
        <v>-0.52105140938028316</v>
      </c>
    </row>
    <row r="464" spans="23:32" x14ac:dyDescent="0.25">
      <c r="W464">
        <v>74.400000000000006</v>
      </c>
      <c r="X464" s="5">
        <v>71.251144935174494</v>
      </c>
      <c r="Y464" s="5">
        <v>3.1488550648255114</v>
      </c>
      <c r="Z464" s="5">
        <v>3.1936182570874649</v>
      </c>
      <c r="AA464" s="18">
        <v>1.4016450514276586E-2</v>
      </c>
      <c r="AB464" s="5">
        <v>0.88190078397058103</v>
      </c>
      <c r="AC464" s="4">
        <v>5.8190787608907476E-4</v>
      </c>
      <c r="AE464" s="5">
        <v>-0.59046081866695443</v>
      </c>
      <c r="AF464" s="5">
        <v>-0.52061742430941571</v>
      </c>
    </row>
    <row r="465" spans="23:32" x14ac:dyDescent="0.25">
      <c r="W465">
        <v>74.400000000000006</v>
      </c>
      <c r="X465" s="5">
        <v>71.710066527100324</v>
      </c>
      <c r="Y465" s="5">
        <v>2.689933472899682</v>
      </c>
      <c r="Z465" s="5">
        <v>2.6948702311316737</v>
      </c>
      <c r="AA465" s="18">
        <v>1.8319094459386684E-3</v>
      </c>
      <c r="AB465" s="5">
        <v>0.74875819705991342</v>
      </c>
      <c r="AC465" s="4">
        <v>5.4153919944718833E-5</v>
      </c>
      <c r="AE465" s="5">
        <v>-0.59046081866695443</v>
      </c>
      <c r="AF465" s="5">
        <v>-0.51747995373396782</v>
      </c>
    </row>
    <row r="466" spans="23:32" x14ac:dyDescent="0.25">
      <c r="W466">
        <v>73.599999999999994</v>
      </c>
      <c r="X466" s="5">
        <v>71.375638247805057</v>
      </c>
      <c r="Y466" s="5">
        <v>2.2243617521949375</v>
      </c>
      <c r="Z466" s="5">
        <v>2.2281947622587808</v>
      </c>
      <c r="AA466" s="18">
        <v>1.7202311614637289E-3</v>
      </c>
      <c r="AB466" s="5">
        <v>0.61912904110751898</v>
      </c>
      <c r="AC466" s="4">
        <v>3.4765084645287039E-5</v>
      </c>
      <c r="AE466" s="5">
        <v>-0.57963781842623852</v>
      </c>
      <c r="AF466" s="5">
        <v>-0.51657444600337477</v>
      </c>
    </row>
    <row r="467" spans="23:32" x14ac:dyDescent="0.25">
      <c r="W467">
        <v>73.400000000000006</v>
      </c>
      <c r="X467" s="5">
        <v>70.535622734034433</v>
      </c>
      <c r="Y467" s="5">
        <v>2.8643772659655724</v>
      </c>
      <c r="Z467" s="5">
        <v>2.9050933303624475</v>
      </c>
      <c r="AA467" s="18">
        <v>1.4015406655384765E-2</v>
      </c>
      <c r="AB467" s="5">
        <v>0.80222657672457864</v>
      </c>
      <c r="AC467" s="4">
        <v>4.8147757495756941E-4</v>
      </c>
      <c r="AE467" s="5">
        <v>-0.57963781842623852</v>
      </c>
      <c r="AF467" s="5">
        <v>-0.51576433211903372</v>
      </c>
    </row>
    <row r="468" spans="23:32" x14ac:dyDescent="0.25">
      <c r="W468">
        <v>72.8</v>
      </c>
      <c r="X468" s="5">
        <v>71.086126691067591</v>
      </c>
      <c r="Y468" s="5">
        <v>1.7138733089324063</v>
      </c>
      <c r="Z468" s="5">
        <v>1.7230026586937157</v>
      </c>
      <c r="AA468" s="18">
        <v>5.2985117087600824E-3</v>
      </c>
      <c r="AB468" s="5">
        <v>0.4778969108560519</v>
      </c>
      <c r="AC468" s="4">
        <v>6.4028890466622196E-5</v>
      </c>
      <c r="AE468" s="5">
        <v>-0.57963781842623852</v>
      </c>
      <c r="AF468" s="5">
        <v>-0.51148486585706554</v>
      </c>
    </row>
    <row r="469" spans="23:32" x14ac:dyDescent="0.25">
      <c r="W469">
        <v>73.3</v>
      </c>
      <c r="X469" s="5">
        <v>72.446021183718926</v>
      </c>
      <c r="Y469" s="5">
        <v>0.85397881628107086</v>
      </c>
      <c r="Z469" s="5">
        <v>0.85607364146297016</v>
      </c>
      <c r="AA469" s="18">
        <v>2.4470151637011233E-3</v>
      </c>
      <c r="AB469" s="5">
        <v>0.23778311019207232</v>
      </c>
      <c r="AC469" s="4">
        <v>7.2997686077555035E-6</v>
      </c>
      <c r="AE469" s="5">
        <v>-0.57963781842623852</v>
      </c>
      <c r="AF469" s="5">
        <v>-0.50723819597918152</v>
      </c>
    </row>
    <row r="470" spans="23:32" x14ac:dyDescent="0.25">
      <c r="W470">
        <v>73</v>
      </c>
      <c r="X470" s="5">
        <v>72.348920118752119</v>
      </c>
      <c r="Y470" s="5">
        <v>0.65107988124788108</v>
      </c>
      <c r="Z470" s="5">
        <v>0.65270223201962096</v>
      </c>
      <c r="AA470" s="18">
        <v>2.4855909665372788E-3</v>
      </c>
      <c r="AB470" s="5">
        <v>0.18129113940366121</v>
      </c>
      <c r="AC470" s="4">
        <v>4.3103252262630858E-6</v>
      </c>
      <c r="AE470" s="5">
        <v>-0.57963781842623852</v>
      </c>
      <c r="AF470" s="5">
        <v>-0.50601393645428716</v>
      </c>
    </row>
    <row r="471" spans="23:32" x14ac:dyDescent="0.25">
      <c r="W471">
        <v>73</v>
      </c>
      <c r="X471" s="5">
        <v>72.242979817634051</v>
      </c>
      <c r="Y471" s="5">
        <v>0.75702018236594881</v>
      </c>
      <c r="Z471" s="5">
        <v>0.75877278015795468</v>
      </c>
      <c r="AA471" s="18">
        <v>2.3097794726390283E-3</v>
      </c>
      <c r="AB471" s="5">
        <v>0.21077130875160657</v>
      </c>
      <c r="AC471" s="4">
        <v>5.4130767600018002E-6</v>
      </c>
      <c r="AE471" s="5">
        <v>-0.57067028430202504</v>
      </c>
      <c r="AF471" s="5">
        <v>-0.50201612888831604</v>
      </c>
    </row>
    <row r="472" spans="23:32" x14ac:dyDescent="0.25">
      <c r="W472">
        <v>72</v>
      </c>
      <c r="X472" s="5">
        <v>71.050122618241957</v>
      </c>
      <c r="Y472" s="5">
        <v>0.94987738175804282</v>
      </c>
      <c r="Z472" s="5">
        <v>0.96405972382021332</v>
      </c>
      <c r="AA472" s="18">
        <v>1.4711061681912477E-2</v>
      </c>
      <c r="AB472" s="5">
        <v>0.26612620121471331</v>
      </c>
      <c r="AC472" s="4">
        <v>5.5654729704470967E-5</v>
      </c>
      <c r="AE472" s="5">
        <v>-0.57067028430202504</v>
      </c>
      <c r="AF472" s="5">
        <v>-0.50100835493675311</v>
      </c>
    </row>
    <row r="473" spans="23:32" x14ac:dyDescent="0.25">
      <c r="W473">
        <v>72</v>
      </c>
      <c r="X473" s="5">
        <v>71.602019290814184</v>
      </c>
      <c r="Y473" s="5">
        <v>0.39798070918581629</v>
      </c>
      <c r="Z473" s="5">
        <v>0.39884760965652788</v>
      </c>
      <c r="AA473" s="18">
        <v>2.1735130152872916E-3</v>
      </c>
      <c r="AB473" s="5">
        <v>0.11079914251731877</v>
      </c>
      <c r="AC473" s="4">
        <v>1.4074287393486487E-6</v>
      </c>
      <c r="AE473" s="5">
        <v>-0.57067028430202504</v>
      </c>
      <c r="AF473" s="5">
        <v>-0.49882295940463117</v>
      </c>
    </row>
    <row r="474" spans="23:32" x14ac:dyDescent="0.25">
      <c r="W474">
        <v>71.400000000000006</v>
      </c>
      <c r="X474" s="5">
        <v>74.323114900954408</v>
      </c>
      <c r="Y474" s="5">
        <v>-2.9231149009544026</v>
      </c>
      <c r="Z474" s="5">
        <v>-2.9306354994928085</v>
      </c>
      <c r="AA474" s="18">
        <v>2.5662005867680125E-3</v>
      </c>
      <c r="AB474" s="5">
        <v>-0.81396501367622398</v>
      </c>
      <c r="AC474" s="4">
        <v>8.9714862235163573E-5</v>
      </c>
      <c r="AE474" s="5">
        <v>-0.57067028430202504</v>
      </c>
      <c r="AF474" s="5">
        <v>-0.498766031320105</v>
      </c>
    </row>
    <row r="475" spans="23:32" x14ac:dyDescent="0.25">
      <c r="W475">
        <v>71.7</v>
      </c>
      <c r="X475" s="5">
        <v>71.718461794073988</v>
      </c>
      <c r="Y475" s="5">
        <v>-1.8461794073985516E-2</v>
      </c>
      <c r="Z475" s="5">
        <v>-1.851142913974968E-2</v>
      </c>
      <c r="AA475" s="18">
        <v>2.6813200316940363E-3</v>
      </c>
      <c r="AB475" s="5">
        <v>-5.1411327437265938E-3</v>
      </c>
      <c r="AC475" s="4">
        <v>3.7400614101990051E-9</v>
      </c>
      <c r="AE475" s="5">
        <v>-0.57067028430202504</v>
      </c>
      <c r="AF475" s="5">
        <v>-0.49874790182182599</v>
      </c>
    </row>
    <row r="476" spans="23:32" x14ac:dyDescent="0.25">
      <c r="W476">
        <v>71.2</v>
      </c>
      <c r="X476" s="5">
        <v>72.635968518719693</v>
      </c>
      <c r="Y476" s="5">
        <v>-1.4359685187196902</v>
      </c>
      <c r="Z476" s="5">
        <v>-1.4472951561417773</v>
      </c>
      <c r="AA476" s="18">
        <v>7.8260729154107748E-3</v>
      </c>
      <c r="AB476" s="5">
        <v>-0.40091555392878575</v>
      </c>
      <c r="AC476" s="4">
        <v>6.6728027886953586E-5</v>
      </c>
      <c r="AE476" s="5">
        <v>-0.56174840893422073</v>
      </c>
      <c r="AF476" s="5">
        <v>-0.49146906589859535</v>
      </c>
    </row>
    <row r="477" spans="23:32" x14ac:dyDescent="0.25">
      <c r="W477">
        <v>75</v>
      </c>
      <c r="X477" s="5">
        <v>69.500561896789193</v>
      </c>
      <c r="Y477" s="5">
        <v>5.4994381032108066</v>
      </c>
      <c r="Z477" s="5">
        <v>5.5378147420935449</v>
      </c>
      <c r="AA477" s="18">
        <v>6.9299246489839383E-3</v>
      </c>
      <c r="AB477" s="5">
        <v>1.5347239216998678</v>
      </c>
      <c r="AC477" s="4">
        <v>8.6507854516858045E-4</v>
      </c>
      <c r="AE477" s="5">
        <v>-0.56174840893422073</v>
      </c>
      <c r="AF477" s="5">
        <v>-0.48966277267082026</v>
      </c>
    </row>
    <row r="478" spans="23:32" x14ac:dyDescent="0.25">
      <c r="W478">
        <v>71</v>
      </c>
      <c r="X478" s="5">
        <v>70.803313704431019</v>
      </c>
      <c r="Y478" s="5">
        <v>0.19668629556898054</v>
      </c>
      <c r="Z478" s="5">
        <v>0.19711667391584342</v>
      </c>
      <c r="AA478" s="18">
        <v>2.1833685518304179E-3</v>
      </c>
      <c r="AB478" s="5">
        <v>5.4758384049553507E-2</v>
      </c>
      <c r="AC478" s="4">
        <v>3.4532176980295561E-7</v>
      </c>
      <c r="AE478" s="5">
        <v>-0.56174840893422073</v>
      </c>
      <c r="AF478" s="5">
        <v>-0.48883242868963805</v>
      </c>
    </row>
    <row r="479" spans="23:32" x14ac:dyDescent="0.25">
      <c r="W479">
        <v>70</v>
      </c>
      <c r="X479" s="5">
        <v>69.008866329086459</v>
      </c>
      <c r="Y479" s="5">
        <v>0.99113367091354121</v>
      </c>
      <c r="Z479" s="5">
        <v>1.0046837944145182</v>
      </c>
      <c r="AA479" s="18">
        <v>1.3486953384052676E-2</v>
      </c>
      <c r="AB479" s="5">
        <v>0.27751259946075502</v>
      </c>
      <c r="AC479" s="4">
        <v>5.5414425265109235E-5</v>
      </c>
      <c r="AE479" s="5">
        <v>-0.56174840893422073</v>
      </c>
      <c r="AF479" s="5">
        <v>-0.48814133125453008</v>
      </c>
    </row>
    <row r="480" spans="23:32" x14ac:dyDescent="0.25">
      <c r="W480">
        <v>69.900000000000006</v>
      </c>
      <c r="X480" s="5">
        <v>73.032490077942612</v>
      </c>
      <c r="Y480" s="5">
        <v>-3.1324900779426059</v>
      </c>
      <c r="Z480" s="5">
        <v>-3.1411371287955347</v>
      </c>
      <c r="AA480" s="18">
        <v>2.7528409293752229E-3</v>
      </c>
      <c r="AB480" s="5">
        <v>-0.87234884810262725</v>
      </c>
      <c r="AC480" s="4">
        <v>1.105617977866643E-4</v>
      </c>
      <c r="AE480" s="5">
        <v>-0.56174840893422073</v>
      </c>
      <c r="AF480" s="5">
        <v>-0.48514801074491309</v>
      </c>
    </row>
    <row r="481" spans="23:32" x14ac:dyDescent="0.25">
      <c r="W481">
        <v>73</v>
      </c>
      <c r="X481" s="5">
        <v>72.456300214140185</v>
      </c>
      <c r="Y481" s="5">
        <v>0.54369978585981471</v>
      </c>
      <c r="Z481" s="5">
        <v>0.5452986037847154</v>
      </c>
      <c r="AA481" s="18">
        <v>2.9320044353791513E-3</v>
      </c>
      <c r="AB481" s="5">
        <v>0.15142537769968076</v>
      </c>
      <c r="AC481" s="4">
        <v>3.5488167715334823E-6</v>
      </c>
      <c r="AE481" s="5">
        <v>-0.55287102664223609</v>
      </c>
      <c r="AF481" s="5">
        <v>-0.48056610957060858</v>
      </c>
    </row>
    <row r="482" spans="23:32" x14ac:dyDescent="0.25">
      <c r="W482">
        <v>68.900000000000006</v>
      </c>
      <c r="X482" s="5">
        <v>69.454539579999164</v>
      </c>
      <c r="Y482" s="5">
        <v>-0.55453957999915815</v>
      </c>
      <c r="Z482" s="5">
        <v>-0.55611488830685119</v>
      </c>
      <c r="AA482" s="18">
        <v>2.8327029914359744E-3</v>
      </c>
      <c r="AB482" s="5">
        <v>-0.15443666955143454</v>
      </c>
      <c r="AC482" s="4">
        <v>3.5659912081778889E-6</v>
      </c>
      <c r="AE482" s="5">
        <v>-0.55287102664223609</v>
      </c>
      <c r="AF482" s="5">
        <v>-0.47643916992541907</v>
      </c>
    </row>
    <row r="483" spans="23:32" x14ac:dyDescent="0.25">
      <c r="W483">
        <v>69</v>
      </c>
      <c r="X483" s="5">
        <v>69.032429662115931</v>
      </c>
      <c r="Y483" s="5">
        <v>-3.2429662115930569E-2</v>
      </c>
      <c r="Z483" s="5">
        <v>-3.2526136467993183E-2</v>
      </c>
      <c r="AA483" s="18">
        <v>2.9660563023976411E-3</v>
      </c>
      <c r="AB483" s="5">
        <v>-9.0321126090352217E-3</v>
      </c>
      <c r="AC483" s="4">
        <v>1.2773047666176042E-8</v>
      </c>
      <c r="AE483" s="5">
        <v>-0.55287102664223609</v>
      </c>
      <c r="AF483" s="5">
        <v>-0.47579466828175476</v>
      </c>
    </row>
    <row r="484" spans="23:32" x14ac:dyDescent="0.25">
      <c r="W484">
        <v>57.9</v>
      </c>
      <c r="X484" s="5">
        <v>65.425127731176318</v>
      </c>
      <c r="Y484" s="5">
        <v>-7.5251277311763189</v>
      </c>
      <c r="Z484" s="5">
        <v>-7.645226297423541</v>
      </c>
      <c r="AA484" s="18">
        <v>1.5708961589233968E-2</v>
      </c>
      <c r="AB484" s="5">
        <v>-2.1093760091151355</v>
      </c>
      <c r="AC484" s="4">
        <v>3.7374754647174061E-3</v>
      </c>
      <c r="AE484" s="5">
        <v>-0.55287102664223609</v>
      </c>
      <c r="AF484" s="5">
        <v>-0.47360673991397956</v>
      </c>
    </row>
    <row r="485" spans="23:32" x14ac:dyDescent="0.25">
      <c r="W485">
        <v>62.9</v>
      </c>
      <c r="X485" s="5">
        <v>58.410606954093055</v>
      </c>
      <c r="Y485" s="5">
        <v>4.4893930459069438</v>
      </c>
      <c r="Z485" s="5">
        <v>4.5281505320252009</v>
      </c>
      <c r="AA485" s="18">
        <v>8.5592309363721163E-3</v>
      </c>
      <c r="AB485" s="5">
        <v>1.2538804598248807</v>
      </c>
      <c r="AC485" s="4">
        <v>7.1437564306016713E-4</v>
      </c>
      <c r="AE485" s="5">
        <v>-0.55287102664223609</v>
      </c>
      <c r="AF485" s="5">
        <v>-0.47160105457004381</v>
      </c>
    </row>
    <row r="486" spans="23:32" x14ac:dyDescent="0.25">
      <c r="W486">
        <v>62.1</v>
      </c>
      <c r="X486" s="5">
        <v>56.626487696115092</v>
      </c>
      <c r="Y486" s="5">
        <v>5.4735123038849096</v>
      </c>
      <c r="Z486" s="5">
        <v>5.5553990327182774</v>
      </c>
      <c r="AA486" s="18">
        <v>1.47400264771438E-2</v>
      </c>
      <c r="AB486" s="5">
        <v>1.5335310387088927</v>
      </c>
      <c r="AC486" s="4">
        <v>1.8517355484270579E-3</v>
      </c>
      <c r="AE486" s="5">
        <v>-0.55287102664223609</v>
      </c>
      <c r="AF486" s="5">
        <v>-0.47081919531884908</v>
      </c>
    </row>
    <row r="487" spans="23:32" x14ac:dyDescent="0.25">
      <c r="W487">
        <v>61.4</v>
      </c>
      <c r="X487" s="5">
        <v>57.781043819375867</v>
      </c>
      <c r="Y487" s="5">
        <v>3.6189561806241315</v>
      </c>
      <c r="Z487" s="5">
        <v>3.6476811547411856</v>
      </c>
      <c r="AA487" s="18">
        <v>7.8748588208486289E-3</v>
      </c>
      <c r="AB487" s="5">
        <v>1.0104201275968969</v>
      </c>
      <c r="AC487" s="4">
        <v>4.2650752512808719E-4</v>
      </c>
      <c r="AE487" s="5">
        <v>-0.55287102664223609</v>
      </c>
      <c r="AF487" s="5">
        <v>-0.47016683664416881</v>
      </c>
    </row>
    <row r="488" spans="23:32" x14ac:dyDescent="0.25">
      <c r="W488">
        <v>67</v>
      </c>
      <c r="X488" s="5">
        <v>57.644064579051999</v>
      </c>
      <c r="Y488" s="5">
        <v>9.3559354209480006</v>
      </c>
      <c r="Z488" s="5">
        <v>9.4321142871736825</v>
      </c>
      <c r="AA488" s="18">
        <v>8.0765418978517613E-3</v>
      </c>
      <c r="AB488" s="5">
        <v>2.6124622684307339</v>
      </c>
      <c r="AC488" s="4">
        <v>2.9247836192521403E-3</v>
      </c>
      <c r="AE488" s="5">
        <v>-0.54051528578164909</v>
      </c>
      <c r="AF488" s="5">
        <v>-0.47002183559237776</v>
      </c>
    </row>
    <row r="489" spans="23:32" x14ac:dyDescent="0.25">
      <c r="W489">
        <v>62</v>
      </c>
      <c r="X489" s="5">
        <v>57.374078943138727</v>
      </c>
      <c r="Y489" s="5">
        <v>4.625921056861273</v>
      </c>
      <c r="Z489" s="5">
        <v>4.6629122091214725</v>
      </c>
      <c r="AA489" s="18">
        <v>7.9330578405145055E-3</v>
      </c>
      <c r="AB489" s="5">
        <v>1.291604709085163</v>
      </c>
      <c r="AC489" s="4">
        <v>7.021101979540307E-4</v>
      </c>
      <c r="AE489" s="5">
        <v>-0.54051528578164909</v>
      </c>
      <c r="AF489" s="5">
        <v>-0.46904500897628698</v>
      </c>
    </row>
    <row r="490" spans="23:32" x14ac:dyDescent="0.25">
      <c r="W490">
        <v>59.7</v>
      </c>
      <c r="X490" s="5">
        <v>57.352531670954285</v>
      </c>
      <c r="Y490" s="5">
        <v>2.3474683290457179</v>
      </c>
      <c r="Z490" s="5">
        <v>2.3668947206509259</v>
      </c>
      <c r="AA490" s="18">
        <v>8.2075435952907727E-3</v>
      </c>
      <c r="AB490" s="5">
        <v>0.65552797941796592</v>
      </c>
      <c r="AC490" s="4">
        <v>1.8716354513410893E-4</v>
      </c>
      <c r="AE490" s="5">
        <v>-0.54051528578164909</v>
      </c>
      <c r="AF490" s="5">
        <v>-0.46894723531655086</v>
      </c>
    </row>
    <row r="491" spans="23:32" x14ac:dyDescent="0.25">
      <c r="W491">
        <v>59.4</v>
      </c>
      <c r="X491" s="5">
        <v>58.450134502432576</v>
      </c>
      <c r="Y491" s="5">
        <v>0.94986549756742278</v>
      </c>
      <c r="Z491" s="5">
        <v>0.96752116867632765</v>
      </c>
      <c r="AA491" s="18">
        <v>1.8248356398301614E-2</v>
      </c>
      <c r="AB491" s="5">
        <v>0.26660186681560738</v>
      </c>
      <c r="AC491" s="4">
        <v>6.9533627806749756E-5</v>
      </c>
      <c r="AE491" s="5">
        <v>-0.54051528578164909</v>
      </c>
      <c r="AF491" s="5">
        <v>-0.46810971553752295</v>
      </c>
    </row>
    <row r="492" spans="23:32" x14ac:dyDescent="0.25">
      <c r="W492">
        <v>59.1</v>
      </c>
      <c r="X492" s="5">
        <v>52.869891017179079</v>
      </c>
      <c r="Y492" s="5">
        <v>6.2301089828209228</v>
      </c>
      <c r="Z492" s="5">
        <v>6.3175113483098215</v>
      </c>
      <c r="AA492" s="18">
        <v>1.383493604839863E-2</v>
      </c>
      <c r="AB492" s="5">
        <v>1.7447079059850026</v>
      </c>
      <c r="AC492" s="4">
        <v>2.2476019489691542E-3</v>
      </c>
      <c r="AE492" s="5">
        <v>-0.53349185558387491</v>
      </c>
      <c r="AF492" s="5">
        <v>-0.46620079254697061</v>
      </c>
    </row>
    <row r="493" spans="23:32" x14ac:dyDescent="0.25">
      <c r="W493">
        <v>58.8</v>
      </c>
      <c r="X493" s="5">
        <v>52.423190609619716</v>
      </c>
      <c r="Y493" s="5">
        <v>6.3768093903802807</v>
      </c>
      <c r="Z493" s="5">
        <v>6.4617648353568171</v>
      </c>
      <c r="AA493" s="18">
        <v>1.3147405877677064E-2</v>
      </c>
      <c r="AB493" s="5">
        <v>1.7851683723764424</v>
      </c>
      <c r="AC493" s="4">
        <v>2.2345627258218066E-3</v>
      </c>
      <c r="AE493" s="5">
        <v>-0.53349185558387491</v>
      </c>
      <c r="AF493" s="5">
        <v>-0.46428879075929619</v>
      </c>
    </row>
    <row r="494" spans="23:32" x14ac:dyDescent="0.25">
      <c r="W494">
        <v>58.5</v>
      </c>
      <c r="X494" s="5">
        <v>50.971994443195804</v>
      </c>
      <c r="Y494" s="5">
        <v>7.5280055568041959</v>
      </c>
      <c r="Z494" s="5">
        <v>7.730424411327661</v>
      </c>
      <c r="AA494" s="18">
        <v>2.6184701350530516E-2</v>
      </c>
      <c r="AB494" s="5">
        <v>2.1215023943355344</v>
      </c>
      <c r="AC494" s="4">
        <v>6.3694874087574889E-3</v>
      </c>
      <c r="AE494" s="5">
        <v>-0.53349185558387491</v>
      </c>
      <c r="AF494" s="5">
        <v>-0.46423638876866502</v>
      </c>
    </row>
    <row r="495" spans="23:32" x14ac:dyDescent="0.25">
      <c r="W495">
        <v>77.3</v>
      </c>
      <c r="X495" s="5">
        <v>79.345362264941613</v>
      </c>
      <c r="Y495" s="5">
        <v>-2.0453622649416161</v>
      </c>
      <c r="Z495" s="5">
        <v>-2.0625560280917909</v>
      </c>
      <c r="AA495" s="18">
        <v>8.3361435597365911E-3</v>
      </c>
      <c r="AB495" s="5">
        <v>-0.57120222281356892</v>
      </c>
      <c r="AC495" s="4">
        <v>1.4435335340135438E-4</v>
      </c>
      <c r="AE495" s="5">
        <v>-0.53349185558387491</v>
      </c>
      <c r="AF495" s="5">
        <v>-0.46350620806653192</v>
      </c>
    </row>
    <row r="496" spans="23:32" x14ac:dyDescent="0.25">
      <c r="W496">
        <v>76.900000000000006</v>
      </c>
      <c r="X496" s="5">
        <v>78.06816837335144</v>
      </c>
      <c r="Y496" s="5">
        <v>-1.1681683733514348</v>
      </c>
      <c r="Z496" s="5">
        <v>-1.1773437325802121</v>
      </c>
      <c r="AA496" s="18">
        <v>7.7932713912395148E-3</v>
      </c>
      <c r="AB496" s="5">
        <v>-0.32614164092214343</v>
      </c>
      <c r="AC496" s="4">
        <v>4.3972032000721123E-5</v>
      </c>
      <c r="AE496" s="5">
        <v>-0.53349185558387491</v>
      </c>
      <c r="AF496" s="5">
        <v>-0.46337847907813451</v>
      </c>
    </row>
    <row r="497" spans="23:32" x14ac:dyDescent="0.25">
      <c r="W497">
        <v>76.3</v>
      </c>
      <c r="X497" s="5">
        <v>78.812541140891</v>
      </c>
      <c r="Y497" s="5">
        <v>-2.5125411408910026</v>
      </c>
      <c r="Z497" s="5">
        <v>-2.5329558464807747</v>
      </c>
      <c r="AA497" s="18">
        <v>8.0596373672043933E-3</v>
      </c>
      <c r="AB497" s="5">
        <v>-0.70157207185898141</v>
      </c>
      <c r="AC497" s="4">
        <v>2.1048488921179592E-4</v>
      </c>
      <c r="AE497" s="5">
        <v>-0.53349185558387491</v>
      </c>
      <c r="AF497" s="5">
        <v>-0.46319635952419019</v>
      </c>
    </row>
    <row r="498" spans="23:32" x14ac:dyDescent="0.25">
      <c r="W498">
        <v>76.099999999999994</v>
      </c>
      <c r="X498" s="5">
        <v>78.426342300982455</v>
      </c>
      <c r="Y498" s="5">
        <v>-2.3263423009824606</v>
      </c>
      <c r="Z498" s="5">
        <v>-2.3451304613704735</v>
      </c>
      <c r="AA498" s="18">
        <v>8.011562980183148E-3</v>
      </c>
      <c r="AB498" s="5">
        <v>-0.64956438445779552</v>
      </c>
      <c r="AC498" s="4">
        <v>1.7935002823893454E-4</v>
      </c>
      <c r="AE498" s="5">
        <v>-0.53349185558387491</v>
      </c>
      <c r="AF498" s="5">
        <v>-0.46284835928286333</v>
      </c>
    </row>
    <row r="499" spans="23:32" x14ac:dyDescent="0.25">
      <c r="W499">
        <v>75.599999999999994</v>
      </c>
      <c r="X499" s="5">
        <v>77.27854233542979</v>
      </c>
      <c r="Y499" s="5">
        <v>-1.6785423354297961</v>
      </c>
      <c r="Z499" s="5">
        <v>-1.687948636127004</v>
      </c>
      <c r="AA499" s="18">
        <v>5.5726225880812098E-3</v>
      </c>
      <c r="AB499" s="5">
        <v>-0.46810971553752295</v>
      </c>
      <c r="AC499" s="4">
        <v>6.462912372973961E-5</v>
      </c>
      <c r="AE499" s="5">
        <v>-0.52126361871264315</v>
      </c>
      <c r="AF499" s="5">
        <v>-0.46086605024638216</v>
      </c>
    </row>
    <row r="500" spans="23:32" x14ac:dyDescent="0.25">
      <c r="W500">
        <v>74.900000000000006</v>
      </c>
      <c r="X500" s="5">
        <v>76.917887529427148</v>
      </c>
      <c r="Y500" s="5">
        <v>-2.0178875294271421</v>
      </c>
      <c r="Z500" s="5">
        <v>-2.0295555861927141</v>
      </c>
      <c r="AA500" s="18">
        <v>5.749069818513741E-3</v>
      </c>
      <c r="AB500" s="5">
        <v>-0.56279579667904311</v>
      </c>
      <c r="AC500" s="4">
        <v>9.6393925434389816E-5</v>
      </c>
      <c r="AE500" s="5">
        <v>-0.52126361871264315</v>
      </c>
      <c r="AF500" s="5">
        <v>-0.45992128691636874</v>
      </c>
    </row>
    <row r="501" spans="23:32" x14ac:dyDescent="0.25">
      <c r="W501">
        <v>74.2</v>
      </c>
      <c r="X501" s="5">
        <v>75.836959114150915</v>
      </c>
      <c r="Y501" s="5">
        <v>-1.6369591141509119</v>
      </c>
      <c r="Z501" s="5">
        <v>-1.6525401226397349</v>
      </c>
      <c r="AA501" s="18">
        <v>9.4285205396015467E-3</v>
      </c>
      <c r="AB501" s="5">
        <v>-0.4574006887888275</v>
      </c>
      <c r="AC501" s="4">
        <v>1.0480880262198773E-4</v>
      </c>
      <c r="AE501" s="5">
        <v>-0.52126361871264315</v>
      </c>
      <c r="AF501" s="5">
        <v>-0.45807584443925109</v>
      </c>
    </row>
    <row r="502" spans="23:32" x14ac:dyDescent="0.25">
      <c r="W502">
        <v>73</v>
      </c>
      <c r="X502" s="5">
        <v>76.062184602244585</v>
      </c>
      <c r="Y502" s="5">
        <v>-3.0621846022445851</v>
      </c>
      <c r="Z502" s="5">
        <v>-3.0926865071517682</v>
      </c>
      <c r="AA502" s="18">
        <v>9.8625919040427647E-3</v>
      </c>
      <c r="AB502" s="5">
        <v>-0.85582609762498307</v>
      </c>
      <c r="AC502" s="4">
        <v>3.8398392624981807E-4</v>
      </c>
      <c r="AE502" s="5">
        <v>-0.52126361871264315</v>
      </c>
      <c r="AF502" s="5">
        <v>-0.45754278583808483</v>
      </c>
    </row>
    <row r="503" spans="23:32" x14ac:dyDescent="0.25">
      <c r="W503">
        <v>73</v>
      </c>
      <c r="X503" s="5">
        <v>75.37385681019218</v>
      </c>
      <c r="Y503" s="5">
        <v>-2.37385681019218</v>
      </c>
      <c r="Z503" s="5">
        <v>-2.4055168021103981</v>
      </c>
      <c r="AA503" s="18">
        <v>1.3161409594163922E-2</v>
      </c>
      <c r="AB503" s="5">
        <v>-0.66455870111768978</v>
      </c>
      <c r="AC503" s="4">
        <v>3.1000548428602304E-4</v>
      </c>
      <c r="AE503" s="5">
        <v>-0.52126361871264315</v>
      </c>
      <c r="AF503" s="5">
        <v>-0.4574006887888275</v>
      </c>
    </row>
    <row r="504" spans="23:32" x14ac:dyDescent="0.25">
      <c r="W504">
        <v>72.8</v>
      </c>
      <c r="X504" s="5">
        <v>74.966814162014416</v>
      </c>
      <c r="Y504" s="5">
        <v>-2.1668141620144183</v>
      </c>
      <c r="Z504" s="5">
        <v>-2.184748084817187</v>
      </c>
      <c r="AA504" s="18">
        <v>8.2086913943971093E-3</v>
      </c>
      <c r="AB504" s="5">
        <v>-0.60508084975728549</v>
      </c>
      <c r="AC504" s="4">
        <v>1.5948757177622268E-4</v>
      </c>
      <c r="AE504" s="5">
        <v>-0.52126361871264315</v>
      </c>
      <c r="AF504" s="5">
        <v>-0.45453383724784496</v>
      </c>
    </row>
    <row r="505" spans="23:32" x14ac:dyDescent="0.25">
      <c r="W505">
        <v>72.3</v>
      </c>
      <c r="X505" s="5">
        <v>75.042173813040336</v>
      </c>
      <c r="Y505" s="5">
        <v>-2.7421738130403384</v>
      </c>
      <c r="Z505" s="5">
        <v>-2.7897024045245331</v>
      </c>
      <c r="AA505" s="18">
        <v>1.7037154718408033E-2</v>
      </c>
      <c r="AB505" s="5">
        <v>-0.76918059581867482</v>
      </c>
      <c r="AC505" s="4">
        <v>5.397131546954479E-4</v>
      </c>
      <c r="AE505" s="5">
        <v>-0.52126361871264315</v>
      </c>
      <c r="AF505" s="5">
        <v>-0.45379405883138146</v>
      </c>
    </row>
    <row r="506" spans="23:32" x14ac:dyDescent="0.25">
      <c r="W506">
        <v>64.2</v>
      </c>
      <c r="X506" s="5">
        <v>61.616130501145918</v>
      </c>
      <c r="Y506" s="5">
        <v>2.5838694988540851</v>
      </c>
      <c r="Z506" s="5">
        <v>2.6044489641432023</v>
      </c>
      <c r="AA506" s="18">
        <v>7.9016581136524336E-3</v>
      </c>
      <c r="AB506" s="5">
        <v>0.72143150691079239</v>
      </c>
      <c r="AC506" s="4">
        <v>2.1817255647171377E-4</v>
      </c>
      <c r="AE506" s="5">
        <v>-0.52126361871264315</v>
      </c>
      <c r="AF506" s="5">
        <v>-0.45167313182800556</v>
      </c>
    </row>
    <row r="507" spans="23:32" x14ac:dyDescent="0.25">
      <c r="W507">
        <v>63.7</v>
      </c>
      <c r="X507" s="5">
        <v>60.545712517168965</v>
      </c>
      <c r="Y507" s="5">
        <v>3.1542874828310374</v>
      </c>
      <c r="Z507" s="5">
        <v>3.2029999017922179</v>
      </c>
      <c r="AA507" s="18">
        <v>1.5208373541918386E-2</v>
      </c>
      <c r="AB507" s="5">
        <v>0.88395669754727768</v>
      </c>
      <c r="AC507" s="4">
        <v>6.3510686075793474E-4</v>
      </c>
      <c r="AE507" s="5">
        <v>-0.50738317096904828</v>
      </c>
      <c r="AF507" s="5">
        <v>-0.45051851684558691</v>
      </c>
    </row>
    <row r="508" spans="23:32" x14ac:dyDescent="0.25">
      <c r="W508">
        <v>63.3</v>
      </c>
      <c r="X508" s="5">
        <v>60.107760681942793</v>
      </c>
      <c r="Y508" s="5">
        <v>3.1922393180572044</v>
      </c>
      <c r="Z508" s="5">
        <v>3.2408986006056182</v>
      </c>
      <c r="AA508" s="18">
        <v>1.5014132975131957E-2</v>
      </c>
      <c r="AB508" s="5">
        <v>0.89450409813942988</v>
      </c>
      <c r="AC508" s="4">
        <v>6.4192062095012187E-4</v>
      </c>
      <c r="AE508" s="5">
        <v>-0.50738317096904828</v>
      </c>
      <c r="AF508" s="5">
        <v>-0.44964640985438886</v>
      </c>
    </row>
    <row r="509" spans="23:32" x14ac:dyDescent="0.25">
      <c r="W509">
        <v>62.6</v>
      </c>
      <c r="X509" s="5">
        <v>59.557634117311238</v>
      </c>
      <c r="Y509" s="5">
        <v>3.0423658826887632</v>
      </c>
      <c r="Z509" s="5">
        <v>3.0876109992613294</v>
      </c>
      <c r="AA509" s="18">
        <v>1.4653761948441306E-2</v>
      </c>
      <c r="AB509" s="5">
        <v>0.85235183913481016</v>
      </c>
      <c r="AC509" s="4">
        <v>5.6864925365112155E-4</v>
      </c>
      <c r="AE509" s="5">
        <v>-0.50738317096904828</v>
      </c>
      <c r="AF509" s="5">
        <v>-0.44834537711872874</v>
      </c>
    </row>
    <row r="510" spans="23:32" x14ac:dyDescent="0.25">
      <c r="W510">
        <v>61.8</v>
      </c>
      <c r="X510" s="5">
        <v>59.116591742819644</v>
      </c>
      <c r="Y510" s="5">
        <v>2.6834082571803535</v>
      </c>
      <c r="Z510" s="5">
        <v>2.7452660709334182</v>
      </c>
      <c r="AA510" s="18">
        <v>2.2532538615476209E-2</v>
      </c>
      <c r="AB510" s="5">
        <v>0.7548097284559232</v>
      </c>
      <c r="AC510" s="4">
        <v>6.912405257149673E-4</v>
      </c>
      <c r="AE510" s="5">
        <v>-0.50738317096904828</v>
      </c>
      <c r="AF510" s="5">
        <v>-0.44716677939776289</v>
      </c>
    </row>
    <row r="511" spans="23:32" x14ac:dyDescent="0.25">
      <c r="W511">
        <v>68</v>
      </c>
      <c r="X511" s="5">
        <v>58.146639250323773</v>
      </c>
      <c r="Y511" s="5">
        <v>9.8533607496762272</v>
      </c>
      <c r="Z511" s="5">
        <v>10.087661385267019</v>
      </c>
      <c r="AA511" s="18">
        <v>2.3226457217624969E-2</v>
      </c>
      <c r="AB511" s="5">
        <v>2.7726134862042606</v>
      </c>
      <c r="AC511" s="4">
        <v>9.6208655403083893E-3</v>
      </c>
      <c r="AE511" s="5">
        <v>-0.50738317096904828</v>
      </c>
      <c r="AF511" s="5">
        <v>-0.4456575522181272</v>
      </c>
    </row>
    <row r="512" spans="23:32" x14ac:dyDescent="0.25">
      <c r="W512">
        <v>59.8</v>
      </c>
      <c r="X512" s="5">
        <v>56.79087202990592</v>
      </c>
      <c r="Y512" s="5">
        <v>3.0091279700940774</v>
      </c>
      <c r="Z512" s="5">
        <v>3.0829504647050712</v>
      </c>
      <c r="AA512" s="18">
        <v>2.3945404071892967E-2</v>
      </c>
      <c r="AB512" s="5">
        <v>0.8470430704577766</v>
      </c>
      <c r="AC512" s="4">
        <v>9.2641471809834931E-4</v>
      </c>
      <c r="AE512" s="5">
        <v>-0.50738317096904828</v>
      </c>
      <c r="AF512" s="5">
        <v>-0.44536184153736091</v>
      </c>
    </row>
    <row r="513" spans="23:32" x14ac:dyDescent="0.25">
      <c r="W513">
        <v>58.5</v>
      </c>
      <c r="X513" s="5">
        <v>58.891431469294808</v>
      </c>
      <c r="Y513" s="5">
        <v>-0.39143146929480821</v>
      </c>
      <c r="Z513" s="5">
        <v>-0.39900274654126378</v>
      </c>
      <c r="AA513" s="18">
        <v>1.8975501577586464E-2</v>
      </c>
      <c r="AB513" s="5">
        <v>-0.10990506396678719</v>
      </c>
      <c r="AC513" s="4">
        <v>1.2296887994678925E-5</v>
      </c>
      <c r="AE513" s="5">
        <v>-0.50738317096904828</v>
      </c>
      <c r="AF513" s="5">
        <v>-0.44006240152794474</v>
      </c>
    </row>
    <row r="514" spans="23:32" x14ac:dyDescent="0.25">
      <c r="W514">
        <v>69.7</v>
      </c>
      <c r="X514" s="5">
        <v>77.290764603584975</v>
      </c>
      <c r="Y514" s="5">
        <v>-7.5907646035849723</v>
      </c>
      <c r="Z514" s="5">
        <v>-7.6423823425864157</v>
      </c>
      <c r="AA514" s="18">
        <v>6.7541424502937548E-3</v>
      </c>
      <c r="AB514" s="5">
        <v>-2.1181613260913394</v>
      </c>
      <c r="AC514" s="4">
        <v>1.6057499650965459E-3</v>
      </c>
      <c r="AE514" s="5">
        <v>-0.50738317096904828</v>
      </c>
      <c r="AF514" s="5">
        <v>-0.43391033492525694</v>
      </c>
    </row>
    <row r="515" spans="23:32" x14ac:dyDescent="0.25">
      <c r="W515">
        <v>69.599999999999994</v>
      </c>
      <c r="X515" s="5">
        <v>74.282328272672274</v>
      </c>
      <c r="Y515" s="5">
        <v>-4.6823282726722795</v>
      </c>
      <c r="Z515" s="5">
        <v>-4.7128936496673219</v>
      </c>
      <c r="AA515" s="18">
        <v>6.485479891360597E-3</v>
      </c>
      <c r="AB515" s="5">
        <v>-1.3064014108906874</v>
      </c>
      <c r="AC515" s="4">
        <v>5.8636437833062412E-4</v>
      </c>
      <c r="AE515" s="5">
        <v>-0.50738317096904828</v>
      </c>
      <c r="AF515" s="5">
        <v>-0.43377304847852194</v>
      </c>
    </row>
    <row r="516" spans="23:32" x14ac:dyDescent="0.25">
      <c r="W516">
        <v>69.400000000000006</v>
      </c>
      <c r="X516" s="5">
        <v>72.233678478067503</v>
      </c>
      <c r="Y516" s="5">
        <v>-2.8336784780674975</v>
      </c>
      <c r="Z516" s="5">
        <v>-2.8630778888492898</v>
      </c>
      <c r="AA516" s="18">
        <v>1.0268463493882048E-2</v>
      </c>
      <c r="AB516" s="5">
        <v>-0.79212507109675068</v>
      </c>
      <c r="AC516" s="4">
        <v>3.4262730639996874E-4</v>
      </c>
      <c r="AE516" s="5">
        <v>-0.4918835074548818</v>
      </c>
      <c r="AF516" s="5">
        <v>-0.43357215255303555</v>
      </c>
    </row>
    <row r="517" spans="23:32" x14ac:dyDescent="0.25">
      <c r="W517">
        <v>69.2</v>
      </c>
      <c r="X517" s="5">
        <v>73.782302909473771</v>
      </c>
      <c r="Y517" s="5">
        <v>-4.5823029094737677</v>
      </c>
      <c r="Z517" s="5">
        <v>-4.6095030443712091</v>
      </c>
      <c r="AA517" s="18">
        <v>5.9008822937321095E-3</v>
      </c>
      <c r="AB517" s="5">
        <v>-1.2781176790447006</v>
      </c>
      <c r="AC517" s="4">
        <v>5.1035849331255089E-4</v>
      </c>
      <c r="AE517" s="5">
        <v>-0.4918835074548818</v>
      </c>
      <c r="AF517" s="5">
        <v>-0.42912476187827231</v>
      </c>
    </row>
    <row r="518" spans="23:32" x14ac:dyDescent="0.25">
      <c r="W518">
        <v>69.099999999999994</v>
      </c>
      <c r="X518" s="5">
        <v>76.642212518377718</v>
      </c>
      <c r="Y518" s="5">
        <v>-7.542212518377724</v>
      </c>
      <c r="Z518" s="5">
        <v>-7.5785250090637106</v>
      </c>
      <c r="AA518" s="18">
        <v>4.7914984304411757E-3</v>
      </c>
      <c r="AB518" s="5">
        <v>-2.1025368615046625</v>
      </c>
      <c r="AC518" s="4">
        <v>1.120187982115233E-3</v>
      </c>
      <c r="AE518" s="5">
        <v>-0.4918835074548818</v>
      </c>
      <c r="AF518" s="5">
        <v>-0.42749135975805513</v>
      </c>
    </row>
    <row r="519" spans="23:32" x14ac:dyDescent="0.25">
      <c r="W519">
        <v>68.900000000000006</v>
      </c>
      <c r="X519" s="5">
        <v>76.150767558146171</v>
      </c>
      <c r="Y519" s="5">
        <v>-7.2507675581461655</v>
      </c>
      <c r="Z519" s="5">
        <v>-7.2820789539985782</v>
      </c>
      <c r="AA519" s="18">
        <v>4.2997880207292609E-3</v>
      </c>
      <c r="AB519" s="5">
        <v>-2.0207918185359195</v>
      </c>
      <c r="AC519" s="4">
        <v>9.2812825629208875E-4</v>
      </c>
      <c r="AE519" s="5">
        <v>-0.4918835074548818</v>
      </c>
      <c r="AF519" s="5">
        <v>-0.42319797342259291</v>
      </c>
    </row>
    <row r="520" spans="23:32" x14ac:dyDescent="0.25">
      <c r="W520">
        <v>68.7</v>
      </c>
      <c r="X520" s="5">
        <v>75.854420863986334</v>
      </c>
      <c r="Y520" s="5">
        <v>-7.1544208639863314</v>
      </c>
      <c r="Z520" s="5">
        <v>-7.188349110755297</v>
      </c>
      <c r="AA520" s="18">
        <v>4.7198941295444469E-3</v>
      </c>
      <c r="AB520" s="5">
        <v>-1.9943607313416341</v>
      </c>
      <c r="AC520" s="4">
        <v>9.9275197966435923E-4</v>
      </c>
      <c r="AE520" s="5">
        <v>-0.4918835074548818</v>
      </c>
      <c r="AF520" s="5">
        <v>-0.42158033578761578</v>
      </c>
    </row>
    <row r="521" spans="23:32" x14ac:dyDescent="0.25">
      <c r="W521">
        <v>68.599999999999994</v>
      </c>
      <c r="X521" s="5">
        <v>75.583941808097407</v>
      </c>
      <c r="Y521" s="5">
        <v>-6.9839418080974127</v>
      </c>
      <c r="Z521" s="5">
        <v>-7.0151994196768044</v>
      </c>
      <c r="AA521" s="18">
        <v>4.4556982217379866E-3</v>
      </c>
      <c r="AB521" s="5">
        <v>-1.9465797823567685</v>
      </c>
      <c r="AC521" s="4">
        <v>8.9257762101895672E-4</v>
      </c>
      <c r="AE521" s="5">
        <v>-0.48332360885611292</v>
      </c>
      <c r="AF521" s="5">
        <v>-0.41789020104608426</v>
      </c>
    </row>
    <row r="522" spans="23:32" x14ac:dyDescent="0.25">
      <c r="W522">
        <v>68.5</v>
      </c>
      <c r="X522" s="5">
        <v>72.330565299907406</v>
      </c>
      <c r="Y522" s="5">
        <v>-3.8305652999074056</v>
      </c>
      <c r="Z522" s="5">
        <v>-3.8466749817206534</v>
      </c>
      <c r="AA522" s="18">
        <v>4.1879498241488124E-3</v>
      </c>
      <c r="AB522" s="5">
        <v>-1.0675201303277413</v>
      </c>
      <c r="AC522" s="4">
        <v>2.5224504164335332E-4</v>
      </c>
      <c r="AE522" s="5">
        <v>-0.48332360885611292</v>
      </c>
      <c r="AF522" s="5">
        <v>-0.41631338122925499</v>
      </c>
    </row>
    <row r="523" spans="23:32" x14ac:dyDescent="0.25">
      <c r="W523">
        <v>68.3</v>
      </c>
      <c r="X523" s="5">
        <v>72.156327298396036</v>
      </c>
      <c r="Y523" s="5">
        <v>-3.8563272983960388</v>
      </c>
      <c r="Z523" s="5">
        <v>-3.8725126054426369</v>
      </c>
      <c r="AA523" s="18">
        <v>4.1795363103135849E-3</v>
      </c>
      <c r="AB523" s="5">
        <v>-1.0746950664337371</v>
      </c>
      <c r="AC523" s="4">
        <v>2.5513143125326869E-4</v>
      </c>
      <c r="AE523" s="5">
        <v>-0.48332360885611292</v>
      </c>
      <c r="AF523" s="5">
        <v>-0.41623633725021991</v>
      </c>
    </row>
    <row r="524" spans="23:32" x14ac:dyDescent="0.25">
      <c r="W524">
        <v>68.099999999999994</v>
      </c>
      <c r="X524" s="5">
        <v>71.521319195607092</v>
      </c>
      <c r="Y524" s="5">
        <v>-3.4213191956070972</v>
      </c>
      <c r="Z524" s="5">
        <v>-3.4350272366083203</v>
      </c>
      <c r="AA524" s="18">
        <v>3.9906644276726244E-3</v>
      </c>
      <c r="AB524" s="5">
        <v>-0.95337504802796857</v>
      </c>
      <c r="AC524" s="4">
        <v>1.916707147258932E-4</v>
      </c>
      <c r="AE524" s="5">
        <v>-0.48332360885611292</v>
      </c>
      <c r="AF524" s="5">
        <v>-0.41573645357717853</v>
      </c>
    </row>
    <row r="525" spans="23:32" x14ac:dyDescent="0.25">
      <c r="W525">
        <v>68</v>
      </c>
      <c r="X525" s="5">
        <v>74.710530059496179</v>
      </c>
      <c r="Y525" s="5">
        <v>-6.710530059496179</v>
      </c>
      <c r="Z525" s="5">
        <v>-6.7377253574829439</v>
      </c>
      <c r="AA525" s="18">
        <v>4.0362728582530481E-3</v>
      </c>
      <c r="AB525" s="5">
        <v>-1.8699799799407228</v>
      </c>
      <c r="AC525" s="4">
        <v>7.4585998618804451E-4</v>
      </c>
      <c r="AE525" s="5">
        <v>-0.48332360885611292</v>
      </c>
      <c r="AF525" s="5">
        <v>-0.41322781095874722</v>
      </c>
    </row>
    <row r="526" spans="23:32" x14ac:dyDescent="0.25">
      <c r="W526">
        <v>67.900000000000006</v>
      </c>
      <c r="X526" s="5">
        <v>74.614637114471378</v>
      </c>
      <c r="Y526" s="5">
        <v>-6.7146371144713726</v>
      </c>
      <c r="Z526" s="5">
        <v>-6.7408012528321706</v>
      </c>
      <c r="AA526" s="18">
        <v>3.8814582094078864E-3</v>
      </c>
      <c r="AB526" s="5">
        <v>-1.8709790576043557</v>
      </c>
      <c r="AC526" s="4">
        <v>7.179069243177644E-4</v>
      </c>
      <c r="AE526" s="5">
        <v>-0.47479897905845492</v>
      </c>
      <c r="AF526" s="5">
        <v>-0.41120769536895035</v>
      </c>
    </row>
    <row r="527" spans="23:32" x14ac:dyDescent="0.25">
      <c r="W527">
        <v>67.8</v>
      </c>
      <c r="X527" s="5">
        <v>70.93255092782907</v>
      </c>
      <c r="Y527" s="5">
        <v>-3.1325509278290724</v>
      </c>
      <c r="Z527" s="5">
        <v>-3.144456821383244</v>
      </c>
      <c r="AA527" s="18">
        <v>3.786311668588783E-3</v>
      </c>
      <c r="AB527" s="5">
        <v>-0.87281817208811119</v>
      </c>
      <c r="AC527" s="4">
        <v>1.5239047175171205E-4</v>
      </c>
      <c r="AE527" s="5">
        <v>-0.47479897905845492</v>
      </c>
      <c r="AF527" s="5">
        <v>-0.41011748643798468</v>
      </c>
    </row>
    <row r="528" spans="23:32" x14ac:dyDescent="0.25">
      <c r="W528">
        <v>67.7</v>
      </c>
      <c r="X528" s="5">
        <v>68.141609611063799</v>
      </c>
      <c r="Y528" s="5">
        <v>-0.44160961106379659</v>
      </c>
      <c r="Z528" s="5">
        <v>-0.45381441911227682</v>
      </c>
      <c r="AA528" s="18">
        <v>2.689383046125457E-2</v>
      </c>
      <c r="AB528" s="5">
        <v>-0.12449740393192799</v>
      </c>
      <c r="AC528" s="4">
        <v>2.2545476920974492E-5</v>
      </c>
      <c r="AE528" s="5">
        <v>-0.47479897905845492</v>
      </c>
      <c r="AF528" s="5">
        <v>-0.40734214667531904</v>
      </c>
    </row>
    <row r="529" spans="23:32" x14ac:dyDescent="0.25">
      <c r="W529">
        <v>82.2</v>
      </c>
      <c r="X529" s="5">
        <v>82.088198703677676</v>
      </c>
      <c r="Y529" s="5">
        <v>0.11180129632232649</v>
      </c>
      <c r="Z529" s="5">
        <v>0.11301669659314939</v>
      </c>
      <c r="AA529" s="18">
        <v>1.075416560079894E-2</v>
      </c>
      <c r="AB529" s="5">
        <v>3.1260550079240342E-2</v>
      </c>
      <c r="AC529" s="4">
        <v>5.5912913162727562E-7</v>
      </c>
      <c r="AE529" s="5">
        <v>-0.46970075330452549</v>
      </c>
      <c r="AF529" s="5">
        <v>-0.40559720858899212</v>
      </c>
    </row>
    <row r="530" spans="23:32" x14ac:dyDescent="0.25">
      <c r="W530">
        <v>82</v>
      </c>
      <c r="X530" s="5">
        <v>82.108054210182743</v>
      </c>
      <c r="Y530" s="5">
        <v>-0.1080542101827433</v>
      </c>
      <c r="Z530" s="5">
        <v>-0.10916325905455437</v>
      </c>
      <c r="AA530" s="18">
        <v>1.0159543434473719E-2</v>
      </c>
      <c r="AB530" s="5">
        <v>-3.0203758205264192E-2</v>
      </c>
      <c r="AC530" s="4">
        <v>4.9280755816617184E-7</v>
      </c>
      <c r="AE530" s="5">
        <v>-0.46970075330452549</v>
      </c>
      <c r="AF530" s="5">
        <v>-0.40091555392878575</v>
      </c>
    </row>
    <row r="531" spans="23:32" x14ac:dyDescent="0.25">
      <c r="W531">
        <v>81.5</v>
      </c>
      <c r="X531" s="5">
        <v>79.150404045284162</v>
      </c>
      <c r="Y531" s="5">
        <v>2.3495959547158378</v>
      </c>
      <c r="Z531" s="5">
        <v>2.3651333555745282</v>
      </c>
      <c r="AA531" s="18">
        <v>6.569355094532753E-3</v>
      </c>
      <c r="AB531" s="5">
        <v>0.65558091362669402</v>
      </c>
      <c r="AC531" s="4">
        <v>1.4958367061018919E-4</v>
      </c>
      <c r="AE531" s="5">
        <v>-0.46970075330452549</v>
      </c>
      <c r="AF531" s="5">
        <v>-0.40074862579903292</v>
      </c>
    </row>
    <row r="532" spans="23:32" x14ac:dyDescent="0.25">
      <c r="W532">
        <v>81.7</v>
      </c>
      <c r="X532" s="5">
        <v>77.09126684437696</v>
      </c>
      <c r="Y532" s="5">
        <v>4.6087331556230424</v>
      </c>
      <c r="Z532" s="5">
        <v>4.6832553525372447</v>
      </c>
      <c r="AA532" s="18">
        <v>1.5912477818195964E-2</v>
      </c>
      <c r="AB532" s="5">
        <v>1.2920121343924684</v>
      </c>
      <c r="AC532" s="4">
        <v>1.4206387946280633E-3</v>
      </c>
      <c r="AE532" s="5">
        <v>-0.46970075330452549</v>
      </c>
      <c r="AF532" s="5">
        <v>-0.39979859932248785</v>
      </c>
    </row>
    <row r="533" spans="23:32" x14ac:dyDescent="0.25">
      <c r="W533">
        <v>81.3</v>
      </c>
      <c r="X533" s="5">
        <v>76.79298922377842</v>
      </c>
      <c r="Y533" s="5">
        <v>4.507010776221577</v>
      </c>
      <c r="Z533" s="5">
        <v>4.5750617792334083</v>
      </c>
      <c r="AA533" s="18">
        <v>1.4874335319517498E-2</v>
      </c>
      <c r="AB533" s="5">
        <v>1.2628293630646616</v>
      </c>
      <c r="AC533" s="4">
        <v>1.2673065404363174E-3</v>
      </c>
      <c r="AE533" s="5">
        <v>-0.46970075330452549</v>
      </c>
      <c r="AF533" s="5">
        <v>-0.39868012725967222</v>
      </c>
    </row>
    <row r="534" spans="23:32" x14ac:dyDescent="0.25">
      <c r="W534">
        <v>81.099999999999994</v>
      </c>
      <c r="X534" s="5">
        <v>81.607319835676734</v>
      </c>
      <c r="Y534" s="5">
        <v>-0.50731983567673922</v>
      </c>
      <c r="Z534" s="5">
        <v>-0.51303409056768601</v>
      </c>
      <c r="AA534" s="18">
        <v>1.1138158255000615E-2</v>
      </c>
      <c r="AB534" s="5">
        <v>-0.14187828350052506</v>
      </c>
      <c r="AC534" s="4">
        <v>1.1933175169135211E-5</v>
      </c>
      <c r="AE534" s="5">
        <v>-0.46123068213767926</v>
      </c>
      <c r="AF534" s="5">
        <v>-0.39774475641614687</v>
      </c>
    </row>
    <row r="535" spans="23:32" x14ac:dyDescent="0.25">
      <c r="W535">
        <v>89</v>
      </c>
      <c r="X535" s="5">
        <v>81.179511314841406</v>
      </c>
      <c r="Y535" s="5">
        <v>7.820488685158594</v>
      </c>
      <c r="Z535" s="5">
        <v>7.9399087420263186</v>
      </c>
      <c r="AA535" s="18">
        <v>1.5040482296179034E-2</v>
      </c>
      <c r="AB535" s="5">
        <v>2.1914249061060458</v>
      </c>
      <c r="AC535" s="4">
        <v>3.8596059487865948E-3</v>
      </c>
      <c r="AE535" s="5">
        <v>-0.46123068213767926</v>
      </c>
      <c r="AF535" s="5">
        <v>-0.39717670232623309</v>
      </c>
    </row>
    <row r="536" spans="23:32" x14ac:dyDescent="0.25">
      <c r="W536">
        <v>89</v>
      </c>
      <c r="X536" s="5">
        <v>77.87852148165527</v>
      </c>
      <c r="Y536" s="5">
        <v>11.12147851834473</v>
      </c>
      <c r="Z536" s="5">
        <v>11.252228062072604</v>
      </c>
      <c r="AA536" s="18">
        <v>1.1619880347837865E-2</v>
      </c>
      <c r="AB536" s="5">
        <v>3.111017244322241</v>
      </c>
      <c r="AC536" s="4">
        <v>5.9886494285881827E-3</v>
      </c>
      <c r="AE536" s="5">
        <v>-0.46123068213767926</v>
      </c>
      <c r="AF536" s="5">
        <v>-0.39264805251702878</v>
      </c>
    </row>
    <row r="537" spans="23:32" x14ac:dyDescent="0.25">
      <c r="W537">
        <v>86</v>
      </c>
      <c r="X537" s="5">
        <v>80.319196899863599</v>
      </c>
      <c r="Y537" s="5">
        <v>5.6808031001364014</v>
      </c>
      <c r="Z537" s="5">
        <v>5.7613028029312403</v>
      </c>
      <c r="AA537" s="18">
        <v>1.3972482535352214E-2</v>
      </c>
      <c r="AB537" s="5">
        <v>1.5909887577594832</v>
      </c>
      <c r="AC537" s="4">
        <v>1.8878399011740274E-3</v>
      </c>
      <c r="AE537" s="5">
        <v>-0.45616451589519369</v>
      </c>
      <c r="AF537" s="5">
        <v>-0.39263009210644328</v>
      </c>
    </row>
    <row r="538" spans="23:32" x14ac:dyDescent="0.25">
      <c r="W538">
        <v>81</v>
      </c>
      <c r="X538" s="5">
        <v>79.564186297579511</v>
      </c>
      <c r="Y538" s="5">
        <v>1.4358137024204893</v>
      </c>
      <c r="Z538" s="5">
        <v>1.4560286267576288</v>
      </c>
      <c r="AA538" s="18">
        <v>1.3883603636393824E-2</v>
      </c>
      <c r="AB538" s="5">
        <v>0.40210168722621592</v>
      </c>
      <c r="AC538" s="4">
        <v>1.1980976501939404E-4</v>
      </c>
      <c r="AE538" s="5">
        <v>-0.45616451589519369</v>
      </c>
      <c r="AF538" s="5">
        <v>-0.38732606918134682</v>
      </c>
    </row>
    <row r="539" spans="23:32" x14ac:dyDescent="0.25">
      <c r="W539">
        <v>82</v>
      </c>
      <c r="X539" s="5">
        <v>79.376899989603402</v>
      </c>
      <c r="Y539" s="5">
        <v>2.6231000103965982</v>
      </c>
      <c r="Z539" s="5">
        <v>2.6596351420724744</v>
      </c>
      <c r="AA539" s="18">
        <v>1.3736896124559573E-2</v>
      </c>
      <c r="AB539" s="5">
        <v>0.73454828264296435</v>
      </c>
      <c r="AC539" s="4">
        <v>3.9553318117624864E-4</v>
      </c>
      <c r="AE539" s="5">
        <v>-0.45616451589519369</v>
      </c>
      <c r="AF539" s="5">
        <v>-0.38702173209259888</v>
      </c>
    </row>
    <row r="540" spans="23:32" x14ac:dyDescent="0.25">
      <c r="W540">
        <v>79.3</v>
      </c>
      <c r="X540" s="5">
        <v>78.782032975914973</v>
      </c>
      <c r="Y540" s="5">
        <v>0.51796702408502426</v>
      </c>
      <c r="Z540" s="5">
        <v>0.52555054289260283</v>
      </c>
      <c r="AA540" s="18">
        <v>1.4429666014310951E-2</v>
      </c>
      <c r="AB540" s="5">
        <v>0.14509758767560693</v>
      </c>
      <c r="AC540" s="4">
        <v>1.6223159567086063E-5</v>
      </c>
      <c r="AE540" s="5">
        <v>-0.45616451589519369</v>
      </c>
      <c r="AF540" s="5">
        <v>-0.38684042623294579</v>
      </c>
    </row>
    <row r="541" spans="23:32" x14ac:dyDescent="0.25">
      <c r="W541">
        <v>79.2</v>
      </c>
      <c r="X541" s="5">
        <v>79.914765853662828</v>
      </c>
      <c r="Y541" s="5">
        <v>-0.71476585366282563</v>
      </c>
      <c r="Z541" s="5">
        <v>-0.72502815954028677</v>
      </c>
      <c r="AA541" s="18">
        <v>1.4154354892869783E-2</v>
      </c>
      <c r="AB541" s="5">
        <v>-0.20019868822505826</v>
      </c>
      <c r="AC541" s="4">
        <v>3.0286564463300145E-5</v>
      </c>
      <c r="AE541" s="5">
        <v>-0.45616451589519369</v>
      </c>
      <c r="AF541" s="5">
        <v>-0.38657691894758794</v>
      </c>
    </row>
    <row r="542" spans="23:32" x14ac:dyDescent="0.25">
      <c r="W542">
        <v>79</v>
      </c>
      <c r="X542" s="5">
        <v>80.486252337161346</v>
      </c>
      <c r="Y542" s="5">
        <v>-1.4862523371613463</v>
      </c>
      <c r="Z542" s="5">
        <v>-1.5036261840854195</v>
      </c>
      <c r="AA542" s="18">
        <v>1.1554631801418018E-2</v>
      </c>
      <c r="AB542" s="5">
        <v>-0.41573645357717853</v>
      </c>
      <c r="AC542" s="4">
        <v>1.0633740387748386E-4</v>
      </c>
      <c r="AE542" s="5">
        <v>-0.44774677320100181</v>
      </c>
      <c r="AF542" s="5">
        <v>-0.38352545695072709</v>
      </c>
    </row>
    <row r="543" spans="23:32" x14ac:dyDescent="0.25">
      <c r="W543">
        <v>78.8</v>
      </c>
      <c r="X543" s="5">
        <v>80.455774544228007</v>
      </c>
      <c r="Y543" s="5">
        <v>-1.6557745442280094</v>
      </c>
      <c r="Z543" s="5">
        <v>-1.6754261506511625</v>
      </c>
      <c r="AA543" s="18">
        <v>1.1729318188997081E-2</v>
      </c>
      <c r="AB543" s="5">
        <v>-0.46319635952419019</v>
      </c>
      <c r="AC543" s="4">
        <v>1.3402120857613595E-4</v>
      </c>
      <c r="AE543" s="5">
        <v>-0.44774677320100181</v>
      </c>
      <c r="AF543" s="5">
        <v>-0.38266599953113684</v>
      </c>
    </row>
    <row r="544" spans="23:32" x14ac:dyDescent="0.25">
      <c r="W544">
        <v>65.5</v>
      </c>
      <c r="X544" s="5">
        <v>67.953864160231404</v>
      </c>
      <c r="Y544" s="5">
        <v>-2.4538641602314044</v>
      </c>
      <c r="Z544" s="5">
        <v>-2.4954536389101065</v>
      </c>
      <c r="AA544" s="18">
        <v>1.6666099514023799E-2</v>
      </c>
      <c r="AB544" s="5">
        <v>-0.68817977272493014</v>
      </c>
      <c r="AC544" s="4">
        <v>4.2245763651134824E-4</v>
      </c>
      <c r="AE544" s="5">
        <v>-0.44438857281516719</v>
      </c>
      <c r="AF544" s="5">
        <v>-0.38206194002394422</v>
      </c>
    </row>
    <row r="545" spans="23:32" x14ac:dyDescent="0.25">
      <c r="W545">
        <v>64.599999999999994</v>
      </c>
      <c r="X545" s="5">
        <v>67.107181968436791</v>
      </c>
      <c r="Y545" s="5">
        <v>-2.5071819684367966</v>
      </c>
      <c r="Z545" s="5">
        <v>-2.5233613859013957</v>
      </c>
      <c r="AA545" s="18">
        <v>6.4118510947330544E-3</v>
      </c>
      <c r="AB545" s="5">
        <v>-0.69949488981508934</v>
      </c>
      <c r="AC545" s="4">
        <v>1.661852659428506E-4</v>
      </c>
      <c r="AE545" s="5">
        <v>-0.44438857281516719</v>
      </c>
      <c r="AF545" s="5">
        <v>-0.37796846474950124</v>
      </c>
    </row>
    <row r="546" spans="23:32" x14ac:dyDescent="0.25">
      <c r="W546">
        <v>63.5</v>
      </c>
      <c r="X546" s="5">
        <v>65.808485078097107</v>
      </c>
      <c r="Y546" s="5">
        <v>-2.3084850780971067</v>
      </c>
      <c r="Z546" s="5">
        <v>-2.34648357396172</v>
      </c>
      <c r="AA546" s="18">
        <v>1.6193804331843101E-2</v>
      </c>
      <c r="AB546" s="5">
        <v>-0.64725317098580093</v>
      </c>
      <c r="AC546" s="4">
        <v>3.6293939151789379E-4</v>
      </c>
      <c r="AE546" s="5">
        <v>-0.44438857281516719</v>
      </c>
      <c r="AF546" s="5">
        <v>-0.37763383387733407</v>
      </c>
    </row>
    <row r="547" spans="23:32" x14ac:dyDescent="0.25">
      <c r="W547">
        <v>62.8</v>
      </c>
      <c r="X547" s="5">
        <v>65.100813122797788</v>
      </c>
      <c r="Y547" s="5">
        <v>-2.3008131227977913</v>
      </c>
      <c r="Z547" s="5">
        <v>-2.3109592380857436</v>
      </c>
      <c r="AA547" s="18">
        <v>4.3904345523452471E-3</v>
      </c>
      <c r="AB547" s="5">
        <v>-0.64126672805389029</v>
      </c>
      <c r="AC547" s="4">
        <v>9.5442599772041641E-5</v>
      </c>
      <c r="AE547" s="5">
        <v>-0.44438857281516719</v>
      </c>
      <c r="AF547" s="5">
        <v>-0.3774936622094146</v>
      </c>
    </row>
    <row r="548" spans="23:32" x14ac:dyDescent="0.25">
      <c r="W548">
        <v>62.3</v>
      </c>
      <c r="X548" s="5">
        <v>64.515149778963632</v>
      </c>
      <c r="Y548" s="5">
        <v>-2.2151497789636352</v>
      </c>
      <c r="Z548" s="5">
        <v>-2.2308902074888266</v>
      </c>
      <c r="AA548" s="18">
        <v>7.0556715307400712E-3</v>
      </c>
      <c r="AB548" s="5">
        <v>-0.61821927102813745</v>
      </c>
      <c r="AC548" s="4">
        <v>1.4293708840423824E-4</v>
      </c>
      <c r="AE548" s="5">
        <v>-0.44438857281516719</v>
      </c>
      <c r="AF548" s="5">
        <v>-0.37716363083391435</v>
      </c>
    </row>
    <row r="549" spans="23:32" x14ac:dyDescent="0.25">
      <c r="W549">
        <v>61.7</v>
      </c>
      <c r="X549" s="5">
        <v>68.304304757720885</v>
      </c>
      <c r="Y549" s="5">
        <v>-6.6043047577208824</v>
      </c>
      <c r="Z549" s="5">
        <v>-6.6536500313226128</v>
      </c>
      <c r="AA549" s="18">
        <v>7.4162712750795766E-3</v>
      </c>
      <c r="AB549" s="5">
        <v>-1.8435096771059469</v>
      </c>
      <c r="AC549" s="4">
        <v>1.3364591786444813E-3</v>
      </c>
      <c r="AE549" s="5">
        <v>-0.44438857281516719</v>
      </c>
      <c r="AF549" s="5">
        <v>-0.37422541588170716</v>
      </c>
    </row>
    <row r="550" spans="23:32" x14ac:dyDescent="0.25">
      <c r="W550">
        <v>61.6</v>
      </c>
      <c r="X550" s="5">
        <v>63.388719895552171</v>
      </c>
      <c r="Y550" s="5">
        <v>-1.7887198955521697</v>
      </c>
      <c r="Z550" s="5">
        <v>-1.798109113503692</v>
      </c>
      <c r="AA550" s="18">
        <v>5.221717570424173E-3</v>
      </c>
      <c r="AB550" s="5">
        <v>-0.49874790182182599</v>
      </c>
      <c r="AC550" s="4">
        <v>6.872197706543806E-5</v>
      </c>
      <c r="AE550" s="5">
        <v>-0.44438857281516719</v>
      </c>
      <c r="AF550" s="5">
        <v>-0.37299876493496614</v>
      </c>
    </row>
    <row r="551" spans="23:32" x14ac:dyDescent="0.25">
      <c r="W551">
        <v>61.6</v>
      </c>
      <c r="X551" s="5">
        <v>63.264772696946366</v>
      </c>
      <c r="Y551" s="5">
        <v>-1.6647726969463648</v>
      </c>
      <c r="Z551" s="5">
        <v>-1.6742398287912508</v>
      </c>
      <c r="AA551" s="18">
        <v>5.6545852524112934E-3</v>
      </c>
      <c r="AB551" s="5">
        <v>-0.46428879075929619</v>
      </c>
      <c r="AC551" s="4">
        <v>6.4518799401226185E-5</v>
      </c>
      <c r="AE551" s="5">
        <v>-0.43267393579163727</v>
      </c>
      <c r="AF551" s="5">
        <v>-0.37267821918824917</v>
      </c>
    </row>
    <row r="552" spans="23:32" x14ac:dyDescent="0.25">
      <c r="W552">
        <v>61.4</v>
      </c>
      <c r="X552" s="5">
        <v>62.098381649713417</v>
      </c>
      <c r="Y552" s="5">
        <v>-0.69838164971341854</v>
      </c>
      <c r="Z552" s="5">
        <v>-0.70409607075012559</v>
      </c>
      <c r="AA552" s="18">
        <v>8.1159677977177738E-3</v>
      </c>
      <c r="AB552" s="5">
        <v>-0.19501331367430347</v>
      </c>
      <c r="AC552" s="4">
        <v>1.6377753836103972E-5</v>
      </c>
      <c r="AE552" s="5">
        <v>-0.43267393579163727</v>
      </c>
      <c r="AF552" s="5">
        <v>-0.37148447246541039</v>
      </c>
    </row>
    <row r="553" spans="23:32" x14ac:dyDescent="0.25">
      <c r="W553">
        <v>65</v>
      </c>
      <c r="X553" s="5">
        <v>65.598273108352274</v>
      </c>
      <c r="Y553" s="5">
        <v>-0.59827310835227365</v>
      </c>
      <c r="Z553" s="5">
        <v>-0.60787886121185863</v>
      </c>
      <c r="AA553" s="18">
        <v>1.5802084054103271E-2</v>
      </c>
      <c r="AB553" s="5">
        <v>-0.16771046130257192</v>
      </c>
      <c r="AC553" s="4">
        <v>2.3768328027291365E-5</v>
      </c>
      <c r="AE553" s="5">
        <v>-0.43267393579163727</v>
      </c>
      <c r="AF553" s="5">
        <v>-0.37120591959556004</v>
      </c>
    </row>
    <row r="554" spans="23:32" x14ac:dyDescent="0.25">
      <c r="W554">
        <v>74.5</v>
      </c>
      <c r="X554" s="5">
        <v>74.040081647550863</v>
      </c>
      <c r="Y554" s="5">
        <v>0.45991835244913659</v>
      </c>
      <c r="Z554" s="5">
        <v>0.46075186577829186</v>
      </c>
      <c r="AA554" s="18">
        <v>1.8090286574292611E-3</v>
      </c>
      <c r="AB554" s="5">
        <v>0.12801940753548446</v>
      </c>
      <c r="AC554" s="4">
        <v>1.5632550286398163E-6</v>
      </c>
      <c r="AE554" s="5">
        <v>-0.43267393579163727</v>
      </c>
      <c r="AF554" s="5">
        <v>-0.36890607921964497</v>
      </c>
    </row>
    <row r="555" spans="23:32" x14ac:dyDescent="0.25">
      <c r="W555">
        <v>74.5</v>
      </c>
      <c r="X555" s="5">
        <v>73.884708515685787</v>
      </c>
      <c r="Y555" s="5">
        <v>0.61529148431421277</v>
      </c>
      <c r="Z555" s="5">
        <v>0.61667482624608283</v>
      </c>
      <c r="AA555" s="18">
        <v>2.2432275049991761E-3</v>
      </c>
      <c r="AB555" s="5">
        <v>0.17130516363601478</v>
      </c>
      <c r="AC555" s="4">
        <v>3.4724495455851808E-6</v>
      </c>
      <c r="AE555" s="5">
        <v>-0.42600652312983872</v>
      </c>
      <c r="AF555" s="5">
        <v>-0.35893250593320331</v>
      </c>
    </row>
    <row r="556" spans="23:32" x14ac:dyDescent="0.25">
      <c r="W556">
        <v>74.2</v>
      </c>
      <c r="X556" s="5">
        <v>75.719124947757734</v>
      </c>
      <c r="Y556" s="5">
        <v>-1.5191249477577315</v>
      </c>
      <c r="Z556" s="5">
        <v>-1.5243681957141035</v>
      </c>
      <c r="AA556" s="18">
        <v>3.4396204087179891E-3</v>
      </c>
      <c r="AB556" s="5">
        <v>-0.42319797342259291</v>
      </c>
      <c r="AC556" s="4">
        <v>3.2534224409603534E-5</v>
      </c>
      <c r="AE556" s="5">
        <v>-0.42600652312983872</v>
      </c>
      <c r="AF556" s="5">
        <v>-0.35760483529214049</v>
      </c>
    </row>
    <row r="557" spans="23:32" x14ac:dyDescent="0.25">
      <c r="W557">
        <v>73.900000000000006</v>
      </c>
      <c r="X557" s="5">
        <v>73.66731689294167</v>
      </c>
      <c r="Y557" s="5">
        <v>0.23268310705833528</v>
      </c>
      <c r="Z557" s="5">
        <v>0.23340814179307756</v>
      </c>
      <c r="AA557" s="18">
        <v>3.1062958179874042E-3</v>
      </c>
      <c r="AB557" s="5">
        <v>6.481004448125903E-2</v>
      </c>
      <c r="AC557" s="4">
        <v>6.8885052991110685E-7</v>
      </c>
      <c r="AE557" s="5">
        <v>-0.42600652312983872</v>
      </c>
      <c r="AF557" s="5">
        <v>-0.3571745764493795</v>
      </c>
    </row>
    <row r="558" spans="23:32" x14ac:dyDescent="0.25">
      <c r="W558">
        <v>73.8</v>
      </c>
      <c r="X558" s="5">
        <v>72.863001793880485</v>
      </c>
      <c r="Y558" s="5">
        <v>0.93699820611951168</v>
      </c>
      <c r="Z558" s="5">
        <v>0.94125250394799309</v>
      </c>
      <c r="AA558" s="18">
        <v>4.5198263065875273E-3</v>
      </c>
      <c r="AB558" s="5">
        <v>0.2611706342620036</v>
      </c>
      <c r="AC558" s="4">
        <v>1.6299872871177445E-5</v>
      </c>
      <c r="AE558" s="5">
        <v>-0.42600652312983872</v>
      </c>
      <c r="AF558" s="5">
        <v>-0.35565257174487952</v>
      </c>
    </row>
    <row r="559" spans="23:32" x14ac:dyDescent="0.25">
      <c r="W559">
        <v>73.2</v>
      </c>
      <c r="X559" s="5">
        <v>72.457981725234873</v>
      </c>
      <c r="Y559" s="5">
        <v>0.7420182747651296</v>
      </c>
      <c r="Z559" s="5">
        <v>0.74660331457887708</v>
      </c>
      <c r="AA559" s="18">
        <v>6.1411993815480639E-3</v>
      </c>
      <c r="AB559" s="5">
        <v>0.20699228049232496</v>
      </c>
      <c r="AC559" s="4">
        <v>1.3934237464875714E-5</v>
      </c>
      <c r="AE559" s="5">
        <v>-0.42600652312983872</v>
      </c>
      <c r="AF559" s="5">
        <v>-0.35358603535200156</v>
      </c>
    </row>
    <row r="560" spans="23:32" x14ac:dyDescent="0.25">
      <c r="W560">
        <v>73.900000000000006</v>
      </c>
      <c r="X560" s="5">
        <v>71.169929597099085</v>
      </c>
      <c r="Y560" s="5">
        <v>2.7300704029009211</v>
      </c>
      <c r="Z560" s="5">
        <v>2.7879324881668595</v>
      </c>
      <c r="AA560" s="18">
        <v>2.0754478636598076E-2</v>
      </c>
      <c r="AB560" s="5">
        <v>0.7672377119974203</v>
      </c>
      <c r="AC560" s="4">
        <v>6.566387625529718E-4</v>
      </c>
      <c r="AE560" s="5">
        <v>-0.42600652312983872</v>
      </c>
      <c r="AF560" s="5">
        <v>-0.35256907384353287</v>
      </c>
    </row>
    <row r="561" spans="23:32" x14ac:dyDescent="0.25">
      <c r="W561">
        <v>74.400000000000006</v>
      </c>
      <c r="X561" s="5">
        <v>74.460707149502269</v>
      </c>
      <c r="Y561" s="5">
        <v>-6.0707149502263746E-2</v>
      </c>
      <c r="Z561" s="5">
        <v>-6.0964185475185673E-2</v>
      </c>
      <c r="AA561" s="18">
        <v>4.2161798917866849E-3</v>
      </c>
      <c r="AB561" s="5">
        <v>-1.691839655022442E-2</v>
      </c>
      <c r="AC561" s="4">
        <v>6.3785045054323283E-8</v>
      </c>
      <c r="AE561" s="5">
        <v>-0.42600652312983872</v>
      </c>
      <c r="AF561" s="5">
        <v>-0.35199168588723584</v>
      </c>
    </row>
    <row r="562" spans="23:32" x14ac:dyDescent="0.25">
      <c r="W562">
        <v>73.900000000000006</v>
      </c>
      <c r="X562" s="5">
        <v>72.583185826850354</v>
      </c>
      <c r="Y562" s="5">
        <v>1.3168141731496519</v>
      </c>
      <c r="Z562" s="5">
        <v>1.3194300477522063</v>
      </c>
      <c r="AA562" s="18">
        <v>1.9825792257856245E-3</v>
      </c>
      <c r="AB562" s="5">
        <v>0.36657034056038812</v>
      </c>
      <c r="AC562" s="4">
        <v>1.4049260786943336E-5</v>
      </c>
      <c r="AE562" s="5">
        <v>-0.42600652312983872</v>
      </c>
      <c r="AF562" s="5">
        <v>-0.35077975911865855</v>
      </c>
    </row>
    <row r="563" spans="23:32" x14ac:dyDescent="0.25">
      <c r="W563">
        <v>73.900000000000006</v>
      </c>
      <c r="X563" s="5">
        <v>71.98234591166046</v>
      </c>
      <c r="Y563" s="5">
        <v>1.9176540883395461</v>
      </c>
      <c r="Z563" s="5">
        <v>1.9220469451984599</v>
      </c>
      <c r="AA563" s="18">
        <v>2.2855096593179629E-3</v>
      </c>
      <c r="AB563" s="5">
        <v>0.53391118931405035</v>
      </c>
      <c r="AC563" s="4">
        <v>3.4368551249340893E-5</v>
      </c>
      <c r="AE563" s="5">
        <v>-0.41272795222137554</v>
      </c>
      <c r="AF563" s="5">
        <v>-0.34965748023949844</v>
      </c>
    </row>
    <row r="564" spans="23:32" x14ac:dyDescent="0.25">
      <c r="W564">
        <v>72.3</v>
      </c>
      <c r="X564" s="5">
        <v>71.493893822829548</v>
      </c>
      <c r="Y564" s="5">
        <v>0.80610617717044875</v>
      </c>
      <c r="Z564" s="5">
        <v>0.80877920243543144</v>
      </c>
      <c r="AA564" s="18">
        <v>3.3050123654694329E-3</v>
      </c>
      <c r="AB564" s="5">
        <v>0.22454997126458329</v>
      </c>
      <c r="AC564" s="4">
        <v>8.8000111251350832E-6</v>
      </c>
      <c r="AE564" s="5">
        <v>-0.41272795222137554</v>
      </c>
      <c r="AF564" s="5">
        <v>-0.34665627222514483</v>
      </c>
    </row>
    <row r="565" spans="23:32" x14ac:dyDescent="0.25">
      <c r="W565">
        <v>72.7</v>
      </c>
      <c r="X565" s="5">
        <v>71.380803183218518</v>
      </c>
      <c r="Y565" s="5">
        <v>1.3191968167814849</v>
      </c>
      <c r="Z565" s="5">
        <v>1.3238529119651616</v>
      </c>
      <c r="AA565" s="18">
        <v>3.5170789304444471E-3</v>
      </c>
      <c r="AB565" s="5">
        <v>0.36751625858734538</v>
      </c>
      <c r="AC565" s="4">
        <v>2.5090641637568874E-5</v>
      </c>
      <c r="AE565" s="5">
        <v>-0.41272795222137554</v>
      </c>
      <c r="AF565" s="5">
        <v>-0.3423571016993176</v>
      </c>
    </row>
    <row r="566" spans="23:32" x14ac:dyDescent="0.25">
      <c r="W566">
        <v>71.7</v>
      </c>
      <c r="X566" s="5">
        <v>71.497832907389878</v>
      </c>
      <c r="Y566" s="5">
        <v>0.20216709261012511</v>
      </c>
      <c r="Z566" s="5">
        <v>0.2029919289516755</v>
      </c>
      <c r="AA566" s="18">
        <v>4.0633947655501785E-3</v>
      </c>
      <c r="AB566" s="5">
        <v>5.6337362326177441E-2</v>
      </c>
      <c r="AC566" s="4">
        <v>6.8154845939202176E-7</v>
      </c>
      <c r="AE566" s="5">
        <v>-0.40776731506460179</v>
      </c>
      <c r="AF566" s="5">
        <v>-0.34193302429402861</v>
      </c>
    </row>
    <row r="567" spans="23:32" x14ac:dyDescent="0.25">
      <c r="W567">
        <v>73</v>
      </c>
      <c r="X567" s="5">
        <v>71.568448552946577</v>
      </c>
      <c r="Y567" s="5">
        <v>1.4315514470534225</v>
      </c>
      <c r="Z567" s="5">
        <v>1.4353494150820865</v>
      </c>
      <c r="AA567" s="18">
        <v>2.6460233227961097E-3</v>
      </c>
      <c r="AB567" s="5">
        <v>0.39864304385810989</v>
      </c>
      <c r="AC567" s="4">
        <v>2.2190093070634847E-5</v>
      </c>
      <c r="AE567" s="5">
        <v>-0.40776731506460179</v>
      </c>
      <c r="AF567" s="5">
        <v>-0.34143932018305734</v>
      </c>
    </row>
    <row r="568" spans="23:32" x14ac:dyDescent="0.25">
      <c r="W568">
        <v>71.8</v>
      </c>
      <c r="X568" s="5">
        <v>63.319010250701588</v>
      </c>
      <c r="Y568" s="5">
        <v>8.4809897492984092</v>
      </c>
      <c r="Z568" s="5">
        <v>8.7516246198053906</v>
      </c>
      <c r="AA568" s="18">
        <v>3.0923957809447511E-2</v>
      </c>
      <c r="AB568" s="5">
        <v>2.3959044910391984</v>
      </c>
      <c r="AC568" s="4">
        <v>9.6410118659543426E-3</v>
      </c>
      <c r="AE568" s="5">
        <v>-0.40776731506460179</v>
      </c>
      <c r="AF568" s="5">
        <v>-0.3407565494126148</v>
      </c>
    </row>
    <row r="569" spans="23:32" x14ac:dyDescent="0.25">
      <c r="W569">
        <v>89</v>
      </c>
      <c r="X569" s="5">
        <v>80.358094664228986</v>
      </c>
      <c r="Y569" s="5">
        <v>8.6419053357710141</v>
      </c>
      <c r="Z569" s="5">
        <v>8.7005855489844066</v>
      </c>
      <c r="AA569" s="18">
        <v>6.7443981652750163E-3</v>
      </c>
      <c r="AB569" s="5">
        <v>2.4114645667190162</v>
      </c>
      <c r="AC569" s="4">
        <v>2.0782143886697575E-3</v>
      </c>
      <c r="AE569" s="5">
        <v>-0.40776731506460179</v>
      </c>
      <c r="AF569" s="5">
        <v>-0.34070833686784741</v>
      </c>
    </row>
    <row r="570" spans="23:32" x14ac:dyDescent="0.25">
      <c r="W570">
        <v>86</v>
      </c>
      <c r="X570" s="5">
        <v>80.172410669252741</v>
      </c>
      <c r="Y570" s="5">
        <v>5.8275893307472586</v>
      </c>
      <c r="Z570" s="5">
        <v>5.8657237531802195</v>
      </c>
      <c r="AA570" s="18">
        <v>6.5012305450422095E-3</v>
      </c>
      <c r="AB570" s="5">
        <v>1.6259499182326036</v>
      </c>
      <c r="AC570" s="4">
        <v>9.1051889302852323E-4</v>
      </c>
      <c r="AE570" s="5">
        <v>-0.40776731506460179</v>
      </c>
      <c r="AF570" s="5">
        <v>-0.34062366590244603</v>
      </c>
    </row>
    <row r="571" spans="23:32" x14ac:dyDescent="0.25">
      <c r="W571">
        <v>86</v>
      </c>
      <c r="X571" s="5">
        <v>77.557776971272389</v>
      </c>
      <c r="Y571" s="5">
        <v>8.4422230287276108</v>
      </c>
      <c r="Z571" s="5">
        <v>8.5649445551047023</v>
      </c>
      <c r="AA571" s="18">
        <v>1.4328350357381593E-2</v>
      </c>
      <c r="AB571" s="5">
        <v>2.3647900008226799</v>
      </c>
      <c r="AC571" s="4">
        <v>4.2785389185845697E-3</v>
      </c>
      <c r="AE571" s="5">
        <v>-0.40776731506460179</v>
      </c>
      <c r="AF571" s="5">
        <v>-0.3405780076378363</v>
      </c>
    </row>
    <row r="572" spans="23:32" x14ac:dyDescent="0.25">
      <c r="W572">
        <v>85</v>
      </c>
      <c r="X572" s="5">
        <v>77.359320058550765</v>
      </c>
      <c r="Y572" s="5">
        <v>7.6406799414492355</v>
      </c>
      <c r="Z572" s="5">
        <v>7.7511112015649957</v>
      </c>
      <c r="AA572" s="18">
        <v>1.4247152084911573E-2</v>
      </c>
      <c r="AB572" s="5">
        <v>2.1401779218802774</v>
      </c>
      <c r="AC572" s="4">
        <v>3.484224883168875E-3</v>
      </c>
      <c r="AE572" s="5">
        <v>-0.39787592189543292</v>
      </c>
      <c r="AF572" s="5">
        <v>-0.33994190473435693</v>
      </c>
    </row>
    <row r="573" spans="23:32" x14ac:dyDescent="0.25">
      <c r="W573">
        <v>81</v>
      </c>
      <c r="X573" s="5">
        <v>82.780342523516538</v>
      </c>
      <c r="Y573" s="5">
        <v>-1.7803425235165378</v>
      </c>
      <c r="Z573" s="5">
        <v>-1.8067014260516316</v>
      </c>
      <c r="AA573" s="18">
        <v>1.45895177559547E-2</v>
      </c>
      <c r="AB573" s="5">
        <v>-0.498766031320105</v>
      </c>
      <c r="AC573" s="4">
        <v>1.9384914694880887E-4</v>
      </c>
      <c r="AE573" s="5">
        <v>-0.39787592189543292</v>
      </c>
      <c r="AF573" s="5">
        <v>-0.33915287907925268</v>
      </c>
    </row>
    <row r="574" spans="23:32" x14ac:dyDescent="0.25">
      <c r="W574">
        <v>80</v>
      </c>
      <c r="X574" s="5">
        <v>82.767289688401007</v>
      </c>
      <c r="Y574" s="5">
        <v>-2.7672896884010072</v>
      </c>
      <c r="Z574" s="5">
        <v>-2.8101167909839972</v>
      </c>
      <c r="AA574" s="18">
        <v>1.5240328345209792E-2</v>
      </c>
      <c r="AB574" s="5">
        <v>-0.77551711926024136</v>
      </c>
      <c r="AC574" s="4">
        <v>4.8988398981045082E-4</v>
      </c>
      <c r="AE574" s="5">
        <v>-0.39787592189543292</v>
      </c>
      <c r="AF574" s="5">
        <v>-0.33903620914241106</v>
      </c>
    </row>
    <row r="575" spans="23:32" x14ac:dyDescent="0.25">
      <c r="W575">
        <v>79.900000000000006</v>
      </c>
      <c r="X575" s="5">
        <v>83.32710914914523</v>
      </c>
      <c r="Y575" s="5">
        <v>-3.4271091491452239</v>
      </c>
      <c r="Z575" s="5">
        <v>-3.5003098634409042</v>
      </c>
      <c r="AA575" s="18">
        <v>2.0912638352458494E-2</v>
      </c>
      <c r="AB575" s="5">
        <v>-0.96320583727740727</v>
      </c>
      <c r="AC575" s="4">
        <v>1.0429704245091213E-3</v>
      </c>
      <c r="AE575" s="5">
        <v>-0.39787592189543292</v>
      </c>
      <c r="AF575" s="5">
        <v>-0.33438921569475033</v>
      </c>
    </row>
    <row r="576" spans="23:32" x14ac:dyDescent="0.25">
      <c r="W576">
        <v>79.8</v>
      </c>
      <c r="X576" s="5">
        <v>81.787607853294006</v>
      </c>
      <c r="Y576" s="5">
        <v>-1.9876078532940085</v>
      </c>
      <c r="Z576" s="5">
        <v>-2.0305553786353983</v>
      </c>
      <c r="AA576" s="18">
        <v>2.1150629917938393E-2</v>
      </c>
      <c r="AB576" s="5">
        <v>-0.55869484340411346</v>
      </c>
      <c r="AC576" s="4">
        <v>3.5497941189152084E-4</v>
      </c>
      <c r="AE576" s="5">
        <v>-0.39787592189543292</v>
      </c>
      <c r="AF576" s="5">
        <v>-0.33414898960855144</v>
      </c>
    </row>
    <row r="577" spans="23:32" x14ac:dyDescent="0.25">
      <c r="W577">
        <v>79.599999999999994</v>
      </c>
      <c r="X577" s="5">
        <v>80.968771508459241</v>
      </c>
      <c r="Y577" s="5">
        <v>-1.3687715084592469</v>
      </c>
      <c r="Z577" s="5">
        <v>-1.3894843254596339</v>
      </c>
      <c r="AA577" s="18">
        <v>1.4906837465431366E-2</v>
      </c>
      <c r="AB577" s="5">
        <v>-0.38352545695072709</v>
      </c>
      <c r="AC577" s="4">
        <v>1.1715019145573564E-4</v>
      </c>
      <c r="AE577" s="5">
        <v>-0.39787592189543292</v>
      </c>
      <c r="AF577" s="5">
        <v>-0.33312604603791407</v>
      </c>
    </row>
    <row r="578" spans="23:32" x14ac:dyDescent="0.25">
      <c r="W578">
        <v>79.2</v>
      </c>
      <c r="X578" s="5">
        <v>81.074424923475362</v>
      </c>
      <c r="Y578" s="5">
        <v>-1.8744249234753596</v>
      </c>
      <c r="Z578" s="5">
        <v>-1.9139159090419611</v>
      </c>
      <c r="AA578" s="18">
        <v>2.0633605363760486E-2</v>
      </c>
      <c r="AB578" s="5">
        <v>-0.52674126588624326</v>
      </c>
      <c r="AC578" s="4">
        <v>3.076599800034381E-4</v>
      </c>
      <c r="AE578" s="5">
        <v>-0.39787592189543292</v>
      </c>
      <c r="AF578" s="5">
        <v>-0.3323050449779148</v>
      </c>
    </row>
    <row r="579" spans="23:32" x14ac:dyDescent="0.25">
      <c r="W579">
        <v>79.099999999999994</v>
      </c>
      <c r="X579" s="5">
        <v>80.503418039874987</v>
      </c>
      <c r="Y579" s="5">
        <v>-1.4034180398749925</v>
      </c>
      <c r="Z579" s="5">
        <v>-1.4204176402764119</v>
      </c>
      <c r="AA579" s="18">
        <v>1.1968029626912471E-2</v>
      </c>
      <c r="AB579" s="5">
        <v>-0.39264805251702878</v>
      </c>
      <c r="AC579" s="4">
        <v>9.8289008162706453E-5</v>
      </c>
      <c r="AE579" s="5">
        <v>-0.39787592189543292</v>
      </c>
      <c r="AF579" s="5">
        <v>-0.33206758942688619</v>
      </c>
    </row>
    <row r="580" spans="23:32" x14ac:dyDescent="0.25">
      <c r="W580">
        <v>78.5</v>
      </c>
      <c r="X580" s="5">
        <v>79.580415833468436</v>
      </c>
      <c r="Y580" s="5">
        <v>-1.0804158334684359</v>
      </c>
      <c r="Z580" s="5">
        <v>-1.1005493357136515</v>
      </c>
      <c r="AA580" s="18">
        <v>1.8294047883055119E-2</v>
      </c>
      <c r="AB580" s="5">
        <v>-0.30325091492920242</v>
      </c>
      <c r="AC580" s="4">
        <v>9.0194286232891512E-5</v>
      </c>
      <c r="AE580" s="5">
        <v>-0.39787592189543292</v>
      </c>
      <c r="AF580" s="5">
        <v>-0.32933603801089512</v>
      </c>
    </row>
    <row r="581" spans="23:32" x14ac:dyDescent="0.25">
      <c r="W581">
        <v>78.400000000000006</v>
      </c>
      <c r="X581" s="5">
        <v>77.508294512329698</v>
      </c>
      <c r="Y581" s="5">
        <v>0.89170548767030766</v>
      </c>
      <c r="Z581" s="5">
        <v>0.90028208502229745</v>
      </c>
      <c r="AA581" s="18">
        <v>9.5265667224543951E-3</v>
      </c>
      <c r="AB581" s="5">
        <v>0.24917353612136273</v>
      </c>
      <c r="AC581" s="4">
        <v>3.1429958840078679E-5</v>
      </c>
      <c r="AE581" s="5">
        <v>-0.39787592189543292</v>
      </c>
      <c r="AF581" s="5">
        <v>-0.32852071905209129</v>
      </c>
    </row>
    <row r="582" spans="23:32" x14ac:dyDescent="0.25">
      <c r="W582">
        <v>78.3</v>
      </c>
      <c r="X582" s="5">
        <v>78.932907651356615</v>
      </c>
      <c r="Y582" s="5">
        <v>-0.63290765135661786</v>
      </c>
      <c r="Z582" s="5">
        <v>-0.63988428047730395</v>
      </c>
      <c r="AA582" s="18">
        <v>1.0902954383384813E-2</v>
      </c>
      <c r="AB582" s="5">
        <v>-0.17697942731169247</v>
      </c>
      <c r="AC582" s="4">
        <v>1.8171771213686834E-5</v>
      </c>
      <c r="AE582" s="5">
        <v>-0.38147581702590427</v>
      </c>
      <c r="AF582" s="5">
        <v>-0.32791291425726521</v>
      </c>
    </row>
    <row r="583" spans="23:32" x14ac:dyDescent="0.25">
      <c r="W583">
        <v>78</v>
      </c>
      <c r="X583" s="5">
        <v>77.741568957615542</v>
      </c>
      <c r="Y583" s="5">
        <v>0.25843104238445846</v>
      </c>
      <c r="Z583" s="5">
        <v>0.26660679334034398</v>
      </c>
      <c r="AA583" s="18">
        <v>3.0665951356491358E-2</v>
      </c>
      <c r="AB583" s="5">
        <v>7.2997811012540631E-2</v>
      </c>
      <c r="AC583" s="4">
        <v>8.8725621013752153E-6</v>
      </c>
      <c r="AE583" s="5">
        <v>-0.38147581702590427</v>
      </c>
      <c r="AF583" s="5">
        <v>-0.32614164092214343</v>
      </c>
    </row>
    <row r="584" spans="23:32" x14ac:dyDescent="0.25">
      <c r="W584">
        <v>62.1</v>
      </c>
      <c r="X584" s="5">
        <v>66.726524619535823</v>
      </c>
      <c r="Y584" s="5">
        <v>-4.6265246195358216</v>
      </c>
      <c r="Z584" s="5">
        <v>-4.6439166559191065</v>
      </c>
      <c r="AA584" s="18">
        <v>3.7451224196961542E-3</v>
      </c>
      <c r="AB584" s="5">
        <v>-1.2890552708090761</v>
      </c>
      <c r="AC584" s="4">
        <v>3.2876458968226217E-4</v>
      </c>
      <c r="AE584" s="5">
        <v>-0.38147581702590427</v>
      </c>
      <c r="AF584" s="5">
        <v>-0.32555306527942718</v>
      </c>
    </row>
    <row r="585" spans="23:32" x14ac:dyDescent="0.25">
      <c r="W585">
        <v>61.9</v>
      </c>
      <c r="X585" s="5">
        <v>65.687973582158449</v>
      </c>
      <c r="Y585" s="5">
        <v>-3.7879735821584504</v>
      </c>
      <c r="Z585" s="5">
        <v>-3.8544186445466337</v>
      </c>
      <c r="AA585" s="18">
        <v>1.723867294026022E-2</v>
      </c>
      <c r="AB585" s="5">
        <v>-1.0626366835951053</v>
      </c>
      <c r="AC585" s="4">
        <v>1.0424897163202928E-3</v>
      </c>
      <c r="AE585" s="5">
        <v>-0.38147581702590427</v>
      </c>
      <c r="AF585" s="5">
        <v>-0.32344949317188881</v>
      </c>
    </row>
    <row r="586" spans="23:32" x14ac:dyDescent="0.25">
      <c r="W586">
        <v>61.6</v>
      </c>
      <c r="X586" s="5">
        <v>66.09002308477865</v>
      </c>
      <c r="Y586" s="5">
        <v>-4.4900230847786489</v>
      </c>
      <c r="Z586" s="5">
        <v>-4.5022726450502333</v>
      </c>
      <c r="AA586" s="18">
        <v>2.7207504381250177E-3</v>
      </c>
      <c r="AB586" s="5">
        <v>-1.2503801606561413</v>
      </c>
      <c r="AC586" s="4">
        <v>2.2449282888139599E-4</v>
      </c>
      <c r="AE586" s="5">
        <v>-0.38147581702590427</v>
      </c>
      <c r="AF586" s="5">
        <v>-0.32279159852218631</v>
      </c>
    </row>
    <row r="587" spans="23:32" x14ac:dyDescent="0.25">
      <c r="W587">
        <v>61.2</v>
      </c>
      <c r="X587" s="5">
        <v>65.310534701718169</v>
      </c>
      <c r="Y587" s="5">
        <v>-4.1105347017181657</v>
      </c>
      <c r="Z587" s="5">
        <v>-4.1189834671680785</v>
      </c>
      <c r="AA587" s="18">
        <v>2.0511773152893692E-3</v>
      </c>
      <c r="AB587" s="5">
        <v>-1.1443162773914202</v>
      </c>
      <c r="AC587" s="4">
        <v>1.4165551423617434E-4</v>
      </c>
      <c r="AE587" s="5">
        <v>-0.38147581702590427</v>
      </c>
      <c r="AF587" s="5">
        <v>-0.32106015906073404</v>
      </c>
    </row>
    <row r="588" spans="23:32" x14ac:dyDescent="0.25">
      <c r="W588">
        <v>69</v>
      </c>
      <c r="X588" s="5">
        <v>64.542551147022706</v>
      </c>
      <c r="Y588" s="5">
        <v>4.4574488529772935</v>
      </c>
      <c r="Z588" s="5">
        <v>4.4669446815040601</v>
      </c>
      <c r="AA588" s="18">
        <v>2.1257994454416404E-3</v>
      </c>
      <c r="AB588" s="5">
        <v>1.2409387984369507</v>
      </c>
      <c r="AC588" s="4">
        <v>1.7266074896208632E-4</v>
      </c>
      <c r="AE588" s="5">
        <v>-0.37168505980560429</v>
      </c>
      <c r="AF588" s="5">
        <v>-0.31923937910407557</v>
      </c>
    </row>
    <row r="589" spans="23:32" x14ac:dyDescent="0.25">
      <c r="W589">
        <v>66</v>
      </c>
      <c r="X589" s="5">
        <v>64.151666608548567</v>
      </c>
      <c r="Y589" s="5">
        <v>1.8483333914514333</v>
      </c>
      <c r="Z589" s="5">
        <v>1.8523274767847511</v>
      </c>
      <c r="AA589" s="18">
        <v>2.1562522736278391E-3</v>
      </c>
      <c r="AB589" s="5">
        <v>0.51457766383929604</v>
      </c>
      <c r="AC589" s="4">
        <v>3.0115168040243381E-5</v>
      </c>
      <c r="AE589" s="5">
        <v>-0.37168505980560429</v>
      </c>
      <c r="AF589" s="5">
        <v>-0.31913210498290134</v>
      </c>
    </row>
    <row r="590" spans="23:32" x14ac:dyDescent="0.25">
      <c r="W590">
        <v>63</v>
      </c>
      <c r="X590" s="5">
        <v>63.30217557925841</v>
      </c>
      <c r="Y590" s="5">
        <v>-0.30217557925841021</v>
      </c>
      <c r="Z590" s="5">
        <v>-0.30285559664413597</v>
      </c>
      <c r="AA590" s="18">
        <v>2.2453518880268739E-3</v>
      </c>
      <c r="AB590" s="5">
        <v>-8.4129706778899735E-2</v>
      </c>
      <c r="AC590" s="4">
        <v>8.3831223089816746E-7</v>
      </c>
      <c r="AE590" s="5">
        <v>-0.37168505980560429</v>
      </c>
      <c r="AF590" s="5">
        <v>-0.31861857578558306</v>
      </c>
    </row>
    <row r="591" spans="23:32" x14ac:dyDescent="0.25">
      <c r="W591">
        <v>59.9</v>
      </c>
      <c r="X591" s="5">
        <v>66.558352238208514</v>
      </c>
      <c r="Y591" s="5">
        <v>-6.658352238208515</v>
      </c>
      <c r="Z591" s="5">
        <v>-6.6905583644180879</v>
      </c>
      <c r="AA591" s="18">
        <v>4.8136679265592692E-3</v>
      </c>
      <c r="AB591" s="5">
        <v>-1.8561644760737943</v>
      </c>
      <c r="AC591" s="4">
        <v>8.7710388909751215E-4</v>
      </c>
      <c r="AE591" s="5">
        <v>-0.37168505980560429</v>
      </c>
      <c r="AF591" s="5">
        <v>-0.31845345498054739</v>
      </c>
    </row>
    <row r="592" spans="23:32" x14ac:dyDescent="0.25">
      <c r="W592">
        <v>59.4</v>
      </c>
      <c r="X592" s="5">
        <v>61.286219671075706</v>
      </c>
      <c r="Y592" s="5">
        <v>-1.8862196710757075</v>
      </c>
      <c r="Z592" s="5">
        <v>-1.8908138734182529</v>
      </c>
      <c r="AA592" s="18">
        <v>2.4297485898160313E-3</v>
      </c>
      <c r="AB592" s="5">
        <v>-0.52519721774048678</v>
      </c>
      <c r="AC592" s="4">
        <v>3.5359741522938225E-5</v>
      </c>
      <c r="AE592" s="5">
        <v>-0.37168505980560429</v>
      </c>
      <c r="AF592" s="5">
        <v>-0.31696193800623867</v>
      </c>
    </row>
    <row r="593" spans="23:32" x14ac:dyDescent="0.25">
      <c r="W593">
        <v>58.9</v>
      </c>
      <c r="X593" s="5">
        <v>60.394782817100022</v>
      </c>
      <c r="Y593" s="5">
        <v>-1.4947828171000239</v>
      </c>
      <c r="Z593" s="5">
        <v>-1.4991975373654114</v>
      </c>
      <c r="AA593" s="18">
        <v>2.9447221966118261E-3</v>
      </c>
      <c r="AB593" s="5">
        <v>-0.41631338122925499</v>
      </c>
      <c r="AC593" s="4">
        <v>2.6940908250635037E-5</v>
      </c>
      <c r="AE593" s="5">
        <v>-0.37168505980560429</v>
      </c>
      <c r="AF593" s="5">
        <v>-0.3165000833098352</v>
      </c>
    </row>
    <row r="594" spans="23:32" x14ac:dyDescent="0.25">
      <c r="W594">
        <v>58.3</v>
      </c>
      <c r="X594" s="5">
        <v>63.561208960196218</v>
      </c>
      <c r="Y594" s="5">
        <v>-5.2612089601962211</v>
      </c>
      <c r="Z594" s="5">
        <v>-5.3558997773450656</v>
      </c>
      <c r="AA594" s="18">
        <v>1.7679721631344826E-2</v>
      </c>
      <c r="AB594" s="5">
        <v>-1.4762533227605081</v>
      </c>
      <c r="AC594" s="4">
        <v>2.0643840199981089E-3</v>
      </c>
      <c r="AE594" s="5">
        <v>-0.37168505980560429</v>
      </c>
      <c r="AF594" s="5">
        <v>-0.31579952259060518</v>
      </c>
    </row>
    <row r="595" spans="23:32" x14ac:dyDescent="0.25">
      <c r="W595">
        <v>57.9</v>
      </c>
      <c r="X595" s="5">
        <v>62.791741119074103</v>
      </c>
      <c r="Y595" s="5">
        <v>-4.8917411190741049</v>
      </c>
      <c r="Z595" s="5">
        <v>-4.9646595070312785</v>
      </c>
      <c r="AA595" s="18">
        <v>1.4687490220406619E-2</v>
      </c>
      <c r="AB595" s="5">
        <v>-1.3704978501844876</v>
      </c>
      <c r="AC595" s="4">
        <v>1.4735901504001401E-3</v>
      </c>
      <c r="AE595" s="5">
        <v>-0.36030729595554811</v>
      </c>
      <c r="AF595" s="5">
        <v>-0.31414428801516664</v>
      </c>
    </row>
    <row r="596" spans="23:32" x14ac:dyDescent="0.25">
      <c r="W596">
        <v>57.6</v>
      </c>
      <c r="X596" s="5">
        <v>62.943684372371145</v>
      </c>
      <c r="Y596" s="5">
        <v>-5.3436843723711434</v>
      </c>
      <c r="Z596" s="5">
        <v>-5.4614404672324426</v>
      </c>
      <c r="AA596" s="18">
        <v>2.1561361982761353E-2</v>
      </c>
      <c r="AB596" s="5">
        <v>-1.5023665065073819</v>
      </c>
      <c r="AC596" s="4">
        <v>2.6178260273613612E-3</v>
      </c>
      <c r="AE596" s="5">
        <v>-0.36030729595554811</v>
      </c>
      <c r="AF596" s="5">
        <v>-0.31127727088297735</v>
      </c>
    </row>
    <row r="597" spans="23:32" x14ac:dyDescent="0.25">
      <c r="W597">
        <v>88</v>
      </c>
      <c r="X597" s="5">
        <v>80.821113705580885</v>
      </c>
      <c r="Y597" s="5">
        <v>7.1788862944191152</v>
      </c>
      <c r="Z597" s="5">
        <v>7.2201844218211306</v>
      </c>
      <c r="AA597" s="18">
        <v>5.7198161417050522E-3</v>
      </c>
      <c r="AB597" s="5">
        <v>2.0021867105954105</v>
      </c>
      <c r="AC597" s="4">
        <v>1.2137488543695666E-3</v>
      </c>
      <c r="AE597" s="5">
        <v>-0.36030729595554811</v>
      </c>
      <c r="AF597" s="5">
        <v>-0.31053203253865014</v>
      </c>
    </row>
    <row r="598" spans="23:32" x14ac:dyDescent="0.25">
      <c r="W598">
        <v>86</v>
      </c>
      <c r="X598" s="5">
        <v>80.716260937566886</v>
      </c>
      <c r="Y598" s="5">
        <v>5.2837390624331135</v>
      </c>
      <c r="Z598" s="5">
        <v>5.3155376751238634</v>
      </c>
      <c r="AA598" s="18">
        <v>5.9822006040082774E-3</v>
      </c>
      <c r="AB598" s="5">
        <v>1.4738258618985216</v>
      </c>
      <c r="AC598" s="4">
        <v>6.8802711854213663E-4</v>
      </c>
      <c r="AE598" s="5">
        <v>-0.36030729595554811</v>
      </c>
      <c r="AF598" s="5">
        <v>-0.31016724542618201</v>
      </c>
    </row>
    <row r="599" spans="23:32" x14ac:dyDescent="0.25">
      <c r="W599">
        <v>84</v>
      </c>
      <c r="X599" s="5">
        <v>80.477776946886365</v>
      </c>
      <c r="Y599" s="5">
        <v>3.5222230531136347</v>
      </c>
      <c r="Z599" s="5">
        <v>3.5384896341716683</v>
      </c>
      <c r="AA599" s="18">
        <v>4.5970407546060419E-3</v>
      </c>
      <c r="AB599" s="5">
        <v>0.98179153486517157</v>
      </c>
      <c r="AC599" s="4">
        <v>2.3429573983296356E-4</v>
      </c>
      <c r="AE599" s="5">
        <v>-0.36030729595554811</v>
      </c>
      <c r="AF599" s="5">
        <v>-0.3091049548626586</v>
      </c>
    </row>
    <row r="600" spans="23:32" x14ac:dyDescent="0.25">
      <c r="W600">
        <v>85</v>
      </c>
      <c r="X600" s="5">
        <v>80.758838530319963</v>
      </c>
      <c r="Y600" s="5">
        <v>4.241161469680037</v>
      </c>
      <c r="Z600" s="5">
        <v>4.2623896529111676</v>
      </c>
      <c r="AA600" s="18">
        <v>4.9803478705035941E-3</v>
      </c>
      <c r="AB600" s="5">
        <v>1.1824175574653653</v>
      </c>
      <c r="AC600" s="4">
        <v>3.6831224611498118E-4</v>
      </c>
      <c r="AE600" s="5">
        <v>-0.36030729595554811</v>
      </c>
      <c r="AF600" s="5">
        <v>-0.30852975880176026</v>
      </c>
    </row>
    <row r="601" spans="23:32" x14ac:dyDescent="0.25">
      <c r="W601">
        <v>83</v>
      </c>
      <c r="X601" s="5">
        <v>80.369909363280527</v>
      </c>
      <c r="Y601" s="5">
        <v>2.6300906367194727</v>
      </c>
      <c r="Z601" s="5">
        <v>2.6430404391989271</v>
      </c>
      <c r="AA601" s="18">
        <v>4.8995854499199101E-3</v>
      </c>
      <c r="AB601" s="5">
        <v>0.73322818944917145</v>
      </c>
      <c r="AC601" s="4">
        <v>1.3932117702957788E-4</v>
      </c>
      <c r="AE601" s="5">
        <v>-0.35059197017921911</v>
      </c>
      <c r="AF601" s="5">
        <v>-0.30421125913823127</v>
      </c>
    </row>
    <row r="602" spans="23:32" x14ac:dyDescent="0.25">
      <c r="W602">
        <v>80</v>
      </c>
      <c r="X602" s="5">
        <v>78.776314321087128</v>
      </c>
      <c r="Y602" s="5">
        <v>1.2236856789128723</v>
      </c>
      <c r="Z602" s="5">
        <v>1.2288368823604827</v>
      </c>
      <c r="AA602" s="18">
        <v>4.1919342766784384E-3</v>
      </c>
      <c r="AB602" s="5">
        <v>0.34102321891779036</v>
      </c>
      <c r="AC602" s="4">
        <v>2.5766363134035744E-5</v>
      </c>
      <c r="AE602" s="5">
        <v>-0.35059197017921911</v>
      </c>
      <c r="AF602" s="5">
        <v>-0.30325091492920242</v>
      </c>
    </row>
    <row r="603" spans="23:32" x14ac:dyDescent="0.25">
      <c r="W603">
        <v>79.900000000000006</v>
      </c>
      <c r="X603" s="5">
        <v>80.094563830782846</v>
      </c>
      <c r="Y603" s="5">
        <v>-0.19456383078284034</v>
      </c>
      <c r="Z603" s="5">
        <v>-0.19597345664922727</v>
      </c>
      <c r="AA603" s="18">
        <v>7.192942812235298E-3</v>
      </c>
      <c r="AB603" s="5">
        <v>-5.4303968973709989E-2</v>
      </c>
      <c r="AC603" s="4">
        <v>1.1244788618211803E-6</v>
      </c>
      <c r="AE603" s="5">
        <v>-0.35059197017921911</v>
      </c>
      <c r="AF603" s="5">
        <v>-0.30303822435016903</v>
      </c>
    </row>
    <row r="604" spans="23:32" x14ac:dyDescent="0.25">
      <c r="W604">
        <v>79.400000000000006</v>
      </c>
      <c r="X604" s="5">
        <v>81.599015479560023</v>
      </c>
      <c r="Y604" s="5">
        <v>-2.1990154795600176</v>
      </c>
      <c r="Z604" s="5">
        <v>-2.2104660597922532</v>
      </c>
      <c r="AA604" s="18">
        <v>5.1801655951716425E-3</v>
      </c>
      <c r="AB604" s="5">
        <v>-0.61313761544588541</v>
      </c>
      <c r="AC604" s="4">
        <v>1.0302948469890473E-4</v>
      </c>
      <c r="AE604" s="5">
        <v>-0.35059197017921911</v>
      </c>
      <c r="AF604" s="5">
        <v>-0.30214526488004373</v>
      </c>
    </row>
    <row r="605" spans="23:32" x14ac:dyDescent="0.25">
      <c r="W605">
        <v>79.7</v>
      </c>
      <c r="X605" s="5">
        <v>78.582326686678357</v>
      </c>
      <c r="Y605" s="5">
        <v>1.1176733133216459</v>
      </c>
      <c r="Z605" s="5">
        <v>1.1222086111102385</v>
      </c>
      <c r="AA605" s="18">
        <v>4.0414034821034004E-3</v>
      </c>
      <c r="AB605" s="5">
        <v>0.31145559066345074</v>
      </c>
      <c r="AC605" s="4">
        <v>2.0717129829010656E-5</v>
      </c>
      <c r="AE605" s="5">
        <v>-0.35059197017921911</v>
      </c>
      <c r="AF605" s="5">
        <v>-0.29980103103961719</v>
      </c>
    </row>
    <row r="606" spans="23:32" x14ac:dyDescent="0.25">
      <c r="W606">
        <v>79.3</v>
      </c>
      <c r="X606" s="5">
        <v>77.100310260402097</v>
      </c>
      <c r="Y606" s="5">
        <v>2.1996897395979005</v>
      </c>
      <c r="Z606" s="5">
        <v>2.2219295956015515</v>
      </c>
      <c r="AA606" s="18">
        <v>1.0009253239920326E-2</v>
      </c>
      <c r="AB606" s="5">
        <v>0.61481966952757827</v>
      </c>
      <c r="AC606" s="4">
        <v>2.0114648478459151E-4</v>
      </c>
      <c r="AE606" s="5">
        <v>-0.35059197017921911</v>
      </c>
      <c r="AF606" s="5">
        <v>-0.29769442285614045</v>
      </c>
    </row>
    <row r="607" spans="23:32" x14ac:dyDescent="0.25">
      <c r="W607">
        <v>79.2</v>
      </c>
      <c r="X607" s="5">
        <v>77.501621776940596</v>
      </c>
      <c r="Y607" s="5">
        <v>1.6983782230594073</v>
      </c>
      <c r="Z607" s="5">
        <v>1.737569656581158</v>
      </c>
      <c r="AA607" s="18">
        <v>2.2555316486629767E-2</v>
      </c>
      <c r="AB607" s="5">
        <v>0.47773846518780005</v>
      </c>
      <c r="AC607" s="4">
        <v>2.7719382769517099E-4</v>
      </c>
      <c r="AE607" s="5">
        <v>-0.35059197017921911</v>
      </c>
      <c r="AF607" s="5">
        <v>-0.29725602016442992</v>
      </c>
    </row>
    <row r="608" spans="23:32" x14ac:dyDescent="0.25">
      <c r="W608">
        <v>79.099999999999994</v>
      </c>
      <c r="X608" s="5">
        <v>77.968829890655869</v>
      </c>
      <c r="Y608" s="5">
        <v>1.1311701093441258</v>
      </c>
      <c r="Z608" s="5">
        <v>1.1346060338136255</v>
      </c>
      <c r="AA608" s="18">
        <v>3.0282973711646182E-3</v>
      </c>
      <c r="AB608" s="5">
        <v>0.31505646546255067</v>
      </c>
      <c r="AC608" s="4">
        <v>1.5868609746152672E-5</v>
      </c>
      <c r="AE608" s="5">
        <v>-0.35059197017921911</v>
      </c>
      <c r="AF608" s="5">
        <v>-0.29693079125117705</v>
      </c>
    </row>
    <row r="609" spans="23:32" x14ac:dyDescent="0.25">
      <c r="W609">
        <v>79</v>
      </c>
      <c r="X609" s="5">
        <v>76.471835482363588</v>
      </c>
      <c r="Y609" s="5">
        <v>2.5281645176364123</v>
      </c>
      <c r="Z609" s="5">
        <v>2.5357311700342109</v>
      </c>
      <c r="AA609" s="18">
        <v>2.9840120621672296E-3</v>
      </c>
      <c r="AB609" s="5">
        <v>0.70413537320773678</v>
      </c>
      <c r="AC609" s="4">
        <v>7.8101104423392611E-5</v>
      </c>
      <c r="AE609" s="5">
        <v>-0.337689309602062</v>
      </c>
      <c r="AF609" s="5">
        <v>-0.29047617755895305</v>
      </c>
    </row>
    <row r="610" spans="23:32" x14ac:dyDescent="0.25">
      <c r="W610">
        <v>78.7</v>
      </c>
      <c r="X610" s="5">
        <v>76.333442968279343</v>
      </c>
      <c r="Y610" s="5">
        <v>2.3665570317206601</v>
      </c>
      <c r="Z610" s="5">
        <v>2.4190690682417824</v>
      </c>
      <c r="AA610" s="18">
        <v>2.1707539156492366E-2</v>
      </c>
      <c r="AB610" s="5">
        <v>0.66540263054870308</v>
      </c>
      <c r="AC610" s="4">
        <v>5.1707949065852026E-4</v>
      </c>
      <c r="AE610" s="5">
        <v>-0.337689309602062</v>
      </c>
      <c r="AF610" s="5">
        <v>-0.28861262193054066</v>
      </c>
    </row>
    <row r="611" spans="23:32" x14ac:dyDescent="0.25">
      <c r="W611">
        <v>78.2</v>
      </c>
      <c r="X611" s="5">
        <v>75.414843974549967</v>
      </c>
      <c r="Y611" s="5">
        <v>2.7851560254500356</v>
      </c>
      <c r="Z611" s="5">
        <v>2.7926128636096053</v>
      </c>
      <c r="AA611" s="18">
        <v>2.6702011785231274E-3</v>
      </c>
      <c r="AB611" s="5">
        <v>0.77558968340026235</v>
      </c>
      <c r="AC611" s="4">
        <v>8.4764818063470267E-5</v>
      </c>
      <c r="AE611" s="5">
        <v>-0.337689309602062</v>
      </c>
      <c r="AF611" s="5">
        <v>-0.28834254103048124</v>
      </c>
    </row>
    <row r="612" spans="23:32" x14ac:dyDescent="0.25">
      <c r="W612">
        <v>71.7</v>
      </c>
      <c r="X612" s="5">
        <v>68.831653530212932</v>
      </c>
      <c r="Y612" s="5">
        <v>2.8683464697870704</v>
      </c>
      <c r="Z612" s="5">
        <v>2.8764279447010921</v>
      </c>
      <c r="AA612" s="18">
        <v>2.8095523577786937E-3</v>
      </c>
      <c r="AB612" s="5">
        <v>0.79881175267637272</v>
      </c>
      <c r="AC612" s="4">
        <v>9.4622476642499927E-5</v>
      </c>
      <c r="AE612" s="5">
        <v>-0.337689309602062</v>
      </c>
      <c r="AF612" s="5">
        <v>-0.28708503895050974</v>
      </c>
    </row>
    <row r="613" spans="23:32" x14ac:dyDescent="0.25">
      <c r="W613">
        <v>71.400000000000006</v>
      </c>
      <c r="X613" s="5">
        <v>69.070331464394471</v>
      </c>
      <c r="Y613" s="5">
        <v>2.3296685356055349</v>
      </c>
      <c r="Z613" s="5">
        <v>2.3356508071422866</v>
      </c>
      <c r="AA613" s="18">
        <v>2.5612867807381983E-3</v>
      </c>
      <c r="AB613" s="5">
        <v>0.64871346997292378</v>
      </c>
      <c r="AC613" s="4">
        <v>5.6875367819497191E-5</v>
      </c>
      <c r="AE613" s="5">
        <v>-0.337689309602062</v>
      </c>
      <c r="AF613" s="5">
        <v>-0.28653359563588643</v>
      </c>
    </row>
    <row r="614" spans="23:32" x14ac:dyDescent="0.25">
      <c r="W614">
        <v>71.3</v>
      </c>
      <c r="X614" s="5">
        <v>69.151720780768528</v>
      </c>
      <c r="Y614" s="5">
        <v>2.148279219231469</v>
      </c>
      <c r="Z614" s="5">
        <v>2.1547188653021294</v>
      </c>
      <c r="AA614" s="18">
        <v>2.9886247223973976E-3</v>
      </c>
      <c r="AB614" s="5">
        <v>0.59833245757042508</v>
      </c>
      <c r="AC614" s="4">
        <v>5.6481054374836356E-5</v>
      </c>
      <c r="AE614" s="5">
        <v>-0.337689309602062</v>
      </c>
      <c r="AF614" s="5">
        <v>-0.28650963612972413</v>
      </c>
    </row>
    <row r="615" spans="23:32" x14ac:dyDescent="0.25">
      <c r="W615">
        <v>71.099999999999994</v>
      </c>
      <c r="X615" s="5">
        <v>68.68357315675992</v>
      </c>
      <c r="Y615" s="5">
        <v>2.4164268432400746</v>
      </c>
      <c r="Z615" s="5">
        <v>2.4227709950030487</v>
      </c>
      <c r="AA615" s="18">
        <v>2.6185519704721143E-3</v>
      </c>
      <c r="AB615" s="5">
        <v>0.67289128011378707</v>
      </c>
      <c r="AC615" s="4">
        <v>6.2565671748958238E-5</v>
      </c>
      <c r="AE615" s="5">
        <v>-0.337689309602062</v>
      </c>
      <c r="AF615" s="5">
        <v>-0.28506417902857184</v>
      </c>
    </row>
    <row r="616" spans="23:32" x14ac:dyDescent="0.25">
      <c r="W616">
        <v>77</v>
      </c>
      <c r="X616" s="5">
        <v>68.756906454536491</v>
      </c>
      <c r="Y616" s="5">
        <v>8.243093545463509</v>
      </c>
      <c r="Z616" s="5">
        <v>8.2672903547948948</v>
      </c>
      <c r="AA616" s="18">
        <v>2.9268125701377044E-3</v>
      </c>
      <c r="AB616" s="5">
        <v>2.2957711888144985</v>
      </c>
      <c r="AC616" s="4">
        <v>8.1427570194858145E-4</v>
      </c>
      <c r="AE616" s="5">
        <v>-0.337689309602062</v>
      </c>
      <c r="AF616" s="5">
        <v>-0.28414607958222099</v>
      </c>
    </row>
    <row r="617" spans="23:32" x14ac:dyDescent="0.25">
      <c r="W617">
        <v>76</v>
      </c>
      <c r="X617" s="5">
        <v>68.459306095821461</v>
      </c>
      <c r="Y617" s="5">
        <v>7.5406939041785392</v>
      </c>
      <c r="Z617" s="5">
        <v>7.5625539305400906</v>
      </c>
      <c r="AA617" s="18">
        <v>2.8905613847299682E-3</v>
      </c>
      <c r="AB617" s="5">
        <v>2.100108777843503</v>
      </c>
      <c r="AC617" s="4">
        <v>6.7292916109005488E-4</v>
      </c>
      <c r="AE617" s="5">
        <v>-0.337689309602062</v>
      </c>
      <c r="AF617" s="5">
        <v>-0.27991116905418378</v>
      </c>
    </row>
    <row r="618" spans="23:32" x14ac:dyDescent="0.25">
      <c r="W618">
        <v>79</v>
      </c>
      <c r="X618" s="5">
        <v>71.543169840567288</v>
      </c>
      <c r="Y618" s="5">
        <v>7.4568301594327124</v>
      </c>
      <c r="Z618" s="5">
        <v>7.4878320899628648</v>
      </c>
      <c r="AA618" s="18">
        <v>4.1403079232659526E-3</v>
      </c>
      <c r="AB618" s="5">
        <v>2.0780551348088401</v>
      </c>
      <c r="AC618" s="4">
        <v>9.4491995020779169E-4</v>
      </c>
      <c r="AE618" s="5">
        <v>-0.337689309602062</v>
      </c>
      <c r="AF618" s="5">
        <v>-0.27987217570266443</v>
      </c>
    </row>
    <row r="619" spans="23:32" x14ac:dyDescent="0.25">
      <c r="W619">
        <v>75</v>
      </c>
      <c r="X619" s="5">
        <v>67.949456634375323</v>
      </c>
      <c r="Y619" s="5">
        <v>7.0505433656246765</v>
      </c>
      <c r="Z619" s="5">
        <v>7.0694391861274113</v>
      </c>
      <c r="AA619" s="18">
        <v>2.6728881888983241E-3</v>
      </c>
      <c r="AB619" s="5">
        <v>1.963385897662121</v>
      </c>
      <c r="AC619" s="4">
        <v>5.4375204118129134E-4</v>
      </c>
      <c r="AE619" s="5">
        <v>-0.32163939638952632</v>
      </c>
      <c r="AF619" s="5">
        <v>-0.27933298789180283</v>
      </c>
    </row>
    <row r="620" spans="23:32" x14ac:dyDescent="0.25">
      <c r="W620">
        <v>69.7</v>
      </c>
      <c r="X620" s="5">
        <v>69.932005174774829</v>
      </c>
      <c r="Y620" s="5">
        <v>-0.23200517477482663</v>
      </c>
      <c r="Z620" s="5">
        <v>-0.2358664492362692</v>
      </c>
      <c r="AA620" s="18">
        <v>1.6370596470796587E-2</v>
      </c>
      <c r="AB620" s="5">
        <v>-6.5055469012904099E-2</v>
      </c>
      <c r="AC620" s="4">
        <v>3.7072086037614841E-6</v>
      </c>
      <c r="AE620" s="5">
        <v>-0.32163939638952632</v>
      </c>
      <c r="AF620" s="5">
        <v>-0.2787301380018809</v>
      </c>
    </row>
    <row r="621" spans="23:32" x14ac:dyDescent="0.25">
      <c r="W621">
        <v>69.2</v>
      </c>
      <c r="X621" s="5">
        <v>69.943421713498026</v>
      </c>
      <c r="Y621" s="5">
        <v>-0.743421713498023</v>
      </c>
      <c r="Z621" s="5">
        <v>-0.7466511609473514</v>
      </c>
      <c r="AA621" s="18">
        <v>4.3252426544540578E-3</v>
      </c>
      <c r="AB621" s="5">
        <v>-0.20719457733297092</v>
      </c>
      <c r="AC621" s="4">
        <v>9.8151321041643183E-6</v>
      </c>
      <c r="AE621" s="5">
        <v>-0.32163939638952632</v>
      </c>
      <c r="AF621" s="5">
        <v>-0.27809792371166742</v>
      </c>
    </row>
    <row r="622" spans="23:32" x14ac:dyDescent="0.25">
      <c r="W622">
        <v>58.1</v>
      </c>
      <c r="X622" s="5">
        <v>60.823518821625925</v>
      </c>
      <c r="Y622" s="5">
        <v>-2.7235188216259232</v>
      </c>
      <c r="Z622" s="5">
        <v>-2.734898190963122</v>
      </c>
      <c r="AA622" s="18">
        <v>4.1608018078341724E-3</v>
      </c>
      <c r="AB622" s="5">
        <v>-0.7589928142189305</v>
      </c>
      <c r="AC622" s="4">
        <v>1.2668043324843892E-4</v>
      </c>
      <c r="AE622" s="5">
        <v>-0.32163939638952632</v>
      </c>
      <c r="AF622" s="5">
        <v>-0.27791106217407591</v>
      </c>
    </row>
    <row r="623" spans="23:32" x14ac:dyDescent="0.25">
      <c r="W623">
        <v>58.8</v>
      </c>
      <c r="X623" s="5">
        <v>60.909436664228565</v>
      </c>
      <c r="Y623" s="5">
        <v>-2.1094366642285678</v>
      </c>
      <c r="Z623" s="5">
        <v>-2.1150023676691916</v>
      </c>
      <c r="AA623" s="18">
        <v>2.6315353238869957E-3</v>
      </c>
      <c r="AB623" s="5">
        <v>-0.58740895880638355</v>
      </c>
      <c r="AC623" s="4">
        <v>4.7916060260918908E-5</v>
      </c>
      <c r="AE623" s="5">
        <v>-0.32163939638952632</v>
      </c>
      <c r="AF623" s="5">
        <v>-0.27532921838131508</v>
      </c>
    </row>
    <row r="624" spans="23:32" x14ac:dyDescent="0.25">
      <c r="W624">
        <v>58.4</v>
      </c>
      <c r="X624" s="5">
        <v>60.328008981383483</v>
      </c>
      <c r="Y624" s="5">
        <v>-1.9280089813834849</v>
      </c>
      <c r="Z624" s="5">
        <v>-1.9329452437883319</v>
      </c>
      <c r="AA624" s="18">
        <v>2.5537518047703297E-3</v>
      </c>
      <c r="AB624" s="5">
        <v>-0.53686636239047725</v>
      </c>
      <c r="AC624" s="4">
        <v>3.8838993992666913E-5</v>
      </c>
      <c r="AE624" s="5">
        <v>-0.32163939638952632</v>
      </c>
      <c r="AF624" s="5">
        <v>-0.27471796991549446</v>
      </c>
    </row>
    <row r="625" spans="23:32" x14ac:dyDescent="0.25">
      <c r="W625">
        <v>58.1</v>
      </c>
      <c r="X625" s="5">
        <v>64.335595635047824</v>
      </c>
      <c r="Y625" s="5">
        <v>-6.2355956350478223</v>
      </c>
      <c r="Z625" s="5">
        <v>-6.2681813801061352</v>
      </c>
      <c r="AA625" s="18">
        <v>5.198596384230229E-3</v>
      </c>
      <c r="AB625" s="5">
        <v>-1.7386479045139271</v>
      </c>
      <c r="AC625" s="4">
        <v>8.31417943222862E-4</v>
      </c>
      <c r="AE625" s="5">
        <v>-0.31204933220437475</v>
      </c>
      <c r="AF625" s="5">
        <v>-0.27464443227695667</v>
      </c>
    </row>
    <row r="626" spans="23:32" x14ac:dyDescent="0.25">
      <c r="W626">
        <v>57.8</v>
      </c>
      <c r="X626" s="5">
        <v>59.063421682016561</v>
      </c>
      <c r="Y626" s="5">
        <v>-1.2634216820165634</v>
      </c>
      <c r="Z626" s="5">
        <v>-1.2679808708988105</v>
      </c>
      <c r="AA626" s="18">
        <v>3.5956290720794925E-3</v>
      </c>
      <c r="AB626" s="5">
        <v>-0.35199168588723584</v>
      </c>
      <c r="AC626" s="4">
        <v>2.3531546454211585E-5</v>
      </c>
      <c r="AE626" s="5">
        <v>-0.31204933220437475</v>
      </c>
      <c r="AF626" s="5">
        <v>-0.26919248524487588</v>
      </c>
    </row>
    <row r="627" spans="23:32" x14ac:dyDescent="0.25">
      <c r="W627">
        <v>57.3</v>
      </c>
      <c r="X627" s="5">
        <v>57.973687617001609</v>
      </c>
      <c r="Y627" s="5">
        <v>-0.67368761700161173</v>
      </c>
      <c r="Z627" s="5">
        <v>-0.68085038972430567</v>
      </c>
      <c r="AA627" s="18">
        <v>1.052033285255834E-2</v>
      </c>
      <c r="AB627" s="5">
        <v>-0.18834626802110582</v>
      </c>
      <c r="AC627" s="4">
        <v>1.9851029924595605E-5</v>
      </c>
      <c r="AE627" s="5">
        <v>-0.31204933220437475</v>
      </c>
      <c r="AF627" s="5">
        <v>-0.26910562581431735</v>
      </c>
    </row>
    <row r="628" spans="23:32" x14ac:dyDescent="0.25">
      <c r="W628">
        <v>56.8</v>
      </c>
      <c r="X628" s="5">
        <v>62.433483429043207</v>
      </c>
      <c r="Y628" s="5">
        <v>-5.6334834290432099</v>
      </c>
      <c r="Z628" s="5">
        <v>-5.719197354473053</v>
      </c>
      <c r="AA628" s="18">
        <v>1.498705502141948E-2</v>
      </c>
      <c r="AB628" s="5">
        <v>-1.5785485511020705</v>
      </c>
      <c r="AC628" s="4">
        <v>1.9954307047187181E-3</v>
      </c>
      <c r="AE628" s="5">
        <v>-0.31204933220437475</v>
      </c>
      <c r="AF628" s="5">
        <v>-0.26879350642066624</v>
      </c>
    </row>
    <row r="629" spans="23:32" x14ac:dyDescent="0.25">
      <c r="W629">
        <v>56.4</v>
      </c>
      <c r="X629" s="5">
        <v>62.759379630178351</v>
      </c>
      <c r="Y629" s="5">
        <v>-6.3593796301783527</v>
      </c>
      <c r="Z629" s="5">
        <v>-6.4036574175269863</v>
      </c>
      <c r="AA629" s="18">
        <v>6.9144528605552535E-3</v>
      </c>
      <c r="AB629" s="5">
        <v>-1.7746933113825774</v>
      </c>
      <c r="AC629" s="4">
        <v>1.1541551207015612E-3</v>
      </c>
      <c r="AE629" s="5">
        <v>-0.31204933220437475</v>
      </c>
      <c r="AF629" s="5">
        <v>-0.26858783424559107</v>
      </c>
    </row>
    <row r="630" spans="23:32" x14ac:dyDescent="0.25">
      <c r="W630">
        <v>58.4</v>
      </c>
      <c r="X630" s="5">
        <v>61.52806238857751</v>
      </c>
      <c r="Y630" s="5">
        <v>-3.1280623885775114</v>
      </c>
      <c r="Z630" s="5">
        <v>-3.1352355129614935</v>
      </c>
      <c r="AA630" s="18">
        <v>2.2879060773354247E-3</v>
      </c>
      <c r="AB630" s="5">
        <v>-0.87091281269900622</v>
      </c>
      <c r="AC630" s="4">
        <v>9.1543753193262846E-5</v>
      </c>
      <c r="AE630" s="5">
        <v>-0.31204933220437475</v>
      </c>
      <c r="AF630" s="5">
        <v>-0.26385288809310714</v>
      </c>
    </row>
    <row r="631" spans="23:32" x14ac:dyDescent="0.25">
      <c r="W631">
        <v>58.1</v>
      </c>
      <c r="X631" s="5">
        <v>60.957447143866069</v>
      </c>
      <c r="Y631" s="5">
        <v>-2.857447143866068</v>
      </c>
      <c r="Z631" s="5">
        <v>-2.8640436930618023</v>
      </c>
      <c r="AA631" s="18">
        <v>2.3032292460177773E-3</v>
      </c>
      <c r="AB631" s="5">
        <v>-0.79557442612233831</v>
      </c>
      <c r="AC631" s="4">
        <v>7.6903592388442559E-5</v>
      </c>
      <c r="AE631" s="5">
        <v>-0.31204933220437475</v>
      </c>
      <c r="AF631" s="5">
        <v>-0.26095438556288114</v>
      </c>
    </row>
    <row r="632" spans="23:32" x14ac:dyDescent="0.25">
      <c r="W632">
        <v>57.6</v>
      </c>
      <c r="X632" s="5">
        <v>60.462894573203847</v>
      </c>
      <c r="Y632" s="5">
        <v>-2.862894573203846</v>
      </c>
      <c r="Z632" s="5">
        <v>-2.8695288241120878</v>
      </c>
      <c r="AA632" s="18">
        <v>2.311965244081989E-3</v>
      </c>
      <c r="AB632" s="5">
        <v>-0.79709459676327554</v>
      </c>
      <c r="AC632" s="4">
        <v>7.7491250038729312E-5</v>
      </c>
      <c r="AE632" s="5">
        <v>-0.31204933220437475</v>
      </c>
      <c r="AF632" s="5">
        <v>-0.26071722230990113</v>
      </c>
    </row>
    <row r="633" spans="23:32" x14ac:dyDescent="0.25">
      <c r="W633">
        <v>57.1</v>
      </c>
      <c r="X633" s="5">
        <v>59.737320032725421</v>
      </c>
      <c r="Y633" s="5">
        <v>-2.6373200327254196</v>
      </c>
      <c r="Z633" s="5">
        <v>-2.6435276769534255</v>
      </c>
      <c r="AA633" s="18">
        <v>2.3482425707598404E-3</v>
      </c>
      <c r="AB633" s="5">
        <v>-0.73430289333132159</v>
      </c>
      <c r="AC633" s="4">
        <v>6.679760064674525E-5</v>
      </c>
      <c r="AE633" s="5">
        <v>-0.31204933220437475</v>
      </c>
      <c r="AF633" s="5">
        <v>-0.26054491697731719</v>
      </c>
    </row>
    <row r="634" spans="23:32" x14ac:dyDescent="0.25">
      <c r="W634">
        <v>56.7</v>
      </c>
      <c r="X634" s="5">
        <v>59.586504167583385</v>
      </c>
      <c r="Y634" s="5">
        <v>-2.8865041675833822</v>
      </c>
      <c r="Z634" s="5">
        <v>-2.8934543442311167</v>
      </c>
      <c r="AA634" s="18">
        <v>2.4020343232954455E-3</v>
      </c>
      <c r="AB634" s="5">
        <v>-0.80370432094321764</v>
      </c>
      <c r="AC634" s="4">
        <v>8.1858288380915842E-5</v>
      </c>
      <c r="AE634" s="5">
        <v>-0.31204933220437475</v>
      </c>
      <c r="AF634" s="5">
        <v>-0.2602346195657641</v>
      </c>
    </row>
    <row r="635" spans="23:32" x14ac:dyDescent="0.25">
      <c r="W635">
        <v>56.3</v>
      </c>
      <c r="X635" s="5">
        <v>58.803311902560615</v>
      </c>
      <c r="Y635" s="5">
        <v>-2.5033119025606183</v>
      </c>
      <c r="Z635" s="5">
        <v>-2.5397929729874349</v>
      </c>
      <c r="AA635" s="18">
        <v>1.4363796897943183E-2</v>
      </c>
      <c r="AB635" s="5">
        <v>-0.70122684301760574</v>
      </c>
      <c r="AC635" s="4">
        <v>3.7715170272473723E-4</v>
      </c>
      <c r="AE635" s="5">
        <v>-0.31204933220437475</v>
      </c>
      <c r="AF635" s="5">
        <v>-0.25985532721758181</v>
      </c>
    </row>
    <row r="636" spans="23:32" x14ac:dyDescent="0.25">
      <c r="W636">
        <v>66</v>
      </c>
      <c r="X636" s="5">
        <v>67.556440847682609</v>
      </c>
      <c r="Y636" s="5">
        <v>-1.5564408476826088</v>
      </c>
      <c r="Z636" s="5">
        <v>-1.563107063504205</v>
      </c>
      <c r="AA636" s="18">
        <v>4.2647211936042567E-3</v>
      </c>
      <c r="AB636" s="5">
        <v>-0.43377304847852194</v>
      </c>
      <c r="AC636" s="4">
        <v>4.2414883476545167E-5</v>
      </c>
      <c r="AE636" s="5">
        <v>-0.31204933220437475</v>
      </c>
      <c r="AF636" s="5">
        <v>-0.25791118110765732</v>
      </c>
    </row>
    <row r="637" spans="23:32" x14ac:dyDescent="0.25">
      <c r="W637">
        <v>65.900000000000006</v>
      </c>
      <c r="X637" s="5">
        <v>67.66365915077553</v>
      </c>
      <c r="Y637" s="5">
        <v>-1.7636591507755242</v>
      </c>
      <c r="Z637" s="5">
        <v>-1.770818031754942</v>
      </c>
      <c r="AA637" s="18">
        <v>4.0426971326456363E-3</v>
      </c>
      <c r="AB637" s="5">
        <v>-0.49146906589859535</v>
      </c>
      <c r="AC637" s="4">
        <v>5.1602323884684844E-5</v>
      </c>
      <c r="AE637" s="5">
        <v>-0.29295400660571042</v>
      </c>
      <c r="AF637" s="5">
        <v>-0.25778981527301958</v>
      </c>
    </row>
    <row r="638" spans="23:32" x14ac:dyDescent="0.25">
      <c r="W638">
        <v>65.8</v>
      </c>
      <c r="X638" s="5">
        <v>71.331929153292222</v>
      </c>
      <c r="Y638" s="5">
        <v>-5.531929153292225</v>
      </c>
      <c r="Z638" s="5">
        <v>-5.55908833151436</v>
      </c>
      <c r="AA638" s="18">
        <v>4.8855453632864259E-3</v>
      </c>
      <c r="AB638" s="5">
        <v>-1.5422045636905448</v>
      </c>
      <c r="AC638" s="4">
        <v>6.1456862157623993E-4</v>
      </c>
      <c r="AE638" s="5">
        <v>-0.29295400660571042</v>
      </c>
      <c r="AF638" s="5">
        <v>-0.25763214018209746</v>
      </c>
    </row>
    <row r="639" spans="23:32" x14ac:dyDescent="0.25">
      <c r="W639">
        <v>65.599999999999994</v>
      </c>
      <c r="X639" s="5">
        <v>67.401790908295169</v>
      </c>
      <c r="Y639" s="5">
        <v>-1.8017909082951746</v>
      </c>
      <c r="Z639" s="5">
        <v>-1.8085360340213157</v>
      </c>
      <c r="AA639" s="18">
        <v>3.7296053820593655E-3</v>
      </c>
      <c r="AB639" s="5">
        <v>-0.50201612888831604</v>
      </c>
      <c r="AC639" s="4">
        <v>4.9655504419528612E-5</v>
      </c>
      <c r="AE639" s="5">
        <v>-0.29295400660571042</v>
      </c>
      <c r="AF639" s="5">
        <v>-0.2551753338576585</v>
      </c>
    </row>
    <row r="640" spans="23:32" x14ac:dyDescent="0.25">
      <c r="W640">
        <v>65.900000000000006</v>
      </c>
      <c r="X640" s="5">
        <v>67.154868122767951</v>
      </c>
      <c r="Y640" s="5">
        <v>-1.2548681227679452</v>
      </c>
      <c r="Z640" s="5">
        <v>-1.2597482869269214</v>
      </c>
      <c r="AA640" s="18">
        <v>3.8739200597592846E-3</v>
      </c>
      <c r="AB640" s="5">
        <v>-0.34965748023949844</v>
      </c>
      <c r="AC640" s="4">
        <v>2.502467178265173E-5</v>
      </c>
      <c r="AE640" s="5">
        <v>-0.29295400660571042</v>
      </c>
      <c r="AF640" s="5">
        <v>-0.25443928915247022</v>
      </c>
    </row>
    <row r="641" spans="23:32" x14ac:dyDescent="0.25">
      <c r="W641">
        <v>66.099999999999994</v>
      </c>
      <c r="X641" s="5">
        <v>67.773262018828305</v>
      </c>
      <c r="Y641" s="5">
        <v>-1.6732620188283107</v>
      </c>
      <c r="Z641" s="5">
        <v>-1.6794933101224387</v>
      </c>
      <c r="AA641" s="18">
        <v>3.7102209675771609E-3</v>
      </c>
      <c r="AB641" s="5">
        <v>-0.46620079254697061</v>
      </c>
      <c r="AC641" s="4">
        <v>4.2599697436940397E-5</v>
      </c>
      <c r="AE641" s="5">
        <v>-0.29295400660571042</v>
      </c>
      <c r="AF641" s="5">
        <v>-0.25174297406387913</v>
      </c>
    </row>
    <row r="642" spans="23:32" x14ac:dyDescent="0.25">
      <c r="W642">
        <v>66.3</v>
      </c>
      <c r="X642" s="5">
        <v>66.547250257545073</v>
      </c>
      <c r="Y642" s="5">
        <v>-0.24725025754507612</v>
      </c>
      <c r="Z642" s="5">
        <v>-0.24859253460644481</v>
      </c>
      <c r="AA642" s="18">
        <v>5.3995067208803971E-3</v>
      </c>
      <c r="AB642" s="5">
        <v>-6.8946830962208897E-2</v>
      </c>
      <c r="AC642" s="4">
        <v>1.3582522508210119E-6</v>
      </c>
      <c r="AE642" s="5">
        <v>-0.29295400660571042</v>
      </c>
      <c r="AF642" s="5">
        <v>-0.25061415170702783</v>
      </c>
    </row>
    <row r="643" spans="23:32" x14ac:dyDescent="0.25">
      <c r="W643">
        <v>65.7</v>
      </c>
      <c r="X643" s="5">
        <v>66.151314272435826</v>
      </c>
      <c r="Y643" s="5">
        <v>-0.45131427243582323</v>
      </c>
      <c r="Z643" s="5">
        <v>-0.45347876690898659</v>
      </c>
      <c r="AA643" s="18">
        <v>4.7730889097964968E-3</v>
      </c>
      <c r="AB643" s="5">
        <v>-0.12581137368304479</v>
      </c>
      <c r="AC643" s="4">
        <v>3.9954308705752331E-6</v>
      </c>
      <c r="AE643" s="5">
        <v>-0.29295400660571042</v>
      </c>
      <c r="AF643" s="5">
        <v>-0.2484709717588886</v>
      </c>
    </row>
    <row r="644" spans="23:32" x14ac:dyDescent="0.25">
      <c r="W644">
        <v>65.2</v>
      </c>
      <c r="X644" s="5">
        <v>71.420899155136951</v>
      </c>
      <c r="Y644" s="5">
        <v>-6.2208991551369479</v>
      </c>
      <c r="Z644" s="5">
        <v>-6.2435187456068491</v>
      </c>
      <c r="AA644" s="18">
        <v>3.6228914161294447E-3</v>
      </c>
      <c r="AB644" s="5">
        <v>-1.733178058511591</v>
      </c>
      <c r="AC644" s="4">
        <v>5.7486297790912725E-4</v>
      </c>
      <c r="AE644" s="5">
        <v>-0.29295400660571042</v>
      </c>
      <c r="AF644" s="5">
        <v>-0.24530258765372495</v>
      </c>
    </row>
    <row r="645" spans="23:32" x14ac:dyDescent="0.25">
      <c r="W645">
        <v>65</v>
      </c>
      <c r="X645" s="5">
        <v>67.188356146222844</v>
      </c>
      <c r="Y645" s="5">
        <v>-2.1883561462228442</v>
      </c>
      <c r="Z645" s="5">
        <v>-2.1935982892888433</v>
      </c>
      <c r="AA645" s="18">
        <v>2.3897461497839959E-3</v>
      </c>
      <c r="AB645" s="5">
        <v>-0.6093115950249729</v>
      </c>
      <c r="AC645" s="4">
        <v>4.6807575951233701E-5</v>
      </c>
      <c r="AE645" s="5">
        <v>-0.28028330588569778</v>
      </c>
      <c r="AF645" s="5">
        <v>-0.24314671221614731</v>
      </c>
    </row>
    <row r="646" spans="23:32" x14ac:dyDescent="0.25">
      <c r="W646">
        <v>65.099999999999994</v>
      </c>
      <c r="X646" s="5">
        <v>66.825699169645304</v>
      </c>
      <c r="Y646" s="5">
        <v>-1.7256991696453099</v>
      </c>
      <c r="Z646" s="5">
        <v>-1.7303637442036006</v>
      </c>
      <c r="AA646" s="18">
        <v>2.6957190786727567E-3</v>
      </c>
      <c r="AB646" s="5">
        <v>-0.48056610957060858</v>
      </c>
      <c r="AC646" s="4">
        <v>3.2854860586387845E-5</v>
      </c>
      <c r="AE646" s="5">
        <v>-0.28028330588569778</v>
      </c>
      <c r="AF646" s="5">
        <v>-0.24109897697914559</v>
      </c>
    </row>
    <row r="647" spans="23:32" x14ac:dyDescent="0.25">
      <c r="W647">
        <v>65.3</v>
      </c>
      <c r="X647" s="5">
        <v>65.919771003603486</v>
      </c>
      <c r="Y647" s="5">
        <v>-0.61977100360348913</v>
      </c>
      <c r="Z647" s="5">
        <v>-0.63118372591851823</v>
      </c>
      <c r="AA647" s="18">
        <v>1.808145845081607E-2</v>
      </c>
      <c r="AB647" s="5">
        <v>-0.17393837762214023</v>
      </c>
      <c r="AC647" s="4">
        <v>2.9322110485601738E-5</v>
      </c>
      <c r="AE647" s="5">
        <v>-0.28028330588569778</v>
      </c>
      <c r="AF647" s="5">
        <v>-0.24083153510978253</v>
      </c>
    </row>
    <row r="648" spans="23:32" x14ac:dyDescent="0.25">
      <c r="W648">
        <v>65.3</v>
      </c>
      <c r="X648" s="5">
        <v>66.300868723595556</v>
      </c>
      <c r="Y648" s="5">
        <v>-1.0008687235955591</v>
      </c>
      <c r="Z648" s="5">
        <v>-1.0036607902457604</v>
      </c>
      <c r="AA648" s="18">
        <v>2.7818827609308789E-3</v>
      </c>
      <c r="AB648" s="5">
        <v>-0.2787301380018809</v>
      </c>
      <c r="AC648" s="4">
        <v>1.1406776227190325E-5</v>
      </c>
      <c r="AE648" s="5">
        <v>-0.28028330588569778</v>
      </c>
      <c r="AF648" s="5">
        <v>-0.23990269888066798</v>
      </c>
    </row>
    <row r="649" spans="23:32" x14ac:dyDescent="0.25">
      <c r="W649">
        <v>65.400000000000006</v>
      </c>
      <c r="X649" s="5">
        <v>65.728378868020158</v>
      </c>
      <c r="Y649" s="5">
        <v>-0.32837886802015248</v>
      </c>
      <c r="Z649" s="5">
        <v>-0.33297348477893252</v>
      </c>
      <c r="AA649" s="18">
        <v>1.3798746653462111E-2</v>
      </c>
      <c r="AB649" s="5">
        <v>-9.1959016562363147E-2</v>
      </c>
      <c r="AC649" s="4">
        <v>6.2274338962374259E-6</v>
      </c>
      <c r="AE649" s="5">
        <v>-0.27396491687072577</v>
      </c>
      <c r="AF649" s="5">
        <v>-0.23752967568907229</v>
      </c>
    </row>
    <row r="650" spans="23:32" x14ac:dyDescent="0.25">
      <c r="W650">
        <v>63.1</v>
      </c>
      <c r="X650" s="5">
        <v>64.533892342912139</v>
      </c>
      <c r="Y650" s="5">
        <v>-1.433892342912138</v>
      </c>
      <c r="Z650" s="5">
        <v>-1.4413259550411155</v>
      </c>
      <c r="AA650" s="18">
        <v>5.1574816251494992E-3</v>
      </c>
      <c r="AB650" s="5">
        <v>-0.39979859932248785</v>
      </c>
      <c r="AC650" s="4">
        <v>4.3612630973821459E-5</v>
      </c>
      <c r="AE650" s="5">
        <v>-0.27396491687072577</v>
      </c>
      <c r="AF650" s="5">
        <v>-0.23737866348438633</v>
      </c>
    </row>
    <row r="651" spans="23:32" x14ac:dyDescent="0.25">
      <c r="W651">
        <v>62.7</v>
      </c>
      <c r="X651" s="5">
        <v>64.327744506972181</v>
      </c>
      <c r="Y651" s="5">
        <v>-1.6277445069721779</v>
      </c>
      <c r="Z651" s="5">
        <v>-1.6357901526380232</v>
      </c>
      <c r="AA651" s="18">
        <v>4.9185072137000498E-3</v>
      </c>
      <c r="AB651" s="5">
        <v>-0.45379405883138146</v>
      </c>
      <c r="AC651" s="4">
        <v>5.3572100407860725E-5</v>
      </c>
      <c r="AE651" s="5">
        <v>-0.27396491687072577</v>
      </c>
      <c r="AF651" s="5">
        <v>-0.23736527818292694</v>
      </c>
    </row>
    <row r="652" spans="23:32" x14ac:dyDescent="0.25">
      <c r="W652">
        <v>74.5</v>
      </c>
      <c r="X652" s="5">
        <v>69.080286468596853</v>
      </c>
      <c r="Y652" s="5">
        <v>5.419713531403147</v>
      </c>
      <c r="Z652" s="5">
        <v>5.4558061675154477</v>
      </c>
      <c r="AA652" s="18">
        <v>6.6154542526094765E-3</v>
      </c>
      <c r="AB652" s="5">
        <v>1.5122358303221499</v>
      </c>
      <c r="AC652" s="4">
        <v>8.0154464677998727E-4</v>
      </c>
      <c r="AE652" s="5">
        <v>-0.27396491687072577</v>
      </c>
      <c r="AF652" s="5">
        <v>-0.2370629638717533</v>
      </c>
    </row>
    <row r="653" spans="23:32" x14ac:dyDescent="0.25">
      <c r="W653">
        <v>74.3</v>
      </c>
      <c r="X653" s="5">
        <v>73.007694097385979</v>
      </c>
      <c r="Y653" s="5">
        <v>1.292305902614018</v>
      </c>
      <c r="Z653" s="5">
        <v>1.2977163322018015</v>
      </c>
      <c r="AA653" s="18">
        <v>4.1691927993291363E-3</v>
      </c>
      <c r="AB653" s="5">
        <v>0.36014255471417717</v>
      </c>
      <c r="AC653" s="4">
        <v>2.8579965647086695E-5</v>
      </c>
      <c r="AE653" s="5">
        <v>-0.27396491687072577</v>
      </c>
      <c r="AF653" s="5">
        <v>-0.23574546436591023</v>
      </c>
    </row>
    <row r="654" spans="23:32" x14ac:dyDescent="0.25">
      <c r="W654">
        <v>74.099999999999994</v>
      </c>
      <c r="X654" s="5">
        <v>70.756491896843741</v>
      </c>
      <c r="Y654" s="5">
        <v>3.3435081031562532</v>
      </c>
      <c r="Z654" s="5">
        <v>3.355539610755784</v>
      </c>
      <c r="AA654" s="18">
        <v>3.5855656601311171E-3</v>
      </c>
      <c r="AB654" s="5">
        <v>0.93150301889335529</v>
      </c>
      <c r="AC654" s="4">
        <v>1.6433595848140025E-4</v>
      </c>
      <c r="AE654" s="5">
        <v>-0.27396491687072577</v>
      </c>
      <c r="AF654" s="5">
        <v>-0.2336982652340811</v>
      </c>
    </row>
    <row r="655" spans="23:32" x14ac:dyDescent="0.25">
      <c r="W655">
        <v>73.900000000000006</v>
      </c>
      <c r="X655" s="5">
        <v>70.43090235234672</v>
      </c>
      <c r="Y655" s="5">
        <v>3.4690976476532853</v>
      </c>
      <c r="Z655" s="5">
        <v>3.4782898073843143</v>
      </c>
      <c r="AA655" s="18">
        <v>2.6427239362028011E-3</v>
      </c>
      <c r="AB655" s="5">
        <v>0.96603538845071513</v>
      </c>
      <c r="AC655" s="4">
        <v>1.3014680444600366E-4</v>
      </c>
      <c r="AE655" s="5">
        <v>-0.27396491687072577</v>
      </c>
      <c r="AF655" s="5">
        <v>-0.23254720167250728</v>
      </c>
    </row>
    <row r="656" spans="23:32" x14ac:dyDescent="0.25">
      <c r="W656">
        <v>73.599999999999994</v>
      </c>
      <c r="X656" s="5">
        <v>70.238351500778435</v>
      </c>
      <c r="Y656" s="5">
        <v>3.361648499221559</v>
      </c>
      <c r="Z656" s="5">
        <v>3.3702047707615606</v>
      </c>
      <c r="AA656" s="18">
        <v>2.5387987146156541E-3</v>
      </c>
      <c r="AB656" s="5">
        <v>0.93606538719705012</v>
      </c>
      <c r="AC656" s="4">
        <v>1.1737916896576062E-4</v>
      </c>
      <c r="AE656" s="5">
        <v>-0.26293383539244392</v>
      </c>
      <c r="AF656" s="5">
        <v>-0.23167569708722335</v>
      </c>
    </row>
    <row r="657" spans="23:32" x14ac:dyDescent="0.25">
      <c r="W657">
        <v>73.400000000000006</v>
      </c>
      <c r="X657" s="5">
        <v>69.972485344624474</v>
      </c>
      <c r="Y657" s="5">
        <v>3.427514655375532</v>
      </c>
      <c r="Z657" s="5">
        <v>3.4373351610771294</v>
      </c>
      <c r="AA657" s="18">
        <v>2.8570113885902559E-3</v>
      </c>
      <c r="AB657" s="5">
        <v>0.95455837478715422</v>
      </c>
      <c r="AC657" s="4">
        <v>1.3740606901501077E-4</v>
      </c>
      <c r="AE657" s="5">
        <v>-0.26293383539244392</v>
      </c>
      <c r="AF657" s="5">
        <v>-0.2301368082869544</v>
      </c>
    </row>
    <row r="658" spans="23:32" x14ac:dyDescent="0.25">
      <c r="W658">
        <v>73.2</v>
      </c>
      <c r="X658" s="5">
        <v>69.502259488737934</v>
      </c>
      <c r="Y658" s="5">
        <v>3.6977405112620687</v>
      </c>
      <c r="Z658" s="5">
        <v>3.7065857701458071</v>
      </c>
      <c r="AA658" s="18">
        <v>2.386362931349272E-3</v>
      </c>
      <c r="AB658" s="5">
        <v>1.0295729752900569</v>
      </c>
      <c r="AC658" s="4">
        <v>1.3345498017498287E-4</v>
      </c>
      <c r="AE658" s="5">
        <v>-0.26293383539244392</v>
      </c>
      <c r="AF658" s="5">
        <v>-0.22885274775019068</v>
      </c>
    </row>
    <row r="659" spans="23:32" x14ac:dyDescent="0.25">
      <c r="W659">
        <v>73</v>
      </c>
      <c r="X659" s="5">
        <v>71.598640023893552</v>
      </c>
      <c r="Y659" s="5">
        <v>1.4013599761064484</v>
      </c>
      <c r="Z659" s="5">
        <v>1.4064568316281765</v>
      </c>
      <c r="AA659" s="18">
        <v>3.6238975893936225E-3</v>
      </c>
      <c r="AB659" s="5">
        <v>0.39042709557544736</v>
      </c>
      <c r="AC659" s="4">
        <v>2.9179571667463777E-5</v>
      </c>
      <c r="AE659" s="5">
        <v>-0.26293383539244392</v>
      </c>
      <c r="AF659" s="5">
        <v>-0.22678367458949542</v>
      </c>
    </row>
    <row r="660" spans="23:32" x14ac:dyDescent="0.25">
      <c r="W660">
        <v>72.8</v>
      </c>
      <c r="X660" s="5">
        <v>68.888427747348544</v>
      </c>
      <c r="Y660" s="5">
        <v>3.9115722526514531</v>
      </c>
      <c r="Z660" s="5">
        <v>3.9200709031681811</v>
      </c>
      <c r="AA660" s="18">
        <v>2.1679838775020676E-3</v>
      </c>
      <c r="AB660" s="5">
        <v>1.0889916036610754</v>
      </c>
      <c r="AC660" s="4">
        <v>1.3561073671884639E-4</v>
      </c>
      <c r="AE660" s="5">
        <v>-0.26293383539244392</v>
      </c>
      <c r="AF660" s="5">
        <v>-0.22297340975456509</v>
      </c>
    </row>
    <row r="661" spans="23:32" x14ac:dyDescent="0.25">
      <c r="W661">
        <v>72.5</v>
      </c>
      <c r="X661" s="5">
        <v>68.626356595121777</v>
      </c>
      <c r="Y661" s="5">
        <v>3.8736434048782229</v>
      </c>
      <c r="Z661" s="5">
        <v>3.8836259323745566</v>
      </c>
      <c r="AA661" s="18">
        <v>2.5704142649578946E-3</v>
      </c>
      <c r="AB661" s="5">
        <v>1.0786496507530914</v>
      </c>
      <c r="AC661" s="4">
        <v>1.5780766362773197E-4</v>
      </c>
      <c r="AE661" s="5">
        <v>-0.26293383539244392</v>
      </c>
      <c r="AF661" s="5">
        <v>-0.22116595607911477</v>
      </c>
    </row>
    <row r="662" spans="23:32" x14ac:dyDescent="0.25">
      <c r="W662">
        <v>72.2</v>
      </c>
      <c r="X662" s="5">
        <v>68.067309304590836</v>
      </c>
      <c r="Y662" s="5">
        <v>4.1326906954091669</v>
      </c>
      <c r="Z662" s="5">
        <v>4.142850245370937</v>
      </c>
      <c r="AA662" s="18">
        <v>2.4523092460608611E-3</v>
      </c>
      <c r="AB662" s="5">
        <v>1.1507154930282464</v>
      </c>
      <c r="AC662" s="4">
        <v>1.7132624159555508E-4</v>
      </c>
      <c r="AE662" s="5">
        <v>-0.26293383539244392</v>
      </c>
      <c r="AF662" s="5">
        <v>-0.22089993790099516</v>
      </c>
    </row>
    <row r="663" spans="23:32" x14ac:dyDescent="0.25">
      <c r="W663">
        <v>71.900000000000006</v>
      </c>
      <c r="X663" s="5">
        <v>67.891725097371477</v>
      </c>
      <c r="Y663" s="5">
        <v>4.0082749026285285</v>
      </c>
      <c r="Z663" s="5">
        <v>4.0189040467147663</v>
      </c>
      <c r="AA663" s="18">
        <v>2.6447867285914108E-3</v>
      </c>
      <c r="AB663" s="5">
        <v>1.116180574937554</v>
      </c>
      <c r="AC663" s="4">
        <v>1.7388259551519668E-4</v>
      </c>
      <c r="AE663" s="5">
        <v>-0.25193465741015014</v>
      </c>
      <c r="AF663" s="5">
        <v>-0.21873814819509227</v>
      </c>
    </row>
    <row r="664" spans="23:32" x14ac:dyDescent="0.25">
      <c r="W664">
        <v>71.599999999999994</v>
      </c>
      <c r="X664" s="5">
        <v>66.280862049762106</v>
      </c>
      <c r="Y664" s="5">
        <v>5.3191379502378879</v>
      </c>
      <c r="Z664" s="5">
        <v>5.3486282253620914</v>
      </c>
      <c r="AA664" s="18">
        <v>5.5136146842974989E-3</v>
      </c>
      <c r="AB664" s="5">
        <v>1.4833503026839843</v>
      </c>
      <c r="AC664" s="4">
        <v>6.4205379699642932E-4</v>
      </c>
      <c r="AE664" s="5">
        <v>-0.25193465741015014</v>
      </c>
      <c r="AF664" s="5">
        <v>-0.21599580331459622</v>
      </c>
    </row>
    <row r="665" spans="23:32" x14ac:dyDescent="0.25">
      <c r="W665">
        <v>71.3</v>
      </c>
      <c r="X665" s="5">
        <v>67.056598490633576</v>
      </c>
      <c r="Y665" s="5">
        <v>4.2434015093664215</v>
      </c>
      <c r="Z665" s="5">
        <v>4.2546642989585877</v>
      </c>
      <c r="AA665" s="18">
        <v>2.6471629253867687E-3</v>
      </c>
      <c r="AB665" s="5">
        <v>1.1816574695398494</v>
      </c>
      <c r="AC665" s="4">
        <v>1.9505696052950973E-4</v>
      </c>
      <c r="AE665" s="5">
        <v>-0.25193465741015014</v>
      </c>
      <c r="AF665" s="5">
        <v>-0.21532584412512956</v>
      </c>
    </row>
    <row r="666" spans="23:32" x14ac:dyDescent="0.25">
      <c r="W666">
        <v>71</v>
      </c>
      <c r="X666" s="5">
        <v>66.673044433084925</v>
      </c>
      <c r="Y666" s="5">
        <v>4.3269555669150748</v>
      </c>
      <c r="Z666" s="5">
        <v>4.3369350697748104</v>
      </c>
      <c r="AA666" s="18">
        <v>2.3010496350955425E-3</v>
      </c>
      <c r="AB666" s="5">
        <v>1.2047156984784795</v>
      </c>
      <c r="AC666" s="4">
        <v>1.7617407897796623E-4</v>
      </c>
      <c r="AE666" s="5">
        <v>-0.25193465741015014</v>
      </c>
      <c r="AF666" s="5">
        <v>-0.21504143609642187</v>
      </c>
    </row>
    <row r="667" spans="23:32" x14ac:dyDescent="0.25">
      <c r="W667">
        <v>68</v>
      </c>
      <c r="X667" s="5">
        <v>70.430831208955453</v>
      </c>
      <c r="Y667" s="5">
        <v>-2.4308312089554533</v>
      </c>
      <c r="Z667" s="5">
        <v>-3.2522500943154142</v>
      </c>
      <c r="AA667" s="18">
        <v>0.25256940934392408</v>
      </c>
      <c r="AB667" s="5">
        <v>-0.78193609487208071</v>
      </c>
      <c r="AC667" s="4">
        <v>1.0874237176512713E-2</v>
      </c>
      <c r="AE667" s="5">
        <v>-0.25193465741015014</v>
      </c>
      <c r="AF667" s="5">
        <v>-0.21469636615060905</v>
      </c>
    </row>
    <row r="668" spans="23:32" x14ac:dyDescent="0.25">
      <c r="W668">
        <v>67.599999999999994</v>
      </c>
      <c r="X668" s="5">
        <v>68.877077425830862</v>
      </c>
      <c r="Y668" s="5">
        <v>-1.2770774258308677</v>
      </c>
      <c r="Z668" s="5">
        <v>-1.4061997339446322</v>
      </c>
      <c r="AA668" s="18">
        <v>9.1823590203327976E-2</v>
      </c>
      <c r="AB668" s="5">
        <v>-0.37267821918824917</v>
      </c>
      <c r="AC668" s="4">
        <v>7.3909195439048904E-4</v>
      </c>
      <c r="AE668" s="5">
        <v>-0.25193465741015014</v>
      </c>
      <c r="AF668" s="5">
        <v>-0.2103643955081671</v>
      </c>
    </row>
    <row r="669" spans="23:32" x14ac:dyDescent="0.25">
      <c r="W669">
        <v>67.3</v>
      </c>
      <c r="X669" s="5">
        <v>73.291105046146001</v>
      </c>
      <c r="Y669" s="5">
        <v>-5.9911050461460036</v>
      </c>
      <c r="Z669" s="5">
        <v>-6.8564944524412539</v>
      </c>
      <c r="AA669" s="18">
        <v>0.12621455647603272</v>
      </c>
      <c r="AB669" s="5">
        <v>-1.782405130078095</v>
      </c>
      <c r="AC669" s="4">
        <v>2.4152599838616551E-2</v>
      </c>
      <c r="AE669" s="5">
        <v>-0.24253103988010652</v>
      </c>
      <c r="AF669" s="5">
        <v>-0.21000108530763542</v>
      </c>
    </row>
    <row r="670" spans="23:32" x14ac:dyDescent="0.25">
      <c r="W670">
        <v>66.8</v>
      </c>
      <c r="X670" s="5">
        <v>62.777627348708975</v>
      </c>
      <c r="Y670" s="5">
        <v>4.0223726512910218</v>
      </c>
      <c r="Z670" s="5">
        <v>4.3717102707564521</v>
      </c>
      <c r="AA670" s="18">
        <v>7.9908685120842704E-2</v>
      </c>
      <c r="AB670" s="5">
        <v>1.1661884325709231</v>
      </c>
      <c r="AC670" s="4">
        <v>6.2165139276731231E-3</v>
      </c>
      <c r="AE670" s="5">
        <v>-0.24253103988010652</v>
      </c>
      <c r="AF670" s="5">
        <v>-0.20946603689665469</v>
      </c>
    </row>
    <row r="671" spans="23:32" x14ac:dyDescent="0.25">
      <c r="W671">
        <v>66.400000000000006</v>
      </c>
      <c r="X671" s="5">
        <v>64.634761490382431</v>
      </c>
      <c r="Y671" s="5">
        <v>1.7652385096175749</v>
      </c>
      <c r="Z671" s="5">
        <v>2.0151219303137964</v>
      </c>
      <c r="AA671" s="18">
        <v>0.1240041195211001</v>
      </c>
      <c r="AB671" s="5">
        <v>0.52451058030154041</v>
      </c>
      <c r="AC671" s="4">
        <v>2.0496936442897526E-3</v>
      </c>
      <c r="AE671" s="5">
        <v>-0.24253103988010652</v>
      </c>
      <c r="AF671" s="5">
        <v>-0.20769156118988907</v>
      </c>
    </row>
    <row r="672" spans="23:32" x14ac:dyDescent="0.25">
      <c r="W672">
        <v>66</v>
      </c>
      <c r="X672" s="5">
        <v>69.850066954532025</v>
      </c>
      <c r="Y672" s="5">
        <v>-3.850066954532025</v>
      </c>
      <c r="Z672" s="5">
        <v>-4.3973093311371656</v>
      </c>
      <c r="AA672" s="18">
        <v>0.12444937014781715</v>
      </c>
      <c r="AB672" s="5">
        <v>-1.1442727127963219</v>
      </c>
      <c r="AC672" s="4">
        <v>9.7952814747004156E-3</v>
      </c>
      <c r="AE672" s="5">
        <v>-0.23783731322627524</v>
      </c>
      <c r="AF672" s="5">
        <v>-0.20740506040012352</v>
      </c>
    </row>
    <row r="673" spans="23:32" x14ac:dyDescent="0.25">
      <c r="W673">
        <v>65.5</v>
      </c>
      <c r="X673" s="5">
        <v>61.26083247558843</v>
      </c>
      <c r="Y673" s="5">
        <v>4.2391675244115703</v>
      </c>
      <c r="Z673" s="5">
        <v>4.8390740400759427</v>
      </c>
      <c r="AA673" s="18">
        <v>0.12397134466141752</v>
      </c>
      <c r="AB673" s="5">
        <v>1.2595729200556354</v>
      </c>
      <c r="AC673" s="4">
        <v>1.1816695066029077E-2</v>
      </c>
      <c r="AE673" s="5">
        <v>-0.23783731322627524</v>
      </c>
      <c r="AF673" s="5">
        <v>-0.20719457733297092</v>
      </c>
    </row>
    <row r="674" spans="23:32" x14ac:dyDescent="0.25">
      <c r="W674">
        <v>65.2</v>
      </c>
      <c r="X674" s="5">
        <v>63.357999840429315</v>
      </c>
      <c r="Y674" s="5">
        <v>1.8420001595706879</v>
      </c>
      <c r="Z674" s="5">
        <v>2.2461564597945269</v>
      </c>
      <c r="AA674" s="18">
        <v>0.17993239004410602</v>
      </c>
      <c r="AB674" s="5">
        <v>0.56567466165088032</v>
      </c>
      <c r="AC674" s="4">
        <v>3.6952135376277766E-3</v>
      </c>
      <c r="AE674" s="5">
        <v>-0.23783731322627524</v>
      </c>
      <c r="AF674" s="5">
        <v>-0.20664549727805018</v>
      </c>
    </row>
    <row r="675" spans="23:32" x14ac:dyDescent="0.25">
      <c r="W675">
        <v>64.8</v>
      </c>
      <c r="X675" s="5">
        <v>65.210239552965163</v>
      </c>
      <c r="Y675" s="5">
        <v>-0.4102395529651659</v>
      </c>
      <c r="Z675" s="5">
        <v>-0.49200081965878439</v>
      </c>
      <c r="AA675" s="18">
        <v>0.16618115951579762</v>
      </c>
      <c r="AB675" s="5">
        <v>-0.12494059505914423</v>
      </c>
      <c r="AC675" s="4">
        <v>1.6374333068145102E-4</v>
      </c>
      <c r="AE675" s="5">
        <v>-0.23783731322627524</v>
      </c>
      <c r="AF675" s="5">
        <v>-0.2061012254330824</v>
      </c>
    </row>
    <row r="676" spans="23:32" x14ac:dyDescent="0.25">
      <c r="W676">
        <v>64.400000000000006</v>
      </c>
      <c r="X676" s="5">
        <v>61.954715625386434</v>
      </c>
      <c r="Y676" s="5">
        <v>2.4452843746135713</v>
      </c>
      <c r="Z676" s="5">
        <v>2.9300005661928026</v>
      </c>
      <c r="AA676" s="18">
        <v>0.16543211532858643</v>
      </c>
      <c r="AB676" s="5">
        <v>0.74438982860941139</v>
      </c>
      <c r="AC676" s="4">
        <v>5.7810325426122982E-3</v>
      </c>
      <c r="AE676" s="5">
        <v>-0.23783731322627524</v>
      </c>
      <c r="AF676" s="5">
        <v>-0.20558385031389373</v>
      </c>
    </row>
    <row r="677" spans="23:32" x14ac:dyDescent="0.25">
      <c r="W677">
        <v>64</v>
      </c>
      <c r="X677" s="5">
        <v>63.74436957341608</v>
      </c>
      <c r="Y677" s="5">
        <v>0.25563042658392021</v>
      </c>
      <c r="Z677" s="5">
        <v>0.30626488284218567</v>
      </c>
      <c r="AA677" s="18">
        <v>0.1653289655293565</v>
      </c>
      <c r="AB677" s="5">
        <v>7.7813825244520157E-2</v>
      </c>
      <c r="AC677" s="4">
        <v>6.3123858191707367E-5</v>
      </c>
      <c r="AE677" s="5">
        <v>-0.23002600999886993</v>
      </c>
      <c r="AF677" s="5">
        <v>-0.20443975191762306</v>
      </c>
    </row>
    <row r="678" spans="23:32" x14ac:dyDescent="0.25">
      <c r="W678">
        <v>68.900000000000006</v>
      </c>
      <c r="X678" s="5">
        <v>70.922356054409576</v>
      </c>
      <c r="Y678" s="5">
        <v>-2.0223560544095704</v>
      </c>
      <c r="Z678" s="5">
        <v>-2.0803152317666473</v>
      </c>
      <c r="AA678" s="18">
        <v>2.7860766710754742E-2</v>
      </c>
      <c r="AB678" s="5">
        <v>-0.57042069836592901</v>
      </c>
      <c r="AC678" s="4">
        <v>4.9079659855659128E-4</v>
      </c>
      <c r="AE678" s="5">
        <v>-0.23002600999886993</v>
      </c>
      <c r="AF678" s="5">
        <v>-0.20248667870541415</v>
      </c>
    </row>
    <row r="679" spans="23:32" x14ac:dyDescent="0.25">
      <c r="W679">
        <v>68.7</v>
      </c>
      <c r="X679" s="5">
        <v>71.616010973097076</v>
      </c>
      <c r="Y679" s="5">
        <v>-2.9160109730970731</v>
      </c>
      <c r="Z679" s="5">
        <v>-2.9409363587515145</v>
      </c>
      <c r="AA679" s="18">
        <v>8.4753230311402344E-3</v>
      </c>
      <c r="AB679" s="5">
        <v>-0.81440284476639158</v>
      </c>
      <c r="AC679" s="4">
        <v>2.9838548688914643E-4</v>
      </c>
      <c r="AE679" s="5">
        <v>-0.23002600999886993</v>
      </c>
      <c r="AF679" s="5">
        <v>-0.2015206466753606</v>
      </c>
    </row>
    <row r="680" spans="23:32" x14ac:dyDescent="0.25">
      <c r="W680">
        <v>68.5</v>
      </c>
      <c r="X680" s="5">
        <v>71.133246325513099</v>
      </c>
      <c r="Y680" s="5">
        <v>-2.6332463255130989</v>
      </c>
      <c r="Z680" s="5">
        <v>-2.6766500778206535</v>
      </c>
      <c r="AA680" s="18">
        <v>1.6215699118541094E-2</v>
      </c>
      <c r="AB680" s="5">
        <v>-0.7383179628381118</v>
      </c>
      <c r="AC680" s="4">
        <v>4.7289972122147657E-4</v>
      </c>
      <c r="AE680" s="5">
        <v>-0.23002600999886993</v>
      </c>
      <c r="AF680" s="5">
        <v>-0.20029435954556174</v>
      </c>
    </row>
    <row r="681" spans="23:32" x14ac:dyDescent="0.25">
      <c r="W681">
        <v>68.3</v>
      </c>
      <c r="X681" s="5">
        <v>70.733092592851463</v>
      </c>
      <c r="Y681" s="5">
        <v>-2.433092592851466</v>
      </c>
      <c r="Z681" s="5">
        <v>-2.4554617539478727</v>
      </c>
      <c r="AA681" s="18">
        <v>9.1099611144192238E-3</v>
      </c>
      <c r="AB681" s="5">
        <v>-0.67974777870180614</v>
      </c>
      <c r="AC681" s="4">
        <v>2.2358005248862624E-4</v>
      </c>
      <c r="AE681" s="5">
        <v>-0.22378708008709278</v>
      </c>
      <c r="AF681" s="5">
        <v>-0.20019868822505826</v>
      </c>
    </row>
    <row r="682" spans="23:32" x14ac:dyDescent="0.25">
      <c r="W682">
        <v>68.099999999999994</v>
      </c>
      <c r="X682" s="5">
        <v>70.245627995094907</v>
      </c>
      <c r="Y682" s="5">
        <v>-2.1456279950949124</v>
      </c>
      <c r="Z682" s="5">
        <v>-2.1804650663486314</v>
      </c>
      <c r="AA682" s="18">
        <v>1.597689951164958E-2</v>
      </c>
      <c r="AB682" s="5">
        <v>-0.60152498624841499</v>
      </c>
      <c r="AC682" s="4">
        <v>3.0920104466464936E-4</v>
      </c>
      <c r="AE682" s="5">
        <v>-0.22378708008709278</v>
      </c>
      <c r="AF682" s="5">
        <v>-0.19981777935733991</v>
      </c>
    </row>
    <row r="683" spans="23:32" x14ac:dyDescent="0.25">
      <c r="W683">
        <v>67.900000000000006</v>
      </c>
      <c r="X683" s="5">
        <v>69.785999539011385</v>
      </c>
      <c r="Y683" s="5">
        <v>-1.8859995390113795</v>
      </c>
      <c r="Z683" s="5">
        <v>-1.9027927958067465</v>
      </c>
      <c r="AA683" s="18">
        <v>8.8255835487601724E-3</v>
      </c>
      <c r="AB683" s="5">
        <v>-0.52682749442007837</v>
      </c>
      <c r="AC683" s="4">
        <v>1.3006984123353868E-4</v>
      </c>
      <c r="AE683" s="5">
        <v>-0.22378708008709278</v>
      </c>
      <c r="AF683" s="5">
        <v>-0.19871013874527257</v>
      </c>
    </row>
    <row r="684" spans="23:32" x14ac:dyDescent="0.25">
      <c r="W684">
        <v>67.7</v>
      </c>
      <c r="X684" s="5">
        <v>69.62471459344944</v>
      </c>
      <c r="Y684" s="5">
        <v>-1.924714593449437</v>
      </c>
      <c r="Z684" s="5">
        <v>-1.9539194949292664</v>
      </c>
      <c r="AA684" s="18">
        <v>1.4946829465400588E-2</v>
      </c>
      <c r="AB684" s="5">
        <v>-0.53930990219916664</v>
      </c>
      <c r="AC684" s="4">
        <v>2.3228041545473213E-4</v>
      </c>
      <c r="AE684" s="5">
        <v>-0.22378708008709278</v>
      </c>
      <c r="AF684" s="5">
        <v>-0.19797696471475082</v>
      </c>
    </row>
    <row r="685" spans="23:32" x14ac:dyDescent="0.25">
      <c r="W685">
        <v>67.5</v>
      </c>
      <c r="X685" s="5">
        <v>71.17313544071726</v>
      </c>
      <c r="Y685" s="5">
        <v>-3.6731354407172603</v>
      </c>
      <c r="Z685" s="5">
        <v>-3.744735325308497</v>
      </c>
      <c r="AA685" s="18">
        <v>1.9120145583408465E-2</v>
      </c>
      <c r="AB685" s="5">
        <v>-1.0314090239936167</v>
      </c>
      <c r="AC685" s="4">
        <v>1.091399203341872E-3</v>
      </c>
      <c r="AE685" s="5">
        <v>-0.22378708008709278</v>
      </c>
      <c r="AF685" s="5">
        <v>-0.196188002775815</v>
      </c>
    </row>
    <row r="686" spans="23:32" x14ac:dyDescent="0.25">
      <c r="W686">
        <v>67.3</v>
      </c>
      <c r="X686" s="5">
        <v>68.937803233397176</v>
      </c>
      <c r="Y686" s="5">
        <v>-1.6378032333971788</v>
      </c>
      <c r="Z686" s="5">
        <v>-1.6527148013594655</v>
      </c>
      <c r="AA686" s="18">
        <v>9.0224689402061201E-3</v>
      </c>
      <c r="AB686" s="5">
        <v>-0.45754278583808483</v>
      </c>
      <c r="AC686" s="4">
        <v>1.0031627824927535E-4</v>
      </c>
      <c r="AE686" s="5">
        <v>-0.22378708008709278</v>
      </c>
      <c r="AF686" s="5">
        <v>-0.19577988237706995</v>
      </c>
    </row>
    <row r="687" spans="23:32" x14ac:dyDescent="0.25">
      <c r="W687">
        <v>67.2</v>
      </c>
      <c r="X687" s="5">
        <v>71.838954889151793</v>
      </c>
      <c r="Y687" s="5">
        <v>-4.6389548891517904</v>
      </c>
      <c r="Z687" s="5">
        <v>-4.6827472949138524</v>
      </c>
      <c r="AA687" s="18">
        <v>9.351861846064239E-3</v>
      </c>
      <c r="AB687" s="5">
        <v>-1.2961710798474064</v>
      </c>
      <c r="AC687" s="4">
        <v>8.3473708484713052E-4</v>
      </c>
      <c r="AE687" s="5">
        <v>-0.21444491222324932</v>
      </c>
      <c r="AF687" s="5">
        <v>-0.19501331367430347</v>
      </c>
    </row>
    <row r="688" spans="23:32" x14ac:dyDescent="0.25">
      <c r="W688">
        <v>65.3</v>
      </c>
      <c r="X688" s="5">
        <v>66.62948987337893</v>
      </c>
      <c r="Y688" s="5">
        <v>-1.3294898733789324</v>
      </c>
      <c r="Z688" s="5">
        <v>-1.3530877752333339</v>
      </c>
      <c r="AA688" s="18">
        <v>1.7440037731717775E-2</v>
      </c>
      <c r="AB688" s="5">
        <v>-0.37299876493496614</v>
      </c>
      <c r="AC688" s="4">
        <v>1.299719226602853E-4</v>
      </c>
      <c r="AE688" s="5">
        <v>-0.21444491222324932</v>
      </c>
      <c r="AF688" s="5">
        <v>-0.1930751177101101</v>
      </c>
    </row>
    <row r="689" spans="23:32" x14ac:dyDescent="0.25">
      <c r="W689">
        <v>66.900000000000006</v>
      </c>
      <c r="X689" s="5">
        <v>67.323399143858808</v>
      </c>
      <c r="Y689" s="5">
        <v>-0.42339914385880206</v>
      </c>
      <c r="Z689" s="5">
        <v>-0.43675953246990673</v>
      </c>
      <c r="AA689" s="18">
        <v>3.058980426952837E-2</v>
      </c>
      <c r="AB689" s="5">
        <v>-0.11959088388885611</v>
      </c>
      <c r="AC689" s="4">
        <v>2.3752627915497744E-5</v>
      </c>
      <c r="AE689" s="5">
        <v>-0.21444491222324932</v>
      </c>
      <c r="AF689" s="5">
        <v>-0.18915627648940722</v>
      </c>
    </row>
    <row r="690" spans="23:32" x14ac:dyDescent="0.25">
      <c r="W690">
        <v>66.7</v>
      </c>
      <c r="X690" s="5">
        <v>66.056470610494799</v>
      </c>
      <c r="Y690" s="5">
        <v>0.64352938950520411</v>
      </c>
      <c r="Z690" s="5">
        <v>0.65675400050804456</v>
      </c>
      <c r="AA690" s="18">
        <v>2.0136323482790056E-2</v>
      </c>
      <c r="AB690" s="5">
        <v>0.18079542978579907</v>
      </c>
      <c r="AC690" s="4">
        <v>3.5353776801658857E-5</v>
      </c>
      <c r="AE690" s="5">
        <v>-0.21444491222324932</v>
      </c>
      <c r="AF690" s="5">
        <v>-0.18852159050734707</v>
      </c>
    </row>
    <row r="691" spans="23:32" x14ac:dyDescent="0.25">
      <c r="W691">
        <v>66.5</v>
      </c>
      <c r="X691" s="5">
        <v>67.607549198087696</v>
      </c>
      <c r="Y691" s="5">
        <v>-1.1075491980876961</v>
      </c>
      <c r="Z691" s="5">
        <v>-1.1154371968116976</v>
      </c>
      <c r="AA691" s="18">
        <v>7.0716654837688613E-3</v>
      </c>
      <c r="AB691" s="5">
        <v>-0.3091049548626586</v>
      </c>
      <c r="AC691" s="4">
        <v>3.5814767585418417E-5</v>
      </c>
      <c r="AE691" s="5">
        <v>-0.21444491222324932</v>
      </c>
      <c r="AF691" s="5">
        <v>-0.18842578243852012</v>
      </c>
    </row>
    <row r="692" spans="23:32" x14ac:dyDescent="0.25">
      <c r="W692">
        <v>66.3</v>
      </c>
      <c r="X692" s="5">
        <v>67.386057146311842</v>
      </c>
      <c r="Y692" s="5">
        <v>-1.0860571463118447</v>
      </c>
      <c r="Z692" s="5">
        <v>-1.0932975226090917</v>
      </c>
      <c r="AA692" s="18">
        <v>6.6225123056775238E-3</v>
      </c>
      <c r="AB692" s="5">
        <v>-0.30303822435016903</v>
      </c>
      <c r="AC692" s="4">
        <v>3.2221791607913628E-5</v>
      </c>
      <c r="AE692" s="5">
        <v>-0.21444491222324932</v>
      </c>
      <c r="AF692" s="5">
        <v>-0.18834626802110582</v>
      </c>
    </row>
    <row r="693" spans="23:32" x14ac:dyDescent="0.25">
      <c r="W693">
        <v>67.900000000000006</v>
      </c>
      <c r="X693" s="5">
        <v>68.670174436845471</v>
      </c>
      <c r="Y693" s="5">
        <v>-0.77017443684546549</v>
      </c>
      <c r="Z693" s="5">
        <v>-0.7738494966339573</v>
      </c>
      <c r="AA693" s="18">
        <v>4.7490627111256272E-3</v>
      </c>
      <c r="AB693" s="5">
        <v>-0.21469636615060905</v>
      </c>
      <c r="AC693" s="4">
        <v>1.1576335262760148E-5</v>
      </c>
      <c r="AE693" s="5">
        <v>-0.21444491222324932</v>
      </c>
      <c r="AF693" s="5">
        <v>-0.18788057981404235</v>
      </c>
    </row>
    <row r="694" spans="23:32" x14ac:dyDescent="0.25">
      <c r="W694">
        <v>69.5</v>
      </c>
      <c r="X694" s="5">
        <v>71.722429816188637</v>
      </c>
      <c r="Y694" s="5">
        <v>-2.2224298161886367</v>
      </c>
      <c r="Z694" s="5">
        <v>-2.2560924027389007</v>
      </c>
      <c r="AA694" s="18">
        <v>1.4920748152603445E-2</v>
      </c>
      <c r="AB694" s="5">
        <v>-0.62272221751252343</v>
      </c>
      <c r="AC694" s="4">
        <v>3.0913953454807084E-4</v>
      </c>
      <c r="AE694" s="5">
        <v>-0.21444491222324932</v>
      </c>
      <c r="AF694" s="5">
        <v>-0.18609387195089369</v>
      </c>
    </row>
    <row r="695" spans="23:32" x14ac:dyDescent="0.25">
      <c r="W695">
        <v>76</v>
      </c>
      <c r="X695" s="5">
        <v>69.638603454742579</v>
      </c>
      <c r="Y695" s="5">
        <v>6.3613965452574206</v>
      </c>
      <c r="Z695" s="5">
        <v>6.4473461457722721</v>
      </c>
      <c r="AA695" s="18">
        <v>1.3331004505040503E-2</v>
      </c>
      <c r="AB695" s="5">
        <v>1.7810192755581478</v>
      </c>
      <c r="AC695" s="4">
        <v>2.2556672410138224E-3</v>
      </c>
      <c r="AE695" s="5">
        <v>-0.21444491222324932</v>
      </c>
      <c r="AF695" s="5">
        <v>-0.18213935108247467</v>
      </c>
    </row>
    <row r="696" spans="23:32" x14ac:dyDescent="0.25">
      <c r="W696">
        <v>77</v>
      </c>
      <c r="X696" s="5">
        <v>69.363074776083423</v>
      </c>
      <c r="Y696" s="5">
        <v>7.6369252239165775</v>
      </c>
      <c r="Z696" s="5">
        <v>7.75320842561284</v>
      </c>
      <c r="AA696" s="18">
        <v>1.49980750307349E-2</v>
      </c>
      <c r="AB696" s="5">
        <v>2.1399414473612799</v>
      </c>
      <c r="AC696" s="4">
        <v>3.6698526124744079E-3</v>
      </c>
      <c r="AE696" s="5">
        <v>-0.21444491222324932</v>
      </c>
      <c r="AF696" s="5">
        <v>-0.1801943831006729</v>
      </c>
    </row>
    <row r="697" spans="23:32" x14ac:dyDescent="0.25">
      <c r="W697">
        <v>76</v>
      </c>
      <c r="X697" s="5">
        <v>69.628881567842171</v>
      </c>
      <c r="Y697" s="5">
        <v>6.3711184321578287</v>
      </c>
      <c r="Z697" s="5">
        <v>6.3949151527615271</v>
      </c>
      <c r="AA697" s="18">
        <v>3.7211941105139354E-3</v>
      </c>
      <c r="AB697" s="5">
        <v>1.7751175764525999</v>
      </c>
      <c r="AC697" s="4">
        <v>6.1944404304746818E-4</v>
      </c>
      <c r="AE697" s="5">
        <v>-0.198915705174462</v>
      </c>
      <c r="AF697" s="5">
        <v>-0.17934334309615141</v>
      </c>
    </row>
    <row r="698" spans="23:32" x14ac:dyDescent="0.25">
      <c r="W698">
        <v>74</v>
      </c>
      <c r="X698" s="5">
        <v>69.407499660222669</v>
      </c>
      <c r="Y698" s="5">
        <v>4.592500339777331</v>
      </c>
      <c r="Z698" s="5">
        <v>4.6431798040180752</v>
      </c>
      <c r="AA698" s="18">
        <v>1.091481837444476E-2</v>
      </c>
      <c r="AB698" s="5">
        <v>1.2842046590953333</v>
      </c>
      <c r="AC698" s="4">
        <v>9.5785043195739466E-4</v>
      </c>
      <c r="AE698" s="5">
        <v>-0.198915705174462</v>
      </c>
      <c r="AF698" s="5">
        <v>-0.17899809866607017</v>
      </c>
    </row>
    <row r="699" spans="23:32" x14ac:dyDescent="0.25">
      <c r="W699">
        <v>69.3</v>
      </c>
      <c r="X699" s="5">
        <v>69.122496901062945</v>
      </c>
      <c r="Y699" s="5">
        <v>0.17750309893705207</v>
      </c>
      <c r="Z699" s="5">
        <v>0.17825448919614928</v>
      </c>
      <c r="AA699" s="18">
        <v>4.2152669617894715E-3</v>
      </c>
      <c r="AB699" s="5">
        <v>4.9468085138808758E-2</v>
      </c>
      <c r="AC699" s="4">
        <v>5.4520046711040957E-7</v>
      </c>
      <c r="AE699" s="5">
        <v>-0.198915705174462</v>
      </c>
      <c r="AF699" s="5">
        <v>-0.17697942731169247</v>
      </c>
    </row>
    <row r="700" spans="23:32" x14ac:dyDescent="0.25">
      <c r="W700">
        <v>65.900000000000006</v>
      </c>
      <c r="X700" s="5">
        <v>67.800848894096418</v>
      </c>
      <c r="Y700" s="5">
        <v>-1.9008488940964128</v>
      </c>
      <c r="Z700" s="5">
        <v>-1.9107143512725742</v>
      </c>
      <c r="AA700" s="18">
        <v>5.1632297468180988E-3</v>
      </c>
      <c r="AB700" s="5">
        <v>-0.52999719583868399</v>
      </c>
      <c r="AC700" s="4">
        <v>7.6729640588059299E-5</v>
      </c>
      <c r="AE700" s="5">
        <v>-0.198915705174462</v>
      </c>
      <c r="AF700" s="5">
        <v>-0.17658873009430254</v>
      </c>
    </row>
    <row r="701" spans="23:32" x14ac:dyDescent="0.25">
      <c r="W701">
        <v>64.7</v>
      </c>
      <c r="X701" s="5">
        <v>67.17980600328103</v>
      </c>
      <c r="Y701" s="5">
        <v>-2.479806003281027</v>
      </c>
      <c r="Z701" s="5">
        <v>-2.4930023784075388</v>
      </c>
      <c r="AA701" s="18">
        <v>5.2933664407275533E-3</v>
      </c>
      <c r="AB701" s="5">
        <v>-0.69146800832855526</v>
      </c>
      <c r="AC701" s="4">
        <v>1.3391447651171789E-4</v>
      </c>
      <c r="AE701" s="5">
        <v>-0.198915705174462</v>
      </c>
      <c r="AF701" s="5">
        <v>-0.17469820264092001</v>
      </c>
    </row>
    <row r="702" spans="23:32" x14ac:dyDescent="0.25">
      <c r="W702">
        <v>66.8</v>
      </c>
      <c r="X702" s="5">
        <v>71.003909237291666</v>
      </c>
      <c r="Y702" s="5">
        <v>-4.2039092372916684</v>
      </c>
      <c r="Z702" s="5">
        <v>-4.2233357988119735</v>
      </c>
      <c r="AA702" s="18">
        <v>4.5998145650106344E-3</v>
      </c>
      <c r="AB702" s="5">
        <v>-1.1718077449906563</v>
      </c>
      <c r="AC702" s="4">
        <v>3.3396559944097383E-4</v>
      </c>
      <c r="AE702" s="5">
        <v>-0.198915705174462</v>
      </c>
      <c r="AF702" s="5">
        <v>-0.17393837762214023</v>
      </c>
    </row>
    <row r="703" spans="23:32" x14ac:dyDescent="0.25">
      <c r="W703">
        <v>67.2</v>
      </c>
      <c r="X703" s="5">
        <v>70.688712002644479</v>
      </c>
      <c r="Y703" s="5">
        <v>-3.4887120026444762</v>
      </c>
      <c r="Z703" s="5">
        <v>-3.5056843782253821</v>
      </c>
      <c r="AA703" s="18">
        <v>4.8413872299320707E-3</v>
      </c>
      <c r="AB703" s="5">
        <v>-0.97256997538873158</v>
      </c>
      <c r="AC703" s="4">
        <v>2.4219525460246431E-4</v>
      </c>
      <c r="AE703" s="5">
        <v>-0.198915705174462</v>
      </c>
      <c r="AF703" s="5">
        <v>-0.17361674885912015</v>
      </c>
    </row>
    <row r="704" spans="23:32" x14ac:dyDescent="0.25">
      <c r="W704">
        <v>81.2</v>
      </c>
      <c r="X704" s="5">
        <v>81.462221155946381</v>
      </c>
      <c r="Y704" s="5">
        <v>-0.26222115594637785</v>
      </c>
      <c r="Z704" s="5">
        <v>-0.26363048164976988</v>
      </c>
      <c r="AA704" s="18">
        <v>5.3458374561835744E-3</v>
      </c>
      <c r="AB704" s="5">
        <v>-7.3119559620875935E-2</v>
      </c>
      <c r="AC704" s="4">
        <v>1.5123669510429198E-6</v>
      </c>
      <c r="AE704" s="5">
        <v>-0.1880739545732803</v>
      </c>
      <c r="AF704" s="5">
        <v>-0.17279688466531981</v>
      </c>
    </row>
    <row r="705" spans="23:32" x14ac:dyDescent="0.25">
      <c r="W705">
        <v>81</v>
      </c>
      <c r="X705" s="5">
        <v>81.35887350216484</v>
      </c>
      <c r="Y705" s="5">
        <v>-0.35887350216484037</v>
      </c>
      <c r="Z705" s="5">
        <v>-0.3608424227010687</v>
      </c>
      <c r="AA705" s="18">
        <v>5.4564552623612029E-3</v>
      </c>
      <c r="AB705" s="5">
        <v>-0.10007633292612432</v>
      </c>
      <c r="AC705" s="4">
        <v>2.8919845028018E-6</v>
      </c>
      <c r="AE705" s="5">
        <v>-0.1880739545732803</v>
      </c>
      <c r="AF705" s="5">
        <v>-0.17217392816806079</v>
      </c>
    </row>
    <row r="706" spans="23:32" x14ac:dyDescent="0.25">
      <c r="W706">
        <v>85</v>
      </c>
      <c r="X706" s="5">
        <v>82.115182011383666</v>
      </c>
      <c r="Y706" s="5">
        <v>2.8848179886163337</v>
      </c>
      <c r="Z706" s="5">
        <v>2.9414738406639458</v>
      </c>
      <c r="AA706" s="18">
        <v>1.9261042292601921E-2</v>
      </c>
      <c r="AB706" s="5">
        <v>0.81010925870292483</v>
      </c>
      <c r="AC706" s="4">
        <v>6.7835955766829621E-4</v>
      </c>
      <c r="AE706" s="5">
        <v>-0.1880739545732803</v>
      </c>
      <c r="AF706" s="5">
        <v>-0.17183320090680237</v>
      </c>
    </row>
    <row r="707" spans="23:32" x14ac:dyDescent="0.25">
      <c r="W707">
        <v>84</v>
      </c>
      <c r="X707" s="5">
        <v>85.013700017496959</v>
      </c>
      <c r="Y707" s="5">
        <v>-1.0137000174969586</v>
      </c>
      <c r="Z707" s="5">
        <v>-1.0298408132979944</v>
      </c>
      <c r="AA707" s="18">
        <v>1.5673097815329284E-2</v>
      </c>
      <c r="AB707" s="5">
        <v>-0.28414607958222099</v>
      </c>
      <c r="AC707" s="4">
        <v>6.7662061421105835E-5</v>
      </c>
      <c r="AE707" s="5">
        <v>-0.1880739545732803</v>
      </c>
      <c r="AF707" s="5">
        <v>-0.17161494087345178</v>
      </c>
    </row>
    <row r="708" spans="23:32" x14ac:dyDescent="0.25">
      <c r="W708">
        <v>86</v>
      </c>
      <c r="X708" s="5">
        <v>83.201397960607352</v>
      </c>
      <c r="Y708" s="5">
        <v>2.7986020393926481</v>
      </c>
      <c r="Z708" s="5">
        <v>2.8802950711306465</v>
      </c>
      <c r="AA708" s="18">
        <v>2.8362730109430009E-2</v>
      </c>
      <c r="AB708" s="5">
        <v>0.78957057582757295</v>
      </c>
      <c r="AC708" s="4">
        <v>9.5779414403491766E-4</v>
      </c>
      <c r="AE708" s="5">
        <v>-0.1880739545732803</v>
      </c>
      <c r="AF708" s="5">
        <v>-0.1680207681379069</v>
      </c>
    </row>
    <row r="709" spans="23:32" x14ac:dyDescent="0.25">
      <c r="W709">
        <v>82.2</v>
      </c>
      <c r="X709" s="5">
        <v>82.315240967051196</v>
      </c>
      <c r="Y709" s="5">
        <v>-0.11524096705119291</v>
      </c>
      <c r="Z709" s="5">
        <v>-0.11668230350127828</v>
      </c>
      <c r="AA709" s="18">
        <v>1.2352656802635181E-2</v>
      </c>
      <c r="AB709" s="5">
        <v>-3.2248375039751573E-2</v>
      </c>
      <c r="AC709" s="4">
        <v>6.8457422984556248E-7</v>
      </c>
      <c r="AE709" s="5">
        <v>-0.1880739545732803</v>
      </c>
      <c r="AF709" s="5">
        <v>-0.16771046130257192</v>
      </c>
    </row>
    <row r="710" spans="23:32" x14ac:dyDescent="0.25">
      <c r="W710">
        <v>82.1</v>
      </c>
      <c r="X710" s="5">
        <v>81.228017209039123</v>
      </c>
      <c r="Y710" s="5">
        <v>0.87198279096087106</v>
      </c>
      <c r="Z710" s="5">
        <v>0.88181885670202576</v>
      </c>
      <c r="AA710" s="18">
        <v>1.1154292819206863E-2</v>
      </c>
      <c r="AB710" s="5">
        <v>0.24386279073766257</v>
      </c>
      <c r="AC710" s="4">
        <v>3.5306200796860825E-5</v>
      </c>
      <c r="AE710" s="5">
        <v>-0.17879863688351211</v>
      </c>
      <c r="AF710" s="5">
        <v>-0.1674429440519257</v>
      </c>
    </row>
    <row r="711" spans="23:32" x14ac:dyDescent="0.25">
      <c r="W711">
        <v>81.8</v>
      </c>
      <c r="X711" s="5">
        <v>81.837604225371265</v>
      </c>
      <c r="Y711" s="5">
        <v>-3.7604225371268285E-2</v>
      </c>
      <c r="Z711" s="5">
        <v>-3.7964930357460958E-2</v>
      </c>
      <c r="AA711" s="18">
        <v>9.5010048168400821E-3</v>
      </c>
      <c r="AB711" s="5">
        <v>-1.0507793247511613E-2</v>
      </c>
      <c r="AC711" s="4">
        <v>5.5742306630239935E-8</v>
      </c>
      <c r="AE711" s="5">
        <v>-0.17879863688351211</v>
      </c>
      <c r="AF711" s="5">
        <v>-0.16731600897796303</v>
      </c>
    </row>
    <row r="712" spans="23:32" x14ac:dyDescent="0.25">
      <c r="W712">
        <v>81.8</v>
      </c>
      <c r="X712" s="5">
        <v>80.7240653460277</v>
      </c>
      <c r="Y712" s="5">
        <v>1.0759346539722969</v>
      </c>
      <c r="Z712" s="5">
        <v>1.0873447986215581</v>
      </c>
      <c r="AA712" s="18">
        <v>1.0493584614300843E-2</v>
      </c>
      <c r="AB712" s="5">
        <v>0.30080044904152231</v>
      </c>
      <c r="AC712" s="4">
        <v>5.0502004242639469E-5</v>
      </c>
      <c r="AE712" s="5">
        <v>-0.17879863688351211</v>
      </c>
      <c r="AF712" s="5">
        <v>-0.16570372716203502</v>
      </c>
    </row>
    <row r="713" spans="23:32" x14ac:dyDescent="0.25">
      <c r="W713">
        <v>81.7</v>
      </c>
      <c r="X713" s="5">
        <v>78.90880790535239</v>
      </c>
      <c r="Y713" s="5">
        <v>2.791192094647613</v>
      </c>
      <c r="Z713" s="5">
        <v>2.8040907538338331</v>
      </c>
      <c r="AA713" s="18">
        <v>4.5999435533902516E-3</v>
      </c>
      <c r="AB713" s="5">
        <v>0.77802363028429167</v>
      </c>
      <c r="AC713" s="4">
        <v>1.4722678069052406E-4</v>
      </c>
      <c r="AE713" s="5">
        <v>-0.17879863688351211</v>
      </c>
      <c r="AF713" s="5">
        <v>-0.16262029784462714</v>
      </c>
    </row>
    <row r="714" spans="23:32" x14ac:dyDescent="0.25">
      <c r="W714">
        <v>81.5</v>
      </c>
      <c r="X714" s="5">
        <v>79.154595889459216</v>
      </c>
      <c r="Y714" s="5">
        <v>2.3454041105407839</v>
      </c>
      <c r="Z714" s="5">
        <v>2.4315524499523207</v>
      </c>
      <c r="AA714" s="18">
        <v>3.5429356834651655E-2</v>
      </c>
      <c r="AB714" s="5">
        <v>0.66412916682642342</v>
      </c>
      <c r="AC714" s="4">
        <v>8.526695127049524E-4</v>
      </c>
      <c r="AE714" s="5">
        <v>-0.17879863688351211</v>
      </c>
      <c r="AF714" s="5">
        <v>-0.16241664462029351</v>
      </c>
    </row>
    <row r="715" spans="23:32" x14ac:dyDescent="0.25">
      <c r="W715">
        <v>81</v>
      </c>
      <c r="X715" s="5">
        <v>79.238176243126418</v>
      </c>
      <c r="Y715" s="5">
        <v>1.7618237568735822</v>
      </c>
      <c r="Z715" s="5">
        <v>1.8382437259235473</v>
      </c>
      <c r="AA715" s="18">
        <v>4.1572272475227788E-2</v>
      </c>
      <c r="AB715" s="5">
        <v>0.50047762816732655</v>
      </c>
      <c r="AC715" s="4">
        <v>5.7182104178499454E-4</v>
      </c>
      <c r="AE715" s="5">
        <v>-0.17879863688351211</v>
      </c>
      <c r="AF715" s="5">
        <v>-0.16116132406562719</v>
      </c>
    </row>
    <row r="716" spans="23:32" x14ac:dyDescent="0.25">
      <c r="W716">
        <v>84</v>
      </c>
      <c r="X716" s="5">
        <v>78.487087215682735</v>
      </c>
      <c r="Y716" s="5">
        <v>5.5129127843172654</v>
      </c>
      <c r="Z716" s="5">
        <v>5.5415764921080921</v>
      </c>
      <c r="AA716" s="18">
        <v>5.1724825655012213E-3</v>
      </c>
      <c r="AB716" s="5">
        <v>1.5371247622528588</v>
      </c>
      <c r="AC716" s="4">
        <v>6.4657049527149825E-4</v>
      </c>
      <c r="AE716" s="5">
        <v>-0.17879863688351211</v>
      </c>
      <c r="AF716" s="5">
        <v>-0.16110952059533049</v>
      </c>
    </row>
    <row r="717" spans="23:32" x14ac:dyDescent="0.25">
      <c r="W717">
        <v>84</v>
      </c>
      <c r="X717" s="5">
        <v>78.508231823466915</v>
      </c>
      <c r="Y717" s="5">
        <v>5.4917681765330855</v>
      </c>
      <c r="Z717" s="5">
        <v>5.5184521435422909</v>
      </c>
      <c r="AA717" s="18">
        <v>4.8354078852393245E-3</v>
      </c>
      <c r="AB717" s="5">
        <v>1.5309698222167498</v>
      </c>
      <c r="AC717" s="4">
        <v>5.9940154536237218E-4</v>
      </c>
      <c r="AE717" s="5">
        <v>-0.16799678341230881</v>
      </c>
      <c r="AF717" s="5">
        <v>-0.16015430536466521</v>
      </c>
    </row>
    <row r="718" spans="23:32" x14ac:dyDescent="0.25">
      <c r="W718">
        <v>80</v>
      </c>
      <c r="X718" s="5">
        <v>76.742423653332395</v>
      </c>
      <c r="Y718" s="5">
        <v>3.2575763466676051</v>
      </c>
      <c r="Z718" s="5">
        <v>3.2961668042486281</v>
      </c>
      <c r="AA718" s="18">
        <v>1.1707677394021879E-2</v>
      </c>
      <c r="AB718" s="5">
        <v>0.91128408123744653</v>
      </c>
      <c r="AC718" s="4">
        <v>5.1777287156036598E-4</v>
      </c>
      <c r="AE718" s="5">
        <v>-0.16799678341230881</v>
      </c>
      <c r="AF718" s="5">
        <v>-0.16012540731108391</v>
      </c>
    </row>
    <row r="719" spans="23:32" x14ac:dyDescent="0.25">
      <c r="W719">
        <v>81</v>
      </c>
      <c r="X719" s="5">
        <v>77.69152267883436</v>
      </c>
      <c r="Y719" s="5">
        <v>3.3084773211656398</v>
      </c>
      <c r="Z719" s="5">
        <v>3.3548098772058381</v>
      </c>
      <c r="AA719" s="18">
        <v>1.3810784436698798E-2</v>
      </c>
      <c r="AB719" s="5">
        <v>0.92650961208380045</v>
      </c>
      <c r="AC719" s="4">
        <v>6.3270949991045165E-4</v>
      </c>
      <c r="AE719" s="5">
        <v>-0.16799678341230881</v>
      </c>
      <c r="AF719" s="5">
        <v>-0.15849551549974875</v>
      </c>
    </row>
    <row r="720" spans="23:32" x14ac:dyDescent="0.25">
      <c r="W720">
        <v>79.7</v>
      </c>
      <c r="X720" s="5">
        <v>79.426225860172607</v>
      </c>
      <c r="Y720" s="5">
        <v>0.2737741398273954</v>
      </c>
      <c r="Z720" s="5">
        <v>0.27570473407203622</v>
      </c>
      <c r="AA720" s="18">
        <v>7.0023978773630768E-3</v>
      </c>
      <c r="AB720" s="5">
        <v>7.6404724663229742E-2</v>
      </c>
      <c r="AC720" s="4">
        <v>2.1666332968966053E-6</v>
      </c>
      <c r="AE720" s="5">
        <v>-0.16799678341230881</v>
      </c>
      <c r="AF720" s="5">
        <v>-0.15749707020362619</v>
      </c>
    </row>
    <row r="721" spans="23:32" x14ac:dyDescent="0.25">
      <c r="W721">
        <v>79.3</v>
      </c>
      <c r="X721" s="5">
        <v>77.422646483896315</v>
      </c>
      <c r="Y721" s="5">
        <v>1.8773535161036818</v>
      </c>
      <c r="Z721" s="5">
        <v>1.9280463253773661</v>
      </c>
      <c r="AA721" s="18">
        <v>2.6292319124523848E-2</v>
      </c>
      <c r="AB721" s="5">
        <v>0.52909499610973687</v>
      </c>
      <c r="AC721" s="4">
        <v>3.9784509364710187E-4</v>
      </c>
      <c r="AE721" s="5">
        <v>-0.16799678341230881</v>
      </c>
      <c r="AF721" s="5">
        <v>-0.15639731260051548</v>
      </c>
    </row>
    <row r="722" spans="23:32" x14ac:dyDescent="0.25">
      <c r="W722">
        <v>79.3</v>
      </c>
      <c r="X722" s="5">
        <v>77.52260060291313</v>
      </c>
      <c r="Y722" s="5">
        <v>1.7773993970868673</v>
      </c>
      <c r="Z722" s="5">
        <v>1.7852301662890682</v>
      </c>
      <c r="AA722" s="18">
        <v>4.3864199418508663E-3</v>
      </c>
      <c r="AB722" s="5">
        <v>0.49538347401549532</v>
      </c>
      <c r="AC722" s="4">
        <v>5.6904789808661583E-5</v>
      </c>
      <c r="AE722" s="5">
        <v>-0.16799678341230881</v>
      </c>
      <c r="AF722" s="5">
        <v>-0.1553032300070058</v>
      </c>
    </row>
    <row r="723" spans="23:32" x14ac:dyDescent="0.25">
      <c r="W723">
        <v>78.900000000000006</v>
      </c>
      <c r="X723" s="5">
        <v>77.572535725135211</v>
      </c>
      <c r="Y723" s="5">
        <v>1.3274642748647949</v>
      </c>
      <c r="Z723" s="5">
        <v>1.3328408263852509</v>
      </c>
      <c r="AA723" s="18">
        <v>4.0339036845365786E-3</v>
      </c>
      <c r="AB723" s="5">
        <v>0.36991543792011716</v>
      </c>
      <c r="AC723" s="4">
        <v>2.9169721422889073E-5</v>
      </c>
      <c r="AE723" s="5">
        <v>-0.16799678341230881</v>
      </c>
      <c r="AF723" s="5">
        <v>-0.15473610874154492</v>
      </c>
    </row>
    <row r="724" spans="23:32" x14ac:dyDescent="0.25">
      <c r="W724">
        <v>82.5</v>
      </c>
      <c r="X724" s="5">
        <v>81.553847420569653</v>
      </c>
      <c r="Y724" s="5">
        <v>0.94615257943034692</v>
      </c>
      <c r="Z724" s="5">
        <v>0.95205375227175182</v>
      </c>
      <c r="AA724" s="18">
        <v>6.1983609930953533E-3</v>
      </c>
      <c r="AB724" s="5">
        <v>0.26394486368527231</v>
      </c>
      <c r="AC724" s="4">
        <v>2.2869148082403877E-5</v>
      </c>
      <c r="AE724" s="5">
        <v>-0.16799678341230881</v>
      </c>
      <c r="AF724" s="5">
        <v>-0.15443666955143454</v>
      </c>
    </row>
    <row r="725" spans="23:32" x14ac:dyDescent="0.25">
      <c r="W725">
        <v>82.3</v>
      </c>
      <c r="X725" s="5">
        <v>79.625703093078442</v>
      </c>
      <c r="Y725" s="5">
        <v>2.6742969069215548</v>
      </c>
      <c r="Z725" s="5">
        <v>2.6849707079471301</v>
      </c>
      <c r="AA725" s="18">
        <v>3.9753882580452976E-3</v>
      </c>
      <c r="AB725" s="5">
        <v>0.74520623314777124</v>
      </c>
      <c r="AC725" s="4">
        <v>1.1665647180434179E-4</v>
      </c>
      <c r="AE725" s="5">
        <v>-0.15567569037416348</v>
      </c>
      <c r="AF725" s="5">
        <v>-0.15287020108891058</v>
      </c>
    </row>
    <row r="726" spans="23:32" x14ac:dyDescent="0.25">
      <c r="W726">
        <v>82</v>
      </c>
      <c r="X726" s="5">
        <v>82.61699740971531</v>
      </c>
      <c r="Y726" s="5">
        <v>-0.61699740971531014</v>
      </c>
      <c r="Z726" s="5">
        <v>-0.62122317913609493</v>
      </c>
      <c r="AA726" s="18">
        <v>6.8023370065828882E-3</v>
      </c>
      <c r="AB726" s="5">
        <v>-0.17217392816806079</v>
      </c>
      <c r="AC726" s="4">
        <v>1.0685716072256087E-5</v>
      </c>
      <c r="AE726" s="5">
        <v>-0.15567569037416348</v>
      </c>
      <c r="AF726" s="5">
        <v>-0.14614147349613868</v>
      </c>
    </row>
    <row r="727" spans="23:32" x14ac:dyDescent="0.25">
      <c r="W727">
        <v>82</v>
      </c>
      <c r="X727" s="5">
        <v>82.641001915867704</v>
      </c>
      <c r="Y727" s="5">
        <v>-0.6410019158677045</v>
      </c>
      <c r="Z727" s="5">
        <v>-0.646299358220503</v>
      </c>
      <c r="AA727" s="18">
        <v>8.1965768423169806E-3</v>
      </c>
      <c r="AB727" s="5">
        <v>-0.17899809866607017</v>
      </c>
      <c r="AC727" s="4">
        <v>1.3936385359211004E-5</v>
      </c>
      <c r="AE727" s="5">
        <v>-0.15567569037416348</v>
      </c>
      <c r="AF727" s="5">
        <v>-0.14197784413260156</v>
      </c>
    </row>
    <row r="728" spans="23:32" x14ac:dyDescent="0.25">
      <c r="W728">
        <v>81.8</v>
      </c>
      <c r="X728" s="5">
        <v>82.53247650273309</v>
      </c>
      <c r="Y728" s="5">
        <v>-0.73247650273309262</v>
      </c>
      <c r="Z728" s="5">
        <v>-0.73779075611146538</v>
      </c>
      <c r="AA728" s="18">
        <v>7.2029275703936989E-3</v>
      </c>
      <c r="AB728" s="5">
        <v>-0.20443975191762306</v>
      </c>
      <c r="AC728" s="4">
        <v>1.5959734028171928E-5</v>
      </c>
      <c r="AE728" s="5">
        <v>-0.15567569037416348</v>
      </c>
      <c r="AF728" s="5">
        <v>-0.14187828350052506</v>
      </c>
    </row>
    <row r="729" spans="23:32" x14ac:dyDescent="0.25">
      <c r="W729">
        <v>81.599999999999994</v>
      </c>
      <c r="X729" s="5">
        <v>79.724764432404157</v>
      </c>
      <c r="Y729" s="5">
        <v>1.875235567595837</v>
      </c>
      <c r="Z729" s="5">
        <v>1.901075206545201</v>
      </c>
      <c r="AA729" s="18">
        <v>1.3592118218365548E-2</v>
      </c>
      <c r="AB729" s="5">
        <v>0.52508481199481016</v>
      </c>
      <c r="AC729" s="4">
        <v>1.9995668197036212E-4</v>
      </c>
      <c r="AE729" s="5">
        <v>-0.15567569037416348</v>
      </c>
      <c r="AF729" s="5">
        <v>-0.13771363345724955</v>
      </c>
    </row>
    <row r="730" spans="23:32" x14ac:dyDescent="0.25">
      <c r="W730">
        <v>81.5</v>
      </c>
      <c r="X730" s="5">
        <v>78.906093791678614</v>
      </c>
      <c r="Y730" s="5">
        <v>2.5939062083213855</v>
      </c>
      <c r="Z730" s="5">
        <v>2.6059036788351477</v>
      </c>
      <c r="AA730" s="18">
        <v>4.6039577791006864E-3</v>
      </c>
      <c r="AB730" s="5">
        <v>0.72303314344121616</v>
      </c>
      <c r="AC730" s="4">
        <v>1.2726185016191554E-4</v>
      </c>
      <c r="AE730" s="5">
        <v>-0.15567569037416348</v>
      </c>
      <c r="AF730" s="5">
        <v>-0.13732410218517035</v>
      </c>
    </row>
    <row r="731" spans="23:32" x14ac:dyDescent="0.25">
      <c r="W731">
        <v>81.3</v>
      </c>
      <c r="X731" s="5">
        <v>81.114901170455781</v>
      </c>
      <c r="Y731" s="5">
        <v>0.18509882954421641</v>
      </c>
      <c r="Z731" s="5">
        <v>0.18624297719821925</v>
      </c>
      <c r="AA731" s="18">
        <v>6.1433062938402172E-3</v>
      </c>
      <c r="AB731" s="5">
        <v>5.1634940483861254E-2</v>
      </c>
      <c r="AC731" s="4">
        <v>8.6738550935612706E-7</v>
      </c>
      <c r="AE731" s="5">
        <v>-0.15567569037416348</v>
      </c>
      <c r="AF731" s="5">
        <v>-0.13246467928915875</v>
      </c>
    </row>
    <row r="732" spans="23:32" x14ac:dyDescent="0.25">
      <c r="W732">
        <v>81.2</v>
      </c>
      <c r="X732" s="5">
        <v>78.620190664554386</v>
      </c>
      <c r="Y732" s="5">
        <v>2.5798093354456171</v>
      </c>
      <c r="Z732" s="5">
        <v>2.5898718890527022</v>
      </c>
      <c r="AA732" s="18">
        <v>3.8853480164839239E-3</v>
      </c>
      <c r="AB732" s="5">
        <v>0.71884430701936641</v>
      </c>
      <c r="AC732" s="4">
        <v>1.0608077193466405E-4</v>
      </c>
      <c r="AE732" s="5">
        <v>-0.15567569037416348</v>
      </c>
      <c r="AF732" s="5">
        <v>-0.13183557759857961</v>
      </c>
    </row>
    <row r="733" spans="23:32" x14ac:dyDescent="0.25">
      <c r="W733">
        <v>88</v>
      </c>
      <c r="X733" s="5">
        <v>80.245658114301818</v>
      </c>
      <c r="Y733" s="5">
        <v>7.7543418856981816</v>
      </c>
      <c r="Z733" s="5">
        <v>7.7937141436855342</v>
      </c>
      <c r="AA733" s="18">
        <v>5.0517965197956838E-3</v>
      </c>
      <c r="AB733" s="5">
        <v>2.1619547538317905</v>
      </c>
      <c r="AC733" s="4">
        <v>1.2490648227117757E-3</v>
      </c>
      <c r="AE733" s="5">
        <v>-0.14337818601426075</v>
      </c>
      <c r="AF733" s="5">
        <v>-0.13106858732814447</v>
      </c>
    </row>
    <row r="734" spans="23:32" x14ac:dyDescent="0.25">
      <c r="W734">
        <v>89</v>
      </c>
      <c r="X734" s="5">
        <v>79.776891287573079</v>
      </c>
      <c r="Y734" s="5">
        <v>9.2231087124269209</v>
      </c>
      <c r="Z734" s="5">
        <v>9.2686543660709759</v>
      </c>
      <c r="AA734" s="18">
        <v>4.9139445538917779E-3</v>
      </c>
      <c r="AB734" s="5">
        <v>2.5712772024760531</v>
      </c>
      <c r="AC734" s="4">
        <v>1.718358632988909E-3</v>
      </c>
      <c r="AE734" s="5">
        <v>-0.14337818601426075</v>
      </c>
      <c r="AF734" s="5">
        <v>-0.12972628088268975</v>
      </c>
    </row>
    <row r="735" spans="23:32" x14ac:dyDescent="0.25">
      <c r="W735">
        <v>79.900000000000006</v>
      </c>
      <c r="X735" s="5">
        <v>79.03230521719577</v>
      </c>
      <c r="Y735" s="5">
        <v>0.86769478280423584</v>
      </c>
      <c r="Z735" s="5">
        <v>0.87179132221095301</v>
      </c>
      <c r="AA735" s="18">
        <v>4.6989908047418297E-3</v>
      </c>
      <c r="AB735" s="5">
        <v>0.24187537502527445</v>
      </c>
      <c r="AC735" s="4">
        <v>1.453716973487741E-5</v>
      </c>
      <c r="AE735" s="5">
        <v>-0.14337818601426075</v>
      </c>
      <c r="AF735" s="5">
        <v>-0.12779860322647116</v>
      </c>
    </row>
    <row r="736" spans="23:32" x14ac:dyDescent="0.25">
      <c r="W736">
        <v>80</v>
      </c>
      <c r="X736" s="5">
        <v>78.44962596763466</v>
      </c>
      <c r="Y736" s="5">
        <v>1.5503740323653403</v>
      </c>
      <c r="Z736" s="5">
        <v>1.5558788308601379</v>
      </c>
      <c r="AA736" s="18">
        <v>3.5380637525355349E-3</v>
      </c>
      <c r="AB736" s="5">
        <v>0.43192468036578485</v>
      </c>
      <c r="AC736" s="4">
        <v>3.486321069404978E-5</v>
      </c>
      <c r="AE736" s="5">
        <v>-0.14337818601426075</v>
      </c>
      <c r="AF736" s="5">
        <v>-0.12719377734309936</v>
      </c>
    </row>
    <row r="737" spans="23:32" x14ac:dyDescent="0.25">
      <c r="W737">
        <v>79.8</v>
      </c>
      <c r="X737" s="5">
        <v>76.685951619915372</v>
      </c>
      <c r="Y737" s="5">
        <v>3.1140483800846255</v>
      </c>
      <c r="Z737" s="5">
        <v>3.1252393197794959</v>
      </c>
      <c r="AA737" s="18">
        <v>3.5808264743254618E-3</v>
      </c>
      <c r="AB737" s="5">
        <v>0.86757336283853048</v>
      </c>
      <c r="AC737" s="4">
        <v>1.4236394619213713E-4</v>
      </c>
      <c r="AE737" s="5">
        <v>-0.14337818601426075</v>
      </c>
      <c r="AF737" s="5">
        <v>-0.12581137368304479</v>
      </c>
    </row>
    <row r="738" spans="23:32" x14ac:dyDescent="0.25">
      <c r="W738">
        <v>79.400000000000006</v>
      </c>
      <c r="X738" s="5">
        <v>76.489461326895494</v>
      </c>
      <c r="Y738" s="5">
        <v>2.9105386731045115</v>
      </c>
      <c r="Z738" s="5">
        <v>2.9213461384185564</v>
      </c>
      <c r="AA738" s="18">
        <v>3.6994812671865621E-3</v>
      </c>
      <c r="AB738" s="5">
        <v>0.8109238765184158</v>
      </c>
      <c r="AC738" s="4">
        <v>1.2851595587443185E-4</v>
      </c>
      <c r="AE738" s="5">
        <v>-0.14337818601426075</v>
      </c>
      <c r="AF738" s="5">
        <v>-0.12494059505914423</v>
      </c>
    </row>
    <row r="739" spans="23:32" x14ac:dyDescent="0.25">
      <c r="W739">
        <v>75.8</v>
      </c>
      <c r="X739" s="5">
        <v>72.900401314165137</v>
      </c>
      <c r="Y739" s="5">
        <v>2.8995986858348601</v>
      </c>
      <c r="Z739" s="5">
        <v>2.904498402150594</v>
      </c>
      <c r="AA739" s="18">
        <v>1.6869406132606387E-3</v>
      </c>
      <c r="AB739" s="5">
        <v>0.80706109040826524</v>
      </c>
      <c r="AC739" s="4">
        <v>5.7928496984166072E-5</v>
      </c>
      <c r="AE739" s="5">
        <v>-0.14337818601426075</v>
      </c>
      <c r="AF739" s="5">
        <v>-0.12449740393192799</v>
      </c>
    </row>
    <row r="740" spans="23:32" x14ac:dyDescent="0.25">
      <c r="W740">
        <v>75.599999999999994</v>
      </c>
      <c r="X740" s="5">
        <v>72.553381327122693</v>
      </c>
      <c r="Y740" s="5">
        <v>3.046618672877301</v>
      </c>
      <c r="Z740" s="5">
        <v>3.0523939460662604</v>
      </c>
      <c r="AA740" s="18">
        <v>1.8920471246529893E-3</v>
      </c>
      <c r="AB740" s="5">
        <v>0.84806908760488453</v>
      </c>
      <c r="AC740" s="4">
        <v>7.1756838931113904E-5</v>
      </c>
      <c r="AE740" s="5">
        <v>-0.14337818601426075</v>
      </c>
      <c r="AF740" s="5">
        <v>-0.12425299414353798</v>
      </c>
    </row>
    <row r="741" spans="23:32" x14ac:dyDescent="0.25">
      <c r="W741">
        <v>75.3</v>
      </c>
      <c r="X741" s="5">
        <v>72.631203614811454</v>
      </c>
      <c r="Y741" s="5">
        <v>2.6687963851885428</v>
      </c>
      <c r="Z741" s="5">
        <v>2.6740471894734981</v>
      </c>
      <c r="AA741" s="18">
        <v>1.9636169120829765E-3</v>
      </c>
      <c r="AB741" s="5">
        <v>0.74292358483707577</v>
      </c>
      <c r="AC741" s="4">
        <v>5.7153796039793463E-5</v>
      </c>
      <c r="AE741" s="5">
        <v>-0.14337818601426075</v>
      </c>
      <c r="AF741" s="5">
        <v>-0.12346332783037514</v>
      </c>
    </row>
    <row r="742" spans="23:32" x14ac:dyDescent="0.25">
      <c r="W742">
        <v>75.2</v>
      </c>
      <c r="X742" s="5">
        <v>72.420010119232899</v>
      </c>
      <c r="Y742" s="5">
        <v>2.7799898807671042</v>
      </c>
      <c r="Z742" s="5">
        <v>2.7852371786358674</v>
      </c>
      <c r="AA742" s="18">
        <v>1.8839680545041661E-3</v>
      </c>
      <c r="AB742" s="5">
        <v>0.77384608747510486</v>
      </c>
      <c r="AC742" s="4">
        <v>5.9490563745219385E-5</v>
      </c>
      <c r="AE742" s="5">
        <v>-0.12956927093944987</v>
      </c>
      <c r="AF742" s="5">
        <v>-0.12160261987589634</v>
      </c>
    </row>
    <row r="743" spans="23:32" x14ac:dyDescent="0.25">
      <c r="W743">
        <v>75</v>
      </c>
      <c r="X743" s="5">
        <v>71.083178231597032</v>
      </c>
      <c r="Y743" s="5">
        <v>3.9168217684029685</v>
      </c>
      <c r="Z743" s="5">
        <v>3.9414178193486009</v>
      </c>
      <c r="AA743" s="18">
        <v>6.2404068974585116E-3</v>
      </c>
      <c r="AB743" s="5">
        <v>1.0926851340045647</v>
      </c>
      <c r="AC743" s="4">
        <v>3.9460995958524718E-4</v>
      </c>
      <c r="AE743" s="5">
        <v>-0.12956927093944987</v>
      </c>
      <c r="AF743" s="5">
        <v>-0.12107802809718018</v>
      </c>
    </row>
    <row r="744" spans="23:32" x14ac:dyDescent="0.25">
      <c r="W744">
        <v>74.7</v>
      </c>
      <c r="X744" s="5">
        <v>70.971707656635971</v>
      </c>
      <c r="Y744" s="5">
        <v>3.728292343364032</v>
      </c>
      <c r="Z744" s="5">
        <v>3.7796702257302712</v>
      </c>
      <c r="AA744" s="18">
        <v>1.3593218269807373E-2</v>
      </c>
      <c r="AB744" s="5">
        <v>1.0439599214159914</v>
      </c>
      <c r="AC744" s="4">
        <v>7.9046071737786576E-4</v>
      </c>
      <c r="AE744" s="5">
        <v>-0.12956927093944987</v>
      </c>
      <c r="AF744" s="5">
        <v>-0.12106044236598147</v>
      </c>
    </row>
    <row r="745" spans="23:32" x14ac:dyDescent="0.25">
      <c r="W745">
        <v>74.5</v>
      </c>
      <c r="X745" s="5">
        <v>72.103289755999072</v>
      </c>
      <c r="Y745" s="5">
        <v>2.3967102440009285</v>
      </c>
      <c r="Z745" s="5">
        <v>2.401005281657433</v>
      </c>
      <c r="AA745" s="18">
        <v>1.7888497327857356E-3</v>
      </c>
      <c r="AB745" s="5">
        <v>0.66712346348092766</v>
      </c>
      <c r="AC745" s="4">
        <v>4.1976891408631858E-5</v>
      </c>
      <c r="AE745" s="5">
        <v>-0.12956927093944987</v>
      </c>
      <c r="AF745" s="5">
        <v>-0.12077309935380103</v>
      </c>
    </row>
    <row r="746" spans="23:32" x14ac:dyDescent="0.25">
      <c r="W746">
        <v>74.2</v>
      </c>
      <c r="X746" s="5">
        <v>71.663666879991268</v>
      </c>
      <c r="Y746" s="5">
        <v>2.5363331200087345</v>
      </c>
      <c r="Z746" s="5">
        <v>2.5412383004535144</v>
      </c>
      <c r="AA746" s="18">
        <v>1.9302323768314671E-3</v>
      </c>
      <c r="AB746" s="5">
        <v>0.70603744442779914</v>
      </c>
      <c r="AC746" s="4">
        <v>5.074001169905071E-5</v>
      </c>
      <c r="AE746" s="5">
        <v>-0.12344005334831042</v>
      </c>
      <c r="AF746" s="5">
        <v>-0.12029468133653046</v>
      </c>
    </row>
    <row r="747" spans="23:32" x14ac:dyDescent="0.25">
      <c r="W747">
        <v>74</v>
      </c>
      <c r="X747" s="5">
        <v>73.689355730874951</v>
      </c>
      <c r="Y747" s="5">
        <v>0.31064426912504928</v>
      </c>
      <c r="Z747" s="5">
        <v>0.31175356894856066</v>
      </c>
      <c r="AA747" s="18">
        <v>3.5582586183660015E-3</v>
      </c>
      <c r="AB747" s="5">
        <v>8.6544461853535801E-2</v>
      </c>
      <c r="AC747" s="4">
        <v>1.4077014581221071E-6</v>
      </c>
      <c r="AE747" s="5">
        <v>-0.12344005334831042</v>
      </c>
      <c r="AF747" s="5">
        <v>-0.11993634817590412</v>
      </c>
    </row>
    <row r="748" spans="23:32" x14ac:dyDescent="0.25">
      <c r="W748">
        <v>73.5</v>
      </c>
      <c r="X748" s="5">
        <v>70.866109002956719</v>
      </c>
      <c r="Y748" s="5">
        <v>2.6338909970432809</v>
      </c>
      <c r="Z748" s="5">
        <v>2.6399728562853682</v>
      </c>
      <c r="AA748" s="18">
        <v>2.3037582479717694E-3</v>
      </c>
      <c r="AB748" s="5">
        <v>0.73333180579374346</v>
      </c>
      <c r="AC748" s="4">
        <v>6.5356081971670909E-5</v>
      </c>
      <c r="AE748" s="5">
        <v>-0.12344005334831042</v>
      </c>
      <c r="AF748" s="5">
        <v>-0.11959088388885611</v>
      </c>
    </row>
    <row r="749" spans="23:32" x14ac:dyDescent="0.25">
      <c r="W749">
        <v>73.3</v>
      </c>
      <c r="X749" s="5">
        <v>69.369290194696049</v>
      </c>
      <c r="Y749" s="5">
        <v>3.9307098053039482</v>
      </c>
      <c r="Z749" s="5">
        <v>3.941261784090571</v>
      </c>
      <c r="AA749" s="18">
        <v>2.6773097968826537E-3</v>
      </c>
      <c r="AB749" s="5">
        <v>1.0945989418102215</v>
      </c>
      <c r="AC749" s="4">
        <v>1.692853494282364E-4</v>
      </c>
      <c r="AE749" s="5">
        <v>-0.12344005334831042</v>
      </c>
      <c r="AF749" s="5">
        <v>-0.11911566938042409</v>
      </c>
    </row>
    <row r="750" spans="23:32" x14ac:dyDescent="0.25">
      <c r="W750">
        <v>73.099999999999994</v>
      </c>
      <c r="X750" s="5">
        <v>70.380851146735196</v>
      </c>
      <c r="Y750" s="5">
        <v>2.719148853264798</v>
      </c>
      <c r="Z750" s="5">
        <v>2.7371145836247592</v>
      </c>
      <c r="AA750" s="18">
        <v>6.5637479948589547E-3</v>
      </c>
      <c r="AB750" s="5">
        <v>0.75869089544323653</v>
      </c>
      <c r="AC750" s="4">
        <v>2.0016495279292023E-4</v>
      </c>
      <c r="AE750" s="5">
        <v>-0.11731546960548965</v>
      </c>
      <c r="AF750" s="5">
        <v>-0.117204335962814</v>
      </c>
    </row>
    <row r="751" spans="23:32" x14ac:dyDescent="0.25">
      <c r="W751">
        <v>74</v>
      </c>
      <c r="X751" s="5">
        <v>74.339092305469435</v>
      </c>
      <c r="Y751" s="5">
        <v>-0.33909230546943547</v>
      </c>
      <c r="Z751" s="5">
        <v>-0.34064796111297824</v>
      </c>
      <c r="AA751" s="18">
        <v>4.5667546004548787E-3</v>
      </c>
      <c r="AB751" s="5">
        <v>-9.4517833044181501E-2</v>
      </c>
      <c r="AC751" s="4">
        <v>2.1570958600651524E-6</v>
      </c>
      <c r="AE751" s="5">
        <v>-0.11731546960548965</v>
      </c>
      <c r="AF751" s="5">
        <v>-0.11670034529535306</v>
      </c>
    </row>
    <row r="752" spans="23:32" x14ac:dyDescent="0.25">
      <c r="W752">
        <v>73.900000000000006</v>
      </c>
      <c r="X752" s="5">
        <v>74.502881458605003</v>
      </c>
      <c r="Y752" s="5">
        <v>-0.60288145860499753</v>
      </c>
      <c r="Z752" s="5">
        <v>-0.60546664172444764</v>
      </c>
      <c r="AA752" s="18">
        <v>4.2697366647369318E-3</v>
      </c>
      <c r="AB752" s="5">
        <v>-0.1680207681379069</v>
      </c>
      <c r="AC752" s="4">
        <v>6.3713536915332974E-6</v>
      </c>
      <c r="AE752" s="5">
        <v>-0.11731546960548965</v>
      </c>
      <c r="AF752" s="5">
        <v>-0.11523390625493084</v>
      </c>
    </row>
    <row r="753" spans="23:32" x14ac:dyDescent="0.25">
      <c r="W753">
        <v>73.7</v>
      </c>
      <c r="X753" s="5">
        <v>74.095295211931102</v>
      </c>
      <c r="Y753" s="5">
        <v>-0.39529521193109929</v>
      </c>
      <c r="Z753" s="5">
        <v>-0.39712741707838006</v>
      </c>
      <c r="AA753" s="18">
        <v>4.6136455668549115E-3</v>
      </c>
      <c r="AB753" s="5">
        <v>-0.11018630111112306</v>
      </c>
      <c r="AC753" s="4">
        <v>2.9617892508381344E-6</v>
      </c>
      <c r="AE753" s="5">
        <v>-0.11731546960548965</v>
      </c>
      <c r="AF753" s="5">
        <v>-0.11130204972594822</v>
      </c>
    </row>
    <row r="754" spans="23:32" x14ac:dyDescent="0.25">
      <c r="W754">
        <v>73.599999999999994</v>
      </c>
      <c r="X754" s="5">
        <v>74.278555531976082</v>
      </c>
      <c r="Y754" s="5">
        <v>-0.67855553197608742</v>
      </c>
      <c r="Z754" s="5">
        <v>-0.68179267945747313</v>
      </c>
      <c r="AA754" s="18">
        <v>4.7479938974446263E-3</v>
      </c>
      <c r="AB754" s="5">
        <v>-0.18915627648940722</v>
      </c>
      <c r="AC754" s="4">
        <v>8.9839019272604842E-6</v>
      </c>
      <c r="AE754" s="5">
        <v>-0.11731546960548965</v>
      </c>
      <c r="AF754" s="5">
        <v>-0.11018630111112306</v>
      </c>
    </row>
    <row r="755" spans="23:32" x14ac:dyDescent="0.25">
      <c r="W755">
        <v>73.400000000000006</v>
      </c>
      <c r="X755" s="5">
        <v>74.643545842295865</v>
      </c>
      <c r="Y755" s="5">
        <v>-1.243545842295859</v>
      </c>
      <c r="Z755" s="5">
        <v>-1.2494893007838215</v>
      </c>
      <c r="AA755" s="18">
        <v>4.7567101889008246E-3</v>
      </c>
      <c r="AB755" s="5">
        <v>-0.34665627222514483</v>
      </c>
      <c r="AC755" s="4">
        <v>3.0228873137754937E-5</v>
      </c>
      <c r="AE755" s="5">
        <v>-0.11731546960548965</v>
      </c>
      <c r="AF755" s="5">
        <v>-0.10990506396678719</v>
      </c>
    </row>
    <row r="756" spans="23:32" x14ac:dyDescent="0.25">
      <c r="W756">
        <v>73.3</v>
      </c>
      <c r="X756" s="5">
        <v>73.232099637969881</v>
      </c>
      <c r="Y756" s="5">
        <v>6.7900362030115957E-2</v>
      </c>
      <c r="Z756" s="5">
        <v>6.8531682810345274E-2</v>
      </c>
      <c r="AA756" s="18">
        <v>9.2121009486735034E-3</v>
      </c>
      <c r="AB756" s="5">
        <v>1.8970712167542095E-2</v>
      </c>
      <c r="AC756" s="4">
        <v>1.7611310063895343E-7</v>
      </c>
      <c r="AE756" s="5">
        <v>-0.11731546960548965</v>
      </c>
      <c r="AF756" s="5">
        <v>-0.10831217717756166</v>
      </c>
    </row>
    <row r="757" spans="23:32" x14ac:dyDescent="0.25">
      <c r="W757">
        <v>73.099999999999994</v>
      </c>
      <c r="X757" s="5">
        <v>73.036766829540895</v>
      </c>
      <c r="Y757" s="5">
        <v>6.3233170459099597E-2</v>
      </c>
      <c r="Z757" s="5">
        <v>6.3777904291754339E-2</v>
      </c>
      <c r="AA757" s="18">
        <v>8.5411058689421095E-3</v>
      </c>
      <c r="AB757" s="5">
        <v>1.7660764229763874E-2</v>
      </c>
      <c r="AC757" s="4">
        <v>1.4141802788170642E-7</v>
      </c>
      <c r="AE757" s="5">
        <v>-0.10660788786182936</v>
      </c>
      <c r="AF757" s="5">
        <v>-0.10437016760238535</v>
      </c>
    </row>
    <row r="758" spans="23:32" x14ac:dyDescent="0.25">
      <c r="W758">
        <v>73</v>
      </c>
      <c r="X758" s="5">
        <v>76.501583412256693</v>
      </c>
      <c r="Y758" s="5">
        <v>-3.5015834122566929</v>
      </c>
      <c r="Z758" s="5">
        <v>-3.518574858619175</v>
      </c>
      <c r="AA758" s="18">
        <v>4.829070588298485E-3</v>
      </c>
      <c r="AB758" s="5">
        <v>-0.97615217773450702</v>
      </c>
      <c r="AC758" s="4">
        <v>2.4335895211054616E-4</v>
      </c>
      <c r="AE758" s="5">
        <v>-0.10660788786182936</v>
      </c>
      <c r="AF758" s="5">
        <v>-0.10265286158873253</v>
      </c>
    </row>
    <row r="759" spans="23:32" x14ac:dyDescent="0.25">
      <c r="W759">
        <v>72.8</v>
      </c>
      <c r="X759" s="5">
        <v>74.705992024596512</v>
      </c>
      <c r="Y759" s="5">
        <v>-1.9059920245965145</v>
      </c>
      <c r="Z759" s="5">
        <v>-1.9146383479287437</v>
      </c>
      <c r="AA759" s="18">
        <v>4.5159041871186793E-3</v>
      </c>
      <c r="AB759" s="5">
        <v>-0.53125839738810154</v>
      </c>
      <c r="AC759" s="4">
        <v>6.7385802963486737E-5</v>
      </c>
      <c r="AE759" s="5">
        <v>-0.10660788786182936</v>
      </c>
      <c r="AF759" s="5">
        <v>-0.10075906837585046</v>
      </c>
    </row>
    <row r="760" spans="23:32" x14ac:dyDescent="0.25">
      <c r="W760">
        <v>72.400000000000006</v>
      </c>
      <c r="X760" s="5">
        <v>74.454779503150064</v>
      </c>
      <c r="Y760" s="5">
        <v>-2.0547795031500584</v>
      </c>
      <c r="Z760" s="5">
        <v>-2.0643534194112334</v>
      </c>
      <c r="AA760" s="18">
        <v>4.637731200067708E-3</v>
      </c>
      <c r="AB760" s="5">
        <v>-0.57276507658476883</v>
      </c>
      <c r="AC760" s="4">
        <v>8.044959426626291E-5</v>
      </c>
      <c r="AE760" s="5">
        <v>-0.10660788786182936</v>
      </c>
      <c r="AF760" s="5">
        <v>-0.10020185241549144</v>
      </c>
    </row>
    <row r="761" spans="23:32" x14ac:dyDescent="0.25">
      <c r="W761">
        <v>72.5</v>
      </c>
      <c r="X761" s="5">
        <v>74.182102281471984</v>
      </c>
      <c r="Y761" s="5">
        <v>-1.6821022814719839</v>
      </c>
      <c r="Z761" s="5">
        <v>-1.6904089218515139</v>
      </c>
      <c r="AA761" s="18">
        <v>4.913982807447136E-3</v>
      </c>
      <c r="AB761" s="5">
        <v>-0.46894723531655086</v>
      </c>
      <c r="AC761" s="4">
        <v>5.7156729126202434E-5</v>
      </c>
      <c r="AE761" s="5">
        <v>-0.10660788786182936</v>
      </c>
      <c r="AF761" s="5">
        <v>-0.10007633292612432</v>
      </c>
    </row>
    <row r="762" spans="23:32" x14ac:dyDescent="0.25">
      <c r="W762">
        <v>72.3</v>
      </c>
      <c r="X762" s="5">
        <v>73.898942605426697</v>
      </c>
      <c r="Y762" s="5">
        <v>-1.5989426054267</v>
      </c>
      <c r="Z762" s="5">
        <v>-1.6060752247084196</v>
      </c>
      <c r="AA762" s="18">
        <v>4.4410244128013313E-3</v>
      </c>
      <c r="AB762" s="5">
        <v>-0.4456575522181272</v>
      </c>
      <c r="AC762" s="4">
        <v>4.6629967052896254E-5</v>
      </c>
      <c r="AE762" s="5">
        <v>-0.10660788786182936</v>
      </c>
      <c r="AF762" s="5">
        <v>-0.10001631629427141</v>
      </c>
    </row>
    <row r="763" spans="23:32" x14ac:dyDescent="0.25">
      <c r="W763">
        <v>72.099999999999994</v>
      </c>
      <c r="X763" s="5">
        <v>73.633536653869115</v>
      </c>
      <c r="Y763" s="5">
        <v>-1.5335366538691204</v>
      </c>
      <c r="Z763" s="5">
        <v>-1.5408371417196065</v>
      </c>
      <c r="AA763" s="18">
        <v>4.7380009559860976E-3</v>
      </c>
      <c r="AB763" s="5">
        <v>-0.42749135975805513</v>
      </c>
      <c r="AC763" s="4">
        <v>4.5788751676869229E-5</v>
      </c>
      <c r="AE763" s="5">
        <v>-9.743972564826138E-2</v>
      </c>
      <c r="AF763" s="5">
        <v>-9.8746209195641949E-2</v>
      </c>
    </row>
    <row r="764" spans="23:32" x14ac:dyDescent="0.25">
      <c r="W764">
        <v>71.900000000000006</v>
      </c>
      <c r="X764" s="5">
        <v>73.326654355275565</v>
      </c>
      <c r="Y764" s="5">
        <v>-1.4266543552755593</v>
      </c>
      <c r="Z764" s="5">
        <v>-1.4337927359017897</v>
      </c>
      <c r="AA764" s="18">
        <v>4.9786698226922726E-3</v>
      </c>
      <c r="AB764" s="5">
        <v>-0.39774475641614687</v>
      </c>
      <c r="AC764" s="4">
        <v>4.1661630196918074E-5</v>
      </c>
      <c r="AE764" s="5">
        <v>-9.743972564826138E-2</v>
      </c>
      <c r="AF764" s="5">
        <v>-9.6902167508654088E-2</v>
      </c>
    </row>
    <row r="765" spans="23:32" x14ac:dyDescent="0.25">
      <c r="W765">
        <v>71.7</v>
      </c>
      <c r="X765" s="5">
        <v>72.975960313986405</v>
      </c>
      <c r="Y765" s="5">
        <v>-1.2759603139864026</v>
      </c>
      <c r="Z765" s="5">
        <v>-1.2817725202567374</v>
      </c>
      <c r="AA765" s="18">
        <v>4.5345068477337675E-3</v>
      </c>
      <c r="AB765" s="5">
        <v>-0.35565257174487952</v>
      </c>
      <c r="AC765" s="4">
        <v>3.0325094144285363E-5</v>
      </c>
      <c r="AE765" s="5">
        <v>-9.743972564826138E-2</v>
      </c>
      <c r="AF765" s="5">
        <v>-9.6391880367691349E-2</v>
      </c>
    </row>
    <row r="766" spans="23:32" x14ac:dyDescent="0.25">
      <c r="W766">
        <v>69.900000000000006</v>
      </c>
      <c r="X766" s="5">
        <v>77.110885444566307</v>
      </c>
      <c r="Y766" s="5">
        <v>-7.2108854445663013</v>
      </c>
      <c r="Z766" s="5">
        <v>-7.2333703401637308</v>
      </c>
      <c r="AA766" s="18">
        <v>3.1084950085560692E-3</v>
      </c>
      <c r="AB766" s="5">
        <v>-2.0084755090492501</v>
      </c>
      <c r="AC766" s="4">
        <v>6.6203623321809627E-4</v>
      </c>
      <c r="AE766" s="5">
        <v>-9.743972564826138E-2</v>
      </c>
      <c r="AF766" s="5">
        <v>-9.4560039156767473E-2</v>
      </c>
    </row>
    <row r="767" spans="23:32" x14ac:dyDescent="0.25">
      <c r="W767">
        <v>69.5</v>
      </c>
      <c r="X767" s="5">
        <v>76.884466398798622</v>
      </c>
      <c r="Y767" s="5">
        <v>-7.3844663987986223</v>
      </c>
      <c r="Z767" s="5">
        <v>-7.4080947720895551</v>
      </c>
      <c r="AA767" s="18">
        <v>3.1895344238790074E-3</v>
      </c>
      <c r="AB767" s="5">
        <v>-2.0569072831551796</v>
      </c>
      <c r="AC767" s="4">
        <v>7.1250929725527135E-4</v>
      </c>
      <c r="AE767" s="5">
        <v>-9.743972564826138E-2</v>
      </c>
      <c r="AF767" s="5">
        <v>-9.4517833044181501E-2</v>
      </c>
    </row>
    <row r="768" spans="23:32" x14ac:dyDescent="0.25">
      <c r="W768">
        <v>69.099999999999994</v>
      </c>
      <c r="X768" s="5">
        <v>72.130735432138692</v>
      </c>
      <c r="Y768" s="5">
        <v>-3.0307354321386981</v>
      </c>
      <c r="Z768" s="5">
        <v>-3.0679132927703705</v>
      </c>
      <c r="AA768" s="18">
        <v>1.2118289235644435E-2</v>
      </c>
      <c r="AB768" s="5">
        <v>-0.84800311097298864</v>
      </c>
      <c r="AC768" s="4">
        <v>4.6427752306097054E-4</v>
      </c>
      <c r="AE768" s="5">
        <v>-9.743972564826138E-2</v>
      </c>
      <c r="AF768" s="5">
        <v>-9.2764702919865605E-2</v>
      </c>
    </row>
    <row r="769" spans="23:32" x14ac:dyDescent="0.25">
      <c r="W769">
        <v>68.5</v>
      </c>
      <c r="X769" s="5">
        <v>73.1956899737377</v>
      </c>
      <c r="Y769" s="5">
        <v>-4.6956899737377</v>
      </c>
      <c r="Z769" s="5">
        <v>-4.7288740660304995</v>
      </c>
      <c r="AA769" s="18">
        <v>7.0173347459532333E-3</v>
      </c>
      <c r="AB769" s="5">
        <v>-1.3104802307873942</v>
      </c>
      <c r="AC769" s="4">
        <v>6.3876023752376004E-4</v>
      </c>
      <c r="AE769" s="5">
        <v>-9.743972564826138E-2</v>
      </c>
      <c r="AF769" s="5">
        <v>-9.1959016562363147E-2</v>
      </c>
    </row>
    <row r="770" spans="23:32" x14ac:dyDescent="0.25">
      <c r="W770">
        <v>67.8</v>
      </c>
      <c r="X770" s="5">
        <v>72.691251091045075</v>
      </c>
      <c r="Y770" s="5">
        <v>-4.8912510910450777</v>
      </c>
      <c r="Z770" s="5">
        <v>-4.9081719060488638</v>
      </c>
      <c r="AA770" s="18">
        <v>3.4474780687543116E-3</v>
      </c>
      <c r="AB770" s="5">
        <v>-1.3626105692984638</v>
      </c>
      <c r="AC770" s="4">
        <v>3.3805800574375478E-4</v>
      </c>
      <c r="AE770" s="5">
        <v>-9.743972564826138E-2</v>
      </c>
      <c r="AF770" s="5">
        <v>-9.158980302676141E-2</v>
      </c>
    </row>
    <row r="771" spans="23:32" x14ac:dyDescent="0.25">
      <c r="W771">
        <v>67.8</v>
      </c>
      <c r="X771" s="5">
        <v>73.114067829926398</v>
      </c>
      <c r="Y771" s="5">
        <v>-5.314067829926401</v>
      </c>
      <c r="Z771" s="5">
        <v>-5.3305912897876055</v>
      </c>
      <c r="AA771" s="18">
        <v>3.0997424043470896E-3</v>
      </c>
      <c r="AB771" s="5">
        <v>-1.4801411445939252</v>
      </c>
      <c r="AC771" s="4">
        <v>3.5853087226422431E-4</v>
      </c>
      <c r="AE771" s="5">
        <v>-9.743972564826138E-2</v>
      </c>
      <c r="AF771" s="5">
        <v>-8.9672503812348175E-2</v>
      </c>
    </row>
    <row r="772" spans="23:32" x14ac:dyDescent="0.25">
      <c r="W772">
        <v>66.599999999999994</v>
      </c>
      <c r="X772" s="5">
        <v>72.632671199910291</v>
      </c>
      <c r="Y772" s="5">
        <v>-6.0326711999102969</v>
      </c>
      <c r="Z772" s="5">
        <v>-6.0573664843605428</v>
      </c>
      <c r="AA772" s="18">
        <v>4.0769011605966358E-3</v>
      </c>
      <c r="AB772" s="5">
        <v>-1.6811197280319459</v>
      </c>
      <c r="AC772" s="4">
        <v>6.0890293266091045E-4</v>
      </c>
      <c r="AE772" s="5">
        <v>-9.743972564826138E-2</v>
      </c>
      <c r="AF772" s="5">
        <v>-8.7892202092477292E-2</v>
      </c>
    </row>
    <row r="773" spans="23:32" x14ac:dyDescent="0.25">
      <c r="W773">
        <v>65.3</v>
      </c>
      <c r="X773" s="5">
        <v>71.915339045287311</v>
      </c>
      <c r="Y773" s="5">
        <v>-6.615339045287314</v>
      </c>
      <c r="Z773" s="5">
        <v>-6.6473267291582232</v>
      </c>
      <c r="AA773" s="18">
        <v>4.8121124738160961E-3</v>
      </c>
      <c r="AB773" s="5">
        <v>-1.8441721461622138</v>
      </c>
      <c r="AC773" s="4">
        <v>8.6552577122849938E-4</v>
      </c>
      <c r="AE773" s="5">
        <v>-9.743972564826138E-2</v>
      </c>
      <c r="AF773" s="5">
        <v>-8.607273015118834E-2</v>
      </c>
    </row>
    <row r="774" spans="23:32" x14ac:dyDescent="0.25">
      <c r="W774">
        <v>65</v>
      </c>
      <c r="X774" s="5">
        <v>71.349846984187522</v>
      </c>
      <c r="Y774" s="5">
        <v>-6.349846984187522</v>
      </c>
      <c r="Z774" s="5">
        <v>-6.3812949872581441</v>
      </c>
      <c r="AA774" s="18">
        <v>4.9281537890694879E-3</v>
      </c>
      <c r="AB774" s="5">
        <v>-1.7702635707155301</v>
      </c>
      <c r="AC774" s="4">
        <v>8.1686836420764104E-4</v>
      </c>
      <c r="AE774" s="5">
        <v>-9.743972564826138E-2</v>
      </c>
      <c r="AF774" s="5">
        <v>-8.5298246106403713E-2</v>
      </c>
    </row>
    <row r="775" spans="23:32" x14ac:dyDescent="0.25">
      <c r="W775">
        <v>64.599999999999994</v>
      </c>
      <c r="X775" s="5">
        <v>70.94308957908234</v>
      </c>
      <c r="Y775" s="5">
        <v>-6.3430895790823456</v>
      </c>
      <c r="Z775" s="5">
        <v>-6.3776021673234879</v>
      </c>
      <c r="AA775" s="18">
        <v>5.4115304366233368E-3</v>
      </c>
      <c r="AB775" s="5">
        <v>-1.7688093546525816</v>
      </c>
      <c r="AC775" s="4">
        <v>8.9595281278771982E-4</v>
      </c>
      <c r="AE775" s="5">
        <v>-9.743972564826138E-2</v>
      </c>
      <c r="AF775" s="5">
        <v>-8.5111537295019371E-2</v>
      </c>
    </row>
    <row r="776" spans="23:32" x14ac:dyDescent="0.25">
      <c r="W776">
        <v>64.7</v>
      </c>
      <c r="X776" s="5">
        <v>70.260006394790821</v>
      </c>
      <c r="Y776" s="5">
        <v>-5.5600063947908183</v>
      </c>
      <c r="Z776" s="5">
        <v>-5.5849162031035746</v>
      </c>
      <c r="AA776" s="18">
        <v>4.4601937445201004E-3</v>
      </c>
      <c r="AB776" s="5">
        <v>-1.5497008382575828</v>
      </c>
      <c r="AC776" s="4">
        <v>5.6628783136183978E-4</v>
      </c>
      <c r="AE776" s="5">
        <v>-9.743972564826138E-2</v>
      </c>
      <c r="AF776" s="5">
        <v>-8.4129706778899735E-2</v>
      </c>
    </row>
    <row r="777" spans="23:32" x14ac:dyDescent="0.25">
      <c r="W777">
        <v>64.400000000000006</v>
      </c>
      <c r="X777" s="5">
        <v>70.071062605162666</v>
      </c>
      <c r="Y777" s="5">
        <v>-5.6710626051626605</v>
      </c>
      <c r="Z777" s="5">
        <v>-5.6940500995852545</v>
      </c>
      <c r="AA777" s="18">
        <v>4.037107861812419E-3</v>
      </c>
      <c r="AB777" s="5">
        <v>-1.5803189745190624</v>
      </c>
      <c r="AC777" s="4">
        <v>5.3279863493285468E-4</v>
      </c>
      <c r="AE777" s="5">
        <v>-7.6077819866612773E-2</v>
      </c>
      <c r="AF777" s="5">
        <v>-8.3830285772046667E-2</v>
      </c>
    </row>
    <row r="778" spans="23:32" x14ac:dyDescent="0.25">
      <c r="W778">
        <v>64.7</v>
      </c>
      <c r="X778" s="5">
        <v>69.679282586048302</v>
      </c>
      <c r="Y778" s="5">
        <v>-4.9792825860482992</v>
      </c>
      <c r="Z778" s="5">
        <v>-4.9964616394165091</v>
      </c>
      <c r="AA778" s="18">
        <v>3.4382438229265148E-3</v>
      </c>
      <c r="AB778" s="5">
        <v>-1.3871280616079238</v>
      </c>
      <c r="AC778" s="4">
        <v>3.4939120526284915E-4</v>
      </c>
      <c r="AE778" s="5">
        <v>-7.6077819866612773E-2</v>
      </c>
      <c r="AF778" s="5">
        <v>-8.0976569211174035E-2</v>
      </c>
    </row>
    <row r="779" spans="23:32" x14ac:dyDescent="0.25">
      <c r="W779">
        <v>64.400000000000006</v>
      </c>
      <c r="X779" s="5">
        <v>68.88680420326034</v>
      </c>
      <c r="Y779" s="5">
        <v>-4.4868042032603341</v>
      </c>
      <c r="Z779" s="5">
        <v>-4.5036015544317394</v>
      </c>
      <c r="AA779" s="18">
        <v>3.7297596087012791E-3</v>
      </c>
      <c r="AB779" s="5">
        <v>-1.2501163376808324</v>
      </c>
      <c r="AC779" s="4">
        <v>3.0792925039801761E-4</v>
      </c>
      <c r="AE779" s="5">
        <v>-7.6077819866612773E-2</v>
      </c>
      <c r="AF779" s="5">
        <v>-7.7690658044504285E-2</v>
      </c>
    </row>
    <row r="780" spans="23:32" x14ac:dyDescent="0.25">
      <c r="W780">
        <v>63.9</v>
      </c>
      <c r="X780" s="5">
        <v>68.670779380030496</v>
      </c>
      <c r="Y780" s="5">
        <v>-4.770779380030497</v>
      </c>
      <c r="Z780" s="5">
        <v>-4.7878787636752591</v>
      </c>
      <c r="AA780" s="18">
        <v>3.5713902729715965E-3</v>
      </c>
      <c r="AB780" s="5">
        <v>-1.3291320514802278</v>
      </c>
      <c r="AC780" s="4">
        <v>3.3325278215488657E-4</v>
      </c>
      <c r="AE780" s="5">
        <v>-7.6077819866612773E-2</v>
      </c>
      <c r="AF780" s="5">
        <v>-7.5798931814058557E-2</v>
      </c>
    </row>
    <row r="781" spans="23:32" x14ac:dyDescent="0.25">
      <c r="W781">
        <v>62.9</v>
      </c>
      <c r="X781" s="5">
        <v>64.822845577099969</v>
      </c>
      <c r="Y781" s="5">
        <v>-1.9228455770999702</v>
      </c>
      <c r="Z781" s="5">
        <v>-1.9282520578757314</v>
      </c>
      <c r="AA781" s="18">
        <v>2.8038247145573468E-3</v>
      </c>
      <c r="AB781" s="5">
        <v>-0.5354957117515512</v>
      </c>
      <c r="AC781" s="4">
        <v>4.2435434097259843E-5</v>
      </c>
      <c r="AE781" s="5">
        <v>-7.6077819866612773E-2</v>
      </c>
      <c r="AF781" s="5">
        <v>-7.5091554362231389E-2</v>
      </c>
    </row>
    <row r="782" spans="23:32" x14ac:dyDescent="0.25">
      <c r="W782">
        <v>62.6</v>
      </c>
      <c r="X782" s="5">
        <v>63.887989079341004</v>
      </c>
      <c r="Y782" s="5">
        <v>-1.2879890793410027</v>
      </c>
      <c r="Z782" s="5">
        <v>-1.2933307928990061</v>
      </c>
      <c r="AA782" s="18">
        <v>4.1301990081230059E-3</v>
      </c>
      <c r="AB782" s="5">
        <v>-0.35893250593320331</v>
      </c>
      <c r="AC782" s="4">
        <v>2.8121623939126318E-5</v>
      </c>
      <c r="AE782" s="5">
        <v>-7.6077819866612773E-2</v>
      </c>
      <c r="AF782" s="5">
        <v>-7.3119559620875935E-2</v>
      </c>
    </row>
    <row r="783" spans="23:32" x14ac:dyDescent="0.25">
      <c r="W783">
        <v>62.1</v>
      </c>
      <c r="X783" s="5">
        <v>63.698022245003123</v>
      </c>
      <c r="Y783" s="5">
        <v>-1.5980222450031221</v>
      </c>
      <c r="Z783" s="5">
        <v>-1.6048683195377791</v>
      </c>
      <c r="AA783" s="18">
        <v>4.265816984055211E-3</v>
      </c>
      <c r="AB783" s="5">
        <v>-0.44536184153736091</v>
      </c>
      <c r="AC783" s="4">
        <v>4.472302899816565E-5</v>
      </c>
      <c r="AE783" s="5">
        <v>-7.6077819866612773E-2</v>
      </c>
      <c r="AF783" s="5">
        <v>-7.1105334008832302E-2</v>
      </c>
    </row>
    <row r="784" spans="23:32" x14ac:dyDescent="0.25">
      <c r="W784">
        <v>61.2</v>
      </c>
      <c r="X784" s="5">
        <v>63.722017186700114</v>
      </c>
      <c r="Y784" s="5">
        <v>-2.5220171867001113</v>
      </c>
      <c r="Z784" s="5">
        <v>-2.5288008443870993</v>
      </c>
      <c r="AA784" s="18">
        <v>2.6825590880546076E-3</v>
      </c>
      <c r="AB784" s="5">
        <v>-0.70231707391198317</v>
      </c>
      <c r="AC784" s="4">
        <v>6.9827860419827842E-5</v>
      </c>
      <c r="AE784" s="5">
        <v>-7.6077819866612773E-2</v>
      </c>
      <c r="AF784" s="5">
        <v>-6.8946830962208897E-2</v>
      </c>
    </row>
    <row r="785" spans="23:32" x14ac:dyDescent="0.25">
      <c r="W785">
        <v>63</v>
      </c>
      <c r="X785" s="5">
        <v>61.318322001985351</v>
      </c>
      <c r="Y785" s="5">
        <v>1.6816779980146492</v>
      </c>
      <c r="Z785" s="5">
        <v>1.7022298963502536</v>
      </c>
      <c r="AA785" s="18">
        <v>1.2073515087279441E-2</v>
      </c>
      <c r="AB785" s="5">
        <v>0.47052469272819525</v>
      </c>
      <c r="AC785" s="4">
        <v>1.4240339368445907E-4</v>
      </c>
      <c r="AE785" s="5">
        <v>-6.3887210036911155E-2</v>
      </c>
      <c r="AF785" s="5">
        <v>-6.6552819564052526E-2</v>
      </c>
    </row>
    <row r="786" spans="23:32" x14ac:dyDescent="0.25">
      <c r="W786">
        <v>59.1</v>
      </c>
      <c r="X786" s="5">
        <v>61.407828897909177</v>
      </c>
      <c r="Y786" s="5">
        <v>-2.3078288979091752</v>
      </c>
      <c r="Z786" s="5">
        <v>-2.3143367728731548</v>
      </c>
      <c r="AA786" s="18">
        <v>2.8119826985687126E-3</v>
      </c>
      <c r="AB786" s="5">
        <v>-0.64271283568494231</v>
      </c>
      <c r="AC786" s="4">
        <v>6.1307829198675842E-5</v>
      </c>
      <c r="AE786" s="5">
        <v>-6.3887210036911155E-2</v>
      </c>
      <c r="AF786" s="5">
        <v>-6.5109966989123844E-2</v>
      </c>
    </row>
    <row r="787" spans="23:32" x14ac:dyDescent="0.25">
      <c r="W787">
        <v>57.9</v>
      </c>
      <c r="X787" s="5">
        <v>59.946341278942697</v>
      </c>
      <c r="Y787" s="5">
        <v>-2.0463412789426982</v>
      </c>
      <c r="Z787" s="5">
        <v>-2.0527847690737531</v>
      </c>
      <c r="AA787" s="18">
        <v>3.1389019580286004E-3</v>
      </c>
      <c r="AB787" s="5">
        <v>-0.56998395779132482</v>
      </c>
      <c r="AC787" s="4">
        <v>5.3841204491793685E-5</v>
      </c>
      <c r="AE787" s="5">
        <v>-6.3887210036911155E-2</v>
      </c>
      <c r="AF787" s="5">
        <v>-6.5055469012904099E-2</v>
      </c>
    </row>
    <row r="788" spans="23:32" x14ac:dyDescent="0.25">
      <c r="W788">
        <v>56.8</v>
      </c>
      <c r="X788" s="5">
        <v>57.828813623843232</v>
      </c>
      <c r="Y788" s="5">
        <v>-1.0288136238432344</v>
      </c>
      <c r="Z788" s="5">
        <v>-1.0318358410626445</v>
      </c>
      <c r="AA788" s="18">
        <v>2.9289709652810534E-3</v>
      </c>
      <c r="AB788" s="5">
        <v>-0.28653359563588643</v>
      </c>
      <c r="AC788" s="4">
        <v>1.2693648479876826E-5</v>
      </c>
      <c r="AE788" s="5">
        <v>-6.3887210036911155E-2</v>
      </c>
      <c r="AF788" s="5">
        <v>-6.3716603247631218E-2</v>
      </c>
    </row>
    <row r="789" spans="23:32" x14ac:dyDescent="0.25">
      <c r="W789">
        <v>55.3</v>
      </c>
      <c r="X789" s="5">
        <v>55.513563323798152</v>
      </c>
      <c r="Y789" s="5">
        <v>-0.21356332379815512</v>
      </c>
      <c r="Z789" s="5">
        <v>-0.21671829706514245</v>
      </c>
      <c r="AA789" s="18">
        <v>1.4557946005067384E-2</v>
      </c>
      <c r="AB789" s="5">
        <v>-5.9829175399221113E-2</v>
      </c>
      <c r="AC789" s="4">
        <v>2.7831809664728609E-6</v>
      </c>
      <c r="AE789" s="5">
        <v>-6.3887210036911155E-2</v>
      </c>
      <c r="AF789" s="5">
        <v>-6.0220669490788928E-2</v>
      </c>
    </row>
    <row r="790" spans="23:32" x14ac:dyDescent="0.25">
      <c r="W790">
        <v>54.1</v>
      </c>
      <c r="X790" s="5">
        <v>54.306280089221609</v>
      </c>
      <c r="Y790" s="5">
        <v>-0.20628008922160745</v>
      </c>
      <c r="Z790" s="5">
        <v>-0.2090699725945484</v>
      </c>
      <c r="AA790" s="18">
        <v>1.3344256653966578E-2</v>
      </c>
      <c r="AB790" s="5">
        <v>-5.775324328785561E-2</v>
      </c>
      <c r="AC790" s="4">
        <v>2.3742579096755956E-6</v>
      </c>
      <c r="AE790" s="5">
        <v>-6.3887210036911155E-2</v>
      </c>
      <c r="AF790" s="5">
        <v>-5.9829175399221113E-2</v>
      </c>
    </row>
    <row r="791" spans="23:32" x14ac:dyDescent="0.25">
      <c r="W791">
        <v>53</v>
      </c>
      <c r="X791" s="5">
        <v>52.91297057617674</v>
      </c>
      <c r="Y791" s="5">
        <v>8.7029423823260288E-2</v>
      </c>
      <c r="Z791" s="5">
        <v>8.7449308345931343E-2</v>
      </c>
      <c r="AA791" s="18">
        <v>4.8014619053511395E-3</v>
      </c>
      <c r="AB791" s="5">
        <v>2.426124789574402E-2</v>
      </c>
      <c r="AC791" s="4">
        <v>1.4946394051161056E-7</v>
      </c>
      <c r="AE791" s="5">
        <v>-6.3887210036911155E-2</v>
      </c>
      <c r="AF791" s="5">
        <v>-5.775324328785561E-2</v>
      </c>
    </row>
    <row r="792" spans="23:32" x14ac:dyDescent="0.25">
      <c r="W792">
        <v>52.4</v>
      </c>
      <c r="X792" s="5">
        <v>51.511726121491385</v>
      </c>
      <c r="Y792" s="5">
        <v>0.88827387850861328</v>
      </c>
      <c r="Z792" s="5">
        <v>0.89300247239788888</v>
      </c>
      <c r="AA792" s="18">
        <v>5.2951632671028896E-3</v>
      </c>
      <c r="AB792" s="5">
        <v>0.24768611881907873</v>
      </c>
      <c r="AC792" s="4">
        <v>1.7188376598567183E-5</v>
      </c>
      <c r="AE792" s="5">
        <v>-6.3887210036911155E-2</v>
      </c>
      <c r="AF792" s="5">
        <v>-5.5213864352770897E-2</v>
      </c>
    </row>
    <row r="793" spans="23:32" x14ac:dyDescent="0.25">
      <c r="W793">
        <v>52.1</v>
      </c>
      <c r="X793" s="5">
        <v>51.367530489732026</v>
      </c>
      <c r="Y793" s="5">
        <v>0.73246951026797547</v>
      </c>
      <c r="Z793" s="5">
        <v>0.73686090589438891</v>
      </c>
      <c r="AA793" s="18">
        <v>5.959599147257297E-3</v>
      </c>
      <c r="AB793" s="5">
        <v>0.20430990664299428</v>
      </c>
      <c r="AC793" s="4">
        <v>1.3171591806555731E-5</v>
      </c>
      <c r="AE793" s="5">
        <v>-5.1706087511076533E-2</v>
      </c>
      <c r="AF793" s="5">
        <v>-5.480020482843953E-2</v>
      </c>
    </row>
    <row r="794" spans="23:32" x14ac:dyDescent="0.25">
      <c r="W794">
        <v>66.099999999999994</v>
      </c>
      <c r="X794" s="5">
        <v>73.533634834341441</v>
      </c>
      <c r="Y794" s="5">
        <v>-7.4336348343414471</v>
      </c>
      <c r="Z794" s="5">
        <v>-7.5088128448023213</v>
      </c>
      <c r="AA794" s="18">
        <v>1.001197020284092E-2</v>
      </c>
      <c r="AB794" s="5">
        <v>-2.0777253725740179</v>
      </c>
      <c r="AC794" s="4">
        <v>2.2978003464127505E-3</v>
      </c>
      <c r="AE794" s="5">
        <v>-5.1706087511076533E-2</v>
      </c>
      <c r="AF794" s="5">
        <v>-5.4303968973709989E-2</v>
      </c>
    </row>
    <row r="795" spans="23:32" x14ac:dyDescent="0.25">
      <c r="W795">
        <v>65.8</v>
      </c>
      <c r="X795" s="5">
        <v>73.384673420993664</v>
      </c>
      <c r="Y795" s="5">
        <v>-7.584673420993667</v>
      </c>
      <c r="Z795" s="5">
        <v>-7.6643240346693489</v>
      </c>
      <c r="AA795" s="18">
        <v>1.0392385984123271E-2</v>
      </c>
      <c r="AB795" s="5">
        <v>-2.1203485789562539</v>
      </c>
      <c r="AC795" s="4">
        <v>2.4849243197312379E-3</v>
      </c>
      <c r="AE795" s="5">
        <v>-5.1706087511076533E-2</v>
      </c>
      <c r="AF795" s="5">
        <v>-5.3592127938842396E-2</v>
      </c>
    </row>
    <row r="796" spans="23:32" x14ac:dyDescent="0.25">
      <c r="W796">
        <v>65.7</v>
      </c>
      <c r="X796" s="5">
        <v>73.276527457766477</v>
      </c>
      <c r="Y796" s="5">
        <v>-7.5765274577664741</v>
      </c>
      <c r="Z796" s="5">
        <v>-7.6531845477348242</v>
      </c>
      <c r="AA796" s="18">
        <v>1.0016365016446987E-2</v>
      </c>
      <c r="AB796" s="5">
        <v>-2.117669030994382</v>
      </c>
      <c r="AC796" s="4">
        <v>2.3880570472047226E-3</v>
      </c>
      <c r="AE796" s="5">
        <v>-4.7140240828996732E-2</v>
      </c>
      <c r="AF796" s="5">
        <v>-5.324525681330413E-2</v>
      </c>
    </row>
    <row r="797" spans="23:32" x14ac:dyDescent="0.25">
      <c r="W797">
        <v>65.5</v>
      </c>
      <c r="X797" s="5">
        <v>73.285727777346125</v>
      </c>
      <c r="Y797" s="5">
        <v>-7.7857277773461249</v>
      </c>
      <c r="Z797" s="5">
        <v>-7.8629040355233144</v>
      </c>
      <c r="AA797" s="18">
        <v>9.8152359266394009E-3</v>
      </c>
      <c r="AB797" s="5">
        <v>-2.1759203146301718</v>
      </c>
      <c r="AC797" s="4">
        <v>2.4701133121066256E-3</v>
      </c>
      <c r="AE797" s="5">
        <v>-4.7140240828996732E-2</v>
      </c>
      <c r="AF797" s="5">
        <v>-5.1499606620470553E-2</v>
      </c>
    </row>
    <row r="798" spans="23:32" x14ac:dyDescent="0.25">
      <c r="W798">
        <v>65.3</v>
      </c>
      <c r="X798" s="5">
        <v>73.152793057707186</v>
      </c>
      <c r="Y798" s="5">
        <v>-7.8527930577071885</v>
      </c>
      <c r="Z798" s="5">
        <v>-7.9264314949441257</v>
      </c>
      <c r="AA798" s="18">
        <v>9.2902382722802618E-3</v>
      </c>
      <c r="AB798" s="5">
        <v>-2.1940818428003759</v>
      </c>
      <c r="AC798" s="4">
        <v>2.3759235180359499E-3</v>
      </c>
      <c r="AE798" s="5">
        <v>-4.7140240828996732E-2</v>
      </c>
      <c r="AF798" s="5">
        <v>-4.988504861864989E-2</v>
      </c>
    </row>
    <row r="799" spans="23:32" x14ac:dyDescent="0.25">
      <c r="W799">
        <v>65.2</v>
      </c>
      <c r="X799" s="5">
        <v>73.810375428345324</v>
      </c>
      <c r="Y799" s="5">
        <v>-8.6103754283453213</v>
      </c>
      <c r="Z799" s="5">
        <v>-8.7021872579047113</v>
      </c>
      <c r="AA799" s="18">
        <v>1.055043138447621E-2</v>
      </c>
      <c r="AB799" s="5">
        <v>-2.4072829946546728</v>
      </c>
      <c r="AC799" s="4">
        <v>3.252200024815387E-3</v>
      </c>
      <c r="AE799" s="5">
        <v>-4.7140240828996732E-2</v>
      </c>
      <c r="AF799" s="5">
        <v>-4.9884098600324125E-2</v>
      </c>
    </row>
    <row r="800" spans="23:32" x14ac:dyDescent="0.25">
      <c r="W800">
        <v>65.099999999999994</v>
      </c>
      <c r="X800" s="5">
        <v>73.496172764166303</v>
      </c>
      <c r="Y800" s="5">
        <v>-8.3961727641663089</v>
      </c>
      <c r="Z800" s="5">
        <v>-8.4878260868808439</v>
      </c>
      <c r="AA800" s="18">
        <v>1.0798209314891744E-2</v>
      </c>
      <c r="AB800" s="5">
        <v>-2.347690329960991</v>
      </c>
      <c r="AC800" s="4">
        <v>3.1666121158601119E-3</v>
      </c>
      <c r="AE800" s="5">
        <v>-4.7140240828996732E-2</v>
      </c>
      <c r="AF800" s="5">
        <v>-4.9390506154422177E-2</v>
      </c>
    </row>
    <row r="801" spans="23:32" x14ac:dyDescent="0.25">
      <c r="W801">
        <v>65</v>
      </c>
      <c r="X801" s="5">
        <v>70.817428868496023</v>
      </c>
      <c r="Y801" s="5">
        <v>-5.8174288684960231</v>
      </c>
      <c r="Z801" s="5">
        <v>-5.8944604044370408</v>
      </c>
      <c r="AA801" s="18">
        <v>1.3068462701527431E-2</v>
      </c>
      <c r="AB801" s="5">
        <v>-1.6285063637070087</v>
      </c>
      <c r="AC801" s="4">
        <v>1.8482588512479402E-3</v>
      </c>
      <c r="AE801" s="5">
        <v>-4.7140240828996732E-2</v>
      </c>
      <c r="AF801" s="5">
        <v>-4.7802209911054147E-2</v>
      </c>
    </row>
    <row r="802" spans="23:32" x14ac:dyDescent="0.25">
      <c r="W802">
        <v>65</v>
      </c>
      <c r="X802" s="5">
        <v>69.931251304511235</v>
      </c>
      <c r="Y802" s="5">
        <v>-4.9312513045112354</v>
      </c>
      <c r="Z802" s="5">
        <v>-4.9696112652209621</v>
      </c>
      <c r="AA802" s="18">
        <v>7.7189056975521652E-3</v>
      </c>
      <c r="AB802" s="5">
        <v>-1.3767074695376171</v>
      </c>
      <c r="AC802" s="4">
        <v>7.759804052808099E-4</v>
      </c>
      <c r="AE802" s="5">
        <v>-4.7140240828996732E-2</v>
      </c>
      <c r="AF802" s="5">
        <v>-4.7578332963686111E-2</v>
      </c>
    </row>
    <row r="803" spans="23:32" x14ac:dyDescent="0.25">
      <c r="W803">
        <v>64.900000000000006</v>
      </c>
      <c r="X803" s="5">
        <v>64.602026656030731</v>
      </c>
      <c r="Y803" s="5">
        <v>0.29797334396927511</v>
      </c>
      <c r="Z803" s="5">
        <v>0.30978345999504597</v>
      </c>
      <c r="AA803" s="18">
        <v>3.8123778545030969E-2</v>
      </c>
      <c r="AB803" s="5">
        <v>8.4492801913452584E-2</v>
      </c>
      <c r="AC803" s="4">
        <v>1.4892327317401868E-5</v>
      </c>
      <c r="AE803" s="5">
        <v>-4.7140240828996732E-2</v>
      </c>
      <c r="AF803" s="5">
        <v>-4.3121764402256194E-2</v>
      </c>
    </row>
    <row r="804" spans="23:32" x14ac:dyDescent="0.25">
      <c r="W804">
        <v>64.8</v>
      </c>
      <c r="X804" s="5">
        <v>63.981169833943071</v>
      </c>
      <c r="Y804" s="5">
        <v>0.8188301660569266</v>
      </c>
      <c r="Z804" s="5">
        <v>0.84434337570365159</v>
      </c>
      <c r="AA804" s="18">
        <v>3.021662795123204E-2</v>
      </c>
      <c r="AB804" s="5">
        <v>0.2312375498100708</v>
      </c>
      <c r="AC804" s="4">
        <v>8.7686832177931329E-5</v>
      </c>
      <c r="AE804" s="5">
        <v>-4.7140240828996732E-2</v>
      </c>
      <c r="AF804" s="5">
        <v>-4.275580994652154E-2</v>
      </c>
    </row>
    <row r="805" spans="23:32" x14ac:dyDescent="0.25">
      <c r="W805">
        <v>64.7</v>
      </c>
      <c r="X805" s="5">
        <v>61.121214617628105</v>
      </c>
      <c r="Y805" s="5">
        <v>3.5787853823718976</v>
      </c>
      <c r="Z805" s="5">
        <v>3.7222013234413467</v>
      </c>
      <c r="AA805" s="18">
        <v>3.8529872139439501E-2</v>
      </c>
      <c r="AB805" s="5">
        <v>1.0150084289163475</v>
      </c>
      <c r="AC805" s="4">
        <v>2.1729386702188953E-3</v>
      </c>
      <c r="AE805" s="5">
        <v>-4.7140240828996732E-2</v>
      </c>
      <c r="AF805" s="5">
        <v>-4.1224526583330631E-2</v>
      </c>
    </row>
    <row r="806" spans="23:32" x14ac:dyDescent="0.25">
      <c r="W806">
        <v>64.599999999999994</v>
      </c>
      <c r="X806" s="5">
        <v>64.328705199431937</v>
      </c>
      <c r="Y806" s="5">
        <v>0.27129480056805733</v>
      </c>
      <c r="Z806" s="5">
        <v>0.27870618825582483</v>
      </c>
      <c r="AA806" s="18">
        <v>2.6592117434308539E-2</v>
      </c>
      <c r="AB806" s="5">
        <v>7.6470852694808369E-2</v>
      </c>
      <c r="AC806" s="4">
        <v>8.4080701410393151E-6</v>
      </c>
      <c r="AE806" s="5">
        <v>-4.7140240828996732E-2</v>
      </c>
      <c r="AF806" s="5">
        <v>-3.7784054295082574E-2</v>
      </c>
    </row>
    <row r="807" spans="23:32" x14ac:dyDescent="0.25">
      <c r="W807">
        <v>64.3</v>
      </c>
      <c r="X807" s="5">
        <v>63.122576791760309</v>
      </c>
      <c r="Y807" s="5">
        <v>1.1774232082396878</v>
      </c>
      <c r="Z807" s="5">
        <v>1.2060060499555192</v>
      </c>
      <c r="AA807" s="18">
        <v>2.3700413208443301E-2</v>
      </c>
      <c r="AB807" s="5">
        <v>0.33139269506843533</v>
      </c>
      <c r="AC807" s="4">
        <v>1.4031531428504063E-4</v>
      </c>
      <c r="AE807" s="5">
        <v>-4.7140240828996732E-2</v>
      </c>
      <c r="AF807" s="5">
        <v>-3.6243240209500802E-2</v>
      </c>
    </row>
    <row r="808" spans="23:32" x14ac:dyDescent="0.25">
      <c r="W808">
        <v>64.099999999999994</v>
      </c>
      <c r="X808" s="5">
        <v>61.321935694405866</v>
      </c>
      <c r="Y808" s="5">
        <v>2.7780643055941283</v>
      </c>
      <c r="Z808" s="5">
        <v>2.8624894242849734</v>
      </c>
      <c r="AA808" s="18">
        <v>2.9493600211965988E-2</v>
      </c>
      <c r="AB808" s="5">
        <v>0.78423276743727799</v>
      </c>
      <c r="AC808" s="4">
        <v>9.8370698065840582E-4</v>
      </c>
      <c r="AE808" s="5">
        <v>-4.7140240828996732E-2</v>
      </c>
      <c r="AF808" s="5">
        <v>-3.3190548710559709E-2</v>
      </c>
    </row>
    <row r="809" spans="23:32" x14ac:dyDescent="0.25">
      <c r="W809">
        <v>74.400000000000006</v>
      </c>
      <c r="X809" s="5">
        <v>75.622583983001221</v>
      </c>
      <c r="Y809" s="5">
        <v>-1.2225839830012148</v>
      </c>
      <c r="Z809" s="5">
        <v>-1.2395846704998661</v>
      </c>
      <c r="AA809" s="18">
        <v>1.3714825540556263E-2</v>
      </c>
      <c r="AB809" s="5">
        <v>-0.3423571016993176</v>
      </c>
      <c r="AC809" s="4">
        <v>8.5781347442001192E-5</v>
      </c>
      <c r="AE809" s="5">
        <v>-2.7365033500434788E-2</v>
      </c>
      <c r="AF809" s="5">
        <v>-3.2248375039751573E-2</v>
      </c>
    </row>
    <row r="810" spans="23:32" x14ac:dyDescent="0.25">
      <c r="W810">
        <v>74.099999999999994</v>
      </c>
      <c r="X810" s="5">
        <v>73.648645573657234</v>
      </c>
      <c r="Y810" s="5">
        <v>0.45135442634276046</v>
      </c>
      <c r="Z810" s="5">
        <v>0.45541274173629631</v>
      </c>
      <c r="AA810" s="18">
        <v>8.9112908392967906E-3</v>
      </c>
      <c r="AB810" s="5">
        <v>0.1260849740419058</v>
      </c>
      <c r="AC810" s="4">
        <v>7.5231748446831939E-6</v>
      </c>
      <c r="AE810" s="5">
        <v>-2.7365033500434788E-2</v>
      </c>
      <c r="AF810" s="5">
        <v>-3.0203758205264192E-2</v>
      </c>
    </row>
    <row r="811" spans="23:32" x14ac:dyDescent="0.25">
      <c r="W811">
        <v>73.8</v>
      </c>
      <c r="X811" s="5">
        <v>76.53957068036587</v>
      </c>
      <c r="Y811" s="5">
        <v>-2.7395706803658726</v>
      </c>
      <c r="Z811" s="5">
        <v>-2.7731541395935011</v>
      </c>
      <c r="AA811" s="18">
        <v>1.2110202872660252E-2</v>
      </c>
      <c r="AB811" s="5">
        <v>-0.76653175559471098</v>
      </c>
      <c r="AC811" s="4">
        <v>3.7909636508186675E-4</v>
      </c>
      <c r="AE811" s="5">
        <v>-2.7365033500434788E-2</v>
      </c>
      <c r="AF811" s="5">
        <v>-3.015231294136865E-2</v>
      </c>
    </row>
    <row r="812" spans="23:32" x14ac:dyDescent="0.25">
      <c r="W812">
        <v>73.599999999999994</v>
      </c>
      <c r="X812" s="5">
        <v>75.583279653933005</v>
      </c>
      <c r="Y812" s="5">
        <v>-1.9832796539330104</v>
      </c>
      <c r="Z812" s="5">
        <v>-1.9903278014028984</v>
      </c>
      <c r="AA812" s="18">
        <v>3.5411993265244252E-3</v>
      </c>
      <c r="AB812" s="5">
        <v>-0.55253039621355571</v>
      </c>
      <c r="AC812" s="4">
        <v>5.7101796809696126E-5</v>
      </c>
      <c r="AE812" s="5">
        <v>-2.7365033500434788E-2</v>
      </c>
      <c r="AF812" s="5">
        <v>-2.983411631973493E-2</v>
      </c>
    </row>
    <row r="813" spans="23:32" x14ac:dyDescent="0.25">
      <c r="W813">
        <v>72.8</v>
      </c>
      <c r="X813" s="5">
        <v>78.932077983672912</v>
      </c>
      <c r="Y813" s="5">
        <v>-6.1320779836729145</v>
      </c>
      <c r="Z813" s="5">
        <v>-6.1517132143029158</v>
      </c>
      <c r="AA813" s="18">
        <v>3.1918312746345876E-3</v>
      </c>
      <c r="AB813" s="5">
        <v>-1.7080625350452927</v>
      </c>
      <c r="AC813" s="4">
        <v>4.9167969135987958E-4</v>
      </c>
      <c r="AE813" s="5">
        <v>-2.1282865457297767E-2</v>
      </c>
      <c r="AF813" s="5">
        <v>-2.9170369981215728E-2</v>
      </c>
    </row>
    <row r="814" spans="23:32" x14ac:dyDescent="0.25">
      <c r="W814">
        <v>72.599999999999994</v>
      </c>
      <c r="X814" s="5">
        <v>76.605397202164497</v>
      </c>
      <c r="Y814" s="5">
        <v>-4.0053972021645023</v>
      </c>
      <c r="Z814" s="5">
        <v>-4.0195907373409767</v>
      </c>
      <c r="AA814" s="18">
        <v>3.5310896317419706E-3</v>
      </c>
      <c r="AB814" s="5">
        <v>-1.1158751475839455</v>
      </c>
      <c r="AC814" s="4">
        <v>2.3223228631275348E-4</v>
      </c>
      <c r="AE814" s="5">
        <v>-2.1282865457297767E-2</v>
      </c>
      <c r="AF814" s="5">
        <v>-2.8346699088615521E-2</v>
      </c>
    </row>
    <row r="815" spans="23:32" x14ac:dyDescent="0.25">
      <c r="W815">
        <v>71.900000000000006</v>
      </c>
      <c r="X815" s="5">
        <v>75.818693749904227</v>
      </c>
      <c r="Y815" s="5">
        <v>-3.9186937499042216</v>
      </c>
      <c r="Z815" s="5">
        <v>-3.9725819025041886</v>
      </c>
      <c r="AA815" s="18">
        <v>1.3565019909595962E-2</v>
      </c>
      <c r="AB815" s="5">
        <v>-1.097258575690133</v>
      </c>
      <c r="AC815" s="4">
        <v>8.7139755633257484E-4</v>
      </c>
      <c r="AE815" s="5">
        <v>-2.1282865457297767E-2</v>
      </c>
      <c r="AF815" s="5">
        <v>-2.7221090122299386E-2</v>
      </c>
    </row>
    <row r="816" spans="23:32" x14ac:dyDescent="0.25">
      <c r="W816">
        <v>78</v>
      </c>
      <c r="X816" s="5">
        <v>75.093578394449452</v>
      </c>
      <c r="Y816" s="5">
        <v>2.9064216055505483</v>
      </c>
      <c r="Z816" s="5">
        <v>2.9222311407243353</v>
      </c>
      <c r="AA816" s="18">
        <v>5.4100905823165806E-3</v>
      </c>
      <c r="AB816" s="5">
        <v>0.8104728680175548</v>
      </c>
      <c r="AC816" s="4">
        <v>1.8805455110570778E-4</v>
      </c>
      <c r="AE816" s="5">
        <v>-2.1282865457297767E-2</v>
      </c>
      <c r="AF816" s="5">
        <v>-2.6017996876954358E-2</v>
      </c>
    </row>
    <row r="817" spans="23:32" x14ac:dyDescent="0.25">
      <c r="W817">
        <v>75</v>
      </c>
      <c r="X817" s="5">
        <v>75.434552052415981</v>
      </c>
      <c r="Y817" s="5">
        <v>-0.43455205241598094</v>
      </c>
      <c r="Z817" s="5">
        <v>-0.43619942589856464</v>
      </c>
      <c r="AA817" s="18">
        <v>3.7766521108763022E-3</v>
      </c>
      <c r="AB817" s="5">
        <v>-0.12107802809718018</v>
      </c>
      <c r="AC817" s="4">
        <v>2.9250099192915767E-6</v>
      </c>
      <c r="AE817" s="5">
        <v>-2.1282865457297767E-2</v>
      </c>
      <c r="AF817" s="5">
        <v>-2.4679675800073325E-2</v>
      </c>
    </row>
    <row r="818" spans="23:32" x14ac:dyDescent="0.25">
      <c r="W818">
        <v>76</v>
      </c>
      <c r="X818" s="5">
        <v>74.838222563967847</v>
      </c>
      <c r="Y818" s="5">
        <v>1.1617774360321533</v>
      </c>
      <c r="Z818" s="5">
        <v>1.1677055555826144</v>
      </c>
      <c r="AA818" s="18">
        <v>5.0767246264471089E-3</v>
      </c>
      <c r="AB818" s="5">
        <v>0.32391423455207319</v>
      </c>
      <c r="AC818" s="4">
        <v>2.8177371790378193E-5</v>
      </c>
      <c r="AE818" s="5">
        <v>-2.1282865457297767E-2</v>
      </c>
      <c r="AF818" s="5">
        <v>-2.1792949975999985E-2</v>
      </c>
    </row>
    <row r="819" spans="23:32" x14ac:dyDescent="0.25">
      <c r="W819">
        <v>71</v>
      </c>
      <c r="X819" s="5">
        <v>77.587601593255044</v>
      </c>
      <c r="Y819" s="5">
        <v>-6.5876015932550445</v>
      </c>
      <c r="Z819" s="5">
        <v>-6.6131000412794947</v>
      </c>
      <c r="AA819" s="18">
        <v>3.8557481159034717E-3</v>
      </c>
      <c r="AB819" s="5">
        <v>-1.8355579541450546</v>
      </c>
      <c r="AC819" s="4">
        <v>6.8638695802961211E-4</v>
      </c>
      <c r="AE819" s="5">
        <v>-2.1282865457297767E-2</v>
      </c>
      <c r="AF819" s="5">
        <v>-2.072881593993902E-2</v>
      </c>
    </row>
    <row r="820" spans="23:32" x14ac:dyDescent="0.25">
      <c r="W820">
        <v>78</v>
      </c>
      <c r="X820" s="5">
        <v>77.228679350061228</v>
      </c>
      <c r="Y820" s="5">
        <v>0.77132064993877236</v>
      </c>
      <c r="Z820" s="5">
        <v>0.77334815400587331</v>
      </c>
      <c r="AA820" s="18">
        <v>2.6217222561319797E-3</v>
      </c>
      <c r="AB820" s="5">
        <v>0.21478645870955623</v>
      </c>
      <c r="AC820" s="4">
        <v>6.3824433664439698E-6</v>
      </c>
      <c r="AE820" s="5">
        <v>-2.1282865457297767E-2</v>
      </c>
      <c r="AF820" s="5">
        <v>-1.9724224139025741E-2</v>
      </c>
    </row>
    <row r="821" spans="23:32" x14ac:dyDescent="0.25">
      <c r="W821">
        <v>73</v>
      </c>
      <c r="X821" s="5">
        <v>73.494556664205163</v>
      </c>
      <c r="Y821" s="5">
        <v>-0.49455666420516309</v>
      </c>
      <c r="Z821" s="5">
        <v>-0.49583140641755108</v>
      </c>
      <c r="AA821" s="18">
        <v>2.5709186547861274E-3</v>
      </c>
      <c r="AB821" s="5">
        <v>-0.13771363345724955</v>
      </c>
      <c r="AC821" s="4">
        <v>2.5728032873352115E-6</v>
      </c>
      <c r="AE821" s="5">
        <v>-2.1282865457297767E-2</v>
      </c>
      <c r="AF821" s="5">
        <v>-1.691839655022442E-2</v>
      </c>
    </row>
    <row r="822" spans="23:32" x14ac:dyDescent="0.25">
      <c r="W822">
        <v>69.900000000000006</v>
      </c>
      <c r="X822" s="5">
        <v>72.633311668233119</v>
      </c>
      <c r="Y822" s="5">
        <v>-2.7333116682331138</v>
      </c>
      <c r="Z822" s="5">
        <v>-2.7398128332530973</v>
      </c>
      <c r="AA822" s="18">
        <v>2.3728500505886519E-3</v>
      </c>
      <c r="AB822" s="5">
        <v>-0.76103900725420792</v>
      </c>
      <c r="AC822" s="4">
        <v>7.2504050270357778E-5</v>
      </c>
      <c r="AE822" s="5">
        <v>-2.1282865457297767E-2</v>
      </c>
      <c r="AF822" s="5">
        <v>-1.0507793247511613E-2</v>
      </c>
    </row>
    <row r="823" spans="23:32" x14ac:dyDescent="0.25">
      <c r="W823">
        <v>71</v>
      </c>
      <c r="X823" s="5">
        <v>72.161812071178915</v>
      </c>
      <c r="Y823" s="5">
        <v>-1.1618120711789146</v>
      </c>
      <c r="Z823" s="5">
        <v>-1.1643224780920036</v>
      </c>
      <c r="AA823" s="18">
        <v>2.15610963485432E-3</v>
      </c>
      <c r="AB823" s="5">
        <v>-0.32344949317188881</v>
      </c>
      <c r="AC823" s="4">
        <v>1.1897825271538573E-5</v>
      </c>
      <c r="AE823" s="5">
        <v>-2.1282865457297767E-2</v>
      </c>
      <c r="AF823" s="5">
        <v>-9.9813567190465014E-3</v>
      </c>
    </row>
    <row r="824" spans="23:32" x14ac:dyDescent="0.25">
      <c r="W824">
        <v>74.8</v>
      </c>
      <c r="X824" s="5">
        <v>74.568290789866438</v>
      </c>
      <c r="Y824" s="5">
        <v>0.23170921013355894</v>
      </c>
      <c r="Z824" s="5">
        <v>0.23312776063052354</v>
      </c>
      <c r="AA824" s="18">
        <v>6.084863051581459E-3</v>
      </c>
      <c r="AB824" s="5">
        <v>6.4635414187768914E-2</v>
      </c>
      <c r="AC824" s="4">
        <v>1.346136111472221E-6</v>
      </c>
      <c r="AE824" s="5">
        <v>-4.5602855597810616E-3</v>
      </c>
      <c r="AF824" s="5">
        <v>-9.0321126090352217E-3</v>
      </c>
    </row>
    <row r="825" spans="23:32" x14ac:dyDescent="0.25">
      <c r="W825">
        <v>74.900000000000006</v>
      </c>
      <c r="X825" s="5">
        <v>74.477790352305675</v>
      </c>
      <c r="Y825" s="5">
        <v>0.42220964769433067</v>
      </c>
      <c r="Z825" s="5">
        <v>0.42397637849049374</v>
      </c>
      <c r="AA825" s="18">
        <v>4.1670500664618866E-3</v>
      </c>
      <c r="AB825" s="5">
        <v>0.11766215510502193</v>
      </c>
      <c r="AC825" s="4">
        <v>3.0490336883143227E-6</v>
      </c>
      <c r="AE825" s="5">
        <v>-4.5602855597810616E-3</v>
      </c>
      <c r="AF825" s="5">
        <v>-8.7634046468547319E-3</v>
      </c>
    </row>
    <row r="826" spans="23:32" x14ac:dyDescent="0.25">
      <c r="W826">
        <v>75</v>
      </c>
      <c r="X826" s="5">
        <v>74.691357751060039</v>
      </c>
      <c r="Y826" s="5">
        <v>0.30864224893996095</v>
      </c>
      <c r="Z826" s="5">
        <v>0.31063073240237316</v>
      </c>
      <c r="AA826" s="18">
        <v>6.4014382834217893E-3</v>
      </c>
      <c r="AB826" s="5">
        <v>8.6109643160189236E-2</v>
      </c>
      <c r="AC826" s="4">
        <v>2.5142970550368745E-6</v>
      </c>
      <c r="AE826" s="5">
        <v>-4.5602855597810616E-3</v>
      </c>
      <c r="AF826" s="5">
        <v>-7.1924273651732167E-3</v>
      </c>
    </row>
    <row r="827" spans="23:32" x14ac:dyDescent="0.25">
      <c r="W827">
        <v>75</v>
      </c>
      <c r="X827" s="5">
        <v>74.809922494060061</v>
      </c>
      <c r="Y827" s="5">
        <v>0.19007750593993933</v>
      </c>
      <c r="Z827" s="5">
        <v>0.19084223952752666</v>
      </c>
      <c r="AA827" s="18">
        <v>4.0071505631261535E-3</v>
      </c>
      <c r="AB827" s="5">
        <v>5.2966893986273703E-2</v>
      </c>
      <c r="AC827" s="4">
        <v>5.9406621174688972E-7</v>
      </c>
      <c r="AE827" s="5">
        <v>-4.5602855597810616E-3</v>
      </c>
      <c r="AF827" s="5">
        <v>-5.1411327437265938E-3</v>
      </c>
    </row>
    <row r="828" spans="23:32" x14ac:dyDescent="0.25">
      <c r="W828">
        <v>74.900000000000006</v>
      </c>
      <c r="X828" s="5">
        <v>74.799555128662433</v>
      </c>
      <c r="Y828" s="5">
        <v>0.10044487133757229</v>
      </c>
      <c r="Z828" s="5">
        <v>0.10084565777258092</v>
      </c>
      <c r="AA828" s="18">
        <v>3.9742557473914954E-3</v>
      </c>
      <c r="AB828" s="5">
        <v>2.7989450782444584E-2</v>
      </c>
      <c r="AC828" s="4">
        <v>1.6452064353830015E-7</v>
      </c>
      <c r="AE828" s="5">
        <v>-4.5602855597810616E-3</v>
      </c>
      <c r="AF828" s="5">
        <v>-3.1671201173950293E-3</v>
      </c>
    </row>
    <row r="829" spans="23:32" x14ac:dyDescent="0.25">
      <c r="W829">
        <v>74.7</v>
      </c>
      <c r="X829" s="5">
        <v>74.214157076445844</v>
      </c>
      <c r="Y829" s="5">
        <v>0.48584292355415926</v>
      </c>
      <c r="Z829" s="5">
        <v>0.48771417461583155</v>
      </c>
      <c r="AA829" s="18">
        <v>3.8367780947747595E-3</v>
      </c>
      <c r="AB829" s="5">
        <v>0.13537314588423696</v>
      </c>
      <c r="AC829" s="4">
        <v>3.714904213098541E-6</v>
      </c>
      <c r="AE829" s="5">
        <v>-4.5602855597810616E-3</v>
      </c>
      <c r="AF829" s="5">
        <v>-2.5341619407907847E-3</v>
      </c>
    </row>
    <row r="830" spans="23:32" x14ac:dyDescent="0.25">
      <c r="W830">
        <v>74.5</v>
      </c>
      <c r="X830" s="5">
        <v>74.133653378139641</v>
      </c>
      <c r="Y830" s="5">
        <v>0.36634662186035882</v>
      </c>
      <c r="Z830" s="5">
        <v>0.36793939196324743</v>
      </c>
      <c r="AA830" s="18">
        <v>4.3288925776145369E-3</v>
      </c>
      <c r="AB830" s="5">
        <v>0.10210244229007794</v>
      </c>
      <c r="AC830" s="4">
        <v>2.3855007865032002E-6</v>
      </c>
      <c r="AE830" s="5">
        <v>-4.5602855597810616E-3</v>
      </c>
      <c r="AF830" s="5">
        <v>3.4345426111546235E-4</v>
      </c>
    </row>
    <row r="831" spans="23:32" x14ac:dyDescent="0.25">
      <c r="W831">
        <v>74.400000000000006</v>
      </c>
      <c r="X831" s="5">
        <v>73.197786619099517</v>
      </c>
      <c r="Y831" s="5">
        <v>1.2022133809004885</v>
      </c>
      <c r="Z831" s="5">
        <v>1.223705151048847</v>
      </c>
      <c r="AA831" s="18">
        <v>1.7562866455161932E-2</v>
      </c>
      <c r="AB831" s="5">
        <v>0.33731143528824886</v>
      </c>
      <c r="AC831" s="4">
        <v>1.0705307781779165E-4</v>
      </c>
      <c r="AE831" s="5">
        <v>-4.5602855597810616E-3</v>
      </c>
      <c r="AF831" s="5">
        <v>5.8270207973663488E-3</v>
      </c>
    </row>
    <row r="832" spans="23:32" x14ac:dyDescent="0.25">
      <c r="W832">
        <v>74.099999999999994</v>
      </c>
      <c r="X832" s="5">
        <v>75.967445528320127</v>
      </c>
      <c r="Y832" s="5">
        <v>-1.8674455283201326</v>
      </c>
      <c r="Z832" s="5">
        <v>-1.8766603234765995</v>
      </c>
      <c r="AA832" s="18">
        <v>4.9102093976180951E-3</v>
      </c>
      <c r="AB832" s="5">
        <v>-0.52061742430941571</v>
      </c>
      <c r="AC832" s="4">
        <v>7.0391713997837387E-5</v>
      </c>
      <c r="AE832" s="5">
        <v>-4.5602855597810616E-3</v>
      </c>
      <c r="AF832" s="5">
        <v>6.029439245795909E-3</v>
      </c>
    </row>
    <row r="833" spans="23:32" x14ac:dyDescent="0.25">
      <c r="W833">
        <v>73.900000000000006</v>
      </c>
      <c r="X833" s="5">
        <v>67.187557420763952</v>
      </c>
      <c r="Y833" s="5">
        <v>6.712442579236054</v>
      </c>
      <c r="Z833" s="5">
        <v>6.9327537179842551</v>
      </c>
      <c r="AA833" s="18">
        <v>3.1778301625903227E-2</v>
      </c>
      <c r="AB833" s="5">
        <v>1.8971211674674815</v>
      </c>
      <c r="AC833" s="4">
        <v>6.2171652409870421E-3</v>
      </c>
      <c r="AE833" s="5">
        <v>-4.5602855597810616E-3</v>
      </c>
      <c r="AF833" s="5">
        <v>6.1063818713268294E-3</v>
      </c>
    </row>
    <row r="834" spans="23:32" x14ac:dyDescent="0.25">
      <c r="W834">
        <v>73.7</v>
      </c>
      <c r="X834" s="5">
        <v>67.585951201320469</v>
      </c>
      <c r="Y834" s="5">
        <v>6.1140487986795335</v>
      </c>
      <c r="Z834" s="5">
        <v>6.3292373434573079</v>
      </c>
      <c r="AA834" s="18">
        <v>3.3999127082857211E-2</v>
      </c>
      <c r="AB834" s="5">
        <v>1.7299837869278185</v>
      </c>
      <c r="AC834" s="4">
        <v>5.5439679769700486E-3</v>
      </c>
      <c r="AE834" s="5">
        <v>1.0640830227304372E-2</v>
      </c>
      <c r="AF834" s="5">
        <v>8.4081673202769467E-3</v>
      </c>
    </row>
    <row r="835" spans="23:32" x14ac:dyDescent="0.25">
      <c r="W835">
        <v>73.5</v>
      </c>
      <c r="X835" s="5">
        <v>69.848315940547877</v>
      </c>
      <c r="Y835" s="5">
        <v>3.6516840594521227</v>
      </c>
      <c r="Z835" s="5">
        <v>3.7839737502321213</v>
      </c>
      <c r="AA835" s="18">
        <v>3.4960520212880285E-2</v>
      </c>
      <c r="AB835" s="5">
        <v>1.0337667206866887</v>
      </c>
      <c r="AC835" s="4">
        <v>2.037625180545061E-3</v>
      </c>
      <c r="AE835" s="5">
        <v>1.0640830227304372E-2</v>
      </c>
      <c r="AF835" s="5">
        <v>8.4374550164360816E-3</v>
      </c>
    </row>
    <row r="836" spans="23:32" x14ac:dyDescent="0.25">
      <c r="W836">
        <v>73.2</v>
      </c>
      <c r="X836" s="5">
        <v>69.414344558580709</v>
      </c>
      <c r="Y836" s="5">
        <v>3.7856554414192942</v>
      </c>
      <c r="Z836" s="5">
        <v>3.9429823986448582</v>
      </c>
      <c r="AA836" s="18">
        <v>3.9900496963829524E-2</v>
      </c>
      <c r="AB836" s="5">
        <v>1.074446641298513</v>
      </c>
      <c r="AC836" s="4">
        <v>2.5250975719029668E-3</v>
      </c>
      <c r="AE836" s="5">
        <v>1.0640830227304372E-2</v>
      </c>
      <c r="AF836" s="5">
        <v>8.8264646569742745E-3</v>
      </c>
    </row>
    <row r="837" spans="23:32" x14ac:dyDescent="0.25">
      <c r="W837">
        <v>73</v>
      </c>
      <c r="X837" s="5">
        <v>68.358701866725568</v>
      </c>
      <c r="Y837" s="5">
        <v>4.6412981332744323</v>
      </c>
      <c r="Z837" s="5">
        <v>4.8723166482872386</v>
      </c>
      <c r="AA837" s="18">
        <v>4.7414511758797767E-2</v>
      </c>
      <c r="AB837" s="5">
        <v>1.3224808054138639</v>
      </c>
      <c r="AC837" s="4">
        <v>4.5817614674314193E-3</v>
      </c>
      <c r="AE837" s="5">
        <v>1.0640830227304372E-2</v>
      </c>
      <c r="AF837" s="5">
        <v>1.2250845603556547E-2</v>
      </c>
    </row>
    <row r="838" spans="23:32" x14ac:dyDescent="0.25">
      <c r="W838">
        <v>72.7</v>
      </c>
      <c r="X838" s="5">
        <v>67.73889861275309</v>
      </c>
      <c r="Y838" s="5">
        <v>4.961101387246913</v>
      </c>
      <c r="Z838" s="5">
        <v>5.1445766849750925</v>
      </c>
      <c r="AA838" s="18">
        <v>3.5663827942156556E-2</v>
      </c>
      <c r="AB838" s="5">
        <v>1.4049658419750259</v>
      </c>
      <c r="AC838" s="4">
        <v>3.8421775395613119E-3</v>
      </c>
      <c r="AE838" s="5">
        <v>1.0640830227304372E-2</v>
      </c>
      <c r="AF838" s="5">
        <v>1.6520178275993801E-2</v>
      </c>
    </row>
    <row r="839" spans="23:32" x14ac:dyDescent="0.25">
      <c r="W839">
        <v>52.1</v>
      </c>
      <c r="X839" s="5">
        <v>56.43632657996104</v>
      </c>
      <c r="Y839" s="5">
        <v>-4.3363265799610389</v>
      </c>
      <c r="Z839" s="5">
        <v>-4.4345025189102927</v>
      </c>
      <c r="AA839" s="18">
        <v>2.2139109974702843E-2</v>
      </c>
      <c r="AB839" s="5">
        <v>-1.219509916180219</v>
      </c>
      <c r="AC839" s="4">
        <v>1.7721486655660874E-3</v>
      </c>
      <c r="AE839" s="5">
        <v>1.0640830227304372E-2</v>
      </c>
      <c r="AF839" s="5">
        <v>1.7512820698774866E-2</v>
      </c>
    </row>
    <row r="840" spans="23:32" x14ac:dyDescent="0.25">
      <c r="W840">
        <v>52.1</v>
      </c>
      <c r="X840" s="5">
        <v>57.36933698509926</v>
      </c>
      <c r="Y840" s="5">
        <v>-5.2693369850992582</v>
      </c>
      <c r="Z840" s="5">
        <v>-5.4015835012396494</v>
      </c>
      <c r="AA840" s="18">
        <v>2.4482916187455146E-2</v>
      </c>
      <c r="AB840" s="5">
        <v>-1.483680625620351</v>
      </c>
      <c r="AC840" s="4">
        <v>2.9077396371462914E-3</v>
      </c>
      <c r="AE840" s="5">
        <v>1.0640830227304372E-2</v>
      </c>
      <c r="AF840" s="5">
        <v>1.7660764229763874E-2</v>
      </c>
    </row>
    <row r="841" spans="23:32" x14ac:dyDescent="0.25">
      <c r="W841">
        <v>52.2</v>
      </c>
      <c r="X841" s="5">
        <v>57.279431000257084</v>
      </c>
      <c r="Y841" s="5">
        <v>-5.0794310002570811</v>
      </c>
      <c r="Z841" s="5">
        <v>-5.1478248611271695</v>
      </c>
      <c r="AA841" s="18">
        <v>1.3285972758426369E-2</v>
      </c>
      <c r="AB841" s="5">
        <v>-1.4220710844912798</v>
      </c>
      <c r="AC841" s="4">
        <v>1.4331480798036994E-3</v>
      </c>
      <c r="AE841" s="5">
        <v>1.0640830227304372E-2</v>
      </c>
      <c r="AF841" s="5">
        <v>1.7832911604489805E-2</v>
      </c>
    </row>
    <row r="842" spans="23:32" x14ac:dyDescent="0.25">
      <c r="W842">
        <v>52.3</v>
      </c>
      <c r="X842" s="5">
        <v>64.223782494156822</v>
      </c>
      <c r="Y842" s="5">
        <v>-11.923782494156825</v>
      </c>
      <c r="Z842" s="5">
        <v>-12.077033703647416</v>
      </c>
      <c r="AA842" s="18">
        <v>1.2689474356961071E-2</v>
      </c>
      <c r="AB842" s="5">
        <v>-3.3372523963301397</v>
      </c>
      <c r="AC842" s="4">
        <v>7.5338049412507681E-3</v>
      </c>
      <c r="AE842" s="5">
        <v>1.0640830227304372E-2</v>
      </c>
      <c r="AF842" s="5">
        <v>1.7962859118689598E-2</v>
      </c>
    </row>
    <row r="843" spans="23:32" x14ac:dyDescent="0.25">
      <c r="W843">
        <v>51.1</v>
      </c>
      <c r="X843" s="5">
        <v>54.761251915724642</v>
      </c>
      <c r="Y843" s="5">
        <v>-3.661251915724641</v>
      </c>
      <c r="Z843" s="5">
        <v>-3.6962111827003667</v>
      </c>
      <c r="AA843" s="18">
        <v>9.4581357091692367E-3</v>
      </c>
      <c r="AB843" s="5">
        <v>-1.0230458218865293</v>
      </c>
      <c r="AC843" s="4">
        <v>5.2598005604539196E-4</v>
      </c>
      <c r="AE843" s="5">
        <v>1.0640830227304372E-2</v>
      </c>
      <c r="AF843" s="5">
        <v>1.8970712167542095E-2</v>
      </c>
    </row>
    <row r="844" spans="23:32" x14ac:dyDescent="0.25">
      <c r="W844">
        <v>49.4</v>
      </c>
      <c r="X844" s="5">
        <v>52.350188117690436</v>
      </c>
      <c r="Y844" s="5">
        <v>-2.9501881176904377</v>
      </c>
      <c r="Z844" s="5">
        <v>-2.9823455501960936</v>
      </c>
      <c r="AA844" s="18">
        <v>1.0782597778966993E-2</v>
      </c>
      <c r="AB844" s="5">
        <v>-0.82490840252367492</v>
      </c>
      <c r="AC844" s="4">
        <v>3.903817540046039E-4</v>
      </c>
      <c r="AE844" s="5">
        <v>1.0640830227304372E-2</v>
      </c>
      <c r="AF844" s="5">
        <v>1.9056417219724751E-2</v>
      </c>
    </row>
    <row r="845" spans="23:32" x14ac:dyDescent="0.25">
      <c r="W845">
        <v>47.8</v>
      </c>
      <c r="X845" s="5">
        <v>47.701765168193624</v>
      </c>
      <c r="Y845" s="5">
        <v>9.8234831806372824E-2</v>
      </c>
      <c r="Z845" s="5">
        <v>9.971523563273621E-2</v>
      </c>
      <c r="AA845" s="18">
        <v>1.4846315279375901E-2</v>
      </c>
      <c r="AB845" s="5">
        <v>2.7524244347139976E-2</v>
      </c>
      <c r="AC845" s="4">
        <v>6.0088574520415781E-7</v>
      </c>
      <c r="AE845" s="5">
        <v>2.7365033500434649E-2</v>
      </c>
      <c r="AF845" s="5">
        <v>1.9305920719934762E-2</v>
      </c>
    </row>
    <row r="846" spans="23:32" x14ac:dyDescent="0.25">
      <c r="W846">
        <v>46.2</v>
      </c>
      <c r="X846" s="5">
        <v>45.918917968847893</v>
      </c>
      <c r="Y846" s="5">
        <v>0.28108203115210983</v>
      </c>
      <c r="Z846" s="5">
        <v>0.28851483089020746</v>
      </c>
      <c r="AA846" s="18">
        <v>2.5762279585994703E-2</v>
      </c>
      <c r="AB846" s="5">
        <v>7.9195864639831012E-2</v>
      </c>
      <c r="AC846" s="4">
        <v>8.7291258929626727E-6</v>
      </c>
      <c r="AE846" s="5">
        <v>2.7365033500434649E-2</v>
      </c>
      <c r="AF846" s="5">
        <v>1.9566647322315757E-2</v>
      </c>
    </row>
    <row r="847" spans="23:32" x14ac:dyDescent="0.25">
      <c r="W847">
        <v>45.3</v>
      </c>
      <c r="X847" s="5">
        <v>43.366464881360962</v>
      </c>
      <c r="Y847" s="5">
        <v>1.9335351186390355</v>
      </c>
      <c r="Z847" s="5">
        <v>1.9755290936789081</v>
      </c>
      <c r="AA847" s="18">
        <v>2.1257077495966979E-2</v>
      </c>
      <c r="AB847" s="5">
        <v>0.54352514304390398</v>
      </c>
      <c r="AC847" s="4">
        <v>3.376918647553352E-4</v>
      </c>
      <c r="AE847" s="5">
        <v>2.7365033500434649E-2</v>
      </c>
      <c r="AF847" s="5">
        <v>1.9793522003019218E-2</v>
      </c>
    </row>
    <row r="848" spans="23:32" x14ac:dyDescent="0.25">
      <c r="W848">
        <v>44.5</v>
      </c>
      <c r="X848" s="5">
        <v>42.606255245476483</v>
      </c>
      <c r="Y848" s="5">
        <v>1.8937447545235173</v>
      </c>
      <c r="Z848" s="5">
        <v>1.9369743374408586</v>
      </c>
      <c r="AA848" s="18">
        <v>2.2318097912674514E-2</v>
      </c>
      <c r="AB848" s="5">
        <v>0.53262867858607732</v>
      </c>
      <c r="AC848" s="4">
        <v>3.4084356172369725E-4</v>
      </c>
      <c r="AE848" s="5">
        <v>2.7365033500434649E-2</v>
      </c>
      <c r="AF848" s="5">
        <v>2.3002732570924778E-2</v>
      </c>
    </row>
    <row r="849" spans="23:32" x14ac:dyDescent="0.25">
      <c r="W849">
        <v>44.8</v>
      </c>
      <c r="X849" s="5">
        <v>42.160481527230239</v>
      </c>
      <c r="Y849" s="5">
        <v>2.6395184727697583</v>
      </c>
      <c r="Z849" s="5">
        <v>2.7367624219328661</v>
      </c>
      <c r="AA849" s="18">
        <v>3.5532477493762621E-2</v>
      </c>
      <c r="AB849" s="5">
        <v>0.74745111426459898</v>
      </c>
      <c r="AC849" s="4">
        <v>1.0833028063081459E-3</v>
      </c>
      <c r="AE849" s="5">
        <v>2.7365033500434649E-2</v>
      </c>
      <c r="AF849" s="5">
        <v>2.3422436364106937E-2</v>
      </c>
    </row>
    <row r="850" spans="23:32" x14ac:dyDescent="0.25">
      <c r="W850">
        <v>45.5</v>
      </c>
      <c r="X850" s="5">
        <v>42.429577037385215</v>
      </c>
      <c r="Y850" s="5">
        <v>3.070422962614785</v>
      </c>
      <c r="Z850" s="5">
        <v>3.1713498012344701</v>
      </c>
      <c r="AA850" s="18">
        <v>3.1824568384224608E-2</v>
      </c>
      <c r="AB850" s="5">
        <v>0.86780683864311525</v>
      </c>
      <c r="AC850" s="4">
        <v>1.3028697476529631E-3</v>
      </c>
      <c r="AE850" s="5">
        <v>2.7365033500434649E-2</v>
      </c>
      <c r="AF850" s="5">
        <v>2.426124789574402E-2</v>
      </c>
    </row>
    <row r="851" spans="23:32" x14ac:dyDescent="0.25">
      <c r="W851">
        <v>58.1</v>
      </c>
      <c r="X851" s="5">
        <v>61.254477353000169</v>
      </c>
      <c r="Y851" s="5">
        <v>-3.1544773530001677</v>
      </c>
      <c r="Z851" s="5">
        <v>-3.1996337173090552</v>
      </c>
      <c r="AA851" s="18">
        <v>1.4112979265284558E-2</v>
      </c>
      <c r="AB851" s="5">
        <v>-0.88351866963692771</v>
      </c>
      <c r="AC851" s="4">
        <v>5.8812469482371406E-4</v>
      </c>
      <c r="AE851" s="5">
        <v>2.7365033500434649E-2</v>
      </c>
      <c r="AF851" s="5">
        <v>2.6194123323146204E-2</v>
      </c>
    </row>
    <row r="852" spans="23:32" x14ac:dyDescent="0.25">
      <c r="W852">
        <v>61.1</v>
      </c>
      <c r="X852" s="5">
        <v>63.720890343241372</v>
      </c>
      <c r="Y852" s="5">
        <v>-2.6208903432413706</v>
      </c>
      <c r="Z852" s="5">
        <v>-2.6316380303537059</v>
      </c>
      <c r="AA852" s="18">
        <v>4.0840294099613664E-3</v>
      </c>
      <c r="AB852" s="5">
        <v>-0.73036405980618335</v>
      </c>
      <c r="AC852" s="4">
        <v>1.151307546014011E-4</v>
      </c>
      <c r="AE852" s="5">
        <v>2.7365033500434649E-2</v>
      </c>
      <c r="AF852" s="5">
        <v>2.7524244347139976E-2</v>
      </c>
    </row>
    <row r="853" spans="23:32" x14ac:dyDescent="0.25">
      <c r="W853">
        <v>67</v>
      </c>
      <c r="X853" s="5">
        <v>61.55569755879025</v>
      </c>
      <c r="Y853" s="5">
        <v>5.44430244120975</v>
      </c>
      <c r="Z853" s="5">
        <v>5.5183148971080271</v>
      </c>
      <c r="AA853" s="18">
        <v>1.3412147961520201E-2</v>
      </c>
      <c r="AB853" s="5">
        <v>1.5243203690666614</v>
      </c>
      <c r="AC853" s="4">
        <v>1.6624993237910415E-3</v>
      </c>
      <c r="AE853" s="5">
        <v>2.7365033500434649E-2</v>
      </c>
      <c r="AF853" s="5">
        <v>2.7989450782444584E-2</v>
      </c>
    </row>
    <row r="854" spans="23:32" x14ac:dyDescent="0.25">
      <c r="W854">
        <v>62</v>
      </c>
      <c r="X854" s="5">
        <v>62.879163786124892</v>
      </c>
      <c r="Y854" s="5">
        <v>-0.87916378612489154</v>
      </c>
      <c r="Z854" s="5">
        <v>-0.88497435311782624</v>
      </c>
      <c r="AA854" s="18">
        <v>6.5658026952605626E-3</v>
      </c>
      <c r="AB854" s="5">
        <v>-0.24530258765372495</v>
      </c>
      <c r="AC854" s="4">
        <v>2.0931453162702048E-5</v>
      </c>
      <c r="AE854" s="5">
        <v>4.1053957112594373E-2</v>
      </c>
      <c r="AF854" s="5">
        <v>2.9081901264690721E-2</v>
      </c>
    </row>
    <row r="855" spans="23:32" x14ac:dyDescent="0.25">
      <c r="W855">
        <v>59.7</v>
      </c>
      <c r="X855" s="5">
        <v>61.747151398161847</v>
      </c>
      <c r="Y855" s="5">
        <v>-2.0471513981618443</v>
      </c>
      <c r="Z855" s="5">
        <v>-2.0857594883989776</v>
      </c>
      <c r="AA855" s="18">
        <v>1.8510327030451846E-2</v>
      </c>
      <c r="AB855" s="5">
        <v>-0.57465737791624172</v>
      </c>
      <c r="AC855" s="4">
        <v>3.277877582613373E-4</v>
      </c>
      <c r="AE855" s="5">
        <v>4.1053957112594373E-2</v>
      </c>
      <c r="AF855" s="5">
        <v>3.0978491661154208E-2</v>
      </c>
    </row>
    <row r="856" spans="23:32" x14ac:dyDescent="0.25">
      <c r="W856">
        <v>59.2</v>
      </c>
      <c r="X856" s="5">
        <v>62.922513900839895</v>
      </c>
      <c r="Y856" s="5">
        <v>-3.7225139008398926</v>
      </c>
      <c r="Z856" s="5">
        <v>-3.7718719152199753</v>
      </c>
      <c r="AA856" s="18">
        <v>1.3085814017416455E-2</v>
      </c>
      <c r="AB856" s="5">
        <v>-1.0420739133538597</v>
      </c>
      <c r="AC856" s="4">
        <v>7.5781779542892188E-4</v>
      </c>
      <c r="AE856" s="5">
        <v>4.1053957112594373E-2</v>
      </c>
      <c r="AF856" s="5">
        <v>3.1260550079240342E-2</v>
      </c>
    </row>
    <row r="857" spans="23:32" x14ac:dyDescent="0.25">
      <c r="W857">
        <v>58.6</v>
      </c>
      <c r="X857" s="5">
        <v>62.329836696113105</v>
      </c>
      <c r="Y857" s="5">
        <v>-3.7298366961131038</v>
      </c>
      <c r="Z857" s="5">
        <v>-3.7595619222763332</v>
      </c>
      <c r="AA857" s="18">
        <v>7.9065664504945239E-3</v>
      </c>
      <c r="AB857" s="5">
        <v>-1.0413948404715365</v>
      </c>
      <c r="AC857" s="4">
        <v>4.5489649703316017E-4</v>
      </c>
      <c r="AE857" s="5">
        <v>4.1053957112594373E-2</v>
      </c>
      <c r="AF857" s="5">
        <v>3.192608256306962E-2</v>
      </c>
    </row>
    <row r="858" spans="23:32" x14ac:dyDescent="0.25">
      <c r="W858">
        <v>73.400000000000006</v>
      </c>
      <c r="X858" s="5">
        <v>77.35211234540624</v>
      </c>
      <c r="Y858" s="5">
        <v>-3.9521123454062348</v>
      </c>
      <c r="Z858" s="5">
        <v>-3.9768779854712903</v>
      </c>
      <c r="AA858" s="18">
        <v>6.2274075683328E-3</v>
      </c>
      <c r="AB858" s="5">
        <v>-1.1025230196463305</v>
      </c>
      <c r="AC858" s="4">
        <v>4.0090549224675433E-4</v>
      </c>
      <c r="AE858" s="5">
        <v>4.1053957112594373E-2</v>
      </c>
      <c r="AF858" s="5">
        <v>3.6249050438618979E-2</v>
      </c>
    </row>
    <row r="859" spans="23:32" x14ac:dyDescent="0.25">
      <c r="W859">
        <v>73</v>
      </c>
      <c r="X859" s="5">
        <v>76.939198855708113</v>
      </c>
      <c r="Y859" s="5">
        <v>-3.9391988557081135</v>
      </c>
      <c r="Z859" s="5">
        <v>-3.9638426422693271</v>
      </c>
      <c r="AA859" s="18">
        <v>6.217145529042495E-3</v>
      </c>
      <c r="AB859" s="5">
        <v>-1.0989148622377753</v>
      </c>
      <c r="AC859" s="4">
        <v>3.9762531552254454E-4</v>
      </c>
      <c r="AE859" s="5">
        <v>4.1053957112594373E-2</v>
      </c>
      <c r="AF859" s="5">
        <v>3.6512657036517973E-2</v>
      </c>
    </row>
    <row r="860" spans="23:32" x14ac:dyDescent="0.25">
      <c r="W860">
        <v>73</v>
      </c>
      <c r="X860" s="5">
        <v>75.117041726684178</v>
      </c>
      <c r="Y860" s="5">
        <v>-2.1170417266841781</v>
      </c>
      <c r="Z860" s="5">
        <v>-2.1416500194665673</v>
      </c>
      <c r="AA860" s="18">
        <v>1.1490342753819622E-2</v>
      </c>
      <c r="AB860" s="5">
        <v>-0.59216243217500686</v>
      </c>
      <c r="AC860" s="4">
        <v>2.1452611571790345E-4</v>
      </c>
      <c r="AE860" s="5">
        <v>4.1053957112594373E-2</v>
      </c>
      <c r="AF860" s="5">
        <v>3.7834137341650337E-2</v>
      </c>
    </row>
    <row r="861" spans="23:32" x14ac:dyDescent="0.25">
      <c r="W861">
        <v>72.8</v>
      </c>
      <c r="X861" s="5">
        <v>78.003600956088775</v>
      </c>
      <c r="Y861" s="5">
        <v>-5.2036009560887777</v>
      </c>
      <c r="Z861" s="5">
        <v>-5.260533207451104</v>
      </c>
      <c r="AA861" s="18">
        <v>1.0822524850082053E-2</v>
      </c>
      <c r="AB861" s="5">
        <v>-1.455019344823719</v>
      </c>
      <c r="AC861" s="4">
        <v>1.2190971253504032E-3</v>
      </c>
      <c r="AE861" s="5">
        <v>4.1053957112594373E-2</v>
      </c>
      <c r="AF861" s="5">
        <v>3.8316484588924858E-2</v>
      </c>
    </row>
    <row r="862" spans="23:32" x14ac:dyDescent="0.25">
      <c r="W862">
        <v>72.400000000000006</v>
      </c>
      <c r="X862" s="5">
        <v>75.165917675074127</v>
      </c>
      <c r="Y862" s="5">
        <v>-2.765917675074121</v>
      </c>
      <c r="Z862" s="5">
        <v>-2.7957651542709243</v>
      </c>
      <c r="AA862" s="18">
        <v>1.0675960801357534E-2</v>
      </c>
      <c r="AB862" s="5">
        <v>-0.77334246860028066</v>
      </c>
      <c r="AC862" s="4">
        <v>3.3967104583236351E-4</v>
      </c>
      <c r="AE862" s="5">
        <v>4.1053957112594373E-2</v>
      </c>
      <c r="AF862" s="5">
        <v>3.8914081111811154E-2</v>
      </c>
    </row>
    <row r="863" spans="23:32" x14ac:dyDescent="0.25">
      <c r="W863">
        <v>72.2</v>
      </c>
      <c r="X863" s="5">
        <v>76.789650879899057</v>
      </c>
      <c r="Y863" s="5">
        <v>-4.5896508798990538</v>
      </c>
      <c r="Z863" s="5">
        <v>-4.6102350316074023</v>
      </c>
      <c r="AA863" s="18">
        <v>4.4648811974294031E-3</v>
      </c>
      <c r="AB863" s="5">
        <v>-1.2792435935419131</v>
      </c>
      <c r="AC863" s="4">
        <v>3.8628355809669642E-4</v>
      </c>
      <c r="AE863" s="5">
        <v>4.1053957112594373E-2</v>
      </c>
      <c r="AF863" s="5">
        <v>3.9937585782585147E-2</v>
      </c>
    </row>
    <row r="864" spans="23:32" x14ac:dyDescent="0.25">
      <c r="W864">
        <v>71.099999999999994</v>
      </c>
      <c r="X864" s="5">
        <v>76.135654133519623</v>
      </c>
      <c r="Y864" s="5">
        <v>-5.0356541335196283</v>
      </c>
      <c r="Z864" s="5">
        <v>-5.0629501265397892</v>
      </c>
      <c r="AA864" s="18">
        <v>5.3913217270456885E-3</v>
      </c>
      <c r="AB864" s="5">
        <v>-1.4042087122029465</v>
      </c>
      <c r="AC864" s="4">
        <v>5.6253912113365023E-4</v>
      </c>
      <c r="AE864" s="5">
        <v>4.1053957112594373E-2</v>
      </c>
      <c r="AF864" s="5">
        <v>4.1100799057405657E-2</v>
      </c>
    </row>
    <row r="865" spans="23:32" x14ac:dyDescent="0.25">
      <c r="W865">
        <v>72</v>
      </c>
      <c r="X865" s="5">
        <v>79.120326095874901</v>
      </c>
      <c r="Y865" s="5">
        <v>-7.1203260958749013</v>
      </c>
      <c r="Z865" s="5">
        <v>-7.1574009911434757</v>
      </c>
      <c r="AA865" s="18">
        <v>5.1799382645260437E-3</v>
      </c>
      <c r="AB865" s="5">
        <v>-1.9853153856280548</v>
      </c>
      <c r="AC865" s="4">
        <v>1.0801534685765774E-3</v>
      </c>
      <c r="AE865" s="5">
        <v>4.1053957112594373E-2</v>
      </c>
      <c r="AF865" s="5">
        <v>4.4700069221284694E-2</v>
      </c>
    </row>
    <row r="866" spans="23:32" x14ac:dyDescent="0.25">
      <c r="W866">
        <v>76</v>
      </c>
      <c r="X866" s="5">
        <v>74.90931517399504</v>
      </c>
      <c r="Y866" s="5">
        <v>1.09068482600496</v>
      </c>
      <c r="Z866" s="5">
        <v>1.0977456574016315</v>
      </c>
      <c r="AA866" s="18">
        <v>6.4321196345057492E-3</v>
      </c>
      <c r="AB866" s="5">
        <v>0.30430030748888248</v>
      </c>
      <c r="AC866" s="4">
        <v>3.1550609364896834E-5</v>
      </c>
      <c r="AE866" s="5">
        <v>4.1053957112594373E-2</v>
      </c>
      <c r="AF866" s="5">
        <v>4.5456591153585413E-2</v>
      </c>
    </row>
    <row r="867" spans="23:32" x14ac:dyDescent="0.25">
      <c r="W867">
        <v>78</v>
      </c>
      <c r="X867" s="5">
        <v>75.127666433599529</v>
      </c>
      <c r="Y867" s="5">
        <v>2.8723335664004708</v>
      </c>
      <c r="Z867" s="5">
        <v>2.886784023976702</v>
      </c>
      <c r="AA867" s="18">
        <v>5.0057286780758742E-3</v>
      </c>
      <c r="AB867" s="5">
        <v>0.80080444497004943</v>
      </c>
      <c r="AC867" s="4">
        <v>1.6980328001919894E-4</v>
      </c>
      <c r="AE867" s="5">
        <v>4.1053957112594373E-2</v>
      </c>
      <c r="AF867" s="5">
        <v>4.8634307950197853E-2</v>
      </c>
    </row>
    <row r="868" spans="23:32" x14ac:dyDescent="0.25">
      <c r="W868">
        <v>71.599999999999994</v>
      </c>
      <c r="X868" s="5">
        <v>77.421415321200655</v>
      </c>
      <c r="Y868" s="5">
        <v>-5.8214153212006607</v>
      </c>
      <c r="Z868" s="5">
        <v>-5.9514134121281899</v>
      </c>
      <c r="AA868" s="18">
        <v>2.1843229822114594E-2</v>
      </c>
      <c r="AB868" s="5">
        <v>-1.6369154346861412</v>
      </c>
      <c r="AC868" s="4">
        <v>3.1492510043730068E-3</v>
      </c>
      <c r="AE868" s="5">
        <v>4.1053957112594373E-2</v>
      </c>
      <c r="AF868" s="5">
        <v>4.9200910057824718E-2</v>
      </c>
    </row>
    <row r="869" spans="23:32" x14ac:dyDescent="0.25">
      <c r="W869">
        <v>71.599999999999994</v>
      </c>
      <c r="X869" s="5">
        <v>77.624065301569757</v>
      </c>
      <c r="Y869" s="5">
        <v>-6.0240653015697632</v>
      </c>
      <c r="Z869" s="5">
        <v>-6.0549100040229149</v>
      </c>
      <c r="AA869" s="18">
        <v>5.0941636510960847E-3</v>
      </c>
      <c r="AB869" s="5">
        <v>-1.6795795320060671</v>
      </c>
      <c r="AC869" s="4">
        <v>7.6021854585987835E-4</v>
      </c>
      <c r="AE869" s="5">
        <v>6.3887210036911155E-2</v>
      </c>
      <c r="AF869" s="5">
        <v>4.9468085138808758E-2</v>
      </c>
    </row>
    <row r="870" spans="23:32" x14ac:dyDescent="0.25">
      <c r="W870">
        <v>71.400000000000006</v>
      </c>
      <c r="X870" s="5">
        <v>77.381142367234844</v>
      </c>
      <c r="Y870" s="5">
        <v>-5.9811423672348383</v>
      </c>
      <c r="Z870" s="5">
        <v>-6.0059187699116166</v>
      </c>
      <c r="AA870" s="18">
        <v>4.1253309653310382E-3</v>
      </c>
      <c r="AB870" s="5">
        <v>-1.6668007559812019</v>
      </c>
      <c r="AC870" s="4">
        <v>6.0571438449877715E-4</v>
      </c>
      <c r="AE870" s="5">
        <v>6.3887210036911155E-2</v>
      </c>
      <c r="AF870" s="5">
        <v>5.1063305166924214E-2</v>
      </c>
    </row>
    <row r="871" spans="23:32" x14ac:dyDescent="0.25">
      <c r="W871">
        <v>71.2</v>
      </c>
      <c r="X871" s="5">
        <v>76.512308936184354</v>
      </c>
      <c r="Y871" s="5">
        <v>-5.3123089361843512</v>
      </c>
      <c r="Z871" s="5">
        <v>-5.3346856719326041</v>
      </c>
      <c r="AA871" s="18">
        <v>4.194574361895121E-3</v>
      </c>
      <c r="AB871" s="5">
        <v>-1.4804644084753242</v>
      </c>
      <c r="AC871" s="4">
        <v>4.8590990389758685E-4</v>
      </c>
      <c r="AE871" s="5">
        <v>6.3887210036911155E-2</v>
      </c>
      <c r="AF871" s="5">
        <v>5.1634940483861254E-2</v>
      </c>
    </row>
    <row r="872" spans="23:32" x14ac:dyDescent="0.25">
      <c r="W872">
        <v>71.599999999999994</v>
      </c>
      <c r="X872" s="5">
        <v>76.21121978139999</v>
      </c>
      <c r="Y872" s="5">
        <v>-4.6112197813999956</v>
      </c>
      <c r="Z872" s="5">
        <v>-4.630011914848339</v>
      </c>
      <c r="AA872" s="18">
        <v>4.0587656779203819E-3</v>
      </c>
      <c r="AB872" s="5">
        <v>-1.2849932820614418</v>
      </c>
      <c r="AC872" s="4">
        <v>3.5416723348009562E-4</v>
      </c>
      <c r="AE872" s="5">
        <v>6.3887210036911155E-2</v>
      </c>
      <c r="AF872" s="5">
        <v>5.190624183340975E-2</v>
      </c>
    </row>
    <row r="873" spans="23:32" x14ac:dyDescent="0.25">
      <c r="W873">
        <v>81.7</v>
      </c>
      <c r="X873" s="5">
        <v>82.700400214156033</v>
      </c>
      <c r="Y873" s="5">
        <v>-1.0004002141560306</v>
      </c>
      <c r="Z873" s="5">
        <v>-1.0905447274040512</v>
      </c>
      <c r="AA873" s="18">
        <v>8.2660078933762052E-2</v>
      </c>
      <c r="AB873" s="5">
        <v>-0.29047617755895305</v>
      </c>
      <c r="AC873" s="4">
        <v>4.0015934449510662E-4</v>
      </c>
      <c r="AE873" s="5">
        <v>6.3887210036911155E-2</v>
      </c>
      <c r="AF873" s="5">
        <v>5.2966893986273703E-2</v>
      </c>
    </row>
    <row r="874" spans="23:32" x14ac:dyDescent="0.25">
      <c r="W874">
        <v>81.400000000000006</v>
      </c>
      <c r="X874" s="5">
        <v>82.301496847708918</v>
      </c>
      <c r="Y874" s="5">
        <v>-0.9014968477089127</v>
      </c>
      <c r="Z874" s="5">
        <v>-0.9749255339284133</v>
      </c>
      <c r="AA874" s="18">
        <v>7.5317225433229107E-2</v>
      </c>
      <c r="AB874" s="5">
        <v>-0.26071722230990113</v>
      </c>
      <c r="AC874" s="4">
        <v>2.9139854940178769E-4</v>
      </c>
      <c r="AE874" s="5">
        <v>6.3887210036911155E-2</v>
      </c>
      <c r="AF874" s="5">
        <v>5.4758384049553507E-2</v>
      </c>
    </row>
    <row r="875" spans="23:32" x14ac:dyDescent="0.25">
      <c r="W875">
        <v>81.099999999999994</v>
      </c>
      <c r="X875" s="5">
        <v>76.968273265127166</v>
      </c>
      <c r="Y875" s="5">
        <v>4.1317267348728279</v>
      </c>
      <c r="Z875" s="5">
        <v>4.1750335819489521</v>
      </c>
      <c r="AA875" s="18">
        <v>1.0372814068696895E-2</v>
      </c>
      <c r="AB875" s="5">
        <v>1.1550417260941084</v>
      </c>
      <c r="AC875" s="4">
        <v>7.3598120213411405E-4</v>
      </c>
      <c r="AE875" s="5">
        <v>6.3887210036911155E-2</v>
      </c>
      <c r="AF875" s="5">
        <v>5.5427727607509761E-2</v>
      </c>
    </row>
    <row r="876" spans="23:32" x14ac:dyDescent="0.25">
      <c r="W876">
        <v>88</v>
      </c>
      <c r="X876" s="5">
        <v>84.595076158560289</v>
      </c>
      <c r="Y876" s="5">
        <v>3.4049238414397109</v>
      </c>
      <c r="Z876" s="5">
        <v>3.6613770770618999</v>
      </c>
      <c r="AA876" s="18">
        <v>7.0042836404052691E-2</v>
      </c>
      <c r="AB876" s="5">
        <v>0.98192388012533027</v>
      </c>
      <c r="AC876" s="4">
        <v>3.8221068474765369E-3</v>
      </c>
      <c r="AE876" s="5">
        <v>6.3887210036911155E-2</v>
      </c>
      <c r="AF876" s="5">
        <v>5.6337362326177441E-2</v>
      </c>
    </row>
    <row r="877" spans="23:32" x14ac:dyDescent="0.25">
      <c r="W877">
        <v>86</v>
      </c>
      <c r="X877" s="5">
        <v>77.362192529183773</v>
      </c>
      <c r="Y877" s="5">
        <v>8.6378074708162274</v>
      </c>
      <c r="Z877" s="5">
        <v>8.6752377881975917</v>
      </c>
      <c r="AA877" s="18">
        <v>4.3146157252646911E-3</v>
      </c>
      <c r="AB877" s="5">
        <v>2.4073783220574709</v>
      </c>
      <c r="AC877" s="4">
        <v>1.3217675326994637E-3</v>
      </c>
      <c r="AE877" s="5">
        <v>6.3887210036911155E-2</v>
      </c>
      <c r="AF877" s="5">
        <v>5.6801726715678645E-2</v>
      </c>
    </row>
    <row r="878" spans="23:32" x14ac:dyDescent="0.25">
      <c r="W878">
        <v>83</v>
      </c>
      <c r="X878" s="5">
        <v>77.081315721505774</v>
      </c>
      <c r="Y878" s="5">
        <v>5.9186842784942257</v>
      </c>
      <c r="Z878" s="5">
        <v>5.9473675417692249</v>
      </c>
      <c r="AA878" s="18">
        <v>4.8228502902412634E-3</v>
      </c>
      <c r="AB878" s="5">
        <v>1.64997311543179</v>
      </c>
      <c r="AC878" s="4">
        <v>6.9439009948498061E-4</v>
      </c>
      <c r="AE878" s="5">
        <v>6.3887210036911155E-2</v>
      </c>
      <c r="AF878" s="5">
        <v>5.8281796198830123E-2</v>
      </c>
    </row>
    <row r="879" spans="23:32" x14ac:dyDescent="0.25">
      <c r="W879">
        <v>80</v>
      </c>
      <c r="X879" s="5">
        <v>85.929651247791114</v>
      </c>
      <c r="Y879" s="5">
        <v>-5.9296512477911136</v>
      </c>
      <c r="Z879" s="5">
        <v>-6.4438196936111183</v>
      </c>
      <c r="AA879" s="18">
        <v>7.9792494245266271E-2</v>
      </c>
      <c r="AB879" s="5">
        <v>-1.719048608811051</v>
      </c>
      <c r="AC879" s="4">
        <v>1.3486491504478592E-2</v>
      </c>
      <c r="AE879" s="5">
        <v>7.9127168877726875E-2</v>
      </c>
      <c r="AF879" s="5">
        <v>6.2514965812746251E-2</v>
      </c>
    </row>
    <row r="880" spans="23:32" x14ac:dyDescent="0.25">
      <c r="W880">
        <v>79.7</v>
      </c>
      <c r="X880" s="5">
        <v>75.92955447297858</v>
      </c>
      <c r="Y880" s="5">
        <v>3.7704455270214225</v>
      </c>
      <c r="Z880" s="5">
        <v>3.7911383029579042</v>
      </c>
      <c r="AA880" s="18">
        <v>5.4581960041739652E-3</v>
      </c>
      <c r="AB880" s="5">
        <v>1.051436480506917</v>
      </c>
      <c r="AC880" s="4">
        <v>3.1932915062034013E-4</v>
      </c>
      <c r="AE880" s="5">
        <v>7.9127168877726875E-2</v>
      </c>
      <c r="AF880" s="5">
        <v>6.3549492544484013E-2</v>
      </c>
    </row>
    <row r="881" spans="23:32" x14ac:dyDescent="0.25">
      <c r="W881">
        <v>79.400000000000006</v>
      </c>
      <c r="X881" s="5">
        <v>82.850834380155746</v>
      </c>
      <c r="Y881" s="5">
        <v>-3.4508343801557402</v>
      </c>
      <c r="Z881" s="5">
        <v>-3.6427057749460943</v>
      </c>
      <c r="AA881" s="18">
        <v>5.2672767619611531E-2</v>
      </c>
      <c r="AB881" s="5">
        <v>-0.98599791595026287</v>
      </c>
      <c r="AC881" s="4">
        <v>2.8450146656888633E-3</v>
      </c>
      <c r="AE881" s="5">
        <v>7.9127168877726875E-2</v>
      </c>
      <c r="AF881" s="5">
        <v>6.4635414187768914E-2</v>
      </c>
    </row>
    <row r="882" spans="23:32" x14ac:dyDescent="0.25">
      <c r="W882">
        <v>78.8</v>
      </c>
      <c r="X882" s="5">
        <v>77.66748693634031</v>
      </c>
      <c r="Y882" s="5">
        <v>1.1325130636596867</v>
      </c>
      <c r="Z882" s="5">
        <v>1.1390702721159442</v>
      </c>
      <c r="AA882" s="18">
        <v>5.7566320680843414E-3</v>
      </c>
      <c r="AB882" s="5">
        <v>0.31586300353962027</v>
      </c>
      <c r="AC882" s="4">
        <v>3.0403227588493797E-5</v>
      </c>
      <c r="AE882" s="5">
        <v>7.9127168877726875E-2</v>
      </c>
      <c r="AF882" s="5">
        <v>6.481004448125903E-2</v>
      </c>
    </row>
    <row r="883" spans="23:32" x14ac:dyDescent="0.25">
      <c r="W883">
        <v>78.7</v>
      </c>
      <c r="X883" s="5">
        <v>81.268110022596488</v>
      </c>
      <c r="Y883" s="5">
        <v>-2.5681100225964855</v>
      </c>
      <c r="Z883" s="5">
        <v>-2.6551428368102137</v>
      </c>
      <c r="AA883" s="18">
        <v>3.2778957503577393E-2</v>
      </c>
      <c r="AB883" s="5">
        <v>-0.72619398839167515</v>
      </c>
      <c r="AC883" s="4">
        <v>9.4063492296407722E-4</v>
      </c>
      <c r="AE883" s="5">
        <v>7.9127168877726875E-2</v>
      </c>
      <c r="AF883" s="5">
        <v>6.6468513333966445E-2</v>
      </c>
    </row>
    <row r="884" spans="23:32" x14ac:dyDescent="0.25">
      <c r="W884">
        <v>78.599999999999994</v>
      </c>
      <c r="X884" s="5">
        <v>80.24774031669412</v>
      </c>
      <c r="Y884" s="5">
        <v>-1.6477403166941258</v>
      </c>
      <c r="Z884" s="5">
        <v>-1.6849195441117217</v>
      </c>
      <c r="AA884" s="18">
        <v>2.2065877001381184E-2</v>
      </c>
      <c r="AB884" s="5">
        <v>-0.46337847907813451</v>
      </c>
      <c r="AC884" s="4">
        <v>2.5499385308062607E-4</v>
      </c>
      <c r="AE884" s="5">
        <v>7.9127168877726875E-2</v>
      </c>
      <c r="AF884" s="5">
        <v>6.8675988795714085E-2</v>
      </c>
    </row>
    <row r="885" spans="23:32" x14ac:dyDescent="0.25">
      <c r="W885">
        <v>78.3</v>
      </c>
      <c r="X885" s="5">
        <v>75.778604648675014</v>
      </c>
      <c r="Y885" s="5">
        <v>2.5213953513249834</v>
      </c>
      <c r="Z885" s="5">
        <v>2.536827624551762</v>
      </c>
      <c r="AA885" s="18">
        <v>6.0832959549259307E-3</v>
      </c>
      <c r="AB885" s="5">
        <v>0.70334409362690486</v>
      </c>
      <c r="AC885" s="4">
        <v>1.5935696309049213E-4</v>
      </c>
      <c r="AE885" s="5">
        <v>7.9127168877726875E-2</v>
      </c>
      <c r="AF885" s="5">
        <v>6.8797795619932392E-2</v>
      </c>
    </row>
    <row r="886" spans="23:32" x14ac:dyDescent="0.25">
      <c r="W886">
        <v>78</v>
      </c>
      <c r="X886" s="5">
        <v>78.796143079952017</v>
      </c>
      <c r="Y886" s="5">
        <v>-0.79614307995201727</v>
      </c>
      <c r="Z886" s="5">
        <v>-0.80744182586300894</v>
      </c>
      <c r="AA886" s="18">
        <v>1.3993263104639221E-2</v>
      </c>
      <c r="AB886" s="5">
        <v>-0.22297340975456509</v>
      </c>
      <c r="AC886" s="4">
        <v>3.7135704484824056E-5</v>
      </c>
      <c r="AE886" s="5">
        <v>7.9127168877726875E-2</v>
      </c>
      <c r="AF886" s="5">
        <v>7.0023531517939372E-2</v>
      </c>
    </row>
    <row r="887" spans="23:32" x14ac:dyDescent="0.25">
      <c r="W887">
        <v>77.8</v>
      </c>
      <c r="X887" s="5">
        <v>78.961479637466354</v>
      </c>
      <c r="Y887" s="5">
        <v>-1.161479637466357</v>
      </c>
      <c r="Z887" s="5">
        <v>-1.1798537950538446</v>
      </c>
      <c r="AA887" s="18">
        <v>1.5573249553894344E-2</v>
      </c>
      <c r="AB887" s="5">
        <v>-0.32555306527942718</v>
      </c>
      <c r="AC887" s="4">
        <v>8.8244127452423131E-5</v>
      </c>
      <c r="AE887" s="5">
        <v>7.9127168877726875E-2</v>
      </c>
      <c r="AF887" s="5">
        <v>7.219687133884109E-2</v>
      </c>
    </row>
    <row r="888" spans="23:32" x14ac:dyDescent="0.25">
      <c r="W888">
        <v>65.099999999999994</v>
      </c>
      <c r="X888" s="5">
        <v>64.499283757891135</v>
      </c>
      <c r="Y888" s="5">
        <v>0.60071624210885943</v>
      </c>
      <c r="Z888" s="5">
        <v>0.60335667078872746</v>
      </c>
      <c r="AA888" s="18">
        <v>4.3762318504111577E-3</v>
      </c>
      <c r="AB888" s="5">
        <v>0.16742628405469343</v>
      </c>
      <c r="AC888" s="4">
        <v>6.4848321966260112E-6</v>
      </c>
      <c r="AE888" s="5">
        <v>7.9127168877726875E-2</v>
      </c>
      <c r="AF888" s="5">
        <v>7.2997811012540631E-2</v>
      </c>
    </row>
    <row r="889" spans="23:32" x14ac:dyDescent="0.25">
      <c r="W889">
        <v>64.7</v>
      </c>
      <c r="X889" s="5">
        <v>68.402615299634448</v>
      </c>
      <c r="Y889" s="5">
        <v>-3.702615299634445</v>
      </c>
      <c r="Z889" s="5">
        <v>-3.7170425959532736</v>
      </c>
      <c r="AA889" s="18">
        <v>3.881391172254119E-3</v>
      </c>
      <c r="AB889" s="5">
        <v>-1.0317036248982261</v>
      </c>
      <c r="AC889" s="4">
        <v>2.1828941265785251E-4</v>
      </c>
      <c r="AE889" s="5">
        <v>7.9127168877726875E-2</v>
      </c>
      <c r="AF889" s="5">
        <v>7.3199419145212649E-2</v>
      </c>
    </row>
    <row r="890" spans="23:32" x14ac:dyDescent="0.25">
      <c r="W890">
        <v>64.3</v>
      </c>
      <c r="X890" s="5">
        <v>63.976885669834076</v>
      </c>
      <c r="Y890" s="5">
        <v>0.32311433016592161</v>
      </c>
      <c r="Z890" s="5">
        <v>0.32760046147665633</v>
      </c>
      <c r="AA890" s="18">
        <v>1.3693910229895394E-2</v>
      </c>
      <c r="AB890" s="5">
        <v>9.0479929585662963E-2</v>
      </c>
      <c r="AC890" s="4">
        <v>5.9822790711362676E-6</v>
      </c>
      <c r="AE890" s="5">
        <v>7.9127168877726875E-2</v>
      </c>
      <c r="AF890" s="5">
        <v>7.4558757074830243E-2</v>
      </c>
    </row>
    <row r="891" spans="23:32" x14ac:dyDescent="0.25">
      <c r="W891">
        <v>63.8</v>
      </c>
      <c r="X891" s="5">
        <v>64.517753730984666</v>
      </c>
      <c r="Y891" s="5">
        <v>-0.71775373098466844</v>
      </c>
      <c r="Z891" s="5">
        <v>-0.71926514318209911</v>
      </c>
      <c r="AA891" s="18">
        <v>2.1013282956346231E-3</v>
      </c>
      <c r="AB891" s="5">
        <v>-0.19981777935733991</v>
      </c>
      <c r="AC891" s="4">
        <v>4.4250901166340519E-6</v>
      </c>
      <c r="AE891" s="5">
        <v>7.9127168877726875E-2</v>
      </c>
      <c r="AF891" s="5">
        <v>7.6404724663229742E-2</v>
      </c>
    </row>
    <row r="892" spans="23:32" x14ac:dyDescent="0.25">
      <c r="W892">
        <v>63.3</v>
      </c>
      <c r="X892" s="5">
        <v>63.235809991514181</v>
      </c>
      <c r="Y892" s="5">
        <v>6.4190008485816463E-2</v>
      </c>
      <c r="Z892" s="5">
        <v>6.4994964502730568E-2</v>
      </c>
      <c r="AA892" s="18">
        <v>1.2384898169772066E-2</v>
      </c>
      <c r="AB892" s="5">
        <v>1.7962859118689598E-2</v>
      </c>
      <c r="AC892" s="4">
        <v>2.1296196456656345E-7</v>
      </c>
      <c r="AE892" s="5">
        <v>9.896716322379942E-2</v>
      </c>
      <c r="AF892" s="5">
        <v>7.6470852694808369E-2</v>
      </c>
    </row>
    <row r="893" spans="23:32" x14ac:dyDescent="0.25">
      <c r="W893">
        <v>62.8</v>
      </c>
      <c r="X893" s="5">
        <v>63.747805678487204</v>
      </c>
      <c r="Y893" s="5">
        <v>-0.94780567848720665</v>
      </c>
      <c r="Z893" s="5">
        <v>-0.94973100152466827</v>
      </c>
      <c r="AA893" s="18">
        <v>2.0272298517937872E-3</v>
      </c>
      <c r="AB893" s="5">
        <v>-0.26385288809310714</v>
      </c>
      <c r="AC893" s="4">
        <v>7.4431094393809759E-6</v>
      </c>
      <c r="AE893" s="5">
        <v>9.896716322379942E-2</v>
      </c>
      <c r="AF893" s="5">
        <v>7.7813825244520157E-2</v>
      </c>
    </row>
    <row r="894" spans="23:32" x14ac:dyDescent="0.25">
      <c r="W894">
        <v>62.3</v>
      </c>
      <c r="X894" s="5">
        <v>63.204233943611221</v>
      </c>
      <c r="Y894" s="5">
        <v>-0.90423394361122433</v>
      </c>
      <c r="Z894" s="5">
        <v>-0.9062126658272831</v>
      </c>
      <c r="AA894" s="18">
        <v>2.183507570217669E-3</v>
      </c>
      <c r="AB894" s="5">
        <v>-0.25174297406387913</v>
      </c>
      <c r="AC894" s="4">
        <v>7.2990298593618143E-6</v>
      </c>
      <c r="AE894" s="5">
        <v>9.896716322379942E-2</v>
      </c>
      <c r="AF894" s="5">
        <v>7.9195864639831012E-2</v>
      </c>
    </row>
    <row r="895" spans="23:32" x14ac:dyDescent="0.25">
      <c r="W895">
        <v>61.9</v>
      </c>
      <c r="X895" s="5">
        <v>62.886692759778505</v>
      </c>
      <c r="Y895" s="5">
        <v>-0.98669275977850646</v>
      </c>
      <c r="Z895" s="5">
        <v>-0.98898205647693516</v>
      </c>
      <c r="AA895" s="18">
        <v>2.3148010456153847E-3</v>
      </c>
      <c r="AB895" s="5">
        <v>-0.27471796991549446</v>
      </c>
      <c r="AC895" s="4">
        <v>9.2159620265459827E-6</v>
      </c>
      <c r="AE895" s="5">
        <v>9.896716322379942E-2</v>
      </c>
      <c r="AF895" s="5">
        <v>8.0090610054618053E-2</v>
      </c>
    </row>
    <row r="896" spans="23:32" x14ac:dyDescent="0.25">
      <c r="W896">
        <v>61.4</v>
      </c>
      <c r="X896" s="5">
        <v>62.620915491494387</v>
      </c>
      <c r="Y896" s="5">
        <v>-1.220915491494388</v>
      </c>
      <c r="Z896" s="5">
        <v>-1.2238269684358869</v>
      </c>
      <c r="AA896" s="18">
        <v>2.3789939399839173E-3</v>
      </c>
      <c r="AB896" s="5">
        <v>-0.33994190473435693</v>
      </c>
      <c r="AC896" s="4">
        <v>1.4503858584186129E-5</v>
      </c>
      <c r="AE896" s="5">
        <v>9.896716322379942E-2</v>
      </c>
      <c r="AF896" s="5">
        <v>8.4492801913452584E-2</v>
      </c>
    </row>
    <row r="897" spans="23:32" x14ac:dyDescent="0.25">
      <c r="W897">
        <v>69</v>
      </c>
      <c r="X897" s="5">
        <v>61.797668579204476</v>
      </c>
      <c r="Y897" s="5">
        <v>7.2023314207955238</v>
      </c>
      <c r="Z897" s="5">
        <v>7.2969365164447026</v>
      </c>
      <c r="AA897" s="18">
        <v>1.2965042992490051E-2</v>
      </c>
      <c r="AB897" s="5">
        <v>2.0160844812297842</v>
      </c>
      <c r="AC897" s="4">
        <v>2.8099932691116858E-3</v>
      </c>
      <c r="AE897" s="5">
        <v>9.896716322379942E-2</v>
      </c>
      <c r="AF897" s="5">
        <v>8.6109643160189236E-2</v>
      </c>
    </row>
    <row r="898" spans="23:32" x14ac:dyDescent="0.25">
      <c r="W898">
        <v>64</v>
      </c>
      <c r="X898" s="5">
        <v>61.588372721588577</v>
      </c>
      <c r="Y898" s="5">
        <v>2.411627278411423</v>
      </c>
      <c r="Z898" s="5">
        <v>2.4422954666994201</v>
      </c>
      <c r="AA898" s="18">
        <v>1.2557116330172306E-2</v>
      </c>
      <c r="AB898" s="5">
        <v>0.67492588899703188</v>
      </c>
      <c r="AC898" s="4">
        <v>3.048853150659279E-4</v>
      </c>
      <c r="AE898" s="5">
        <v>9.896716322379942E-2</v>
      </c>
      <c r="AF898" s="5">
        <v>8.6544461853535801E-2</v>
      </c>
    </row>
    <row r="899" spans="23:32" x14ac:dyDescent="0.25">
      <c r="W899">
        <v>59.9</v>
      </c>
      <c r="X899" s="5">
        <v>60.850701486513152</v>
      </c>
      <c r="Y899" s="5">
        <v>-0.95070148651315378</v>
      </c>
      <c r="Z899" s="5">
        <v>-0.98554828710455666</v>
      </c>
      <c r="AA899" s="18">
        <v>3.5357781092367854E-2</v>
      </c>
      <c r="AB899" s="5">
        <v>-0.26919248524487588</v>
      </c>
      <c r="AC899" s="4">
        <v>1.3979479456352665E-4</v>
      </c>
      <c r="AE899" s="5">
        <v>9.896716322379942E-2</v>
      </c>
      <c r="AF899" s="5">
        <v>8.8932611117249302E-2</v>
      </c>
    </row>
    <row r="900" spans="23:32" x14ac:dyDescent="0.25">
      <c r="W900">
        <v>59.3</v>
      </c>
      <c r="X900" s="5">
        <v>60.992488923959215</v>
      </c>
      <c r="Y900" s="5">
        <v>-1.6924889239592176</v>
      </c>
      <c r="Z900" s="5">
        <v>-1.6991038202598219</v>
      </c>
      <c r="AA900" s="18">
        <v>3.8931678110116401E-3</v>
      </c>
      <c r="AB900" s="5">
        <v>-0.47160105457004381</v>
      </c>
      <c r="AC900" s="4">
        <v>4.5750214989248105E-5</v>
      </c>
      <c r="AE900" s="5">
        <v>9.896716322379942E-2</v>
      </c>
      <c r="AF900" s="5">
        <v>9.0479929585662963E-2</v>
      </c>
    </row>
    <row r="901" spans="23:32" x14ac:dyDescent="0.25">
      <c r="W901">
        <v>57.6</v>
      </c>
      <c r="X901" s="5">
        <v>61.046807054547337</v>
      </c>
      <c r="Y901" s="5">
        <v>-3.4468070545473353</v>
      </c>
      <c r="Z901" s="5">
        <v>-3.4760401936159369</v>
      </c>
      <c r="AA901" s="18">
        <v>8.4098967331528007E-3</v>
      </c>
      <c r="AB901" s="5">
        <v>-0.96261532874796207</v>
      </c>
      <c r="AC901" s="4">
        <v>4.1362847116586601E-4</v>
      </c>
      <c r="AE901" s="5">
        <v>9.896716322379942E-2</v>
      </c>
      <c r="AF901" s="5">
        <v>9.0483723991918383E-2</v>
      </c>
    </row>
    <row r="902" spans="23:32" x14ac:dyDescent="0.25">
      <c r="W902">
        <v>56.7</v>
      </c>
      <c r="X902" s="5">
        <v>59.427787118330222</v>
      </c>
      <c r="Y902" s="5">
        <v>-2.7277871183302196</v>
      </c>
      <c r="Z902" s="5">
        <v>-2.74492675643571</v>
      </c>
      <c r="AA902" s="18">
        <v>6.2441149168393105E-3</v>
      </c>
      <c r="AB902" s="5">
        <v>-0.76097871436855047</v>
      </c>
      <c r="AC902" s="4">
        <v>1.9150609070459532E-4</v>
      </c>
      <c r="AE902" s="5">
        <v>9.896716322379942E-2</v>
      </c>
      <c r="AF902" s="5">
        <v>9.0944707518648762E-2</v>
      </c>
    </row>
    <row r="903" spans="23:32" x14ac:dyDescent="0.25">
      <c r="W903">
        <v>55.3</v>
      </c>
      <c r="X903" s="5">
        <v>65.312188924151485</v>
      </c>
      <c r="Y903" s="5">
        <v>-10.012188924151488</v>
      </c>
      <c r="Z903" s="5">
        <v>-10.137467402563288</v>
      </c>
      <c r="AA903" s="18">
        <v>1.2357966091227321E-2</v>
      </c>
      <c r="AB903" s="5">
        <v>-2.8017613831567418</v>
      </c>
      <c r="AC903" s="4">
        <v>5.1695902702157672E-3</v>
      </c>
      <c r="AE903" s="5">
        <v>0.11578501997911882</v>
      </c>
      <c r="AF903" s="5">
        <v>9.1035927049421386E-2</v>
      </c>
    </row>
    <row r="904" spans="23:32" x14ac:dyDescent="0.25">
      <c r="W904">
        <v>54.1</v>
      </c>
      <c r="X904" s="5">
        <v>56.757980199507386</v>
      </c>
      <c r="Y904" s="5">
        <v>-2.6579801995073851</v>
      </c>
      <c r="Z904" s="5">
        <v>-2.6844006865283703</v>
      </c>
      <c r="AA904" s="18">
        <v>9.8422292743307414E-3</v>
      </c>
      <c r="AB904" s="5">
        <v>-0.7428505223265891</v>
      </c>
      <c r="AC904" s="4">
        <v>2.8869438873176378E-4</v>
      </c>
      <c r="AE904" s="5">
        <v>0.11578501997911882</v>
      </c>
      <c r="AF904" s="5">
        <v>9.258116295840671E-2</v>
      </c>
    </row>
    <row r="905" spans="23:32" x14ac:dyDescent="0.25">
      <c r="W905">
        <v>52.9</v>
      </c>
      <c r="X905" s="5">
        <v>52.858898693652208</v>
      </c>
      <c r="Y905" s="5">
        <v>4.1101306347790967E-2</v>
      </c>
      <c r="Z905" s="5">
        <v>4.7214209629800052E-2</v>
      </c>
      <c r="AA905" s="18">
        <v>0.12947168511212184</v>
      </c>
      <c r="AB905" s="5">
        <v>1.2250845603556547E-2</v>
      </c>
      <c r="AC905" s="4">
        <v>1.1748175646221175E-6</v>
      </c>
      <c r="AE905" s="5">
        <v>0.11578501997911882</v>
      </c>
      <c r="AF905" s="5">
        <v>9.2699276861928359E-2</v>
      </c>
    </row>
    <row r="906" spans="23:32" x14ac:dyDescent="0.25">
      <c r="W906">
        <v>51.5</v>
      </c>
      <c r="X906" s="5">
        <v>52.410402180281217</v>
      </c>
      <c r="Y906" s="5">
        <v>-0.910402180281217</v>
      </c>
      <c r="Z906" s="5">
        <v>-0.91945668450778584</v>
      </c>
      <c r="AA906" s="18">
        <v>9.8476680621650738E-3</v>
      </c>
      <c r="AB906" s="5">
        <v>-0.25443928915247022</v>
      </c>
      <c r="AC906" s="4">
        <v>3.3888015173156126E-5</v>
      </c>
      <c r="AE906" s="5">
        <v>0.11578501997911882</v>
      </c>
      <c r="AF906" s="5">
        <v>9.474646731360814E-2</v>
      </c>
    </row>
    <row r="907" spans="23:32" x14ac:dyDescent="0.25">
      <c r="W907">
        <v>50</v>
      </c>
      <c r="X907" s="5">
        <v>50.419258811647516</v>
      </c>
      <c r="Y907" s="5">
        <v>-0.41925881164751644</v>
      </c>
      <c r="Z907" s="5">
        <v>-0.42364430708168754</v>
      </c>
      <c r="AA907" s="18">
        <v>1.0351833745572621E-2</v>
      </c>
      <c r="AB907" s="5">
        <v>-0.117204335962814</v>
      </c>
      <c r="AC907" s="4">
        <v>7.5625841566852572E-6</v>
      </c>
      <c r="AE907" s="5">
        <v>0.11578501997911882</v>
      </c>
      <c r="AF907" s="5">
        <v>0.10089991588709231</v>
      </c>
    </row>
    <row r="908" spans="23:32" x14ac:dyDescent="0.25">
      <c r="W908">
        <v>48.5</v>
      </c>
      <c r="X908" s="5">
        <v>49.282346985821064</v>
      </c>
      <c r="Y908" s="5">
        <v>-0.78234698582106432</v>
      </c>
      <c r="Z908" s="5">
        <v>-0.79076213448139754</v>
      </c>
      <c r="AA908" s="18">
        <v>1.0641820458250826E-2</v>
      </c>
      <c r="AB908" s="5">
        <v>-0.21873814819509227</v>
      </c>
      <c r="AC908" s="4">
        <v>2.7086808674455973E-5</v>
      </c>
      <c r="AE908" s="5">
        <v>0.11578501997911882</v>
      </c>
      <c r="AF908" s="5">
        <v>0.10210244229007794</v>
      </c>
    </row>
    <row r="909" spans="23:32" x14ac:dyDescent="0.25">
      <c r="W909">
        <v>47.1</v>
      </c>
      <c r="X909" s="5">
        <v>47.930849491370303</v>
      </c>
      <c r="Y909" s="5">
        <v>-0.83084949137030151</v>
      </c>
      <c r="Z909" s="5">
        <v>-0.84158133286603487</v>
      </c>
      <c r="AA909" s="18">
        <v>1.2751995649885092E-2</v>
      </c>
      <c r="AB909" s="5">
        <v>-0.23254720167250728</v>
      </c>
      <c r="AC909" s="4">
        <v>3.6763811116188606E-5</v>
      </c>
      <c r="AE909" s="5">
        <v>0.11578501997911882</v>
      </c>
      <c r="AF909" s="5">
        <v>0.10221479491494798</v>
      </c>
    </row>
    <row r="910" spans="23:32" x14ac:dyDescent="0.25">
      <c r="W910">
        <v>46</v>
      </c>
      <c r="X910" s="5">
        <v>56.05125832543947</v>
      </c>
      <c r="Y910" s="5">
        <v>-10.05125832543947</v>
      </c>
      <c r="Z910" s="5">
        <v>-10.238358105940421</v>
      </c>
      <c r="AA910" s="18">
        <v>1.8274393077967278E-2</v>
      </c>
      <c r="AB910" s="5">
        <v>-2.8211570737593124</v>
      </c>
      <c r="AC910" s="4">
        <v>7.7974711457891093E-3</v>
      </c>
      <c r="AE910" s="5">
        <v>0.11578501997911882</v>
      </c>
      <c r="AF910" s="5">
        <v>0.10423495499164349</v>
      </c>
    </row>
    <row r="911" spans="23:32" x14ac:dyDescent="0.25">
      <c r="W911">
        <v>45.1</v>
      </c>
      <c r="X911" s="5">
        <v>46.359207060536008</v>
      </c>
      <c r="Y911" s="5">
        <v>-1.2592070605360064</v>
      </c>
      <c r="Z911" s="5">
        <v>-1.2764020584137938</v>
      </c>
      <c r="AA911" s="18">
        <v>1.347145890626298E-2</v>
      </c>
      <c r="AB911" s="5">
        <v>-0.35256907384353287</v>
      </c>
      <c r="AC911" s="4">
        <v>8.9338736295520841E-5</v>
      </c>
      <c r="AE911" s="5">
        <v>0.11578501997911882</v>
      </c>
      <c r="AF911" s="5">
        <v>0.10526342578485759</v>
      </c>
    </row>
    <row r="912" spans="23:32" x14ac:dyDescent="0.25">
      <c r="W912">
        <v>44.6</v>
      </c>
      <c r="X912" s="5">
        <v>45.925862047484607</v>
      </c>
      <c r="Y912" s="5">
        <v>-1.3258620474846055</v>
      </c>
      <c r="Z912" s="5">
        <v>-1.3437784243199857</v>
      </c>
      <c r="AA912" s="18">
        <v>1.333283561569662E-2</v>
      </c>
      <c r="AB912" s="5">
        <v>-0.37120591959556004</v>
      </c>
      <c r="AC912" s="4">
        <v>9.800044207295181E-5</v>
      </c>
      <c r="AE912" s="5">
        <v>0.12956927093944998</v>
      </c>
      <c r="AF912" s="5">
        <v>0.11025049790518522</v>
      </c>
    </row>
    <row r="913" spans="23:32" x14ac:dyDescent="0.25">
      <c r="W913">
        <v>44</v>
      </c>
      <c r="X913" s="5">
        <v>54.842406250962135</v>
      </c>
      <c r="Y913" s="5">
        <v>-10.842406250962135</v>
      </c>
      <c r="Z913" s="5">
        <v>-11.071636005750456</v>
      </c>
      <c r="AA913" s="18">
        <v>2.0704235098522417E-2</v>
      </c>
      <c r="AB913" s="5">
        <v>-3.046987196434594</v>
      </c>
      <c r="AC913" s="4">
        <v>1.0330776638632761E-2</v>
      </c>
      <c r="AE913" s="5">
        <v>0.12956927093944998</v>
      </c>
      <c r="AF913" s="5">
        <v>0.11079914251731877</v>
      </c>
    </row>
    <row r="914" spans="23:32" x14ac:dyDescent="0.25">
      <c r="W914">
        <v>74.8</v>
      </c>
      <c r="X914" s="5">
        <v>73.540787901592751</v>
      </c>
      <c r="Y914" s="5">
        <v>1.2592120984072466</v>
      </c>
      <c r="Z914" s="5">
        <v>1.2664330489339619</v>
      </c>
      <c r="AA914" s="18">
        <v>5.7018020279813635E-3</v>
      </c>
      <c r="AB914" s="5">
        <v>0.3511902525181439</v>
      </c>
      <c r="AC914" s="4">
        <v>3.7224321243615518E-5</v>
      </c>
      <c r="AE914" s="5">
        <v>0.12956927093944998</v>
      </c>
      <c r="AF914" s="5">
        <v>0.11342762855043388</v>
      </c>
    </row>
    <row r="915" spans="23:32" x14ac:dyDescent="0.25">
      <c r="W915">
        <v>74.599999999999994</v>
      </c>
      <c r="X915" s="5">
        <v>72.881632944888622</v>
      </c>
      <c r="Y915" s="5">
        <v>1.7183670551113721</v>
      </c>
      <c r="Z915" s="5">
        <v>1.7256216841540777</v>
      </c>
      <c r="AA915" s="18">
        <v>4.2040669222692673E-3</v>
      </c>
      <c r="AB915" s="5">
        <v>0.47888656735601681</v>
      </c>
      <c r="AC915" s="4">
        <v>5.0957836643537199E-5</v>
      </c>
      <c r="AE915" s="5">
        <v>0.12956927093944998</v>
      </c>
      <c r="AF915" s="5">
        <v>0.11371627096248542</v>
      </c>
    </row>
    <row r="916" spans="23:32" x14ac:dyDescent="0.25">
      <c r="W916">
        <v>74.5</v>
      </c>
      <c r="X916" s="5">
        <v>72.759653910576262</v>
      </c>
      <c r="Y916" s="5">
        <v>1.7403460894237384</v>
      </c>
      <c r="Z916" s="5">
        <v>1.747849348554098</v>
      </c>
      <c r="AA916" s="18">
        <v>4.292852319663888E-3</v>
      </c>
      <c r="AB916" s="5">
        <v>0.48503346192229696</v>
      </c>
      <c r="AC916" s="4">
        <v>5.3383141171814385E-5</v>
      </c>
      <c r="AE916" s="5">
        <v>0.12956927093944998</v>
      </c>
      <c r="AF916" s="5">
        <v>0.11407279745801735</v>
      </c>
    </row>
    <row r="917" spans="23:32" x14ac:dyDescent="0.25">
      <c r="W917">
        <v>74.3</v>
      </c>
      <c r="X917" s="5">
        <v>74.639058195786006</v>
      </c>
      <c r="Y917" s="5">
        <v>-0.33905819578600926</v>
      </c>
      <c r="Z917" s="5">
        <v>-0.3409865560080334</v>
      </c>
      <c r="AA917" s="18">
        <v>5.6552382727273823E-3</v>
      </c>
      <c r="AB917" s="5">
        <v>-9.4560039156767473E-2</v>
      </c>
      <c r="AC917" s="4">
        <v>2.6765514956569781E-6</v>
      </c>
      <c r="AE917" s="5">
        <v>0.12956927093944998</v>
      </c>
      <c r="AF917" s="5">
        <v>0.11690317491563391</v>
      </c>
    </row>
    <row r="918" spans="23:32" x14ac:dyDescent="0.25">
      <c r="W918">
        <v>74.099999999999994</v>
      </c>
      <c r="X918" s="5">
        <v>72.381847233493687</v>
      </c>
      <c r="Y918" s="5">
        <v>1.7181527665063072</v>
      </c>
      <c r="Z918" s="5">
        <v>1.7257305250947894</v>
      </c>
      <c r="AA918" s="18">
        <v>4.3910439540154967E-3</v>
      </c>
      <c r="AB918" s="5">
        <v>0.47887180803831231</v>
      </c>
      <c r="AC918" s="4">
        <v>5.3230914714030625E-5</v>
      </c>
      <c r="AE918" s="5">
        <v>0.12956927093944998</v>
      </c>
      <c r="AF918" s="5">
        <v>0.11766215510502193</v>
      </c>
    </row>
    <row r="919" spans="23:32" x14ac:dyDescent="0.25">
      <c r="W919">
        <v>74</v>
      </c>
      <c r="X919" s="5">
        <v>72.351021512707902</v>
      </c>
      <c r="Y919" s="5">
        <v>1.6489784872920978</v>
      </c>
      <c r="Z919" s="5">
        <v>1.6567178164082463</v>
      </c>
      <c r="AA919" s="18">
        <v>4.6714830006022072E-3</v>
      </c>
      <c r="AB919" s="5">
        <v>0.45965676691300561</v>
      </c>
      <c r="AC919" s="4">
        <v>5.2191771834966581E-5</v>
      </c>
      <c r="AE919" s="5">
        <v>0.12956927093944998</v>
      </c>
      <c r="AF919" s="5">
        <v>0.11993804306408919</v>
      </c>
    </row>
    <row r="920" spans="23:32" x14ac:dyDescent="0.25">
      <c r="W920">
        <v>73.8</v>
      </c>
      <c r="X920" s="5">
        <v>72.089572831947223</v>
      </c>
      <c r="Y920" s="5">
        <v>1.7104271680527745</v>
      </c>
      <c r="Z920" s="5">
        <v>1.7196938228189964</v>
      </c>
      <c r="AA920" s="18">
        <v>5.3885491959405262E-3</v>
      </c>
      <c r="AB920" s="5">
        <v>0.47695757486836632</v>
      </c>
      <c r="AC920" s="4">
        <v>6.4867072349965849E-5</v>
      </c>
      <c r="AE920" s="5">
        <v>0.12956927093944998</v>
      </c>
      <c r="AF920" s="5">
        <v>0.12052241745549795</v>
      </c>
    </row>
    <row r="921" spans="23:32" x14ac:dyDescent="0.25">
      <c r="W921">
        <v>73.7</v>
      </c>
      <c r="X921" s="5">
        <v>71.720720745252038</v>
      </c>
      <c r="Y921" s="5">
        <v>1.979279254747965</v>
      </c>
      <c r="Z921" s="5">
        <v>1.9890501245272105</v>
      </c>
      <c r="AA921" s="18">
        <v>4.9123295882564678E-3</v>
      </c>
      <c r="AB921" s="5">
        <v>0.55179567475106617</v>
      </c>
      <c r="AC921" s="4">
        <v>7.9109590319640681E-5</v>
      </c>
      <c r="AE921" s="5">
        <v>0.12956927093944998</v>
      </c>
      <c r="AF921" s="5">
        <v>0.12199276656104752</v>
      </c>
    </row>
    <row r="922" spans="23:32" x14ac:dyDescent="0.25">
      <c r="W922">
        <v>73.599999999999994</v>
      </c>
      <c r="X922" s="5">
        <v>71.912349581956335</v>
      </c>
      <c r="Y922" s="5">
        <v>1.6876504180436598</v>
      </c>
      <c r="Z922" s="5">
        <v>1.6954522643406165</v>
      </c>
      <c r="AA922" s="18">
        <v>4.6016313529093026E-3</v>
      </c>
      <c r="AB922" s="5">
        <v>0.47042015510302115</v>
      </c>
      <c r="AC922" s="4">
        <v>5.3843482232121517E-5</v>
      </c>
      <c r="AE922" s="5">
        <v>0.12956927093944998</v>
      </c>
      <c r="AF922" s="5">
        <v>0.12501349237600753</v>
      </c>
    </row>
    <row r="923" spans="23:32" x14ac:dyDescent="0.25">
      <c r="W923">
        <v>73.400000000000006</v>
      </c>
      <c r="X923" s="5">
        <v>71.088523093675107</v>
      </c>
      <c r="Y923" s="5">
        <v>2.3114769063248986</v>
      </c>
      <c r="Z923" s="5">
        <v>2.3291125319554737</v>
      </c>
      <c r="AA923" s="18">
        <v>7.5718220517977785E-3</v>
      </c>
      <c r="AB923" s="5">
        <v>0.64527064329706174</v>
      </c>
      <c r="AC923" s="4">
        <v>1.6719817232612916E-4</v>
      </c>
      <c r="AE923" s="5">
        <v>0.12956927093944998</v>
      </c>
      <c r="AF923" s="5">
        <v>0.1260849740419058</v>
      </c>
    </row>
    <row r="924" spans="23:32" x14ac:dyDescent="0.25">
      <c r="W924">
        <v>73.2</v>
      </c>
      <c r="X924" s="5">
        <v>71.717004579397837</v>
      </c>
      <c r="Y924" s="5">
        <v>1.4829954206021654</v>
      </c>
      <c r="Z924" s="5">
        <v>1.4899352303679336</v>
      </c>
      <c r="AA924" s="18">
        <v>4.6577929189973192E-3</v>
      </c>
      <c r="AB924" s="5">
        <v>0.41338574016060597</v>
      </c>
      <c r="AC924" s="4">
        <v>4.2088663744822099E-5</v>
      </c>
      <c r="AE924" s="5">
        <v>0.14798710972583889</v>
      </c>
      <c r="AF924" s="5">
        <v>0.12667735911111305</v>
      </c>
    </row>
    <row r="925" spans="23:32" x14ac:dyDescent="0.25">
      <c r="W925">
        <v>73.099999999999994</v>
      </c>
      <c r="X925" s="5">
        <v>71.111404537098792</v>
      </c>
      <c r="Y925" s="5">
        <v>1.9885954629012019</v>
      </c>
      <c r="Z925" s="5">
        <v>1.9968522912662365</v>
      </c>
      <c r="AA925" s="18">
        <v>4.1349219474807576E-3</v>
      </c>
      <c r="AB925" s="5">
        <v>0.55417647306307605</v>
      </c>
      <c r="AC925" s="4">
        <v>6.7113421570367231E-5</v>
      </c>
      <c r="AE925" s="5">
        <v>0.14798710972583889</v>
      </c>
      <c r="AF925" s="5">
        <v>0.12801940753548446</v>
      </c>
    </row>
    <row r="926" spans="23:32" x14ac:dyDescent="0.25">
      <c r="W926">
        <v>72.900000000000006</v>
      </c>
      <c r="X926" s="5">
        <v>73.035477182607096</v>
      </c>
      <c r="Y926" s="5">
        <v>-0.13547718260709019</v>
      </c>
      <c r="Z926" s="5">
        <v>-0.13625334510884102</v>
      </c>
      <c r="AA926" s="18">
        <v>5.6964656620026779E-3</v>
      </c>
      <c r="AB926" s="5">
        <v>-3.7784054295082574E-2</v>
      </c>
      <c r="AC926" s="4">
        <v>4.3047706002097487E-7</v>
      </c>
      <c r="AE926" s="5">
        <v>0.14798710972583889</v>
      </c>
      <c r="AF926" s="5">
        <v>0.12843425541014836</v>
      </c>
    </row>
    <row r="927" spans="23:32" x14ac:dyDescent="0.25">
      <c r="W927">
        <v>72.7</v>
      </c>
      <c r="X927" s="5">
        <v>70.692491450620537</v>
      </c>
      <c r="Y927" s="5">
        <v>2.007508549379466</v>
      </c>
      <c r="Z927" s="5">
        <v>2.0166610697952336</v>
      </c>
      <c r="AA927" s="18">
        <v>4.5384524711930213E-3</v>
      </c>
      <c r="AB927" s="5">
        <v>0.55956050162385806</v>
      </c>
      <c r="AC927" s="4">
        <v>7.5131801690945572E-5</v>
      </c>
      <c r="AE927" s="5">
        <v>0.14798710972583889</v>
      </c>
      <c r="AF927" s="5">
        <v>0.13196888733796364</v>
      </c>
    </row>
    <row r="928" spans="23:32" x14ac:dyDescent="0.25">
      <c r="W928">
        <v>72.400000000000006</v>
      </c>
      <c r="X928" s="5">
        <v>70.089359277026745</v>
      </c>
      <c r="Y928" s="5">
        <v>2.3106407229732611</v>
      </c>
      <c r="Z928" s="5">
        <v>2.322065387801203</v>
      </c>
      <c r="AA928" s="18">
        <v>4.9200444087260497E-3</v>
      </c>
      <c r="AB928" s="5">
        <v>0.64417716514417633</v>
      </c>
      <c r="AC928" s="4">
        <v>1.0798615937813414E-4</v>
      </c>
      <c r="AE928" s="5">
        <v>0.14798710972583889</v>
      </c>
      <c r="AF928" s="5">
        <v>0.13478331735096552</v>
      </c>
    </row>
    <row r="929" spans="23:32" x14ac:dyDescent="0.25">
      <c r="W929">
        <v>78.2</v>
      </c>
      <c r="X929" s="5">
        <v>73.835278884161397</v>
      </c>
      <c r="Y929" s="5">
        <v>4.3647211158386057</v>
      </c>
      <c r="Z929" s="5">
        <v>4.4468241388086511</v>
      </c>
      <c r="AA929" s="18">
        <v>1.8463294343824016E-2</v>
      </c>
      <c r="AB929" s="5">
        <v>1.2251947264989356</v>
      </c>
      <c r="AC929" s="4">
        <v>1.4861384989541058E-3</v>
      </c>
      <c r="AE929" s="5">
        <v>0.14798710972583889</v>
      </c>
      <c r="AF929" s="5">
        <v>0.13537314588423696</v>
      </c>
    </row>
    <row r="930" spans="23:32" x14ac:dyDescent="0.25">
      <c r="W930">
        <v>77.900000000000006</v>
      </c>
      <c r="X930" s="5">
        <v>73.023030502659878</v>
      </c>
      <c r="Y930" s="5">
        <v>4.8769694973401272</v>
      </c>
      <c r="Z930" s="5">
        <v>4.9390875107347085</v>
      </c>
      <c r="AA930" s="18">
        <v>1.2576819758624918E-2</v>
      </c>
      <c r="AB930" s="5">
        <v>1.3648982343884835</v>
      </c>
      <c r="AC930" s="4">
        <v>1.2488620301004348E-3</v>
      </c>
      <c r="AE930" s="5">
        <v>0.14798710972583889</v>
      </c>
      <c r="AF930" s="5">
        <v>0.1365782586028966</v>
      </c>
    </row>
    <row r="931" spans="23:32" x14ac:dyDescent="0.25">
      <c r="W931">
        <v>77.599999999999994</v>
      </c>
      <c r="X931" s="5">
        <v>72.318685557658398</v>
      </c>
      <c r="Y931" s="5">
        <v>5.2813144423415963</v>
      </c>
      <c r="Z931" s="5">
        <v>5.3316770968984031</v>
      </c>
      <c r="AA931" s="18">
        <v>9.4459311097633697E-3</v>
      </c>
      <c r="AB931" s="5">
        <v>1.4757229257293403</v>
      </c>
      <c r="AC931" s="4">
        <v>1.0930062242284619E-3</v>
      </c>
      <c r="AE931" s="5">
        <v>0.14798710972583889</v>
      </c>
      <c r="AF931" s="5">
        <v>0.14233826658708645</v>
      </c>
    </row>
    <row r="932" spans="23:32" x14ac:dyDescent="0.25">
      <c r="W932">
        <v>77.3</v>
      </c>
      <c r="X932" s="5">
        <v>71.557944969232324</v>
      </c>
      <c r="Y932" s="5">
        <v>5.7420550307676734</v>
      </c>
      <c r="Z932" s="5">
        <v>5.785693282326136</v>
      </c>
      <c r="AA932" s="18">
        <v>7.5424412302951653E-3</v>
      </c>
      <c r="AB932" s="5">
        <v>1.602925250404734</v>
      </c>
      <c r="AC932" s="4">
        <v>1.0277155570611544E-3</v>
      </c>
      <c r="AE932" s="5">
        <v>0.14798710972583889</v>
      </c>
      <c r="AF932" s="5">
        <v>0.14265752657027481</v>
      </c>
    </row>
    <row r="933" spans="23:32" x14ac:dyDescent="0.25">
      <c r="W933">
        <v>76.7</v>
      </c>
      <c r="X933" s="5">
        <v>70.681460299415534</v>
      </c>
      <c r="Y933" s="5">
        <v>6.0185397005844692</v>
      </c>
      <c r="Z933" s="5">
        <v>6.0634647191746183</v>
      </c>
      <c r="AA933" s="18">
        <v>7.4091333372629156E-3</v>
      </c>
      <c r="AB933" s="5">
        <v>1.6799945933592966</v>
      </c>
      <c r="AC933" s="4">
        <v>1.1088155376742109E-3</v>
      </c>
      <c r="AE933" s="5">
        <v>0.14798710972583889</v>
      </c>
      <c r="AF933" s="5">
        <v>0.14364152071704589</v>
      </c>
    </row>
    <row r="934" spans="23:32" x14ac:dyDescent="0.25">
      <c r="W934">
        <v>76.3</v>
      </c>
      <c r="X934" s="5">
        <v>70.917497763280551</v>
      </c>
      <c r="Y934" s="5">
        <v>5.3825022367194464</v>
      </c>
      <c r="Z934" s="5">
        <v>5.4292943277145724</v>
      </c>
      <c r="AA934" s="18">
        <v>8.6184480285520972E-3</v>
      </c>
      <c r="AB934" s="5">
        <v>1.5033693582290448</v>
      </c>
      <c r="AC934" s="4">
        <v>1.0341082939652533E-3</v>
      </c>
      <c r="AE934" s="5">
        <v>0.16337348484333708</v>
      </c>
      <c r="AF934" s="5">
        <v>0.14509758767560693</v>
      </c>
    </row>
    <row r="935" spans="23:32" x14ac:dyDescent="0.25">
      <c r="W935">
        <v>75.900000000000006</v>
      </c>
      <c r="X935" s="5">
        <v>70.51745466693562</v>
      </c>
      <c r="Y935" s="5">
        <v>5.3825453330643853</v>
      </c>
      <c r="Z935" s="5">
        <v>5.4371968875679215</v>
      </c>
      <c r="AA935" s="18">
        <v>1.0051420912952729E-2</v>
      </c>
      <c r="AB935" s="5">
        <v>1.5044690910866605</v>
      </c>
      <c r="AC935" s="4">
        <v>1.2095609619135654E-3</v>
      </c>
      <c r="AE935" s="5">
        <v>0.16337348484333708</v>
      </c>
      <c r="AF935" s="5">
        <v>0.14830293334009603</v>
      </c>
    </row>
    <row r="936" spans="23:32" x14ac:dyDescent="0.25">
      <c r="W936">
        <v>75.400000000000006</v>
      </c>
      <c r="X936" s="5">
        <v>70.372282939556655</v>
      </c>
      <c r="Y936" s="5">
        <v>5.0277170604433508</v>
      </c>
      <c r="Z936" s="5">
        <v>5.0630222241657776</v>
      </c>
      <c r="AA936" s="18">
        <v>6.9731401837249078E-3</v>
      </c>
      <c r="AB936" s="5">
        <v>1.4031116265490602</v>
      </c>
      <c r="AC936" s="4">
        <v>7.2760930793105104E-4</v>
      </c>
      <c r="AE936" s="5">
        <v>0.16337348484333708</v>
      </c>
      <c r="AF936" s="5">
        <v>0.15142537769968076</v>
      </c>
    </row>
    <row r="937" spans="23:32" x14ac:dyDescent="0.25">
      <c r="W937">
        <v>75</v>
      </c>
      <c r="X937" s="5">
        <v>70.602594257275072</v>
      </c>
      <c r="Y937" s="5">
        <v>4.3974057427249278</v>
      </c>
      <c r="Z937" s="5">
        <v>4.4292098591494806</v>
      </c>
      <c r="AA937" s="18">
        <v>7.1805395174163733E-3</v>
      </c>
      <c r="AB937" s="5">
        <v>1.2273354837292088</v>
      </c>
      <c r="AC937" s="4">
        <v>5.734027548684557E-4</v>
      </c>
      <c r="AE937" s="5">
        <v>0.16337348484333708</v>
      </c>
      <c r="AF937" s="5">
        <v>0.15299864926503154</v>
      </c>
    </row>
    <row r="938" spans="23:32" x14ac:dyDescent="0.25">
      <c r="W938">
        <v>74.3</v>
      </c>
      <c r="X938" s="5">
        <v>70.751450954979703</v>
      </c>
      <c r="Y938" s="5">
        <v>3.5485490450202946</v>
      </c>
      <c r="Z938" s="5">
        <v>3.5810678954204036</v>
      </c>
      <c r="AA938" s="18">
        <v>9.0807690191222236E-3</v>
      </c>
      <c r="AB938" s="5">
        <v>0.99136498452954991</v>
      </c>
      <c r="AC938" s="4">
        <v>4.7402137073803742E-4</v>
      </c>
      <c r="AE938" s="5">
        <v>0.16337348484333708</v>
      </c>
      <c r="AF938" s="5">
        <v>0.15514644519054183</v>
      </c>
    </row>
    <row r="939" spans="23:32" x14ac:dyDescent="0.25">
      <c r="W939">
        <v>73.400000000000006</v>
      </c>
      <c r="X939" s="5">
        <v>71.70956958870714</v>
      </c>
      <c r="Y939" s="5">
        <v>1.6904304112928656</v>
      </c>
      <c r="Z939" s="5">
        <v>1.7042616286548196</v>
      </c>
      <c r="AA939" s="18">
        <v>8.1156655348020336E-3</v>
      </c>
      <c r="AB939" s="5">
        <v>0.47202899152377215</v>
      </c>
      <c r="AC939" s="4">
        <v>9.5950414463730386E-5</v>
      </c>
      <c r="AE939" s="5">
        <v>0.16337348484333708</v>
      </c>
      <c r="AF939" s="5">
        <v>0.15569291640440952</v>
      </c>
    </row>
    <row r="940" spans="23:32" x14ac:dyDescent="0.25">
      <c r="W940">
        <v>72.7</v>
      </c>
      <c r="X940" s="5">
        <v>69.533545731557183</v>
      </c>
      <c r="Y940" s="5">
        <v>3.1664542684428199</v>
      </c>
      <c r="Z940" s="5">
        <v>3.1875628876957052</v>
      </c>
      <c r="AA940" s="18">
        <v>6.6221812703241524E-3</v>
      </c>
      <c r="AB940" s="5">
        <v>0.88352304698801554</v>
      </c>
      <c r="AC940" s="4">
        <v>2.7388532985402579E-4</v>
      </c>
      <c r="AE940" s="5">
        <v>0.16337348484333708</v>
      </c>
      <c r="AF940" s="5">
        <v>0.1622864371840777</v>
      </c>
    </row>
    <row r="941" spans="23:32" x14ac:dyDescent="0.25">
      <c r="W941">
        <v>71.8</v>
      </c>
      <c r="X941" s="5">
        <v>69.191695141019466</v>
      </c>
      <c r="Y941" s="5">
        <v>2.6083048589805315</v>
      </c>
      <c r="Z941" s="5">
        <v>2.6258894442780303</v>
      </c>
      <c r="AA941" s="18">
        <v>6.6966205815755624E-3</v>
      </c>
      <c r="AB941" s="5">
        <v>0.72781212370276349</v>
      </c>
      <c r="AC941" s="4">
        <v>1.8795710649399596E-4</v>
      </c>
      <c r="AE941" s="5">
        <v>0.16337348484333708</v>
      </c>
      <c r="AF941" s="5">
        <v>0.16484127895643255</v>
      </c>
    </row>
    <row r="942" spans="23:32" x14ac:dyDescent="0.25">
      <c r="W942">
        <v>78</v>
      </c>
      <c r="X942" s="5">
        <v>68.828214277937079</v>
      </c>
      <c r="Y942" s="5">
        <v>9.1717857220629213</v>
      </c>
      <c r="Z942" s="5">
        <v>9.2327285787228845</v>
      </c>
      <c r="AA942" s="18">
        <v>6.600741713604745E-3</v>
      </c>
      <c r="AB942" s="5">
        <v>2.5591390038416884</v>
      </c>
      <c r="AC942" s="4">
        <v>2.2903563525906619E-3</v>
      </c>
      <c r="AE942" s="5">
        <v>0.16337348484333708</v>
      </c>
      <c r="AF942" s="5">
        <v>0.16539571606184181</v>
      </c>
    </row>
    <row r="943" spans="23:32" x14ac:dyDescent="0.25">
      <c r="W943">
        <v>69.599999999999994</v>
      </c>
      <c r="X943" s="5">
        <v>68.430730311139271</v>
      </c>
      <c r="Y943" s="5">
        <v>1.169269688860723</v>
      </c>
      <c r="Z943" s="5">
        <v>1.177819148981186</v>
      </c>
      <c r="AA943" s="18">
        <v>7.2587206005738014E-3</v>
      </c>
      <c r="AB943" s="5">
        <v>0.32636121625227843</v>
      </c>
      <c r="AC943" s="4">
        <v>4.0989015213510414E-5</v>
      </c>
      <c r="AE943" s="5">
        <v>0.16337348484333708</v>
      </c>
      <c r="AF943" s="5">
        <v>0.16605799832503182</v>
      </c>
    </row>
    <row r="944" spans="23:32" x14ac:dyDescent="0.25">
      <c r="W944">
        <v>57.8</v>
      </c>
      <c r="X944" s="5">
        <v>60.393742170459149</v>
      </c>
      <c r="Y944" s="5">
        <v>-2.5937421704591515</v>
      </c>
      <c r="Z944" s="5">
        <v>-2.6022471948874681</v>
      </c>
      <c r="AA944" s="18">
        <v>3.2683383980680555E-3</v>
      </c>
      <c r="AB944" s="5">
        <v>-0.72250285546419091</v>
      </c>
      <c r="AC944" s="4">
        <v>9.0089524978686917E-5</v>
      </c>
      <c r="AE944" s="5">
        <v>0.16337348484333708</v>
      </c>
      <c r="AF944" s="5">
        <v>0.16719648217594898</v>
      </c>
    </row>
    <row r="945" spans="23:32" x14ac:dyDescent="0.25">
      <c r="W945">
        <v>57.3</v>
      </c>
      <c r="X945" s="5">
        <v>59.480797259055038</v>
      </c>
      <c r="Y945" s="5">
        <v>-2.1807972590550406</v>
      </c>
      <c r="Z945" s="5">
        <v>-2.2051098197237025</v>
      </c>
      <c r="AA945" s="18">
        <v>1.1025555485354759E-2</v>
      </c>
      <c r="AB945" s="5">
        <v>-0.60985227705489142</v>
      </c>
      <c r="AC945" s="4">
        <v>2.1822831945074157E-4</v>
      </c>
      <c r="AE945" s="5">
        <v>0.16337348484333708</v>
      </c>
      <c r="AF945" s="5">
        <v>0.16742628405469343</v>
      </c>
    </row>
    <row r="946" spans="23:32" x14ac:dyDescent="0.25">
      <c r="W946">
        <v>57.2</v>
      </c>
      <c r="X946" s="5">
        <v>63.685283585778691</v>
      </c>
      <c r="Y946" s="5">
        <v>-6.4852835857786886</v>
      </c>
      <c r="Z946" s="5">
        <v>-6.5272572251553242</v>
      </c>
      <c r="AA946" s="18">
        <v>6.4305171266844808E-3</v>
      </c>
      <c r="AB946" s="5">
        <v>-1.8093881484033418</v>
      </c>
      <c r="AC946" s="4">
        <v>1.1152122650341168E-3</v>
      </c>
      <c r="AE946" s="5">
        <v>0.16337348484333708</v>
      </c>
      <c r="AF946" s="5">
        <v>0.16754586903368021</v>
      </c>
    </row>
    <row r="947" spans="23:32" x14ac:dyDescent="0.25">
      <c r="W947">
        <v>56.8</v>
      </c>
      <c r="X947" s="5">
        <v>59.222148400169289</v>
      </c>
      <c r="Y947" s="5">
        <v>-2.4221484001692914</v>
      </c>
      <c r="Z947" s="5">
        <v>-2.4312982052134515</v>
      </c>
      <c r="AA947" s="18">
        <v>3.7633413394301237E-3</v>
      </c>
      <c r="AB947" s="5">
        <v>-0.67487195428744173</v>
      </c>
      <c r="AC947" s="4">
        <v>9.0552459913351797E-5</v>
      </c>
      <c r="AE947" s="5">
        <v>0.18343432307636306</v>
      </c>
      <c r="AF947" s="5">
        <v>0.16994681990148855</v>
      </c>
    </row>
    <row r="948" spans="23:32" x14ac:dyDescent="0.25">
      <c r="W948">
        <v>56.5</v>
      </c>
      <c r="X948" s="5">
        <v>58.256592279059547</v>
      </c>
      <c r="Y948" s="5">
        <v>-1.7565922790595465</v>
      </c>
      <c r="Z948" s="5">
        <v>-1.7648972310212443</v>
      </c>
      <c r="AA948" s="18">
        <v>4.7056292092970478E-3</v>
      </c>
      <c r="AB948" s="5">
        <v>-0.48966277267082026</v>
      </c>
      <c r="AC948" s="4">
        <v>5.9663225588212452E-5</v>
      </c>
      <c r="AE948" s="5">
        <v>0.18343432307636306</v>
      </c>
      <c r="AF948" s="5">
        <v>0.16995652865270386</v>
      </c>
    </row>
    <row r="949" spans="23:32" x14ac:dyDescent="0.25">
      <c r="W949">
        <v>56</v>
      </c>
      <c r="X949" s="5">
        <v>57.868753851963682</v>
      </c>
      <c r="Y949" s="5">
        <v>-1.8687538519636817</v>
      </c>
      <c r="Z949" s="5">
        <v>-1.8784743336193657</v>
      </c>
      <c r="AA949" s="18">
        <v>5.1746683368067998E-3</v>
      </c>
      <c r="AB949" s="5">
        <v>-0.52105140938028316</v>
      </c>
      <c r="AC949" s="4">
        <v>7.4326423077163262E-5</v>
      </c>
      <c r="AE949" s="5">
        <v>0.18343432307636306</v>
      </c>
      <c r="AF949" s="5">
        <v>0.17093363292970265</v>
      </c>
    </row>
    <row r="950" spans="23:32" x14ac:dyDescent="0.25">
      <c r="W950">
        <v>55.5</v>
      </c>
      <c r="X950" s="5">
        <v>56.936626813370218</v>
      </c>
      <c r="Y950" s="5">
        <v>-1.4366268133702178</v>
      </c>
      <c r="Z950" s="5">
        <v>-1.4454275632884688</v>
      </c>
      <c r="AA950" s="18">
        <v>6.0886827827112203E-3</v>
      </c>
      <c r="AB950" s="5">
        <v>-0.40074862579903292</v>
      </c>
      <c r="AC950" s="4">
        <v>5.1780494668969119E-5</v>
      </c>
      <c r="AE950" s="5">
        <v>0.18343432307636306</v>
      </c>
      <c r="AF950" s="5">
        <v>0.17130516363601478</v>
      </c>
    </row>
    <row r="951" spans="23:32" x14ac:dyDescent="0.25">
      <c r="W951">
        <v>55</v>
      </c>
      <c r="X951" s="5">
        <v>57.333063229493881</v>
      </c>
      <c r="Y951" s="5">
        <v>-2.3330632294938809</v>
      </c>
      <c r="Z951" s="5">
        <v>-2.3458761561511636</v>
      </c>
      <c r="AA951" s="18">
        <v>5.4618938956708099E-3</v>
      </c>
      <c r="AB951" s="5">
        <v>-0.65060543475110411</v>
      </c>
      <c r="AC951" s="4">
        <v>1.2234989580522148E-4</v>
      </c>
      <c r="AE951" s="5">
        <v>0.18343432307636306</v>
      </c>
      <c r="AF951" s="5">
        <v>0.17137139459338691</v>
      </c>
    </row>
    <row r="952" spans="23:32" x14ac:dyDescent="0.25">
      <c r="W952">
        <v>54.3</v>
      </c>
      <c r="X952" s="5">
        <v>57.124745996104622</v>
      </c>
      <c r="Y952" s="5">
        <v>-2.8247459961046246</v>
      </c>
      <c r="Z952" s="5">
        <v>-2.8619643434429065</v>
      </c>
      <c r="AA952" s="18">
        <v>1.3004476251967299E-2</v>
      </c>
      <c r="AB952" s="5">
        <v>-0.79072178111453095</v>
      </c>
      <c r="AC952" s="4">
        <v>4.3358224114999815E-4</v>
      </c>
      <c r="AE952" s="5">
        <v>0.18343432307636306</v>
      </c>
      <c r="AF952" s="5">
        <v>0.17301389471960835</v>
      </c>
    </row>
    <row r="953" spans="23:32" x14ac:dyDescent="0.25">
      <c r="W953">
        <v>53.6</v>
      </c>
      <c r="X953" s="5">
        <v>60.369136863920424</v>
      </c>
      <c r="Y953" s="5">
        <v>-6.7691368639204228</v>
      </c>
      <c r="Z953" s="5">
        <v>-6.8431089290446323</v>
      </c>
      <c r="AA953" s="18">
        <v>1.0809716152587627E-2</v>
      </c>
      <c r="AB953" s="5">
        <v>-1.892758764650303</v>
      </c>
      <c r="AC953" s="4">
        <v>2.0604941180473041E-3</v>
      </c>
      <c r="AE953" s="5">
        <v>0.18343432307636306</v>
      </c>
      <c r="AF953" s="5">
        <v>0.17662956266477428</v>
      </c>
    </row>
    <row r="954" spans="23:32" x14ac:dyDescent="0.25">
      <c r="W954">
        <v>52.8</v>
      </c>
      <c r="X954" s="5">
        <v>55.349195419370105</v>
      </c>
      <c r="Y954" s="5">
        <v>-2.5491954193701076</v>
      </c>
      <c r="Z954" s="5">
        <v>-2.5923304749326306</v>
      </c>
      <c r="AA954" s="18">
        <v>1.6639489439958483E-2</v>
      </c>
      <c r="AB954" s="5">
        <v>-0.71490550151828647</v>
      </c>
      <c r="AC954" s="4">
        <v>4.5516714876819462E-4</v>
      </c>
      <c r="AE954" s="5">
        <v>0.18343432307636306</v>
      </c>
      <c r="AF954" s="5">
        <v>0.17972533929995393</v>
      </c>
    </row>
    <row r="955" spans="23:32" x14ac:dyDescent="0.25">
      <c r="W955">
        <v>52</v>
      </c>
      <c r="X955" s="5">
        <v>54.979345566718408</v>
      </c>
      <c r="Y955" s="5">
        <v>-2.9793455667184077</v>
      </c>
      <c r="Z955" s="5">
        <v>-3.0115941067242176</v>
      </c>
      <c r="AA955" s="18">
        <v>1.0708129602792098E-2</v>
      </c>
      <c r="AB955" s="5">
        <v>-0.83302982453363039</v>
      </c>
      <c r="AC955" s="4">
        <v>3.9532718385279009E-4</v>
      </c>
      <c r="AE955" s="5">
        <v>0.18343432307636306</v>
      </c>
      <c r="AF955" s="5">
        <v>0.18079542978579907</v>
      </c>
    </row>
    <row r="956" spans="23:32" x14ac:dyDescent="0.25">
      <c r="W956">
        <v>81.400000000000006</v>
      </c>
      <c r="X956" s="5">
        <v>78.117108308987625</v>
      </c>
      <c r="Y956" s="5">
        <v>3.2828916910123809</v>
      </c>
      <c r="Z956" s="5">
        <v>3.3341305738603921</v>
      </c>
      <c r="AA956" s="18">
        <v>1.5367989259245476E-2</v>
      </c>
      <c r="AB956" s="5">
        <v>0.92007127306490888</v>
      </c>
      <c r="AC956" s="4">
        <v>6.953964014116584E-4</v>
      </c>
      <c r="AE956" s="5">
        <v>0.18343432307636306</v>
      </c>
      <c r="AF956" s="5">
        <v>0.18129113940366121</v>
      </c>
    </row>
    <row r="957" spans="23:32" x14ac:dyDescent="0.25">
      <c r="W957">
        <v>81.099999999999994</v>
      </c>
      <c r="X957" s="5">
        <v>77.315870007273077</v>
      </c>
      <c r="Y957" s="5">
        <v>3.7841299927269176</v>
      </c>
      <c r="Z957" s="5">
        <v>3.8024003877438446</v>
      </c>
      <c r="AA957" s="18">
        <v>4.8049634845962093E-3</v>
      </c>
      <c r="AB957" s="5">
        <v>1.0549061834722149</v>
      </c>
      <c r="AC957" s="4">
        <v>2.8278473709385986E-4</v>
      </c>
      <c r="AE957" s="5">
        <v>0.18343432307636306</v>
      </c>
      <c r="AF957" s="5">
        <v>0.18144563310260065</v>
      </c>
    </row>
    <row r="958" spans="23:32" x14ac:dyDescent="0.25">
      <c r="W958">
        <v>81</v>
      </c>
      <c r="X958" s="5">
        <v>77.174277260029356</v>
      </c>
      <c r="Y958" s="5">
        <v>3.8257227399706437</v>
      </c>
      <c r="Z958" s="5">
        <v>3.8436041700290815</v>
      </c>
      <c r="AA958" s="18">
        <v>4.6522558690786069E-3</v>
      </c>
      <c r="AB958" s="5">
        <v>1.0664192253398381</v>
      </c>
      <c r="AC958" s="4">
        <v>2.797635220368174E-4</v>
      </c>
      <c r="AE958" s="5">
        <v>0.18343432307636306</v>
      </c>
      <c r="AF958" s="5">
        <v>0.18146222648334254</v>
      </c>
    </row>
    <row r="959" spans="23:32" x14ac:dyDescent="0.25">
      <c r="W959">
        <v>87</v>
      </c>
      <c r="X959" s="5">
        <v>79.331937345311673</v>
      </c>
      <c r="Y959" s="5">
        <v>7.6680626546883275</v>
      </c>
      <c r="Z959" s="5">
        <v>7.7019151226385247</v>
      </c>
      <c r="AA959" s="18">
        <v>4.395331214531074E-3</v>
      </c>
      <c r="AB959" s="5">
        <v>2.1371946694014405</v>
      </c>
      <c r="AC959" s="4">
        <v>1.0613026446529418E-3</v>
      </c>
      <c r="AE959" s="5">
        <v>0.18343432307636306</v>
      </c>
      <c r="AF959" s="5">
        <v>0.18297136026215818</v>
      </c>
    </row>
    <row r="960" spans="23:32" x14ac:dyDescent="0.25">
      <c r="W960">
        <v>83</v>
      </c>
      <c r="X960" s="5">
        <v>76.919719448248912</v>
      </c>
      <c r="Y960" s="5">
        <v>6.0802805517510876</v>
      </c>
      <c r="Z960" s="5">
        <v>6.1029687296233419</v>
      </c>
      <c r="AA960" s="18">
        <v>3.7175641687512452E-3</v>
      </c>
      <c r="AB960" s="5">
        <v>1.6940813971086803</v>
      </c>
      <c r="AC960" s="4">
        <v>5.6362590499084301E-4</v>
      </c>
      <c r="AE960" s="5">
        <v>0.18343432307636306</v>
      </c>
      <c r="AF960" s="5">
        <v>0.18331294617480129</v>
      </c>
    </row>
    <row r="961" spans="23:32" x14ac:dyDescent="0.25">
      <c r="W961">
        <v>82</v>
      </c>
      <c r="X961" s="5">
        <v>76.602411941957854</v>
      </c>
      <c r="Y961" s="5">
        <v>5.397588058042146</v>
      </c>
      <c r="Z961" s="5">
        <v>5.4193045471511141</v>
      </c>
      <c r="AA961" s="18">
        <v>4.0072464870754424E-3</v>
      </c>
      <c r="AB961" s="5">
        <v>1.5040890125600428</v>
      </c>
      <c r="AC961" s="4">
        <v>4.7905276888452901E-4</v>
      </c>
      <c r="AE961" s="5">
        <v>0.18343432307636306</v>
      </c>
      <c r="AF961" s="5">
        <v>0.18690054045717522</v>
      </c>
    </row>
    <row r="962" spans="23:32" x14ac:dyDescent="0.25">
      <c r="W962">
        <v>80</v>
      </c>
      <c r="X962" s="5">
        <v>77.844943145633394</v>
      </c>
      <c r="Y962" s="5">
        <v>2.155056854366606</v>
      </c>
      <c r="Z962" s="5">
        <v>2.1650317371189232</v>
      </c>
      <c r="AA962" s="18">
        <v>4.6072686054928627E-3</v>
      </c>
      <c r="AB962" s="5">
        <v>0.60070796626073808</v>
      </c>
      <c r="AC962" s="4">
        <v>8.7906755090170899E-5</v>
      </c>
      <c r="AE962" s="5">
        <v>0.206674078513852</v>
      </c>
      <c r="AF962" s="5">
        <v>0.19141212997836787</v>
      </c>
    </row>
    <row r="963" spans="23:32" x14ac:dyDescent="0.25">
      <c r="W963">
        <v>79.599999999999994</v>
      </c>
      <c r="X963" s="5">
        <v>77.604583962199001</v>
      </c>
      <c r="Y963" s="5">
        <v>1.9954160378009931</v>
      </c>
      <c r="Z963" s="5">
        <v>2.002425403848008</v>
      </c>
      <c r="AA963" s="18">
        <v>3.5004380355649202E-3</v>
      </c>
      <c r="AB963" s="5">
        <v>0.55590015376579516</v>
      </c>
      <c r="AC963" s="4">
        <v>5.713276852027019E-5</v>
      </c>
      <c r="AE963" s="5">
        <v>0.206674078513852</v>
      </c>
      <c r="AF963" s="5">
        <v>0.19979224922767844</v>
      </c>
    </row>
    <row r="964" spans="23:32" x14ac:dyDescent="0.25">
      <c r="W964">
        <v>79.3</v>
      </c>
      <c r="X964" s="5">
        <v>77.980603528633694</v>
      </c>
      <c r="Y964" s="5">
        <v>1.3193964713663036</v>
      </c>
      <c r="Z964" s="5">
        <v>1.3233789413380492</v>
      </c>
      <c r="AA964" s="18">
        <v>3.0093194377965324E-3</v>
      </c>
      <c r="AB964" s="5">
        <v>0.36747826789152899</v>
      </c>
      <c r="AC964" s="4">
        <v>2.1452944636063653E-5</v>
      </c>
      <c r="AE964" s="5">
        <v>0.206674078513852</v>
      </c>
      <c r="AF964" s="5">
        <v>0.20033017874418096</v>
      </c>
    </row>
    <row r="965" spans="23:32" x14ac:dyDescent="0.25">
      <c r="W965">
        <v>79</v>
      </c>
      <c r="X965" s="5">
        <v>78.158795833385938</v>
      </c>
      <c r="Y965" s="5">
        <v>0.84120416661406239</v>
      </c>
      <c r="Z965" s="5">
        <v>0.84346724610962553</v>
      </c>
      <c r="AA965" s="18">
        <v>2.6830674291241129E-3</v>
      </c>
      <c r="AB965" s="5">
        <v>0.23425383559652047</v>
      </c>
      <c r="AC965" s="4">
        <v>7.7699498351123703E-6</v>
      </c>
      <c r="AE965" s="5">
        <v>0.206674078513852</v>
      </c>
      <c r="AF965" s="5">
        <v>0.20123114023931407</v>
      </c>
    </row>
    <row r="966" spans="23:32" x14ac:dyDescent="0.25">
      <c r="W966">
        <v>78.7</v>
      </c>
      <c r="X966" s="5">
        <v>76.414411617472908</v>
      </c>
      <c r="Y966" s="5">
        <v>2.2855883825270951</v>
      </c>
      <c r="Z966" s="5">
        <v>2.2923805744396191</v>
      </c>
      <c r="AA966" s="18">
        <v>2.9629425359184274E-3</v>
      </c>
      <c r="AB966" s="5">
        <v>0.63656720627355501</v>
      </c>
      <c r="AC966" s="4">
        <v>6.3379214229722142E-5</v>
      </c>
      <c r="AE966" s="5">
        <v>0.206674078513852</v>
      </c>
      <c r="AF966" s="5">
        <v>0.2015218293281546</v>
      </c>
    </row>
    <row r="967" spans="23:32" x14ac:dyDescent="0.25">
      <c r="W967">
        <v>78.5</v>
      </c>
      <c r="X967" s="5">
        <v>76.756369659020237</v>
      </c>
      <c r="Y967" s="5">
        <v>1.7436303409797631</v>
      </c>
      <c r="Z967" s="5">
        <v>1.7483464428155173</v>
      </c>
      <c r="AA967" s="18">
        <v>2.6974641411264049E-3</v>
      </c>
      <c r="AB967" s="5">
        <v>0.48555993844692519</v>
      </c>
      <c r="AC967" s="4">
        <v>3.3563006047419527E-5</v>
      </c>
      <c r="AE967" s="5">
        <v>0.206674078513852</v>
      </c>
      <c r="AF967" s="5">
        <v>0.20179642830114514</v>
      </c>
    </row>
    <row r="968" spans="23:32" x14ac:dyDescent="0.25">
      <c r="W968">
        <v>63</v>
      </c>
      <c r="X968" s="5">
        <v>66.20514385839121</v>
      </c>
      <c r="Y968" s="5">
        <v>-3.2051438583912102</v>
      </c>
      <c r="Z968" s="5">
        <v>-3.22601992601912</v>
      </c>
      <c r="AA968" s="18">
        <v>6.4711527227536807E-3</v>
      </c>
      <c r="AB968" s="5">
        <v>-0.89425047198798968</v>
      </c>
      <c r="AC968" s="4">
        <v>2.7413590636240115E-4</v>
      </c>
      <c r="AE968" s="5">
        <v>0.206674078513852</v>
      </c>
      <c r="AF968" s="5">
        <v>0.20190855572228453</v>
      </c>
    </row>
    <row r="969" spans="23:32" x14ac:dyDescent="0.25">
      <c r="W969">
        <v>62.7</v>
      </c>
      <c r="X969" s="5">
        <v>65.291279048224624</v>
      </c>
      <c r="Y969" s="5">
        <v>-2.5912790482246209</v>
      </c>
      <c r="Z969" s="5">
        <v>-2.6293611974986817</v>
      </c>
      <c r="AA969" s="18">
        <v>1.4483422555367165E-2</v>
      </c>
      <c r="AB969" s="5">
        <v>-0.72591222163555147</v>
      </c>
      <c r="AC969" s="4">
        <v>4.0758846360859256E-4</v>
      </c>
      <c r="AE969" s="5">
        <v>0.206674078513852</v>
      </c>
      <c r="AF969" s="5">
        <v>0.20329612547095466</v>
      </c>
    </row>
    <row r="970" spans="23:32" x14ac:dyDescent="0.25">
      <c r="W970">
        <v>62.5</v>
      </c>
      <c r="X970" s="5">
        <v>64.764717558012705</v>
      </c>
      <c r="Y970" s="5">
        <v>-2.2647175580127055</v>
      </c>
      <c r="Z970" s="5">
        <v>-2.299050798793445</v>
      </c>
      <c r="AA970" s="18">
        <v>1.4933659055622087E-2</v>
      </c>
      <c r="AB970" s="5">
        <v>-0.63457535150867905</v>
      </c>
      <c r="AC970" s="4">
        <v>3.2130208899751203E-4</v>
      </c>
      <c r="AE970" s="5">
        <v>0.206674078513852</v>
      </c>
      <c r="AF970" s="5">
        <v>0.20430990664299428</v>
      </c>
    </row>
    <row r="971" spans="23:32" x14ac:dyDescent="0.25">
      <c r="W971">
        <v>62.2</v>
      </c>
      <c r="X971" s="5">
        <v>62.574596226536855</v>
      </c>
      <c r="Y971" s="5">
        <v>-0.37459622653685187</v>
      </c>
      <c r="Z971" s="5">
        <v>-0.37599803907488649</v>
      </c>
      <c r="AA971" s="18">
        <v>3.7282442788292838E-3</v>
      </c>
      <c r="AB971" s="5">
        <v>-0.10437016760238535</v>
      </c>
      <c r="AC971" s="4">
        <v>2.1454860872875546E-6</v>
      </c>
      <c r="AE971" s="5">
        <v>0.206674078513852</v>
      </c>
      <c r="AF971" s="5">
        <v>0.2056058652611478</v>
      </c>
    </row>
    <row r="972" spans="23:32" x14ac:dyDescent="0.25">
      <c r="W972">
        <v>62</v>
      </c>
      <c r="X972" s="5">
        <v>62.108194952105201</v>
      </c>
      <c r="Y972" s="5">
        <v>-0.10819495210520103</v>
      </c>
      <c r="Z972" s="5">
        <v>-0.10865018776812718</v>
      </c>
      <c r="AA972" s="18">
        <v>4.1899206276182965E-3</v>
      </c>
      <c r="AB972" s="5">
        <v>-3.015231294136865E-2</v>
      </c>
      <c r="AC972" s="4">
        <v>2.0133391606962384E-7</v>
      </c>
      <c r="AE972" s="5">
        <v>0.22222871718700732</v>
      </c>
      <c r="AF972" s="5">
        <v>0.20699228049232496</v>
      </c>
    </row>
    <row r="973" spans="23:32" x14ac:dyDescent="0.25">
      <c r="W973">
        <v>61.7</v>
      </c>
      <c r="X973" s="5">
        <v>61.678088033418604</v>
      </c>
      <c r="Y973" s="5">
        <v>2.1911966581399156E-2</v>
      </c>
      <c r="Z973" s="5">
        <v>2.200304462886038E-2</v>
      </c>
      <c r="AA973" s="18">
        <v>4.1393383960673224E-3</v>
      </c>
      <c r="AB973" s="5">
        <v>6.1063818713268294E-3</v>
      </c>
      <c r="AC973" s="4">
        <v>8.1573044937558527E-9</v>
      </c>
      <c r="AE973" s="5">
        <v>0.22222871718700732</v>
      </c>
      <c r="AF973" s="5">
        <v>0.21077130875160657</v>
      </c>
    </row>
    <row r="974" spans="23:32" x14ac:dyDescent="0.25">
      <c r="W974">
        <v>61.4</v>
      </c>
      <c r="X974" s="5">
        <v>61.799401282370212</v>
      </c>
      <c r="Y974" s="5">
        <v>-0.39940128237021355</v>
      </c>
      <c r="Z974" s="5">
        <v>-0.40104498152535228</v>
      </c>
      <c r="AA974" s="18">
        <v>4.0985406397267632E-3</v>
      </c>
      <c r="AB974" s="5">
        <v>-0.11130204972594822</v>
      </c>
      <c r="AC974" s="4">
        <v>2.6832775722607042E-6</v>
      </c>
      <c r="AE974" s="5">
        <v>0.22222871718700732</v>
      </c>
      <c r="AF974" s="5">
        <v>0.21478645870955623</v>
      </c>
    </row>
    <row r="975" spans="23:32" x14ac:dyDescent="0.25">
      <c r="W975">
        <v>61.2</v>
      </c>
      <c r="X975" s="5">
        <v>61.926754486632831</v>
      </c>
      <c r="Y975" s="5">
        <v>-0.72675448663282793</v>
      </c>
      <c r="Z975" s="5">
        <v>-0.72945987635785769</v>
      </c>
      <c r="AA975" s="18">
        <v>3.7087574145051923E-3</v>
      </c>
      <c r="AB975" s="5">
        <v>-0.20248667870541415</v>
      </c>
      <c r="AC975" s="4">
        <v>8.0330677088697211E-6</v>
      </c>
      <c r="AE975" s="5">
        <v>0.22222871718700732</v>
      </c>
      <c r="AF975" s="5">
        <v>0.21500762175232299</v>
      </c>
    </row>
    <row r="976" spans="23:32" x14ac:dyDescent="0.25">
      <c r="W976">
        <v>69</v>
      </c>
      <c r="X976" s="5">
        <v>61.472247646585544</v>
      </c>
      <c r="Y976" s="5">
        <v>7.5277523534144564</v>
      </c>
      <c r="Z976" s="5">
        <v>7.5589954565375166</v>
      </c>
      <c r="AA976" s="18">
        <v>4.133234806489851E-3</v>
      </c>
      <c r="AB976" s="5">
        <v>2.097812146009979</v>
      </c>
      <c r="AC976" s="4">
        <v>9.6132099916614163E-4</v>
      </c>
      <c r="AE976" s="5">
        <v>0.22222871718700732</v>
      </c>
      <c r="AF976" s="5">
        <v>0.21972036853206445</v>
      </c>
    </row>
    <row r="977" spans="23:32" x14ac:dyDescent="0.25">
      <c r="W977">
        <v>66</v>
      </c>
      <c r="X977" s="5">
        <v>61.644477411258791</v>
      </c>
      <c r="Y977" s="5">
        <v>4.3555225887412092</v>
      </c>
      <c r="Z977" s="5">
        <v>4.3778939669061359</v>
      </c>
      <c r="AA977" s="18">
        <v>5.1100776615504336E-3</v>
      </c>
      <c r="AB977" s="5">
        <v>1.2143801125673199</v>
      </c>
      <c r="AC977" s="4">
        <v>3.9866504694670952E-4</v>
      </c>
      <c r="AE977" s="5">
        <v>0.22222871718700732</v>
      </c>
      <c r="AF977" s="5">
        <v>0.2235059153769858</v>
      </c>
    </row>
    <row r="978" spans="23:32" x14ac:dyDescent="0.25">
      <c r="W978">
        <v>74.2</v>
      </c>
      <c r="X978" s="5">
        <v>73.953757671242428</v>
      </c>
      <c r="Y978" s="5">
        <v>0.24624232875757457</v>
      </c>
      <c r="Z978" s="5">
        <v>0.24765286067767533</v>
      </c>
      <c r="AA978" s="18">
        <v>5.695601158169015E-3</v>
      </c>
      <c r="AB978" s="5">
        <v>6.8675988795714085E-2</v>
      </c>
      <c r="AC978" s="4">
        <v>1.4219242148548975E-6</v>
      </c>
      <c r="AE978" s="5">
        <v>0.22222871718700732</v>
      </c>
      <c r="AF978" s="5">
        <v>0.22454997126458329</v>
      </c>
    </row>
    <row r="979" spans="23:32" x14ac:dyDescent="0.25">
      <c r="W979">
        <v>74.099999999999994</v>
      </c>
      <c r="X979" s="5">
        <v>74.33861956707706</v>
      </c>
      <c r="Y979" s="5">
        <v>-0.23861956707706611</v>
      </c>
      <c r="Z979" s="5">
        <v>-0.24000654321474713</v>
      </c>
      <c r="AA979" s="18">
        <v>5.7789096876268257E-3</v>
      </c>
      <c r="AB979" s="5">
        <v>-6.6552819564052526E-2</v>
      </c>
      <c r="AC979" s="4">
        <v>1.3550092307571653E-6</v>
      </c>
      <c r="AE979" s="5">
        <v>0.22222871718700732</v>
      </c>
      <c r="AF979" s="5">
        <v>0.22746177316701754</v>
      </c>
    </row>
    <row r="980" spans="23:32" x14ac:dyDescent="0.25">
      <c r="W980">
        <v>73.900000000000006</v>
      </c>
      <c r="X980" s="5">
        <v>73.752600877048437</v>
      </c>
      <c r="Y980" s="5">
        <v>0.14739912295156898</v>
      </c>
      <c r="Z980" s="5">
        <v>0.14818418214841245</v>
      </c>
      <c r="AA980" s="18">
        <v>5.2978609825834371E-3</v>
      </c>
      <c r="AB980" s="5">
        <v>4.1100799057405657E-2</v>
      </c>
      <c r="AC980" s="4">
        <v>4.7353756411236744E-7</v>
      </c>
      <c r="AE980" s="5">
        <v>0.22222871718700732</v>
      </c>
      <c r="AF980" s="5">
        <v>0.2312375498100708</v>
      </c>
    </row>
    <row r="981" spans="23:32" x14ac:dyDescent="0.25">
      <c r="W981">
        <v>73.599999999999994</v>
      </c>
      <c r="X981" s="5">
        <v>73.280706544478676</v>
      </c>
      <c r="Y981" s="5">
        <v>0.31929345552131849</v>
      </c>
      <c r="Z981" s="5">
        <v>0.32027886941175154</v>
      </c>
      <c r="AA981" s="18">
        <v>3.0767371329929434E-3</v>
      </c>
      <c r="AB981" s="5">
        <v>8.8932611117249302E-2</v>
      </c>
      <c r="AC981" s="4">
        <v>1.284686466790157E-6</v>
      </c>
      <c r="AE981" s="5">
        <v>0.22222871718700732</v>
      </c>
      <c r="AF981" s="5">
        <v>0.23404984307562973</v>
      </c>
    </row>
    <row r="982" spans="23:32" x14ac:dyDescent="0.25">
      <c r="W982">
        <v>73.3</v>
      </c>
      <c r="X982" s="5">
        <v>71.609554814354979</v>
      </c>
      <c r="Y982" s="5">
        <v>1.690445185645018</v>
      </c>
      <c r="Z982" s="5">
        <v>1.7018277948761096</v>
      </c>
      <c r="AA982" s="18">
        <v>6.6884612328930414E-3</v>
      </c>
      <c r="AB982" s="5">
        <v>0.47169388317161631</v>
      </c>
      <c r="AC982" s="4">
        <v>7.8851075559882279E-5</v>
      </c>
      <c r="AE982" s="5">
        <v>0.22222871718700732</v>
      </c>
      <c r="AF982" s="5">
        <v>0.23425383559652047</v>
      </c>
    </row>
    <row r="983" spans="23:32" x14ac:dyDescent="0.25">
      <c r="W983">
        <v>72.8</v>
      </c>
      <c r="X983" s="5">
        <v>71.662317863919895</v>
      </c>
      <c r="Y983" s="5">
        <v>1.1376821360801017</v>
      </c>
      <c r="Z983" s="5">
        <v>1.1449508174504217</v>
      </c>
      <c r="AA983" s="18">
        <v>6.3484660297547617E-3</v>
      </c>
      <c r="AB983" s="5">
        <v>0.31739916284108016</v>
      </c>
      <c r="AC983" s="4">
        <v>3.3876040675160369E-5</v>
      </c>
      <c r="AE983" s="5">
        <v>0.22222871718700732</v>
      </c>
      <c r="AF983" s="5">
        <v>0.23462701825685528</v>
      </c>
    </row>
    <row r="984" spans="23:32" x14ac:dyDescent="0.25">
      <c r="W984">
        <v>72.7</v>
      </c>
      <c r="X984" s="5">
        <v>71.970211016069669</v>
      </c>
      <c r="Y984" s="5">
        <v>0.72978898393033376</v>
      </c>
      <c r="Z984" s="5">
        <v>0.73224618280438847</v>
      </c>
      <c r="AA984" s="18">
        <v>3.3557004894714903E-3</v>
      </c>
      <c r="AB984" s="5">
        <v>0.20329612547095466</v>
      </c>
      <c r="AC984" s="4">
        <v>7.3239877058902217E-6</v>
      </c>
      <c r="AE984" s="5">
        <v>0.22222871718700732</v>
      </c>
      <c r="AF984" s="5">
        <v>0.23778311019207232</v>
      </c>
    </row>
    <row r="985" spans="23:32" x14ac:dyDescent="0.25">
      <c r="W985">
        <v>72.900000000000006</v>
      </c>
      <c r="X985" s="5">
        <v>72.059593404659282</v>
      </c>
      <c r="Y985" s="5">
        <v>0.84040659534072404</v>
      </c>
      <c r="Z985" s="5">
        <v>0.84279795474027708</v>
      </c>
      <c r="AA985" s="18">
        <v>2.8374053189157656E-3</v>
      </c>
      <c r="AB985" s="5">
        <v>0.23404984307562973</v>
      </c>
      <c r="AC985" s="4">
        <v>8.2038650374142792E-6</v>
      </c>
      <c r="AE985" s="5">
        <v>0.22222871718700732</v>
      </c>
      <c r="AF985" s="5">
        <v>0.2391234627906236</v>
      </c>
    </row>
    <row r="986" spans="23:32" x14ac:dyDescent="0.25">
      <c r="W986">
        <v>71.8</v>
      </c>
      <c r="X986" s="5">
        <v>71.769805437273135</v>
      </c>
      <c r="Y986" s="5">
        <v>3.0194562726862273E-2</v>
      </c>
      <c r="Z986" s="5">
        <v>3.027402482749153E-2</v>
      </c>
      <c r="AA986" s="18">
        <v>2.6247616921273795E-3</v>
      </c>
      <c r="AB986" s="5">
        <v>8.4081673202769467E-3</v>
      </c>
      <c r="AC986" s="4">
        <v>9.7922025247690575E-9</v>
      </c>
      <c r="AE986" s="5">
        <v>0.22222871718700732</v>
      </c>
      <c r="AF986" s="5">
        <v>0.24021806622921071</v>
      </c>
    </row>
    <row r="987" spans="23:32" x14ac:dyDescent="0.25">
      <c r="W987">
        <v>72.099999999999994</v>
      </c>
      <c r="X987" s="5">
        <v>71.224698129690296</v>
      </c>
      <c r="Y987" s="5">
        <v>0.87530187030969842</v>
      </c>
      <c r="Z987" s="5">
        <v>0.87738196806225233</v>
      </c>
      <c r="AA987" s="18">
        <v>2.370800664109652E-3</v>
      </c>
      <c r="AB987" s="5">
        <v>0.24371102277128309</v>
      </c>
      <c r="AC987" s="4">
        <v>7.4288678334701997E-6</v>
      </c>
      <c r="AE987" s="5">
        <v>0.22222871718700732</v>
      </c>
      <c r="AF987" s="5">
        <v>0.24070484331505831</v>
      </c>
    </row>
    <row r="988" spans="23:32" x14ac:dyDescent="0.25">
      <c r="W988">
        <v>71.900000000000006</v>
      </c>
      <c r="X988" s="5">
        <v>70.951387967372199</v>
      </c>
      <c r="Y988" s="5">
        <v>0.94861203262780691</v>
      </c>
      <c r="Z988" s="5">
        <v>0.9509053692518421</v>
      </c>
      <c r="AA988" s="18">
        <v>2.4117401144197535E-3</v>
      </c>
      <c r="AB988" s="5">
        <v>0.26412825135833917</v>
      </c>
      <c r="AC988" s="4">
        <v>8.8767765732635898E-6</v>
      </c>
      <c r="AE988" s="5">
        <v>0.22222871718700732</v>
      </c>
      <c r="AF988" s="5">
        <v>0.24089591874989316</v>
      </c>
    </row>
    <row r="989" spans="23:32" x14ac:dyDescent="0.25">
      <c r="W989">
        <v>71.5</v>
      </c>
      <c r="X989" s="5">
        <v>70.527577757777777</v>
      </c>
      <c r="Y989" s="5">
        <v>0.97242224222222262</v>
      </c>
      <c r="Z989" s="5">
        <v>0.97483633152675964</v>
      </c>
      <c r="AA989" s="18">
        <v>2.4764047322204915E-3</v>
      </c>
      <c r="AB989" s="5">
        <v>0.27076665953232137</v>
      </c>
      <c r="AC989" s="4">
        <v>9.5793319105658441E-6</v>
      </c>
      <c r="AE989" s="5">
        <v>0.22222871718700732</v>
      </c>
      <c r="AF989" s="5">
        <v>0.24187537502527445</v>
      </c>
    </row>
    <row r="990" spans="23:32" x14ac:dyDescent="0.25">
      <c r="W990">
        <v>71.5</v>
      </c>
      <c r="X990" s="5">
        <v>70.086889649941526</v>
      </c>
      <c r="Y990" s="5">
        <v>1.4131103500584743</v>
      </c>
      <c r="Z990" s="5">
        <v>1.4161354615947914</v>
      </c>
      <c r="AA990" s="18">
        <v>2.1361738466146724E-3</v>
      </c>
      <c r="AB990" s="5">
        <v>0.39340722313104948</v>
      </c>
      <c r="AC990" s="4">
        <v>1.7437987921585324E-5</v>
      </c>
      <c r="AE990" s="5">
        <v>0.22222871718700732</v>
      </c>
      <c r="AF990" s="5">
        <v>0.24204036798190057</v>
      </c>
    </row>
    <row r="991" spans="23:32" x14ac:dyDescent="0.25">
      <c r="W991">
        <v>71.5</v>
      </c>
      <c r="X991" s="5">
        <v>69.648556552748801</v>
      </c>
      <c r="Y991" s="5">
        <v>1.8514434472511994</v>
      </c>
      <c r="Z991" s="5">
        <v>1.8562099132803382</v>
      </c>
      <c r="AA991" s="18">
        <v>2.5678486010850209E-3</v>
      </c>
      <c r="AB991" s="5">
        <v>0.51554984559592132</v>
      </c>
      <c r="AC991" s="4">
        <v>3.6014200034890952E-5</v>
      </c>
      <c r="AE991" s="5">
        <v>0.22222871718700732</v>
      </c>
      <c r="AF991" s="5">
        <v>0.24371102277128309</v>
      </c>
    </row>
    <row r="992" spans="23:32" x14ac:dyDescent="0.25">
      <c r="W992">
        <v>71</v>
      </c>
      <c r="X992" s="5">
        <v>69.486986629111684</v>
      </c>
      <c r="Y992" s="5">
        <v>1.5130133708883164</v>
      </c>
      <c r="Z992" s="5">
        <v>1.5165380006754816</v>
      </c>
      <c r="AA992" s="18">
        <v>2.3241288946274021E-3</v>
      </c>
      <c r="AB992" s="5">
        <v>0.42125970892859588</v>
      </c>
      <c r="AC992" s="4">
        <v>2.175790052674073E-5</v>
      </c>
      <c r="AE992" s="5">
        <v>0.22222871718700732</v>
      </c>
      <c r="AF992" s="5">
        <v>0.24386279073766257</v>
      </c>
    </row>
    <row r="993" spans="23:32" x14ac:dyDescent="0.25">
      <c r="W993">
        <v>76.599999999999994</v>
      </c>
      <c r="X993" s="5">
        <v>74.235426910011626</v>
      </c>
      <c r="Y993" s="5">
        <v>2.3645730899883688</v>
      </c>
      <c r="Z993" s="5">
        <v>2.3703464412103159</v>
      </c>
      <c r="AA993" s="18">
        <v>2.4356571349972616E-3</v>
      </c>
      <c r="AB993" s="5">
        <v>0.65839144019968798</v>
      </c>
      <c r="AC993" s="4">
        <v>5.5704462338371649E-5</v>
      </c>
      <c r="AE993" s="5">
        <v>0.22222871718700732</v>
      </c>
      <c r="AF993" s="5">
        <v>0.24655661623815697</v>
      </c>
    </row>
    <row r="994" spans="23:32" x14ac:dyDescent="0.25">
      <c r="W994">
        <v>76.599999999999994</v>
      </c>
      <c r="X994" s="5">
        <v>75.738644516816038</v>
      </c>
      <c r="Y994" s="5">
        <v>0.86135548318395649</v>
      </c>
      <c r="Z994" s="5">
        <v>0.86621385686167685</v>
      </c>
      <c r="AA994" s="18">
        <v>5.6087461996128683E-3</v>
      </c>
      <c r="AB994" s="5">
        <v>0.24021806622921071</v>
      </c>
      <c r="AC994" s="4">
        <v>1.7130349536239728E-5</v>
      </c>
      <c r="AE994" s="5">
        <v>0.22222871718700732</v>
      </c>
      <c r="AF994" s="5">
        <v>0.24768611881907873</v>
      </c>
    </row>
    <row r="995" spans="23:32" x14ac:dyDescent="0.25">
      <c r="W995">
        <v>76.3</v>
      </c>
      <c r="X995" s="5">
        <v>73.957864342981267</v>
      </c>
      <c r="Y995" s="5">
        <v>2.3421356570187299</v>
      </c>
      <c r="Z995" s="5">
        <v>2.349049505192994</v>
      </c>
      <c r="AA995" s="18">
        <v>2.9432534984816482E-3</v>
      </c>
      <c r="AB995" s="5">
        <v>0.65230994453938074</v>
      </c>
      <c r="AC995" s="4">
        <v>6.6109243942475391E-5</v>
      </c>
      <c r="AE995" s="5">
        <v>0.22222871718700732</v>
      </c>
      <c r="AF995" s="5">
        <v>0.24917353612136273</v>
      </c>
    </row>
    <row r="996" spans="23:32" x14ac:dyDescent="0.25">
      <c r="W996">
        <v>76.099999999999994</v>
      </c>
      <c r="X996" s="5">
        <v>72.487775326578685</v>
      </c>
      <c r="Y996" s="5">
        <v>3.6122246734213093</v>
      </c>
      <c r="Z996" s="5">
        <v>3.6363130828208341</v>
      </c>
      <c r="AA996" s="18">
        <v>6.6244046788287601E-3</v>
      </c>
      <c r="AB996" s="5">
        <v>1.0079057049132947</v>
      </c>
      <c r="AC996" s="4">
        <v>3.5654928901430788E-4</v>
      </c>
      <c r="AE996" s="5">
        <v>0.22222871718700732</v>
      </c>
      <c r="AF996" s="5">
        <v>0.25076781945960636</v>
      </c>
    </row>
    <row r="997" spans="23:32" x14ac:dyDescent="0.25">
      <c r="W997">
        <v>75.599999999999994</v>
      </c>
      <c r="X997" s="5">
        <v>72.152740412511449</v>
      </c>
      <c r="Y997" s="5">
        <v>3.4472595874885457</v>
      </c>
      <c r="Z997" s="5">
        <v>3.4779661055308964</v>
      </c>
      <c r="AA997" s="18">
        <v>8.8288721369428596E-3</v>
      </c>
      <c r="AB997" s="5">
        <v>0.9629451685138174</v>
      </c>
      <c r="AC997" s="4">
        <v>4.3471647588460167E-4</v>
      </c>
      <c r="AE997" s="5">
        <v>0.22222871718700732</v>
      </c>
      <c r="AF997" s="5">
        <v>0.25990259272073329</v>
      </c>
    </row>
    <row r="998" spans="23:32" x14ac:dyDescent="0.25">
      <c r="W998">
        <v>75.7</v>
      </c>
      <c r="X998" s="5">
        <v>75.80711310784281</v>
      </c>
      <c r="Y998" s="5">
        <v>-0.1071131078428067</v>
      </c>
      <c r="Z998" s="5">
        <v>-0.10744345206845196</v>
      </c>
      <c r="AA998" s="18">
        <v>3.0745868573528474E-3</v>
      </c>
      <c r="AB998" s="5">
        <v>-2.983411631973493E-2</v>
      </c>
      <c r="AC998" s="4">
        <v>1.4447638145985557E-7</v>
      </c>
      <c r="AE998" s="5">
        <v>0.22222871718700732</v>
      </c>
      <c r="AF998" s="5">
        <v>0.2611706342620036</v>
      </c>
    </row>
    <row r="999" spans="23:32" x14ac:dyDescent="0.25">
      <c r="W999">
        <v>75.599999999999994</v>
      </c>
      <c r="X999" s="5">
        <v>73.436977210678805</v>
      </c>
      <c r="Y999" s="5">
        <v>2.1630227893211895</v>
      </c>
      <c r="Z999" s="5">
        <v>2.1754826275713697</v>
      </c>
      <c r="AA999" s="18">
        <v>5.7273903695066299E-3</v>
      </c>
      <c r="AB999" s="5">
        <v>0.60326794456211508</v>
      </c>
      <c r="AC999" s="4">
        <v>1.1033624673188833E-4</v>
      </c>
      <c r="AE999" s="5">
        <v>0.22222871718700732</v>
      </c>
      <c r="AF999" s="5">
        <v>0.26246976693272051</v>
      </c>
    </row>
    <row r="1000" spans="23:32" x14ac:dyDescent="0.25">
      <c r="W1000">
        <v>76</v>
      </c>
      <c r="X1000" s="5">
        <v>73.160190717989707</v>
      </c>
      <c r="Y1000" s="5">
        <v>2.8398092820102931</v>
      </c>
      <c r="Z1000" s="5">
        <v>2.8526245230399496</v>
      </c>
      <c r="AA1000" s="18">
        <v>4.4924387791475794E-3</v>
      </c>
      <c r="AB1000" s="5">
        <v>0.79153256036126707</v>
      </c>
      <c r="AC1000" s="4">
        <v>1.4880638720169743E-4</v>
      </c>
      <c r="AE1000" s="5">
        <v>0.22222871718700732</v>
      </c>
      <c r="AF1000" s="5">
        <v>0.26288917614907226</v>
      </c>
    </row>
    <row r="1001" spans="23:32" x14ac:dyDescent="0.25">
      <c r="W1001">
        <v>75.8</v>
      </c>
      <c r="X1001" s="5">
        <v>73.502972977918191</v>
      </c>
      <c r="Y1001" s="5">
        <v>2.2970270220818065</v>
      </c>
      <c r="Z1001" s="5">
        <v>2.3032650219039112</v>
      </c>
      <c r="AA1001" s="18">
        <v>2.7083291600301521E-3</v>
      </c>
      <c r="AB1001" s="5">
        <v>0.6396713505127426</v>
      </c>
      <c r="AC1001" s="4">
        <v>5.848432110854676E-5</v>
      </c>
      <c r="AE1001" s="5">
        <v>0.22222871718700732</v>
      </c>
      <c r="AF1001" s="5">
        <v>0.26327111085423499</v>
      </c>
    </row>
    <row r="1002" spans="23:32" x14ac:dyDescent="0.25">
      <c r="W1002">
        <v>75.3</v>
      </c>
      <c r="X1002" s="5">
        <v>73.505902488547733</v>
      </c>
      <c r="Y1002" s="5">
        <v>1.7940975114522644</v>
      </c>
      <c r="Z1002" s="5">
        <v>1.798543002321793</v>
      </c>
      <c r="AA1002" s="18">
        <v>2.4717178648431069E-3</v>
      </c>
      <c r="AB1002" s="5">
        <v>0.49955731958735411</v>
      </c>
      <c r="AC1002" s="4">
        <v>3.2545483753558778E-5</v>
      </c>
      <c r="AE1002" s="5">
        <v>0.22222871718700732</v>
      </c>
      <c r="AF1002" s="5">
        <v>0.26394486368527231</v>
      </c>
    </row>
    <row r="1003" spans="23:32" x14ac:dyDescent="0.25">
      <c r="W1003">
        <v>75.400000000000006</v>
      </c>
      <c r="X1003" s="5">
        <v>73.288987167405594</v>
      </c>
      <c r="Y1003" s="5">
        <v>2.1110128325944117</v>
      </c>
      <c r="Z1003" s="5">
        <v>2.1162276728476712</v>
      </c>
      <c r="AA1003" s="18">
        <v>2.4642151315619251E-3</v>
      </c>
      <c r="AB1003" s="5">
        <v>0.58779856706097078</v>
      </c>
      <c r="AC1003" s="4">
        <v>4.4921430832511559E-5</v>
      </c>
      <c r="AE1003" s="5">
        <v>0.22222871718700732</v>
      </c>
      <c r="AF1003" s="5">
        <v>0.26412825135833917</v>
      </c>
    </row>
    <row r="1004" spans="23:32" x14ac:dyDescent="0.25">
      <c r="W1004">
        <v>75</v>
      </c>
      <c r="X1004" s="5">
        <v>72.912206960314521</v>
      </c>
      <c r="Y1004" s="5">
        <v>2.0877930396854794</v>
      </c>
      <c r="Z1004" s="5">
        <v>2.0934036284960058</v>
      </c>
      <c r="AA1004" s="18">
        <v>2.6801275846439192E-3</v>
      </c>
      <c r="AB1004" s="5">
        <v>0.58139608201669379</v>
      </c>
      <c r="AC1004" s="4">
        <v>4.7809213188676587E-5</v>
      </c>
      <c r="AE1004" s="5">
        <v>0.22222871718700732</v>
      </c>
      <c r="AF1004" s="5">
        <v>0.26612620121471331</v>
      </c>
    </row>
    <row r="1005" spans="23:32" x14ac:dyDescent="0.25">
      <c r="W1005">
        <v>75</v>
      </c>
      <c r="X1005" s="5">
        <v>72.211938265438846</v>
      </c>
      <c r="Y1005" s="5">
        <v>2.788061734561154</v>
      </c>
      <c r="Z1005" s="5">
        <v>2.7968475586398682</v>
      </c>
      <c r="AA1005" s="18">
        <v>3.1413310502305305E-3</v>
      </c>
      <c r="AB1005" s="5">
        <v>0.77658229082408514</v>
      </c>
      <c r="AC1005" s="4">
        <v>1.0002336971330487E-4</v>
      </c>
      <c r="AE1005" s="5">
        <v>0.22222871718700732</v>
      </c>
      <c r="AF1005" s="5">
        <v>0.26660186681560738</v>
      </c>
    </row>
    <row r="1006" spans="23:32" x14ac:dyDescent="0.25">
      <c r="W1006">
        <v>75</v>
      </c>
      <c r="X1006" s="5">
        <v>72.138497209141576</v>
      </c>
      <c r="Y1006" s="5">
        <v>2.8615027908584239</v>
      </c>
      <c r="Z1006" s="5">
        <v>2.8705283642912462</v>
      </c>
      <c r="AA1006" s="18">
        <v>3.1442202575303092E-3</v>
      </c>
      <c r="AB1006" s="5">
        <v>0.79703960112791605</v>
      </c>
      <c r="AC1006" s="4">
        <v>1.0545977227224153E-4</v>
      </c>
      <c r="AE1006" s="5">
        <v>0.22222871718700732</v>
      </c>
      <c r="AF1006" s="5">
        <v>0.27076665953232137</v>
      </c>
    </row>
    <row r="1007" spans="23:32" x14ac:dyDescent="0.25">
      <c r="W1007">
        <v>74.8</v>
      </c>
      <c r="X1007" s="5">
        <v>71.777964475284151</v>
      </c>
      <c r="Y1007" s="5">
        <v>3.0220355247158466</v>
      </c>
      <c r="Z1007" s="5">
        <v>3.0318792167773694</v>
      </c>
      <c r="AA1007" s="18">
        <v>3.2467296213679313E-3</v>
      </c>
      <c r="AB1007" s="5">
        <v>0.84179748210931327</v>
      </c>
      <c r="AC1007" s="4">
        <v>1.2148428385227414E-4</v>
      </c>
      <c r="AE1007" s="5">
        <v>0.22222871718700732</v>
      </c>
      <c r="AF1007" s="5">
        <v>0.27174179034097418</v>
      </c>
    </row>
    <row r="1008" spans="23:32" x14ac:dyDescent="0.25">
      <c r="W1008">
        <v>68.400000000000006</v>
      </c>
      <c r="X1008" s="5">
        <v>73.396717121853129</v>
      </c>
      <c r="Y1008" s="5">
        <v>-4.9967171218531234</v>
      </c>
      <c r="Z1008" s="5">
        <v>-5.0275492997113531</v>
      </c>
      <c r="AA1008" s="18">
        <v>6.1326455535693492E-3</v>
      </c>
      <c r="AB1008" s="5">
        <v>-1.3938705505807882</v>
      </c>
      <c r="AC1008" s="4">
        <v>6.3097292357714688E-4</v>
      </c>
      <c r="AE1008" s="5">
        <v>0.27870266916975811</v>
      </c>
      <c r="AF1008" s="5">
        <v>0.27228958714967955</v>
      </c>
    </row>
    <row r="1009" spans="23:32" x14ac:dyDescent="0.25">
      <c r="W1009">
        <v>68.099999999999994</v>
      </c>
      <c r="X1009" s="5">
        <v>71.573923425183395</v>
      </c>
      <c r="Y1009" s="5">
        <v>-3.4739234251834006</v>
      </c>
      <c r="Z1009" s="5">
        <v>-3.5135017407961016</v>
      </c>
      <c r="AA1009" s="18">
        <v>1.1264635264910406E-2</v>
      </c>
      <c r="AB1009" s="5">
        <v>-0.97158790302081488</v>
      </c>
      <c r="AC1009" s="4">
        <v>5.660407048026021E-4</v>
      </c>
      <c r="AE1009" s="5">
        <v>0.27870266916975811</v>
      </c>
      <c r="AF1009" s="5">
        <v>0.27265135751289077</v>
      </c>
    </row>
    <row r="1010" spans="23:32" x14ac:dyDescent="0.25">
      <c r="W1010">
        <v>67.8</v>
      </c>
      <c r="X1010" s="5">
        <v>72.844755391414694</v>
      </c>
      <c r="Y1010" s="5">
        <v>-5.0447553914146965</v>
      </c>
      <c r="Z1010" s="5">
        <v>-5.0770872523741843</v>
      </c>
      <c r="AA1010" s="18">
        <v>6.3681909237170726E-3</v>
      </c>
      <c r="AB1010" s="5">
        <v>-1.4074379653898692</v>
      </c>
      <c r="AC1010" s="4">
        <v>6.6818313855255803E-4</v>
      </c>
      <c r="AE1010" s="5">
        <v>0.27870266916975811</v>
      </c>
      <c r="AF1010" s="5">
        <v>0.27308020860932158</v>
      </c>
    </row>
    <row r="1011" spans="23:32" x14ac:dyDescent="0.25">
      <c r="W1011">
        <v>67.3</v>
      </c>
      <c r="X1011" s="5">
        <v>72.552710162835339</v>
      </c>
      <c r="Y1011" s="5">
        <v>-5.2527101628353421</v>
      </c>
      <c r="Z1011" s="5">
        <v>-5.285248425529872</v>
      </c>
      <c r="AA1011" s="18">
        <v>6.1564301381469037E-3</v>
      </c>
      <c r="AB1011" s="5">
        <v>-1.4652992029737115</v>
      </c>
      <c r="AC1011" s="4">
        <v>7.0001919555928922E-4</v>
      </c>
      <c r="AE1011" s="5">
        <v>0.27870266916975811</v>
      </c>
      <c r="AF1011" s="5">
        <v>0.27633478946614154</v>
      </c>
    </row>
    <row r="1012" spans="23:32" x14ac:dyDescent="0.25">
      <c r="W1012">
        <v>66.3</v>
      </c>
      <c r="X1012" s="5">
        <v>75.239928174807432</v>
      </c>
      <c r="Y1012" s="5">
        <v>-8.9399281748074344</v>
      </c>
      <c r="Z1012" s="5">
        <v>-8.9675969623226734</v>
      </c>
      <c r="AA1012" s="18">
        <v>3.0854182710813817E-3</v>
      </c>
      <c r="AB1012" s="5">
        <v>-2.4900435749168026</v>
      </c>
      <c r="AC1012" s="4">
        <v>1.00998841426884E-3</v>
      </c>
      <c r="AE1012" s="5">
        <v>0.27870266916975811</v>
      </c>
      <c r="AF1012" s="5">
        <v>0.27681685984087206</v>
      </c>
    </row>
    <row r="1013" spans="23:32" x14ac:dyDescent="0.25">
      <c r="W1013">
        <v>66.900000000000006</v>
      </c>
      <c r="X1013" s="5">
        <v>71.304329770446586</v>
      </c>
      <c r="Y1013" s="5">
        <v>-4.40432977044658</v>
      </c>
      <c r="Z1013" s="5">
        <v>-4.4151661768448207</v>
      </c>
      <c r="AA1013" s="18">
        <v>2.4543598053171E-3</v>
      </c>
      <c r="AB1013" s="5">
        <v>-1.2263525353885127</v>
      </c>
      <c r="AC1013" s="4">
        <v>1.9475226653230712E-4</v>
      </c>
      <c r="AE1013" s="5">
        <v>0.27870266916975811</v>
      </c>
      <c r="AF1013" s="5">
        <v>0.27751259946075502</v>
      </c>
    </row>
    <row r="1014" spans="23:32" x14ac:dyDescent="0.25">
      <c r="W1014">
        <v>67.400000000000006</v>
      </c>
      <c r="X1014" s="5">
        <v>71.132003609483505</v>
      </c>
      <c r="Y1014" s="5">
        <v>-3.732003609483499</v>
      </c>
      <c r="Z1014" s="5">
        <v>-3.7397068744560045</v>
      </c>
      <c r="AA1014" s="18">
        <v>2.0598579597571791E-3</v>
      </c>
      <c r="AB1014" s="5">
        <v>-1.038942950608672</v>
      </c>
      <c r="AC1014" s="4">
        <v>1.172634269470336E-4</v>
      </c>
      <c r="AE1014" s="5">
        <v>0.27870266916975811</v>
      </c>
      <c r="AF1014" s="5">
        <v>0.27783710153231433</v>
      </c>
    </row>
    <row r="1015" spans="23:32" x14ac:dyDescent="0.25">
      <c r="W1015">
        <v>65.900000000000006</v>
      </c>
      <c r="X1015" s="5">
        <v>73.992212666727056</v>
      </c>
      <c r="Y1015" s="5">
        <v>-8.0922126667270504</v>
      </c>
      <c r="Z1015" s="5">
        <v>-8.1122211151149628</v>
      </c>
      <c r="AA1015" s="18">
        <v>2.4664574724962249E-3</v>
      </c>
      <c r="AB1015" s="5">
        <v>-2.2532294842288416</v>
      </c>
      <c r="AC1015" s="4">
        <v>6.6069858039211917E-4</v>
      </c>
      <c r="AE1015" s="5">
        <v>0.27870266916975811</v>
      </c>
      <c r="AF1015" s="5">
        <v>0.27954870516255803</v>
      </c>
    </row>
    <row r="1016" spans="23:32" x14ac:dyDescent="0.25">
      <c r="W1016">
        <v>65</v>
      </c>
      <c r="X1016" s="5">
        <v>69.461158844506656</v>
      </c>
      <c r="Y1016" s="5">
        <v>-4.4611588445066559</v>
      </c>
      <c r="Z1016" s="5">
        <v>-4.4756991679355735</v>
      </c>
      <c r="AA1016" s="18">
        <v>3.2487267091324025E-3</v>
      </c>
      <c r="AB1016" s="5">
        <v>-1.2426710454016898</v>
      </c>
      <c r="AC1016" s="4">
        <v>2.64901939129313E-4</v>
      </c>
      <c r="AE1016" s="5">
        <v>0.27870266916975811</v>
      </c>
      <c r="AF1016" s="5">
        <v>0.28086447703670564</v>
      </c>
    </row>
    <row r="1017" spans="23:32" x14ac:dyDescent="0.25">
      <c r="W1017">
        <v>64.5</v>
      </c>
      <c r="X1017" s="5">
        <v>68.570072967397849</v>
      </c>
      <c r="Y1017" s="5">
        <v>-4.0700729673978486</v>
      </c>
      <c r="Z1017" s="5">
        <v>-4.0822920831542575</v>
      </c>
      <c r="AA1017" s="18">
        <v>2.9931997778485839E-3</v>
      </c>
      <c r="AB1017" s="5">
        <v>-1.1335874437125468</v>
      </c>
      <c r="AC1017" s="4">
        <v>2.0304581209068642E-4</v>
      </c>
      <c r="AE1017" s="5">
        <v>0.29295400660571058</v>
      </c>
      <c r="AF1017" s="5">
        <v>0.28220548385565947</v>
      </c>
    </row>
    <row r="1018" spans="23:32" x14ac:dyDescent="0.25">
      <c r="W1018">
        <v>64</v>
      </c>
      <c r="X1018" s="5">
        <v>67.739359184821637</v>
      </c>
      <c r="Y1018" s="5">
        <v>-3.7393591848216374</v>
      </c>
      <c r="Z1018" s="5">
        <v>-3.7526019616357331</v>
      </c>
      <c r="AA1018" s="18">
        <v>3.5289585598163209E-3</v>
      </c>
      <c r="AB1018" s="5">
        <v>-1.0417577358150856</v>
      </c>
      <c r="AC1018" s="4">
        <v>2.0228409816505164E-4</v>
      </c>
      <c r="AE1018" s="5">
        <v>0.29295400660571058</v>
      </c>
      <c r="AF1018" s="5">
        <v>0.28317950674949788</v>
      </c>
    </row>
    <row r="1019" spans="23:32" x14ac:dyDescent="0.25">
      <c r="W1019">
        <v>64</v>
      </c>
      <c r="X1019" s="5">
        <v>65.99558936701267</v>
      </c>
      <c r="Y1019" s="5">
        <v>-1.9955893670126699</v>
      </c>
      <c r="Z1019" s="5">
        <v>-2.0090611761108192</v>
      </c>
      <c r="AA1019" s="18">
        <v>6.7055245795125847E-3</v>
      </c>
      <c r="AB1019" s="5">
        <v>-0.55684466485067363</v>
      </c>
      <c r="AC1019" s="4">
        <v>1.1017150036616906E-4</v>
      </c>
      <c r="AE1019" s="5">
        <v>0.29295400660571058</v>
      </c>
      <c r="AF1019" s="5">
        <v>0.28479893568098597</v>
      </c>
    </row>
    <row r="1020" spans="23:32" x14ac:dyDescent="0.25">
      <c r="W1020">
        <v>63.8</v>
      </c>
      <c r="X1020" s="5">
        <v>66.761806874484165</v>
      </c>
      <c r="Y1020" s="5">
        <v>-2.9618068744841679</v>
      </c>
      <c r="Z1020" s="5">
        <v>-2.971687372191397</v>
      </c>
      <c r="AA1020" s="18">
        <v>3.3248779126928982E-3</v>
      </c>
      <c r="AB1020" s="5">
        <v>-0.82505294640174553</v>
      </c>
      <c r="AC1020" s="4">
        <v>1.1951767141207259E-4</v>
      </c>
      <c r="AE1020" s="5">
        <v>0.29295400660571058</v>
      </c>
      <c r="AF1020" s="5">
        <v>0.28653771491862162</v>
      </c>
    </row>
    <row r="1021" spans="23:32" x14ac:dyDescent="0.25">
      <c r="W1021">
        <v>63.2</v>
      </c>
      <c r="X1021" s="5">
        <v>65.705874791739873</v>
      </c>
      <c r="Y1021" s="5">
        <v>-2.5058747917398705</v>
      </c>
      <c r="Z1021" s="5">
        <v>-2.516861285364044</v>
      </c>
      <c r="AA1021" s="18">
        <v>4.3651565893042584E-3</v>
      </c>
      <c r="AB1021" s="5">
        <v>-0.69841123275254702</v>
      </c>
      <c r="AC1021" s="4">
        <v>1.1255597933059241E-4</v>
      </c>
      <c r="AE1021" s="5">
        <v>0.29295400660571058</v>
      </c>
      <c r="AF1021" s="5">
        <v>0.28657156959014146</v>
      </c>
    </row>
    <row r="1022" spans="23:32" x14ac:dyDescent="0.25">
      <c r="W1022">
        <v>62.8</v>
      </c>
      <c r="X1022" s="5">
        <v>65.084022034015902</v>
      </c>
      <c r="Y1022" s="5">
        <v>-2.284022034015905</v>
      </c>
      <c r="Z1022" s="5">
        <v>-2.293822494925422</v>
      </c>
      <c r="AA1022" s="18">
        <v>4.272545469931447E-3</v>
      </c>
      <c r="AB1022" s="5">
        <v>-0.63654914642326477</v>
      </c>
      <c r="AC1022" s="4">
        <v>9.1507457918905136E-5</v>
      </c>
      <c r="AE1022" s="5">
        <v>0.29295400660571058</v>
      </c>
      <c r="AF1022" s="5">
        <v>0.2876525062451023</v>
      </c>
    </row>
    <row r="1023" spans="23:32" x14ac:dyDescent="0.25">
      <c r="W1023">
        <v>75.900000000000006</v>
      </c>
      <c r="X1023" s="5">
        <v>78.467282354391969</v>
      </c>
      <c r="Y1023" s="5">
        <v>-2.5672823543919634</v>
      </c>
      <c r="Z1023" s="5">
        <v>-2.5818743708167062</v>
      </c>
      <c r="AA1023" s="18">
        <v>5.6517143474080385E-3</v>
      </c>
      <c r="AB1023" s="5">
        <v>-0.71598885620590902</v>
      </c>
      <c r="AC1023" s="4">
        <v>1.5335593878157893E-4</v>
      </c>
      <c r="AE1023" s="5">
        <v>0.29295400660571058</v>
      </c>
      <c r="AF1023" s="5">
        <v>0.29048839910378987</v>
      </c>
    </row>
    <row r="1024" spans="23:32" x14ac:dyDescent="0.25">
      <c r="W1024">
        <v>75.8</v>
      </c>
      <c r="X1024" s="5">
        <v>77.058336006292862</v>
      </c>
      <c r="Y1024" s="5">
        <v>-1.2583360062928648</v>
      </c>
      <c r="Z1024" s="5">
        <v>-1.2846647323640781</v>
      </c>
      <c r="AA1024" s="18">
        <v>2.0494628215381949E-2</v>
      </c>
      <c r="AB1024" s="5">
        <v>-0.35358603535200156</v>
      </c>
      <c r="AC1024" s="4">
        <v>1.3767967442624666E-4</v>
      </c>
      <c r="AE1024" s="5">
        <v>0.29295400660571058</v>
      </c>
      <c r="AF1024" s="5">
        <v>0.29174801548511814</v>
      </c>
    </row>
    <row r="1025" spans="23:32" x14ac:dyDescent="0.25">
      <c r="W1025">
        <v>75.599999999999994</v>
      </c>
      <c r="X1025" s="5">
        <v>77.19103210005207</v>
      </c>
      <c r="Y1025" s="5">
        <v>-1.5910321000520753</v>
      </c>
      <c r="Z1025" s="5">
        <v>-1.6250111233483295</v>
      </c>
      <c r="AA1025" s="18">
        <v>2.0910025050318207E-2</v>
      </c>
      <c r="AB1025" s="5">
        <v>-0.44716677939776289</v>
      </c>
      <c r="AC1025" s="4">
        <v>2.2475916600069693E-4</v>
      </c>
      <c r="AE1025" s="5">
        <v>0.29295400660571058</v>
      </c>
      <c r="AF1025" s="5">
        <v>0.29586745838430628</v>
      </c>
    </row>
    <row r="1026" spans="23:32" x14ac:dyDescent="0.25">
      <c r="W1026">
        <v>75.400000000000006</v>
      </c>
      <c r="X1026" s="5">
        <v>76.405574430147553</v>
      </c>
      <c r="Y1026" s="5">
        <v>-1.0055744301475471</v>
      </c>
      <c r="Z1026" s="5">
        <v>-1.0074475640470979</v>
      </c>
      <c r="AA1026" s="18">
        <v>1.8592867424604982E-3</v>
      </c>
      <c r="AB1026" s="5">
        <v>-0.27991116905418378</v>
      </c>
      <c r="AC1026" s="4">
        <v>7.6814190368145787E-6</v>
      </c>
      <c r="AE1026" s="5">
        <v>0.29295400660571058</v>
      </c>
      <c r="AF1026" s="5">
        <v>0.29586773756144918</v>
      </c>
    </row>
    <row r="1027" spans="23:32" x14ac:dyDescent="0.25">
      <c r="W1027">
        <v>75.3</v>
      </c>
      <c r="X1027" s="5">
        <v>76.618953921018829</v>
      </c>
      <c r="Y1027" s="5">
        <v>-1.3189539210188315</v>
      </c>
      <c r="Z1027" s="5">
        <v>-1.3341302063624596</v>
      </c>
      <c r="AA1027" s="18">
        <v>1.1375415436408394E-2</v>
      </c>
      <c r="AB1027" s="5">
        <v>-0.36890607921964497</v>
      </c>
      <c r="AC1027" s="4">
        <v>8.2416446119420585E-5</v>
      </c>
      <c r="AE1027" s="5">
        <v>0.29295400660571058</v>
      </c>
      <c r="AF1027" s="5">
        <v>0.29627185097569553</v>
      </c>
    </row>
    <row r="1028" spans="23:32" x14ac:dyDescent="0.25">
      <c r="W1028">
        <v>75</v>
      </c>
      <c r="X1028" s="5">
        <v>75.644320277492852</v>
      </c>
      <c r="Y1028" s="5">
        <v>-0.64432027749285226</v>
      </c>
      <c r="Z1028" s="5">
        <v>-0.64545346905862289</v>
      </c>
      <c r="AA1028" s="18">
        <v>1.7556518325383987E-3</v>
      </c>
      <c r="AB1028" s="5">
        <v>-0.17934334309615141</v>
      </c>
      <c r="AC1028" s="4">
        <v>2.9772716042183505E-6</v>
      </c>
      <c r="AE1028" s="5">
        <v>0.29295400660571058</v>
      </c>
      <c r="AF1028" s="5">
        <v>0.29851624165759549</v>
      </c>
    </row>
    <row r="1029" spans="23:32" x14ac:dyDescent="0.25">
      <c r="W1029">
        <v>74.599999999999994</v>
      </c>
      <c r="X1029" s="5">
        <v>75.195382329124811</v>
      </c>
      <c r="Y1029" s="5">
        <v>-0.59538232912481703</v>
      </c>
      <c r="Z1029" s="5">
        <v>-0.59630002826024509</v>
      </c>
      <c r="AA1029" s="18">
        <v>1.5389889182202191E-3</v>
      </c>
      <c r="AB1029" s="5">
        <v>-0.16570372716203502</v>
      </c>
      <c r="AC1029" s="4">
        <v>2.2274878051128832E-6</v>
      </c>
      <c r="AE1029" s="5">
        <v>0.29295400660571058</v>
      </c>
      <c r="AF1029" s="5">
        <v>0.30017707042677355</v>
      </c>
    </row>
    <row r="1030" spans="23:32" x14ac:dyDescent="0.25">
      <c r="W1030">
        <v>74.2</v>
      </c>
      <c r="X1030" s="5">
        <v>74.942801037111423</v>
      </c>
      <c r="Y1030" s="5">
        <v>-0.74280103711141976</v>
      </c>
      <c r="Z1030" s="5">
        <v>-0.75086423183756779</v>
      </c>
      <c r="AA1030" s="18">
        <v>1.0738552169962199E-2</v>
      </c>
      <c r="AB1030" s="5">
        <v>-0.20769156118988907</v>
      </c>
      <c r="AC1030" s="4">
        <v>2.4644428279117709E-5</v>
      </c>
      <c r="AE1030" s="5">
        <v>0.29295400660571058</v>
      </c>
      <c r="AF1030" s="5">
        <v>0.30080044904152231</v>
      </c>
    </row>
    <row r="1031" spans="23:32" x14ac:dyDescent="0.25">
      <c r="W1031">
        <v>73.8</v>
      </c>
      <c r="X1031" s="5">
        <v>74.53997438863324</v>
      </c>
      <c r="Y1031" s="5">
        <v>-0.73997438863324305</v>
      </c>
      <c r="Z1031" s="5">
        <v>-0.75165443563035694</v>
      </c>
      <c r="AA1031" s="18">
        <v>1.5539118035431582E-2</v>
      </c>
      <c r="AB1031" s="5">
        <v>-0.20740506040012352</v>
      </c>
      <c r="AC1031" s="4">
        <v>3.5736580775864315E-5</v>
      </c>
      <c r="AE1031" s="5">
        <v>0.3152427890443939</v>
      </c>
      <c r="AF1031" s="5">
        <v>0.30324674809400542</v>
      </c>
    </row>
    <row r="1032" spans="23:32" x14ac:dyDescent="0.25">
      <c r="W1032">
        <v>74.099999999999994</v>
      </c>
      <c r="X1032" s="5">
        <v>72.50322568249868</v>
      </c>
      <c r="Y1032" s="5">
        <v>1.596774317501314</v>
      </c>
      <c r="Z1032" s="5">
        <v>1.6024418209584894</v>
      </c>
      <c r="AA1032" s="18">
        <v>3.5367920276692145E-3</v>
      </c>
      <c r="AB1032" s="5">
        <v>0.4448512308662485</v>
      </c>
      <c r="AC1032" s="4">
        <v>3.696785457511224E-5</v>
      </c>
      <c r="AE1032" s="5">
        <v>0.3152427890443939</v>
      </c>
      <c r="AF1032" s="5">
        <v>0.30430030748888248</v>
      </c>
    </row>
    <row r="1033" spans="23:32" x14ac:dyDescent="0.25">
      <c r="W1033">
        <v>73.900000000000006</v>
      </c>
      <c r="X1033" s="5">
        <v>72.365751963661268</v>
      </c>
      <c r="Y1033" s="5">
        <v>1.5342480363387381</v>
      </c>
      <c r="Z1033" s="5">
        <v>1.5396160901055822</v>
      </c>
      <c r="AA1033" s="18">
        <v>3.4866183858020382E-3</v>
      </c>
      <c r="AB1033" s="5">
        <v>0.42742104363541972</v>
      </c>
      <c r="AC1033" s="4">
        <v>3.3641819847985777E-5</v>
      </c>
      <c r="AE1033" s="5">
        <v>0.3152427890443939</v>
      </c>
      <c r="AF1033" s="5">
        <v>0.30991351478266127</v>
      </c>
    </row>
    <row r="1034" spans="23:32" x14ac:dyDescent="0.25">
      <c r="W1034">
        <v>73.599999999999994</v>
      </c>
      <c r="X1034" s="5">
        <v>71.682362385144884</v>
      </c>
      <c r="Y1034" s="5">
        <v>1.91763761485511</v>
      </c>
      <c r="Z1034" s="5">
        <v>1.9241787258525704</v>
      </c>
      <c r="AA1034" s="18">
        <v>3.3994300579099877E-3</v>
      </c>
      <c r="AB1034" s="5">
        <v>0.53420489850132391</v>
      </c>
      <c r="AC1034" s="4">
        <v>5.1232684191306624E-5</v>
      </c>
      <c r="AE1034" s="5">
        <v>0.3152427890443939</v>
      </c>
      <c r="AF1034" s="5">
        <v>0.31145559066345074</v>
      </c>
    </row>
    <row r="1035" spans="23:32" x14ac:dyDescent="0.25">
      <c r="W1035">
        <v>73.3</v>
      </c>
      <c r="X1035" s="5">
        <v>72.613225216470383</v>
      </c>
      <c r="Y1035" s="5">
        <v>0.6867747835296143</v>
      </c>
      <c r="Z1035" s="5">
        <v>0.68979618440150148</v>
      </c>
      <c r="AA1035" s="18">
        <v>4.380135669367514E-3</v>
      </c>
      <c r="AB1035" s="5">
        <v>0.19141212997836787</v>
      </c>
      <c r="AC1035" s="4">
        <v>8.4835831440105644E-6</v>
      </c>
      <c r="AE1035" s="5">
        <v>0.3152427890443939</v>
      </c>
      <c r="AF1035" s="5">
        <v>0.31505646546255067</v>
      </c>
    </row>
    <row r="1036" spans="23:32" x14ac:dyDescent="0.25">
      <c r="W1036">
        <v>72.8</v>
      </c>
      <c r="X1036" s="5">
        <v>72.241423531813183</v>
      </c>
      <c r="Y1036" s="5">
        <v>0.55857646818681417</v>
      </c>
      <c r="Z1036" s="5">
        <v>0.56111423740237854</v>
      </c>
      <c r="AA1036" s="18">
        <v>4.5227318189407471E-3</v>
      </c>
      <c r="AB1036" s="5">
        <v>0.15569291640440952</v>
      </c>
      <c r="AC1036" s="4">
        <v>5.7963365777272963E-6</v>
      </c>
      <c r="AE1036" s="5">
        <v>0.3152427890443939</v>
      </c>
      <c r="AF1036" s="5">
        <v>0.31586300353962027</v>
      </c>
    </row>
    <row r="1037" spans="23:32" x14ac:dyDescent="0.25">
      <c r="W1037">
        <v>72.3</v>
      </c>
      <c r="X1037" s="5">
        <v>70.154779196781519</v>
      </c>
      <c r="Y1037" s="5">
        <v>2.1452208032184785</v>
      </c>
      <c r="Z1037" s="5">
        <v>2.1526222092468856</v>
      </c>
      <c r="AA1037" s="18">
        <v>3.4383209448551263E-3</v>
      </c>
      <c r="AB1037" s="5">
        <v>0.59761542716390326</v>
      </c>
      <c r="AC1037" s="4">
        <v>6.485332227387257E-5</v>
      </c>
      <c r="AE1037" s="5">
        <v>0.3152427890443939</v>
      </c>
      <c r="AF1037" s="5">
        <v>0.31739916284108016</v>
      </c>
    </row>
    <row r="1038" spans="23:32" x14ac:dyDescent="0.25">
      <c r="W1038">
        <v>71.8</v>
      </c>
      <c r="X1038" s="5">
        <v>69.75640353367578</v>
      </c>
      <c r="Y1038" s="5">
        <v>2.0435964663242174</v>
      </c>
      <c r="Z1038" s="5">
        <v>2.0507393878723832</v>
      </c>
      <c r="AA1038" s="18">
        <v>3.4830957021649489E-3</v>
      </c>
      <c r="AB1038" s="5">
        <v>0.56931771776715356</v>
      </c>
      <c r="AC1038" s="4">
        <v>5.9626118061306182E-5</v>
      </c>
      <c r="AE1038" s="5">
        <v>0.3152427890443939</v>
      </c>
      <c r="AF1038" s="5">
        <v>0.31787672696243763</v>
      </c>
    </row>
    <row r="1039" spans="23:32" x14ac:dyDescent="0.25">
      <c r="W1039">
        <v>71.400000000000006</v>
      </c>
      <c r="X1039" s="5">
        <v>67.629802326309573</v>
      </c>
      <c r="Y1039" s="5">
        <v>3.7701976736904328</v>
      </c>
      <c r="Z1039" s="5">
        <v>3.7864251972184917</v>
      </c>
      <c r="AA1039" s="18">
        <v>4.285710844089588E-3</v>
      </c>
      <c r="AB1039" s="5">
        <v>1.050748171923666</v>
      </c>
      <c r="AC1039" s="4">
        <v>2.5011043502937169E-4</v>
      </c>
      <c r="AE1039" s="5">
        <v>0.3152427890443939</v>
      </c>
      <c r="AF1039" s="5">
        <v>0.32295385437503926</v>
      </c>
    </row>
    <row r="1040" spans="23:32" x14ac:dyDescent="0.25">
      <c r="W1040">
        <v>71</v>
      </c>
      <c r="X1040" s="5">
        <v>69.093129611226459</v>
      </c>
      <c r="Y1040" s="5">
        <v>1.906870388773541</v>
      </c>
      <c r="Z1040" s="5">
        <v>1.9129528121901558</v>
      </c>
      <c r="AA1040" s="18">
        <v>3.1795992968842481E-3</v>
      </c>
      <c r="AB1040" s="5">
        <v>0.5311468469932854</v>
      </c>
      <c r="AC1040" s="4">
        <v>4.7362115138275411E-5</v>
      </c>
      <c r="AE1040" s="5">
        <v>0.3152427890443939</v>
      </c>
      <c r="AF1040" s="5">
        <v>0.3231912688570156</v>
      </c>
    </row>
    <row r="1041" spans="23:32" x14ac:dyDescent="0.25">
      <c r="W1041">
        <v>77</v>
      </c>
      <c r="X1041" s="5">
        <v>68.686061722169114</v>
      </c>
      <c r="Y1041" s="5">
        <v>8.3139382778308857</v>
      </c>
      <c r="Z1041" s="5">
        <v>8.3417431954736401</v>
      </c>
      <c r="AA1041" s="18">
        <v>3.3332262803109393E-3</v>
      </c>
      <c r="AB1041" s="5">
        <v>2.3159740966498559</v>
      </c>
      <c r="AC1041" s="4">
        <v>9.4412307322681778E-4</v>
      </c>
      <c r="AE1041" s="5">
        <v>0.3152427890443939</v>
      </c>
      <c r="AF1041" s="5">
        <v>0.32391423455207319</v>
      </c>
    </row>
    <row r="1042" spans="23:32" x14ac:dyDescent="0.25">
      <c r="W1042">
        <v>72</v>
      </c>
      <c r="X1042" s="5">
        <v>68.284484417198968</v>
      </c>
      <c r="Y1042" s="5">
        <v>3.7155155828010322</v>
      </c>
      <c r="Z1042" s="5">
        <v>3.728606556584765</v>
      </c>
      <c r="AA1042" s="18">
        <v>3.5109560596082732E-3</v>
      </c>
      <c r="AB1042" s="5">
        <v>1.0351057349289861</v>
      </c>
      <c r="AC1042" s="4">
        <v>1.9868665335870297E-4</v>
      </c>
      <c r="AE1042" s="5">
        <v>0.33286538375086522</v>
      </c>
      <c r="AF1042" s="5">
        <v>0.32580295423837996</v>
      </c>
    </row>
    <row r="1043" spans="23:32" x14ac:dyDescent="0.25">
      <c r="W1043">
        <v>69.900000000000006</v>
      </c>
      <c r="X1043" s="5">
        <v>68.130979547505632</v>
      </c>
      <c r="Y1043" s="5">
        <v>1.7690204524943738</v>
      </c>
      <c r="Z1043" s="5">
        <v>1.7925031606725241</v>
      </c>
      <c r="AA1043" s="18">
        <v>1.3100511448658984E-2</v>
      </c>
      <c r="AB1043" s="5">
        <v>0.49522012317682129</v>
      </c>
      <c r="AC1043" s="4">
        <v>1.7133981507311971E-4</v>
      </c>
      <c r="AE1043" s="5">
        <v>0.33286538375086522</v>
      </c>
      <c r="AF1043" s="5">
        <v>0.32636121625227843</v>
      </c>
    </row>
    <row r="1044" spans="23:32" x14ac:dyDescent="0.25">
      <c r="W1044">
        <v>69.5</v>
      </c>
      <c r="X1044" s="5">
        <v>69.431668158883951</v>
      </c>
      <c r="Y1044" s="5">
        <v>6.8331841116048508E-2</v>
      </c>
      <c r="Z1044" s="5">
        <v>6.8715640569436687E-2</v>
      </c>
      <c r="AA1044" s="18">
        <v>5.5853289034228657E-3</v>
      </c>
      <c r="AB1044" s="5">
        <v>1.9056417219724751E-2</v>
      </c>
      <c r="AC1044" s="4">
        <v>1.0735199850203233E-7</v>
      </c>
      <c r="AE1044" s="5">
        <v>0.33286538375086522</v>
      </c>
      <c r="AF1044" s="5">
        <v>0.33139269506843533</v>
      </c>
    </row>
    <row r="1045" spans="23:32" x14ac:dyDescent="0.25">
      <c r="W1045">
        <v>69</v>
      </c>
      <c r="X1045" s="5">
        <v>66.72635825439167</v>
      </c>
      <c r="Y1045" s="5">
        <v>2.2736417456083302</v>
      </c>
      <c r="Z1045" s="5">
        <v>2.2832829954136145</v>
      </c>
      <c r="AA1045" s="18">
        <v>4.2225382594480165E-3</v>
      </c>
      <c r="AB1045" s="5">
        <v>0.63364028439445497</v>
      </c>
      <c r="AC1045" s="4">
        <v>8.9607272950218686E-5</v>
      </c>
      <c r="AE1045" s="5">
        <v>0.33286538375086522</v>
      </c>
      <c r="AF1045" s="5">
        <v>0.33144321073999938</v>
      </c>
    </row>
    <row r="1046" spans="23:32" x14ac:dyDescent="0.25">
      <c r="W1046">
        <v>68.599999999999994</v>
      </c>
      <c r="X1046" s="5">
        <v>68.611331304888211</v>
      </c>
      <c r="Y1046" s="5">
        <v>-1.1331304888216209E-2</v>
      </c>
      <c r="Z1046" s="5">
        <v>-1.1445779131889822E-2</v>
      </c>
      <c r="AA1046" s="18">
        <v>1.0001437416464851E-2</v>
      </c>
      <c r="AB1046" s="5">
        <v>-3.1671201173950293E-3</v>
      </c>
      <c r="AC1046" s="4">
        <v>5.3333898065421291E-9</v>
      </c>
      <c r="AE1046" s="5">
        <v>0.33286538375086522</v>
      </c>
      <c r="AF1046" s="5">
        <v>0.33731143528824886</v>
      </c>
    </row>
    <row r="1047" spans="23:32" x14ac:dyDescent="0.25">
      <c r="W1047">
        <v>56.7</v>
      </c>
      <c r="X1047" s="5">
        <v>59.372606572596908</v>
      </c>
      <c r="Y1047" s="5">
        <v>-2.672606572596905</v>
      </c>
      <c r="Z1047" s="5">
        <v>-2.6862083224948634</v>
      </c>
      <c r="AA1047" s="18">
        <v>5.0635499056633426E-3</v>
      </c>
      <c r="AB1047" s="5">
        <v>-0.74514236004582435</v>
      </c>
      <c r="AC1047" s="4">
        <v>1.4872523297273499E-4</v>
      </c>
      <c r="AE1047" s="5">
        <v>0.33286538375086522</v>
      </c>
      <c r="AF1047" s="5">
        <v>0.33769492824245823</v>
      </c>
    </row>
    <row r="1048" spans="23:32" x14ac:dyDescent="0.25">
      <c r="W1048">
        <v>55.3</v>
      </c>
      <c r="X1048" s="5">
        <v>64.129240771341486</v>
      </c>
      <c r="Y1048" s="5">
        <v>-8.8292407713414889</v>
      </c>
      <c r="Z1048" s="5">
        <v>-8.881151711651242</v>
      </c>
      <c r="AA1048" s="18">
        <v>5.8450685220990395E-3</v>
      </c>
      <c r="AB1048" s="5">
        <v>-2.4626246159272069</v>
      </c>
      <c r="AC1048" s="4">
        <v>1.8766287577651147E-3</v>
      </c>
      <c r="AE1048" s="5">
        <v>0.33286538375086522</v>
      </c>
      <c r="AF1048" s="5">
        <v>0.33987930202439948</v>
      </c>
    </row>
    <row r="1049" spans="23:32" x14ac:dyDescent="0.25">
      <c r="W1049">
        <v>54.8</v>
      </c>
      <c r="X1049" s="5">
        <v>63.259427212529594</v>
      </c>
      <c r="Y1049" s="5">
        <v>-8.4594272125295973</v>
      </c>
      <c r="Z1049" s="5">
        <v>-8.5150349145340698</v>
      </c>
      <c r="AA1049" s="18">
        <v>6.5305312970073788E-3</v>
      </c>
      <c r="AB1049" s="5">
        <v>-2.3602912005470853</v>
      </c>
      <c r="AC1049" s="4">
        <v>1.9273987093097343E-3</v>
      </c>
      <c r="AE1049" s="5">
        <v>0.33286538375086522</v>
      </c>
      <c r="AF1049" s="5">
        <v>0.34102321891779036</v>
      </c>
    </row>
    <row r="1050" spans="23:32" x14ac:dyDescent="0.25">
      <c r="W1050">
        <v>54.3</v>
      </c>
      <c r="X1050" s="5">
        <v>61.672854182947177</v>
      </c>
      <c r="Y1050" s="5">
        <v>-7.3728541829471794</v>
      </c>
      <c r="Z1050" s="5">
        <v>-7.4488585694660685</v>
      </c>
      <c r="AA1050" s="18">
        <v>1.0203494375694096E-2</v>
      </c>
      <c r="AB1050" s="5">
        <v>-2.0609363458554926</v>
      </c>
      <c r="AC1050" s="4">
        <v>2.3045098510504928E-3</v>
      </c>
      <c r="AE1050" s="5">
        <v>0.33286538375086522</v>
      </c>
      <c r="AF1050" s="5">
        <v>0.34423603341596648</v>
      </c>
    </row>
    <row r="1051" spans="23:32" x14ac:dyDescent="0.25">
      <c r="W1051">
        <v>54</v>
      </c>
      <c r="X1051" s="5">
        <v>60.767067524266963</v>
      </c>
      <c r="Y1051" s="5">
        <v>-6.7670675242669631</v>
      </c>
      <c r="Z1051" s="5">
        <v>-6.8412477710058965</v>
      </c>
      <c r="AA1051" s="18">
        <v>1.0843087287865602E-2</v>
      </c>
      <c r="AB1051" s="5">
        <v>-1.8922120621598761</v>
      </c>
      <c r="AC1051" s="4">
        <v>2.0657310421426521E-3</v>
      </c>
      <c r="AE1051" s="5">
        <v>0.33286538375086522</v>
      </c>
      <c r="AF1051" s="5">
        <v>0.34615492348758792</v>
      </c>
    </row>
    <row r="1052" spans="23:32" x14ac:dyDescent="0.25">
      <c r="W1052">
        <v>53.8</v>
      </c>
      <c r="X1052" s="5">
        <v>61.009443841357609</v>
      </c>
      <c r="Y1052" s="5">
        <v>-7.2094438413576114</v>
      </c>
      <c r="Z1052" s="5">
        <v>-7.3060923185046107</v>
      </c>
      <c r="AA1052" s="18">
        <v>1.3228477404017015E-2</v>
      </c>
      <c r="AB1052" s="5">
        <v>-2.0183447585116223</v>
      </c>
      <c r="AC1052" s="4">
        <v>2.8742884754961013E-3</v>
      </c>
      <c r="AE1052" s="5">
        <v>0.33286538375086522</v>
      </c>
      <c r="AF1052" s="5">
        <v>0.34691696907426578</v>
      </c>
    </row>
    <row r="1053" spans="23:32" x14ac:dyDescent="0.25">
      <c r="W1053">
        <v>53.2</v>
      </c>
      <c r="X1053" s="5">
        <v>59.775015580036317</v>
      </c>
      <c r="Y1053" s="5">
        <v>-6.5750155800363146</v>
      </c>
      <c r="Z1053" s="5">
        <v>-6.6450252159996168</v>
      </c>
      <c r="AA1053" s="18">
        <v>1.0535646395251671E-2</v>
      </c>
      <c r="AB1053" s="5">
        <v>-1.8382247177222772</v>
      </c>
      <c r="AC1053" s="4">
        <v>1.8936714663104358E-3</v>
      </c>
      <c r="AE1053" s="5">
        <v>0.33286538375086522</v>
      </c>
      <c r="AF1053" s="5">
        <v>0.34848147787151851</v>
      </c>
    </row>
    <row r="1054" spans="23:32" x14ac:dyDescent="0.25">
      <c r="W1054">
        <v>52.1</v>
      </c>
      <c r="X1054" s="5">
        <v>52.029054474579631</v>
      </c>
      <c r="Y1054" s="5">
        <v>7.0945525420370359E-2</v>
      </c>
      <c r="Z1054" s="5">
        <v>7.1403148691160823E-2</v>
      </c>
      <c r="AA1054" s="18">
        <v>6.4090068740842174E-3</v>
      </c>
      <c r="AB1054" s="5">
        <v>1.9793522003019218E-2</v>
      </c>
      <c r="AC1054" s="4">
        <v>1.3300735186345233E-7</v>
      </c>
      <c r="AE1054" s="5">
        <v>0.35220887014201224</v>
      </c>
      <c r="AF1054" s="5">
        <v>0.34988342458575222</v>
      </c>
    </row>
    <row r="1055" spans="23:32" x14ac:dyDescent="0.25">
      <c r="W1055">
        <v>51.2</v>
      </c>
      <c r="X1055" s="5">
        <v>50.710718772867892</v>
      </c>
      <c r="Y1055" s="5">
        <v>0.48928122713211053</v>
      </c>
      <c r="Z1055" s="5">
        <v>0.49294765578943611</v>
      </c>
      <c r="AA1055" s="18">
        <v>7.437764667846374E-3</v>
      </c>
      <c r="AB1055" s="5">
        <v>0.1365782586028966</v>
      </c>
      <c r="AC1055" s="4">
        <v>7.3568893983976088E-6</v>
      </c>
      <c r="AE1055" s="5">
        <v>0.35220887014201224</v>
      </c>
      <c r="AF1055" s="5">
        <v>0.35004800367003036</v>
      </c>
    </row>
    <row r="1056" spans="23:32" x14ac:dyDescent="0.25">
      <c r="W1056">
        <v>58</v>
      </c>
      <c r="X1056" s="5">
        <v>48.910928157462052</v>
      </c>
      <c r="Y1056" s="5">
        <v>9.0890718425379475</v>
      </c>
      <c r="Z1056" s="5">
        <v>9.2684907584522094</v>
      </c>
      <c r="AA1056" s="18">
        <v>1.9357943012527922E-2</v>
      </c>
      <c r="AB1056" s="5">
        <v>2.5525024669765601</v>
      </c>
      <c r="AC1056" s="4">
        <v>6.7690454804454408E-3</v>
      </c>
      <c r="AE1056" s="5">
        <v>0.35220887014201224</v>
      </c>
      <c r="AF1056" s="5">
        <v>0.35064007299981703</v>
      </c>
    </row>
    <row r="1057" spans="23:32" x14ac:dyDescent="0.25">
      <c r="W1057">
        <v>54</v>
      </c>
      <c r="X1057" s="5">
        <v>49.721185147316426</v>
      </c>
      <c r="Y1057" s="5">
        <v>4.2788148526835741</v>
      </c>
      <c r="Z1057" s="5">
        <v>4.3128994931978824</v>
      </c>
      <c r="AA1057" s="18">
        <v>7.9029526581974839E-3</v>
      </c>
      <c r="AB1057" s="5">
        <v>1.1946709624053899</v>
      </c>
      <c r="AC1057" s="4">
        <v>5.9838161019732923E-4</v>
      </c>
      <c r="AE1057" s="5">
        <v>0.35220887014201224</v>
      </c>
      <c r="AF1057" s="5">
        <v>0.3511902525181439</v>
      </c>
    </row>
    <row r="1058" spans="23:32" x14ac:dyDescent="0.25">
      <c r="W1058">
        <v>51</v>
      </c>
      <c r="X1058" s="5">
        <v>49.507367838202462</v>
      </c>
      <c r="Y1058" s="5">
        <v>1.4926321617975375</v>
      </c>
      <c r="Z1058" s="5">
        <v>1.5119841787945703</v>
      </c>
      <c r="AA1058" s="18">
        <v>1.2799086966942107E-2</v>
      </c>
      <c r="AB1058" s="5">
        <v>0.41778410493552159</v>
      </c>
      <c r="AC1058" s="4">
        <v>1.1910326476332704E-4</v>
      </c>
      <c r="AE1058" s="5">
        <v>0.35220887014201224</v>
      </c>
      <c r="AF1058" s="5">
        <v>0.35185709421384259</v>
      </c>
    </row>
    <row r="1059" spans="23:32" x14ac:dyDescent="0.25">
      <c r="W1059">
        <v>49.8</v>
      </c>
      <c r="X1059" s="5">
        <v>49.549191002064461</v>
      </c>
      <c r="Y1059" s="5">
        <v>0.25080899793553613</v>
      </c>
      <c r="Z1059" s="5">
        <v>0.25277907668969846</v>
      </c>
      <c r="AA1059" s="18">
        <v>7.7936781000969256E-3</v>
      </c>
      <c r="AB1059" s="5">
        <v>7.0023531517939372E-2</v>
      </c>
      <c r="AC1059" s="4">
        <v>2.0270986913474991E-6</v>
      </c>
      <c r="AE1059" s="5">
        <v>0.35220887014201224</v>
      </c>
      <c r="AF1059" s="5">
        <v>0.35214064313835503</v>
      </c>
    </row>
    <row r="1060" spans="23:32" x14ac:dyDescent="0.25">
      <c r="W1060">
        <v>49.5</v>
      </c>
      <c r="X1060" s="5">
        <v>55.830876413375044</v>
      </c>
      <c r="Y1060" s="5">
        <v>-6.3308764133750444</v>
      </c>
      <c r="Z1060" s="5">
        <v>-6.4395705729095312</v>
      </c>
      <c r="AA1060" s="18">
        <v>1.6879100602103222E-2</v>
      </c>
      <c r="AB1060" s="5">
        <v>-1.7756700237436112</v>
      </c>
      <c r="AC1060" s="4">
        <v>2.8491367755042146E-3</v>
      </c>
      <c r="AE1060" s="5">
        <v>0.35220887014201224</v>
      </c>
      <c r="AF1060" s="5">
        <v>0.35273204189002294</v>
      </c>
    </row>
    <row r="1061" spans="23:32" x14ac:dyDescent="0.25">
      <c r="W1061">
        <v>66.400000000000006</v>
      </c>
      <c r="X1061" s="5">
        <v>67.873030889055471</v>
      </c>
      <c r="Y1061" s="5">
        <v>-1.4730308890554653</v>
      </c>
      <c r="Z1061" s="5">
        <v>-1.4842492202447346</v>
      </c>
      <c r="AA1061" s="18">
        <v>7.5582530455464694E-3</v>
      </c>
      <c r="AB1061" s="5">
        <v>-0.41120769536895035</v>
      </c>
      <c r="AC1061" s="4">
        <v>6.7777456853112332E-5</v>
      </c>
      <c r="AE1061" s="5">
        <v>0.35220887014201224</v>
      </c>
      <c r="AF1061" s="5">
        <v>0.35602780165138875</v>
      </c>
    </row>
    <row r="1062" spans="23:32" x14ac:dyDescent="0.25">
      <c r="W1062">
        <v>66.2</v>
      </c>
      <c r="X1062" s="5">
        <v>67.420740997347849</v>
      </c>
      <c r="Y1062" s="5">
        <v>-1.2207409973478462</v>
      </c>
      <c r="Z1062" s="5">
        <v>-1.2298753861447693</v>
      </c>
      <c r="AA1062" s="18">
        <v>7.4270848086104568E-3</v>
      </c>
      <c r="AB1062" s="5">
        <v>-0.3407565494126148</v>
      </c>
      <c r="AC1062" s="4">
        <v>4.572890325400432E-5</v>
      </c>
      <c r="AE1062" s="5">
        <v>0.35220887014201224</v>
      </c>
      <c r="AF1062" s="5">
        <v>0.35756859416674475</v>
      </c>
    </row>
    <row r="1063" spans="23:32" x14ac:dyDescent="0.25">
      <c r="W1063">
        <v>65.900000000000006</v>
      </c>
      <c r="X1063" s="5">
        <v>67.550804918617644</v>
      </c>
      <c r="Y1063" s="5">
        <v>-1.6508049186176379</v>
      </c>
      <c r="Z1063" s="5">
        <v>-1.6636037710453877</v>
      </c>
      <c r="AA1063" s="18">
        <v>7.693449997231986E-3</v>
      </c>
      <c r="AB1063" s="5">
        <v>-0.46086605024638216</v>
      </c>
      <c r="AC1063" s="4">
        <v>8.6670461756243439E-5</v>
      </c>
      <c r="AE1063" s="5">
        <v>0.35220887014201224</v>
      </c>
      <c r="AF1063" s="5">
        <v>0.36014255471417717</v>
      </c>
    </row>
    <row r="1064" spans="23:32" x14ac:dyDescent="0.25">
      <c r="W1064">
        <v>65.599999999999994</v>
      </c>
      <c r="X1064" s="5">
        <v>66.555884949618275</v>
      </c>
      <c r="Y1064" s="5">
        <v>-0.95588494961828019</v>
      </c>
      <c r="Z1064" s="5">
        <v>-0.97957151290088973</v>
      </c>
      <c r="AA1064" s="18">
        <v>2.4180535030535372E-2</v>
      </c>
      <c r="AB1064" s="5">
        <v>-0.26910562581431735</v>
      </c>
      <c r="AC1064" s="4">
        <v>9.4447046691831214E-5</v>
      </c>
      <c r="AE1064" s="5">
        <v>0.35220887014201224</v>
      </c>
      <c r="AF1064" s="5">
        <v>0.36051075921224929</v>
      </c>
    </row>
    <row r="1065" spans="23:32" x14ac:dyDescent="0.25">
      <c r="W1065">
        <v>65.400000000000006</v>
      </c>
      <c r="X1065" s="5">
        <v>65.078532835823509</v>
      </c>
      <c r="Y1065" s="5">
        <v>0.32146716417649657</v>
      </c>
      <c r="Z1065" s="5">
        <v>0.32930667203801534</v>
      </c>
      <c r="AA1065" s="18">
        <v>2.3806100899811718E-2</v>
      </c>
      <c r="AB1065" s="5">
        <v>9.0483723991918383E-2</v>
      </c>
      <c r="AC1065" s="4">
        <v>1.0508470576128255E-5</v>
      </c>
      <c r="AE1065" s="5">
        <v>0.35220887014201224</v>
      </c>
      <c r="AF1065" s="5">
        <v>0.36525705451797941</v>
      </c>
    </row>
    <row r="1066" spans="23:32" x14ac:dyDescent="0.25">
      <c r="W1066">
        <v>65.2</v>
      </c>
      <c r="X1066" s="5">
        <v>61.609482314119774</v>
      </c>
      <c r="Y1066" s="5">
        <v>3.5905176858802292</v>
      </c>
      <c r="Z1066" s="5">
        <v>3.6657747899869051</v>
      </c>
      <c r="AA1066" s="18">
        <v>2.0529658371878642E-2</v>
      </c>
      <c r="AB1066" s="5">
        <v>1.0089352997307846</v>
      </c>
      <c r="AC1066" s="4">
        <v>1.1229578759300942E-3</v>
      </c>
      <c r="AE1066" s="5">
        <v>0.3716850598056044</v>
      </c>
      <c r="AF1066" s="5">
        <v>0.36657034056038812</v>
      </c>
    </row>
    <row r="1067" spans="23:32" x14ac:dyDescent="0.25">
      <c r="W1067">
        <v>59.2</v>
      </c>
      <c r="X1067" s="5">
        <v>60.16302319447324</v>
      </c>
      <c r="Y1067" s="5">
        <v>-0.96302319447323725</v>
      </c>
      <c r="Z1067" s="5">
        <v>-0.9700564655204218</v>
      </c>
      <c r="AA1067" s="18">
        <v>7.2503728361924787E-3</v>
      </c>
      <c r="AB1067" s="5">
        <v>-0.26879350642066624</v>
      </c>
      <c r="AC1067" s="4">
        <v>2.7771833427049869E-5</v>
      </c>
      <c r="AE1067" s="5">
        <v>0.3716850598056044</v>
      </c>
      <c r="AF1067" s="5">
        <v>0.36747826789152899</v>
      </c>
    </row>
    <row r="1068" spans="23:32" x14ac:dyDescent="0.25">
      <c r="W1068">
        <v>64.5</v>
      </c>
      <c r="X1068" s="5">
        <v>62.442711797285853</v>
      </c>
      <c r="Y1068" s="5">
        <v>2.0572882027141475</v>
      </c>
      <c r="Z1068" s="5">
        <v>2.0690394138969666</v>
      </c>
      <c r="AA1068" s="18">
        <v>5.6795492168445474E-3</v>
      </c>
      <c r="AB1068" s="5">
        <v>0.57376472124240396</v>
      </c>
      <c r="AC1068" s="4">
        <v>9.8969545872294585E-5</v>
      </c>
      <c r="AE1068" s="5">
        <v>0.3716850598056044</v>
      </c>
      <c r="AF1068" s="5">
        <v>0.36751625858734538</v>
      </c>
    </row>
    <row r="1069" spans="23:32" x14ac:dyDescent="0.25">
      <c r="W1069">
        <v>64.2</v>
      </c>
      <c r="X1069" s="5">
        <v>65.456151989904228</v>
      </c>
      <c r="Y1069" s="5">
        <v>-1.2561519899042253</v>
      </c>
      <c r="Z1069" s="5">
        <v>-1.2665521510787272</v>
      </c>
      <c r="AA1069" s="18">
        <v>8.2113959268459505E-3</v>
      </c>
      <c r="AB1069" s="5">
        <v>-0.35077975911865855</v>
      </c>
      <c r="AC1069" s="4">
        <v>5.3618335665316052E-5</v>
      </c>
      <c r="AE1069" s="5">
        <v>0.3716850598056044</v>
      </c>
      <c r="AF1069" s="5">
        <v>0.36864268006310502</v>
      </c>
    </row>
    <row r="1070" spans="23:32" x14ac:dyDescent="0.25">
      <c r="W1070">
        <v>63.9</v>
      </c>
      <c r="X1070" s="5">
        <v>61.867344904838212</v>
      </c>
      <c r="Y1070" s="5">
        <v>2.0326550951617861</v>
      </c>
      <c r="Z1070" s="5">
        <v>2.0446845230401109</v>
      </c>
      <c r="AA1070" s="18">
        <v>5.8832684175825038E-3</v>
      </c>
      <c r="AB1070" s="5">
        <v>0.56695278513002578</v>
      </c>
      <c r="AC1070" s="4">
        <v>1.0012014386156098E-4</v>
      </c>
      <c r="AE1070" s="5">
        <v>0.3716850598056044</v>
      </c>
      <c r="AF1070" s="5">
        <v>0.36991543792011716</v>
      </c>
    </row>
    <row r="1071" spans="23:32" x14ac:dyDescent="0.25">
      <c r="W1071">
        <v>63.5</v>
      </c>
      <c r="X1071" s="5">
        <v>61.89734679035918</v>
      </c>
      <c r="Y1071" s="5">
        <v>1.6026532096408204</v>
      </c>
      <c r="Z1071" s="5">
        <v>1.6159567924367124</v>
      </c>
      <c r="AA1071" s="18">
        <v>8.2326352153445637E-3</v>
      </c>
      <c r="AB1071" s="5">
        <v>0.44754482817858271</v>
      </c>
      <c r="AC1071" s="4">
        <v>8.750815831175428E-5</v>
      </c>
      <c r="AE1071" s="5">
        <v>0.3716850598056044</v>
      </c>
      <c r="AF1071" s="5">
        <v>0.37291877658151662</v>
      </c>
    </row>
    <row r="1072" spans="23:32" x14ac:dyDescent="0.25">
      <c r="W1072">
        <v>63.2</v>
      </c>
      <c r="X1072" s="5">
        <v>61.755757669932478</v>
      </c>
      <c r="Y1072" s="5">
        <v>1.4442423300675244</v>
      </c>
      <c r="Z1072" s="5">
        <v>1.462672059110119</v>
      </c>
      <c r="AA1072" s="18">
        <v>1.2600041771363774E-2</v>
      </c>
      <c r="AB1072" s="5">
        <v>0.40419916250715332</v>
      </c>
      <c r="AC1072" s="4">
        <v>1.0972765503263512E-4</v>
      </c>
      <c r="AE1072" s="5">
        <v>0.3716850598056044</v>
      </c>
      <c r="AF1072" s="5">
        <v>0.37639254625048979</v>
      </c>
    </row>
    <row r="1073" spans="23:32" x14ac:dyDescent="0.25">
      <c r="W1073">
        <v>65.900000000000006</v>
      </c>
      <c r="X1073" s="5">
        <v>67.88143473235526</v>
      </c>
      <c r="Y1073" s="5">
        <v>-1.9814347323552539</v>
      </c>
      <c r="Z1073" s="5">
        <v>-1.9901332809879477</v>
      </c>
      <c r="AA1073" s="18">
        <v>4.3708372277352437E-3</v>
      </c>
      <c r="AB1073" s="5">
        <v>-0.55224635582269033</v>
      </c>
      <c r="AC1073" s="4">
        <v>7.0465922358687593E-5</v>
      </c>
      <c r="AE1073" s="5">
        <v>0.3716850598056044</v>
      </c>
      <c r="AF1073" s="5">
        <v>0.37984753945162381</v>
      </c>
    </row>
    <row r="1074" spans="23:32" x14ac:dyDescent="0.25">
      <c r="W1074">
        <v>66.099999999999994</v>
      </c>
      <c r="X1074" s="5">
        <v>67.789582392118291</v>
      </c>
      <c r="Y1074" s="5">
        <v>-1.6895823921182966</v>
      </c>
      <c r="Z1074" s="5">
        <v>-1.6963878881407339</v>
      </c>
      <c r="AA1074" s="18">
        <v>4.0117570220887036E-3</v>
      </c>
      <c r="AB1074" s="5">
        <v>-0.47081919531884908</v>
      </c>
      <c r="AC1074" s="4">
        <v>4.699321199091472E-5</v>
      </c>
      <c r="AE1074" s="5">
        <v>0.3716850598056044</v>
      </c>
      <c r="AF1074" s="5">
        <v>0.38037507492633565</v>
      </c>
    </row>
    <row r="1075" spans="23:32" x14ac:dyDescent="0.25">
      <c r="W1075">
        <v>65.8</v>
      </c>
      <c r="X1075" s="5">
        <v>66.907292218904118</v>
      </c>
      <c r="Y1075" s="5">
        <v>-1.1072922189041208</v>
      </c>
      <c r="Z1075" s="5">
        <v>-1.1115476572635572</v>
      </c>
      <c r="AA1075" s="18">
        <v>3.8283903813135798E-3</v>
      </c>
      <c r="AB1075" s="5">
        <v>-0.30852975880176026</v>
      </c>
      <c r="AC1075" s="4">
        <v>1.9254071239337463E-5</v>
      </c>
      <c r="AE1075" s="5">
        <v>0.3716850598056044</v>
      </c>
      <c r="AF1075" s="5">
        <v>0.38077074650348031</v>
      </c>
    </row>
    <row r="1076" spans="23:32" x14ac:dyDescent="0.25">
      <c r="W1076">
        <v>64.3</v>
      </c>
      <c r="X1076" s="5">
        <v>64.967468021404216</v>
      </c>
      <c r="Y1076" s="5">
        <v>-0.66746802140421835</v>
      </c>
      <c r="Z1076" s="5">
        <v>-0.67085690972460554</v>
      </c>
      <c r="AA1076" s="18">
        <v>5.0515814494327075E-3</v>
      </c>
      <c r="AB1076" s="5">
        <v>-0.18609387195089369</v>
      </c>
      <c r="AC1076" s="4">
        <v>9.2541670951734029E-6</v>
      </c>
      <c r="AE1076" s="5">
        <v>0.3716850598056044</v>
      </c>
      <c r="AF1076" s="5">
        <v>0.38102003461703726</v>
      </c>
    </row>
    <row r="1077" spans="23:32" x14ac:dyDescent="0.25">
      <c r="W1077">
        <v>63</v>
      </c>
      <c r="X1077" s="5">
        <v>64.356847435333464</v>
      </c>
      <c r="Y1077" s="5">
        <v>-1.3568474353334636</v>
      </c>
      <c r="Z1077" s="5">
        <v>-1.3613704877762132</v>
      </c>
      <c r="AA1077" s="18">
        <v>3.3224258079390329E-3</v>
      </c>
      <c r="AB1077" s="5">
        <v>-0.37796846474950124</v>
      </c>
      <c r="AC1077" s="4">
        <v>2.5064447591584855E-5</v>
      </c>
      <c r="AE1077" s="5">
        <v>0.3716850598056044</v>
      </c>
      <c r="AF1077" s="5">
        <v>0.38152071491344225</v>
      </c>
    </row>
    <row r="1078" spans="23:32" x14ac:dyDescent="0.25">
      <c r="W1078">
        <v>69.599999999999994</v>
      </c>
      <c r="X1078" s="5">
        <v>68.623607616642417</v>
      </c>
      <c r="Y1078" s="5">
        <v>0.97639238335757739</v>
      </c>
      <c r="Z1078" s="5">
        <v>0.98443526361928946</v>
      </c>
      <c r="AA1078" s="18">
        <v>8.1700448561226116E-3</v>
      </c>
      <c r="AB1078" s="5">
        <v>0.27265135751289077</v>
      </c>
      <c r="AC1078" s="4">
        <v>3.2229157146177716E-5</v>
      </c>
      <c r="AE1078" s="5">
        <v>0.3716850598056044</v>
      </c>
      <c r="AF1078" s="5">
        <v>0.38426767217230712</v>
      </c>
    </row>
    <row r="1079" spans="23:32" x14ac:dyDescent="0.25">
      <c r="W1079">
        <v>69.3</v>
      </c>
      <c r="X1079" s="5">
        <v>68.358560420283183</v>
      </c>
      <c r="Y1079" s="5">
        <v>0.94143957971681402</v>
      </c>
      <c r="Z1079" s="5">
        <v>0.94918130202982809</v>
      </c>
      <c r="AA1079" s="18">
        <v>8.1562103008716285E-3</v>
      </c>
      <c r="AB1079" s="5">
        <v>0.26288917614907226</v>
      </c>
      <c r="AC1079" s="4">
        <v>2.9911414189218661E-5</v>
      </c>
      <c r="AE1079" s="5">
        <v>0.3716850598056044</v>
      </c>
      <c r="AF1079" s="5">
        <v>0.38831688340202136</v>
      </c>
    </row>
    <row r="1080" spans="23:32" x14ac:dyDescent="0.25">
      <c r="W1080">
        <v>68.900000000000006</v>
      </c>
      <c r="X1080" s="5">
        <v>66.757751753130108</v>
      </c>
      <c r="Y1080" s="5">
        <v>2.1422482468698973</v>
      </c>
      <c r="Z1080" s="5">
        <v>2.1876032647175805</v>
      </c>
      <c r="AA1080" s="18">
        <v>2.0732743719660281E-2</v>
      </c>
      <c r="AB1080" s="5">
        <v>0.60203407265306441</v>
      </c>
      <c r="AC1080" s="4">
        <v>4.038723185511593E-4</v>
      </c>
      <c r="AE1080" s="5">
        <v>0.3716850598056044</v>
      </c>
      <c r="AF1080" s="5">
        <v>0.39042709557544736</v>
      </c>
    </row>
    <row r="1081" spans="23:32" x14ac:dyDescent="0.25">
      <c r="W1081">
        <v>68.400000000000006</v>
      </c>
      <c r="X1081" s="5">
        <v>67.807830024652219</v>
      </c>
      <c r="Y1081" s="5">
        <v>0.5921699753477867</v>
      </c>
      <c r="Z1081" s="5">
        <v>0.59730802004293082</v>
      </c>
      <c r="AA1081" s="18">
        <v>8.6020018528646918E-3</v>
      </c>
      <c r="AB1081" s="5">
        <v>0.16539571606184181</v>
      </c>
      <c r="AC1081" s="4">
        <v>1.2492415095700717E-5</v>
      </c>
      <c r="AE1081" s="5">
        <v>0.3716850598056044</v>
      </c>
      <c r="AF1081" s="5">
        <v>0.39340722313104948</v>
      </c>
    </row>
    <row r="1082" spans="23:32" x14ac:dyDescent="0.25">
      <c r="W1082">
        <v>68</v>
      </c>
      <c r="X1082" s="5">
        <v>66.469944196088846</v>
      </c>
      <c r="Y1082" s="5">
        <v>1.5300558039111536</v>
      </c>
      <c r="Z1082" s="5">
        <v>1.5421715277748262</v>
      </c>
      <c r="AA1082" s="18">
        <v>7.8562751584139376E-3</v>
      </c>
      <c r="AB1082" s="5">
        <v>0.42719077669795857</v>
      </c>
      <c r="AC1082" s="4">
        <v>7.6055780908968433E-5</v>
      </c>
      <c r="AE1082" s="5">
        <v>0.39787592189543292</v>
      </c>
      <c r="AF1082" s="5">
        <v>0.39691287706540446</v>
      </c>
    </row>
    <row r="1083" spans="23:32" x14ac:dyDescent="0.25">
      <c r="W1083">
        <v>67.5</v>
      </c>
      <c r="X1083" s="5">
        <v>65.850909581928008</v>
      </c>
      <c r="Y1083" s="5">
        <v>1.6490904180719923</v>
      </c>
      <c r="Z1083" s="5">
        <v>1.6621889649632209</v>
      </c>
      <c r="AA1083" s="18">
        <v>7.8802995130652243E-3</v>
      </c>
      <c r="AB1083" s="5">
        <v>0.46043075304652287</v>
      </c>
      <c r="AC1083" s="4">
        <v>8.8624479289455303E-5</v>
      </c>
      <c r="AE1083" s="5">
        <v>0.39787592189543292</v>
      </c>
      <c r="AF1083" s="5">
        <v>0.39854470768015715</v>
      </c>
    </row>
    <row r="1084" spans="23:32" x14ac:dyDescent="0.25">
      <c r="W1084">
        <v>67</v>
      </c>
      <c r="X1084" s="5">
        <v>65.100455372914752</v>
      </c>
      <c r="Y1084" s="5">
        <v>1.8995446270852483</v>
      </c>
      <c r="Z1084" s="5">
        <v>1.9146948010563278</v>
      </c>
      <c r="AA1084" s="18">
        <v>7.912579050576584E-3</v>
      </c>
      <c r="AB1084" s="5">
        <v>0.53036691133589142</v>
      </c>
      <c r="AC1084" s="4">
        <v>1.1807755739521066E-4</v>
      </c>
      <c r="AE1084" s="5">
        <v>0.39787592189543292</v>
      </c>
      <c r="AF1084" s="5">
        <v>0.39864304385810989</v>
      </c>
    </row>
    <row r="1085" spans="23:32" x14ac:dyDescent="0.25">
      <c r="W1085">
        <v>66.599999999999994</v>
      </c>
      <c r="X1085" s="5">
        <v>64.767243317204802</v>
      </c>
      <c r="Y1085" s="5">
        <v>1.8327566827951927</v>
      </c>
      <c r="Z1085" s="5">
        <v>1.847191460926652</v>
      </c>
      <c r="AA1085" s="18">
        <v>7.8144461128132198E-3</v>
      </c>
      <c r="AB1085" s="5">
        <v>0.51169391660779118</v>
      </c>
      <c r="AC1085" s="4">
        <v>1.0853559910648839E-4</v>
      </c>
      <c r="AE1085" s="5">
        <v>0.39787592189543292</v>
      </c>
      <c r="AF1085" s="5">
        <v>0.40206472754861089</v>
      </c>
    </row>
    <row r="1086" spans="23:32" x14ac:dyDescent="0.25">
      <c r="W1086">
        <v>66</v>
      </c>
      <c r="X1086" s="5">
        <v>67.420339641697026</v>
      </c>
      <c r="Y1086" s="5">
        <v>-1.4203396416970264</v>
      </c>
      <c r="Z1086" s="5">
        <v>-1.4360565406072254</v>
      </c>
      <c r="AA1086" s="18">
        <v>1.0944484750960196E-2</v>
      </c>
      <c r="AB1086" s="5">
        <v>-0.39717670232623309</v>
      </c>
      <c r="AC1086" s="4">
        <v>9.1873144655865214E-5</v>
      </c>
      <c r="AE1086" s="5">
        <v>0.39787592189543292</v>
      </c>
      <c r="AF1086" s="5">
        <v>0.40210168722621592</v>
      </c>
    </row>
    <row r="1087" spans="23:32" x14ac:dyDescent="0.25">
      <c r="W1087">
        <v>65.400000000000006</v>
      </c>
      <c r="X1087" s="5">
        <v>66.824567285332535</v>
      </c>
      <c r="Y1087" s="5">
        <v>-1.4245672853325289</v>
      </c>
      <c r="Z1087" s="5">
        <v>-1.4426548036821174</v>
      </c>
      <c r="AA1087" s="18">
        <v>1.2537662026583365E-2</v>
      </c>
      <c r="AB1087" s="5">
        <v>-0.39868012725967222</v>
      </c>
      <c r="AC1087" s="4">
        <v>1.0621640384650501E-4</v>
      </c>
      <c r="AE1087" s="5">
        <v>0.39787592189543292</v>
      </c>
      <c r="AF1087" s="5">
        <v>0.40219241797859923</v>
      </c>
    </row>
    <row r="1088" spans="23:32" x14ac:dyDescent="0.25">
      <c r="W1088">
        <v>64.7</v>
      </c>
      <c r="X1088" s="5">
        <v>61.938485312853842</v>
      </c>
      <c r="Y1088" s="5">
        <v>2.7615146871461604</v>
      </c>
      <c r="Z1088" s="5">
        <v>2.8178050818521072</v>
      </c>
      <c r="AA1088" s="18">
        <v>1.9976681520123954E-2</v>
      </c>
      <c r="AB1088" s="5">
        <v>0.77576654105572973</v>
      </c>
      <c r="AC1088" s="4">
        <v>6.456474268718217E-4</v>
      </c>
      <c r="AE1088" s="5">
        <v>0.39787592189543292</v>
      </c>
      <c r="AF1088" s="5">
        <v>0.4025618011516055</v>
      </c>
    </row>
    <row r="1089" spans="23:32" x14ac:dyDescent="0.25">
      <c r="W1089">
        <v>64.3</v>
      </c>
      <c r="X1089" s="5">
        <v>66.817333473021137</v>
      </c>
      <c r="Y1089" s="5">
        <v>-2.5173334730211394</v>
      </c>
      <c r="Z1089" s="5">
        <v>-2.5718990726162758</v>
      </c>
      <c r="AA1089" s="18">
        <v>2.1216073436206309E-2</v>
      </c>
      <c r="AB1089" s="5">
        <v>-0.70761858054909088</v>
      </c>
      <c r="AC1089" s="4">
        <v>5.7124582137945117E-4</v>
      </c>
      <c r="AE1089" s="5">
        <v>0.39787592189543292</v>
      </c>
      <c r="AF1089" s="5">
        <v>0.40419916250715332</v>
      </c>
    </row>
    <row r="1090" spans="23:32" x14ac:dyDescent="0.25">
      <c r="W1090">
        <v>81.7</v>
      </c>
      <c r="X1090" s="5">
        <v>82.310245953505202</v>
      </c>
      <c r="Y1090" s="5">
        <v>-0.61024595350519917</v>
      </c>
      <c r="Z1090" s="5">
        <v>-0.68797682152310813</v>
      </c>
      <c r="AA1090" s="18">
        <v>0.11298471923199584</v>
      </c>
      <c r="AB1090" s="5">
        <v>-0.1801943831006729</v>
      </c>
      <c r="AC1090" s="4">
        <v>2.1767948777987994E-4</v>
      </c>
      <c r="AE1090" s="5">
        <v>0.39787592189543292</v>
      </c>
      <c r="AF1090" s="5">
        <v>0.40848555695654248</v>
      </c>
    </row>
    <row r="1091" spans="23:32" x14ac:dyDescent="0.25">
      <c r="W1091">
        <v>81.400000000000006</v>
      </c>
      <c r="X1091" s="5">
        <v>83.659196097726166</v>
      </c>
      <c r="Y1091" s="5">
        <v>-2.2591960977261607</v>
      </c>
      <c r="Z1091" s="5">
        <v>-2.5327913410275755</v>
      </c>
      <c r="AA1091" s="18">
        <v>0.10802123288624939</v>
      </c>
      <c r="AB1091" s="5">
        <v>-0.66524031843716691</v>
      </c>
      <c r="AC1091" s="4">
        <v>2.8207080494572307E-3</v>
      </c>
      <c r="AE1091" s="5">
        <v>0.39787592189543292</v>
      </c>
      <c r="AF1091" s="5">
        <v>0.41018783407199161</v>
      </c>
    </row>
    <row r="1092" spans="23:32" x14ac:dyDescent="0.25">
      <c r="W1092">
        <v>81.099999999999994</v>
      </c>
      <c r="X1092" s="5">
        <v>80.972625860378344</v>
      </c>
      <c r="Y1092" s="5">
        <v>0.12737413962165078</v>
      </c>
      <c r="Z1092" s="5">
        <v>0.14530569132746507</v>
      </c>
      <c r="AA1092" s="18">
        <v>0.12340570793888336</v>
      </c>
      <c r="AB1092" s="5">
        <v>3.7834137341650337E-2</v>
      </c>
      <c r="AC1092" s="4">
        <v>1.0605976988066136E-5</v>
      </c>
      <c r="AE1092" s="5">
        <v>0.4143837514429769</v>
      </c>
      <c r="AF1092" s="5">
        <v>0.41338574016060597</v>
      </c>
    </row>
    <row r="1093" spans="23:32" x14ac:dyDescent="0.25">
      <c r="W1093">
        <v>81.099999999999994</v>
      </c>
      <c r="X1093" s="5">
        <v>80.453690423557191</v>
      </c>
      <c r="Y1093" s="5">
        <v>0.64630957644280329</v>
      </c>
      <c r="Z1093" s="5">
        <v>0.65864085514746762</v>
      </c>
      <c r="AA1093" s="18">
        <v>1.8722310661869423E-2</v>
      </c>
      <c r="AB1093" s="5">
        <v>0.18144563310260065</v>
      </c>
      <c r="AC1093" s="4">
        <v>3.3060313110441192E-5</v>
      </c>
      <c r="AE1093" s="5">
        <v>0.4143837514429769</v>
      </c>
      <c r="AF1093" s="5">
        <v>0.41778410493552159</v>
      </c>
    </row>
    <row r="1094" spans="23:32" x14ac:dyDescent="0.25">
      <c r="W1094">
        <v>74.5</v>
      </c>
      <c r="X1094" s="5">
        <v>71.23160659128429</v>
      </c>
      <c r="Y1094" s="5">
        <v>3.2683934087157098</v>
      </c>
      <c r="Z1094" s="5">
        <v>3.2806300912833137</v>
      </c>
      <c r="AA1094" s="18">
        <v>3.7299793719871867E-3</v>
      </c>
      <c r="AB1094" s="5">
        <v>0.91064202130283523</v>
      </c>
      <c r="AC1094" s="4">
        <v>1.6340718210907333E-4</v>
      </c>
      <c r="AE1094" s="5">
        <v>0.4143837514429769</v>
      </c>
      <c r="AF1094" s="5">
        <v>0.4204277165757847</v>
      </c>
    </row>
    <row r="1095" spans="23:32" x14ac:dyDescent="0.25">
      <c r="W1095">
        <v>73.900000000000006</v>
      </c>
      <c r="X1095" s="5">
        <v>70.781304962787942</v>
      </c>
      <c r="Y1095" s="5">
        <v>3.1186950372120634</v>
      </c>
      <c r="Z1095" s="5">
        <v>3.1279817895833872</v>
      </c>
      <c r="AA1095" s="18">
        <v>2.9689278889835522E-3</v>
      </c>
      <c r="AB1095" s="5">
        <v>0.86860125871961114</v>
      </c>
      <c r="AC1095" s="4">
        <v>1.1824376890408301E-4</v>
      </c>
      <c r="AE1095" s="5">
        <v>0.4143837514429769</v>
      </c>
      <c r="AF1095" s="5">
        <v>0.42125970892859588</v>
      </c>
    </row>
    <row r="1096" spans="23:32" x14ac:dyDescent="0.25">
      <c r="W1096">
        <v>73.900000000000006</v>
      </c>
      <c r="X1096" s="5">
        <v>70.694613286162124</v>
      </c>
      <c r="Y1096" s="5">
        <v>3.205386713837882</v>
      </c>
      <c r="Z1096" s="5">
        <v>3.2146599761030785</v>
      </c>
      <c r="AA1096" s="18">
        <v>2.8846790435457397E-3</v>
      </c>
      <c r="AB1096" s="5">
        <v>0.89270841694194558</v>
      </c>
      <c r="AC1096" s="4">
        <v>1.2134384949215408E-4</v>
      </c>
      <c r="AE1096" s="5">
        <v>0.4143837514429769</v>
      </c>
      <c r="AF1096" s="5">
        <v>0.42257588898206638</v>
      </c>
    </row>
    <row r="1097" spans="23:32" x14ac:dyDescent="0.25">
      <c r="W1097">
        <v>74.5</v>
      </c>
      <c r="X1097" s="5">
        <v>69.215344591593862</v>
      </c>
      <c r="Y1097" s="5">
        <v>5.2846554084061381</v>
      </c>
      <c r="Z1097" s="5">
        <v>5.3153804985627886</v>
      </c>
      <c r="AA1097" s="18">
        <v>5.7804121765050991E-3</v>
      </c>
      <c r="AB1097" s="5">
        <v>1.4739318653425919</v>
      </c>
      <c r="AC1097" s="4">
        <v>6.6477963575584651E-4</v>
      </c>
      <c r="AE1097" s="5">
        <v>0.4143837514429769</v>
      </c>
      <c r="AF1097" s="5">
        <v>0.42352563950801819</v>
      </c>
    </row>
    <row r="1098" spans="23:32" x14ac:dyDescent="0.25">
      <c r="W1098">
        <v>73.2</v>
      </c>
      <c r="X1098" s="5">
        <v>68.92849362682523</v>
      </c>
      <c r="Y1098" s="5">
        <v>4.2715063731747733</v>
      </c>
      <c r="Z1098" s="5">
        <v>4.2968961836621986</v>
      </c>
      <c r="AA1098" s="18">
        <v>5.9088722189652573E-3</v>
      </c>
      <c r="AB1098" s="5">
        <v>1.1914336218293742</v>
      </c>
      <c r="AC1098" s="4">
        <v>4.4408336255601089E-4</v>
      </c>
      <c r="AE1098" s="5">
        <v>0.4143837514429769</v>
      </c>
      <c r="AF1098" s="5">
        <v>0.42715126284343774</v>
      </c>
    </row>
    <row r="1099" spans="23:32" x14ac:dyDescent="0.25">
      <c r="W1099">
        <v>73.2</v>
      </c>
      <c r="X1099" s="5">
        <v>70.131284242868077</v>
      </c>
      <c r="Y1099" s="5">
        <v>3.0687157571319261</v>
      </c>
      <c r="Z1099" s="5">
        <v>3.0758318881646147</v>
      </c>
      <c r="AA1099" s="18">
        <v>2.3135630591722685E-3</v>
      </c>
      <c r="AB1099" s="5">
        <v>0.85440055341570265</v>
      </c>
      <c r="AC1099" s="4">
        <v>8.909569379003699E-5</v>
      </c>
      <c r="AE1099" s="5">
        <v>0.4143837514429769</v>
      </c>
      <c r="AF1099" s="5">
        <v>0.42719077669795857</v>
      </c>
    </row>
    <row r="1100" spans="23:32" x14ac:dyDescent="0.25">
      <c r="W1100">
        <v>72.5</v>
      </c>
      <c r="X1100" s="5">
        <v>69.739209931682481</v>
      </c>
      <c r="Y1100" s="5">
        <v>2.7607900683175188</v>
      </c>
      <c r="Z1100" s="5">
        <v>2.7671378936662734</v>
      </c>
      <c r="AA1100" s="18">
        <v>2.2940039827034193E-3</v>
      </c>
      <c r="AB1100" s="5">
        <v>0.76865947438229965</v>
      </c>
      <c r="AC1100" s="4">
        <v>7.149998547182433E-5</v>
      </c>
      <c r="AE1100" s="5">
        <v>0.4143837514429769</v>
      </c>
      <c r="AF1100" s="5">
        <v>0.42742104363541972</v>
      </c>
    </row>
    <row r="1101" spans="23:32" x14ac:dyDescent="0.25">
      <c r="W1101">
        <v>72.5</v>
      </c>
      <c r="X1101" s="5">
        <v>69.331746409162619</v>
      </c>
      <c r="Y1101" s="5">
        <v>3.1682535908373808</v>
      </c>
      <c r="Z1101" s="5">
        <v>3.1747994420539811</v>
      </c>
      <c r="AA1101" s="18">
        <v>2.0618156630302482E-3</v>
      </c>
      <c r="AB1101" s="5">
        <v>0.88200288827535933</v>
      </c>
      <c r="AC1101" s="4">
        <v>8.4592645633614462E-5</v>
      </c>
      <c r="AE1101" s="5">
        <v>0.4143837514429769</v>
      </c>
      <c r="AF1101" s="5">
        <v>0.43073201596817906</v>
      </c>
    </row>
    <row r="1102" spans="23:32" x14ac:dyDescent="0.25">
      <c r="W1102">
        <v>73</v>
      </c>
      <c r="X1102" s="5">
        <v>71.630241647678645</v>
      </c>
      <c r="Y1102" s="5">
        <v>1.3697583523213552</v>
      </c>
      <c r="Z1102" s="5">
        <v>1.3740056090175017</v>
      </c>
      <c r="AA1102" s="18">
        <v>3.0911494598478387E-3</v>
      </c>
      <c r="AB1102" s="5">
        <v>0.38152071491344225</v>
      </c>
      <c r="AC1102" s="4">
        <v>2.3754571346001624E-5</v>
      </c>
      <c r="AE1102" s="5">
        <v>0.4143837514429769</v>
      </c>
      <c r="AF1102" s="5">
        <v>0.4314232074188622</v>
      </c>
    </row>
    <row r="1103" spans="23:32" x14ac:dyDescent="0.25">
      <c r="W1103">
        <v>71.2</v>
      </c>
      <c r="X1103" s="5">
        <v>68.610510846876423</v>
      </c>
      <c r="Y1103" s="5">
        <v>2.58948915312358</v>
      </c>
      <c r="Z1103" s="5">
        <v>2.5939931051696163</v>
      </c>
      <c r="AA1103" s="18">
        <v>1.7363007006703192E-3</v>
      </c>
      <c r="AB1103" s="5">
        <v>0.72076443441361404</v>
      </c>
      <c r="AC1103" s="4">
        <v>4.7556814645517341E-5</v>
      </c>
      <c r="AE1103" s="5">
        <v>0.4143837514429769</v>
      </c>
      <c r="AF1103" s="5">
        <v>0.43192468036578485</v>
      </c>
    </row>
    <row r="1104" spans="23:32" x14ac:dyDescent="0.25">
      <c r="W1104">
        <v>71</v>
      </c>
      <c r="X1104" s="5">
        <v>67.861975406631771</v>
      </c>
      <c r="Y1104" s="5">
        <v>3.1380245933682289</v>
      </c>
      <c r="Z1104" s="5">
        <v>3.1766373947618547</v>
      </c>
      <c r="AA1104" s="18">
        <v>1.215524360989481E-2</v>
      </c>
      <c r="AB1104" s="5">
        <v>0.87803915928077025</v>
      </c>
      <c r="AC1104" s="4">
        <v>4.9928571172530546E-4</v>
      </c>
      <c r="AE1104" s="5">
        <v>0.43434378704136062</v>
      </c>
      <c r="AF1104" s="5">
        <v>0.435041415803609</v>
      </c>
    </row>
    <row r="1105" spans="23:32" x14ac:dyDescent="0.25">
      <c r="W1105">
        <v>76</v>
      </c>
      <c r="X1105" s="5">
        <v>68.317793542398803</v>
      </c>
      <c r="Y1105" s="5">
        <v>7.6822064576011968</v>
      </c>
      <c r="Z1105" s="5">
        <v>7.6951543790146957</v>
      </c>
      <c r="AA1105" s="18">
        <v>1.6826071025702609E-3</v>
      </c>
      <c r="AB1105" s="5">
        <v>2.1382257117648678</v>
      </c>
      <c r="AC1105" s="4">
        <v>4.0557163579931827E-4</v>
      </c>
      <c r="AE1105" s="5">
        <v>0.43434378704136062</v>
      </c>
      <c r="AF1105" s="5">
        <v>0.43509537875664051</v>
      </c>
    </row>
    <row r="1106" spans="23:32" x14ac:dyDescent="0.25">
      <c r="W1106">
        <v>75</v>
      </c>
      <c r="X1106" s="5">
        <v>67.899472909974989</v>
      </c>
      <c r="Y1106" s="5">
        <v>7.100527090025011</v>
      </c>
      <c r="Z1106" s="5">
        <v>7.1129225768984554</v>
      </c>
      <c r="AA1106" s="18">
        <v>1.7426714180330135E-3</v>
      </c>
      <c r="AB1106" s="5">
        <v>1.9763835335598512</v>
      </c>
      <c r="AC1106" s="4">
        <v>3.5889041022161975E-4</v>
      </c>
      <c r="AE1106" s="5">
        <v>0.43434378704136062</v>
      </c>
      <c r="AF1106" s="5">
        <v>0.4411682769341625</v>
      </c>
    </row>
    <row r="1107" spans="23:32" x14ac:dyDescent="0.25">
      <c r="W1107">
        <v>73</v>
      </c>
      <c r="X1107" s="5">
        <v>67.636895155379406</v>
      </c>
      <c r="Y1107" s="5">
        <v>5.3631048446205938</v>
      </c>
      <c r="Z1107" s="5">
        <v>5.3738831199046047</v>
      </c>
      <c r="AA1107" s="18">
        <v>2.0056772809384071E-3</v>
      </c>
      <c r="AB1107" s="5">
        <v>1.4929805281638646</v>
      </c>
      <c r="AC1107" s="4">
        <v>2.3576952612207745E-4</v>
      </c>
      <c r="AE1107" s="5">
        <v>0.43434378704136062</v>
      </c>
      <c r="AF1107" s="5">
        <v>0.44297373896843378</v>
      </c>
    </row>
    <row r="1108" spans="23:32" x14ac:dyDescent="0.25">
      <c r="W1108">
        <v>73</v>
      </c>
      <c r="X1108" s="5">
        <v>67.223181491707251</v>
      </c>
      <c r="Y1108" s="5">
        <v>5.7768185082927488</v>
      </c>
      <c r="Z1108" s="5">
        <v>5.7887607926685405</v>
      </c>
      <c r="AA1108" s="18">
        <v>2.0630122410510315E-3</v>
      </c>
      <c r="AB1108" s="5">
        <v>1.6081962879415868</v>
      </c>
      <c r="AC1108" s="4">
        <v>2.8139941802324595E-4</v>
      </c>
      <c r="AE1108" s="5">
        <v>0.43434378704136062</v>
      </c>
      <c r="AF1108" s="5">
        <v>0.44309363064661328</v>
      </c>
    </row>
    <row r="1109" spans="23:32" x14ac:dyDescent="0.25">
      <c r="W1109">
        <v>61.4</v>
      </c>
      <c r="X1109" s="5">
        <v>57.353007471375285</v>
      </c>
      <c r="Y1109" s="5">
        <v>4.0469925286247133</v>
      </c>
      <c r="Z1109" s="5">
        <v>4.0756143507811728</v>
      </c>
      <c r="AA1109" s="18">
        <v>7.0227012894331026E-3</v>
      </c>
      <c r="AB1109" s="5">
        <v>1.1294438227259591</v>
      </c>
      <c r="AC1109" s="4">
        <v>4.7483261762176906E-4</v>
      </c>
      <c r="AE1109" s="5">
        <v>0.43434378704136062</v>
      </c>
      <c r="AF1109" s="5">
        <v>0.44428948393916678</v>
      </c>
    </row>
    <row r="1110" spans="23:32" x14ac:dyDescent="0.25">
      <c r="W1110">
        <v>69</v>
      </c>
      <c r="X1110" s="5">
        <v>57.106356205665826</v>
      </c>
      <c r="Y1110" s="5">
        <v>11.893643794334174</v>
      </c>
      <c r="Z1110" s="5">
        <v>12.195640736393337</v>
      </c>
      <c r="AA1110" s="18">
        <v>2.4762695834255378E-2</v>
      </c>
      <c r="AB1110" s="5">
        <v>3.3493587450403712</v>
      </c>
      <c r="AC1110" s="4">
        <v>1.4991923252977697E-2</v>
      </c>
      <c r="AE1110" s="5">
        <v>0.43434378704136062</v>
      </c>
      <c r="AF1110" s="5">
        <v>0.4448512308662485</v>
      </c>
    </row>
    <row r="1111" spans="23:32" x14ac:dyDescent="0.25">
      <c r="W1111">
        <v>63</v>
      </c>
      <c r="X1111" s="5">
        <v>57.245712542162401</v>
      </c>
      <c r="Y1111" s="5">
        <v>5.7542874578375987</v>
      </c>
      <c r="Z1111" s="5">
        <v>5.8154466952367301</v>
      </c>
      <c r="AA1111" s="18">
        <v>1.0516687815095731E-2</v>
      </c>
      <c r="AB1111" s="5">
        <v>1.6087524012823657</v>
      </c>
      <c r="AC1111" s="4">
        <v>1.4477558331132581E-3</v>
      </c>
      <c r="AE1111" s="5">
        <v>0.43434378704136062</v>
      </c>
      <c r="AF1111" s="5">
        <v>0.44754482817858271</v>
      </c>
    </row>
    <row r="1112" spans="23:32" x14ac:dyDescent="0.25">
      <c r="W1112">
        <v>59.4</v>
      </c>
      <c r="X1112" s="5">
        <v>56.162425709347758</v>
      </c>
      <c r="Y1112" s="5">
        <v>3.2375742906522404</v>
      </c>
      <c r="Z1112" s="5">
        <v>3.3017774871508152</v>
      </c>
      <c r="AA1112" s="18">
        <v>1.9445040360360783E-2</v>
      </c>
      <c r="AB1112" s="5">
        <v>0.90925492924220941</v>
      </c>
      <c r="AC1112" s="4">
        <v>8.6288840956132964E-4</v>
      </c>
      <c r="AE1112" s="5">
        <v>0.43434378704136062</v>
      </c>
      <c r="AF1112" s="5">
        <v>0.44870848560791371</v>
      </c>
    </row>
    <row r="1113" spans="23:32" x14ac:dyDescent="0.25">
      <c r="W1113">
        <v>58.2</v>
      </c>
      <c r="X1113" s="5">
        <v>55.264205351635603</v>
      </c>
      <c r="Y1113" s="5">
        <v>2.9357946483644</v>
      </c>
      <c r="Z1113" s="5">
        <v>3.0003425861844804</v>
      </c>
      <c r="AA1113" s="18">
        <v>2.1513522528160751E-2</v>
      </c>
      <c r="AB1113" s="5">
        <v>0.82537279901294769</v>
      </c>
      <c r="AC1113" s="4">
        <v>7.8832155369427405E-4</v>
      </c>
      <c r="AE1113" s="5">
        <v>0.43434378704136062</v>
      </c>
      <c r="AF1113" s="5">
        <v>0.45251907507011513</v>
      </c>
    </row>
    <row r="1114" spans="23:32" x14ac:dyDescent="0.25">
      <c r="W1114">
        <v>57.1</v>
      </c>
      <c r="X1114" s="5">
        <v>54.964489819786067</v>
      </c>
      <c r="Y1114" s="5">
        <v>2.1355101802139345</v>
      </c>
      <c r="Z1114" s="5">
        <v>2.1919649824822685</v>
      </c>
      <c r="AA1114" s="18">
        <v>2.5755339487406083E-2</v>
      </c>
      <c r="AB1114" s="5">
        <v>0.60168546560317571</v>
      </c>
      <c r="AC1114" s="4">
        <v>5.0371476950676999E-4</v>
      </c>
      <c r="AE1114" s="5">
        <v>0.43434378704136062</v>
      </c>
      <c r="AF1114" s="5">
        <v>0.45712190246063811</v>
      </c>
    </row>
    <row r="1115" spans="23:32" x14ac:dyDescent="0.25">
      <c r="W1115">
        <v>53.6</v>
      </c>
      <c r="X1115" s="5">
        <v>53.285416551256745</v>
      </c>
      <c r="Y1115" s="5">
        <v>0.31458344874325661</v>
      </c>
      <c r="Z1115" s="5">
        <v>0.34063242432527119</v>
      </c>
      <c r="AA1115" s="18">
        <v>7.6472389948238073E-2</v>
      </c>
      <c r="AB1115" s="5">
        <v>9.1035927049421386E-2</v>
      </c>
      <c r="AC1115" s="4">
        <v>3.6118259728694507E-5</v>
      </c>
      <c r="AE1115" s="5">
        <v>0.43434378704136062</v>
      </c>
      <c r="AF1115" s="5">
        <v>0.4585514498530851</v>
      </c>
    </row>
    <row r="1116" spans="23:32" x14ac:dyDescent="0.25">
      <c r="W1116">
        <v>53.2</v>
      </c>
      <c r="X1116" s="5">
        <v>52.208197123501193</v>
      </c>
      <c r="Y1116" s="5">
        <v>0.99180287649880938</v>
      </c>
      <c r="Z1116" s="5">
        <v>1.0706242046747647</v>
      </c>
      <c r="AA1116" s="18">
        <v>7.3621843996977479E-2</v>
      </c>
      <c r="AB1116" s="5">
        <v>0.28657156959014146</v>
      </c>
      <c r="AC1116" s="4">
        <v>3.435033595575157E-4</v>
      </c>
      <c r="AE1116" s="5">
        <v>0.43434378704136062</v>
      </c>
      <c r="AF1116" s="5">
        <v>0.45903534051016326</v>
      </c>
    </row>
    <row r="1117" spans="23:32" x14ac:dyDescent="0.25">
      <c r="W1117">
        <v>52.7</v>
      </c>
      <c r="X1117" s="5">
        <v>51.455012242984061</v>
      </c>
      <c r="Y1117" s="5">
        <v>1.2449877570159416</v>
      </c>
      <c r="Z1117" s="5">
        <v>1.3278526045913424</v>
      </c>
      <c r="AA1117" s="18">
        <v>6.2405154976447455E-2</v>
      </c>
      <c r="AB1117" s="5">
        <v>0.35756859416674475</v>
      </c>
      <c r="AC1117" s="4">
        <v>4.4788899150631376E-4</v>
      </c>
      <c r="AE1117" s="5">
        <v>0.43434378704136062</v>
      </c>
      <c r="AF1117" s="5">
        <v>0.45965676691300561</v>
      </c>
    </row>
    <row r="1118" spans="23:32" x14ac:dyDescent="0.25">
      <c r="W1118">
        <v>52.3</v>
      </c>
      <c r="X1118" s="5">
        <v>50.912266756618003</v>
      </c>
      <c r="Y1118" s="5">
        <v>1.3877332433819944</v>
      </c>
      <c r="Z1118" s="5">
        <v>1.507155222302579</v>
      </c>
      <c r="AA1118" s="18">
        <v>7.9236681898057063E-2</v>
      </c>
      <c r="AB1118" s="5">
        <v>0.40219241797859923</v>
      </c>
      <c r="AC1118" s="4">
        <v>7.3264304101432567E-4</v>
      </c>
      <c r="AE1118" s="5">
        <v>0.43434378704136062</v>
      </c>
      <c r="AF1118" s="5">
        <v>0.46043075304652287</v>
      </c>
    </row>
    <row r="1119" spans="23:32" x14ac:dyDescent="0.25">
      <c r="W1119">
        <v>52</v>
      </c>
      <c r="X1119" s="5">
        <v>49.970635618972693</v>
      </c>
      <c r="Y1119" s="5">
        <v>2.0293643810273068</v>
      </c>
      <c r="Z1119" s="5">
        <v>2.1676963744239686</v>
      </c>
      <c r="AA1119" s="18">
        <v>6.3815207253563044E-2</v>
      </c>
      <c r="AB1119" s="5">
        <v>0.58328543789561094</v>
      </c>
      <c r="AC1119" s="4">
        <v>1.2205941076483132E-3</v>
      </c>
      <c r="AE1119" s="5">
        <v>0.43434378704136062</v>
      </c>
      <c r="AF1119" s="5">
        <v>0.46361835352270747</v>
      </c>
    </row>
    <row r="1120" spans="23:32" x14ac:dyDescent="0.25">
      <c r="W1120">
        <v>51.6</v>
      </c>
      <c r="X1120" s="5">
        <v>49.414905384595535</v>
      </c>
      <c r="Y1120" s="5">
        <v>2.1850946154044664</v>
      </c>
      <c r="Z1120" s="5">
        <v>2.360304757881444</v>
      </c>
      <c r="AA1120" s="18">
        <v>7.4231999868626747E-2</v>
      </c>
      <c r="AB1120" s="5">
        <v>0.63156936530513053</v>
      </c>
      <c r="AC1120" s="4">
        <v>1.6833619533562253E-3</v>
      </c>
      <c r="AE1120" s="5">
        <v>0.43434378704136062</v>
      </c>
      <c r="AF1120" s="5">
        <v>0.46592995086752675</v>
      </c>
    </row>
    <row r="1121" spans="23:32" x14ac:dyDescent="0.25">
      <c r="W1121">
        <v>59</v>
      </c>
      <c r="X1121" s="5">
        <v>48.194618990146601</v>
      </c>
      <c r="Y1121" s="5">
        <v>10.805381009853399</v>
      </c>
      <c r="Z1121" s="5">
        <v>11.760623951531237</v>
      </c>
      <c r="AA1121" s="18">
        <v>8.1223831797926568E-2</v>
      </c>
      <c r="AB1121" s="5">
        <v>3.1349969030296054</v>
      </c>
      <c r="AC1121" s="4">
        <v>4.5729282100075111E-2</v>
      </c>
      <c r="AE1121" s="5">
        <v>0.43434378704136062</v>
      </c>
      <c r="AF1121" s="5">
        <v>0.4675098715314287</v>
      </c>
    </row>
    <row r="1122" spans="23:32" x14ac:dyDescent="0.25">
      <c r="W1122">
        <v>55</v>
      </c>
      <c r="X1122" s="5">
        <v>47.091595135927761</v>
      </c>
      <c r="Y1122" s="5">
        <v>7.9084048640722386</v>
      </c>
      <c r="Z1122" s="5">
        <v>8.6331882745094859</v>
      </c>
      <c r="AA1122" s="18">
        <v>8.3953156978778448E-2</v>
      </c>
      <c r="AB1122" s="5">
        <v>2.297904338772621</v>
      </c>
      <c r="AC1122" s="4">
        <v>2.5470040704079776E-2</v>
      </c>
      <c r="AE1122" s="5">
        <v>0.43434378704136062</v>
      </c>
      <c r="AF1122" s="5">
        <v>0.47042015510302115</v>
      </c>
    </row>
    <row r="1123" spans="23:32" x14ac:dyDescent="0.25">
      <c r="W1123">
        <v>49.8</v>
      </c>
      <c r="X1123" s="5">
        <v>46.184126372170802</v>
      </c>
      <c r="Y1123" s="5">
        <v>3.6158736278291954</v>
      </c>
      <c r="Z1123" s="5">
        <v>3.988098231515572</v>
      </c>
      <c r="AA1123" s="18">
        <v>9.3333860421216761E-2</v>
      </c>
      <c r="AB1123" s="5">
        <v>1.0560669152577069</v>
      </c>
      <c r="AC1123" s="4">
        <v>6.0425618682435457E-3</v>
      </c>
      <c r="AE1123" s="5">
        <v>0.4663087141536239</v>
      </c>
      <c r="AF1123" s="5">
        <v>0.47052469272819525</v>
      </c>
    </row>
    <row r="1124" spans="23:32" x14ac:dyDescent="0.25">
      <c r="W1124">
        <v>49.2</v>
      </c>
      <c r="X1124" s="5">
        <v>51.772531015986331</v>
      </c>
      <c r="Y1124" s="5">
        <v>-2.5725310159863284</v>
      </c>
      <c r="Z1124" s="5">
        <v>-3.2377895846680005</v>
      </c>
      <c r="AA1124" s="18">
        <v>0.20546689378206948</v>
      </c>
      <c r="AB1124" s="5">
        <v>-0.80261359627555817</v>
      </c>
      <c r="AC1124" s="4">
        <v>8.7677726783891262E-3</v>
      </c>
      <c r="AE1124" s="5">
        <v>0.4663087141536239</v>
      </c>
      <c r="AF1124" s="5">
        <v>0.47107243681103661</v>
      </c>
    </row>
    <row r="1125" spans="23:32" x14ac:dyDescent="0.25">
      <c r="W1125">
        <v>66.2</v>
      </c>
      <c r="X1125" s="5">
        <v>66.11813412966255</v>
      </c>
      <c r="Y1125" s="5">
        <v>8.1865870337452407E-2</v>
      </c>
      <c r="Z1125" s="5">
        <v>8.3570344779005268E-2</v>
      </c>
      <c r="AA1125" s="18">
        <v>2.039568516865535E-2</v>
      </c>
      <c r="AB1125" s="5">
        <v>2.3002732570924778E-2</v>
      </c>
      <c r="AC1125" s="4">
        <v>5.7981957050416056E-7</v>
      </c>
      <c r="AE1125" s="5">
        <v>0.4663087141536239</v>
      </c>
      <c r="AF1125" s="5">
        <v>0.47169388317161631</v>
      </c>
    </row>
    <row r="1126" spans="23:32" x14ac:dyDescent="0.25">
      <c r="W1126">
        <v>66</v>
      </c>
      <c r="X1126" s="5">
        <v>66.79903914726448</v>
      </c>
      <c r="Y1126" s="5">
        <v>-0.79903914726448022</v>
      </c>
      <c r="Z1126" s="5">
        <v>-0.86853858362665903</v>
      </c>
      <c r="AA1126" s="18">
        <v>8.0018824347426187E-2</v>
      </c>
      <c r="AB1126" s="5">
        <v>-0.23167569708722335</v>
      </c>
      <c r="AC1126" s="4">
        <v>2.4570872663175815E-4</v>
      </c>
      <c r="AE1126" s="5">
        <v>0.4663087141536239</v>
      </c>
      <c r="AF1126" s="5">
        <v>0.47180261597749429</v>
      </c>
    </row>
    <row r="1127" spans="23:32" x14ac:dyDescent="0.25">
      <c r="W1127">
        <v>65.7</v>
      </c>
      <c r="X1127" s="5">
        <v>66.51865584477207</v>
      </c>
      <c r="Y1127" s="5">
        <v>-0.8186558447720671</v>
      </c>
      <c r="Z1127" s="5">
        <v>-0.8899758259650099</v>
      </c>
      <c r="AA1127" s="18">
        <v>8.0136986996930323E-2</v>
      </c>
      <c r="AB1127" s="5">
        <v>-0.23737866348438633</v>
      </c>
      <c r="AC1127" s="4">
        <v>2.5836852913318055E-4</v>
      </c>
      <c r="AE1127" s="5">
        <v>0.4663087141536239</v>
      </c>
      <c r="AF1127" s="5">
        <v>0.47202899152377215</v>
      </c>
    </row>
    <row r="1128" spans="23:32" x14ac:dyDescent="0.25">
      <c r="W1128">
        <v>65.5</v>
      </c>
      <c r="X1128" s="5">
        <v>66.555558746843417</v>
      </c>
      <c r="Y1128" s="5">
        <v>-1.0555587468434169</v>
      </c>
      <c r="Z1128" s="5">
        <v>-1.0823684522577679</v>
      </c>
      <c r="AA1128" s="18">
        <v>2.4769481555405488E-2</v>
      </c>
      <c r="AB1128" s="5">
        <v>-0.29725602016442992</v>
      </c>
      <c r="AC1128" s="4">
        <v>1.1811834410315458E-4</v>
      </c>
      <c r="AE1128" s="5">
        <v>0.4663087141536239</v>
      </c>
      <c r="AF1128" s="5">
        <v>0.47219207003402131</v>
      </c>
    </row>
    <row r="1129" spans="23:32" x14ac:dyDescent="0.25">
      <c r="W1129">
        <v>65.099999999999994</v>
      </c>
      <c r="X1129" s="5">
        <v>66.562099929190481</v>
      </c>
      <c r="Y1129" s="5">
        <v>-1.4620999291904866</v>
      </c>
      <c r="Z1129" s="5">
        <v>-1.5100740539905644</v>
      </c>
      <c r="AA1129" s="18">
        <v>3.1769385530004884E-2</v>
      </c>
      <c r="AB1129" s="5">
        <v>-0.41322781095874722</v>
      </c>
      <c r="AC1129" s="4">
        <v>2.9488690597957175E-4</v>
      </c>
      <c r="AE1129" s="5">
        <v>0.4663087141536239</v>
      </c>
      <c r="AF1129" s="5">
        <v>0.47695757486836632</v>
      </c>
    </row>
    <row r="1130" spans="23:32" x14ac:dyDescent="0.25">
      <c r="W1130">
        <v>64.8</v>
      </c>
      <c r="X1130" s="5">
        <v>65.496861294022338</v>
      </c>
      <c r="Y1130" s="5">
        <v>-0.69686129402234087</v>
      </c>
      <c r="Z1130" s="5">
        <v>-0.72724240870037704</v>
      </c>
      <c r="AA1130" s="18">
        <v>4.1775774232318763E-2</v>
      </c>
      <c r="AB1130" s="5">
        <v>-0.19797696471475082</v>
      </c>
      <c r="AC1130" s="4">
        <v>8.9935899610574685E-5</v>
      </c>
      <c r="AE1130" s="5">
        <v>0.4663087141536239</v>
      </c>
      <c r="AF1130" s="5">
        <v>0.47722117882404963</v>
      </c>
    </row>
    <row r="1131" spans="23:32" x14ac:dyDescent="0.25">
      <c r="W1131">
        <v>64.599999999999994</v>
      </c>
      <c r="X1131" s="5">
        <v>63.66500983605102</v>
      </c>
      <c r="Y1131" s="5">
        <v>0.93499016394897438</v>
      </c>
      <c r="Z1131" s="5">
        <v>1.0312634510132312</v>
      </c>
      <c r="AA1131" s="18">
        <v>9.3354697065690689E-2</v>
      </c>
      <c r="AB1131" s="5">
        <v>0.27308020860932158</v>
      </c>
      <c r="AC1131" s="4">
        <v>4.0413420435462768E-4</v>
      </c>
      <c r="AE1131" s="5">
        <v>0.4663087141536239</v>
      </c>
      <c r="AF1131" s="5">
        <v>0.47773846518780005</v>
      </c>
    </row>
    <row r="1132" spans="23:32" x14ac:dyDescent="0.25">
      <c r="W1132">
        <v>64.400000000000006</v>
      </c>
      <c r="X1132" s="5">
        <v>63.553457568758205</v>
      </c>
      <c r="Y1132" s="5">
        <v>0.84654243124180084</v>
      </c>
      <c r="Z1132" s="5">
        <v>0.92849764718422989</v>
      </c>
      <c r="AA1132" s="18">
        <v>8.826647670133074E-2</v>
      </c>
      <c r="AB1132" s="5">
        <v>0.24655661623815697</v>
      </c>
      <c r="AC1132" s="4">
        <v>3.0974734257551415E-4</v>
      </c>
      <c r="AE1132" s="5">
        <v>0.48161589062349974</v>
      </c>
      <c r="AF1132" s="5">
        <v>0.4778969108560519</v>
      </c>
    </row>
    <row r="1133" spans="23:32" x14ac:dyDescent="0.25">
      <c r="W1133">
        <v>64.2</v>
      </c>
      <c r="X1133" s="5">
        <v>63.648790197466354</v>
      </c>
      <c r="Y1133" s="5">
        <v>0.55120980253364849</v>
      </c>
      <c r="Z1133" s="5">
        <v>0.56462869098574942</v>
      </c>
      <c r="AA1133" s="18">
        <v>2.3765863595547793E-2</v>
      </c>
      <c r="AB1133" s="5">
        <v>0.15514644519054183</v>
      </c>
      <c r="AC1133" s="4">
        <v>3.084108639241278E-5</v>
      </c>
      <c r="AE1133" s="5">
        <v>0.48161589062349974</v>
      </c>
      <c r="AF1133" s="5">
        <v>0.47824882678174502</v>
      </c>
    </row>
    <row r="1134" spans="23:32" x14ac:dyDescent="0.25">
      <c r="W1134">
        <v>62.9</v>
      </c>
      <c r="X1134" s="5">
        <v>66.337620951945681</v>
      </c>
      <c r="Y1134" s="5">
        <v>-3.4376209519456822</v>
      </c>
      <c r="Z1134" s="5">
        <v>-3.5539234668683335</v>
      </c>
      <c r="AA1134" s="18">
        <v>3.2725103960985095E-2</v>
      </c>
      <c r="AB1134" s="5">
        <v>-0.97204175565278372</v>
      </c>
      <c r="AC1134" s="4">
        <v>1.6824701186077917E-3</v>
      </c>
      <c r="AE1134" s="5">
        <v>0.48161589062349974</v>
      </c>
      <c r="AF1134" s="5">
        <v>0.47887180803831231</v>
      </c>
    </row>
    <row r="1135" spans="23:32" x14ac:dyDescent="0.25">
      <c r="W1135">
        <v>63.7</v>
      </c>
      <c r="X1135" s="5">
        <v>61.923023267137459</v>
      </c>
      <c r="Y1135" s="5">
        <v>1.7769767328625434</v>
      </c>
      <c r="Z1135" s="5">
        <v>1.824309667187002</v>
      </c>
      <c r="AA1135" s="18">
        <v>2.594566875120884E-2</v>
      </c>
      <c r="AB1135" s="5">
        <v>0.50071666066094966</v>
      </c>
      <c r="AC1135" s="4">
        <v>3.5148935012576412E-4</v>
      </c>
      <c r="AE1135" s="5">
        <v>0.48161589062349974</v>
      </c>
      <c r="AF1135" s="5">
        <v>0.47888656735601681</v>
      </c>
    </row>
    <row r="1136" spans="23:32" x14ac:dyDescent="0.25">
      <c r="W1136">
        <v>63.5</v>
      </c>
      <c r="X1136" s="5">
        <v>61.674175664464883</v>
      </c>
      <c r="Y1136" s="5">
        <v>1.8258243355351169</v>
      </c>
      <c r="Z1136" s="5">
        <v>1.8725479659627098</v>
      </c>
      <c r="AA1136" s="18">
        <v>2.4951900446284668E-2</v>
      </c>
      <c r="AB1136" s="5">
        <v>0.5142186963182741</v>
      </c>
      <c r="AC1136" s="4">
        <v>3.5613914671031816E-4</v>
      </c>
      <c r="AE1136" s="5">
        <v>0.48161589062349974</v>
      </c>
      <c r="AF1136" s="5">
        <v>0.47929008939774898</v>
      </c>
    </row>
    <row r="1137" spans="23:32" x14ac:dyDescent="0.25">
      <c r="W1137">
        <v>77.599999999999994</v>
      </c>
      <c r="X1137" s="5">
        <v>73.435040256527685</v>
      </c>
      <c r="Y1137" s="5">
        <v>4.1649597434723091</v>
      </c>
      <c r="Z1137" s="5">
        <v>4.2300644134610508</v>
      </c>
      <c r="AA1137" s="18">
        <v>1.5390940568554973E-2</v>
      </c>
      <c r="AB1137" s="5">
        <v>1.1672954323985461</v>
      </c>
      <c r="AC1137" s="4">
        <v>1.1210095310920218E-3</v>
      </c>
      <c r="AE1137" s="5">
        <v>0.48161589062349974</v>
      </c>
      <c r="AF1137" s="5">
        <v>0.48108245140303146</v>
      </c>
    </row>
    <row r="1138" spans="23:32" x14ac:dyDescent="0.25">
      <c r="W1138">
        <v>77.5</v>
      </c>
      <c r="X1138" s="5">
        <v>73.804324834261578</v>
      </c>
      <c r="Y1138" s="5">
        <v>3.6956751657384217</v>
      </c>
      <c r="Z1138" s="5">
        <v>3.7602890979951979</v>
      </c>
      <c r="AA1138" s="18">
        <v>1.7183235270721752E-2</v>
      </c>
      <c r="AB1138" s="5">
        <v>1.03671505503467</v>
      </c>
      <c r="AC1138" s="4">
        <v>9.8900295722379101E-4</v>
      </c>
      <c r="AE1138" s="5">
        <v>0.48161589062349974</v>
      </c>
      <c r="AF1138" s="5">
        <v>0.48134222187075193</v>
      </c>
    </row>
    <row r="1139" spans="23:32" x14ac:dyDescent="0.25">
      <c r="W1139">
        <v>77.2</v>
      </c>
      <c r="X1139" s="5">
        <v>75.291508398513244</v>
      </c>
      <c r="Y1139" s="5">
        <v>1.9084916014867588</v>
      </c>
      <c r="Z1139" s="5">
        <v>1.9144971755969067</v>
      </c>
      <c r="AA1139" s="18">
        <v>3.1368936902589316E-3</v>
      </c>
      <c r="AB1139" s="5">
        <v>0.53158703871952151</v>
      </c>
      <c r="AC1139" s="4">
        <v>4.6801464508851937E-5</v>
      </c>
      <c r="AE1139" s="5">
        <v>0.48161589062349974</v>
      </c>
      <c r="AF1139" s="5">
        <v>0.48503346192229696</v>
      </c>
    </row>
    <row r="1140" spans="23:32" x14ac:dyDescent="0.25">
      <c r="W1140">
        <v>77.3</v>
      </c>
      <c r="X1140" s="5">
        <v>73.479003669867339</v>
      </c>
      <c r="Y1140" s="5">
        <v>3.8209963301326582</v>
      </c>
      <c r="Z1140" s="5">
        <v>3.8294927833016601</v>
      </c>
      <c r="AA1140" s="18">
        <v>2.2186889099384023E-3</v>
      </c>
      <c r="AB1140" s="5">
        <v>1.0638020668545507</v>
      </c>
      <c r="AC1140" s="4">
        <v>1.3244302943288443E-4</v>
      </c>
      <c r="AE1140" s="5">
        <v>0.48161589062349974</v>
      </c>
      <c r="AF1140" s="5">
        <v>0.48526585942310674</v>
      </c>
    </row>
    <row r="1141" spans="23:32" x14ac:dyDescent="0.25">
      <c r="W1141">
        <v>76.5</v>
      </c>
      <c r="X1141" s="5">
        <v>73.933958124040416</v>
      </c>
      <c r="Y1141" s="5">
        <v>2.5660418759595842</v>
      </c>
      <c r="Z1141" s="5">
        <v>2.5720235228590695</v>
      </c>
      <c r="AA1141" s="18">
        <v>2.3256579289875311E-3</v>
      </c>
      <c r="AB1141" s="5">
        <v>0.71444899490675129</v>
      </c>
      <c r="AC1141" s="4">
        <v>6.262473361571672E-5</v>
      </c>
      <c r="AE1141" s="5">
        <v>0.48161589062349974</v>
      </c>
      <c r="AF1141" s="5">
        <v>0.48555114955147932</v>
      </c>
    </row>
    <row r="1142" spans="23:32" x14ac:dyDescent="0.25">
      <c r="W1142">
        <v>76.8</v>
      </c>
      <c r="X1142" s="5">
        <v>73.536656616086759</v>
      </c>
      <c r="Y1142" s="5">
        <v>3.263343383913238</v>
      </c>
      <c r="Z1142" s="5">
        <v>3.2690907743264574</v>
      </c>
      <c r="AA1142" s="18">
        <v>1.7581005881985167E-3</v>
      </c>
      <c r="AB1142" s="5">
        <v>0.90833650658748943</v>
      </c>
      <c r="AC1142" s="4">
        <v>7.6479996927677018E-5</v>
      </c>
      <c r="AE1142" s="5">
        <v>0.48161589062349974</v>
      </c>
      <c r="AF1142" s="5">
        <v>0.48555993844692519</v>
      </c>
    </row>
    <row r="1143" spans="23:32" x14ac:dyDescent="0.25">
      <c r="W1143">
        <v>76.5</v>
      </c>
      <c r="X1143" s="5">
        <v>73.360700630741974</v>
      </c>
      <c r="Y1143" s="5">
        <v>3.1392993692580262</v>
      </c>
      <c r="Z1143" s="5">
        <v>3.1439184646568634</v>
      </c>
      <c r="AA1143" s="18">
        <v>1.4692160279486969E-3</v>
      </c>
      <c r="AB1143" s="5">
        <v>0.87368302012386334</v>
      </c>
      <c r="AC1143" s="4">
        <v>5.9112372305894412E-5</v>
      </c>
      <c r="AE1143" s="5">
        <v>0.48161589062349974</v>
      </c>
      <c r="AF1143" s="5">
        <v>0.48617493582075427</v>
      </c>
    </row>
    <row r="1144" spans="23:32" x14ac:dyDescent="0.25">
      <c r="W1144">
        <v>76.400000000000006</v>
      </c>
      <c r="X1144" s="5">
        <v>72.913287357021886</v>
      </c>
      <c r="Y1144" s="5">
        <v>3.4867126429781194</v>
      </c>
      <c r="Z1144" s="5">
        <v>3.4925062074829469</v>
      </c>
      <c r="AA1144" s="18">
        <v>1.6588558933466838E-3</v>
      </c>
      <c r="AB1144" s="5">
        <v>0.97046206439872162</v>
      </c>
      <c r="AC1144" s="4">
        <v>8.2363200829946542E-5</v>
      </c>
      <c r="AE1144" s="5">
        <v>0.48161589062349974</v>
      </c>
      <c r="AF1144" s="5">
        <v>0.49018351349548017</v>
      </c>
    </row>
    <row r="1145" spans="23:32" x14ac:dyDescent="0.25">
      <c r="W1145">
        <v>76.2</v>
      </c>
      <c r="X1145" s="5">
        <v>73.412628293426437</v>
      </c>
      <c r="Y1145" s="5">
        <v>2.7873717065735661</v>
      </c>
      <c r="Z1145" s="5">
        <v>2.7916706086768244</v>
      </c>
      <c r="AA1145" s="18">
        <v>1.5399030565753594E-3</v>
      </c>
      <c r="AB1145" s="5">
        <v>0.77576721647057556</v>
      </c>
      <c r="AC1145" s="4">
        <v>4.8850826073574936E-5</v>
      </c>
      <c r="AE1145" s="5">
        <v>0.5039283835636299</v>
      </c>
      <c r="AF1145" s="5">
        <v>0.49181169434413569</v>
      </c>
    </row>
    <row r="1146" spans="23:32" x14ac:dyDescent="0.25">
      <c r="W1146">
        <v>75.8</v>
      </c>
      <c r="X1146" s="5">
        <v>71.881436124820596</v>
      </c>
      <c r="Y1146" s="5">
        <v>3.9185638751794016</v>
      </c>
      <c r="Z1146" s="5">
        <v>3.9429025215300868</v>
      </c>
      <c r="AA1146" s="18">
        <v>6.1727740459676349E-3</v>
      </c>
      <c r="AB1146" s="5">
        <v>1.0931339363169847</v>
      </c>
      <c r="AC1146" s="4">
        <v>3.9062734625621283E-4</v>
      </c>
      <c r="AE1146" s="5">
        <v>0.5039283835636299</v>
      </c>
      <c r="AF1146" s="5">
        <v>0.49343734752100799</v>
      </c>
    </row>
    <row r="1147" spans="23:32" x14ac:dyDescent="0.25">
      <c r="W1147">
        <v>75.8</v>
      </c>
      <c r="X1147" s="5">
        <v>73.263286626215432</v>
      </c>
      <c r="Y1147" s="5">
        <v>2.5367133737845649</v>
      </c>
      <c r="Z1147" s="5">
        <v>2.5423460562053037</v>
      </c>
      <c r="AA1147" s="18">
        <v>2.2155451288728514E-3</v>
      </c>
      <c r="AB1147" s="5">
        <v>0.70624424773821337</v>
      </c>
      <c r="AC1147" s="4">
        <v>5.8290813104478068E-5</v>
      </c>
      <c r="AE1147" s="5">
        <v>0.5039283835636299</v>
      </c>
      <c r="AF1147" s="5">
        <v>0.49522012317682129</v>
      </c>
    </row>
    <row r="1148" spans="23:32" x14ac:dyDescent="0.25">
      <c r="W1148">
        <v>75.5</v>
      </c>
      <c r="X1148" s="5">
        <v>72.94790090901833</v>
      </c>
      <c r="Y1148" s="5">
        <v>2.5520990909816703</v>
      </c>
      <c r="Z1148" s="5">
        <v>2.5574229238028039</v>
      </c>
      <c r="AA1148" s="18">
        <v>2.0817177994239314E-3</v>
      </c>
      <c r="AB1148" s="5">
        <v>0.71048012759443047</v>
      </c>
      <c r="AC1148" s="4">
        <v>5.5421355759523576E-5</v>
      </c>
      <c r="AE1148" s="5">
        <v>0.5039283835636299</v>
      </c>
      <c r="AF1148" s="5">
        <v>0.49538347401549532</v>
      </c>
    </row>
    <row r="1149" spans="23:32" x14ac:dyDescent="0.25">
      <c r="W1149">
        <v>75.7</v>
      </c>
      <c r="X1149" s="5">
        <v>72.793500639575342</v>
      </c>
      <c r="Y1149" s="5">
        <v>2.9064993604246609</v>
      </c>
      <c r="Z1149" s="5">
        <v>2.9136262790681968</v>
      </c>
      <c r="AA1149" s="18">
        <v>2.4460647869408779E-3</v>
      </c>
      <c r="AB1149" s="5">
        <v>0.8092895459478302</v>
      </c>
      <c r="AC1149" s="4">
        <v>8.4525126482573677E-5</v>
      </c>
      <c r="AE1149" s="5">
        <v>0.5039283835636299</v>
      </c>
      <c r="AF1149" s="5">
        <v>0.4958538042146266</v>
      </c>
    </row>
    <row r="1150" spans="23:32" x14ac:dyDescent="0.25">
      <c r="W1150">
        <v>75.5</v>
      </c>
      <c r="X1150" s="5">
        <v>72.548974948616149</v>
      </c>
      <c r="Y1150" s="5">
        <v>2.9510250513838514</v>
      </c>
      <c r="Z1150" s="5">
        <v>2.9571233234486556</v>
      </c>
      <c r="AA1150" s="18">
        <v>2.0622312287259443E-3</v>
      </c>
      <c r="AB1150" s="5">
        <v>0.82152930187098028</v>
      </c>
      <c r="AC1150" s="4">
        <v>7.3405130497373832E-5</v>
      </c>
      <c r="AE1150" s="5">
        <v>0.5039283835636299</v>
      </c>
      <c r="AF1150" s="5">
        <v>0.49955731958735411</v>
      </c>
    </row>
    <row r="1151" spans="23:32" x14ac:dyDescent="0.25">
      <c r="W1151">
        <v>62.7</v>
      </c>
      <c r="X1151" s="5">
        <v>65.2314984356221</v>
      </c>
      <c r="Y1151" s="5">
        <v>-2.5314984356220975</v>
      </c>
      <c r="Z1151" s="5">
        <v>-2.5425320106930656</v>
      </c>
      <c r="AA1151" s="18">
        <v>4.3396012418180233E-3</v>
      </c>
      <c r="AB1151" s="5">
        <v>-0.70554373230474521</v>
      </c>
      <c r="AC1151" s="4">
        <v>1.1419126032183006E-4</v>
      </c>
      <c r="AE1151" s="5">
        <v>0.5039283835636299</v>
      </c>
      <c r="AF1151" s="5">
        <v>0.50047762816732655</v>
      </c>
    </row>
    <row r="1152" spans="23:32" x14ac:dyDescent="0.25">
      <c r="W1152">
        <v>62.4</v>
      </c>
      <c r="X1152" s="5">
        <v>64.64377907179977</v>
      </c>
      <c r="Y1152" s="5">
        <v>-2.2437790717997714</v>
      </c>
      <c r="Z1152" s="5">
        <v>-2.2743027563665166</v>
      </c>
      <c r="AA1152" s="18">
        <v>1.3421117518897262E-2</v>
      </c>
      <c r="AB1152" s="5">
        <v>-0.62822624705487418</v>
      </c>
      <c r="AC1152" s="4">
        <v>2.8257609369247233E-4</v>
      </c>
      <c r="AE1152" s="5">
        <v>0.5039283835636299</v>
      </c>
      <c r="AF1152" s="5">
        <v>0.50071666066094966</v>
      </c>
    </row>
    <row r="1153" spans="23:32" x14ac:dyDescent="0.25">
      <c r="W1153">
        <v>62.2</v>
      </c>
      <c r="X1153" s="5">
        <v>64.859033001849639</v>
      </c>
      <c r="Y1153" s="5">
        <v>-2.659033001849636</v>
      </c>
      <c r="Z1153" s="5">
        <v>-2.6704889461341992</v>
      </c>
      <c r="AA1153" s="18">
        <v>4.2898302579183088E-3</v>
      </c>
      <c r="AB1153" s="5">
        <v>-0.74106985552256055</v>
      </c>
      <c r="AC1153" s="4">
        <v>1.2452938979978727E-4</v>
      </c>
      <c r="AE1153" s="5">
        <v>0.5039283835636299</v>
      </c>
      <c r="AF1153" s="5">
        <v>0.50095291445386003</v>
      </c>
    </row>
    <row r="1154" spans="23:32" x14ac:dyDescent="0.25">
      <c r="W1154">
        <v>62</v>
      </c>
      <c r="X1154" s="5">
        <v>64.613183902083122</v>
      </c>
      <c r="Y1154" s="5">
        <v>-2.6131839020831222</v>
      </c>
      <c r="Z1154" s="5">
        <v>-2.6230943388814438</v>
      </c>
      <c r="AA1154" s="18">
        <v>3.7781473016141312E-3</v>
      </c>
      <c r="AB1154" s="5">
        <v>-0.72810469907103637</v>
      </c>
      <c r="AC1154" s="4">
        <v>1.0581735189351181E-4</v>
      </c>
      <c r="AE1154" s="5">
        <v>0.5039283835636299</v>
      </c>
      <c r="AF1154" s="5">
        <v>0.50133190692219964</v>
      </c>
    </row>
    <row r="1155" spans="23:32" x14ac:dyDescent="0.25">
      <c r="W1155">
        <v>61.8</v>
      </c>
      <c r="X1155" s="5">
        <v>64.073394972366813</v>
      </c>
      <c r="Y1155" s="5">
        <v>-2.2733949723668161</v>
      </c>
      <c r="Z1155" s="5">
        <v>-2.2833158314983137</v>
      </c>
      <c r="AA1155" s="18">
        <v>4.3449351135027049E-3</v>
      </c>
      <c r="AB1155" s="5">
        <v>-0.63361045284813888</v>
      </c>
      <c r="AC1155" s="4">
        <v>9.2207331472923823E-5</v>
      </c>
      <c r="AE1155" s="5">
        <v>0.5039283835636299</v>
      </c>
      <c r="AF1155" s="5">
        <v>0.50263325470209952</v>
      </c>
    </row>
    <row r="1156" spans="23:32" x14ac:dyDescent="0.25">
      <c r="W1156">
        <v>61.6</v>
      </c>
      <c r="X1156" s="5">
        <v>63.771525324537592</v>
      </c>
      <c r="Y1156" s="5">
        <v>-2.1715253245375905</v>
      </c>
      <c r="Z1156" s="5">
        <v>-2.1809378166714737</v>
      </c>
      <c r="AA1156" s="18">
        <v>4.3158003231147189E-3</v>
      </c>
      <c r="AB1156" s="5">
        <v>-0.60520984283617851</v>
      </c>
      <c r="AC1156" s="4">
        <v>8.3559934700765535E-5</v>
      </c>
      <c r="AE1156" s="5">
        <v>0.5039283835636299</v>
      </c>
      <c r="AF1156" s="5">
        <v>0.50560572364822465</v>
      </c>
    </row>
    <row r="1157" spans="23:32" x14ac:dyDescent="0.25">
      <c r="W1157">
        <v>61.4</v>
      </c>
      <c r="X1157" s="5">
        <v>67.612164920672669</v>
      </c>
      <c r="Y1157" s="5">
        <v>-6.2121649206726701</v>
      </c>
      <c r="Z1157" s="5">
        <v>-6.2479608820580879</v>
      </c>
      <c r="AA1157" s="18">
        <v>5.7292230315041338E-3</v>
      </c>
      <c r="AB1157" s="5">
        <v>-1.7325769452384523</v>
      </c>
      <c r="AC1157" s="4">
        <v>9.1037959564220592E-4</v>
      </c>
      <c r="AE1157" s="5">
        <v>0.5039283835636299</v>
      </c>
      <c r="AF1157" s="5">
        <v>0.50957994362288872</v>
      </c>
    </row>
    <row r="1158" spans="23:32" x14ac:dyDescent="0.25">
      <c r="W1158">
        <v>61.1</v>
      </c>
      <c r="X1158" s="5">
        <v>62.762765369396412</v>
      </c>
      <c r="Y1158" s="5">
        <v>-1.6627653693964106</v>
      </c>
      <c r="Z1158" s="5">
        <v>-1.6706149222679088</v>
      </c>
      <c r="AA1158" s="18">
        <v>4.6986009563717325E-3</v>
      </c>
      <c r="AB1158" s="5">
        <v>-0.46350620806653192</v>
      </c>
      <c r="AC1158" s="4">
        <v>5.3379125915462137E-5</v>
      </c>
      <c r="AE1158" s="5">
        <v>0.5039283835636299</v>
      </c>
      <c r="AF1158" s="5">
        <v>0.51169391660779118</v>
      </c>
    </row>
    <row r="1159" spans="23:32" x14ac:dyDescent="0.25">
      <c r="W1159">
        <v>68</v>
      </c>
      <c r="X1159" s="5">
        <v>62.261925475504171</v>
      </c>
      <c r="Y1159" s="5">
        <v>5.7380745244958291</v>
      </c>
      <c r="Z1159" s="5">
        <v>5.7655766954262262</v>
      </c>
      <c r="AA1159" s="18">
        <v>4.7700641901463614E-3</v>
      </c>
      <c r="AB1159" s="5">
        <v>1.5995814563921886</v>
      </c>
      <c r="AC1159" s="4">
        <v>6.4544599920466586E-4</v>
      </c>
      <c r="AE1159" s="5">
        <v>0.52824151828033117</v>
      </c>
      <c r="AF1159" s="5">
        <v>0.51402822182283725</v>
      </c>
    </row>
    <row r="1160" spans="23:32" x14ac:dyDescent="0.25">
      <c r="W1160">
        <v>64</v>
      </c>
      <c r="X1160" s="5">
        <v>66.209483722653857</v>
      </c>
      <c r="Y1160" s="5">
        <v>-2.2094837226538573</v>
      </c>
      <c r="Z1160" s="5">
        <v>-2.2238029812891966</v>
      </c>
      <c r="AA1160" s="18">
        <v>6.439085996297402E-3</v>
      </c>
      <c r="AB1160" s="5">
        <v>-0.61644658222307103</v>
      </c>
      <c r="AC1160" s="4">
        <v>1.2961850979464285E-4</v>
      </c>
      <c r="AE1160" s="5">
        <v>0.52824151828033117</v>
      </c>
      <c r="AF1160" s="5">
        <v>0.51418684261097791</v>
      </c>
    </row>
    <row r="1161" spans="23:32" x14ac:dyDescent="0.25">
      <c r="W1161">
        <v>59.9</v>
      </c>
      <c r="X1161" s="5">
        <v>60.356363795249116</v>
      </c>
      <c r="Y1161" s="5">
        <v>-0.45636379524911774</v>
      </c>
      <c r="Z1161" s="5">
        <v>-0.46274021894198114</v>
      </c>
      <c r="AA1161" s="18">
        <v>1.377970496587092E-2</v>
      </c>
      <c r="AB1161" s="5">
        <v>-0.12779860322647116</v>
      </c>
      <c r="AC1161" s="4">
        <v>1.2010597058453884E-5</v>
      </c>
      <c r="AE1161" s="5">
        <v>0.52824151828033117</v>
      </c>
      <c r="AF1161" s="5">
        <v>0.5142186963182741</v>
      </c>
    </row>
    <row r="1162" spans="23:32" x14ac:dyDescent="0.25">
      <c r="W1162">
        <v>59.6</v>
      </c>
      <c r="X1162" s="5">
        <v>60.731948556000688</v>
      </c>
      <c r="Y1162" s="5">
        <v>-1.1319485560006868</v>
      </c>
      <c r="Z1162" s="5">
        <v>-1.1391802970543665</v>
      </c>
      <c r="AA1162" s="18">
        <v>6.3481970960877643E-3</v>
      </c>
      <c r="AB1162" s="5">
        <v>-0.31579952259060518</v>
      </c>
      <c r="AC1162" s="4">
        <v>3.3534011930854065E-5</v>
      </c>
      <c r="AE1162" s="5">
        <v>0.52824151828033117</v>
      </c>
      <c r="AF1162" s="5">
        <v>0.51457766383929604</v>
      </c>
    </row>
    <row r="1163" spans="23:32" x14ac:dyDescent="0.25">
      <c r="W1163">
        <v>59.3</v>
      </c>
      <c r="X1163" s="5">
        <v>60.408551770010426</v>
      </c>
      <c r="Y1163" s="5">
        <v>-1.108551770010429</v>
      </c>
      <c r="Z1163" s="5">
        <v>-1.124742351553131</v>
      </c>
      <c r="AA1163" s="18">
        <v>1.4394924775746058E-2</v>
      </c>
      <c r="AB1163" s="5">
        <v>-0.31053203253865014</v>
      </c>
      <c r="AC1163" s="4">
        <v>7.4125166081708661E-5</v>
      </c>
      <c r="AE1163" s="5">
        <v>0.52824151828033117</v>
      </c>
      <c r="AF1163" s="5">
        <v>0.51554984559592132</v>
      </c>
    </row>
    <row r="1164" spans="23:32" x14ac:dyDescent="0.25">
      <c r="W1164">
        <v>59.1</v>
      </c>
      <c r="X1164" s="5">
        <v>59.667705402802696</v>
      </c>
      <c r="Y1164" s="5">
        <v>-0.56770540280269444</v>
      </c>
      <c r="Z1164" s="5">
        <v>-0.57214636950229902</v>
      </c>
      <c r="AA1164" s="18">
        <v>7.761941587544988E-3</v>
      </c>
      <c r="AB1164" s="5">
        <v>-0.15849551549974875</v>
      </c>
      <c r="AC1164" s="4">
        <v>1.0342721862521942E-5</v>
      </c>
      <c r="AE1164" s="5">
        <v>0.52824151828033117</v>
      </c>
      <c r="AF1164" s="5">
        <v>0.51577410085509778</v>
      </c>
    </row>
    <row r="1165" spans="23:32" x14ac:dyDescent="0.25">
      <c r="W1165">
        <v>58.9</v>
      </c>
      <c r="X1165" s="5">
        <v>59.078626477975369</v>
      </c>
      <c r="Y1165" s="5">
        <v>-0.17862647797537079</v>
      </c>
      <c r="Z1165" s="5">
        <v>-0.18012526766957393</v>
      </c>
      <c r="AA1165" s="18">
        <v>8.3208186924408761E-3</v>
      </c>
      <c r="AB1165" s="5">
        <v>-4.9884098600324125E-2</v>
      </c>
      <c r="AC1165" s="4">
        <v>1.0989185893124791E-6</v>
      </c>
      <c r="AE1165" s="5">
        <v>0.52824151828033117</v>
      </c>
      <c r="AF1165" s="5">
        <v>0.51887520515296803</v>
      </c>
    </row>
    <row r="1166" spans="23:32" x14ac:dyDescent="0.25">
      <c r="W1166">
        <v>73.900000000000006</v>
      </c>
      <c r="X1166" s="5">
        <v>72.354853166863393</v>
      </c>
      <c r="Y1166" s="5">
        <v>1.5451468331366129</v>
      </c>
      <c r="Z1166" s="5">
        <v>1.552532741390408</v>
      </c>
      <c r="AA1166" s="18">
        <v>4.7573284974194623E-3</v>
      </c>
      <c r="AB1166" s="5">
        <v>0.43073201596817906</v>
      </c>
      <c r="AC1166" s="4">
        <v>4.6676131963328203E-5</v>
      </c>
      <c r="AE1166" s="5">
        <v>0.54051528578164909</v>
      </c>
      <c r="AF1166" s="5">
        <v>0.5193865612747357</v>
      </c>
    </row>
    <row r="1167" spans="23:32" x14ac:dyDescent="0.25">
      <c r="W1167">
        <v>73.8</v>
      </c>
      <c r="X1167" s="5">
        <v>70.695116749322239</v>
      </c>
      <c r="Y1167" s="5">
        <v>3.1048832506777586</v>
      </c>
      <c r="Z1167" s="5">
        <v>3.1560449215269557</v>
      </c>
      <c r="AA1167" s="18">
        <v>1.6210691584338476E-2</v>
      </c>
      <c r="AB1167" s="5">
        <v>0.87055480533020912</v>
      </c>
      <c r="AC1167" s="4">
        <v>6.5726132504489207E-4</v>
      </c>
      <c r="AE1167" s="5">
        <v>0.54051528578164909</v>
      </c>
      <c r="AF1167" s="5">
        <v>0.52451058030154041</v>
      </c>
    </row>
    <row r="1168" spans="23:32" x14ac:dyDescent="0.25">
      <c r="W1168">
        <v>73.599999999999994</v>
      </c>
      <c r="X1168" s="5">
        <v>71.213912922793114</v>
      </c>
      <c r="Y1168" s="5">
        <v>2.3860870772068807</v>
      </c>
      <c r="Z1168" s="5">
        <v>2.3959777907832915</v>
      </c>
      <c r="AA1168" s="18">
        <v>4.1280489387096322E-3</v>
      </c>
      <c r="AB1168" s="5">
        <v>0.66494608006355427</v>
      </c>
      <c r="AC1168" s="4">
        <v>9.646296262105955E-5</v>
      </c>
      <c r="AE1168" s="5">
        <v>0.54051528578164909</v>
      </c>
      <c r="AF1168" s="5">
        <v>0.52508481199481016</v>
      </c>
    </row>
    <row r="1169" spans="23:32" x14ac:dyDescent="0.25">
      <c r="W1169">
        <v>73.400000000000006</v>
      </c>
      <c r="X1169" s="5">
        <v>74.053755492921695</v>
      </c>
      <c r="Y1169" s="5">
        <v>-0.65375549292168955</v>
      </c>
      <c r="Z1169" s="5">
        <v>-0.65612779452959558</v>
      </c>
      <c r="AA1169" s="18">
        <v>3.6156090744618929E-3</v>
      </c>
      <c r="AB1169" s="5">
        <v>-0.18213935108247467</v>
      </c>
      <c r="AC1169" s="4">
        <v>6.3359030223014911E-6</v>
      </c>
      <c r="AE1169" s="5">
        <v>0.54051528578164909</v>
      </c>
      <c r="AF1169" s="5">
        <v>0.52723050365505175</v>
      </c>
    </row>
    <row r="1170" spans="23:32" x14ac:dyDescent="0.25">
      <c r="W1170">
        <v>73.2</v>
      </c>
      <c r="X1170" s="5">
        <v>71.637257642753113</v>
      </c>
      <c r="Y1170" s="5">
        <v>1.5627423572468899</v>
      </c>
      <c r="Z1170" s="5">
        <v>1.5663101923556582</v>
      </c>
      <c r="AA1170" s="18">
        <v>2.2778598557212665E-3</v>
      </c>
      <c r="AB1170" s="5">
        <v>0.43509537875664051</v>
      </c>
      <c r="AC1170" s="4">
        <v>2.2747450643288915E-5</v>
      </c>
      <c r="AE1170" s="5">
        <v>0.54051528578164909</v>
      </c>
      <c r="AF1170" s="5">
        <v>0.52894557400436326</v>
      </c>
    </row>
    <row r="1171" spans="23:32" x14ac:dyDescent="0.25">
      <c r="W1171">
        <v>73</v>
      </c>
      <c r="X1171" s="5">
        <v>71.100483517941655</v>
      </c>
      <c r="Y1171" s="5">
        <v>1.8995164820583454</v>
      </c>
      <c r="Z1171" s="5">
        <v>1.9044743382718963</v>
      </c>
      <c r="AA1171" s="18">
        <v>2.6032675336785361E-3</v>
      </c>
      <c r="AB1171" s="5">
        <v>0.52894557400436326</v>
      </c>
      <c r="AC1171" s="4">
        <v>3.8434322952557388E-5</v>
      </c>
      <c r="AE1171" s="5">
        <v>0.54051528578164909</v>
      </c>
      <c r="AF1171" s="5">
        <v>0.52909499610973687</v>
      </c>
    </row>
    <row r="1172" spans="23:32" x14ac:dyDescent="0.25">
      <c r="W1172">
        <v>72.7</v>
      </c>
      <c r="X1172" s="5">
        <v>70.591984652498397</v>
      </c>
      <c r="Y1172" s="5">
        <v>2.1080153475016061</v>
      </c>
      <c r="Z1172" s="5">
        <v>2.111914333597241</v>
      </c>
      <c r="AA1172" s="18">
        <v>1.846185725251331E-3</v>
      </c>
      <c r="AB1172" s="5">
        <v>0.5867821916288235</v>
      </c>
      <c r="AC1172" s="4">
        <v>3.3518005414903023E-5</v>
      </c>
      <c r="AE1172" s="5">
        <v>0.54051528578164909</v>
      </c>
      <c r="AF1172" s="5">
        <v>0.52919856630938911</v>
      </c>
    </row>
    <row r="1173" spans="23:32" x14ac:dyDescent="0.25">
      <c r="W1173">
        <v>72.5</v>
      </c>
      <c r="X1173" s="5">
        <v>70.807326225621196</v>
      </c>
      <c r="Y1173" s="5">
        <v>1.6926737743788038</v>
      </c>
      <c r="Z1173" s="5">
        <v>1.6951117662310935</v>
      </c>
      <c r="AA1173" s="18">
        <v>1.4382484393430013E-3</v>
      </c>
      <c r="AB1173" s="5">
        <v>0.47107243681103661</v>
      </c>
      <c r="AC1173" s="4">
        <v>1.6822121713762932E-5</v>
      </c>
      <c r="AE1173" s="5">
        <v>0.54051528578164909</v>
      </c>
      <c r="AF1173" s="5">
        <v>0.53036691133589142</v>
      </c>
    </row>
    <row r="1174" spans="23:32" x14ac:dyDescent="0.25">
      <c r="W1174">
        <v>72.3</v>
      </c>
      <c r="X1174" s="5">
        <v>70.674181898212993</v>
      </c>
      <c r="Y1174" s="5">
        <v>1.6258181017870044</v>
      </c>
      <c r="Z1174" s="5">
        <v>1.6285385496512106</v>
      </c>
      <c r="AA1174" s="18">
        <v>1.6704841680259322E-3</v>
      </c>
      <c r="AB1174" s="5">
        <v>0.45251907507011513</v>
      </c>
      <c r="AC1174" s="4">
        <v>1.8033857484076672E-5</v>
      </c>
      <c r="AE1174" s="5">
        <v>0.54051528578164909</v>
      </c>
      <c r="AF1174" s="5">
        <v>0.5311468469932854</v>
      </c>
    </row>
    <row r="1175" spans="23:32" x14ac:dyDescent="0.25">
      <c r="W1175">
        <v>72.099999999999994</v>
      </c>
      <c r="X1175" s="5">
        <v>70.704874616903112</v>
      </c>
      <c r="Y1175" s="5">
        <v>1.3951253830968824</v>
      </c>
      <c r="Z1175" s="5">
        <v>1.39751192635606</v>
      </c>
      <c r="AA1175" s="18">
        <v>1.707708688679915E-3</v>
      </c>
      <c r="AB1175" s="5">
        <v>0.38831688340202136</v>
      </c>
      <c r="AC1175" s="4">
        <v>1.3576099627005186E-5</v>
      </c>
      <c r="AE1175" s="5">
        <v>0.54051528578164909</v>
      </c>
      <c r="AF1175" s="5">
        <v>0.53118807319151484</v>
      </c>
    </row>
    <row r="1176" spans="23:32" x14ac:dyDescent="0.25">
      <c r="W1176">
        <v>71.900000000000006</v>
      </c>
      <c r="X1176" s="5">
        <v>70.714539570697298</v>
      </c>
      <c r="Y1176" s="5">
        <v>1.185460429302708</v>
      </c>
      <c r="Z1176" s="5">
        <v>1.198194741927594</v>
      </c>
      <c r="AA1176" s="18">
        <v>1.0627915629479043E-2</v>
      </c>
      <c r="AB1176" s="5">
        <v>0.33144321073999938</v>
      </c>
      <c r="AC1176" s="4">
        <v>6.21087944476734E-5</v>
      </c>
      <c r="AE1176" s="5">
        <v>0.54051528578164909</v>
      </c>
      <c r="AF1176" s="5">
        <v>0.53158703871952151</v>
      </c>
    </row>
    <row r="1177" spans="23:32" x14ac:dyDescent="0.25">
      <c r="W1177">
        <v>71.7</v>
      </c>
      <c r="X1177" s="5">
        <v>70.856956457376072</v>
      </c>
      <c r="Y1177" s="5">
        <v>0.84304354262393133</v>
      </c>
      <c r="Z1177" s="5">
        <v>0.84431062216773967</v>
      </c>
      <c r="AA1177" s="18">
        <v>1.5007267592530181E-3</v>
      </c>
      <c r="AB1177" s="5">
        <v>0.23462701825685528</v>
      </c>
      <c r="AC1177" s="4">
        <v>4.3546806870496276E-6</v>
      </c>
      <c r="AE1177" s="5">
        <v>0.54051528578164909</v>
      </c>
      <c r="AF1177" s="5">
        <v>0.53262867858607732</v>
      </c>
    </row>
    <row r="1178" spans="23:32" x14ac:dyDescent="0.25">
      <c r="W1178">
        <v>75.3</v>
      </c>
      <c r="X1178" s="5">
        <v>74.211814938910592</v>
      </c>
      <c r="Y1178" s="5">
        <v>1.0881850610894048</v>
      </c>
      <c r="Z1178" s="5">
        <v>1.0926618036993716</v>
      </c>
      <c r="AA1178" s="18">
        <v>4.0970981092365352E-3</v>
      </c>
      <c r="AB1178" s="5">
        <v>0.30324674809400542</v>
      </c>
      <c r="AC1178" s="4">
        <v>1.9911229109542925E-5</v>
      </c>
      <c r="AE1178" s="5">
        <v>0.54051528578164909</v>
      </c>
      <c r="AF1178" s="5">
        <v>0.53391118931405035</v>
      </c>
    </row>
    <row r="1179" spans="23:32" x14ac:dyDescent="0.25">
      <c r="W1179">
        <v>75.3</v>
      </c>
      <c r="X1179" s="5">
        <v>73.704076278844596</v>
      </c>
      <c r="Y1179" s="5">
        <v>1.5959237211554012</v>
      </c>
      <c r="Z1179" s="5">
        <v>1.5992492446223565</v>
      </c>
      <c r="AA1179" s="18">
        <v>2.0794278803862604E-3</v>
      </c>
      <c r="AB1179" s="5">
        <v>0.44428948393916678</v>
      </c>
      <c r="AC1179" s="4">
        <v>2.1648427408298081E-5</v>
      </c>
      <c r="AE1179" s="5">
        <v>0.54051528578164909</v>
      </c>
      <c r="AF1179" s="5">
        <v>0.53420489850132391</v>
      </c>
    </row>
    <row r="1180" spans="23:32" x14ac:dyDescent="0.25">
      <c r="W1180">
        <v>74.900000000000006</v>
      </c>
      <c r="X1180" s="5">
        <v>73.876776679282912</v>
      </c>
      <c r="Y1180" s="5">
        <v>1.0232233207170935</v>
      </c>
      <c r="Z1180" s="5">
        <v>1.0249496007876928</v>
      </c>
      <c r="AA1180" s="18">
        <v>1.6842584935674832E-3</v>
      </c>
      <c r="AB1180" s="5">
        <v>0.28479893568098597</v>
      </c>
      <c r="AC1180" s="4">
        <v>7.2021796472790074E-6</v>
      </c>
      <c r="AE1180" s="5">
        <v>0.56531175535073552</v>
      </c>
      <c r="AF1180" s="5">
        <v>0.53427993808565277</v>
      </c>
    </row>
    <row r="1181" spans="23:32" x14ac:dyDescent="0.25">
      <c r="W1181">
        <v>74.5</v>
      </c>
      <c r="X1181" s="5">
        <v>73.495672664246626</v>
      </c>
      <c r="Y1181" s="5">
        <v>1.0043273357533735</v>
      </c>
      <c r="Z1181" s="5">
        <v>1.0060878469841015</v>
      </c>
      <c r="AA1181" s="18">
        <v>1.7498583607819087E-3</v>
      </c>
      <c r="AB1181" s="5">
        <v>0.27954870516255803</v>
      </c>
      <c r="AC1181" s="4">
        <v>7.2098276893067267E-6</v>
      </c>
      <c r="AE1181" s="5">
        <v>0.56531175535073552</v>
      </c>
      <c r="AF1181" s="5">
        <v>0.53679277168334738</v>
      </c>
    </row>
    <row r="1182" spans="23:32" x14ac:dyDescent="0.25">
      <c r="W1182">
        <v>73.7</v>
      </c>
      <c r="X1182" s="5">
        <v>75.088061265475687</v>
      </c>
      <c r="Y1182" s="5">
        <v>-1.3880612654756845</v>
      </c>
      <c r="Z1182" s="5">
        <v>-1.3920647040332597</v>
      </c>
      <c r="AA1182" s="18">
        <v>2.8758997667128589E-3</v>
      </c>
      <c r="AB1182" s="5">
        <v>-0.38657691894758794</v>
      </c>
      <c r="AC1182" s="4">
        <v>2.2685208342546483E-5</v>
      </c>
      <c r="AE1182" s="5">
        <v>0.56531175535073552</v>
      </c>
      <c r="AF1182" s="5">
        <v>0.54352514304390398</v>
      </c>
    </row>
    <row r="1183" spans="23:32" x14ac:dyDescent="0.25">
      <c r="W1183">
        <v>73.8</v>
      </c>
      <c r="X1183" s="5">
        <v>75.191023142730046</v>
      </c>
      <c r="Y1183" s="5">
        <v>-1.3910231427300488</v>
      </c>
      <c r="Z1183" s="5">
        <v>-1.394489722174697</v>
      </c>
      <c r="AA1183" s="18">
        <v>2.4859125094438203E-3</v>
      </c>
      <c r="AB1183" s="5">
        <v>-0.38732606918134682</v>
      </c>
      <c r="AC1183" s="4">
        <v>1.9677352145930012E-5</v>
      </c>
      <c r="AE1183" s="5">
        <v>0.56531175535073552</v>
      </c>
      <c r="AF1183" s="5">
        <v>0.54478736731716659</v>
      </c>
    </row>
    <row r="1184" spans="23:32" x14ac:dyDescent="0.25">
      <c r="W1184">
        <v>73.900000000000006</v>
      </c>
      <c r="X1184" s="5">
        <v>71.144292801969101</v>
      </c>
      <c r="Y1184" s="5">
        <v>2.7557071980309047</v>
      </c>
      <c r="Z1184" s="5">
        <v>2.7748870724335859</v>
      </c>
      <c r="AA1184" s="18">
        <v>6.9119477304945831E-3</v>
      </c>
      <c r="AB1184" s="5">
        <v>0.76902610765896873</v>
      </c>
      <c r="AC1184" s="4">
        <v>2.1664130103358483E-4</v>
      </c>
      <c r="AE1184" s="5">
        <v>0.56531175535073552</v>
      </c>
      <c r="AF1184" s="5">
        <v>0.54777201407116394</v>
      </c>
    </row>
    <row r="1185" spans="23:32" x14ac:dyDescent="0.25">
      <c r="W1185">
        <v>74</v>
      </c>
      <c r="X1185" s="5">
        <v>71.31832112865888</v>
      </c>
      <c r="Y1185" s="5">
        <v>2.6816788713411199</v>
      </c>
      <c r="Z1185" s="5">
        <v>2.7007816586529714</v>
      </c>
      <c r="AA1185" s="18">
        <v>7.073058738622926E-3</v>
      </c>
      <c r="AB1185" s="5">
        <v>0.74842797906860181</v>
      </c>
      <c r="AC1185" s="4">
        <v>2.1000827058031989E-4</v>
      </c>
      <c r="AE1185" s="5">
        <v>0.56531175535073552</v>
      </c>
      <c r="AF1185" s="5">
        <v>0.55179567475106617</v>
      </c>
    </row>
    <row r="1186" spans="23:32" x14ac:dyDescent="0.25">
      <c r="W1186">
        <v>74.2</v>
      </c>
      <c r="X1186" s="5">
        <v>72.608810063142315</v>
      </c>
      <c r="Y1186" s="5">
        <v>1.5911899368576883</v>
      </c>
      <c r="Z1186" s="5">
        <v>1.5945206717574223</v>
      </c>
      <c r="AA1186" s="18">
        <v>2.0888627903851531E-3</v>
      </c>
      <c r="AB1186" s="5">
        <v>0.44297373896843378</v>
      </c>
      <c r="AC1186" s="4">
        <v>2.1618243494325531E-5</v>
      </c>
      <c r="AE1186" s="5">
        <v>0.56531175535073552</v>
      </c>
      <c r="AF1186" s="5">
        <v>0.55417647306307605</v>
      </c>
    </row>
    <row r="1187" spans="23:32" x14ac:dyDescent="0.25">
      <c r="W1187">
        <v>72.8</v>
      </c>
      <c r="X1187" s="5">
        <v>71.89960848446502</v>
      </c>
      <c r="Y1187" s="5">
        <v>0.90039151553497732</v>
      </c>
      <c r="Z1187" s="5">
        <v>0.90304299822774681</v>
      </c>
      <c r="AA1187" s="18">
        <v>2.9361643885916096E-3</v>
      </c>
      <c r="AB1187" s="5">
        <v>0.25076781945960636</v>
      </c>
      <c r="AC1187" s="4">
        <v>9.74647131410003E-6</v>
      </c>
      <c r="AE1187" s="5">
        <v>0.56531175535073552</v>
      </c>
      <c r="AF1187" s="5">
        <v>0.55590015376579516</v>
      </c>
    </row>
    <row r="1188" spans="23:32" x14ac:dyDescent="0.25">
      <c r="W1188">
        <v>72.2</v>
      </c>
      <c r="X1188" s="5">
        <v>71.744956274950781</v>
      </c>
      <c r="Y1188" s="5">
        <v>0.4550437250492223</v>
      </c>
      <c r="Z1188" s="5">
        <v>0.45597505913742964</v>
      </c>
      <c r="AA1188" s="18">
        <v>2.0425110311264151E-3</v>
      </c>
      <c r="AB1188" s="5">
        <v>0.12667735911111305</v>
      </c>
      <c r="AC1188" s="4">
        <v>1.7286090006703538E-6</v>
      </c>
      <c r="AE1188" s="5">
        <v>0.56531175535073552</v>
      </c>
      <c r="AF1188" s="5">
        <v>0.55880225558130137</v>
      </c>
    </row>
    <row r="1189" spans="23:32" x14ac:dyDescent="0.25">
      <c r="W1189">
        <v>72.099999999999994</v>
      </c>
      <c r="X1189" s="5">
        <v>72.390756142568492</v>
      </c>
      <c r="Y1189" s="5">
        <v>-0.29075614256849747</v>
      </c>
      <c r="Z1189" s="5">
        <v>-0.29159902231103274</v>
      </c>
      <c r="AA1189" s="18">
        <v>2.8905437880029743E-3</v>
      </c>
      <c r="AB1189" s="5">
        <v>-8.0976569211174035E-2</v>
      </c>
      <c r="AC1189" s="4">
        <v>1.0004649133870869E-6</v>
      </c>
      <c r="AE1189" s="5">
        <v>0.56531175535073552</v>
      </c>
      <c r="AF1189" s="5">
        <v>0.55956050162385806</v>
      </c>
    </row>
    <row r="1190" spans="23:32" x14ac:dyDescent="0.25">
      <c r="W1190">
        <v>68.400000000000006</v>
      </c>
      <c r="X1190" s="5">
        <v>68.00124717157577</v>
      </c>
      <c r="Y1190" s="5">
        <v>0.39875282842423587</v>
      </c>
      <c r="Z1190" s="5">
        <v>0.41718640211736613</v>
      </c>
      <c r="AA1190" s="18">
        <v>4.4185461461752694E-2</v>
      </c>
      <c r="AB1190" s="5">
        <v>0.11342762855043388</v>
      </c>
      <c r="AC1190" s="4">
        <v>3.1303281489693738E-5</v>
      </c>
      <c r="AE1190" s="5">
        <v>0.56531175535073552</v>
      </c>
      <c r="AF1190" s="5">
        <v>0.56123203066357896</v>
      </c>
    </row>
    <row r="1191" spans="23:32" x14ac:dyDescent="0.25">
      <c r="W1191">
        <v>68.099999999999994</v>
      </c>
      <c r="X1191" s="5">
        <v>68.543089039311738</v>
      </c>
      <c r="Y1191" s="5">
        <v>-0.4430890393117437</v>
      </c>
      <c r="Z1191" s="5">
        <v>-0.4505250411565811</v>
      </c>
      <c r="AA1191" s="18">
        <v>1.650519097840155E-2</v>
      </c>
      <c r="AB1191" s="5">
        <v>-0.12425299414353798</v>
      </c>
      <c r="AC1191" s="4">
        <v>1.3636678651042763E-5</v>
      </c>
      <c r="AE1191" s="5">
        <v>0.56531175535073552</v>
      </c>
      <c r="AF1191" s="5">
        <v>0.56168569646855071</v>
      </c>
    </row>
    <row r="1192" spans="23:32" x14ac:dyDescent="0.25">
      <c r="W1192">
        <v>68.099999999999994</v>
      </c>
      <c r="X1192" s="5">
        <v>68.419540937614784</v>
      </c>
      <c r="Y1192" s="5">
        <v>-0.3195409376147893</v>
      </c>
      <c r="Z1192" s="5">
        <v>-0.32537808862115014</v>
      </c>
      <c r="AA1192" s="18">
        <v>1.7939594614656044E-2</v>
      </c>
      <c r="AB1192" s="5">
        <v>-8.9672503812348175E-2</v>
      </c>
      <c r="AC1192" s="4">
        <v>7.7310666048073011E-6</v>
      </c>
      <c r="AE1192" s="5">
        <v>0.56531175535073552</v>
      </c>
      <c r="AF1192" s="5">
        <v>0.56465084158933454</v>
      </c>
    </row>
    <row r="1193" spans="23:32" x14ac:dyDescent="0.25">
      <c r="W1193">
        <v>68</v>
      </c>
      <c r="X1193" s="5">
        <v>68.326584159196926</v>
      </c>
      <c r="Y1193" s="5">
        <v>-0.32658415919692629</v>
      </c>
      <c r="Z1193" s="5">
        <v>-0.33212024592387479</v>
      </c>
      <c r="AA1193" s="18">
        <v>1.6668922761842786E-2</v>
      </c>
      <c r="AB1193" s="5">
        <v>-9.158980302676141E-2</v>
      </c>
      <c r="AC1193" s="4">
        <v>7.4842522826478167E-6</v>
      </c>
      <c r="AE1193" s="5">
        <v>0.56531175535073552</v>
      </c>
      <c r="AF1193" s="5">
        <v>0.56567466165088032</v>
      </c>
    </row>
    <row r="1194" spans="23:32" x14ac:dyDescent="0.25">
      <c r="W1194">
        <v>67.900000000000006</v>
      </c>
      <c r="X1194" s="5">
        <v>67.931228106378086</v>
      </c>
      <c r="Y1194" s="5">
        <v>-3.1228106378080156E-2</v>
      </c>
      <c r="Z1194" s="5">
        <v>-3.1797743183744842E-2</v>
      </c>
      <c r="AA1194" s="18">
        <v>1.7914378462941395E-2</v>
      </c>
      <c r="AB1194" s="5">
        <v>-8.7634046468547319E-3</v>
      </c>
      <c r="AC1194" s="4">
        <v>7.3730048977911755E-8</v>
      </c>
      <c r="AE1194" s="5">
        <v>0.56531175535073552</v>
      </c>
      <c r="AF1194" s="5">
        <v>0.56695278513002578</v>
      </c>
    </row>
    <row r="1195" spans="23:32" x14ac:dyDescent="0.25">
      <c r="W1195">
        <v>68</v>
      </c>
      <c r="X1195" s="5">
        <v>68.345554370565665</v>
      </c>
      <c r="Y1195" s="5">
        <v>-0.34555437056566518</v>
      </c>
      <c r="Z1195" s="5">
        <v>-0.35135554277043468</v>
      </c>
      <c r="AA1195" s="18">
        <v>1.651083161810141E-2</v>
      </c>
      <c r="AB1195" s="5">
        <v>-9.6902167508654088E-2</v>
      </c>
      <c r="AC1195" s="4">
        <v>8.2968406515707089E-6</v>
      </c>
      <c r="AE1195" s="5">
        <v>0.56531175535073552</v>
      </c>
      <c r="AF1195" s="5">
        <v>0.56906067629310308</v>
      </c>
    </row>
    <row r="1196" spans="23:32" x14ac:dyDescent="0.25">
      <c r="W1196">
        <v>67.5</v>
      </c>
      <c r="X1196" s="5">
        <v>68.188428714702042</v>
      </c>
      <c r="Y1196" s="5">
        <v>-0.68842871470204159</v>
      </c>
      <c r="Z1196" s="5">
        <v>-0.70014800609108363</v>
      </c>
      <c r="AA1196" s="18">
        <v>1.673830573976165E-2</v>
      </c>
      <c r="AB1196" s="5">
        <v>-0.1930751177101101</v>
      </c>
      <c r="AC1196" s="4">
        <v>3.3399609690357753E-5</v>
      </c>
      <c r="AE1196" s="5">
        <v>0.56531175535073552</v>
      </c>
      <c r="AF1196" s="5">
        <v>0.56931771776715356</v>
      </c>
    </row>
    <row r="1197" spans="23:32" x14ac:dyDescent="0.25">
      <c r="W1197">
        <v>67.5</v>
      </c>
      <c r="X1197" s="5">
        <v>67.940191900981134</v>
      </c>
      <c r="Y1197" s="5">
        <v>-0.4401919009811337</v>
      </c>
      <c r="Z1197" s="5">
        <v>-0.44774436229326398</v>
      </c>
      <c r="AA1197" s="18">
        <v>1.6867797672416411E-2</v>
      </c>
      <c r="AB1197" s="5">
        <v>-0.12346332783037514</v>
      </c>
      <c r="AC1197" s="4">
        <v>1.3764765531873031E-5</v>
      </c>
      <c r="AE1197" s="5">
        <v>0.59589828697336056</v>
      </c>
      <c r="AF1197" s="5">
        <v>0.57144031032566456</v>
      </c>
    </row>
    <row r="1198" spans="23:32" x14ac:dyDescent="0.25">
      <c r="W1198">
        <v>67.3</v>
      </c>
      <c r="X1198" s="5">
        <v>67.370247926987972</v>
      </c>
      <c r="Y1198" s="5">
        <v>-7.0247926987974552E-2</v>
      </c>
      <c r="Z1198" s="5">
        <v>-7.1608167798942191E-2</v>
      </c>
      <c r="AA1198" s="18">
        <v>1.8995609757727207E-2</v>
      </c>
      <c r="AB1198" s="5">
        <v>-1.9724224139025741E-2</v>
      </c>
      <c r="AC1198" s="4">
        <v>3.9648662831620123E-7</v>
      </c>
      <c r="AE1198" s="5">
        <v>0.59589828697336056</v>
      </c>
      <c r="AF1198" s="5">
        <v>0.57376472124240396</v>
      </c>
    </row>
    <row r="1199" spans="23:32" x14ac:dyDescent="0.25">
      <c r="W1199">
        <v>67</v>
      </c>
      <c r="X1199" s="5">
        <v>66.858593267264666</v>
      </c>
      <c r="Y1199" s="5">
        <v>0.14140673273533366</v>
      </c>
      <c r="Z1199" s="5">
        <v>0.14584439568859864</v>
      </c>
      <c r="AA1199" s="18">
        <v>3.042738071840231E-2</v>
      </c>
      <c r="AB1199" s="5">
        <v>3.9937585782585147E-2</v>
      </c>
      <c r="AC1199" s="4">
        <v>2.6344759711527083E-6</v>
      </c>
      <c r="AE1199" s="5">
        <v>0.59589828697336056</v>
      </c>
      <c r="AF1199" s="5">
        <v>0.574739135418049</v>
      </c>
    </row>
    <row r="1200" spans="23:32" x14ac:dyDescent="0.25">
      <c r="W1200">
        <v>67.3</v>
      </c>
      <c r="X1200" s="5">
        <v>67.870223581998786</v>
      </c>
      <c r="Y1200" s="5">
        <v>-0.57022358199878909</v>
      </c>
      <c r="Z1200" s="5">
        <v>-0.58139532795514981</v>
      </c>
      <c r="AA1200" s="18">
        <v>1.9215403735102683E-2</v>
      </c>
      <c r="AB1200" s="5">
        <v>-0.16012540731108391</v>
      </c>
      <c r="AC1200" s="4">
        <v>2.6438862817846179E-5</v>
      </c>
      <c r="AE1200" s="5">
        <v>0.59589828697336056</v>
      </c>
      <c r="AF1200" s="5">
        <v>0.57842557625660718</v>
      </c>
    </row>
    <row r="1201" spans="23:32" x14ac:dyDescent="0.25">
      <c r="W1201">
        <v>67.2</v>
      </c>
      <c r="X1201" s="5">
        <v>67.751322900521743</v>
      </c>
      <c r="Y1201" s="5">
        <v>-0.55132290052173971</v>
      </c>
      <c r="Z1201" s="5">
        <v>-0.56153072772498547</v>
      </c>
      <c r="AA1201" s="18">
        <v>1.817857278194852E-2</v>
      </c>
      <c r="AB1201" s="5">
        <v>-0.15473610874154492</v>
      </c>
      <c r="AC1201" s="4">
        <v>2.3332271362479274E-5</v>
      </c>
      <c r="AE1201" s="5">
        <v>0.59589828697336056</v>
      </c>
      <c r="AF1201" s="5">
        <v>0.57858067797670121</v>
      </c>
    </row>
    <row r="1202" spans="23:32" x14ac:dyDescent="0.25">
      <c r="W1202">
        <v>66.8</v>
      </c>
      <c r="X1202" s="5">
        <v>67.305742220211144</v>
      </c>
      <c r="Y1202" s="5">
        <v>-0.50574222021114679</v>
      </c>
      <c r="Z1202" s="5">
        <v>-0.51535697741606157</v>
      </c>
      <c r="AA1202" s="18">
        <v>1.8656499526069022E-2</v>
      </c>
      <c r="AB1202" s="5">
        <v>-0.14197784413260156</v>
      </c>
      <c r="AC1202" s="4">
        <v>2.0169571170659712E-5</v>
      </c>
      <c r="AE1202" s="5">
        <v>0.59589828697336056</v>
      </c>
      <c r="AF1202" s="5">
        <v>0.57920399748461393</v>
      </c>
    </row>
    <row r="1203" spans="23:32" x14ac:dyDescent="0.25">
      <c r="W1203">
        <v>66.8</v>
      </c>
      <c r="X1203" s="5">
        <v>67.230147165932493</v>
      </c>
      <c r="Y1203" s="5">
        <v>-0.43014716593249602</v>
      </c>
      <c r="Z1203" s="5">
        <v>-0.43844949455100846</v>
      </c>
      <c r="AA1203" s="18">
        <v>1.8935655581074528E-2</v>
      </c>
      <c r="AB1203" s="5">
        <v>-0.12077309935380103</v>
      </c>
      <c r="AC1203" s="4">
        <v>1.4817320532017382E-5</v>
      </c>
      <c r="AE1203" s="5">
        <v>0.59589828697336056</v>
      </c>
      <c r="AF1203" s="5">
        <v>0.5794119282117175</v>
      </c>
    </row>
    <row r="1204" spans="23:32" x14ac:dyDescent="0.25">
      <c r="W1204">
        <v>66.8</v>
      </c>
      <c r="X1204" s="5">
        <v>67.394975626181889</v>
      </c>
      <c r="Y1204" s="5">
        <v>-0.59497562618189193</v>
      </c>
      <c r="Z1204" s="5">
        <v>-0.60929939149173151</v>
      </c>
      <c r="AA1204" s="18">
        <v>2.3508582988678701E-2</v>
      </c>
      <c r="AB1204" s="5">
        <v>-0.1674429440519257</v>
      </c>
      <c r="AC1204" s="4">
        <v>3.5525330226528722E-5</v>
      </c>
      <c r="AE1204" s="5">
        <v>0.59589828697336056</v>
      </c>
      <c r="AF1204" s="5">
        <v>0.58034298799662132</v>
      </c>
    </row>
    <row r="1205" spans="23:32" x14ac:dyDescent="0.25">
      <c r="W1205">
        <v>77.3</v>
      </c>
      <c r="X1205" s="5">
        <v>79.582411715188755</v>
      </c>
      <c r="Y1205" s="5">
        <v>-2.2824117151887577</v>
      </c>
      <c r="Z1205" s="5">
        <v>-2.3064486900857162</v>
      </c>
      <c r="AA1205" s="18">
        <v>1.0421638686472738E-2</v>
      </c>
      <c r="AB1205" s="5">
        <v>-0.63807361207895852</v>
      </c>
      <c r="AC1205" s="4">
        <v>2.2566997984505558E-4</v>
      </c>
      <c r="AE1205" s="5">
        <v>0.59589828697336056</v>
      </c>
      <c r="AF1205" s="5">
        <v>0.58139608201669379</v>
      </c>
    </row>
    <row r="1206" spans="23:32" x14ac:dyDescent="0.25">
      <c r="W1206">
        <v>77.099999999999994</v>
      </c>
      <c r="X1206" s="5">
        <v>76.468288677641667</v>
      </c>
      <c r="Y1206" s="5">
        <v>0.63171132235832772</v>
      </c>
      <c r="Z1206" s="5">
        <v>0.63856387038617868</v>
      </c>
      <c r="AA1206" s="18">
        <v>1.0731186566670166E-2</v>
      </c>
      <c r="AB1206" s="5">
        <v>0.17662956266477428</v>
      </c>
      <c r="AC1206" s="4">
        <v>1.7811750924276173E-5</v>
      </c>
      <c r="AE1206" s="5">
        <v>0.59589828697336056</v>
      </c>
      <c r="AF1206" s="5">
        <v>0.58324130070937363</v>
      </c>
    </row>
    <row r="1207" spans="23:32" x14ac:dyDescent="0.25">
      <c r="W1207">
        <v>76.8</v>
      </c>
      <c r="X1207" s="5">
        <v>76.513231039690027</v>
      </c>
      <c r="Y1207" s="5">
        <v>0.28676896030997057</v>
      </c>
      <c r="Z1207" s="5">
        <v>0.28921930496846926</v>
      </c>
      <c r="AA1207" s="18">
        <v>8.4722721353615426E-3</v>
      </c>
      <c r="AB1207" s="5">
        <v>8.0090610054618053E-2</v>
      </c>
      <c r="AC1207" s="4">
        <v>2.8847264460001606E-6</v>
      </c>
      <c r="AE1207" s="5">
        <v>0.61415241452626612</v>
      </c>
      <c r="AF1207" s="5">
        <v>0.58328543789561094</v>
      </c>
    </row>
    <row r="1208" spans="23:32" x14ac:dyDescent="0.25">
      <c r="W1208">
        <v>76.7</v>
      </c>
      <c r="X1208" s="5">
        <v>76.49669578254229</v>
      </c>
      <c r="Y1208" s="5">
        <v>0.20330421745771332</v>
      </c>
      <c r="Z1208" s="5">
        <v>0.20519789652692566</v>
      </c>
      <c r="AA1208" s="18">
        <v>9.2285501034342805E-3</v>
      </c>
      <c r="AB1208" s="5">
        <v>5.6801726715678645E-2</v>
      </c>
      <c r="AC1208" s="4">
        <v>1.5817194901195121E-6</v>
      </c>
      <c r="AE1208" s="5">
        <v>0.61415241452626612</v>
      </c>
      <c r="AF1208" s="5">
        <v>0.5838759641716651</v>
      </c>
    </row>
    <row r="1209" spans="23:32" x14ac:dyDescent="0.25">
      <c r="W1209">
        <v>76.3</v>
      </c>
      <c r="X1209" s="5">
        <v>78.085958636416592</v>
      </c>
      <c r="Y1209" s="5">
        <v>-1.7859586364165949</v>
      </c>
      <c r="Z1209" s="5">
        <v>-1.8014312381202444</v>
      </c>
      <c r="AA1209" s="18">
        <v>8.5890603961101507E-3</v>
      </c>
      <c r="AB1209" s="5">
        <v>-0.49882295940463117</v>
      </c>
      <c r="AC1209" s="4">
        <v>1.1345697968033403E-4</v>
      </c>
      <c r="AE1209" s="5">
        <v>0.61415241452626612</v>
      </c>
      <c r="AF1209" s="5">
        <v>0.58396422288311411</v>
      </c>
    </row>
    <row r="1210" spans="23:32" x14ac:dyDescent="0.25">
      <c r="W1210">
        <v>75.7</v>
      </c>
      <c r="X1210" s="5">
        <v>76.278549813450852</v>
      </c>
      <c r="Y1210" s="5">
        <v>-0.57854981345084866</v>
      </c>
      <c r="Z1210" s="5">
        <v>-0.58009332645879397</v>
      </c>
      <c r="AA1210" s="18">
        <v>2.6608011806860394E-3</v>
      </c>
      <c r="AB1210" s="5">
        <v>-0.16110952059533049</v>
      </c>
      <c r="AC1210" s="4">
        <v>3.6446711217867989E-6</v>
      </c>
      <c r="AE1210" s="5">
        <v>0.61415241452626612</v>
      </c>
      <c r="AF1210" s="5">
        <v>0.58447217398297924</v>
      </c>
    </row>
    <row r="1211" spans="23:32" x14ac:dyDescent="0.25">
      <c r="W1211">
        <v>75.5</v>
      </c>
      <c r="X1211" s="5">
        <v>77.458869535067109</v>
      </c>
      <c r="Y1211" s="5">
        <v>-1.9588695350671088</v>
      </c>
      <c r="Z1211" s="5">
        <v>-1.9689153594783733</v>
      </c>
      <c r="AA1211" s="18">
        <v>5.1022124251806624E-3</v>
      </c>
      <c r="AB1211" s="5">
        <v>-0.54615783871585555</v>
      </c>
      <c r="AC1211" s="4">
        <v>8.0512407361355047E-5</v>
      </c>
      <c r="AE1211" s="5">
        <v>0.61415241452626612</v>
      </c>
      <c r="AF1211" s="5">
        <v>0.58656461909276858</v>
      </c>
    </row>
    <row r="1212" spans="23:32" x14ac:dyDescent="0.25">
      <c r="W1212">
        <v>75.3</v>
      </c>
      <c r="X1212" s="5">
        <v>75.230702369861959</v>
      </c>
      <c r="Y1212" s="5">
        <v>6.9297630138038357E-2</v>
      </c>
      <c r="Z1212" s="5">
        <v>6.9543872528115003E-2</v>
      </c>
      <c r="AA1212" s="18">
        <v>3.5408207958724366E-3</v>
      </c>
      <c r="AB1212" s="5">
        <v>1.9305920719934762E-2</v>
      </c>
      <c r="AC1212" s="4">
        <v>6.9706274310788277E-8</v>
      </c>
      <c r="AE1212" s="5">
        <v>0.61415241452626612</v>
      </c>
      <c r="AF1212" s="5">
        <v>0.5867821916288235</v>
      </c>
    </row>
    <row r="1213" spans="23:32" x14ac:dyDescent="0.25">
      <c r="W1213">
        <v>75.2</v>
      </c>
      <c r="X1213" s="5">
        <v>75.135993559852423</v>
      </c>
      <c r="Y1213" s="5">
        <v>6.4006440147579724E-2</v>
      </c>
      <c r="Z1213" s="5">
        <v>6.4241704657490573E-2</v>
      </c>
      <c r="AA1213" s="18">
        <v>3.6621772596303953E-3</v>
      </c>
      <c r="AB1213" s="5">
        <v>1.7832911604489805E-2</v>
      </c>
      <c r="AC1213" s="4">
        <v>6.1521038375467806E-8</v>
      </c>
      <c r="AE1213" s="5">
        <v>0.61415241452626612</v>
      </c>
      <c r="AF1213" s="5">
        <v>0.58678309155952924</v>
      </c>
    </row>
    <row r="1214" spans="23:32" x14ac:dyDescent="0.25">
      <c r="W1214">
        <v>75</v>
      </c>
      <c r="X1214" s="5">
        <v>74.968310039070602</v>
      </c>
      <c r="Y1214" s="5">
        <v>3.1689960929398353E-2</v>
      </c>
      <c r="Z1214" s="5">
        <v>3.1786893423245033E-2</v>
      </c>
      <c r="AA1214" s="18">
        <v>3.0494484804983999E-3</v>
      </c>
      <c r="AB1214" s="5">
        <v>8.8264646569742745E-3</v>
      </c>
      <c r="AC1214" s="4">
        <v>1.2542024784599816E-8</v>
      </c>
      <c r="AE1214" s="5">
        <v>0.61415241452626612</v>
      </c>
      <c r="AF1214" s="5">
        <v>0.58739349966625676</v>
      </c>
    </row>
    <row r="1215" spans="23:32" x14ac:dyDescent="0.25">
      <c r="W1215">
        <v>74.900000000000006</v>
      </c>
      <c r="X1215" s="5">
        <v>75.923777117239268</v>
      </c>
      <c r="Y1215" s="5">
        <v>-1.0237771172392627</v>
      </c>
      <c r="Z1215" s="5">
        <v>-1.0263041696667869</v>
      </c>
      <c r="AA1215" s="18">
        <v>2.4622840890723228E-3</v>
      </c>
      <c r="AB1215" s="5">
        <v>-0.28506417902857184</v>
      </c>
      <c r="AC1215" s="4">
        <v>1.0557000158119483E-5</v>
      </c>
      <c r="AE1215" s="5">
        <v>0.61415241452626612</v>
      </c>
      <c r="AF1215" s="5">
        <v>0.58773607377028836</v>
      </c>
    </row>
    <row r="1216" spans="23:32" x14ac:dyDescent="0.25">
      <c r="W1216">
        <v>74.7</v>
      </c>
      <c r="X1216" s="5">
        <v>75.776837994168361</v>
      </c>
      <c r="Y1216" s="5">
        <v>-1.0768379941683577</v>
      </c>
      <c r="Z1216" s="5">
        <v>-1.0792252314004713</v>
      </c>
      <c r="AA1216" s="18">
        <v>2.2119916794518558E-3</v>
      </c>
      <c r="AB1216" s="5">
        <v>-0.29980103103961719</v>
      </c>
      <c r="AC1216" s="4">
        <v>1.0487158987870872E-5</v>
      </c>
      <c r="AE1216" s="5">
        <v>0.61415241452626612</v>
      </c>
      <c r="AF1216" s="5">
        <v>0.58779856706097078</v>
      </c>
    </row>
    <row r="1217" spans="23:32" x14ac:dyDescent="0.25">
      <c r="W1217">
        <v>74.5</v>
      </c>
      <c r="X1217" s="5">
        <v>75.426089812966183</v>
      </c>
      <c r="Y1217" s="5">
        <v>-0.92608981296618254</v>
      </c>
      <c r="Z1217" s="5">
        <v>-0.92784326595618438</v>
      </c>
      <c r="AA1217" s="18">
        <v>1.8898159358818299E-3</v>
      </c>
      <c r="AB1217" s="5">
        <v>-0.25778981527301958</v>
      </c>
      <c r="AC1217" s="4">
        <v>6.622453684465419E-6</v>
      </c>
      <c r="AE1217" s="5">
        <v>0.63261352584071384</v>
      </c>
      <c r="AF1217" s="5">
        <v>0.59060458650028469</v>
      </c>
    </row>
    <row r="1218" spans="23:32" x14ac:dyDescent="0.25">
      <c r="W1218">
        <v>74.2</v>
      </c>
      <c r="X1218" s="5">
        <v>74.975993833086022</v>
      </c>
      <c r="Y1218" s="5">
        <v>-0.77599383308601944</v>
      </c>
      <c r="Z1218" s="5">
        <v>-0.77737142541180049</v>
      </c>
      <c r="AA1218" s="18">
        <v>1.7721159805294503E-3</v>
      </c>
      <c r="AB1218" s="5">
        <v>-0.21599580331459622</v>
      </c>
      <c r="AC1218" s="4">
        <v>4.3591264792244836E-6</v>
      </c>
      <c r="AE1218" s="5">
        <v>0.63261352584071384</v>
      </c>
      <c r="AF1218" s="5">
        <v>0.59131597181626572</v>
      </c>
    </row>
    <row r="1219" spans="23:32" x14ac:dyDescent="0.25">
      <c r="W1219">
        <v>73.7</v>
      </c>
      <c r="X1219" s="5">
        <v>74.521983564298296</v>
      </c>
      <c r="Y1219" s="5">
        <v>-0.82198356429829289</v>
      </c>
      <c r="Z1219" s="5">
        <v>-0.82384468655702392</v>
      </c>
      <c r="AA1219" s="18">
        <v>2.2590693235025952E-3</v>
      </c>
      <c r="AB1219" s="5">
        <v>-0.22885274775019068</v>
      </c>
      <c r="AC1219" s="4">
        <v>6.2412334994142306E-6</v>
      </c>
      <c r="AE1219" s="5">
        <v>0.63261352584071384</v>
      </c>
      <c r="AF1219" s="5">
        <v>0.59292966886382936</v>
      </c>
    </row>
    <row r="1220" spans="23:32" x14ac:dyDescent="0.25">
      <c r="W1220">
        <v>89</v>
      </c>
      <c r="X1220" s="5">
        <v>77.084337000187844</v>
      </c>
      <c r="Y1220" s="5">
        <v>11.915662999812156</v>
      </c>
      <c r="Z1220" s="5">
        <v>12.060640139441219</v>
      </c>
      <c r="AA1220" s="18">
        <v>1.2020683641405521E-2</v>
      </c>
      <c r="AB1220" s="5">
        <v>3.3338509343308735</v>
      </c>
      <c r="AC1220" s="4">
        <v>7.1173786115900336E-3</v>
      </c>
      <c r="AE1220" s="5">
        <v>0.63261352584071384</v>
      </c>
      <c r="AF1220" s="5">
        <v>0.59474988743585944</v>
      </c>
    </row>
    <row r="1221" spans="23:32" x14ac:dyDescent="0.25">
      <c r="W1221">
        <v>86</v>
      </c>
      <c r="X1221" s="5">
        <v>77.687138168851746</v>
      </c>
      <c r="Y1221" s="5">
        <v>8.3128618311482541</v>
      </c>
      <c r="Z1221" s="5">
        <v>8.403223658845306</v>
      </c>
      <c r="AA1221" s="18">
        <v>1.0753233683354272E-2</v>
      </c>
      <c r="AB1221" s="5">
        <v>2.3243425588087558</v>
      </c>
      <c r="AC1221" s="4">
        <v>3.0908726522410812E-3</v>
      </c>
      <c r="AE1221" s="5">
        <v>0.63261352584071384</v>
      </c>
      <c r="AF1221" s="5">
        <v>0.59676531253602738</v>
      </c>
    </row>
    <row r="1222" spans="23:32" x14ac:dyDescent="0.25">
      <c r="W1222">
        <v>83</v>
      </c>
      <c r="X1222" s="5">
        <v>78.160533537455379</v>
      </c>
      <c r="Y1222" s="5">
        <v>4.8394664625446211</v>
      </c>
      <c r="Z1222" s="5">
        <v>4.8654093200863713</v>
      </c>
      <c r="AA1222" s="18">
        <v>5.3321017482838712E-3</v>
      </c>
      <c r="AB1222" s="5">
        <v>1.3494609615743844</v>
      </c>
      <c r="AC1222" s="4">
        <v>5.1379204539404725E-4</v>
      </c>
      <c r="AE1222" s="5">
        <v>0.63261352584071384</v>
      </c>
      <c r="AF1222" s="5">
        <v>0.59761542716390326</v>
      </c>
    </row>
    <row r="1223" spans="23:32" x14ac:dyDescent="0.25">
      <c r="W1223">
        <v>82</v>
      </c>
      <c r="X1223" s="5">
        <v>78.602171617712813</v>
      </c>
      <c r="Y1223" s="5">
        <v>3.3978283822871873</v>
      </c>
      <c r="Z1223" s="5">
        <v>3.423286358694881</v>
      </c>
      <c r="AA1223" s="18">
        <v>7.4367066439024933E-3</v>
      </c>
      <c r="AB1223" s="5">
        <v>0.94847137068110299</v>
      </c>
      <c r="AC1223" s="4">
        <v>3.5474582403111478E-4</v>
      </c>
      <c r="AE1223" s="5">
        <v>0.63261352584071384</v>
      </c>
      <c r="AF1223" s="5">
        <v>0.59833245757042508</v>
      </c>
    </row>
    <row r="1224" spans="23:32" x14ac:dyDescent="0.25">
      <c r="W1224">
        <v>79.599999999999994</v>
      </c>
      <c r="X1224" s="5">
        <v>78.264317093852185</v>
      </c>
      <c r="Y1224" s="5">
        <v>1.3356829061478095</v>
      </c>
      <c r="Z1224" s="5">
        <v>1.3462364652661449</v>
      </c>
      <c r="AA1224" s="18">
        <v>7.8393056425218634E-3</v>
      </c>
      <c r="AB1224" s="5">
        <v>0.37291877658151662</v>
      </c>
      <c r="AC1224" s="4">
        <v>5.7832302038794282E-5</v>
      </c>
      <c r="AE1224" s="5">
        <v>0.63261352584071384</v>
      </c>
      <c r="AF1224" s="5">
        <v>0.598658633835495</v>
      </c>
    </row>
    <row r="1225" spans="23:32" x14ac:dyDescent="0.25">
      <c r="W1225">
        <v>79.3</v>
      </c>
      <c r="X1225" s="5">
        <v>78.190635717099426</v>
      </c>
      <c r="Y1225" s="5">
        <v>1.1093642829005717</v>
      </c>
      <c r="Z1225" s="5">
        <v>1.1194457920253171</v>
      </c>
      <c r="AA1225" s="18">
        <v>9.0058037616165612E-3</v>
      </c>
      <c r="AB1225" s="5">
        <v>0.30991351478266127</v>
      </c>
      <c r="AC1225" s="4">
        <v>4.5938710280198087E-5</v>
      </c>
      <c r="AE1225" s="5">
        <v>0.63261352584071384</v>
      </c>
      <c r="AF1225" s="5">
        <v>0.60070796626073808</v>
      </c>
    </row>
    <row r="1226" spans="23:32" x14ac:dyDescent="0.25">
      <c r="W1226">
        <v>79</v>
      </c>
      <c r="X1226" s="5">
        <v>78.775752244744581</v>
      </c>
      <c r="Y1226" s="5">
        <v>0.22424775525541918</v>
      </c>
      <c r="Z1226" s="5">
        <v>0.2253388678916366</v>
      </c>
      <c r="AA1226" s="18">
        <v>4.8420969112974097E-3</v>
      </c>
      <c r="AB1226" s="5">
        <v>6.2514965812746251E-2</v>
      </c>
      <c r="AC1226" s="4">
        <v>1.0008197707272374E-6</v>
      </c>
      <c r="AE1226" s="5">
        <v>0.64941472986293525</v>
      </c>
      <c r="AF1226" s="5">
        <v>0.60166637997438366</v>
      </c>
    </row>
    <row r="1227" spans="23:32" x14ac:dyDescent="0.25">
      <c r="W1227">
        <v>78.7</v>
      </c>
      <c r="X1227" s="5">
        <v>76.687497160087801</v>
      </c>
      <c r="Y1227" s="5">
        <v>2.0125028399122016</v>
      </c>
      <c r="Z1227" s="5">
        <v>2.0236929226273759</v>
      </c>
      <c r="AA1227" s="18">
        <v>5.5295359241774467E-3</v>
      </c>
      <c r="AB1227" s="5">
        <v>0.56123203066357896</v>
      </c>
      <c r="AC1227" s="4">
        <v>9.2178172191070969E-5</v>
      </c>
      <c r="AE1227" s="5">
        <v>0.64941472986293525</v>
      </c>
      <c r="AF1227" s="5">
        <v>0.60168546560317571</v>
      </c>
    </row>
    <row r="1228" spans="23:32" x14ac:dyDescent="0.25">
      <c r="W1228">
        <v>78.5</v>
      </c>
      <c r="X1228" s="5">
        <v>77.776122281348492</v>
      </c>
      <c r="Y1228" s="5">
        <v>0.72387771865150796</v>
      </c>
      <c r="Z1228" s="5">
        <v>0.7273743092509477</v>
      </c>
      <c r="AA1228" s="18">
        <v>4.8071406358073804E-3</v>
      </c>
      <c r="AB1228" s="5">
        <v>0.20179642830114514</v>
      </c>
      <c r="AC1228" s="4">
        <v>1.0352683236529035E-5</v>
      </c>
      <c r="AE1228" s="5">
        <v>0.64941472986293525</v>
      </c>
      <c r="AF1228" s="5">
        <v>0.60203407265306441</v>
      </c>
    </row>
    <row r="1229" spans="23:32" x14ac:dyDescent="0.25">
      <c r="W1229">
        <v>77.7</v>
      </c>
      <c r="X1229" s="5">
        <v>78.980589760819427</v>
      </c>
      <c r="Y1229" s="5">
        <v>-1.2805897608194243</v>
      </c>
      <c r="Z1229" s="5">
        <v>-1.2880931427227296</v>
      </c>
      <c r="AA1229" s="18">
        <v>5.8251858149409429E-3</v>
      </c>
      <c r="AB1229" s="5">
        <v>-0.3571745764493795</v>
      </c>
      <c r="AC1229" s="4">
        <v>3.9341825009685725E-5</v>
      </c>
      <c r="AE1229" s="5">
        <v>0.64941472986293525</v>
      </c>
      <c r="AF1229" s="5">
        <v>0.60326794456211508</v>
      </c>
    </row>
    <row r="1230" spans="23:32" x14ac:dyDescent="0.25">
      <c r="W1230">
        <v>78</v>
      </c>
      <c r="X1230" s="5">
        <v>76.759348475376882</v>
      </c>
      <c r="Y1230" s="5">
        <v>1.240651524623118</v>
      </c>
      <c r="Z1230" s="5">
        <v>1.2487842973377781</v>
      </c>
      <c r="AA1230" s="18">
        <v>6.5125520331993404E-3</v>
      </c>
      <c r="AB1230" s="5">
        <v>0.34615492348758792</v>
      </c>
      <c r="AC1230" s="4">
        <v>4.1340549693051101E-5</v>
      </c>
      <c r="AE1230" s="5">
        <v>0.64941472986293525</v>
      </c>
      <c r="AF1230" s="5">
        <v>0.6045675684299423</v>
      </c>
    </row>
    <row r="1231" spans="23:32" x14ac:dyDescent="0.25">
      <c r="W1231">
        <v>77.3</v>
      </c>
      <c r="X1231" s="5">
        <v>78.984992408522018</v>
      </c>
      <c r="Y1231" s="5">
        <v>-1.6849924085220209</v>
      </c>
      <c r="Z1231" s="5">
        <v>-1.6952522768751095</v>
      </c>
      <c r="AA1231" s="18">
        <v>6.0521189046872847E-3</v>
      </c>
      <c r="AB1231" s="5">
        <v>-0.47002183559237776</v>
      </c>
      <c r="AC1231" s="4">
        <v>7.0798866920730266E-5</v>
      </c>
      <c r="AE1231" s="5">
        <v>0.64941472986293525</v>
      </c>
      <c r="AF1231" s="5">
        <v>0.60508705284220077</v>
      </c>
    </row>
    <row r="1232" spans="23:32" x14ac:dyDescent="0.25">
      <c r="W1232">
        <v>77.2</v>
      </c>
      <c r="X1232" s="5">
        <v>79.053427298356226</v>
      </c>
      <c r="Y1232" s="5">
        <v>-1.8534272983562232</v>
      </c>
      <c r="Z1232" s="5">
        <v>-1.8616005492117154</v>
      </c>
      <c r="AA1232" s="18">
        <v>4.3904428686123249E-3</v>
      </c>
      <c r="AB1232" s="5">
        <v>-0.51657444600337477</v>
      </c>
      <c r="AC1232" s="4">
        <v>6.1934339383618234E-5</v>
      </c>
      <c r="AE1232" s="5">
        <v>0.64941472986293525</v>
      </c>
      <c r="AF1232" s="5">
        <v>0.61041424440039793</v>
      </c>
    </row>
    <row r="1233" spans="23:32" x14ac:dyDescent="0.25">
      <c r="W1233">
        <v>76.900000000000006</v>
      </c>
      <c r="X1233" s="5">
        <v>77.665282483856572</v>
      </c>
      <c r="Y1233" s="5">
        <v>-0.76528248385656639</v>
      </c>
      <c r="Z1233" s="5">
        <v>-0.7813016594843134</v>
      </c>
      <c r="AA1233" s="18">
        <v>2.0503189047777017E-2</v>
      </c>
      <c r="AB1233" s="5">
        <v>-0.21504143609642187</v>
      </c>
      <c r="AC1233" s="4">
        <v>5.0945882800331122E-5</v>
      </c>
      <c r="AE1233" s="5">
        <v>0.64941472986293525</v>
      </c>
      <c r="AF1233" s="5">
        <v>0.61111098833948896</v>
      </c>
    </row>
    <row r="1234" spans="23:32" x14ac:dyDescent="0.25">
      <c r="W1234">
        <v>76.599999999999994</v>
      </c>
      <c r="X1234" s="5">
        <v>76.426334873967022</v>
      </c>
      <c r="Y1234" s="5">
        <v>0.17366512603297224</v>
      </c>
      <c r="Z1234" s="5">
        <v>0.17610394356080405</v>
      </c>
      <c r="AA1234" s="18">
        <v>1.3848738867041268E-2</v>
      </c>
      <c r="AB1234" s="5">
        <v>4.8634307950197853E-2</v>
      </c>
      <c r="AC1234" s="4">
        <v>1.7482300123963219E-6</v>
      </c>
      <c r="AE1234" s="5">
        <v>0.64941472986293525</v>
      </c>
      <c r="AF1234" s="5">
        <v>0.61208958239022315</v>
      </c>
    </row>
    <row r="1235" spans="23:32" x14ac:dyDescent="0.25">
      <c r="W1235">
        <v>74.8</v>
      </c>
      <c r="X1235" s="5">
        <v>75.593120569239048</v>
      </c>
      <c r="Y1235" s="5">
        <v>-0.79312056923905061</v>
      </c>
      <c r="Z1235" s="5">
        <v>-0.7974318128158302</v>
      </c>
      <c r="AA1235" s="18">
        <v>5.406410313074767E-3</v>
      </c>
      <c r="AB1235" s="5">
        <v>-0.22116595607911477</v>
      </c>
      <c r="AC1235" s="4">
        <v>1.3994142771686714E-5</v>
      </c>
      <c r="AE1235" s="5">
        <v>0.64941472986293525</v>
      </c>
      <c r="AF1235" s="5">
        <v>0.61481966952757827</v>
      </c>
    </row>
    <row r="1236" spans="23:32" x14ac:dyDescent="0.25">
      <c r="W1236">
        <v>74.599999999999994</v>
      </c>
      <c r="X1236" s="5">
        <v>75.453057673750251</v>
      </c>
      <c r="Y1236" s="5">
        <v>-0.85305767375025709</v>
      </c>
      <c r="Z1236" s="5">
        <v>-0.85517219923524124</v>
      </c>
      <c r="AA1236" s="18">
        <v>2.4726312278162289E-3</v>
      </c>
      <c r="AB1236" s="5">
        <v>-0.23752967568907229</v>
      </c>
      <c r="AC1236" s="4">
        <v>7.360658692613767E-6</v>
      </c>
      <c r="AE1236" s="5">
        <v>0.64941472986293525</v>
      </c>
      <c r="AF1236" s="5">
        <v>0.61648528531091051</v>
      </c>
    </row>
    <row r="1237" spans="23:32" x14ac:dyDescent="0.25">
      <c r="W1237">
        <v>74.400000000000006</v>
      </c>
      <c r="X1237" s="5">
        <v>75.872505360380686</v>
      </c>
      <c r="Y1237" s="5">
        <v>-1.4725053603806799</v>
      </c>
      <c r="Z1237" s="5">
        <v>-1.4769163760110047</v>
      </c>
      <c r="AA1237" s="18">
        <v>2.9866387169712244E-3</v>
      </c>
      <c r="AB1237" s="5">
        <v>-0.41011748643798468</v>
      </c>
      <c r="AC1237" s="4">
        <v>2.6518239293550391E-5</v>
      </c>
      <c r="AE1237" s="5">
        <v>0.67020216077934069</v>
      </c>
      <c r="AF1237" s="5">
        <v>0.61912904110751898</v>
      </c>
    </row>
    <row r="1238" spans="23:32" x14ac:dyDescent="0.25">
      <c r="W1238">
        <v>74.3</v>
      </c>
      <c r="X1238" s="5">
        <v>75.671271171781356</v>
      </c>
      <c r="Y1238" s="5">
        <v>-1.371271171781359</v>
      </c>
      <c r="Z1238" s="5">
        <v>-1.3763865616121933</v>
      </c>
      <c r="AA1238" s="18">
        <v>3.7165357273180738E-3</v>
      </c>
      <c r="AB1238" s="5">
        <v>-0.38206194002394422</v>
      </c>
      <c r="AC1238" s="4">
        <v>2.8659548356354205E-5</v>
      </c>
      <c r="AE1238" s="5">
        <v>0.67020216077934069</v>
      </c>
      <c r="AF1238" s="5">
        <v>0.62022762094856909</v>
      </c>
    </row>
    <row r="1239" spans="23:32" x14ac:dyDescent="0.25">
      <c r="W1239">
        <v>73.400000000000006</v>
      </c>
      <c r="X1239" s="5">
        <v>76.124698703718863</v>
      </c>
      <c r="Y1239" s="5">
        <v>-2.7246987037188575</v>
      </c>
      <c r="Z1239" s="5">
        <v>-2.7317213790195467</v>
      </c>
      <c r="AA1239" s="18">
        <v>2.570787546132765E-3</v>
      </c>
      <c r="AB1239" s="5">
        <v>-0.75871616148820575</v>
      </c>
      <c r="AC1239" s="4">
        <v>7.8088876243029607E-5</v>
      </c>
      <c r="AE1239" s="5">
        <v>0.67020216077934069</v>
      </c>
      <c r="AF1239" s="5">
        <v>0.63156936530513053</v>
      </c>
    </row>
    <row r="1240" spans="23:32" x14ac:dyDescent="0.25">
      <c r="W1240">
        <v>73.099999999999994</v>
      </c>
      <c r="X1240" s="5">
        <v>75.047335290440856</v>
      </c>
      <c r="Y1240" s="5">
        <v>-1.9473352904408614</v>
      </c>
      <c r="Z1240" s="5">
        <v>-1.9544412557745403</v>
      </c>
      <c r="AA1240" s="18">
        <v>3.6358039990596167E-3</v>
      </c>
      <c r="AB1240" s="5">
        <v>-0.54254225695123626</v>
      </c>
      <c r="AC1240" s="4">
        <v>5.6532200231897191E-5</v>
      </c>
      <c r="AE1240" s="5">
        <v>0.67020216077934069</v>
      </c>
      <c r="AF1240" s="5">
        <v>0.63364028439445497</v>
      </c>
    </row>
    <row r="1241" spans="23:32" x14ac:dyDescent="0.25">
      <c r="W1241">
        <v>73.099999999999994</v>
      </c>
      <c r="X1241" s="5">
        <v>74.183964692318682</v>
      </c>
      <c r="Y1241" s="5">
        <v>-1.0839646923186876</v>
      </c>
      <c r="Z1241" s="5">
        <v>-1.0889618499757461</v>
      </c>
      <c r="AA1241" s="18">
        <v>4.5889189388738233E-3</v>
      </c>
      <c r="AB1241" s="5">
        <v>-0.30214526488004373</v>
      </c>
      <c r="AC1241" s="4">
        <v>2.2150620635512526E-5</v>
      </c>
      <c r="AE1241" s="5">
        <v>0.67020216077934069</v>
      </c>
      <c r="AF1241" s="5">
        <v>0.63656720627355501</v>
      </c>
    </row>
    <row r="1242" spans="23:32" x14ac:dyDescent="0.25">
      <c r="W1242">
        <v>72.900000000000006</v>
      </c>
      <c r="X1242" s="5">
        <v>74.122734147235732</v>
      </c>
      <c r="Y1242" s="5">
        <v>-1.2227341472357267</v>
      </c>
      <c r="Z1242" s="5">
        <v>-1.2265842298272389</v>
      </c>
      <c r="AA1242" s="18">
        <v>3.1388652306886581E-3</v>
      </c>
      <c r="AB1242" s="5">
        <v>-0.3405780076378363</v>
      </c>
      <c r="AC1242" s="4">
        <v>1.9222842397566156E-5</v>
      </c>
      <c r="AE1242" s="5">
        <v>0.67020216077934069</v>
      </c>
      <c r="AF1242" s="5">
        <v>0.6378576257603491</v>
      </c>
    </row>
    <row r="1243" spans="23:32" x14ac:dyDescent="0.25">
      <c r="W1243">
        <v>72.5</v>
      </c>
      <c r="X1243" s="5">
        <v>73.531173908089812</v>
      </c>
      <c r="Y1243" s="5">
        <v>-1.0311739080898121</v>
      </c>
      <c r="Z1243" s="5">
        <v>-1.0334403678944142</v>
      </c>
      <c r="AA1243" s="18">
        <v>2.1931210305000427E-3</v>
      </c>
      <c r="AB1243" s="5">
        <v>-0.28708503895050974</v>
      </c>
      <c r="AC1243" s="4">
        <v>9.5341861203559543E-6</v>
      </c>
      <c r="AE1243" s="5">
        <v>0.67020216077934069</v>
      </c>
      <c r="AF1243" s="5">
        <v>0.63863314202671484</v>
      </c>
    </row>
    <row r="1244" spans="23:32" x14ac:dyDescent="0.25">
      <c r="W1244">
        <v>71.900000000000006</v>
      </c>
      <c r="X1244" s="5">
        <v>73.038462216432592</v>
      </c>
      <c r="Y1244" s="5">
        <v>-1.1384622164325862</v>
      </c>
      <c r="Z1244" s="5">
        <v>-1.1410162300932711</v>
      </c>
      <c r="AA1244" s="18">
        <v>2.2383675125118088E-3</v>
      </c>
      <c r="AB1244" s="5">
        <v>-0.31696193800623867</v>
      </c>
      <c r="AC1244" s="4">
        <v>1.1862199408126741E-5</v>
      </c>
      <c r="AE1244" s="5">
        <v>0.67020216077934069</v>
      </c>
      <c r="AF1244" s="5">
        <v>0.63877555300161049</v>
      </c>
    </row>
    <row r="1245" spans="23:32" x14ac:dyDescent="0.25">
      <c r="W1245">
        <v>71.7</v>
      </c>
      <c r="X1245" s="5">
        <v>72.333911360674634</v>
      </c>
      <c r="Y1245" s="5">
        <v>-0.63391136067463094</v>
      </c>
      <c r="Z1245" s="5">
        <v>-0.63605350216471379</v>
      </c>
      <c r="AA1245" s="18">
        <v>3.3678636825259746E-3</v>
      </c>
      <c r="AB1245" s="5">
        <v>-0.17658873009430254</v>
      </c>
      <c r="AC1245" s="4">
        <v>5.5461547570575852E-6</v>
      </c>
      <c r="AE1245" s="5">
        <v>0.67020216077934069</v>
      </c>
      <c r="AF1245" s="5">
        <v>0.63948058435979116</v>
      </c>
    </row>
    <row r="1246" spans="23:32" x14ac:dyDescent="0.25">
      <c r="W1246">
        <v>71.099999999999994</v>
      </c>
      <c r="X1246" s="5">
        <v>71.720390341528912</v>
      </c>
      <c r="Y1246" s="5">
        <v>-0.62039034152891759</v>
      </c>
      <c r="Z1246" s="5">
        <v>-0.62230459141937899</v>
      </c>
      <c r="AA1246" s="18">
        <v>3.0760658315066311E-3</v>
      </c>
      <c r="AB1246" s="5">
        <v>-0.17279688466531981</v>
      </c>
      <c r="AC1246" s="4">
        <v>4.8489959207795525E-6</v>
      </c>
      <c r="AE1246" s="5">
        <v>0.67020216077934069</v>
      </c>
      <c r="AF1246" s="5">
        <v>0.6396713505127426</v>
      </c>
    </row>
    <row r="1247" spans="23:32" x14ac:dyDescent="0.25">
      <c r="W1247">
        <v>77</v>
      </c>
      <c r="X1247" s="5">
        <v>70.83074199080275</v>
      </c>
      <c r="Y1247" s="5">
        <v>6.1692580091972502</v>
      </c>
      <c r="Z1247" s="5">
        <v>6.1956638368774861</v>
      </c>
      <c r="AA1247" s="18">
        <v>4.2619852166704379E-3</v>
      </c>
      <c r="AB1247" s="5">
        <v>1.7193420366707055</v>
      </c>
      <c r="AC1247" s="4">
        <v>6.6594415778393459E-4</v>
      </c>
      <c r="AE1247" s="5">
        <v>0.67020216077934069</v>
      </c>
      <c r="AF1247" s="5">
        <v>0.63973152280081691</v>
      </c>
    </row>
    <row r="1248" spans="23:32" x14ac:dyDescent="0.25">
      <c r="W1248">
        <v>78</v>
      </c>
      <c r="X1248" s="5">
        <v>70.520835277076614</v>
      </c>
      <c r="Y1248" s="5">
        <v>7.479164722923386</v>
      </c>
      <c r="Z1248" s="5">
        <v>7.5148565904040225</v>
      </c>
      <c r="AA1248" s="18">
        <v>4.749507465813531E-3</v>
      </c>
      <c r="AB1248" s="5">
        <v>2.0849170912718753</v>
      </c>
      <c r="AC1248" s="4">
        <v>1.0917926130282706E-3</v>
      </c>
      <c r="AE1248" s="5">
        <v>0.67020216077934069</v>
      </c>
      <c r="AF1248" s="5">
        <v>0.6429069513204575</v>
      </c>
    </row>
    <row r="1249" spans="23:32" x14ac:dyDescent="0.25">
      <c r="W1249">
        <v>77</v>
      </c>
      <c r="X1249" s="5">
        <v>70.28999430089064</v>
      </c>
      <c r="Y1249" s="5">
        <v>6.7100056991093595</v>
      </c>
      <c r="Z1249" s="5">
        <v>6.7460615152274954</v>
      </c>
      <c r="AA1249" s="18">
        <v>5.344720921495176E-3</v>
      </c>
      <c r="AB1249" s="5">
        <v>1.8710633191499484</v>
      </c>
      <c r="AC1249" s="4">
        <v>9.9009258922492442E-4</v>
      </c>
      <c r="AE1249" s="5">
        <v>0.67020216077934069</v>
      </c>
      <c r="AF1249" s="5">
        <v>0.64417716514417633</v>
      </c>
    </row>
    <row r="1250" spans="23:32" x14ac:dyDescent="0.25">
      <c r="W1250">
        <v>73</v>
      </c>
      <c r="X1250" s="5">
        <v>74.683599121183292</v>
      </c>
      <c r="Y1250" s="5">
        <v>-1.6835991211832919</v>
      </c>
      <c r="Z1250" s="5">
        <v>-1.6977022007497027</v>
      </c>
      <c r="AA1250" s="18">
        <v>8.3071574980514377E-3</v>
      </c>
      <c r="AB1250" s="5">
        <v>-0.47016683664416881</v>
      </c>
      <c r="AC1250" s="4">
        <v>9.7459830186866033E-5</v>
      </c>
      <c r="AE1250" s="5">
        <v>0.67020216077934069</v>
      </c>
      <c r="AF1250" s="5">
        <v>0.64527064329706174</v>
      </c>
    </row>
    <row r="1251" spans="23:32" x14ac:dyDescent="0.25">
      <c r="W1251">
        <v>70</v>
      </c>
      <c r="X1251" s="5">
        <v>74.472284854995976</v>
      </c>
      <c r="Y1251" s="5">
        <v>-4.4722848549959764</v>
      </c>
      <c r="Z1251" s="5">
        <v>-4.4935275856339842</v>
      </c>
      <c r="AA1251" s="18">
        <v>4.7274063045531023E-3</v>
      </c>
      <c r="AB1251" s="5">
        <v>-1.2466953125441684</v>
      </c>
      <c r="AC1251" s="4">
        <v>3.8855091583295465E-4</v>
      </c>
      <c r="AE1251" s="5">
        <v>0.67020216077934069</v>
      </c>
      <c r="AF1251" s="5">
        <v>0.64871346997292378</v>
      </c>
    </row>
    <row r="1252" spans="23:32" x14ac:dyDescent="0.25">
      <c r="W1252">
        <v>69.599999999999994</v>
      </c>
      <c r="X1252" s="5">
        <v>73.318600785372595</v>
      </c>
      <c r="Y1252" s="5">
        <v>-3.7186007853726011</v>
      </c>
      <c r="Z1252" s="5">
        <v>-3.767342584787329</v>
      </c>
      <c r="AA1252" s="18">
        <v>1.2937979044313239E-2</v>
      </c>
      <c r="AB1252" s="5">
        <v>-1.040900524763881</v>
      </c>
      <c r="AC1252" s="4">
        <v>7.4745810493001043E-4</v>
      </c>
      <c r="AE1252" s="5">
        <v>0.67020216077934069</v>
      </c>
      <c r="AF1252" s="5">
        <v>0.64969420737413075</v>
      </c>
    </row>
    <row r="1253" spans="23:32" x14ac:dyDescent="0.25">
      <c r="W1253">
        <v>69.400000000000006</v>
      </c>
      <c r="X1253" s="5">
        <v>72.781341214981765</v>
      </c>
      <c r="Y1253" s="5">
        <v>-3.3813412149817594</v>
      </c>
      <c r="Z1253" s="5">
        <v>-3.4214310093456533</v>
      </c>
      <c r="AA1253" s="18">
        <v>1.1717259314710234E-2</v>
      </c>
      <c r="AB1253" s="5">
        <v>-0.94591101856297222</v>
      </c>
      <c r="AC1253" s="4">
        <v>5.5833107287587246E-4</v>
      </c>
      <c r="AE1253" s="5">
        <v>0.67020216077934069</v>
      </c>
      <c r="AF1253" s="5">
        <v>0.65230994453938074</v>
      </c>
    </row>
    <row r="1254" spans="23:32" x14ac:dyDescent="0.25">
      <c r="W1254">
        <v>68.400000000000006</v>
      </c>
      <c r="X1254" s="5">
        <v>72.034323725857661</v>
      </c>
      <c r="Y1254" s="5">
        <v>-3.6343237258576551</v>
      </c>
      <c r="Z1254" s="5">
        <v>-3.6663459941053134</v>
      </c>
      <c r="AA1254" s="18">
        <v>8.7341097373637676E-3</v>
      </c>
      <c r="AB1254" s="5">
        <v>-1.0151504698030425</v>
      </c>
      <c r="AC1254" s="4">
        <v>4.7789855888096281E-4</v>
      </c>
      <c r="AE1254" s="5">
        <v>0.67020216077934069</v>
      </c>
      <c r="AF1254" s="5">
        <v>0.65458222525773579</v>
      </c>
    </row>
    <row r="1255" spans="23:32" x14ac:dyDescent="0.25">
      <c r="W1255">
        <v>68.2</v>
      </c>
      <c r="X1255" s="5">
        <v>72.246383638089853</v>
      </c>
      <c r="Y1255" s="5">
        <v>-4.0463836380898499</v>
      </c>
      <c r="Z1255" s="5">
        <v>-4.0901415341901242</v>
      </c>
      <c r="AA1255" s="18">
        <v>1.0698381885931172E-2</v>
      </c>
      <c r="AB1255" s="5">
        <v>-1.1313698160387984</v>
      </c>
      <c r="AC1255" s="4">
        <v>7.2852582574306035E-4</v>
      </c>
      <c r="AE1255" s="5">
        <v>0.67020216077934069</v>
      </c>
      <c r="AF1255" s="5">
        <v>0.65552797941796592</v>
      </c>
    </row>
    <row r="1256" spans="23:32" x14ac:dyDescent="0.25">
      <c r="W1256">
        <v>67.5</v>
      </c>
      <c r="X1256" s="5">
        <v>71.881923612098916</v>
      </c>
      <c r="Y1256" s="5">
        <v>-4.381923612098916</v>
      </c>
      <c r="Z1256" s="5">
        <v>-4.4272099621406085</v>
      </c>
      <c r="AA1256" s="18">
        <v>1.022909471856133E-2</v>
      </c>
      <c r="AB1256" s="5">
        <v>-1.2248963838681881</v>
      </c>
      <c r="AC1256" s="4">
        <v>8.1610797306007842E-4</v>
      </c>
      <c r="AE1256" s="5">
        <v>0.67020216077934069</v>
      </c>
      <c r="AF1256" s="5">
        <v>0.65558091362669402</v>
      </c>
    </row>
    <row r="1257" spans="23:32" x14ac:dyDescent="0.25">
      <c r="W1257">
        <v>67.3</v>
      </c>
      <c r="X1257" s="5">
        <v>71.281955539757348</v>
      </c>
      <c r="Y1257" s="5">
        <v>-3.9819555397573509</v>
      </c>
      <c r="Z1257" s="5">
        <v>-4.0078545972531714</v>
      </c>
      <c r="AA1257" s="18">
        <v>6.4620751245757554E-3</v>
      </c>
      <c r="AB1257" s="5">
        <v>-1.1109795725175484</v>
      </c>
      <c r="AC1257" s="4">
        <v>4.2251886018522202E-4</v>
      </c>
      <c r="AE1257" s="5">
        <v>0.70876261491573156</v>
      </c>
      <c r="AF1257" s="5">
        <v>0.65558919763902723</v>
      </c>
    </row>
    <row r="1258" spans="23:32" x14ac:dyDescent="0.25">
      <c r="W1258">
        <v>66.400000000000006</v>
      </c>
      <c r="X1258" s="5">
        <v>75.925249868355337</v>
      </c>
      <c r="Y1258" s="5">
        <v>-9.5252498683553313</v>
      </c>
      <c r="Z1258" s="5">
        <v>-9.5824438362385678</v>
      </c>
      <c r="AA1258" s="18">
        <v>5.9686202038507366E-3</v>
      </c>
      <c r="AB1258" s="5">
        <v>-2.656918431023767</v>
      </c>
      <c r="AC1258" s="4">
        <v>2.2308824770553839E-3</v>
      </c>
      <c r="AE1258" s="5">
        <v>0.70876261491573156</v>
      </c>
      <c r="AF1258" s="5">
        <v>0.65587364552537264</v>
      </c>
    </row>
    <row r="1259" spans="23:32" x14ac:dyDescent="0.25">
      <c r="W1259">
        <v>65</v>
      </c>
      <c r="X1259" s="5">
        <v>70.609555070748144</v>
      </c>
      <c r="Y1259" s="5">
        <v>-5.6095550707481436</v>
      </c>
      <c r="Z1259" s="5">
        <v>-5.6669911721594275</v>
      </c>
      <c r="AA1259" s="18">
        <v>1.0135202202792785E-2</v>
      </c>
      <c r="AB1259" s="5">
        <v>-1.5679866755780101</v>
      </c>
      <c r="AC1259" s="4">
        <v>1.3249139486173052E-3</v>
      </c>
      <c r="AE1259" s="5">
        <v>0.70876261491573156</v>
      </c>
      <c r="AF1259" s="5">
        <v>0.65839144019968798</v>
      </c>
    </row>
    <row r="1260" spans="23:32" x14ac:dyDescent="0.25">
      <c r="W1260">
        <v>64.900000000000006</v>
      </c>
      <c r="X1260" s="5">
        <v>70.349377420975017</v>
      </c>
      <c r="Y1260" s="5">
        <v>-5.4493774209750114</v>
      </c>
      <c r="Z1260" s="5">
        <v>-5.4876992551317301</v>
      </c>
      <c r="AA1260" s="18">
        <v>6.9832241846857395E-3</v>
      </c>
      <c r="AB1260" s="5">
        <v>-1.5207943381606877</v>
      </c>
      <c r="AC1260" s="4">
        <v>8.5602563833752981E-4</v>
      </c>
      <c r="AE1260" s="5">
        <v>0.70876261491573156</v>
      </c>
      <c r="AF1260" s="5">
        <v>0.65942880041164964</v>
      </c>
    </row>
    <row r="1261" spans="23:32" x14ac:dyDescent="0.25">
      <c r="W1261">
        <v>64.599999999999994</v>
      </c>
      <c r="X1261" s="5">
        <v>69.940644246783677</v>
      </c>
      <c r="Y1261" s="5">
        <v>-5.3406442467836825</v>
      </c>
      <c r="Z1261" s="5">
        <v>-5.3952442606211264</v>
      </c>
      <c r="AA1261" s="18">
        <v>1.012002630463898E-2</v>
      </c>
      <c r="AB1261" s="5">
        <v>-1.492809094579884</v>
      </c>
      <c r="AC1261" s="4">
        <v>1.199096255493853E-3</v>
      </c>
      <c r="AE1261" s="5">
        <v>0.71660092108895201</v>
      </c>
      <c r="AF1261" s="5">
        <v>0.66219986158014976</v>
      </c>
    </row>
    <row r="1262" spans="23:32" x14ac:dyDescent="0.25">
      <c r="W1262">
        <v>64.8</v>
      </c>
      <c r="X1262" s="5">
        <v>69.80321411399774</v>
      </c>
      <c r="Y1262" s="5">
        <v>-5.0032141139977426</v>
      </c>
      <c r="Z1262" s="5">
        <v>-5.0341502736477537</v>
      </c>
      <c r="AA1262" s="18">
        <v>6.1452594714857161E-3</v>
      </c>
      <c r="AB1262" s="5">
        <v>-1.3956917906660498</v>
      </c>
      <c r="AC1262" s="4">
        <v>6.33932121819569E-4</v>
      </c>
      <c r="AE1262" s="5">
        <v>0.71660092108895201</v>
      </c>
      <c r="AF1262" s="5">
        <v>0.66255140753818997</v>
      </c>
    </row>
    <row r="1263" spans="23:32" x14ac:dyDescent="0.25">
      <c r="W1263">
        <v>65.099999999999994</v>
      </c>
      <c r="X1263" s="5">
        <v>74.162255737832496</v>
      </c>
      <c r="Y1263" s="5">
        <v>-9.0622557378325013</v>
      </c>
      <c r="Z1263" s="5">
        <v>-9.1356966172486551</v>
      </c>
      <c r="AA1263" s="18">
        <v>8.0388921056658742E-3</v>
      </c>
      <c r="AB1263" s="5">
        <v>-2.5304099296411859</v>
      </c>
      <c r="AC1263" s="4">
        <v>2.7310504331154806E-3</v>
      </c>
      <c r="AE1263" s="5">
        <v>0.71660092108895201</v>
      </c>
      <c r="AF1263" s="5">
        <v>0.66412916682642342</v>
      </c>
    </row>
    <row r="1264" spans="23:32" x14ac:dyDescent="0.25">
      <c r="W1264">
        <v>65.7</v>
      </c>
      <c r="X1264" s="5">
        <v>68.968155825409212</v>
      </c>
      <c r="Y1264" s="5">
        <v>-3.2681558254092096</v>
      </c>
      <c r="Z1264" s="5">
        <v>-3.2923411488101522</v>
      </c>
      <c r="AA1264" s="18">
        <v>7.3459347946625633E-3</v>
      </c>
      <c r="AB1264" s="5">
        <v>-0.91223280198918155</v>
      </c>
      <c r="AC1264" s="4">
        <v>3.2412080706980092E-4</v>
      </c>
      <c r="AE1264" s="5">
        <v>0.71660092108895201</v>
      </c>
      <c r="AF1264" s="5">
        <v>0.66494608006355427</v>
      </c>
    </row>
    <row r="1265" spans="23:32" x14ac:dyDescent="0.25">
      <c r="W1265">
        <v>65.2</v>
      </c>
      <c r="X1265" s="5">
        <v>65.278136255088384</v>
      </c>
      <c r="Y1265" s="5">
        <v>-7.813625508838129E-2</v>
      </c>
      <c r="Z1265" s="5">
        <v>-7.8591516293826658E-2</v>
      </c>
      <c r="AA1265" s="18">
        <v>5.792752537612576E-3</v>
      </c>
      <c r="AB1265" s="5">
        <v>-2.1792949975999985E-2</v>
      </c>
      <c r="AC1265" s="4">
        <v>1.4564195313861037E-7</v>
      </c>
      <c r="AE1265" s="5">
        <v>0.71660092108895201</v>
      </c>
      <c r="AF1265" s="5">
        <v>0.66540263054870308</v>
      </c>
    </row>
    <row r="1266" spans="23:32" x14ac:dyDescent="0.25">
      <c r="W1266">
        <v>64.599999999999994</v>
      </c>
      <c r="X1266" s="5">
        <v>65.318914358731803</v>
      </c>
      <c r="Y1266" s="5">
        <v>-0.71891435873180853</v>
      </c>
      <c r="Z1266" s="5">
        <v>-0.72153349621466134</v>
      </c>
      <c r="AA1266" s="18">
        <v>3.6299596575737857E-3</v>
      </c>
      <c r="AB1266" s="5">
        <v>-0.20029435954556174</v>
      </c>
      <c r="AC1266" s="4">
        <v>7.6924552041703004E-6</v>
      </c>
      <c r="AE1266" s="5">
        <v>0.71660092108895201</v>
      </c>
      <c r="AF1266" s="5">
        <v>0.66607385092146154</v>
      </c>
    </row>
    <row r="1267" spans="23:32" x14ac:dyDescent="0.25">
      <c r="W1267">
        <v>63.8</v>
      </c>
      <c r="X1267" s="5">
        <v>63.97713818677034</v>
      </c>
      <c r="Y1267" s="5">
        <v>-0.17713818677034254</v>
      </c>
      <c r="Z1267" s="5">
        <v>-0.17806188857372973</v>
      </c>
      <c r="AA1267" s="18">
        <v>5.1875323281583459E-3</v>
      </c>
      <c r="AB1267" s="5">
        <v>-4.9390506154422177E-2</v>
      </c>
      <c r="AC1267" s="4">
        <v>6.695036505883293E-7</v>
      </c>
      <c r="AE1267" s="5">
        <v>0.72844171022016913</v>
      </c>
      <c r="AF1267" s="5">
        <v>0.66663920122297748</v>
      </c>
    </row>
    <row r="1268" spans="23:32" x14ac:dyDescent="0.25">
      <c r="W1268">
        <v>62.8</v>
      </c>
      <c r="X1268" s="5">
        <v>67.003481449644397</v>
      </c>
      <c r="Y1268" s="5">
        <v>-4.2034814496444</v>
      </c>
      <c r="Z1268" s="5">
        <v>-4.2365831052394896</v>
      </c>
      <c r="AA1268" s="18">
        <v>7.8132907517252988E-3</v>
      </c>
      <c r="AB1268" s="5">
        <v>-1.1735843902424459</v>
      </c>
      <c r="AC1268" s="4">
        <v>5.7084161787997537E-4</v>
      </c>
      <c r="AE1268" s="5">
        <v>0.72844171022016913</v>
      </c>
      <c r="AF1268" s="5">
        <v>0.66712346348092766</v>
      </c>
    </row>
    <row r="1269" spans="23:32" x14ac:dyDescent="0.25">
      <c r="W1269">
        <v>61</v>
      </c>
      <c r="X1269" s="5">
        <v>62.354493138180182</v>
      </c>
      <c r="Y1269" s="5">
        <v>-1.3544931381801817</v>
      </c>
      <c r="Z1269" s="5">
        <v>-1.3603126489813135</v>
      </c>
      <c r="AA1269" s="18">
        <v>4.2780685789318828E-3</v>
      </c>
      <c r="AB1269" s="5">
        <v>-0.3774936622094146</v>
      </c>
      <c r="AC1269" s="4">
        <v>3.2223699401361973E-5</v>
      </c>
      <c r="AE1269" s="5">
        <v>0.72844171022016913</v>
      </c>
      <c r="AF1269" s="5">
        <v>0.66825744460324377</v>
      </c>
    </row>
    <row r="1270" spans="23:32" x14ac:dyDescent="0.25">
      <c r="W1270">
        <v>68</v>
      </c>
      <c r="X1270" s="5">
        <v>62.102464271495663</v>
      </c>
      <c r="Y1270" s="5">
        <v>5.8975357285043373</v>
      </c>
      <c r="Z1270" s="5">
        <v>5.9215251586297555</v>
      </c>
      <c r="AA1270" s="18">
        <v>4.0512248927044494E-3</v>
      </c>
      <c r="AB1270" s="5">
        <v>1.6434404477941205</v>
      </c>
      <c r="AC1270" s="4">
        <v>5.7823409084158768E-4</v>
      </c>
      <c r="AE1270" s="5">
        <v>0.72844171022016913</v>
      </c>
      <c r="AF1270" s="5">
        <v>0.66955912216534763</v>
      </c>
    </row>
    <row r="1271" spans="23:32" x14ac:dyDescent="0.25">
      <c r="W1271">
        <v>59.6</v>
      </c>
      <c r="X1271" s="5">
        <v>60.988222379874486</v>
      </c>
      <c r="Y1271" s="5">
        <v>-1.3882223798744846</v>
      </c>
      <c r="Z1271" s="5">
        <v>-1.3951081618399641</v>
      </c>
      <c r="AA1271" s="18">
        <v>4.9356617313464357E-3</v>
      </c>
      <c r="AB1271" s="5">
        <v>-0.38702173209259888</v>
      </c>
      <c r="AC1271" s="4">
        <v>3.9103112639821381E-5</v>
      </c>
      <c r="AE1271" s="5">
        <v>0.72844171022016913</v>
      </c>
      <c r="AF1271" s="5">
        <v>0.67016914744757528</v>
      </c>
    </row>
    <row r="1272" spans="23:32" x14ac:dyDescent="0.25">
      <c r="W1272">
        <v>57.6</v>
      </c>
      <c r="X1272" s="5">
        <v>58.352208423237762</v>
      </c>
      <c r="Y1272" s="5">
        <v>-0.75220842323776083</v>
      </c>
      <c r="Z1272" s="5">
        <v>-0.75805567362559856</v>
      </c>
      <c r="AA1272" s="18">
        <v>7.7134841031787221E-3</v>
      </c>
      <c r="AB1272" s="5">
        <v>-0.21000108530763542</v>
      </c>
      <c r="AC1272" s="4">
        <v>1.8042760174870982E-5</v>
      </c>
      <c r="AE1272" s="5">
        <v>0.72844171022016913</v>
      </c>
      <c r="AF1272" s="5">
        <v>0.67289128011378707</v>
      </c>
    </row>
    <row r="1273" spans="23:32" x14ac:dyDescent="0.25">
      <c r="W1273">
        <v>55.3</v>
      </c>
      <c r="X1273" s="5">
        <v>62.511328249307653</v>
      </c>
      <c r="Y1273" s="5">
        <v>-7.2113282493076554</v>
      </c>
      <c r="Z1273" s="5">
        <v>-7.2811431357308223</v>
      </c>
      <c r="AA1273" s="18">
        <v>9.5884513079499724E-3</v>
      </c>
      <c r="AB1273" s="5">
        <v>-2.0151589528139895</v>
      </c>
      <c r="AC1273" s="4">
        <v>2.0691776896665094E-3</v>
      </c>
      <c r="AE1273" s="5">
        <v>0.72844171022016913</v>
      </c>
      <c r="AF1273" s="5">
        <v>0.67430078733309573</v>
      </c>
    </row>
    <row r="1274" spans="23:32" x14ac:dyDescent="0.25">
      <c r="W1274">
        <v>53.4</v>
      </c>
      <c r="X1274" s="5">
        <v>55.218817786322866</v>
      </c>
      <c r="Y1274" s="5">
        <v>-1.8188177863228674</v>
      </c>
      <c r="Z1274" s="5">
        <v>-1.8290725096299312</v>
      </c>
      <c r="AA1274" s="18">
        <v>5.6065154623835579E-3</v>
      </c>
      <c r="AB1274" s="5">
        <v>-0.50723819597918152</v>
      </c>
      <c r="AC1274" s="4">
        <v>7.6349298624408429E-5</v>
      </c>
      <c r="AE1274" s="5">
        <v>0.72844171022016913</v>
      </c>
      <c r="AF1274" s="5">
        <v>0.67492588899703188</v>
      </c>
    </row>
    <row r="1275" spans="23:32" x14ac:dyDescent="0.25">
      <c r="W1275">
        <v>52</v>
      </c>
      <c r="X1275" s="5">
        <v>60.396597025217069</v>
      </c>
      <c r="Y1275" s="5">
        <v>-8.3965970252170692</v>
      </c>
      <c r="Z1275" s="5">
        <v>-8.4909982820763545</v>
      </c>
      <c r="AA1275" s="18">
        <v>1.1117804258488375E-2</v>
      </c>
      <c r="AB1275" s="5">
        <v>-2.3481883207284375</v>
      </c>
      <c r="AC1275" s="4">
        <v>3.2627718907589677E-3</v>
      </c>
      <c r="AE1275" s="5">
        <v>0.72844171022016913</v>
      </c>
      <c r="AF1275" s="5">
        <v>0.67579102341876796</v>
      </c>
    </row>
    <row r="1276" spans="23:32" x14ac:dyDescent="0.25">
      <c r="W1276">
        <v>57</v>
      </c>
      <c r="X1276" s="5">
        <v>53.200633508659251</v>
      </c>
      <c r="Y1276" s="5">
        <v>3.7993664913407486</v>
      </c>
      <c r="Z1276" s="5">
        <v>3.8295333678060075</v>
      </c>
      <c r="AA1276" s="18">
        <v>7.8774288060430887E-3</v>
      </c>
      <c r="AB1276" s="5">
        <v>1.0607924372550053</v>
      </c>
      <c r="AC1276" s="4">
        <v>4.7024738097227377E-4</v>
      </c>
      <c r="AE1276" s="5">
        <v>0.72844171022016913</v>
      </c>
      <c r="AF1276" s="5">
        <v>0.67652364999967007</v>
      </c>
    </row>
    <row r="1277" spans="23:32" x14ac:dyDescent="0.25">
      <c r="W1277">
        <v>73.8</v>
      </c>
      <c r="X1277" s="5">
        <v>73.706122372018697</v>
      </c>
      <c r="Y1277" s="5">
        <v>9.3877627981299838E-2</v>
      </c>
      <c r="Z1277" s="5">
        <v>9.4502183797430916E-2</v>
      </c>
      <c r="AA1277" s="18">
        <v>6.608903530432521E-3</v>
      </c>
      <c r="AB1277" s="5">
        <v>2.6194123323146204E-2</v>
      </c>
      <c r="AC1277" s="4">
        <v>2.4024993792681819E-7</v>
      </c>
      <c r="AE1277" s="5">
        <v>0.74840704313415274</v>
      </c>
      <c r="AF1277" s="5">
        <v>0.67777869156900239</v>
      </c>
    </row>
    <row r="1278" spans="23:32" x14ac:dyDescent="0.25">
      <c r="W1278">
        <v>73.599999999999994</v>
      </c>
      <c r="X1278" s="5">
        <v>73.987128984804627</v>
      </c>
      <c r="Y1278" s="5">
        <v>-0.38712898480463309</v>
      </c>
      <c r="Z1278" s="5">
        <v>-0.39182766768179533</v>
      </c>
      <c r="AA1278" s="18">
        <v>1.1991707744789746E-2</v>
      </c>
      <c r="AB1278" s="5">
        <v>-0.10831217717756166</v>
      </c>
      <c r="AC1278" s="4">
        <v>7.4941333451609542E-6</v>
      </c>
      <c r="AE1278" s="5">
        <v>0.74840704313415274</v>
      </c>
      <c r="AF1278" s="5">
        <v>0.68054661634584634</v>
      </c>
    </row>
    <row r="1279" spans="23:32" x14ac:dyDescent="0.25">
      <c r="W1279">
        <v>73.2</v>
      </c>
      <c r="X1279" s="5">
        <v>73.288476310859707</v>
      </c>
      <c r="Y1279" s="5">
        <v>-8.8476310859704199E-2</v>
      </c>
      <c r="Z1279" s="5">
        <v>-8.9011908199793766E-2</v>
      </c>
      <c r="AA1279" s="18">
        <v>6.0171425477208145E-3</v>
      </c>
      <c r="AB1279" s="5">
        <v>-2.4679675800073325E-2</v>
      </c>
      <c r="AC1279" s="4">
        <v>1.9406030314992017E-7</v>
      </c>
      <c r="AE1279" s="5">
        <v>0.74840704313415274</v>
      </c>
      <c r="AF1279" s="5">
        <v>0.68560104224500362</v>
      </c>
    </row>
    <row r="1280" spans="23:32" x14ac:dyDescent="0.25">
      <c r="W1280">
        <v>73</v>
      </c>
      <c r="X1280" s="5">
        <v>72.733688340079738</v>
      </c>
      <c r="Y1280" s="5">
        <v>0.2663116599202624</v>
      </c>
      <c r="Z1280" s="5">
        <v>0.26990029172340257</v>
      </c>
      <c r="AA1280" s="18">
        <v>1.3296139030574387E-2</v>
      </c>
      <c r="AB1280" s="5">
        <v>7.4558757074830243E-2</v>
      </c>
      <c r="AC1280" s="4">
        <v>3.9425974635492542E-6</v>
      </c>
      <c r="AE1280" s="5">
        <v>0.74840704313415274</v>
      </c>
      <c r="AF1280" s="5">
        <v>0.68739247978548379</v>
      </c>
    </row>
    <row r="1281" spans="23:32" x14ac:dyDescent="0.25">
      <c r="W1281">
        <v>72.599999999999994</v>
      </c>
      <c r="X1281" s="5">
        <v>72.855079512109157</v>
      </c>
      <c r="Y1281" s="5">
        <v>-0.25507951210916247</v>
      </c>
      <c r="Z1281" s="5">
        <v>-0.25628606938511211</v>
      </c>
      <c r="AA1281" s="18">
        <v>4.7078535280921183E-3</v>
      </c>
      <c r="AB1281" s="5">
        <v>-7.1105334008832302E-2</v>
      </c>
      <c r="AC1281" s="4">
        <v>1.2587025903796649E-6</v>
      </c>
      <c r="AE1281" s="5">
        <v>0.74840704313415274</v>
      </c>
      <c r="AF1281" s="5">
        <v>0.69797807853550775</v>
      </c>
    </row>
    <row r="1282" spans="23:32" x14ac:dyDescent="0.25">
      <c r="W1282">
        <v>76</v>
      </c>
      <c r="X1282" s="5">
        <v>71.958408946073817</v>
      </c>
      <c r="Y1282" s="5">
        <v>4.041591053926183</v>
      </c>
      <c r="Z1282" s="5">
        <v>4.068435214432057</v>
      </c>
      <c r="AA1282" s="18">
        <v>6.5981536121411406E-3</v>
      </c>
      <c r="AB1282" s="5">
        <v>1.1276953195204322</v>
      </c>
      <c r="AC1282" s="4">
        <v>4.44556960207613E-4</v>
      </c>
      <c r="AE1282" s="5">
        <v>0.74840704313415274</v>
      </c>
      <c r="AF1282" s="5">
        <v>0.69860869344198684</v>
      </c>
    </row>
    <row r="1283" spans="23:32" x14ac:dyDescent="0.25">
      <c r="W1283">
        <v>72.5</v>
      </c>
      <c r="X1283" s="5">
        <v>72.139057645739612</v>
      </c>
      <c r="Y1283" s="5">
        <v>0.36094235426038779</v>
      </c>
      <c r="Z1283" s="5">
        <v>0.36470353942922884</v>
      </c>
      <c r="AA1283" s="18">
        <v>1.031299332802855E-2</v>
      </c>
      <c r="AB1283" s="5">
        <v>0.10089991588709231</v>
      </c>
      <c r="AC1283" s="4">
        <v>5.5836074192934835E-6</v>
      </c>
      <c r="AE1283" s="5">
        <v>0.74840704313415274</v>
      </c>
      <c r="AF1283" s="5">
        <v>0.70026947405379514</v>
      </c>
    </row>
    <row r="1284" spans="23:32" x14ac:dyDescent="0.25">
      <c r="W1284">
        <v>72.2</v>
      </c>
      <c r="X1284" s="5">
        <v>70.126205345072819</v>
      </c>
      <c r="Y1284" s="5">
        <v>2.073794654927184</v>
      </c>
      <c r="Z1284" s="5">
        <v>2.0931739876590854</v>
      </c>
      <c r="AA1284" s="18">
        <v>9.2583477752720099E-3</v>
      </c>
      <c r="AB1284" s="5">
        <v>0.5794119282117175</v>
      </c>
      <c r="AC1284" s="4">
        <v>1.6511796632286686E-4</v>
      </c>
      <c r="AE1284" s="5">
        <v>0.74840704313415274</v>
      </c>
      <c r="AF1284" s="5">
        <v>0.70279544690154172</v>
      </c>
    </row>
    <row r="1285" spans="23:32" x14ac:dyDescent="0.25">
      <c r="W1285">
        <v>72</v>
      </c>
      <c r="X1285" s="5">
        <v>69.548966533961107</v>
      </c>
      <c r="Y1285" s="5">
        <v>2.4510334660388935</v>
      </c>
      <c r="Z1285" s="5">
        <v>2.4796473089716073</v>
      </c>
      <c r="AA1285" s="18">
        <v>1.1539480969406459E-2</v>
      </c>
      <c r="AB1285" s="5">
        <v>0.68560104224500362</v>
      </c>
      <c r="AC1285" s="4">
        <v>2.8881269900327057E-4</v>
      </c>
      <c r="AE1285" s="5">
        <v>0.74840704313415274</v>
      </c>
      <c r="AF1285" s="5">
        <v>0.70334409362690486</v>
      </c>
    </row>
    <row r="1286" spans="23:32" x14ac:dyDescent="0.25">
      <c r="W1286">
        <v>71.599999999999994</v>
      </c>
      <c r="X1286" s="5">
        <v>74.159768581738192</v>
      </c>
      <c r="Y1286" s="5">
        <v>-2.5597685817381972</v>
      </c>
      <c r="Z1286" s="5">
        <v>-2.5765149117071786</v>
      </c>
      <c r="AA1286" s="18">
        <v>6.499605297406826E-3</v>
      </c>
      <c r="AB1286" s="5">
        <v>-0.71419790854143772</v>
      </c>
      <c r="AC1286" s="4">
        <v>1.756315310138628E-4</v>
      </c>
      <c r="AE1286" s="5">
        <v>0.74840704313415274</v>
      </c>
      <c r="AF1286" s="5">
        <v>0.70413537320773678</v>
      </c>
    </row>
    <row r="1287" spans="23:32" x14ac:dyDescent="0.25">
      <c r="W1287">
        <v>71.400000000000006</v>
      </c>
      <c r="X1287" s="5">
        <v>71.223787287491149</v>
      </c>
      <c r="Y1287" s="5">
        <v>0.17621271250885684</v>
      </c>
      <c r="Z1287" s="5">
        <v>0.17762547476006318</v>
      </c>
      <c r="AA1287" s="18">
        <v>7.9536015490546258E-3</v>
      </c>
      <c r="AB1287" s="5">
        <v>4.9200910057824718E-2</v>
      </c>
      <c r="AC1287" s="4">
        <v>1.0214674133720164E-6</v>
      </c>
      <c r="AE1287" s="5">
        <v>0.74840704313415274</v>
      </c>
      <c r="AF1287" s="5">
        <v>0.70597584587130169</v>
      </c>
    </row>
    <row r="1288" spans="23:32" x14ac:dyDescent="0.25">
      <c r="W1288">
        <v>79</v>
      </c>
      <c r="X1288" s="5">
        <v>71.46835176837439</v>
      </c>
      <c r="Y1288" s="5">
        <v>7.5316482316256099</v>
      </c>
      <c r="Z1288" s="5">
        <v>7.5576035320271018</v>
      </c>
      <c r="AA1288" s="18">
        <v>3.4343294526495496E-3</v>
      </c>
      <c r="AB1288" s="5">
        <v>2.0981617158295567</v>
      </c>
      <c r="AC1288" s="4">
        <v>7.9847320653487228E-4</v>
      </c>
      <c r="AE1288" s="5">
        <v>0.74840704313415274</v>
      </c>
      <c r="AF1288" s="5">
        <v>0.70603744442779914</v>
      </c>
    </row>
    <row r="1289" spans="23:32" x14ac:dyDescent="0.25">
      <c r="W1289">
        <v>76</v>
      </c>
      <c r="X1289" s="5">
        <v>71.339832975645848</v>
      </c>
      <c r="Y1289" s="5">
        <v>4.660167024354152</v>
      </c>
      <c r="Z1289" s="5">
        <v>4.6758524457964086</v>
      </c>
      <c r="AA1289" s="18">
        <v>3.354558687229647E-3</v>
      </c>
      <c r="AB1289" s="5">
        <v>1.2981743740602556</v>
      </c>
      <c r="AC1289" s="4">
        <v>2.9854319231906802E-4</v>
      </c>
      <c r="AE1289" s="5">
        <v>0.77276680816182786</v>
      </c>
      <c r="AF1289" s="5">
        <v>0.70624424773821337</v>
      </c>
    </row>
    <row r="1290" spans="23:32" x14ac:dyDescent="0.25">
      <c r="W1290">
        <v>75</v>
      </c>
      <c r="X1290" s="5">
        <v>71.072923030198069</v>
      </c>
      <c r="Y1290" s="5">
        <v>3.9270769698019308</v>
      </c>
      <c r="Z1290" s="5">
        <v>3.9400799428254629</v>
      </c>
      <c r="AA1290" s="18">
        <v>3.3001799994460696E-3</v>
      </c>
      <c r="AB1290" s="5">
        <v>1.0939289488019062</v>
      </c>
      <c r="AC1290" s="4">
        <v>2.0854408567443027E-4</v>
      </c>
      <c r="AE1290" s="5">
        <v>0.77276680816182786</v>
      </c>
      <c r="AF1290" s="5">
        <v>0.70988130063939303</v>
      </c>
    </row>
    <row r="1291" spans="23:32" x14ac:dyDescent="0.25">
      <c r="W1291">
        <v>72</v>
      </c>
      <c r="X1291" s="5">
        <v>73.911854406137039</v>
      </c>
      <c r="Y1291" s="5">
        <v>-1.9118544061370386</v>
      </c>
      <c r="Z1291" s="5">
        <v>-1.9200728040400037</v>
      </c>
      <c r="AA1291" s="18">
        <v>4.28025327251518E-3</v>
      </c>
      <c r="AB1291" s="5">
        <v>-0.53282936088017241</v>
      </c>
      <c r="AC1291" s="4">
        <v>6.4232532186340085E-5</v>
      </c>
      <c r="AE1291" s="5">
        <v>0.77276680816182786</v>
      </c>
      <c r="AF1291" s="5">
        <v>0.71048012759443047</v>
      </c>
    </row>
    <row r="1292" spans="23:32" x14ac:dyDescent="0.25">
      <c r="W1292">
        <v>67.3</v>
      </c>
      <c r="X1292" s="5">
        <v>67.374316305049476</v>
      </c>
      <c r="Y1292" s="5">
        <v>-7.4316305049478615E-2</v>
      </c>
      <c r="Z1292" s="5">
        <v>-7.4758589412311949E-2</v>
      </c>
      <c r="AA1292" s="18">
        <v>5.9161678451353852E-3</v>
      </c>
      <c r="AB1292" s="5">
        <v>-2.072881593993902E-2</v>
      </c>
      <c r="AC1292" s="4">
        <v>1.3459002252700774E-7</v>
      </c>
      <c r="AE1292" s="5">
        <v>0.77276680816182786</v>
      </c>
      <c r="AF1292" s="5">
        <v>0.71148261060986706</v>
      </c>
    </row>
    <row r="1293" spans="23:32" x14ac:dyDescent="0.25">
      <c r="W1293">
        <v>67.099999999999994</v>
      </c>
      <c r="X1293" s="5">
        <v>68.245368996346201</v>
      </c>
      <c r="Y1293" s="5">
        <v>-1.1453689963462068</v>
      </c>
      <c r="Z1293" s="5">
        <v>-1.1504922784612006</v>
      </c>
      <c r="AA1293" s="18">
        <v>4.4531216861796036E-3</v>
      </c>
      <c r="AB1293" s="5">
        <v>-0.31923937910407557</v>
      </c>
      <c r="AC1293" s="4">
        <v>2.3992867847073691E-5</v>
      </c>
      <c r="AE1293" s="5">
        <v>0.77276680816182786</v>
      </c>
      <c r="AF1293" s="5">
        <v>0.71404411326362149</v>
      </c>
    </row>
    <row r="1294" spans="23:32" x14ac:dyDescent="0.25">
      <c r="W1294">
        <v>66.900000000000006</v>
      </c>
      <c r="X1294" s="5">
        <v>67.604273598209929</v>
      </c>
      <c r="Y1294" s="5">
        <v>-0.70427359820992308</v>
      </c>
      <c r="Z1294" s="5">
        <v>-0.70664241330747757</v>
      </c>
      <c r="AA1294" s="18">
        <v>3.3522118867169879E-3</v>
      </c>
      <c r="AB1294" s="5">
        <v>-0.196188002775815</v>
      </c>
      <c r="AC1294" s="4">
        <v>6.8136692091786419E-6</v>
      </c>
      <c r="AE1294" s="5">
        <v>0.77276680816182786</v>
      </c>
      <c r="AF1294" s="5">
        <v>0.71444899490675129</v>
      </c>
    </row>
    <row r="1295" spans="23:32" x14ac:dyDescent="0.25">
      <c r="W1295">
        <v>66.599999999999994</v>
      </c>
      <c r="X1295" s="5">
        <v>66.693452727889664</v>
      </c>
      <c r="Y1295" s="5">
        <v>-9.3452727889669518E-2</v>
      </c>
      <c r="Z1295" s="5">
        <v>-9.3659524357988744E-2</v>
      </c>
      <c r="AA1295" s="18">
        <v>2.2079598389355176E-3</v>
      </c>
      <c r="AB1295" s="5">
        <v>-2.6017996876954358E-2</v>
      </c>
      <c r="AC1295" s="4">
        <v>7.883975174721879E-8</v>
      </c>
      <c r="AE1295" s="5">
        <v>0.77276680816182786</v>
      </c>
      <c r="AF1295" s="5">
        <v>0.71710944697893453</v>
      </c>
    </row>
    <row r="1296" spans="23:32" x14ac:dyDescent="0.25">
      <c r="W1296">
        <v>66.2</v>
      </c>
      <c r="X1296" s="5">
        <v>69.617913825740871</v>
      </c>
      <c r="Y1296" s="5">
        <v>-3.4179138257408681</v>
      </c>
      <c r="Z1296" s="5">
        <v>-3.4322419543295126</v>
      </c>
      <c r="AA1296" s="18">
        <v>4.1745683373417743E-3</v>
      </c>
      <c r="AB1296" s="5">
        <v>-0.95251405788862009</v>
      </c>
      <c r="AC1296" s="4">
        <v>2.0017855442513313E-4</v>
      </c>
      <c r="AE1296" s="5">
        <v>0.78719041678006285</v>
      </c>
      <c r="AF1296" s="5">
        <v>0.71769281222397541</v>
      </c>
    </row>
    <row r="1297" spans="23:32" x14ac:dyDescent="0.25">
      <c r="W1297">
        <v>65.8</v>
      </c>
      <c r="X1297" s="5">
        <v>69.096977505553411</v>
      </c>
      <c r="Y1297" s="5">
        <v>-3.2969775055534143</v>
      </c>
      <c r="Z1297" s="5">
        <v>-3.3111113226302535</v>
      </c>
      <c r="AA1297" s="18">
        <v>4.268602200186559E-3</v>
      </c>
      <c r="AB1297" s="5">
        <v>-0.91885456010998612</v>
      </c>
      <c r="AC1297" s="4">
        <v>1.904949342888434E-4</v>
      </c>
      <c r="AE1297" s="5">
        <v>0.78719041678006285</v>
      </c>
      <c r="AF1297" s="5">
        <v>0.71884430701936641</v>
      </c>
    </row>
    <row r="1298" spans="23:32" x14ac:dyDescent="0.25">
      <c r="W1298">
        <v>65.400000000000006</v>
      </c>
      <c r="X1298" s="5">
        <v>65.975280628820741</v>
      </c>
      <c r="Y1298" s="5">
        <v>-0.57528062882073527</v>
      </c>
      <c r="Z1298" s="5">
        <v>-0.57649255391987708</v>
      </c>
      <c r="AA1298" s="18">
        <v>2.1022389463606407E-3</v>
      </c>
      <c r="AB1298" s="5">
        <v>-0.16015430536466521</v>
      </c>
      <c r="AC1298" s="4">
        <v>2.8439349909284176E-6</v>
      </c>
      <c r="AE1298" s="5">
        <v>0.78719041678006285</v>
      </c>
      <c r="AF1298" s="5">
        <v>0.72076443441361404</v>
      </c>
    </row>
    <row r="1299" spans="23:32" x14ac:dyDescent="0.25">
      <c r="W1299">
        <v>65.099999999999994</v>
      </c>
      <c r="X1299" s="5">
        <v>65.823769091706325</v>
      </c>
      <c r="Y1299" s="5">
        <v>-0.72376909170633041</v>
      </c>
      <c r="Z1299" s="5">
        <v>-0.72549643037540079</v>
      </c>
      <c r="AA1299" s="18">
        <v>2.3809058139309994E-3</v>
      </c>
      <c r="AB1299" s="5">
        <v>-0.2015206466753606</v>
      </c>
      <c r="AC1299" s="4">
        <v>5.1010896713060504E-6</v>
      </c>
      <c r="AE1299" s="5">
        <v>0.78719041678006285</v>
      </c>
      <c r="AF1299" s="5">
        <v>0.72143150691079239</v>
      </c>
    </row>
    <row r="1300" spans="23:32" x14ac:dyDescent="0.25">
      <c r="W1300">
        <v>64.7</v>
      </c>
      <c r="X1300" s="5">
        <v>68.952260176134075</v>
      </c>
      <c r="Y1300" s="5">
        <v>-4.2522601761340724</v>
      </c>
      <c r="Z1300" s="5">
        <v>-4.2757825911126446</v>
      </c>
      <c r="AA1300" s="18">
        <v>5.5013122106494445E-3</v>
      </c>
      <c r="AB1300" s="5">
        <v>-1.1858223013071747</v>
      </c>
      <c r="AC1300" s="4">
        <v>4.093998740905595E-4</v>
      </c>
      <c r="AE1300" s="5">
        <v>0.78719041678006285</v>
      </c>
      <c r="AF1300" s="5">
        <v>0.72243836329235345</v>
      </c>
    </row>
    <row r="1301" spans="23:32" x14ac:dyDescent="0.25">
      <c r="W1301">
        <v>64.3</v>
      </c>
      <c r="X1301" s="5">
        <v>64.478934708318121</v>
      </c>
      <c r="Y1301" s="5">
        <v>-0.17893470831812408</v>
      </c>
      <c r="Z1301" s="5">
        <v>-0.17982183552912545</v>
      </c>
      <c r="AA1301" s="18">
        <v>4.9333675656823284E-3</v>
      </c>
      <c r="AB1301" s="5">
        <v>-4.988504861864989E-2</v>
      </c>
      <c r="AC1301" s="4">
        <v>6.4934949876647456E-7</v>
      </c>
      <c r="AE1301" s="5">
        <v>0.78719041678006285</v>
      </c>
      <c r="AF1301" s="5">
        <v>0.72303314344121616</v>
      </c>
    </row>
    <row r="1302" spans="23:32" x14ac:dyDescent="0.25">
      <c r="W1302">
        <v>63.8</v>
      </c>
      <c r="X1302" s="5">
        <v>65.347468270383899</v>
      </c>
      <c r="Y1302" s="5">
        <v>-1.5474682703839022</v>
      </c>
      <c r="Z1302" s="5">
        <v>-1.5731656396795302</v>
      </c>
      <c r="AA1302" s="18">
        <v>1.6334814750254653E-2</v>
      </c>
      <c r="AB1302" s="5">
        <v>-0.43391033492525694</v>
      </c>
      <c r="AC1302" s="4">
        <v>1.6455584029772624E-4</v>
      </c>
      <c r="AE1302" s="5">
        <v>0.78719041678006285</v>
      </c>
      <c r="AF1302" s="5">
        <v>0.72781212370276349</v>
      </c>
    </row>
    <row r="1303" spans="23:32" x14ac:dyDescent="0.25">
      <c r="W1303">
        <v>63.4</v>
      </c>
      <c r="X1303" s="5">
        <v>64.97405192323437</v>
      </c>
      <c r="Y1303" s="5">
        <v>-1.5740519232343715</v>
      </c>
      <c r="Z1303" s="5">
        <v>-1.5907637693308274</v>
      </c>
      <c r="AA1303" s="18">
        <v>1.0505548604169723E-2</v>
      </c>
      <c r="AB1303" s="5">
        <v>-0.44006240152794474</v>
      </c>
      <c r="AC1303" s="4">
        <v>1.082132152708503E-4</v>
      </c>
      <c r="AE1303" s="5">
        <v>0.80177968430189828</v>
      </c>
      <c r="AF1303" s="5">
        <v>0.73322818944917145</v>
      </c>
    </row>
    <row r="1304" spans="23:32" x14ac:dyDescent="0.25">
      <c r="W1304">
        <v>66.400000000000006</v>
      </c>
      <c r="X1304" s="5">
        <v>64.553345402814699</v>
      </c>
      <c r="Y1304" s="5">
        <v>1.8466545971853066</v>
      </c>
      <c r="Z1304" s="5">
        <v>1.8511962580296455</v>
      </c>
      <c r="AA1304" s="18">
        <v>2.4533653979932199E-3</v>
      </c>
      <c r="AB1304" s="5">
        <v>0.51418684261097791</v>
      </c>
      <c r="AC1304" s="4">
        <v>3.4222942358481313E-5</v>
      </c>
      <c r="AE1304" s="5">
        <v>0.80177968430189828</v>
      </c>
      <c r="AF1304" s="5">
        <v>0.73333180579374346</v>
      </c>
    </row>
    <row r="1305" spans="23:32" x14ac:dyDescent="0.25">
      <c r="W1305">
        <v>66</v>
      </c>
      <c r="X1305" s="5">
        <v>64.092665567841294</v>
      </c>
      <c r="Y1305" s="5">
        <v>1.9073344321587058</v>
      </c>
      <c r="Z1305" s="5">
        <v>1.9127842977255654</v>
      </c>
      <c r="AA1305" s="18">
        <v>2.8491793734056734E-3</v>
      </c>
      <c r="AB1305" s="5">
        <v>0.53118807319151484</v>
      </c>
      <c r="AC1305" s="4">
        <v>4.2432827331472614E-5</v>
      </c>
      <c r="AE1305" s="5">
        <v>0.80177968430189828</v>
      </c>
      <c r="AF1305" s="5">
        <v>0.73454828264296435</v>
      </c>
    </row>
    <row r="1306" spans="23:32" x14ac:dyDescent="0.25">
      <c r="W1306">
        <v>65.599999999999994</v>
      </c>
      <c r="X1306" s="5">
        <v>66.770758236212231</v>
      </c>
      <c r="Y1306" s="5">
        <v>-1.1707582362122366</v>
      </c>
      <c r="Z1306" s="5">
        <v>-1.1978639855979054</v>
      </c>
      <c r="AA1306" s="18">
        <v>2.2628403317544583E-2</v>
      </c>
      <c r="AB1306" s="5">
        <v>-0.32933603801089512</v>
      </c>
      <c r="AC1306" s="4">
        <v>1.321658060657112E-4</v>
      </c>
      <c r="AE1306" s="5">
        <v>0.80177968430189828</v>
      </c>
      <c r="AF1306" s="5">
        <v>0.73747455089315905</v>
      </c>
    </row>
    <row r="1307" spans="23:32" x14ac:dyDescent="0.25">
      <c r="W1307">
        <v>64.900000000000006</v>
      </c>
      <c r="X1307" s="5">
        <v>66.285543864238448</v>
      </c>
      <c r="Y1307" s="5">
        <v>-1.3855438642384428</v>
      </c>
      <c r="Z1307" s="5">
        <v>-1.3964958302131549</v>
      </c>
      <c r="AA1307" s="18">
        <v>7.8424623531032009E-3</v>
      </c>
      <c r="AB1307" s="5">
        <v>-0.38684042623294579</v>
      </c>
      <c r="AC1307" s="4">
        <v>6.2256100099436113E-5</v>
      </c>
      <c r="AE1307" s="5">
        <v>0.80177968430189828</v>
      </c>
      <c r="AF1307" s="5">
        <v>0.73980958494247473</v>
      </c>
    </row>
    <row r="1308" spans="23:32" x14ac:dyDescent="0.25">
      <c r="W1308">
        <v>64.3</v>
      </c>
      <c r="X1308" s="5">
        <v>62.781288366409107</v>
      </c>
      <c r="Y1308" s="5">
        <v>1.5187116335908897</v>
      </c>
      <c r="Z1308" s="5">
        <v>1.5271451263563236</v>
      </c>
      <c r="AA1308" s="18">
        <v>5.5223911728409054E-3</v>
      </c>
      <c r="AB1308" s="5">
        <v>0.42352563950801819</v>
      </c>
      <c r="AC1308" s="4">
        <v>5.2424943348021428E-5</v>
      </c>
      <c r="AE1308" s="5">
        <v>0.80177968430189828</v>
      </c>
      <c r="AF1308" s="5">
        <v>0.74292358483707577</v>
      </c>
    </row>
    <row r="1309" spans="23:32" x14ac:dyDescent="0.25">
      <c r="W1309">
        <v>63.5</v>
      </c>
      <c r="X1309" s="5">
        <v>62.340970407322779</v>
      </c>
      <c r="Y1309" s="5">
        <v>1.1590295926772214</v>
      </c>
      <c r="Z1309" s="5">
        <v>1.1652548817615838</v>
      </c>
      <c r="AA1309" s="18">
        <v>5.3424269503606556E-3</v>
      </c>
      <c r="AB1309" s="5">
        <v>0.3231912688570156</v>
      </c>
      <c r="AC1309" s="4">
        <v>2.9527769177387575E-5</v>
      </c>
      <c r="AE1309" s="5">
        <v>0.81442193874053515</v>
      </c>
      <c r="AF1309" s="5">
        <v>0.74425261612523375</v>
      </c>
    </row>
    <row r="1310" spans="23:32" x14ac:dyDescent="0.25">
      <c r="W1310">
        <v>62.8</v>
      </c>
      <c r="X1310" s="5">
        <v>61.219879400243592</v>
      </c>
      <c r="Y1310" s="5">
        <v>1.5801205997564054</v>
      </c>
      <c r="Z1310" s="5">
        <v>1.5926286854896716</v>
      </c>
      <c r="AA1310" s="18">
        <v>7.8537363085471462E-3</v>
      </c>
      <c r="AB1310" s="5">
        <v>0.4411682769341625</v>
      </c>
      <c r="AC1310" s="4">
        <v>8.1087808952017221E-5</v>
      </c>
      <c r="AE1310" s="5">
        <v>0.81442193874053515</v>
      </c>
      <c r="AF1310" s="5">
        <v>0.74438982860941139</v>
      </c>
    </row>
    <row r="1311" spans="23:32" x14ac:dyDescent="0.25">
      <c r="W1311">
        <v>62.1</v>
      </c>
      <c r="X1311" s="5">
        <v>64.05470808170142</v>
      </c>
      <c r="Y1311" s="5">
        <v>-1.9547080817014191</v>
      </c>
      <c r="Z1311" s="5">
        <v>-2.0035302969051472</v>
      </c>
      <c r="AA1311" s="18">
        <v>2.4368094297919259E-2</v>
      </c>
      <c r="AB1311" s="5">
        <v>-0.55035232193750461</v>
      </c>
      <c r="AC1311" s="4">
        <v>3.9816545469169648E-4</v>
      </c>
      <c r="AE1311" s="5">
        <v>0.81442193874053515</v>
      </c>
      <c r="AF1311" s="5">
        <v>0.74520623314777124</v>
      </c>
    </row>
    <row r="1312" spans="23:32" x14ac:dyDescent="0.25">
      <c r="W1312">
        <v>61.3</v>
      </c>
      <c r="X1312" s="5">
        <v>60.303570266629819</v>
      </c>
      <c r="Y1312" s="5">
        <v>0.99642973337017793</v>
      </c>
      <c r="Z1312" s="5">
        <v>1.0016823407351083</v>
      </c>
      <c r="AA1312" s="18">
        <v>5.2437855309246774E-3</v>
      </c>
      <c r="AB1312" s="5">
        <v>0.27783710153231433</v>
      </c>
      <c r="AC1312" s="4">
        <v>2.1416827478868717E-5</v>
      </c>
      <c r="AE1312" s="5">
        <v>0.81442193874053515</v>
      </c>
      <c r="AF1312" s="5">
        <v>0.74745111426459898</v>
      </c>
    </row>
    <row r="1313" spans="23:32" x14ac:dyDescent="0.25">
      <c r="W1313">
        <v>65</v>
      </c>
      <c r="X1313" s="5">
        <v>59.743667101891468</v>
      </c>
      <c r="Y1313" s="5">
        <v>5.256332898108532</v>
      </c>
      <c r="Z1313" s="5">
        <v>5.2848924230892536</v>
      </c>
      <c r="AA1313" s="18">
        <v>5.403993628318008E-3</v>
      </c>
      <c r="AB1313" s="5">
        <v>1.4657550486150561</v>
      </c>
      <c r="AC1313" s="4">
        <v>6.1438034536678713E-4</v>
      </c>
      <c r="AE1313" s="5">
        <v>0.81442193874053515</v>
      </c>
      <c r="AF1313" s="5">
        <v>0.74842797906860181</v>
      </c>
    </row>
    <row r="1314" spans="23:32" x14ac:dyDescent="0.25">
      <c r="W1314">
        <v>59.7</v>
      </c>
      <c r="X1314" s="5">
        <v>59.595813793088716</v>
      </c>
      <c r="Y1314" s="5">
        <v>0.10418620691128666</v>
      </c>
      <c r="Z1314" s="5">
        <v>0.10496187512890742</v>
      </c>
      <c r="AA1314" s="18">
        <v>7.3899996228600625E-3</v>
      </c>
      <c r="AB1314" s="5">
        <v>2.9081901264690721E-2</v>
      </c>
      <c r="AC1314" s="4">
        <v>3.3140401087706948E-7</v>
      </c>
      <c r="AE1314" s="5">
        <v>0.81442193874053515</v>
      </c>
      <c r="AF1314" s="5">
        <v>0.74875819705991342</v>
      </c>
    </row>
    <row r="1315" spans="23:32" x14ac:dyDescent="0.25">
      <c r="W1315">
        <v>75.400000000000006</v>
      </c>
      <c r="X1315" s="5">
        <v>74.354168471492741</v>
      </c>
      <c r="Y1315" s="5">
        <v>1.0458315285072644</v>
      </c>
      <c r="Z1315" s="5">
        <v>1.0523260160428265</v>
      </c>
      <c r="AA1315" s="18">
        <v>6.1715546670497584E-3</v>
      </c>
      <c r="AB1315" s="5">
        <v>0.29174801548511814</v>
      </c>
      <c r="AC1315" s="4">
        <v>2.7819247451475027E-5</v>
      </c>
      <c r="AE1315" s="5">
        <v>0.81442193874053515</v>
      </c>
      <c r="AF1315" s="5">
        <v>0.75308592975054367</v>
      </c>
    </row>
    <row r="1316" spans="23:32" x14ac:dyDescent="0.25">
      <c r="W1316">
        <v>75.3</v>
      </c>
      <c r="X1316" s="5">
        <v>74.583711130186103</v>
      </c>
      <c r="Y1316" s="5">
        <v>0.71628886981389428</v>
      </c>
      <c r="Z1316" s="5">
        <v>0.72055193014820418</v>
      </c>
      <c r="AA1316" s="18">
        <v>5.9163818122470015E-3</v>
      </c>
      <c r="AB1316" s="5">
        <v>0.19979224922767844</v>
      </c>
      <c r="AC1316" s="4">
        <v>1.2503654006246554E-5</v>
      </c>
      <c r="AE1316" s="5">
        <v>0.82933781119598415</v>
      </c>
      <c r="AF1316" s="5">
        <v>0.75424960022145038</v>
      </c>
    </row>
    <row r="1317" spans="23:32" x14ac:dyDescent="0.25">
      <c r="W1317">
        <v>74.900000000000006</v>
      </c>
      <c r="X1317" s="5">
        <v>74.925813587296972</v>
      </c>
      <c r="Y1317" s="5">
        <v>-2.5813587296966034E-2</v>
      </c>
      <c r="Z1317" s="5">
        <v>-2.5911874022781944E-2</v>
      </c>
      <c r="AA1317" s="18">
        <v>3.79311530027768E-3</v>
      </c>
      <c r="AB1317" s="5">
        <v>-7.1924273651732167E-3</v>
      </c>
      <c r="AC1317" s="4">
        <v>1.0366779804388958E-8</v>
      </c>
      <c r="AE1317" s="5">
        <v>0.82933781119598415</v>
      </c>
      <c r="AF1317" s="5">
        <v>0.7548097284559232</v>
      </c>
    </row>
    <row r="1318" spans="23:32" x14ac:dyDescent="0.25">
      <c r="W1318">
        <v>74.599999999999994</v>
      </c>
      <c r="X1318" s="5">
        <v>74.462480254501173</v>
      </c>
      <c r="Y1318" s="5">
        <v>0.13751974549882107</v>
      </c>
      <c r="Z1318" s="5">
        <v>0.13803921179426482</v>
      </c>
      <c r="AA1318" s="18">
        <v>3.7631792350313279E-3</v>
      </c>
      <c r="AB1318" s="5">
        <v>3.8316484588924858E-2</v>
      </c>
      <c r="AC1318" s="4">
        <v>2.9188382433275006E-7</v>
      </c>
      <c r="AE1318" s="5">
        <v>0.82933781119598415</v>
      </c>
      <c r="AF1318" s="5">
        <v>0.75596787706120516</v>
      </c>
    </row>
    <row r="1319" spans="23:32" x14ac:dyDescent="0.25">
      <c r="W1319">
        <v>74.400000000000006</v>
      </c>
      <c r="X1319" s="5">
        <v>73.74916338655224</v>
      </c>
      <c r="Y1319" s="5">
        <v>0.65083661344776544</v>
      </c>
      <c r="Z1319" s="5">
        <v>0.65417916826457656</v>
      </c>
      <c r="AA1319" s="18">
        <v>5.1095402895139129E-3</v>
      </c>
      <c r="AB1319" s="5">
        <v>0.18146222648334254</v>
      </c>
      <c r="AC1319" s="4">
        <v>8.9007259847051672E-6</v>
      </c>
      <c r="AE1319" s="5">
        <v>0.82933781119598415</v>
      </c>
      <c r="AF1319" s="5">
        <v>0.75869089544323653</v>
      </c>
    </row>
    <row r="1320" spans="23:32" x14ac:dyDescent="0.25">
      <c r="W1320">
        <v>74.099999999999994</v>
      </c>
      <c r="X1320" s="5">
        <v>74.405433816487104</v>
      </c>
      <c r="Y1320" s="5">
        <v>-0.30543381648710977</v>
      </c>
      <c r="Z1320" s="5">
        <v>-0.30665917809520238</v>
      </c>
      <c r="AA1320" s="18">
        <v>3.9958419496990364E-3</v>
      </c>
      <c r="AB1320" s="5">
        <v>-8.5111537295019371E-2</v>
      </c>
      <c r="AC1320" s="4">
        <v>1.5295737409998025E-6</v>
      </c>
      <c r="AE1320" s="5">
        <v>0.83794453378675593</v>
      </c>
      <c r="AF1320" s="5">
        <v>0.75984705636034189</v>
      </c>
    </row>
    <row r="1321" spans="23:32" x14ac:dyDescent="0.25">
      <c r="W1321">
        <v>74</v>
      </c>
      <c r="X1321" s="5">
        <v>73.212303807886457</v>
      </c>
      <c r="Y1321" s="5">
        <v>0.78769619211354325</v>
      </c>
      <c r="Z1321" s="5">
        <v>0.79246138295447111</v>
      </c>
      <c r="AA1321" s="18">
        <v>6.013152114942022E-3</v>
      </c>
      <c r="AB1321" s="5">
        <v>0.21972036853206445</v>
      </c>
      <c r="AC1321" s="4">
        <v>1.537122886742145E-5</v>
      </c>
      <c r="AE1321" s="5">
        <v>0.83794453378675593</v>
      </c>
      <c r="AF1321" s="5">
        <v>0.76475093382967407</v>
      </c>
    </row>
    <row r="1322" spans="23:32" x14ac:dyDescent="0.25">
      <c r="W1322">
        <v>73.8</v>
      </c>
      <c r="X1322" s="5">
        <v>73.370017529240059</v>
      </c>
      <c r="Y1322" s="5">
        <v>0.42998247075993845</v>
      </c>
      <c r="Z1322" s="5">
        <v>0.43257297417522977</v>
      </c>
      <c r="AA1322" s="18">
        <v>5.9885928385321014E-3</v>
      </c>
      <c r="AB1322" s="5">
        <v>0.11993804306408919</v>
      </c>
      <c r="AC1322" s="4">
        <v>4.5613535362792262E-6</v>
      </c>
      <c r="AE1322" s="5">
        <v>0.83794453378675593</v>
      </c>
      <c r="AF1322" s="5">
        <v>0.76637028744721314</v>
      </c>
    </row>
    <row r="1323" spans="23:32" x14ac:dyDescent="0.25">
      <c r="W1323">
        <v>73.599999999999994</v>
      </c>
      <c r="X1323" s="5">
        <v>73.79243082809667</v>
      </c>
      <c r="Y1323" s="5">
        <v>-0.19243082809667555</v>
      </c>
      <c r="Z1323" s="5">
        <v>-0.19298500735813207</v>
      </c>
      <c r="AA1323" s="18">
        <v>2.8716182103814799E-3</v>
      </c>
      <c r="AB1323" s="5">
        <v>-5.3592127938842396E-2</v>
      </c>
      <c r="AC1323" s="4">
        <v>4.3533543908199184E-7</v>
      </c>
      <c r="AE1323" s="5">
        <v>0.83794453378675593</v>
      </c>
      <c r="AF1323" s="5">
        <v>0.7672377119974203</v>
      </c>
    </row>
    <row r="1324" spans="23:32" x14ac:dyDescent="0.25">
      <c r="W1324">
        <v>73</v>
      </c>
      <c r="X1324" s="5">
        <v>73.622932090198233</v>
      </c>
      <c r="Y1324" s="5">
        <v>-0.62293209019823337</v>
      </c>
      <c r="Z1324" s="5">
        <v>-0.62566051984848059</v>
      </c>
      <c r="AA1324" s="18">
        <v>4.3608787252615525E-3</v>
      </c>
      <c r="AB1324" s="5">
        <v>-0.17361674885912015</v>
      </c>
      <c r="AC1324" s="4">
        <v>6.9486701145293404E-6</v>
      </c>
      <c r="AE1324" s="5">
        <v>0.83794453378675593</v>
      </c>
      <c r="AF1324" s="5">
        <v>0.76865947438229965</v>
      </c>
    </row>
    <row r="1325" spans="23:32" x14ac:dyDescent="0.25">
      <c r="W1325">
        <v>73</v>
      </c>
      <c r="X1325" s="5">
        <v>73.198323319323492</v>
      </c>
      <c r="Y1325" s="5">
        <v>-0.19832331932349234</v>
      </c>
      <c r="Z1325" s="5">
        <v>-0.19875530157216303</v>
      </c>
      <c r="AA1325" s="18">
        <v>2.1734376153019867E-3</v>
      </c>
      <c r="AB1325" s="5">
        <v>-5.5213864352770897E-2</v>
      </c>
      <c r="AC1325" s="4">
        <v>3.4949004143757741E-7</v>
      </c>
      <c r="AE1325" s="5">
        <v>0.83794453378675593</v>
      </c>
      <c r="AF1325" s="5">
        <v>0.76902610765896873</v>
      </c>
    </row>
    <row r="1326" spans="23:32" x14ac:dyDescent="0.25">
      <c r="W1326">
        <v>73</v>
      </c>
      <c r="X1326" s="5">
        <v>74.920197749082263</v>
      </c>
      <c r="Y1326" s="5">
        <v>-1.9201977490822628</v>
      </c>
      <c r="Z1326" s="5">
        <v>-1.9309471230565975</v>
      </c>
      <c r="AA1326" s="18">
        <v>5.5668919391834272E-3</v>
      </c>
      <c r="AB1326" s="5">
        <v>-0.53550072176883701</v>
      </c>
      <c r="AC1326" s="4">
        <v>8.4489693810887957E-5</v>
      </c>
      <c r="AE1326" s="5">
        <v>0.83794453378675593</v>
      </c>
      <c r="AF1326" s="5">
        <v>0.76930545088321212</v>
      </c>
    </row>
    <row r="1327" spans="23:32" x14ac:dyDescent="0.25">
      <c r="W1327">
        <v>72.900000000000006</v>
      </c>
      <c r="X1327" s="5">
        <v>73.205722141785259</v>
      </c>
      <c r="Y1327" s="5">
        <v>-0.30572214178525314</v>
      </c>
      <c r="Z1327" s="5">
        <v>-0.30771560837955292</v>
      </c>
      <c r="AA1327" s="18">
        <v>6.4782758495581308E-3</v>
      </c>
      <c r="AB1327" s="5">
        <v>-8.5298246106403713E-2</v>
      </c>
      <c r="AC1327" s="4">
        <v>2.4969432425642278E-6</v>
      </c>
      <c r="AE1327" s="5">
        <v>0.83794453378675593</v>
      </c>
      <c r="AF1327" s="5">
        <v>0.77384608747510486</v>
      </c>
    </row>
    <row r="1328" spans="23:32" x14ac:dyDescent="0.25">
      <c r="W1328">
        <v>72.7</v>
      </c>
      <c r="X1328" s="5">
        <v>72.630006114079833</v>
      </c>
      <c r="Y1328" s="5">
        <v>6.9993885920169419E-2</v>
      </c>
      <c r="Z1328" s="5">
        <v>7.0724346862462539E-2</v>
      </c>
      <c r="AA1328" s="18">
        <v>1.0328281202946252E-2</v>
      </c>
      <c r="AB1328" s="5">
        <v>1.9566647322315757E-2</v>
      </c>
      <c r="AC1328" s="4">
        <v>2.1028879248911483E-7</v>
      </c>
      <c r="AE1328" s="5">
        <v>0.83794453378675593</v>
      </c>
      <c r="AF1328" s="5">
        <v>0.77520284710876808</v>
      </c>
    </row>
    <row r="1329" spans="23:32" x14ac:dyDescent="0.25">
      <c r="W1329">
        <v>72.599999999999994</v>
      </c>
      <c r="X1329" s="5">
        <v>72.004258432374144</v>
      </c>
      <c r="Y1329" s="5">
        <v>0.59574156762585062</v>
      </c>
      <c r="Z1329" s="5">
        <v>0.59849139389970674</v>
      </c>
      <c r="AA1329" s="18">
        <v>4.5945961828176667E-3</v>
      </c>
      <c r="AB1329" s="5">
        <v>0.16605799832503182</v>
      </c>
      <c r="AC1329" s="4">
        <v>6.6990520102760922E-6</v>
      </c>
      <c r="AE1329" s="5">
        <v>0.83794453378675593</v>
      </c>
      <c r="AF1329" s="5">
        <v>0.77558968340026235</v>
      </c>
    </row>
    <row r="1330" spans="23:32" x14ac:dyDescent="0.25">
      <c r="W1330">
        <v>72.400000000000006</v>
      </c>
      <c r="X1330" s="5">
        <v>74.140827920352336</v>
      </c>
      <c r="Y1330" s="5">
        <v>-1.7408279203523307</v>
      </c>
      <c r="Z1330" s="5">
        <v>-1.7481910113059342</v>
      </c>
      <c r="AA1330" s="18">
        <v>4.2118343510417046E-3</v>
      </c>
      <c r="AB1330" s="5">
        <v>-0.48514801074491309</v>
      </c>
      <c r="AC1330" s="4">
        <v>5.2396132373918228E-5</v>
      </c>
      <c r="AE1330" s="5">
        <v>0.83794453378675593</v>
      </c>
      <c r="AF1330" s="5">
        <v>0.77576654105572973</v>
      </c>
    </row>
    <row r="1331" spans="23:32" x14ac:dyDescent="0.25">
      <c r="W1331">
        <v>72.3</v>
      </c>
      <c r="X1331" s="5">
        <v>71.367086930635764</v>
      </c>
      <c r="Y1331" s="5">
        <v>0.93291306936423268</v>
      </c>
      <c r="Z1331" s="5">
        <v>0.93621643998801574</v>
      </c>
      <c r="AA1331" s="18">
        <v>3.5284262086097847E-3</v>
      </c>
      <c r="AB1331" s="5">
        <v>0.25990259272073329</v>
      </c>
      <c r="AC1331" s="4">
        <v>1.2588783017928596E-5</v>
      </c>
      <c r="AE1331" s="5">
        <v>0.83794453378675593</v>
      </c>
      <c r="AF1331" s="5">
        <v>0.77576721647057556</v>
      </c>
    </row>
    <row r="1332" spans="23:32" x14ac:dyDescent="0.25">
      <c r="W1332">
        <v>72.2</v>
      </c>
      <c r="X1332" s="5">
        <v>71.608689073789563</v>
      </c>
      <c r="Y1332" s="5">
        <v>0.5913109262104399</v>
      </c>
      <c r="Z1332" s="5">
        <v>0.59417211122276115</v>
      </c>
      <c r="AA1332" s="18">
        <v>4.8154145209491749E-3</v>
      </c>
      <c r="AB1332" s="5">
        <v>0.16484127895643255</v>
      </c>
      <c r="AC1332" s="4">
        <v>6.9200365355034195E-6</v>
      </c>
      <c r="AE1332" s="5">
        <v>0.83794453378675593</v>
      </c>
      <c r="AF1332" s="5">
        <v>0.77658229082408514</v>
      </c>
    </row>
    <row r="1333" spans="23:32" x14ac:dyDescent="0.25">
      <c r="W1333">
        <v>72.2</v>
      </c>
      <c r="X1333" s="5">
        <v>71.475655645977909</v>
      </c>
      <c r="Y1333" s="5">
        <v>0.72434435402209374</v>
      </c>
      <c r="Z1333" s="5">
        <v>0.72771375117964965</v>
      </c>
      <c r="AA1333" s="18">
        <v>4.6301133544612667E-3</v>
      </c>
      <c r="AB1333" s="5">
        <v>0.20190855572228453</v>
      </c>
      <c r="AC1333" s="4">
        <v>9.9807452182827933E-6</v>
      </c>
      <c r="AE1333" s="5">
        <v>0.83794453378675593</v>
      </c>
      <c r="AF1333" s="5">
        <v>0.77661631205995352</v>
      </c>
    </row>
    <row r="1334" spans="23:32" x14ac:dyDescent="0.25">
      <c r="W1334">
        <v>72.2</v>
      </c>
      <c r="X1334" s="5">
        <v>70.080751825020783</v>
      </c>
      <c r="Y1334" s="5">
        <v>2.1192481749792194</v>
      </c>
      <c r="Z1334" s="5">
        <v>2.1333082755063941</v>
      </c>
      <c r="AA1334" s="18">
        <v>6.5907495361084761E-3</v>
      </c>
      <c r="AB1334" s="5">
        <v>0.59131597181626572</v>
      </c>
      <c r="AC1334" s="4">
        <v>1.2209341083884516E-4</v>
      </c>
      <c r="AE1334" s="5">
        <v>0.83794453378675593</v>
      </c>
      <c r="AF1334" s="5">
        <v>0.77802363028429167</v>
      </c>
    </row>
    <row r="1335" spans="23:32" x14ac:dyDescent="0.25">
      <c r="W1335">
        <v>72.2</v>
      </c>
      <c r="X1335" s="5">
        <v>69.018970768978562</v>
      </c>
      <c r="Y1335" s="5">
        <v>3.1810292310214408</v>
      </c>
      <c r="Z1335" s="5">
        <v>3.2011117328154626</v>
      </c>
      <c r="AA1335" s="18">
        <v>6.2736022576606858E-3</v>
      </c>
      <c r="AB1335" s="5">
        <v>0.88743415250894597</v>
      </c>
      <c r="AC1335" s="4">
        <v>2.6167897513778871E-4</v>
      </c>
      <c r="AE1335" s="5">
        <v>0.83794453378675593</v>
      </c>
      <c r="AF1335" s="5">
        <v>0.77898024838793112</v>
      </c>
    </row>
    <row r="1336" spans="23:32" x14ac:dyDescent="0.25">
      <c r="W1336">
        <v>72.099999999999994</v>
      </c>
      <c r="X1336" s="5">
        <v>70.093927518894262</v>
      </c>
      <c r="Y1336" s="5">
        <v>2.0060724811057327</v>
      </c>
      <c r="Z1336" s="5">
        <v>2.012639060133381</v>
      </c>
      <c r="AA1336" s="18">
        <v>3.2626709665554902E-3</v>
      </c>
      <c r="AB1336" s="5">
        <v>0.55880225558130137</v>
      </c>
      <c r="AC1336" s="4">
        <v>5.3796652790810805E-5</v>
      </c>
      <c r="AE1336" s="5">
        <v>0.873012700415573</v>
      </c>
      <c r="AF1336" s="5">
        <v>0.78368691089706122</v>
      </c>
    </row>
    <row r="1337" spans="23:32" x14ac:dyDescent="0.25">
      <c r="W1337">
        <v>72.099999999999994</v>
      </c>
      <c r="X1337" s="5">
        <v>70.372609427306656</v>
      </c>
      <c r="Y1337" s="5">
        <v>1.7273905726933378</v>
      </c>
      <c r="Z1337" s="5">
        <v>1.7323861458556991</v>
      </c>
      <c r="AA1337" s="18">
        <v>2.8836372158193902E-3</v>
      </c>
      <c r="AB1337" s="5">
        <v>0.48108245140303146</v>
      </c>
      <c r="AC1337" s="4">
        <v>3.5227368981136017E-5</v>
      </c>
      <c r="AE1337" s="5">
        <v>0.873012700415573</v>
      </c>
      <c r="AF1337" s="5">
        <v>0.78423276743727799</v>
      </c>
    </row>
    <row r="1338" spans="23:32" x14ac:dyDescent="0.25">
      <c r="W1338">
        <v>72.099999999999994</v>
      </c>
      <c r="X1338" s="5">
        <v>69.974401224012468</v>
      </c>
      <c r="Y1338" s="5">
        <v>2.1255987759875268</v>
      </c>
      <c r="Z1338" s="5">
        <v>2.1385592599182957</v>
      </c>
      <c r="AA1338" s="18">
        <v>6.0603810114997839E-3</v>
      </c>
      <c r="AB1338" s="5">
        <v>0.59292966886382936</v>
      </c>
      <c r="AC1338" s="4">
        <v>1.1282171306123294E-4</v>
      </c>
      <c r="AE1338" s="5">
        <v>0.873012700415573</v>
      </c>
      <c r="AF1338" s="5">
        <v>0.78475112307582406</v>
      </c>
    </row>
    <row r="1339" spans="23:32" x14ac:dyDescent="0.25">
      <c r="W1339">
        <v>72</v>
      </c>
      <c r="X1339" s="5">
        <v>70.278886023931634</v>
      </c>
      <c r="Y1339" s="5">
        <v>1.7211139760683665</v>
      </c>
      <c r="Z1339" s="5">
        <v>1.7257722564553717</v>
      </c>
      <c r="AA1339" s="18">
        <v>2.6992439874862963E-3</v>
      </c>
      <c r="AB1339" s="5">
        <v>0.47929008939774898</v>
      </c>
      <c r="AC1339" s="4">
        <v>3.2723465565852856E-5</v>
      </c>
      <c r="AE1339" s="5">
        <v>0.873012700415573</v>
      </c>
      <c r="AF1339" s="5">
        <v>0.78857842661573063</v>
      </c>
    </row>
    <row r="1340" spans="23:32" x14ac:dyDescent="0.25">
      <c r="W1340">
        <v>71.8</v>
      </c>
      <c r="X1340" s="5">
        <v>63.259827922529034</v>
      </c>
      <c r="Y1340" s="5">
        <v>8.5401720774709631</v>
      </c>
      <c r="Z1340" s="5">
        <v>8.7726697026750315</v>
      </c>
      <c r="AA1340" s="18">
        <v>2.6502493891132604E-2</v>
      </c>
      <c r="AB1340" s="5">
        <v>2.4071385692980343</v>
      </c>
      <c r="AC1340" s="4">
        <v>8.3023393735982016E-3</v>
      </c>
      <c r="AE1340" s="5">
        <v>0.88194836619248052</v>
      </c>
      <c r="AF1340" s="5">
        <v>0.78869963246884911</v>
      </c>
    </row>
    <row r="1341" spans="23:32" x14ac:dyDescent="0.25">
      <c r="W1341">
        <v>48.1</v>
      </c>
      <c r="X1341" s="5">
        <v>60.303794862651472</v>
      </c>
      <c r="Y1341" s="5">
        <v>-12.203794862651471</v>
      </c>
      <c r="Z1341" s="5">
        <v>-12.359632033096965</v>
      </c>
      <c r="AA1341" s="18">
        <v>1.2608560677873934E-2</v>
      </c>
      <c r="AB1341" s="5">
        <v>-3.4154828724569519</v>
      </c>
      <c r="AC1341" s="4">
        <v>7.8401934369167516E-3</v>
      </c>
      <c r="AE1341" s="5">
        <v>0.88194836619248052</v>
      </c>
      <c r="AF1341" s="5">
        <v>0.78945610642516406</v>
      </c>
    </row>
    <row r="1342" spans="23:32" x14ac:dyDescent="0.25">
      <c r="W1342">
        <v>54</v>
      </c>
      <c r="X1342" s="5">
        <v>66.972708355293122</v>
      </c>
      <c r="Y1342" s="5">
        <v>-12.972708355293122</v>
      </c>
      <c r="Z1342" s="5">
        <v>-13.088446464596615</v>
      </c>
      <c r="AA1342" s="18">
        <v>8.8427690495242444E-3</v>
      </c>
      <c r="AB1342" s="5">
        <v>-3.6237753759145934</v>
      </c>
      <c r="AC1342" s="4">
        <v>6.1661582586797891E-3</v>
      </c>
      <c r="AE1342" s="5">
        <v>0.88194836619248052</v>
      </c>
      <c r="AF1342" s="5">
        <v>0.78957057582757295</v>
      </c>
    </row>
    <row r="1343" spans="23:32" x14ac:dyDescent="0.25">
      <c r="W1343">
        <v>49.7</v>
      </c>
      <c r="X1343" s="5">
        <v>60.478893651205681</v>
      </c>
      <c r="Y1343" s="5">
        <v>-10.778893651205678</v>
      </c>
      <c r="Z1343" s="5">
        <v>-10.888081156721157</v>
      </c>
      <c r="AA1343" s="18">
        <v>1.0028167860236321E-2</v>
      </c>
      <c r="AB1343" s="5">
        <v>-3.0127608553572469</v>
      </c>
      <c r="AC1343" s="4">
        <v>4.8392100805053975E-3</v>
      </c>
      <c r="AE1343" s="5">
        <v>0.88194836619248052</v>
      </c>
      <c r="AF1343" s="5">
        <v>0.79153256036126707</v>
      </c>
    </row>
    <row r="1344" spans="23:32" x14ac:dyDescent="0.25">
      <c r="W1344">
        <v>48.9</v>
      </c>
      <c r="X1344" s="5">
        <v>59.571922746798037</v>
      </c>
      <c r="Y1344" s="5">
        <v>-10.671922746798039</v>
      </c>
      <c r="Z1344" s="5">
        <v>-10.790710861155176</v>
      </c>
      <c r="AA1344" s="18">
        <v>1.100836783466768E-2</v>
      </c>
      <c r="AB1344" s="5">
        <v>-2.984339698104892</v>
      </c>
      <c r="AC1344" s="4">
        <v>5.2176293769756292E-3</v>
      </c>
      <c r="AE1344" s="5">
        <v>0.89095501331493132</v>
      </c>
      <c r="AF1344" s="5">
        <v>0.79703960112791605</v>
      </c>
    </row>
    <row r="1345" spans="23:32" x14ac:dyDescent="0.25">
      <c r="W1345">
        <v>48.1</v>
      </c>
      <c r="X1345" s="5">
        <v>58.084330561354058</v>
      </c>
      <c r="Y1345" s="5">
        <v>-9.9843305613540565</v>
      </c>
      <c r="Z1345" s="5">
        <v>-10.058371525694923</v>
      </c>
      <c r="AA1345" s="18">
        <v>7.3611284045060135E-3</v>
      </c>
      <c r="AB1345" s="5">
        <v>-2.7869245027896805</v>
      </c>
      <c r="AC1345" s="4">
        <v>3.0314465990037994E-3</v>
      </c>
      <c r="AE1345" s="5">
        <v>0.89095501331493132</v>
      </c>
      <c r="AF1345" s="5">
        <v>0.79798115167619343</v>
      </c>
    </row>
    <row r="1346" spans="23:32" x14ac:dyDescent="0.25">
      <c r="W1346">
        <v>47.1</v>
      </c>
      <c r="X1346" s="5">
        <v>58.473288084686892</v>
      </c>
      <c r="Y1346" s="5">
        <v>-11.373288084686891</v>
      </c>
      <c r="Z1346" s="5">
        <v>-11.529853242400414</v>
      </c>
      <c r="AA1346" s="18">
        <v>1.3579111062555901E-2</v>
      </c>
      <c r="AB1346" s="5">
        <v>-3.1846140107056757</v>
      </c>
      <c r="AC1346" s="4">
        <v>7.3479988865385757E-3</v>
      </c>
      <c r="AE1346" s="5">
        <v>0.89095501331493132</v>
      </c>
      <c r="AF1346" s="5">
        <v>0.79881175267637272</v>
      </c>
    </row>
    <row r="1347" spans="23:32" x14ac:dyDescent="0.25">
      <c r="W1347">
        <v>46.2</v>
      </c>
      <c r="X1347" s="5">
        <v>56.236588118902695</v>
      </c>
      <c r="Y1347" s="5">
        <v>-10.036588118902692</v>
      </c>
      <c r="Z1347" s="5">
        <v>-10.119624774145656</v>
      </c>
      <c r="AA1347" s="18">
        <v>8.2055073282079199E-3</v>
      </c>
      <c r="AB1347" s="5">
        <v>-2.8027034462765874</v>
      </c>
      <c r="AC1347" s="4">
        <v>3.4204593969745403E-3</v>
      </c>
      <c r="AE1347" s="5">
        <v>0.89095501331493132</v>
      </c>
      <c r="AF1347" s="5">
        <v>0.79981524261897985</v>
      </c>
    </row>
    <row r="1348" spans="23:32" x14ac:dyDescent="0.25">
      <c r="W1348">
        <v>45.3</v>
      </c>
      <c r="X1348" s="5">
        <v>62.317624399133031</v>
      </c>
      <c r="Y1348" s="5">
        <v>-17.017624399133034</v>
      </c>
      <c r="Z1348" s="5">
        <v>-17.183808823256719</v>
      </c>
      <c r="AA1348" s="18">
        <v>9.6709888845346696E-3</v>
      </c>
      <c r="AB1348" s="5">
        <v>-4.7556630357299623</v>
      </c>
      <c r="AC1348" s="4">
        <v>1.1624115897417825E-2</v>
      </c>
      <c r="AE1348" s="5">
        <v>0.89095501331493132</v>
      </c>
      <c r="AF1348" s="5">
        <v>0.79994364841586407</v>
      </c>
    </row>
    <row r="1349" spans="23:32" x14ac:dyDescent="0.25">
      <c r="W1349">
        <v>68.8</v>
      </c>
      <c r="X1349" s="5">
        <v>67.154402797264822</v>
      </c>
      <c r="Y1349" s="5">
        <v>1.6455972027351748</v>
      </c>
      <c r="Z1349" s="5">
        <v>1.6521475012859526</v>
      </c>
      <c r="AA1349" s="18">
        <v>3.964717766229444E-3</v>
      </c>
      <c r="AB1349" s="5">
        <v>0.4585514498530851</v>
      </c>
      <c r="AC1349" s="4">
        <v>4.4051438541492951E-5</v>
      </c>
      <c r="AE1349" s="5">
        <v>0.89095501331493132</v>
      </c>
      <c r="AF1349" s="5">
        <v>0.80080444497004943</v>
      </c>
    </row>
    <row r="1350" spans="23:32" x14ac:dyDescent="0.25">
      <c r="W1350">
        <v>68.8</v>
      </c>
      <c r="X1350" s="5">
        <v>67.122611683958951</v>
      </c>
      <c r="Y1350" s="5">
        <v>1.6773883160410463</v>
      </c>
      <c r="Z1350" s="5">
        <v>1.684783784234881</v>
      </c>
      <c r="AA1350" s="18">
        <v>4.3895651555002331E-3</v>
      </c>
      <c r="AB1350" s="5">
        <v>0.4675098715314287</v>
      </c>
      <c r="AC1350" s="4">
        <v>5.0717756005710138E-5</v>
      </c>
      <c r="AE1350" s="5">
        <v>0.90460220385671419</v>
      </c>
      <c r="AF1350" s="5">
        <v>0.80101265904459262</v>
      </c>
    </row>
    <row r="1351" spans="23:32" x14ac:dyDescent="0.25">
      <c r="W1351">
        <v>68.7</v>
      </c>
      <c r="X1351" s="5">
        <v>67.090272451813249</v>
      </c>
      <c r="Y1351" s="5">
        <v>1.6097275481867541</v>
      </c>
      <c r="Z1351" s="5">
        <v>1.6172322948807363</v>
      </c>
      <c r="AA1351" s="18">
        <v>4.6404877751568315E-3</v>
      </c>
      <c r="AB1351" s="5">
        <v>0.44870848560791371</v>
      </c>
      <c r="AC1351" s="4">
        <v>4.9403603331703141E-5</v>
      </c>
      <c r="AE1351" s="5">
        <v>0.90460220385671419</v>
      </c>
      <c r="AF1351" s="5">
        <v>0.80222657672457864</v>
      </c>
    </row>
    <row r="1352" spans="23:32" x14ac:dyDescent="0.25">
      <c r="W1352">
        <v>68.5</v>
      </c>
      <c r="X1352" s="5">
        <v>66.910131495999252</v>
      </c>
      <c r="Y1352" s="5">
        <v>1.5898685040007479</v>
      </c>
      <c r="Z1352" s="5">
        <v>1.5967099256489661</v>
      </c>
      <c r="AA1352" s="18">
        <v>4.2846991418512091E-3</v>
      </c>
      <c r="AB1352" s="5">
        <v>0.44309363064661328</v>
      </c>
      <c r="AC1352" s="4">
        <v>4.4465437029343773E-5</v>
      </c>
      <c r="AE1352" s="5">
        <v>0.90460220385671419</v>
      </c>
      <c r="AF1352" s="5">
        <v>0.80650668296600359</v>
      </c>
    </row>
    <row r="1353" spans="23:32" x14ac:dyDescent="0.25">
      <c r="W1353">
        <v>68.3</v>
      </c>
      <c r="X1353" s="5">
        <v>65.927670859244657</v>
      </c>
      <c r="Y1353" s="5">
        <v>2.3723291407553404</v>
      </c>
      <c r="Z1353" s="5">
        <v>2.4180542562696417</v>
      </c>
      <c r="AA1353" s="18">
        <v>1.8909879873763705E-2</v>
      </c>
      <c r="AB1353" s="5">
        <v>0.66607385092146154</v>
      </c>
      <c r="AC1353" s="4">
        <v>4.5006064185635855E-4</v>
      </c>
      <c r="AE1353" s="5">
        <v>0.91148934236618206</v>
      </c>
      <c r="AF1353" s="5">
        <v>0.80657283304924843</v>
      </c>
    </row>
    <row r="1354" spans="23:32" x14ac:dyDescent="0.25">
      <c r="W1354">
        <v>68.099999999999994</v>
      </c>
      <c r="X1354" s="5">
        <v>66.721382039611029</v>
      </c>
      <c r="Y1354" s="5">
        <v>1.378617960388965</v>
      </c>
      <c r="Z1354" s="5">
        <v>1.3849050003747294</v>
      </c>
      <c r="AA1354" s="18">
        <v>4.5396904365721941E-3</v>
      </c>
      <c r="AB1354" s="5">
        <v>0.38426767217230712</v>
      </c>
      <c r="AC1354" s="4">
        <v>3.5441850427106335E-5</v>
      </c>
      <c r="AE1354" s="5">
        <v>0.91148934236618206</v>
      </c>
      <c r="AF1354" s="5">
        <v>0.80706109040826524</v>
      </c>
    </row>
    <row r="1355" spans="23:32" x14ac:dyDescent="0.25">
      <c r="W1355">
        <v>68</v>
      </c>
      <c r="X1355" s="5">
        <v>66.23485113595197</v>
      </c>
      <c r="Y1355" s="5">
        <v>1.7651488640480295</v>
      </c>
      <c r="Z1355" s="5">
        <v>1.771791367329044</v>
      </c>
      <c r="AA1355" s="18">
        <v>3.7490324219278536E-3</v>
      </c>
      <c r="AB1355" s="5">
        <v>0.49181169434413569</v>
      </c>
      <c r="AC1355" s="4">
        <v>4.7906510880070668E-5</v>
      </c>
      <c r="AE1355" s="5">
        <v>0.91148934236618206</v>
      </c>
      <c r="AF1355" s="5">
        <v>0.80712841557163273</v>
      </c>
    </row>
    <row r="1356" spans="23:32" x14ac:dyDescent="0.25">
      <c r="W1356">
        <v>67.599999999999994</v>
      </c>
      <c r="X1356" s="5">
        <v>68.52631091175769</v>
      </c>
      <c r="Y1356" s="5">
        <v>-0.92631091175769598</v>
      </c>
      <c r="Z1356" s="5">
        <v>-0.94529982794875878</v>
      </c>
      <c r="AA1356" s="18">
        <v>2.0087717811466121E-2</v>
      </c>
      <c r="AB1356" s="5">
        <v>-0.2602346195657641</v>
      </c>
      <c r="AC1356" s="4">
        <v>7.306677502429929E-5</v>
      </c>
      <c r="AE1356" s="5">
        <v>0.91841998904288702</v>
      </c>
      <c r="AF1356" s="5">
        <v>0.80902800202932945</v>
      </c>
    </row>
    <row r="1357" spans="23:32" x14ac:dyDescent="0.25">
      <c r="W1357">
        <v>67.599999999999994</v>
      </c>
      <c r="X1357" s="5">
        <v>68.790462399579638</v>
      </c>
      <c r="Y1357" s="5">
        <v>-1.1904623995796442</v>
      </c>
      <c r="Z1357" s="5">
        <v>-1.1993733729959075</v>
      </c>
      <c r="AA1357" s="18">
        <v>7.4296908843369518E-3</v>
      </c>
      <c r="AB1357" s="5">
        <v>-0.3323050449779148</v>
      </c>
      <c r="AC1357" s="4">
        <v>4.350405442788386E-5</v>
      </c>
      <c r="AE1357" s="5">
        <v>0.91841998904288702</v>
      </c>
      <c r="AF1357" s="5">
        <v>0.8092895459478302</v>
      </c>
    </row>
    <row r="1358" spans="23:32" x14ac:dyDescent="0.25">
      <c r="W1358">
        <v>67.400000000000006</v>
      </c>
      <c r="X1358" s="5">
        <v>67.497017900133898</v>
      </c>
      <c r="Y1358" s="5">
        <v>-9.7017900133891999E-2</v>
      </c>
      <c r="Z1358" s="5">
        <v>-9.8754153977949954E-2</v>
      </c>
      <c r="AA1358" s="18">
        <v>1.7581577828589091E-2</v>
      </c>
      <c r="AB1358" s="5">
        <v>-2.7221090122299386E-2</v>
      </c>
      <c r="AC1358" s="4">
        <v>6.979411032882245E-7</v>
      </c>
      <c r="AE1358" s="5">
        <v>0.91841998904288702</v>
      </c>
      <c r="AF1358" s="5">
        <v>0.81010925870292483</v>
      </c>
    </row>
    <row r="1359" spans="23:32" x14ac:dyDescent="0.25">
      <c r="W1359">
        <v>67.099999999999994</v>
      </c>
      <c r="X1359" s="5">
        <v>66.522638776379438</v>
      </c>
      <c r="Y1359" s="5">
        <v>0.57736122362055653</v>
      </c>
      <c r="Z1359" s="5">
        <v>0.58981125487636632</v>
      </c>
      <c r="AA1359" s="18">
        <v>2.1108500648098945E-2</v>
      </c>
      <c r="AB1359" s="5">
        <v>0.1622864371840777</v>
      </c>
      <c r="AC1359" s="4">
        <v>2.9890534415375343E-5</v>
      </c>
      <c r="AE1359" s="5">
        <v>0.91841998904288702</v>
      </c>
      <c r="AF1359" s="5">
        <v>0.8104728680175548</v>
      </c>
    </row>
    <row r="1360" spans="23:32" x14ac:dyDescent="0.25">
      <c r="W1360">
        <v>66.8</v>
      </c>
      <c r="X1360" s="5">
        <v>63.009877310728875</v>
      </c>
      <c r="Y1360" s="5">
        <v>3.7901226892711222</v>
      </c>
      <c r="Z1360" s="5">
        <v>3.8160877463646159</v>
      </c>
      <c r="AA1360" s="18">
        <v>6.8041037888163982E-3</v>
      </c>
      <c r="AB1360" s="5">
        <v>1.0576395974931763</v>
      </c>
      <c r="AC1360" s="4">
        <v>4.0332748353580318E-4</v>
      </c>
      <c r="AE1360" s="5">
        <v>0.91841998904288702</v>
      </c>
      <c r="AF1360" s="5">
        <v>0.8109238765184158</v>
      </c>
    </row>
    <row r="1361" spans="23:32" x14ac:dyDescent="0.25">
      <c r="W1361">
        <v>66.5</v>
      </c>
      <c r="X1361" s="5">
        <v>66.778325007471494</v>
      </c>
      <c r="Y1361" s="5">
        <v>-0.27832500747149425</v>
      </c>
      <c r="Z1361" s="5">
        <v>-0.28040230992618831</v>
      </c>
      <c r="AA1361" s="18">
        <v>7.4082929460724117E-3</v>
      </c>
      <c r="AB1361" s="5">
        <v>-7.7690658044504285E-2</v>
      </c>
      <c r="AC1361" s="4">
        <v>2.3709997264744967E-6</v>
      </c>
      <c r="AE1361" s="5">
        <v>0.91841998904288702</v>
      </c>
      <c r="AF1361" s="5">
        <v>0.81166107988003555</v>
      </c>
    </row>
    <row r="1362" spans="23:32" x14ac:dyDescent="0.25">
      <c r="W1362">
        <v>66.2</v>
      </c>
      <c r="X1362" s="5">
        <v>62.801882763263663</v>
      </c>
      <c r="Y1362" s="5">
        <v>3.3981172367363399</v>
      </c>
      <c r="Z1362" s="5">
        <v>3.4220713764394262</v>
      </c>
      <c r="AA1362" s="18">
        <v>6.9998948204313544E-3</v>
      </c>
      <c r="AB1362" s="5">
        <v>0.94834334894462413</v>
      </c>
      <c r="AC1362" s="4">
        <v>3.3367204599650795E-4</v>
      </c>
      <c r="AE1362" s="5">
        <v>0.93241539434320941</v>
      </c>
      <c r="AF1362" s="5">
        <v>0.81314154267891525</v>
      </c>
    </row>
    <row r="1363" spans="23:32" x14ac:dyDescent="0.25">
      <c r="W1363">
        <v>65.8</v>
      </c>
      <c r="X1363" s="5">
        <v>63.052304673474211</v>
      </c>
      <c r="Y1363" s="5">
        <v>2.7476953265257862</v>
      </c>
      <c r="Z1363" s="5">
        <v>2.7637894746237919</v>
      </c>
      <c r="AA1363" s="18">
        <v>5.8232178122735977E-3</v>
      </c>
      <c r="AB1363" s="5">
        <v>0.76637028744721314</v>
      </c>
      <c r="AC1363" s="4">
        <v>1.8106025785792379E-4</v>
      </c>
      <c r="AE1363" s="5">
        <v>0.93241539434320941</v>
      </c>
      <c r="AF1363" s="5">
        <v>0.82152930187098028</v>
      </c>
    </row>
    <row r="1364" spans="23:32" x14ac:dyDescent="0.25">
      <c r="W1364">
        <v>62</v>
      </c>
      <c r="X1364" s="5">
        <v>66.17260068234863</v>
      </c>
      <c r="Y1364" s="5">
        <v>-4.1726006823486301</v>
      </c>
      <c r="Z1364" s="5">
        <v>-4.2325656156857718</v>
      </c>
      <c r="AA1364" s="18">
        <v>1.4167514170344613E-2</v>
      </c>
      <c r="AB1364" s="5">
        <v>-1.1687110598212613</v>
      </c>
      <c r="AC1364" s="4">
        <v>1.0331211139224523E-3</v>
      </c>
      <c r="AE1364" s="5">
        <v>0.93712127394454448</v>
      </c>
      <c r="AF1364" s="5">
        <v>0.82289084808144597</v>
      </c>
    </row>
    <row r="1365" spans="23:32" x14ac:dyDescent="0.25">
      <c r="W1365">
        <v>69</v>
      </c>
      <c r="X1365" s="5">
        <v>66.505714363285506</v>
      </c>
      <c r="Y1365" s="5">
        <v>2.4942856367144941</v>
      </c>
      <c r="Z1365" s="5">
        <v>2.525419888901169</v>
      </c>
      <c r="AA1365" s="18">
        <v>1.2328346792353411E-2</v>
      </c>
      <c r="AB1365" s="5">
        <v>0.69797807853550775</v>
      </c>
      <c r="AC1365" s="4">
        <v>3.2005323250468797E-4</v>
      </c>
      <c r="AE1365" s="5">
        <v>0.93712127394454448</v>
      </c>
      <c r="AF1365" s="5">
        <v>0.82537279901294769</v>
      </c>
    </row>
    <row r="1366" spans="23:32" x14ac:dyDescent="0.25">
      <c r="W1366">
        <v>59.2</v>
      </c>
      <c r="X1366" s="5">
        <v>69.874280364867786</v>
      </c>
      <c r="Y1366" s="5">
        <v>-10.674280364867784</v>
      </c>
      <c r="Z1366" s="5">
        <v>-10.741756391223873</v>
      </c>
      <c r="AA1366" s="18">
        <v>6.2816567327123249E-3</v>
      </c>
      <c r="AB1366" s="5">
        <v>-2.9778913210961564</v>
      </c>
      <c r="AC1366" s="4">
        <v>2.9503597915757082E-3</v>
      </c>
      <c r="AE1366" s="5">
        <v>0.93712127394454448</v>
      </c>
      <c r="AF1366" s="5">
        <v>0.83713631389866427</v>
      </c>
    </row>
    <row r="1367" spans="23:32" x14ac:dyDescent="0.25">
      <c r="W1367">
        <v>58.9</v>
      </c>
      <c r="X1367" s="5">
        <v>62.587406859463854</v>
      </c>
      <c r="Y1367" s="5">
        <v>-3.6874068594638558</v>
      </c>
      <c r="Z1367" s="5">
        <v>-3.7132695592621374</v>
      </c>
      <c r="AA1367" s="18">
        <v>6.9649400307536316E-3</v>
      </c>
      <c r="AB1367" s="5">
        <v>-1.0290599117150248</v>
      </c>
      <c r="AC1367" s="4">
        <v>3.9091336485050723E-4</v>
      </c>
      <c r="AE1367" s="5">
        <v>0.93712127394454448</v>
      </c>
      <c r="AF1367" s="5">
        <v>0.83753298971623358</v>
      </c>
    </row>
    <row r="1368" spans="23:32" x14ac:dyDescent="0.25">
      <c r="W1368">
        <v>58</v>
      </c>
      <c r="X1368" s="5">
        <v>61.253934731257218</v>
      </c>
      <c r="Y1368" s="5">
        <v>-3.2539347312572175</v>
      </c>
      <c r="Z1368" s="5">
        <v>-3.280725036410999</v>
      </c>
      <c r="AA1368" s="18">
        <v>8.1659708925477786E-3</v>
      </c>
      <c r="AB1368" s="5">
        <v>-0.90863869361072469</v>
      </c>
      <c r="AC1368" s="4">
        <v>3.577648554024933E-4</v>
      </c>
      <c r="AE1368" s="5">
        <v>0.93712127394454448</v>
      </c>
      <c r="AF1368" s="5">
        <v>0.83795411713295775</v>
      </c>
    </row>
    <row r="1369" spans="23:32" x14ac:dyDescent="0.25">
      <c r="W1369">
        <v>56.5</v>
      </c>
      <c r="X1369" s="5">
        <v>56.930481852177294</v>
      </c>
      <c r="Y1369" s="5">
        <v>-0.4304818521772944</v>
      </c>
      <c r="Z1369" s="5">
        <v>-0.43464453249752211</v>
      </c>
      <c r="AA1369" s="18">
        <v>9.5772062202394374E-3</v>
      </c>
      <c r="AB1369" s="5">
        <v>-0.12029468133653046</v>
      </c>
      <c r="AC1369" s="4">
        <v>7.3647407446159577E-6</v>
      </c>
      <c r="AE1369" s="5">
        <v>0.94897780985887181</v>
      </c>
      <c r="AF1369" s="5">
        <v>0.83916797813796518</v>
      </c>
    </row>
    <row r="1370" spans="23:32" x14ac:dyDescent="0.25">
      <c r="W1370">
        <v>55.3</v>
      </c>
      <c r="X1370" s="5">
        <v>54.970371137842761</v>
      </c>
      <c r="Y1370" s="5">
        <v>0.32962886215723586</v>
      </c>
      <c r="Z1370" s="5">
        <v>0.33707277594943719</v>
      </c>
      <c r="AA1370" s="18">
        <v>2.2083995870724051E-2</v>
      </c>
      <c r="AB1370" s="5">
        <v>9.2699276861928359E-2</v>
      </c>
      <c r="AC1370" s="4">
        <v>1.0213514156597059E-5</v>
      </c>
      <c r="AE1370" s="5">
        <v>0.94897780985887181</v>
      </c>
      <c r="AF1370" s="5">
        <v>0.84179748210931327</v>
      </c>
    </row>
    <row r="1371" spans="23:32" x14ac:dyDescent="0.25">
      <c r="W1371">
        <v>54.5</v>
      </c>
      <c r="X1371" s="5">
        <v>52.71090074452033</v>
      </c>
      <c r="Y1371" s="5">
        <v>1.7890992554796696</v>
      </c>
      <c r="Z1371" s="5">
        <v>1.8164040986498335</v>
      </c>
      <c r="AA1371" s="18">
        <v>1.5032361571117871E-2</v>
      </c>
      <c r="AB1371" s="5">
        <v>0.50133190692219964</v>
      </c>
      <c r="AC1371" s="4">
        <v>2.0188420511747844E-4</v>
      </c>
      <c r="AE1371" s="5">
        <v>0.94897780985887181</v>
      </c>
      <c r="AF1371" s="5">
        <v>0.8450871312007715</v>
      </c>
    </row>
    <row r="1372" spans="23:32" x14ac:dyDescent="0.25">
      <c r="W1372">
        <v>54</v>
      </c>
      <c r="X1372" s="5">
        <v>51.825146378179625</v>
      </c>
      <c r="Y1372" s="5">
        <v>2.1748536218203753</v>
      </c>
      <c r="Z1372" s="5">
        <v>2.2594961951465962</v>
      </c>
      <c r="AA1372" s="18">
        <v>3.7460816932569627E-2</v>
      </c>
      <c r="AB1372" s="5">
        <v>0.61648528531091051</v>
      </c>
      <c r="AC1372" s="4">
        <v>7.7848572857217848E-4</v>
      </c>
      <c r="AE1372" s="5">
        <v>0.94897780985887181</v>
      </c>
      <c r="AF1372" s="5">
        <v>0.8470430704577766</v>
      </c>
    </row>
    <row r="1373" spans="23:32" x14ac:dyDescent="0.25">
      <c r="W1373">
        <v>53.8</v>
      </c>
      <c r="X1373" s="5">
        <v>50.904233263807036</v>
      </c>
      <c r="Y1373" s="5">
        <v>2.8957667361929609</v>
      </c>
      <c r="Z1373" s="5">
        <v>2.9523302752797207</v>
      </c>
      <c r="AA1373" s="18">
        <v>1.9158946937737668E-2</v>
      </c>
      <c r="AB1373" s="5">
        <v>0.81314154267891525</v>
      </c>
      <c r="AC1373" s="4">
        <v>6.7975388349144738E-4</v>
      </c>
      <c r="AE1373" s="5">
        <v>0.95855995741850497</v>
      </c>
      <c r="AF1373" s="5">
        <v>0.84806908760488453</v>
      </c>
    </row>
    <row r="1374" spans="23:32" x14ac:dyDescent="0.25">
      <c r="W1374">
        <v>53.7</v>
      </c>
      <c r="X1374" s="5">
        <v>50.82891296718833</v>
      </c>
      <c r="Y1374" s="5">
        <v>2.8710870328116727</v>
      </c>
      <c r="Z1374" s="5">
        <v>2.9297936866469243</v>
      </c>
      <c r="AA1374" s="18">
        <v>2.0037811571106581E-2</v>
      </c>
      <c r="AB1374" s="5">
        <v>0.80657283304924843</v>
      </c>
      <c r="AC1374" s="4">
        <v>7.0012332805791523E-4</v>
      </c>
      <c r="AE1374" s="5">
        <v>0.95855995741850497</v>
      </c>
      <c r="AF1374" s="5">
        <v>0.85034442573270475</v>
      </c>
    </row>
    <row r="1375" spans="23:32" x14ac:dyDescent="0.25">
      <c r="W1375">
        <v>54</v>
      </c>
      <c r="X1375" s="5">
        <v>50.770486629821818</v>
      </c>
      <c r="Y1375" s="5">
        <v>3.2295133701781822</v>
      </c>
      <c r="Z1375" s="5">
        <v>3.3298965015569095</v>
      </c>
      <c r="AA1375" s="18">
        <v>3.0146021454959628E-2</v>
      </c>
      <c r="AB1375" s="5">
        <v>0.91198102593256725</v>
      </c>
      <c r="AC1375" s="4">
        <v>1.3606350581449153E-3</v>
      </c>
      <c r="AE1375" s="5">
        <v>0.95855995741850497</v>
      </c>
      <c r="AF1375" s="5">
        <v>0.85235183913481016</v>
      </c>
    </row>
    <row r="1376" spans="23:32" x14ac:dyDescent="0.25">
      <c r="W1376">
        <v>54.9</v>
      </c>
      <c r="X1376" s="5">
        <v>51.382445338153666</v>
      </c>
      <c r="Y1376" s="5">
        <v>3.5175546618463329</v>
      </c>
      <c r="Z1376" s="5">
        <v>3.646572509787056</v>
      </c>
      <c r="AA1376" s="18">
        <v>3.538057932331054E-2</v>
      </c>
      <c r="AB1376" s="5">
        <v>0.99601240188096185</v>
      </c>
      <c r="AC1376" s="4">
        <v>1.9150707791163535E-3</v>
      </c>
      <c r="AE1376" s="5">
        <v>0.95855995741850497</v>
      </c>
      <c r="AF1376" s="5">
        <v>0.85440055341570265</v>
      </c>
    </row>
    <row r="1377" spans="23:32" x14ac:dyDescent="0.25">
      <c r="W1377">
        <v>56</v>
      </c>
      <c r="X1377" s="5">
        <v>53.306075071280205</v>
      </c>
      <c r="Y1377" s="5">
        <v>2.6939249287197953</v>
      </c>
      <c r="Z1377" s="5">
        <v>2.7429469653068423</v>
      </c>
      <c r="AA1377" s="18">
        <v>1.7872032236526232E-2</v>
      </c>
      <c r="AB1377" s="5">
        <v>0.75596787706120516</v>
      </c>
      <c r="AC1377" s="4">
        <v>5.4734221198619859E-4</v>
      </c>
      <c r="AE1377" s="5">
        <v>0.95855995741850497</v>
      </c>
      <c r="AF1377" s="5">
        <v>0.85535201862982713</v>
      </c>
    </row>
    <row r="1378" spans="23:32" x14ac:dyDescent="0.25">
      <c r="W1378">
        <v>57.3</v>
      </c>
      <c r="X1378" s="5">
        <v>55.024130681176246</v>
      </c>
      <c r="Y1378" s="5">
        <v>2.2758693188237515</v>
      </c>
      <c r="Z1378" s="5">
        <v>2.3171374721512308</v>
      </c>
      <c r="AA1378" s="18">
        <v>1.7809971925905096E-2</v>
      </c>
      <c r="AB1378" s="5">
        <v>0.63863314202671484</v>
      </c>
      <c r="AC1378" s="4">
        <v>3.8923960091777088E-4</v>
      </c>
      <c r="AE1378" s="5">
        <v>0.95855995741850497</v>
      </c>
      <c r="AF1378" s="5">
        <v>0.86361262731897526</v>
      </c>
    </row>
    <row r="1379" spans="23:32" x14ac:dyDescent="0.25">
      <c r="W1379">
        <v>82.6</v>
      </c>
      <c r="X1379" s="5">
        <v>80.912826506353028</v>
      </c>
      <c r="Y1379" s="5">
        <v>1.6871734936469664</v>
      </c>
      <c r="Z1379" s="5">
        <v>1.7059141116682355</v>
      </c>
      <c r="AA1379" s="18">
        <v>1.0985675007369598E-2</v>
      </c>
      <c r="AB1379" s="5">
        <v>0.47180261597749429</v>
      </c>
      <c r="AC1379" s="4">
        <v>1.301341420414238E-4</v>
      </c>
      <c r="AE1379" s="5">
        <v>0.95855995741850497</v>
      </c>
      <c r="AF1379" s="5">
        <v>0.86379718434158625</v>
      </c>
    </row>
    <row r="1380" spans="23:32" x14ac:dyDescent="0.25">
      <c r="W1380">
        <v>82.4</v>
      </c>
      <c r="X1380" s="5">
        <v>81.231572369370681</v>
      </c>
      <c r="Y1380" s="5">
        <v>1.1684276306293242</v>
      </c>
      <c r="Z1380" s="5">
        <v>1.1746390483408931</v>
      </c>
      <c r="AA1380" s="18">
        <v>5.2879373628310026E-3</v>
      </c>
      <c r="AB1380" s="5">
        <v>0.32580295423837996</v>
      </c>
      <c r="AC1380" s="4">
        <v>2.9699241141964634E-5</v>
      </c>
      <c r="AE1380" s="5">
        <v>0.95855995741850497</v>
      </c>
      <c r="AF1380" s="5">
        <v>0.86659492201784094</v>
      </c>
    </row>
    <row r="1381" spans="23:32" x14ac:dyDescent="0.25">
      <c r="W1381">
        <v>82</v>
      </c>
      <c r="X1381" s="5">
        <v>81.813803006114128</v>
      </c>
      <c r="Y1381" s="5">
        <v>0.18619699388587208</v>
      </c>
      <c r="Z1381" s="5">
        <v>0.18709523330460343</v>
      </c>
      <c r="AA1381" s="18">
        <v>4.8009743640679056E-3</v>
      </c>
      <c r="AB1381" s="5">
        <v>5.190624183340975E-2</v>
      </c>
      <c r="AC1381" s="4">
        <v>6.8407704193167926E-7</v>
      </c>
      <c r="AE1381" s="5">
        <v>0.95855995741850497</v>
      </c>
      <c r="AF1381" s="5">
        <v>0.86757336283853048</v>
      </c>
    </row>
    <row r="1382" spans="23:32" x14ac:dyDescent="0.25">
      <c r="W1382">
        <v>82.1</v>
      </c>
      <c r="X1382" s="5">
        <v>81.667900500040588</v>
      </c>
      <c r="Y1382" s="5">
        <v>0.43209949995940633</v>
      </c>
      <c r="Z1382" s="5">
        <v>0.43465844420809674</v>
      </c>
      <c r="AA1382" s="18">
        <v>5.8872530438378286E-3</v>
      </c>
      <c r="AB1382" s="5">
        <v>0.12052241745549795</v>
      </c>
      <c r="AC1382" s="4">
        <v>4.5275069729739953E-6</v>
      </c>
      <c r="AE1382" s="5">
        <v>0.95855995741850497</v>
      </c>
      <c r="AF1382" s="5">
        <v>0.86780683864311525</v>
      </c>
    </row>
    <row r="1383" spans="23:32" x14ac:dyDescent="0.25">
      <c r="W1383">
        <v>81.900000000000006</v>
      </c>
      <c r="X1383" s="5">
        <v>79.140088243390323</v>
      </c>
      <c r="Y1383" s="5">
        <v>2.7599117566096822</v>
      </c>
      <c r="Z1383" s="5">
        <v>2.7726729100163965</v>
      </c>
      <c r="AA1383" s="18">
        <v>4.6024734329864082E-3</v>
      </c>
      <c r="AB1383" s="5">
        <v>0.76930545088321212</v>
      </c>
      <c r="AC1383" s="4">
        <v>1.4402528767084712E-4</v>
      </c>
      <c r="AE1383" s="5">
        <v>0.95855995741850497</v>
      </c>
      <c r="AF1383" s="5">
        <v>0.86860125871961114</v>
      </c>
    </row>
    <row r="1384" spans="23:32" x14ac:dyDescent="0.25">
      <c r="W1384">
        <v>81.599999999999994</v>
      </c>
      <c r="X1384" s="5">
        <v>81.126833100361651</v>
      </c>
      <c r="Y1384" s="5">
        <v>0.47316689963834335</v>
      </c>
      <c r="Z1384" s="5">
        <v>0.47591015359539313</v>
      </c>
      <c r="AA1384" s="18">
        <v>5.7642265800143221E-3</v>
      </c>
      <c r="AB1384" s="5">
        <v>0.13196888733796364</v>
      </c>
      <c r="AC1384" s="4">
        <v>5.3142400434736841E-6</v>
      </c>
      <c r="AE1384" s="5">
        <v>0.98537673313779217</v>
      </c>
      <c r="AF1384" s="5">
        <v>0.87055480533020912</v>
      </c>
    </row>
    <row r="1385" spans="23:32" x14ac:dyDescent="0.25">
      <c r="W1385">
        <v>81.3</v>
      </c>
      <c r="X1385" s="5">
        <v>82.112855579865965</v>
      </c>
      <c r="Y1385" s="5">
        <v>-0.81285557986596757</v>
      </c>
      <c r="Z1385" s="5">
        <v>-0.81810001567593815</v>
      </c>
      <c r="AA1385" s="18">
        <v>6.4105069178263113E-3</v>
      </c>
      <c r="AB1385" s="5">
        <v>-0.22678367458949542</v>
      </c>
      <c r="AC1385" s="4">
        <v>1.7464467878664324E-5</v>
      </c>
      <c r="AE1385" s="5">
        <v>0.98537673313779217</v>
      </c>
      <c r="AF1385" s="5">
        <v>0.87368302012386334</v>
      </c>
    </row>
    <row r="1386" spans="23:32" x14ac:dyDescent="0.25">
      <c r="W1386">
        <v>89</v>
      </c>
      <c r="X1386" s="5">
        <v>78.395069105087813</v>
      </c>
      <c r="Y1386" s="5">
        <v>10.604930894912187</v>
      </c>
      <c r="Z1386" s="5">
        <v>10.647237208764281</v>
      </c>
      <c r="AA1386" s="18">
        <v>3.9734546176232117E-3</v>
      </c>
      <c r="AB1386" s="5">
        <v>2.9551142632689715</v>
      </c>
      <c r="AC1386" s="4">
        <v>1.8335480656607238E-3</v>
      </c>
      <c r="AE1386" s="5">
        <v>0.99032898964496086</v>
      </c>
      <c r="AF1386" s="5">
        <v>0.87701664460400219</v>
      </c>
    </row>
    <row r="1387" spans="23:32" x14ac:dyDescent="0.25">
      <c r="W1387">
        <v>88</v>
      </c>
      <c r="X1387" s="5">
        <v>80.017479460170648</v>
      </c>
      <c r="Y1387" s="5">
        <v>7.9825205398293519</v>
      </c>
      <c r="Z1387" s="5">
        <v>8.021465727808831</v>
      </c>
      <c r="AA1387" s="18">
        <v>4.8551211587764247E-3</v>
      </c>
      <c r="AB1387" s="5">
        <v>2.2253523280455898</v>
      </c>
      <c r="AC1387" s="4">
        <v>1.271621081717751E-3</v>
      </c>
      <c r="AE1387" s="5">
        <v>0.99032898964496086</v>
      </c>
      <c r="AF1387" s="5">
        <v>0.87803915928077025</v>
      </c>
    </row>
    <row r="1388" spans="23:32" x14ac:dyDescent="0.25">
      <c r="W1388">
        <v>81</v>
      </c>
      <c r="X1388" s="5">
        <v>76.028077109205967</v>
      </c>
      <c r="Y1388" s="5">
        <v>4.9719228907940334</v>
      </c>
      <c r="Z1388" s="5">
        <v>5.0299395627334178</v>
      </c>
      <c r="AA1388" s="18">
        <v>1.1534268198612875E-2</v>
      </c>
      <c r="AB1388" s="5">
        <v>1.3907384680406882</v>
      </c>
      <c r="AC1388" s="4">
        <v>1.1878613775235839E-3</v>
      </c>
      <c r="AE1388" s="5">
        <v>0.99032898964496086</v>
      </c>
      <c r="AF1388" s="5">
        <v>0.87868480100337309</v>
      </c>
    </row>
    <row r="1389" spans="23:32" x14ac:dyDescent="0.25">
      <c r="W1389">
        <v>81</v>
      </c>
      <c r="X1389" s="5">
        <v>79.171491741437137</v>
      </c>
      <c r="Y1389" s="5">
        <v>1.8285082585628629</v>
      </c>
      <c r="Z1389" s="5">
        <v>1.8362167431762373</v>
      </c>
      <c r="AA1389" s="18">
        <v>4.1980254466243584E-3</v>
      </c>
      <c r="AB1389" s="5">
        <v>0.50957994362288872</v>
      </c>
      <c r="AC1389" s="4">
        <v>5.7616004182753609E-5</v>
      </c>
      <c r="AE1389" s="5">
        <v>0.99032898964496086</v>
      </c>
      <c r="AF1389" s="5">
        <v>0.88099201288439932</v>
      </c>
    </row>
    <row r="1390" spans="23:32" x14ac:dyDescent="0.25">
      <c r="W1390">
        <v>79.400000000000006</v>
      </c>
      <c r="X1390" s="5">
        <v>78.884436866300547</v>
      </c>
      <c r="Y1390" s="5">
        <v>0.51556313369945883</v>
      </c>
      <c r="Z1390" s="5">
        <v>0.51745710006839829</v>
      </c>
      <c r="AA1390" s="18">
        <v>3.660141814053264E-3</v>
      </c>
      <c r="AB1390" s="5">
        <v>0.14364152071704589</v>
      </c>
      <c r="AC1390" s="4">
        <v>3.989300908524955E-6</v>
      </c>
      <c r="AE1390" s="5">
        <v>1.0003070916314494</v>
      </c>
      <c r="AF1390" s="5">
        <v>0.88190078397058103</v>
      </c>
    </row>
    <row r="1391" spans="23:32" x14ac:dyDescent="0.25">
      <c r="W1391">
        <v>79.5</v>
      </c>
      <c r="X1391" s="5">
        <v>77.45855546640891</v>
      </c>
      <c r="Y1391" s="5">
        <v>2.0414445335910898</v>
      </c>
      <c r="Z1391" s="5">
        <v>2.0510478067700575</v>
      </c>
      <c r="AA1391" s="18">
        <v>4.6821303468775489E-3</v>
      </c>
      <c r="AB1391" s="5">
        <v>0.56906067629310308</v>
      </c>
      <c r="AC1391" s="4">
        <v>8.0176159429250197E-5</v>
      </c>
      <c r="AE1391" s="5">
        <v>1.0003070916314494</v>
      </c>
      <c r="AF1391" s="5">
        <v>0.88200288827535933</v>
      </c>
    </row>
    <row r="1392" spans="23:32" x14ac:dyDescent="0.25">
      <c r="W1392">
        <v>79.400000000000006</v>
      </c>
      <c r="X1392" s="5">
        <v>78.366746155889118</v>
      </c>
      <c r="Y1392" s="5">
        <v>1.0332538441108881</v>
      </c>
      <c r="Z1392" s="5">
        <v>1.0354413664826012</v>
      </c>
      <c r="AA1392" s="18">
        <v>2.1126472657214692E-3</v>
      </c>
      <c r="AB1392" s="5">
        <v>0.2876525062451023</v>
      </c>
      <c r="AC1392" s="4">
        <v>9.2199421717802073E-6</v>
      </c>
      <c r="AE1392" s="5">
        <v>1.0003070916314494</v>
      </c>
      <c r="AF1392" s="5">
        <v>0.88288612550649093</v>
      </c>
    </row>
    <row r="1393" spans="23:32" x14ac:dyDescent="0.25">
      <c r="W1393">
        <v>79.099999999999994</v>
      </c>
      <c r="X1393" s="5">
        <v>78.157444219114907</v>
      </c>
      <c r="Y1393" s="5">
        <v>0.94255578088508685</v>
      </c>
      <c r="Z1393" s="5">
        <v>0.94503463680173638</v>
      </c>
      <c r="AA1393" s="18">
        <v>2.6230318129206085E-3</v>
      </c>
      <c r="AB1393" s="5">
        <v>0.26246976693272051</v>
      </c>
      <c r="AC1393" s="4">
        <v>9.5356256468246847E-6</v>
      </c>
      <c r="AE1393" s="5">
        <v>1.0003070916314494</v>
      </c>
      <c r="AF1393" s="5">
        <v>0.88352304698801554</v>
      </c>
    </row>
    <row r="1394" spans="23:32" x14ac:dyDescent="0.25">
      <c r="W1394">
        <v>74.7</v>
      </c>
      <c r="X1394" s="5">
        <v>72.354223253739448</v>
      </c>
      <c r="Y1394" s="5">
        <v>2.3457767462605545</v>
      </c>
      <c r="Z1394" s="5">
        <v>2.3690439489406714</v>
      </c>
      <c r="AA1394" s="18">
        <v>9.8213469997128974E-3</v>
      </c>
      <c r="AB1394" s="5">
        <v>0.65558919763902723</v>
      </c>
      <c r="AC1394" s="4">
        <v>2.2437138725198534E-4</v>
      </c>
      <c r="AE1394" s="5">
        <v>1.0003070916314494</v>
      </c>
      <c r="AF1394" s="5">
        <v>0.88395669754727768</v>
      </c>
    </row>
    <row r="1395" spans="23:32" x14ac:dyDescent="0.25">
      <c r="W1395">
        <v>74.599999999999994</v>
      </c>
      <c r="X1395" s="5">
        <v>72.099962075641386</v>
      </c>
      <c r="Y1395" s="5">
        <v>2.5000379243586082</v>
      </c>
      <c r="Z1395" s="5">
        <v>2.5241641311240812</v>
      </c>
      <c r="AA1395" s="18">
        <v>9.5580974580801586E-3</v>
      </c>
      <c r="AB1395" s="5">
        <v>0.69860869344198684</v>
      </c>
      <c r="AC1395" s="4">
        <v>2.4788875090555576E-4</v>
      </c>
      <c r="AE1395" s="5">
        <v>1.0129215482717411</v>
      </c>
      <c r="AF1395" s="5">
        <v>0.88743415250894597</v>
      </c>
    </row>
    <row r="1396" spans="23:32" x14ac:dyDescent="0.25">
      <c r="W1396">
        <v>74.5</v>
      </c>
      <c r="X1396" s="5">
        <v>71.805169093982698</v>
      </c>
      <c r="Y1396" s="5">
        <v>2.6948309060173017</v>
      </c>
      <c r="Z1396" s="5">
        <v>2.7211580308006944</v>
      </c>
      <c r="AA1396" s="18">
        <v>9.6749709077545449E-3</v>
      </c>
      <c r="AB1396" s="5">
        <v>0.75308592975054367</v>
      </c>
      <c r="AC1396" s="4">
        <v>2.9161333425343523E-4</v>
      </c>
      <c r="AE1396" s="5">
        <v>1.0129215482717411</v>
      </c>
      <c r="AF1396" s="5">
        <v>0.89270841694194558</v>
      </c>
    </row>
    <row r="1397" spans="23:32" x14ac:dyDescent="0.25">
      <c r="W1397">
        <v>74.5</v>
      </c>
      <c r="X1397" s="5">
        <v>71.053487321894949</v>
      </c>
      <c r="Y1397" s="5">
        <v>3.4465126781050515</v>
      </c>
      <c r="Z1397" s="5">
        <v>3.4845452426157948</v>
      </c>
      <c r="AA1397" s="18">
        <v>1.0914642187912514E-2</v>
      </c>
      <c r="AB1397" s="5">
        <v>0.96375109791769231</v>
      </c>
      <c r="AC1397" s="4">
        <v>5.3945087375257845E-4</v>
      </c>
      <c r="AE1397" s="5">
        <v>1.0129215482717411</v>
      </c>
      <c r="AF1397" s="5">
        <v>0.89450409813942988</v>
      </c>
    </row>
    <row r="1398" spans="23:32" x14ac:dyDescent="0.25">
      <c r="W1398">
        <v>74.5</v>
      </c>
      <c r="X1398" s="5">
        <v>71.677074131128194</v>
      </c>
      <c r="Y1398" s="5">
        <v>2.8229258688718062</v>
      </c>
      <c r="Z1398" s="5">
        <v>2.8491808703609678</v>
      </c>
      <c r="AA1398" s="18">
        <v>9.2149297232368196E-3</v>
      </c>
      <c r="AB1398" s="5">
        <v>0.78869963246884911</v>
      </c>
      <c r="AC1398" s="4">
        <v>3.0449646115133502E-4</v>
      </c>
      <c r="AE1398" s="5">
        <v>1.0205681915260707</v>
      </c>
      <c r="AF1398" s="5">
        <v>0.8953963322681987</v>
      </c>
    </row>
    <row r="1399" spans="23:32" x14ac:dyDescent="0.25">
      <c r="W1399">
        <v>71.8</v>
      </c>
      <c r="X1399" s="5">
        <v>70.731621097403121</v>
      </c>
      <c r="Y1399" s="5">
        <v>1.0683789025968764</v>
      </c>
      <c r="Z1399" s="5">
        <v>1.0784669572358041</v>
      </c>
      <c r="AA1399" s="18">
        <v>9.3540692844126215E-3</v>
      </c>
      <c r="AB1399" s="5">
        <v>0.29851624165759549</v>
      </c>
      <c r="AC1399" s="4">
        <v>4.4285795661037721E-5</v>
      </c>
      <c r="AE1399" s="5">
        <v>1.0205681915260707</v>
      </c>
      <c r="AF1399" s="5">
        <v>0.8958333057041773</v>
      </c>
    </row>
    <row r="1400" spans="23:32" x14ac:dyDescent="0.25">
      <c r="W1400">
        <v>72.3</v>
      </c>
      <c r="X1400" s="5">
        <v>70.787547509405428</v>
      </c>
      <c r="Y1400" s="5">
        <v>1.5124524905945691</v>
      </c>
      <c r="Z1400" s="5">
        <v>1.5265952354268961</v>
      </c>
      <c r="AA1400" s="18">
        <v>9.264240123459588E-3</v>
      </c>
      <c r="AB1400" s="5">
        <v>0.42257588898206638</v>
      </c>
      <c r="AC1400" s="4">
        <v>8.7883590331812959E-5</v>
      </c>
      <c r="AE1400" s="5">
        <v>1.0205681915260707</v>
      </c>
      <c r="AF1400" s="5">
        <v>0.89648691165023042</v>
      </c>
    </row>
    <row r="1401" spans="23:32" x14ac:dyDescent="0.25">
      <c r="W1401">
        <v>73.7</v>
      </c>
      <c r="X1401" s="5">
        <v>71.059989407386155</v>
      </c>
      <c r="Y1401" s="5">
        <v>2.640010592613848</v>
      </c>
      <c r="Z1401" s="5">
        <v>2.6636957832482722</v>
      </c>
      <c r="AA1401" s="18">
        <v>8.8918527346025754E-3</v>
      </c>
      <c r="AB1401" s="5">
        <v>0.73747455089315905</v>
      </c>
      <c r="AC1401" s="4">
        <v>2.568098577977091E-4</v>
      </c>
      <c r="AE1401" s="5">
        <v>1.0205681915260707</v>
      </c>
      <c r="AF1401" s="5">
        <v>0.89824462701327668</v>
      </c>
    </row>
    <row r="1402" spans="23:32" x14ac:dyDescent="0.25">
      <c r="W1402">
        <v>73.8</v>
      </c>
      <c r="X1402" s="5">
        <v>70.976641733798445</v>
      </c>
      <c r="Y1402" s="5">
        <v>2.8233582662015522</v>
      </c>
      <c r="Z1402" s="5">
        <v>2.8478690063449079</v>
      </c>
      <c r="AA1402" s="18">
        <v>8.6066950722612848E-3</v>
      </c>
      <c r="AB1402" s="5">
        <v>0.78857842661573063</v>
      </c>
      <c r="AC1402" s="4">
        <v>2.8413623237230428E-4</v>
      </c>
      <c r="AE1402" s="5">
        <v>1.0308575175648222</v>
      </c>
      <c r="AF1402" s="5">
        <v>0.90006981168187461</v>
      </c>
    </row>
    <row r="1403" spans="23:32" x14ac:dyDescent="0.25">
      <c r="W1403">
        <v>74.2</v>
      </c>
      <c r="X1403" s="5">
        <v>70.845108743439653</v>
      </c>
      <c r="Y1403" s="5">
        <v>3.3548912565603501</v>
      </c>
      <c r="Z1403" s="5">
        <v>3.383662331043098</v>
      </c>
      <c r="AA1403" s="18">
        <v>8.5029390252080138E-3</v>
      </c>
      <c r="AB1403" s="5">
        <v>0.93698928377531432</v>
      </c>
      <c r="AC1403" s="4">
        <v>3.9627190299882243E-4</v>
      </c>
      <c r="AE1403" s="5">
        <v>1.0308575175648222</v>
      </c>
      <c r="AF1403" s="5">
        <v>0.90197539239753188</v>
      </c>
    </row>
    <row r="1404" spans="23:32" x14ac:dyDescent="0.25">
      <c r="W1404">
        <v>69.099999999999994</v>
      </c>
      <c r="X1404" s="5">
        <v>69.622821633101836</v>
      </c>
      <c r="Y1404" s="5">
        <v>-0.5228216331018416</v>
      </c>
      <c r="Z1404" s="5">
        <v>-0.52818933867582984</v>
      </c>
      <c r="AA1404" s="18">
        <v>1.0162464822639031E-2</v>
      </c>
      <c r="AB1404" s="5">
        <v>-0.14614147349613868</v>
      </c>
      <c r="AC1404" s="4">
        <v>1.1540602952138325E-5</v>
      </c>
      <c r="AE1404" s="5">
        <v>1.0308575175648222</v>
      </c>
      <c r="AF1404" s="5">
        <v>0.90833650658748943</v>
      </c>
    </row>
    <row r="1405" spans="23:32" x14ac:dyDescent="0.25">
      <c r="W1405">
        <v>73.900000000000006</v>
      </c>
      <c r="X1405" s="5">
        <v>70.762904041100171</v>
      </c>
      <c r="Y1405" s="5">
        <v>3.1370959588998346</v>
      </c>
      <c r="Z1405" s="5">
        <v>3.1822525394523637</v>
      </c>
      <c r="AA1405" s="18">
        <v>1.419013104481516E-2</v>
      </c>
      <c r="AB1405" s="5">
        <v>0.87868480100337309</v>
      </c>
      <c r="AC1405" s="4">
        <v>5.8493266150354706E-4</v>
      </c>
      <c r="AE1405" s="5">
        <v>1.0386467129748296</v>
      </c>
      <c r="AF1405" s="5">
        <v>0.90925492924220941</v>
      </c>
    </row>
    <row r="1406" spans="23:32" x14ac:dyDescent="0.25">
      <c r="W1406">
        <v>71.400000000000006</v>
      </c>
      <c r="X1406" s="5">
        <v>72.155734438579202</v>
      </c>
      <c r="Y1406" s="5">
        <v>-0.75573443857919642</v>
      </c>
      <c r="Z1406" s="5">
        <v>-0.75713178139911008</v>
      </c>
      <c r="AA1406" s="18">
        <v>1.8455741183356885E-3</v>
      </c>
      <c r="AB1406" s="5">
        <v>-0.2103643955081671</v>
      </c>
      <c r="AC1406" s="4">
        <v>4.3065017380080048E-6</v>
      </c>
      <c r="AE1406" s="5">
        <v>1.0386467129748296</v>
      </c>
      <c r="AF1406" s="5">
        <v>0.91064202130283523</v>
      </c>
    </row>
    <row r="1407" spans="23:32" x14ac:dyDescent="0.25">
      <c r="W1407">
        <v>71.2</v>
      </c>
      <c r="X1407" s="5">
        <v>72.136068805805934</v>
      </c>
      <c r="Y1407" s="5">
        <v>-0.93606880580593099</v>
      </c>
      <c r="Z1407" s="5">
        <v>-0.93767784189773806</v>
      </c>
      <c r="AA1407" s="18">
        <v>1.715979646646566E-3</v>
      </c>
      <c r="AB1407" s="5">
        <v>-0.26054491697731719</v>
      </c>
      <c r="AC1407" s="4">
        <v>6.1414316346771727E-6</v>
      </c>
      <c r="AE1407" s="5">
        <v>1.0386467129748296</v>
      </c>
      <c r="AF1407" s="5">
        <v>0.91128408123744653</v>
      </c>
    </row>
    <row r="1408" spans="23:32" x14ac:dyDescent="0.25">
      <c r="W1408">
        <v>71.3</v>
      </c>
      <c r="X1408" s="5">
        <v>71.879053321195812</v>
      </c>
      <c r="Y1408" s="5">
        <v>-0.57905332119581487</v>
      </c>
      <c r="Z1408" s="5">
        <v>-0.57996169862080649</v>
      </c>
      <c r="AA1408" s="18">
        <v>1.5662714057656478E-3</v>
      </c>
      <c r="AB1408" s="5">
        <v>-0.16116132406562719</v>
      </c>
      <c r="AC1408" s="4">
        <v>2.1444495243424176E-6</v>
      </c>
      <c r="AE1408" s="5">
        <v>1.0464994400123697</v>
      </c>
      <c r="AF1408" s="5">
        <v>0.91198102593256725</v>
      </c>
    </row>
    <row r="1409" spans="23:32" x14ac:dyDescent="0.25">
      <c r="W1409">
        <v>76</v>
      </c>
      <c r="X1409" s="5">
        <v>71.715551261781954</v>
      </c>
      <c r="Y1409" s="5">
        <v>4.2844487382180461</v>
      </c>
      <c r="Z1409" s="5">
        <v>4.2913862883166445</v>
      </c>
      <c r="AA1409" s="18">
        <v>1.6166221431727491E-3</v>
      </c>
      <c r="AB1409" s="5">
        <v>1.1924719494232385</v>
      </c>
      <c r="AC1409" s="4">
        <v>1.2118641110018983E-4</v>
      </c>
      <c r="AE1409" s="5">
        <v>1.0491313979639725</v>
      </c>
      <c r="AF1409" s="5">
        <v>0.91649214905815424</v>
      </c>
    </row>
    <row r="1410" spans="23:32" x14ac:dyDescent="0.25">
      <c r="W1410">
        <v>73</v>
      </c>
      <c r="X1410" s="5">
        <v>73.933057337045113</v>
      </c>
      <c r="Y1410" s="5">
        <v>-0.9330573370451134</v>
      </c>
      <c r="Z1410" s="5">
        <v>-0.93573124957184461</v>
      </c>
      <c r="AA1410" s="18">
        <v>2.8575646351032369E-3</v>
      </c>
      <c r="AB1410" s="5">
        <v>-0.25985532721758181</v>
      </c>
      <c r="AC1410" s="4">
        <v>1.0184706351031513E-5</v>
      </c>
      <c r="AE1410" s="5">
        <v>1.0491313979639725</v>
      </c>
      <c r="AF1410" s="5">
        <v>0.91757143899228155</v>
      </c>
    </row>
    <row r="1411" spans="23:32" x14ac:dyDescent="0.25">
      <c r="W1411">
        <v>70</v>
      </c>
      <c r="X1411" s="5">
        <v>70.861943815202977</v>
      </c>
      <c r="Y1411" s="5">
        <v>-0.86194381520297725</v>
      </c>
      <c r="Z1411" s="5">
        <v>-0.86335125810134627</v>
      </c>
      <c r="AA1411" s="18">
        <v>1.630208892570496E-3</v>
      </c>
      <c r="AB1411" s="5">
        <v>-0.23990269888066798</v>
      </c>
      <c r="AC1411" s="4">
        <v>4.946163779866459E-6</v>
      </c>
      <c r="AE1411" s="5">
        <v>1.0491313979639725</v>
      </c>
      <c r="AF1411" s="5">
        <v>0.92007127306490888</v>
      </c>
    </row>
    <row r="1412" spans="23:32" x14ac:dyDescent="0.25">
      <c r="W1412">
        <v>69.8</v>
      </c>
      <c r="X1412" s="5">
        <v>70.293406379686402</v>
      </c>
      <c r="Y1412" s="5">
        <v>-0.49340637968640522</v>
      </c>
      <c r="Z1412" s="5">
        <v>-0.49417980367951486</v>
      </c>
      <c r="AA1412" s="18">
        <v>1.5650659686067474E-3</v>
      </c>
      <c r="AB1412" s="5">
        <v>-0.13732410218517035</v>
      </c>
      <c r="AC1412" s="4">
        <v>1.5557965916202966E-6</v>
      </c>
      <c r="AE1412" s="5">
        <v>1.0491313979639725</v>
      </c>
      <c r="AF1412" s="5">
        <v>0.92650961208380045</v>
      </c>
    </row>
    <row r="1413" spans="23:32" x14ac:dyDescent="0.25">
      <c r="W1413">
        <v>69.5</v>
      </c>
      <c r="X1413" s="5">
        <v>73.065105434612576</v>
      </c>
      <c r="Y1413" s="5">
        <v>-3.5651054346125761</v>
      </c>
      <c r="Z1413" s="5">
        <v>-3.5741667443360399</v>
      </c>
      <c r="AA1413" s="18">
        <v>2.5352229964701791E-3</v>
      </c>
      <c r="AB1413" s="5">
        <v>-0.99271706076910748</v>
      </c>
      <c r="AC1413" s="4">
        <v>1.3183052069981005E-4</v>
      </c>
      <c r="AE1413" s="5">
        <v>1.0491313979639725</v>
      </c>
      <c r="AF1413" s="5">
        <v>0.93150301889335529</v>
      </c>
    </row>
    <row r="1414" spans="23:32" x14ac:dyDescent="0.25">
      <c r="W1414">
        <v>69.3</v>
      </c>
      <c r="X1414" s="5">
        <v>69.63325874571612</v>
      </c>
      <c r="Y1414" s="5">
        <v>-0.33325874571612246</v>
      </c>
      <c r="Z1414" s="5">
        <v>-0.3338721372100224</v>
      </c>
      <c r="AA1414" s="18">
        <v>1.8372048024916992E-3</v>
      </c>
      <c r="AB1414" s="5">
        <v>-9.2764702919865605E-2</v>
      </c>
      <c r="AC1414" s="4">
        <v>8.3361996813019316E-7</v>
      </c>
      <c r="AE1414" s="5">
        <v>1.0491313979639725</v>
      </c>
      <c r="AF1414" s="5">
        <v>0.93606538719705012</v>
      </c>
    </row>
    <row r="1415" spans="23:32" x14ac:dyDescent="0.25">
      <c r="W1415">
        <v>68.900000000000006</v>
      </c>
      <c r="X1415" s="5">
        <v>72.525195459026691</v>
      </c>
      <c r="Y1415" s="5">
        <v>-3.6251954590266848</v>
      </c>
      <c r="Z1415" s="5">
        <v>-3.6351293394309607</v>
      </c>
      <c r="AA1415" s="18">
        <v>2.7327446912331294E-3</v>
      </c>
      <c r="AB1415" s="5">
        <v>-1.0095493171189773</v>
      </c>
      <c r="AC1415" s="4">
        <v>1.4699040198080238E-4</v>
      </c>
      <c r="AE1415" s="5">
        <v>1.0491313979639725</v>
      </c>
      <c r="AF1415" s="5">
        <v>0.93698928377531432</v>
      </c>
    </row>
    <row r="1416" spans="23:32" x14ac:dyDescent="0.25">
      <c r="W1416">
        <v>58.4</v>
      </c>
      <c r="X1416" s="5">
        <v>62.375027906569599</v>
      </c>
      <c r="Y1416" s="5">
        <v>-3.9750279065696006</v>
      </c>
      <c r="Z1416" s="5">
        <v>-4.0010852577435898</v>
      </c>
      <c r="AA1416" s="18">
        <v>6.5125708390134426E-3</v>
      </c>
      <c r="AB1416" s="5">
        <v>-1.1090749227915548</v>
      </c>
      <c r="AC1416" s="4">
        <v>4.2438326944762753E-4</v>
      </c>
      <c r="AE1416" s="5">
        <v>1.0491313979639725</v>
      </c>
      <c r="AF1416" s="5">
        <v>0.94834334894462413</v>
      </c>
    </row>
    <row r="1417" spans="23:32" x14ac:dyDescent="0.25">
      <c r="W1417">
        <v>57.6</v>
      </c>
      <c r="X1417" s="5">
        <v>61.121250604168928</v>
      </c>
      <c r="Y1417" s="5">
        <v>-3.5212506041689267</v>
      </c>
      <c r="Z1417" s="5">
        <v>-3.5471775928914084</v>
      </c>
      <c r="AA1417" s="18">
        <v>7.3091882330455823E-3</v>
      </c>
      <c r="AB1417" s="5">
        <v>-0.98286037232688295</v>
      </c>
      <c r="AC1417" s="4">
        <v>3.7435634098024426E-4</v>
      </c>
      <c r="AE1417" s="5">
        <v>1.0491313979639725</v>
      </c>
      <c r="AF1417" s="5">
        <v>0.94847137068110299</v>
      </c>
    </row>
    <row r="1418" spans="23:32" x14ac:dyDescent="0.25">
      <c r="W1418">
        <v>56.5</v>
      </c>
      <c r="X1418" s="5">
        <v>58.534890215652041</v>
      </c>
      <c r="Y1418" s="5">
        <v>-2.034890215652041</v>
      </c>
      <c r="Z1418" s="5">
        <v>-2.054006475304746</v>
      </c>
      <c r="AA1418" s="18">
        <v>9.3068156710028604E-3</v>
      </c>
      <c r="AB1418" s="5">
        <v>-0.56855605332066284</v>
      </c>
      <c r="AC1418" s="4">
        <v>1.5982875327657034E-4</v>
      </c>
      <c r="AE1418" s="5">
        <v>1.0491313979639725</v>
      </c>
      <c r="AF1418" s="5">
        <v>0.95287301557724668</v>
      </c>
    </row>
    <row r="1419" spans="23:32" x14ac:dyDescent="0.25">
      <c r="W1419">
        <v>55</v>
      </c>
      <c r="X1419" s="5">
        <v>55.983494587541827</v>
      </c>
      <c r="Y1419" s="5">
        <v>-0.98349458754182706</v>
      </c>
      <c r="Z1419" s="5">
        <v>-0.99166695286950102</v>
      </c>
      <c r="AA1419" s="18">
        <v>8.2410382881307025E-3</v>
      </c>
      <c r="AB1419" s="5">
        <v>-0.27464443227695667</v>
      </c>
      <c r="AC1419" s="4">
        <v>3.2988593232024217E-5</v>
      </c>
      <c r="AE1419" s="5">
        <v>1.0491313979639725</v>
      </c>
      <c r="AF1419" s="5">
        <v>0.95455837478715422</v>
      </c>
    </row>
    <row r="1420" spans="23:32" x14ac:dyDescent="0.25">
      <c r="W1420">
        <v>53.6</v>
      </c>
      <c r="X1420" s="5">
        <v>53.341505688857545</v>
      </c>
      <c r="Y1420" s="5">
        <v>0.25849431114245647</v>
      </c>
      <c r="Z1420" s="5">
        <v>0.26072458344414429</v>
      </c>
      <c r="AA1420" s="18">
        <v>8.554131230078206E-3</v>
      </c>
      <c r="AB1420" s="5">
        <v>7.219687133884109E-2</v>
      </c>
      <c r="AC1420" s="4">
        <v>2.366955296277535E-6</v>
      </c>
      <c r="AE1420" s="5">
        <v>1.0491313979639725</v>
      </c>
      <c r="AF1420" s="5">
        <v>0.9556266881572677</v>
      </c>
    </row>
    <row r="1421" spans="23:32" x14ac:dyDescent="0.25">
      <c r="W1421">
        <v>52.6</v>
      </c>
      <c r="X1421" s="5">
        <v>54.850031384026828</v>
      </c>
      <c r="Y1421" s="5">
        <v>-2.2500313840268262</v>
      </c>
      <c r="Z1421" s="5">
        <v>-2.3248548246081313</v>
      </c>
      <c r="AA1421" s="18">
        <v>3.218413459167991E-2</v>
      </c>
      <c r="AB1421" s="5">
        <v>-0.63605416231155265</v>
      </c>
      <c r="AC1421" s="4">
        <v>7.0808223004603492E-4</v>
      </c>
      <c r="AE1421" s="5">
        <v>1.0491313979639725</v>
      </c>
      <c r="AF1421" s="5">
        <v>0.96060260255749907</v>
      </c>
    </row>
    <row r="1422" spans="23:32" x14ac:dyDescent="0.25">
      <c r="W1422">
        <v>51.4</v>
      </c>
      <c r="X1422" s="5">
        <v>45.054189688178752</v>
      </c>
      <c r="Y1422" s="5">
        <v>6.3458103118212463</v>
      </c>
      <c r="Z1422" s="5">
        <v>6.5719851895271972</v>
      </c>
      <c r="AA1422" s="18">
        <v>3.4415001127265268E-2</v>
      </c>
      <c r="AB1422" s="5">
        <v>1.7959478549153238</v>
      </c>
      <c r="AC1422" s="4">
        <v>6.0504980151135845E-3</v>
      </c>
      <c r="AE1422" s="5">
        <v>1.0491313979639725</v>
      </c>
      <c r="AF1422" s="5">
        <v>0.9629451685138174</v>
      </c>
    </row>
    <row r="1423" spans="23:32" x14ac:dyDescent="0.25">
      <c r="W1423">
        <v>50</v>
      </c>
      <c r="X1423" s="5">
        <v>51.093763266928264</v>
      </c>
      <c r="Y1423" s="5">
        <v>-1.0937632669282635</v>
      </c>
      <c r="Z1423" s="5">
        <v>-1.1454277563424924</v>
      </c>
      <c r="AA1423" s="18">
        <v>4.5104974214350342E-2</v>
      </c>
      <c r="AB1423" s="5">
        <v>-0.31127727088297735</v>
      </c>
      <c r="AC1423" s="4">
        <v>2.4088514977152605E-4</v>
      </c>
      <c r="AE1423" s="5">
        <v>1.0491313979639725</v>
      </c>
      <c r="AF1423" s="5">
        <v>0.96375109791769231</v>
      </c>
    </row>
    <row r="1424" spans="23:32" x14ac:dyDescent="0.25">
      <c r="W1424">
        <v>47.8</v>
      </c>
      <c r="X1424" s="5">
        <v>40.620807621889931</v>
      </c>
      <c r="Y1424" s="5">
        <v>7.1791923781100664</v>
      </c>
      <c r="Z1424" s="5">
        <v>7.4163011392172606</v>
      </c>
      <c r="AA1424" s="18">
        <v>3.1971296291269276E-2</v>
      </c>
      <c r="AB1424" s="5">
        <v>2.0292397705253591</v>
      </c>
      <c r="AC1424" s="4">
        <v>7.1578919771174395E-3</v>
      </c>
      <c r="AE1424" s="5">
        <v>1.0491313979639725</v>
      </c>
      <c r="AF1424" s="5">
        <v>0.96603538845071513</v>
      </c>
    </row>
    <row r="1425" spans="23:32" x14ac:dyDescent="0.25">
      <c r="W1425">
        <v>46</v>
      </c>
      <c r="X1425" s="5">
        <v>46.406064570479721</v>
      </c>
      <c r="Y1425" s="5">
        <v>-0.406064570479721</v>
      </c>
      <c r="Z1425" s="5">
        <v>-0.4336560403509182</v>
      </c>
      <c r="AA1425" s="18">
        <v>6.3625240522120291E-2</v>
      </c>
      <c r="AB1425" s="5">
        <v>-0.11670034529535306</v>
      </c>
      <c r="AC1425" s="4">
        <v>4.8704649209059199E-5</v>
      </c>
      <c r="AE1425" s="5">
        <v>1.0491313979639725</v>
      </c>
      <c r="AF1425" s="5">
        <v>0.97046206439872162</v>
      </c>
    </row>
    <row r="1426" spans="23:32" x14ac:dyDescent="0.25">
      <c r="W1426">
        <v>45.6</v>
      </c>
      <c r="X1426" s="5">
        <v>45.21707806144088</v>
      </c>
      <c r="Y1426" s="5">
        <v>0.3829219385591216</v>
      </c>
      <c r="Z1426" s="5">
        <v>0.41043754998270288</v>
      </c>
      <c r="AA1426" s="18">
        <v>6.7039702933468115E-2</v>
      </c>
      <c r="AB1426" s="5">
        <v>0.11025049790518522</v>
      </c>
      <c r="AC1426" s="4">
        <v>4.5970204614602167E-5</v>
      </c>
      <c r="AE1426" s="5">
        <v>1.0950400512086551</v>
      </c>
      <c r="AF1426" s="5">
        <v>0.97420493759427995</v>
      </c>
    </row>
    <row r="1427" spans="23:32" x14ac:dyDescent="0.25">
      <c r="W1427">
        <v>45.9</v>
      </c>
      <c r="X1427" s="5">
        <v>46.245222343365597</v>
      </c>
      <c r="Y1427" s="5">
        <v>-0.34522234336559876</v>
      </c>
      <c r="Z1427" s="5">
        <v>-0.37466146779954812</v>
      </c>
      <c r="AA1427" s="18">
        <v>7.857526584426347E-2</v>
      </c>
      <c r="AB1427" s="5">
        <v>-0.10001631629427141</v>
      </c>
      <c r="AC1427" s="4">
        <v>4.4896667065626706E-5</v>
      </c>
      <c r="AE1427" s="5">
        <v>1.0950400512086551</v>
      </c>
      <c r="AF1427" s="5">
        <v>0.97780975779653934</v>
      </c>
    </row>
    <row r="1428" spans="23:32" x14ac:dyDescent="0.25">
      <c r="W1428">
        <v>46.4</v>
      </c>
      <c r="X1428" s="5">
        <v>36.470134768746007</v>
      </c>
      <c r="Y1428" s="5">
        <v>9.9298652312539915</v>
      </c>
      <c r="Z1428" s="5">
        <v>10.372892599433783</v>
      </c>
      <c r="AA1428" s="18">
        <v>4.2710108480634584E-2</v>
      </c>
      <c r="AB1428" s="5">
        <v>2.8224321438290354</v>
      </c>
      <c r="AC1428" s="4">
        <v>1.8705986629803727E-2</v>
      </c>
      <c r="AE1428" s="5">
        <v>1.0950400512086551</v>
      </c>
      <c r="AF1428" s="5">
        <v>0.97934673810554418</v>
      </c>
    </row>
    <row r="1429" spans="23:32" x14ac:dyDescent="0.25">
      <c r="W1429">
        <v>47.1</v>
      </c>
      <c r="X1429" s="5">
        <v>37.296573529398366</v>
      </c>
      <c r="Y1429" s="5">
        <v>9.8034264706016359</v>
      </c>
      <c r="Z1429" s="5">
        <v>10.222794236304182</v>
      </c>
      <c r="AA1429" s="18">
        <v>4.1022811963997451E-2</v>
      </c>
      <c r="AB1429" s="5">
        <v>2.7840411451629197</v>
      </c>
      <c r="AC1429" s="4">
        <v>1.7450780175236161E-2</v>
      </c>
      <c r="AE1429" s="5">
        <v>1.1033838166983498</v>
      </c>
      <c r="AF1429" s="5">
        <v>0.97990239860732287</v>
      </c>
    </row>
    <row r="1430" spans="23:32" x14ac:dyDescent="0.25">
      <c r="W1430">
        <v>48.4</v>
      </c>
      <c r="X1430" s="5">
        <v>38.999194305547618</v>
      </c>
      <c r="Y1430" s="5">
        <v>9.4008056944523801</v>
      </c>
      <c r="Z1430" s="5">
        <v>9.7648659887768048</v>
      </c>
      <c r="AA1430" s="18">
        <v>3.7282671850577237E-2</v>
      </c>
      <c r="AB1430" s="5">
        <v>2.6645113447166495</v>
      </c>
      <c r="AC1430" s="4">
        <v>1.4470708193987934E-2</v>
      </c>
      <c r="AE1430" s="5">
        <v>1.1033838166983498</v>
      </c>
      <c r="AF1430" s="5">
        <v>0.98179153486517157</v>
      </c>
    </row>
    <row r="1431" spans="23:32" x14ac:dyDescent="0.25">
      <c r="W1431">
        <v>82.3</v>
      </c>
      <c r="X1431" s="5">
        <v>79.872018593154436</v>
      </c>
      <c r="Y1431" s="5">
        <v>2.4279814068455607</v>
      </c>
      <c r="Z1431" s="5">
        <v>2.4463955720234623</v>
      </c>
      <c r="AA1431" s="18">
        <v>7.5270595599854391E-3</v>
      </c>
      <c r="AB1431" s="5">
        <v>0.67777869156900239</v>
      </c>
      <c r="AC1431" s="4">
        <v>1.8337025929838404E-4</v>
      </c>
      <c r="AE1431" s="5">
        <v>1.1033838166983498</v>
      </c>
      <c r="AF1431" s="5">
        <v>0.98192388012533027</v>
      </c>
    </row>
    <row r="1432" spans="23:32" x14ac:dyDescent="0.25">
      <c r="W1432">
        <v>81.900000000000006</v>
      </c>
      <c r="X1432" s="5">
        <v>79.821060143241681</v>
      </c>
      <c r="Y1432" s="5">
        <v>2.0789398567583248</v>
      </c>
      <c r="Z1432" s="5">
        <v>2.0947093626142674</v>
      </c>
      <c r="AA1432" s="18">
        <v>7.5282548201615904E-3</v>
      </c>
      <c r="AB1432" s="5">
        <v>0.58034298799662132</v>
      </c>
      <c r="AC1432" s="4">
        <v>1.3445967004529664E-4</v>
      </c>
      <c r="AE1432" s="5">
        <v>1.1118051137279645</v>
      </c>
      <c r="AF1432" s="5">
        <v>0.98452262802109847</v>
      </c>
    </row>
    <row r="1433" spans="23:32" x14ac:dyDescent="0.25">
      <c r="W1433">
        <v>81.7</v>
      </c>
      <c r="X1433" s="5">
        <v>84.230576095873658</v>
      </c>
      <c r="Y1433" s="5">
        <v>-2.5305760958736556</v>
      </c>
      <c r="Z1433" s="5">
        <v>-2.6217019330165954</v>
      </c>
      <c r="AA1433" s="18">
        <v>3.4758275147656906E-2</v>
      </c>
      <c r="AB1433" s="5">
        <v>-0.71631368705368381</v>
      </c>
      <c r="AC1433" s="4">
        <v>9.724673474591517E-4</v>
      </c>
      <c r="AE1433" s="5">
        <v>1.1118051137279645</v>
      </c>
      <c r="AF1433" s="5">
        <v>0.99136498452954991</v>
      </c>
    </row>
    <row r="1434" spans="23:32" x14ac:dyDescent="0.25">
      <c r="W1434">
        <v>81.7</v>
      </c>
      <c r="X1434" s="5">
        <v>84.644245196608949</v>
      </c>
      <c r="Y1434" s="5">
        <v>-2.9442451966089465</v>
      </c>
      <c r="Z1434" s="5">
        <v>-3.0643797677676048</v>
      </c>
      <c r="AA1434" s="18">
        <v>3.9203551864648134E-2</v>
      </c>
      <c r="AB1434" s="5">
        <v>-0.83533402688257419</v>
      </c>
      <c r="AC1434" s="4">
        <v>1.4985138846978095E-3</v>
      </c>
      <c r="AE1434" s="5">
        <v>1.1118051137279645</v>
      </c>
      <c r="AF1434" s="5">
        <v>0.99601240188096185</v>
      </c>
    </row>
    <row r="1435" spans="23:32" x14ac:dyDescent="0.25">
      <c r="W1435">
        <v>73.8</v>
      </c>
      <c r="X1435" s="5">
        <v>69.578127404303274</v>
      </c>
      <c r="Y1435" s="5">
        <v>4.2218725956967234</v>
      </c>
      <c r="Z1435" s="5">
        <v>4.2999473212257726</v>
      </c>
      <c r="AA1435" s="18">
        <v>1.8157135354577775E-2</v>
      </c>
      <c r="AB1435" s="5">
        <v>1.1849117905878828</v>
      </c>
      <c r="AC1435" s="4">
        <v>1.3665445164320192E-3</v>
      </c>
      <c r="AE1435" s="5">
        <v>1.1118051137279645</v>
      </c>
      <c r="AF1435" s="5">
        <v>0.99914276860580131</v>
      </c>
    </row>
    <row r="1436" spans="23:32" x14ac:dyDescent="0.25">
      <c r="W1436">
        <v>73.7</v>
      </c>
      <c r="X1436" s="5">
        <v>69.316987124569096</v>
      </c>
      <c r="Y1436" s="5">
        <v>4.3830128754309072</v>
      </c>
      <c r="Z1436" s="5">
        <v>4.4631879727671873</v>
      </c>
      <c r="AA1436" s="18">
        <v>1.7963638956161924E-2</v>
      </c>
      <c r="AB1436" s="5">
        <v>1.2300162641513999</v>
      </c>
      <c r="AC1436" s="4">
        <v>1.4565817241691504E-3</v>
      </c>
      <c r="AE1436" s="5">
        <v>1.1231576917613038</v>
      </c>
      <c r="AF1436" s="5">
        <v>0.99947571888077891</v>
      </c>
    </row>
    <row r="1437" spans="23:32" x14ac:dyDescent="0.25">
      <c r="W1437">
        <v>73.5</v>
      </c>
      <c r="X1437" s="5">
        <v>68.868605269738453</v>
      </c>
      <c r="Y1437" s="5">
        <v>4.6313947302615475</v>
      </c>
      <c r="Z1437" s="5">
        <v>4.7152706907742186</v>
      </c>
      <c r="AA1437" s="18">
        <v>1.7788153854406408E-2</v>
      </c>
      <c r="AB1437" s="5">
        <v>1.2996041966121459</v>
      </c>
      <c r="AC1437" s="4">
        <v>1.6098830157502187E-3</v>
      </c>
      <c r="AE1437" s="5">
        <v>1.1231576917613038</v>
      </c>
      <c r="AF1437" s="5">
        <v>1.0079057049132947</v>
      </c>
    </row>
    <row r="1438" spans="23:32" x14ac:dyDescent="0.25">
      <c r="W1438">
        <v>73.2</v>
      </c>
      <c r="X1438" s="5">
        <v>69.33136231584281</v>
      </c>
      <c r="Y1438" s="5">
        <v>3.8686376841571928</v>
      </c>
      <c r="Z1438" s="5">
        <v>3.8772946894377185</v>
      </c>
      <c r="AA1438" s="18">
        <v>2.2327436973274494E-3</v>
      </c>
      <c r="AB1438" s="5">
        <v>1.0770734631356373</v>
      </c>
      <c r="AC1438" s="4">
        <v>1.3663019096635576E-4</v>
      </c>
      <c r="AE1438" s="5">
        <v>1.128888636463274</v>
      </c>
      <c r="AF1438" s="5">
        <v>1.0089352997307846</v>
      </c>
    </row>
    <row r="1439" spans="23:32" x14ac:dyDescent="0.25">
      <c r="W1439">
        <v>73</v>
      </c>
      <c r="X1439" s="5">
        <v>68.910671529104107</v>
      </c>
      <c r="Y1439" s="5">
        <v>4.089328470895893</v>
      </c>
      <c r="Z1439" s="5">
        <v>4.0979634611546203</v>
      </c>
      <c r="AA1439" s="18">
        <v>2.1071418377893196E-3</v>
      </c>
      <c r="AB1439" s="5">
        <v>1.1384446768259304</v>
      </c>
      <c r="AC1439" s="4">
        <v>1.4403900621306394E-4</v>
      </c>
      <c r="AE1439" s="5">
        <v>1.128888636463274</v>
      </c>
      <c r="AF1439" s="5">
        <v>1.0104201275968969</v>
      </c>
    </row>
    <row r="1440" spans="23:32" x14ac:dyDescent="0.25">
      <c r="W1440">
        <v>72.8</v>
      </c>
      <c r="X1440" s="5">
        <v>69.178641734915928</v>
      </c>
      <c r="Y1440" s="5">
        <v>3.6213582650840692</v>
      </c>
      <c r="Z1440" s="5">
        <v>3.6597831975880695</v>
      </c>
      <c r="AA1440" s="18">
        <v>1.0499237367207811E-2</v>
      </c>
      <c r="AB1440" s="5">
        <v>1.0124307268184907</v>
      </c>
      <c r="AC1440" s="4">
        <v>5.7242508173273971E-4</v>
      </c>
      <c r="AE1440" s="5">
        <v>1.128888636463274</v>
      </c>
      <c r="AF1440" s="5">
        <v>1.0124307268184907</v>
      </c>
    </row>
    <row r="1441" spans="23:32" x14ac:dyDescent="0.25">
      <c r="W1441">
        <v>72.7</v>
      </c>
      <c r="X1441" s="5">
        <v>69.026638903897847</v>
      </c>
      <c r="Y1441" s="5">
        <v>3.6733610961021554</v>
      </c>
      <c r="Z1441" s="5">
        <v>3.7106577468074136</v>
      </c>
      <c r="AA1441" s="18">
        <v>1.0051223597042807E-2</v>
      </c>
      <c r="AB1441" s="5">
        <v>1.0267368571468463</v>
      </c>
      <c r="AC1441" s="4">
        <v>5.633404220671608E-4</v>
      </c>
      <c r="AE1441" s="5">
        <v>1.128888636463274</v>
      </c>
      <c r="AF1441" s="5">
        <v>1.0147533608584087</v>
      </c>
    </row>
    <row r="1442" spans="23:32" x14ac:dyDescent="0.25">
      <c r="W1442">
        <v>72.599999999999994</v>
      </c>
      <c r="X1442" s="5">
        <v>68.4677298097901</v>
      </c>
      <c r="Y1442" s="5">
        <v>4.1322701902098942</v>
      </c>
      <c r="Z1442" s="5">
        <v>4.1411167542687082</v>
      </c>
      <c r="AA1442" s="18">
        <v>2.1362749673014322E-3</v>
      </c>
      <c r="AB1442" s="5">
        <v>1.1504161887007331</v>
      </c>
      <c r="AC1442" s="4">
        <v>1.4912219387003514E-4</v>
      </c>
      <c r="AE1442" s="5">
        <v>1.1404631659072275</v>
      </c>
      <c r="AF1442" s="5">
        <v>1.0150084289163475</v>
      </c>
    </row>
    <row r="1443" spans="23:32" x14ac:dyDescent="0.25">
      <c r="W1443">
        <v>69.599999999999994</v>
      </c>
      <c r="X1443" s="5">
        <v>69.909094924467624</v>
      </c>
      <c r="Y1443" s="5">
        <v>-0.30909492446762954</v>
      </c>
      <c r="Z1443" s="5">
        <v>-0.30990993572849845</v>
      </c>
      <c r="AA1443" s="18">
        <v>2.6298326284739972E-3</v>
      </c>
      <c r="AB1443" s="5">
        <v>-8.607273015118834E-2</v>
      </c>
      <c r="AC1443" s="4">
        <v>1.0281329833817057E-6</v>
      </c>
      <c r="AE1443" s="5">
        <v>1.1404631659072275</v>
      </c>
      <c r="AF1443" s="5">
        <v>1.0153330976880512</v>
      </c>
    </row>
    <row r="1444" spans="23:32" x14ac:dyDescent="0.25">
      <c r="W1444">
        <v>69.3</v>
      </c>
      <c r="X1444" s="5">
        <v>69.730698683398558</v>
      </c>
      <c r="Y1444" s="5">
        <v>-0.43069868339856043</v>
      </c>
      <c r="Z1444" s="5">
        <v>-0.4318414394857939</v>
      </c>
      <c r="AA1444" s="18">
        <v>2.6462399916745939E-3</v>
      </c>
      <c r="AB1444" s="5">
        <v>-0.11993634817590412</v>
      </c>
      <c r="AC1444" s="4">
        <v>2.0087599493805948E-6</v>
      </c>
      <c r="AE1444" s="5">
        <v>1.1404631659072275</v>
      </c>
      <c r="AF1444" s="5">
        <v>1.0156005956745628</v>
      </c>
    </row>
    <row r="1445" spans="23:32" x14ac:dyDescent="0.25">
      <c r="W1445">
        <v>68.8</v>
      </c>
      <c r="X1445" s="5">
        <v>69.474758762747797</v>
      </c>
      <c r="Y1445" s="5">
        <v>-0.67475876274779978</v>
      </c>
      <c r="Z1445" s="5">
        <v>-0.67641225405989758</v>
      </c>
      <c r="AA1445" s="18">
        <v>2.4445023019264052E-3</v>
      </c>
      <c r="AB1445" s="5">
        <v>-0.18788057981404235</v>
      </c>
      <c r="AC1445" s="4">
        <v>4.5526426930723002E-6</v>
      </c>
      <c r="AE1445" s="5">
        <v>1.1404631659072275</v>
      </c>
      <c r="AF1445" s="5">
        <v>1.0209155595718671</v>
      </c>
    </row>
    <row r="1446" spans="23:32" x14ac:dyDescent="0.25">
      <c r="W1446">
        <v>68.099999999999994</v>
      </c>
      <c r="X1446" s="5">
        <v>69.326340971185473</v>
      </c>
      <c r="Y1446" s="5">
        <v>-1.2263409711854791</v>
      </c>
      <c r="Z1446" s="5">
        <v>-1.2291702619883864</v>
      </c>
      <c r="AA1446" s="18">
        <v>2.3017891747040609E-3</v>
      </c>
      <c r="AB1446" s="5">
        <v>-0.34143932018305734</v>
      </c>
      <c r="AC1446" s="4">
        <v>1.4155975913132942E-5</v>
      </c>
      <c r="AE1446" s="5">
        <v>1.1521925343545227</v>
      </c>
      <c r="AF1446" s="5">
        <v>1.0249468104699595</v>
      </c>
    </row>
    <row r="1447" spans="23:32" x14ac:dyDescent="0.25">
      <c r="W1447">
        <v>67.3</v>
      </c>
      <c r="X1447" s="5">
        <v>69.152548350110735</v>
      </c>
      <c r="Y1447" s="5">
        <v>-1.8525483501107374</v>
      </c>
      <c r="Z1447" s="5">
        <v>-1.8566467212295237</v>
      </c>
      <c r="AA1447" s="18">
        <v>2.2074049262690376E-3</v>
      </c>
      <c r="AB1447" s="5">
        <v>-0.51576433211903372</v>
      </c>
      <c r="AC1447" s="4">
        <v>3.0973532567478178E-5</v>
      </c>
      <c r="AE1447" s="5">
        <v>1.1521925343545227</v>
      </c>
      <c r="AF1447" s="5">
        <v>1.0267368571468463</v>
      </c>
    </row>
    <row r="1448" spans="23:32" x14ac:dyDescent="0.25">
      <c r="W1448">
        <v>66.7</v>
      </c>
      <c r="X1448" s="5">
        <v>68.998200672827835</v>
      </c>
      <c r="Y1448" s="5">
        <v>-2.2982006728278321</v>
      </c>
      <c r="Z1448" s="5">
        <v>-2.3030818921932621</v>
      </c>
      <c r="AA1448" s="18">
        <v>2.1194293533252804E-3</v>
      </c>
      <c r="AB1448" s="5">
        <v>-0.63980931082964476</v>
      </c>
      <c r="AC1448" s="4">
        <v>4.5760197365588047E-5</v>
      </c>
      <c r="AE1448" s="5">
        <v>1.1521925343545227</v>
      </c>
      <c r="AF1448" s="5">
        <v>1.0295729752900569</v>
      </c>
    </row>
    <row r="1449" spans="23:32" x14ac:dyDescent="0.25">
      <c r="W1449">
        <v>66.400000000000006</v>
      </c>
      <c r="X1449" s="5">
        <v>68.360852421942525</v>
      </c>
      <c r="Y1449" s="5">
        <v>-1.9608524219425192</v>
      </c>
      <c r="Z1449" s="5">
        <v>-1.9645813602023168</v>
      </c>
      <c r="AA1449" s="18">
        <v>1.8980828869405808E-3</v>
      </c>
      <c r="AB1449" s="5">
        <v>-0.54583245592742524</v>
      </c>
      <c r="AC1449" s="4">
        <v>2.9819845881998286E-5</v>
      </c>
      <c r="AE1449" s="5">
        <v>1.1521925343545227</v>
      </c>
      <c r="AF1449" s="5">
        <v>1.0337667206866887</v>
      </c>
    </row>
    <row r="1450" spans="23:32" x14ac:dyDescent="0.25">
      <c r="W1450">
        <v>66.099999999999994</v>
      </c>
      <c r="X1450" s="5">
        <v>68.288992764226961</v>
      </c>
      <c r="Y1450" s="5">
        <v>-2.1889927642269669</v>
      </c>
      <c r="Z1450" s="5">
        <v>-2.19302592631891</v>
      </c>
      <c r="AA1450" s="18">
        <v>1.8390854588353511E-3</v>
      </c>
      <c r="AB1450" s="5">
        <v>-0.60932070762868662</v>
      </c>
      <c r="AC1450" s="4">
        <v>3.6003077486567151E-5</v>
      </c>
      <c r="AE1450" s="5">
        <v>1.1521925343545227</v>
      </c>
      <c r="AF1450" s="5">
        <v>1.0351057349289861</v>
      </c>
    </row>
    <row r="1451" spans="23:32" x14ac:dyDescent="0.25">
      <c r="W1451">
        <v>65.900000000000006</v>
      </c>
      <c r="X1451" s="5">
        <v>67.880771823652111</v>
      </c>
      <c r="Y1451" s="5">
        <v>-1.9807718236521055</v>
      </c>
      <c r="Z1451" s="5">
        <v>-1.9846083839909312</v>
      </c>
      <c r="AA1451" s="18">
        <v>1.9331573774333827E-3</v>
      </c>
      <c r="AB1451" s="5">
        <v>-0.5513870061462911</v>
      </c>
      <c r="AC1451" s="4">
        <v>3.0993244130935261E-5</v>
      </c>
      <c r="AE1451" s="5">
        <v>1.1521925343545227</v>
      </c>
      <c r="AF1451" s="5">
        <v>1.03671505503467</v>
      </c>
    </row>
    <row r="1452" spans="23:32" x14ac:dyDescent="0.25">
      <c r="W1452">
        <v>65.5</v>
      </c>
      <c r="X1452" s="5">
        <v>67.616813053714822</v>
      </c>
      <c r="Y1452" s="5">
        <v>-2.1168130537148215</v>
      </c>
      <c r="Z1452" s="5">
        <v>-2.1206739961510408</v>
      </c>
      <c r="AA1452" s="18">
        <v>1.8206204457741886E-3</v>
      </c>
      <c r="AB1452" s="5">
        <v>-0.58922355471291588</v>
      </c>
      <c r="AC1452" s="4">
        <v>3.3328626801076432E-5</v>
      </c>
      <c r="AE1452" s="5">
        <v>1.1700898139672218</v>
      </c>
      <c r="AF1452" s="5">
        <v>1.0439599214159914</v>
      </c>
    </row>
    <row r="1453" spans="23:32" x14ac:dyDescent="0.25">
      <c r="W1453">
        <v>65.900000000000006</v>
      </c>
      <c r="X1453" s="5">
        <v>67.75910424330047</v>
      </c>
      <c r="Y1453" s="5">
        <v>-1.8591042433004645</v>
      </c>
      <c r="Z1453" s="5">
        <v>-1.8624281859706855</v>
      </c>
      <c r="AA1453" s="18">
        <v>1.7847360211031317E-3</v>
      </c>
      <c r="AB1453" s="5">
        <v>-0.51747995373396782</v>
      </c>
      <c r="AC1453" s="4">
        <v>2.5198996307480224E-5</v>
      </c>
      <c r="AE1453" s="5">
        <v>1.1700898139672218</v>
      </c>
      <c r="AF1453" s="5">
        <v>1.050748171923666</v>
      </c>
    </row>
    <row r="1454" spans="23:32" x14ac:dyDescent="0.25">
      <c r="W1454">
        <v>65.2</v>
      </c>
      <c r="X1454" s="5">
        <v>67.136674602941895</v>
      </c>
      <c r="Y1454" s="5">
        <v>-1.936674602941892</v>
      </c>
      <c r="Z1454" s="5">
        <v>-1.9419340973907993</v>
      </c>
      <c r="AA1454" s="18">
        <v>2.708379473833707E-3</v>
      </c>
      <c r="AB1454" s="5">
        <v>-0.53932116518799167</v>
      </c>
      <c r="AC1454" s="4">
        <v>4.1574656630004254E-5</v>
      </c>
      <c r="AE1454" s="5">
        <v>1.1700898139672218</v>
      </c>
      <c r="AF1454" s="5">
        <v>1.051436480506917</v>
      </c>
    </row>
    <row r="1455" spans="23:32" x14ac:dyDescent="0.25">
      <c r="W1455">
        <v>64.3</v>
      </c>
      <c r="X1455" s="5">
        <v>66.718229638034501</v>
      </c>
      <c r="Y1455" s="5">
        <v>-2.4182296380345036</v>
      </c>
      <c r="Z1455" s="5">
        <v>-2.429603663212589</v>
      </c>
      <c r="AA1455" s="18">
        <v>4.6814323464759826E-3</v>
      </c>
      <c r="AB1455" s="5">
        <v>-0.67409076665251522</v>
      </c>
      <c r="AC1455" s="4">
        <v>1.1248634397677474E-4</v>
      </c>
      <c r="AE1455" s="5">
        <v>1.1700898139672218</v>
      </c>
      <c r="AF1455" s="5">
        <v>1.0515371285136725</v>
      </c>
    </row>
    <row r="1456" spans="23:32" x14ac:dyDescent="0.25">
      <c r="W1456">
        <v>74.599999999999994</v>
      </c>
      <c r="X1456" s="5">
        <v>72.480140665992877</v>
      </c>
      <c r="Y1456" s="5">
        <v>2.119859334007117</v>
      </c>
      <c r="Z1456" s="5">
        <v>2.1275648336404629</v>
      </c>
      <c r="AA1456" s="18">
        <v>3.6217460974694404E-3</v>
      </c>
      <c r="AB1456" s="5">
        <v>0.59060458650028469</v>
      </c>
      <c r="AC1456" s="4">
        <v>6.6731946046691583E-5</v>
      </c>
      <c r="AE1456" s="5">
        <v>1.1700898139672218</v>
      </c>
      <c r="AF1456" s="5">
        <v>1.0549061834722149</v>
      </c>
    </row>
    <row r="1457" spans="23:32" x14ac:dyDescent="0.25">
      <c r="W1457">
        <v>74.5</v>
      </c>
      <c r="X1457" s="5">
        <v>72.483225327865654</v>
      </c>
      <c r="Y1457" s="5">
        <v>2.0167746721343462</v>
      </c>
      <c r="Z1457" s="5">
        <v>2.0226724864521373</v>
      </c>
      <c r="AA1457" s="18">
        <v>2.9158523474731636E-3</v>
      </c>
      <c r="AB1457" s="5">
        <v>0.56168569646855071</v>
      </c>
      <c r="AC1457" s="4">
        <v>4.8558676922580094E-5</v>
      </c>
      <c r="AE1457" s="5">
        <v>1.1852957183684145</v>
      </c>
      <c r="AF1457" s="5">
        <v>1.0560669152577069</v>
      </c>
    </row>
    <row r="1458" spans="23:32" x14ac:dyDescent="0.25">
      <c r="W1458">
        <v>74.3</v>
      </c>
      <c r="X1458" s="5">
        <v>71.440650468923181</v>
      </c>
      <c r="Y1458" s="5">
        <v>2.8593495310768162</v>
      </c>
      <c r="Z1458" s="5">
        <v>2.8794811239787634</v>
      </c>
      <c r="AA1458" s="18">
        <v>6.9913960311459187E-3</v>
      </c>
      <c r="AB1458" s="5">
        <v>0.79798115167619343</v>
      </c>
      <c r="AC1458" s="4">
        <v>2.3596226596831642E-4</v>
      </c>
      <c r="AE1458" s="5">
        <v>1.1852957183684145</v>
      </c>
      <c r="AF1458" s="5">
        <v>1.0564754618288306</v>
      </c>
    </row>
    <row r="1459" spans="23:32" x14ac:dyDescent="0.25">
      <c r="W1459">
        <v>74.099999999999994</v>
      </c>
      <c r="X1459" s="5">
        <v>71.957204022317029</v>
      </c>
      <c r="Y1459" s="5">
        <v>2.1427959776829653</v>
      </c>
      <c r="Z1459" s="5">
        <v>2.1489313265145142</v>
      </c>
      <c r="AA1459" s="18">
        <v>2.8550697529710341E-3</v>
      </c>
      <c r="AB1459" s="5">
        <v>0.59676531253602738</v>
      </c>
      <c r="AC1459" s="4">
        <v>5.3667575948463821E-5</v>
      </c>
      <c r="AE1459" s="5">
        <v>1.1852957183684145</v>
      </c>
      <c r="AF1459" s="5">
        <v>1.0565282046083206</v>
      </c>
    </row>
    <row r="1460" spans="23:32" x14ac:dyDescent="0.25">
      <c r="W1460">
        <v>73.900000000000006</v>
      </c>
      <c r="X1460" s="5">
        <v>71.192284265787592</v>
      </c>
      <c r="Y1460" s="5">
        <v>2.7077157342124138</v>
      </c>
      <c r="Z1460" s="5">
        <v>2.7165851677618917</v>
      </c>
      <c r="AA1460" s="18">
        <v>3.2649201117388089E-3</v>
      </c>
      <c r="AB1460" s="5">
        <v>0.75424960022145038</v>
      </c>
      <c r="AC1460" s="4">
        <v>9.8077501112382062E-5</v>
      </c>
      <c r="AE1460" s="5">
        <v>1.1852957183684145</v>
      </c>
      <c r="AF1460" s="5">
        <v>1.0576395974931763</v>
      </c>
    </row>
    <row r="1461" spans="23:32" x14ac:dyDescent="0.25">
      <c r="W1461">
        <v>73.7</v>
      </c>
      <c r="X1461" s="5">
        <v>73.637194448451524</v>
      </c>
      <c r="Y1461" s="5">
        <v>6.2805551548478888E-2</v>
      </c>
      <c r="Z1461" s="5">
        <v>6.3140844339372393E-2</v>
      </c>
      <c r="AA1461" s="18">
        <v>5.3102360984571117E-3</v>
      </c>
      <c r="AB1461" s="5">
        <v>1.7512820698774866E-2</v>
      </c>
      <c r="AC1461" s="4">
        <v>8.6175692790885738E-8</v>
      </c>
      <c r="AE1461" s="5">
        <v>1.1852957183684145</v>
      </c>
      <c r="AF1461" s="5">
        <v>1.0607924372550053</v>
      </c>
    </row>
    <row r="1462" spans="23:32" x14ac:dyDescent="0.25">
      <c r="W1462">
        <v>73.5</v>
      </c>
      <c r="X1462" s="5">
        <v>70.946026408276509</v>
      </c>
      <c r="Y1462" s="5">
        <v>2.5539735917234907</v>
      </c>
      <c r="Z1462" s="5">
        <v>2.5627626977843505</v>
      </c>
      <c r="AA1462" s="18">
        <v>3.429543464346891E-3</v>
      </c>
      <c r="AB1462" s="5">
        <v>0.71148261060986706</v>
      </c>
      <c r="AC1462" s="4">
        <v>9.1686053994765272E-5</v>
      </c>
      <c r="AE1462" s="5">
        <v>1.1852957183684145</v>
      </c>
      <c r="AF1462" s="5">
        <v>1.0608606350248884</v>
      </c>
    </row>
    <row r="1463" spans="23:32" x14ac:dyDescent="0.25">
      <c r="W1463">
        <v>73.3</v>
      </c>
      <c r="X1463" s="5">
        <v>70.070184331599663</v>
      </c>
      <c r="Y1463" s="5">
        <v>3.2298156684003345</v>
      </c>
      <c r="Z1463" s="5">
        <v>3.2431786386091233</v>
      </c>
      <c r="AA1463" s="18">
        <v>4.120331223727825E-3</v>
      </c>
      <c r="AB1463" s="5">
        <v>0.90006981168187461</v>
      </c>
      <c r="AC1463" s="4">
        <v>1.7641034676287002E-4</v>
      </c>
      <c r="AE1463" s="5">
        <v>1.1852957183684145</v>
      </c>
      <c r="AF1463" s="5">
        <v>1.0638020668545507</v>
      </c>
    </row>
    <row r="1464" spans="23:32" x14ac:dyDescent="0.25">
      <c r="W1464">
        <v>73</v>
      </c>
      <c r="X1464" s="5">
        <v>69.994679092620601</v>
      </c>
      <c r="Y1464" s="5">
        <v>3.0053209073793994</v>
      </c>
      <c r="Z1464" s="5">
        <v>3.0179303241181685</v>
      </c>
      <c r="AA1464" s="18">
        <v>4.1781669503786565E-3</v>
      </c>
      <c r="AB1464" s="5">
        <v>0.83753298971623358</v>
      </c>
      <c r="AC1464" s="4">
        <v>1.5490106003140101E-4</v>
      </c>
      <c r="AE1464" s="5">
        <v>1.2070560687293583</v>
      </c>
      <c r="AF1464" s="5">
        <v>1.0664192253398381</v>
      </c>
    </row>
    <row r="1465" spans="23:32" x14ac:dyDescent="0.25">
      <c r="W1465">
        <v>72.5</v>
      </c>
      <c r="X1465" s="5">
        <v>69.399398607379823</v>
      </c>
      <c r="Y1465" s="5">
        <v>3.1006013926201774</v>
      </c>
      <c r="Z1465" s="5">
        <v>3.1115289556195336</v>
      </c>
      <c r="AA1465" s="18">
        <v>3.5119592827880363E-3</v>
      </c>
      <c r="AB1465" s="5">
        <v>0.86379718434158625</v>
      </c>
      <c r="AC1465" s="4">
        <v>1.3840358780750544E-4</v>
      </c>
      <c r="AE1465" s="5">
        <v>1.2070560687293583</v>
      </c>
      <c r="AF1465" s="5">
        <v>1.0686408179169016</v>
      </c>
    </row>
    <row r="1466" spans="23:32" x14ac:dyDescent="0.25">
      <c r="W1466">
        <v>71.599999999999994</v>
      </c>
      <c r="X1466" s="5">
        <v>69.006938198078913</v>
      </c>
      <c r="Y1466" s="5">
        <v>2.5930618019210812</v>
      </c>
      <c r="Z1466" s="5">
        <v>2.6024653078825821</v>
      </c>
      <c r="AA1466" s="18">
        <v>3.6133069413137545E-3</v>
      </c>
      <c r="AB1466" s="5">
        <v>0.72243836329235345</v>
      </c>
      <c r="AC1466" s="4">
        <v>9.9615045045561737E-5</v>
      </c>
      <c r="AE1466" s="5">
        <v>1.2070560687293583</v>
      </c>
      <c r="AF1466" s="5">
        <v>1.074446641298513</v>
      </c>
    </row>
    <row r="1467" spans="23:32" x14ac:dyDescent="0.25">
      <c r="W1467">
        <v>71.7</v>
      </c>
      <c r="X1467" s="5">
        <v>68.062487685562033</v>
      </c>
      <c r="Y1467" s="5">
        <v>3.63751231443797</v>
      </c>
      <c r="Z1467" s="5">
        <v>3.6602667856432731</v>
      </c>
      <c r="AA1467" s="18">
        <v>6.2166154922237791E-3</v>
      </c>
      <c r="AB1467" s="5">
        <v>1.0147533608584087</v>
      </c>
      <c r="AC1467" s="4">
        <v>3.3902339675310697E-4</v>
      </c>
      <c r="AE1467" s="5">
        <v>1.2070560687293583</v>
      </c>
      <c r="AF1467" s="5">
        <v>1.0763583581028449</v>
      </c>
    </row>
    <row r="1468" spans="23:32" x14ac:dyDescent="0.25">
      <c r="W1468">
        <v>71.400000000000006</v>
      </c>
      <c r="X1468" s="5">
        <v>67.460002424188332</v>
      </c>
      <c r="Y1468" s="5">
        <v>3.9399975758116739</v>
      </c>
      <c r="Z1468" s="5">
        <v>3.9633351488706268</v>
      </c>
      <c r="AA1468" s="18">
        <v>5.888367292279555E-3</v>
      </c>
      <c r="AB1468" s="5">
        <v>1.0989559089332335</v>
      </c>
      <c r="AC1468" s="4">
        <v>3.7650146634140002E-4</v>
      </c>
      <c r="AE1468" s="5">
        <v>1.2070560687293583</v>
      </c>
      <c r="AF1468" s="5">
        <v>1.0770734631356373</v>
      </c>
    </row>
    <row r="1469" spans="23:32" x14ac:dyDescent="0.25">
      <c r="W1469">
        <v>71.2</v>
      </c>
      <c r="X1469" s="5">
        <v>67.668427501288463</v>
      </c>
      <c r="Y1469" s="5">
        <v>3.5315724987115402</v>
      </c>
      <c r="Z1469" s="5">
        <v>3.5487834153373115</v>
      </c>
      <c r="AA1469" s="18">
        <v>4.8498075569756906E-3</v>
      </c>
      <c r="AB1469" s="5">
        <v>0.98452262802109847</v>
      </c>
      <c r="AC1469" s="4">
        <v>2.4861863530291323E-4</v>
      </c>
      <c r="AE1469" s="5">
        <v>1.2070560687293583</v>
      </c>
      <c r="AF1469" s="5">
        <v>1.0786496507530914</v>
      </c>
    </row>
    <row r="1470" spans="23:32" x14ac:dyDescent="0.25">
      <c r="W1470">
        <v>71.099999999999994</v>
      </c>
      <c r="X1470" s="5">
        <v>67.308598817683091</v>
      </c>
      <c r="Y1470" s="5">
        <v>3.7914011823169034</v>
      </c>
      <c r="Z1470" s="5">
        <v>3.8067877738281908</v>
      </c>
      <c r="AA1470" s="18">
        <v>4.0418831900916313E-3</v>
      </c>
      <c r="AB1470" s="5">
        <v>1.0565282046083206</v>
      </c>
      <c r="AC1470" s="4">
        <v>2.3842471520824611E-4</v>
      </c>
      <c r="AE1470" s="5">
        <v>1.2070560687293583</v>
      </c>
      <c r="AF1470" s="5">
        <v>1.0843896129106505</v>
      </c>
    </row>
    <row r="1471" spans="23:32" x14ac:dyDescent="0.25">
      <c r="W1471">
        <v>68</v>
      </c>
      <c r="X1471" s="5">
        <v>69.05887526548041</v>
      </c>
      <c r="Y1471" s="5">
        <v>-1.0588752654804097</v>
      </c>
      <c r="Z1471" s="5">
        <v>-1.0821633207896468</v>
      </c>
      <c r="AA1471" s="18">
        <v>2.1519908189309649E-2</v>
      </c>
      <c r="AB1471" s="5">
        <v>-0.29769442285614045</v>
      </c>
      <c r="AC1471" s="4">
        <v>1.0258319380918664E-4</v>
      </c>
      <c r="AE1471" s="5">
        <v>1.2294035019788656</v>
      </c>
      <c r="AF1471" s="5">
        <v>1.0866581409824747</v>
      </c>
    </row>
    <row r="1472" spans="23:32" x14ac:dyDescent="0.25">
      <c r="W1472">
        <v>67.7</v>
      </c>
      <c r="X1472" s="5">
        <v>69.041121490142771</v>
      </c>
      <c r="Y1472" s="5">
        <v>-1.3411214901427684</v>
      </c>
      <c r="Z1472" s="5">
        <v>-1.3501892756828937</v>
      </c>
      <c r="AA1472" s="18">
        <v>6.7159365752932883E-3</v>
      </c>
      <c r="AB1472" s="5">
        <v>-0.37422541588170716</v>
      </c>
      <c r="AC1472" s="4">
        <v>4.9836332753812875E-5</v>
      </c>
      <c r="AE1472" s="5">
        <v>1.2294035019788656</v>
      </c>
      <c r="AF1472" s="5">
        <v>1.0888974459126886</v>
      </c>
    </row>
    <row r="1473" spans="23:32" x14ac:dyDescent="0.25">
      <c r="W1473">
        <v>67.400000000000006</v>
      </c>
      <c r="X1473" s="5">
        <v>69.011276103932261</v>
      </c>
      <c r="Y1473" s="5">
        <v>-1.611276103932255</v>
      </c>
      <c r="Z1473" s="5">
        <v>-1.6224394976618726</v>
      </c>
      <c r="AA1473" s="18">
        <v>6.8806225105526014E-3</v>
      </c>
      <c r="AB1473" s="5">
        <v>-0.44964640985438886</v>
      </c>
      <c r="AC1473" s="4">
        <v>7.3725026199050419E-5</v>
      </c>
      <c r="AE1473" s="5">
        <v>1.2294035019788656</v>
      </c>
      <c r="AF1473" s="5">
        <v>1.0889916036610754</v>
      </c>
    </row>
    <row r="1474" spans="23:32" x14ac:dyDescent="0.25">
      <c r="W1474">
        <v>67.2</v>
      </c>
      <c r="X1474" s="5">
        <v>68.420320953628391</v>
      </c>
      <c r="Y1474" s="5">
        <v>-1.2203209536283879</v>
      </c>
      <c r="Z1474" s="5">
        <v>-1.229950601208472</v>
      </c>
      <c r="AA1474" s="18">
        <v>7.8292962096395517E-3</v>
      </c>
      <c r="AB1474" s="5">
        <v>-0.34070833686784741</v>
      </c>
      <c r="AC1474" s="4">
        <v>4.8211233710365693E-5</v>
      </c>
      <c r="AE1474" s="5">
        <v>1.2294035019788656</v>
      </c>
      <c r="AF1474" s="5">
        <v>1.0908278507204283</v>
      </c>
    </row>
    <row r="1475" spans="23:32" x14ac:dyDescent="0.25">
      <c r="W1475">
        <v>66.900000000000006</v>
      </c>
      <c r="X1475" s="5">
        <v>68.359318973556711</v>
      </c>
      <c r="Y1475" s="5">
        <v>-1.4593189735567051</v>
      </c>
      <c r="Z1475" s="5">
        <v>-1.4701602729569174</v>
      </c>
      <c r="AA1475" s="18">
        <v>7.3742295990659058E-3</v>
      </c>
      <c r="AB1475" s="5">
        <v>-0.40734214667531904</v>
      </c>
      <c r="AC1475" s="4">
        <v>6.4877813343124739E-5</v>
      </c>
      <c r="AE1475" s="5">
        <v>1.2294035019788656</v>
      </c>
      <c r="AF1475" s="5">
        <v>1.0926851340045647</v>
      </c>
    </row>
    <row r="1476" spans="23:32" x14ac:dyDescent="0.25">
      <c r="W1476">
        <v>66.599999999999994</v>
      </c>
      <c r="X1476" s="5">
        <v>68.110778152571129</v>
      </c>
      <c r="Y1476" s="5">
        <v>-1.5107781525711346</v>
      </c>
      <c r="Z1476" s="5">
        <v>-1.5210945541065968</v>
      </c>
      <c r="AA1476" s="18">
        <v>6.7822223855897755E-3</v>
      </c>
      <c r="AB1476" s="5">
        <v>-0.42158033578761578</v>
      </c>
      <c r="AC1476" s="4">
        <v>6.3875546885554726E-5</v>
      </c>
      <c r="AE1476" s="5">
        <v>1.2457497672431228</v>
      </c>
      <c r="AF1476" s="5">
        <v>1.0931339363169847</v>
      </c>
    </row>
    <row r="1477" spans="23:32" x14ac:dyDescent="0.25">
      <c r="W1477">
        <v>66.2</v>
      </c>
      <c r="X1477" s="5">
        <v>67.398320314374502</v>
      </c>
      <c r="Y1477" s="5">
        <v>-1.1983203143744987</v>
      </c>
      <c r="Z1477" s="5">
        <v>-1.2065013719290221</v>
      </c>
      <c r="AA1477" s="18">
        <v>6.780810817848826E-3</v>
      </c>
      <c r="AB1477" s="5">
        <v>-0.33438921569475033</v>
      </c>
      <c r="AC1477" s="4">
        <v>4.0177920089541928E-5</v>
      </c>
      <c r="AE1477" s="5">
        <v>1.2457497672431228</v>
      </c>
      <c r="AF1477" s="5">
        <v>1.0939289488019062</v>
      </c>
    </row>
    <row r="1478" spans="23:32" x14ac:dyDescent="0.25">
      <c r="W1478">
        <v>59.7</v>
      </c>
      <c r="X1478" s="5">
        <v>65.297093214698876</v>
      </c>
      <c r="Y1478" s="5">
        <v>-5.597093214698873</v>
      </c>
      <c r="Z1478" s="5">
        <v>-5.6188957003334394</v>
      </c>
      <c r="AA1478" s="18">
        <v>3.8802082824327998E-3</v>
      </c>
      <c r="AB1478" s="5">
        <v>-1.5595835544784531</v>
      </c>
      <c r="AC1478" s="4">
        <v>4.9866301930035623E-4</v>
      </c>
      <c r="AE1478" s="5">
        <v>1.2457497672431228</v>
      </c>
      <c r="AF1478" s="5">
        <v>1.0945989418102215</v>
      </c>
    </row>
    <row r="1479" spans="23:32" x14ac:dyDescent="0.25">
      <c r="W1479">
        <v>59.4</v>
      </c>
      <c r="X1479" s="5">
        <v>65.040354704217791</v>
      </c>
      <c r="Y1479" s="5">
        <v>-5.6403547042177919</v>
      </c>
      <c r="Z1479" s="5">
        <v>-5.6620037887443644</v>
      </c>
      <c r="AA1479" s="18">
        <v>3.8235729494927708E-3</v>
      </c>
      <c r="AB1479" s="5">
        <v>-1.5715933327772247</v>
      </c>
      <c r="AC1479" s="4">
        <v>4.989532712752991E-4</v>
      </c>
      <c r="AE1479" s="5">
        <v>1.2457497672431228</v>
      </c>
      <c r="AF1479" s="5">
        <v>1.0989559089332335</v>
      </c>
    </row>
    <row r="1480" spans="23:32" x14ac:dyDescent="0.25">
      <c r="W1480">
        <v>58.9</v>
      </c>
      <c r="X1480" s="5">
        <v>64.671202129195137</v>
      </c>
      <c r="Y1480" s="5">
        <v>-5.7712021291951388</v>
      </c>
      <c r="Z1480" s="5">
        <v>-5.7941813645571969</v>
      </c>
      <c r="AA1480" s="18">
        <v>3.965915789694751E-3</v>
      </c>
      <c r="AB1480" s="5">
        <v>-1.6081667438854106</v>
      </c>
      <c r="AC1480" s="4">
        <v>5.4197323655606018E-4</v>
      </c>
      <c r="AE1480" s="5">
        <v>1.2457497672431228</v>
      </c>
      <c r="AF1480" s="5">
        <v>1.0992084253326686</v>
      </c>
    </row>
    <row r="1481" spans="23:32" x14ac:dyDescent="0.25">
      <c r="W1481">
        <v>58.3</v>
      </c>
      <c r="X1481" s="5">
        <v>68.075098252539888</v>
      </c>
      <c r="Y1481" s="5">
        <v>-9.7750982525398911</v>
      </c>
      <c r="Z1481" s="5">
        <v>-9.8174478712462161</v>
      </c>
      <c r="AA1481" s="18">
        <v>4.3137095568757007E-3</v>
      </c>
      <c r="AB1481" s="5">
        <v>-2.7243428381933401</v>
      </c>
      <c r="AC1481" s="4">
        <v>1.6923815848822281E-3</v>
      </c>
      <c r="AE1481" s="5">
        <v>1.262435852359769</v>
      </c>
      <c r="AF1481" s="5">
        <v>1.1091458225250623</v>
      </c>
    </row>
    <row r="1482" spans="23:32" x14ac:dyDescent="0.25">
      <c r="W1482">
        <v>57.4</v>
      </c>
      <c r="X1482" s="5">
        <v>62.11529456576185</v>
      </c>
      <c r="Y1482" s="5">
        <v>-4.7152945657618517</v>
      </c>
      <c r="Z1482" s="5">
        <v>-4.7281713849437352</v>
      </c>
      <c r="AA1482" s="18">
        <v>2.7234247943907623E-3</v>
      </c>
      <c r="AB1482" s="5">
        <v>-1.3131154496895989</v>
      </c>
      <c r="AC1482" s="4">
        <v>2.4782892336969376E-4</v>
      </c>
      <c r="AE1482" s="5">
        <v>1.262435852359769</v>
      </c>
      <c r="AF1482" s="5">
        <v>1.116180574937554</v>
      </c>
    </row>
    <row r="1483" spans="23:32" x14ac:dyDescent="0.25">
      <c r="W1483">
        <v>56.7</v>
      </c>
      <c r="X1483" s="5">
        <v>60.581585475903054</v>
      </c>
      <c r="Y1483" s="5">
        <v>-3.8815854759030515</v>
      </c>
      <c r="Z1483" s="5">
        <v>-3.8983294621461297</v>
      </c>
      <c r="AA1483" s="18">
        <v>4.2951696119245446E-3</v>
      </c>
      <c r="AB1483" s="5">
        <v>-1.0817969157722156</v>
      </c>
      <c r="AC1483" s="4">
        <v>2.6569756925025827E-4</v>
      </c>
      <c r="AE1483" s="5">
        <v>1.262435852359769</v>
      </c>
      <c r="AF1483" s="5">
        <v>1.1176843640485132</v>
      </c>
    </row>
    <row r="1484" spans="23:32" x14ac:dyDescent="0.25">
      <c r="W1484">
        <v>56.2</v>
      </c>
      <c r="X1484" s="5">
        <v>59.463712818017328</v>
      </c>
      <c r="Y1484" s="5">
        <v>-3.2637128180173249</v>
      </c>
      <c r="Z1484" s="5">
        <v>-3.3180987994917572</v>
      </c>
      <c r="AA1484" s="18">
        <v>1.6390705871315196E-2</v>
      </c>
      <c r="AB1484" s="5">
        <v>-0.9151715633363926</v>
      </c>
      <c r="AC1484" s="4">
        <v>7.3455863165641626E-4</v>
      </c>
      <c r="AE1484" s="5">
        <v>1.262435852359769</v>
      </c>
      <c r="AF1484" s="5">
        <v>1.1214239676633204</v>
      </c>
    </row>
    <row r="1485" spans="23:32" x14ac:dyDescent="0.25">
      <c r="W1485">
        <v>73.3</v>
      </c>
      <c r="X1485" s="5">
        <v>74.449065822231759</v>
      </c>
      <c r="Y1485" s="5">
        <v>-1.149065822231762</v>
      </c>
      <c r="Z1485" s="5">
        <v>-1.1724538427730522</v>
      </c>
      <c r="AA1485" s="18">
        <v>1.994792433447087E-2</v>
      </c>
      <c r="AB1485" s="5">
        <v>-0.32279159852218631</v>
      </c>
      <c r="AC1485" s="4">
        <v>1.1161932801307794E-4</v>
      </c>
      <c r="AE1485" s="5">
        <v>1.262435852359769</v>
      </c>
      <c r="AF1485" s="5">
        <v>1.1276953195204322</v>
      </c>
    </row>
    <row r="1486" spans="23:32" x14ac:dyDescent="0.25">
      <c r="W1486">
        <v>73.2</v>
      </c>
      <c r="X1486" s="5">
        <v>75.077779724593597</v>
      </c>
      <c r="Y1486" s="5">
        <v>-1.8777797245935943</v>
      </c>
      <c r="Z1486" s="5">
        <v>-1.8896272554556646</v>
      </c>
      <c r="AA1486" s="18">
        <v>6.2697713677986999E-3</v>
      </c>
      <c r="AB1486" s="5">
        <v>-0.52385643935361026</v>
      </c>
      <c r="AC1486" s="4">
        <v>9.1128490348822743E-5</v>
      </c>
      <c r="AE1486" s="5">
        <v>1.262435852359769</v>
      </c>
      <c r="AF1486" s="5">
        <v>1.1285522929162761</v>
      </c>
    </row>
    <row r="1487" spans="23:32" x14ac:dyDescent="0.25">
      <c r="W1487">
        <v>73</v>
      </c>
      <c r="X1487" s="5">
        <v>74.751855839611352</v>
      </c>
      <c r="Y1487" s="5">
        <v>-1.7518558396113519</v>
      </c>
      <c r="Z1487" s="5">
        <v>-1.7636721987290969</v>
      </c>
      <c r="AA1487" s="18">
        <v>6.6998613043024293E-3</v>
      </c>
      <c r="AB1487" s="5">
        <v>-0.48883242868963805</v>
      </c>
      <c r="AC1487" s="4">
        <v>8.4830442623168477E-5</v>
      </c>
      <c r="AE1487" s="5">
        <v>1.262435852359769</v>
      </c>
      <c r="AF1487" s="5">
        <v>1.1294438227259591</v>
      </c>
    </row>
    <row r="1488" spans="23:32" x14ac:dyDescent="0.25">
      <c r="W1488">
        <v>72.900000000000006</v>
      </c>
      <c r="X1488" s="5">
        <v>76.797396297345671</v>
      </c>
      <c r="Y1488" s="5">
        <v>-3.8973962973456651</v>
      </c>
      <c r="Z1488" s="5">
        <v>-3.9214617348377203</v>
      </c>
      <c r="AA1488" s="18">
        <v>6.1368538364829969E-3</v>
      </c>
      <c r="AB1488" s="5">
        <v>-1.0872093199552832</v>
      </c>
      <c r="AC1488" s="4">
        <v>3.8414211697297527E-4</v>
      </c>
      <c r="AE1488" s="5">
        <v>1.262435852359769</v>
      </c>
      <c r="AF1488" s="5">
        <v>1.131172088313724</v>
      </c>
    </row>
    <row r="1489" spans="23:32" x14ac:dyDescent="0.25">
      <c r="W1489">
        <v>72.8</v>
      </c>
      <c r="X1489" s="5">
        <v>74.768890624885415</v>
      </c>
      <c r="Y1489" s="5">
        <v>-1.9688906248854181</v>
      </c>
      <c r="Z1489" s="5">
        <v>-1.9795616764848631</v>
      </c>
      <c r="AA1489" s="18">
        <v>5.3906133495170748E-3</v>
      </c>
      <c r="AB1489" s="5">
        <v>-0.54903142888438405</v>
      </c>
      <c r="AC1489" s="4">
        <v>8.5985741343082338E-5</v>
      </c>
      <c r="AE1489" s="5">
        <v>1.262435852359769</v>
      </c>
      <c r="AF1489" s="5">
        <v>1.133415731838767</v>
      </c>
    </row>
    <row r="1490" spans="23:32" x14ac:dyDescent="0.25">
      <c r="W1490">
        <v>72.5</v>
      </c>
      <c r="X1490" s="5">
        <v>74.536311362901188</v>
      </c>
      <c r="Y1490" s="5">
        <v>-2.0363113629011877</v>
      </c>
      <c r="Z1490" s="5">
        <v>-2.0480535617176656</v>
      </c>
      <c r="AA1490" s="18">
        <v>5.7333455706277013E-3</v>
      </c>
      <c r="AB1490" s="5">
        <v>-0.56792977648932008</v>
      </c>
      <c r="AC1490" s="4">
        <v>9.7890584669411775E-5</v>
      </c>
      <c r="AE1490" s="5">
        <v>1.2933897637306977</v>
      </c>
      <c r="AF1490" s="5">
        <v>1.1353479921505021</v>
      </c>
    </row>
    <row r="1491" spans="23:32" x14ac:dyDescent="0.25">
      <c r="W1491">
        <v>72.599999999999994</v>
      </c>
      <c r="X1491" s="5">
        <v>74.840656338022882</v>
      </c>
      <c r="Y1491" s="5">
        <v>-2.2406563380228874</v>
      </c>
      <c r="Z1491" s="5">
        <v>-2.2528867509622188</v>
      </c>
      <c r="AA1491" s="18">
        <v>5.4287739648271214E-3</v>
      </c>
      <c r="AB1491" s="5">
        <v>-0.62482615116762641</v>
      </c>
      <c r="AC1491" s="4">
        <v>1.121581052950191E-4</v>
      </c>
      <c r="AE1491" s="5">
        <v>1.2933897637306977</v>
      </c>
      <c r="AF1491" s="5">
        <v>1.1384446768259304</v>
      </c>
    </row>
    <row r="1492" spans="23:32" x14ac:dyDescent="0.25">
      <c r="W1492">
        <v>72.5</v>
      </c>
      <c r="X1492" s="5">
        <v>72.684319203999792</v>
      </c>
      <c r="Y1492" s="5">
        <v>-0.18431920399979163</v>
      </c>
      <c r="Z1492" s="5">
        <v>-0.18605161903848</v>
      </c>
      <c r="AA1492" s="18">
        <v>9.3114752112361671E-3</v>
      </c>
      <c r="AB1492" s="5">
        <v>-5.1499606620470553E-2</v>
      </c>
      <c r="AC1492" s="4">
        <v>1.3120052755071134E-6</v>
      </c>
      <c r="AE1492" s="5">
        <v>1.2933897637306977</v>
      </c>
      <c r="AF1492" s="5">
        <v>1.1504161887007331</v>
      </c>
    </row>
    <row r="1493" spans="23:32" x14ac:dyDescent="0.25">
      <c r="W1493">
        <v>72.400000000000006</v>
      </c>
      <c r="X1493" s="5">
        <v>72.668691939491183</v>
      </c>
      <c r="Y1493" s="5">
        <v>-0.26869193949117687</v>
      </c>
      <c r="Z1493" s="5">
        <v>-0.27134621407081738</v>
      </c>
      <c r="AA1493" s="18">
        <v>9.781874380435502E-3</v>
      </c>
      <c r="AB1493" s="5">
        <v>-7.5091554362231389E-2</v>
      </c>
      <c r="AC1493" s="4">
        <v>2.9317018217910512E-6</v>
      </c>
      <c r="AE1493" s="5">
        <v>1.2933897637306977</v>
      </c>
      <c r="AF1493" s="5">
        <v>1.1507154930282464</v>
      </c>
    </row>
    <row r="1494" spans="23:32" x14ac:dyDescent="0.25">
      <c r="W1494">
        <v>72.3</v>
      </c>
      <c r="X1494" s="5">
        <v>76.530252846727578</v>
      </c>
      <c r="Y1494" s="5">
        <v>-4.2302528467275806</v>
      </c>
      <c r="Z1494" s="5">
        <v>-4.3104300547677212</v>
      </c>
      <c r="AA1494" s="18">
        <v>1.8600744478259698E-2</v>
      </c>
      <c r="AB1494" s="5">
        <v>-1.1875320952616182</v>
      </c>
      <c r="AC1494" s="4">
        <v>1.4067655156212349E-3</v>
      </c>
      <c r="AE1494" s="5">
        <v>1.2933897637306977</v>
      </c>
      <c r="AF1494" s="5">
        <v>1.1550417260941084</v>
      </c>
    </row>
    <row r="1495" spans="23:32" x14ac:dyDescent="0.25">
      <c r="W1495">
        <v>72.2</v>
      </c>
      <c r="X1495" s="5">
        <v>73.885767241988432</v>
      </c>
      <c r="Y1495" s="5">
        <v>-1.6857672419884295</v>
      </c>
      <c r="Z1495" s="5">
        <v>-1.7204194927519296</v>
      </c>
      <c r="AA1495" s="18">
        <v>2.0141745027588732E-2</v>
      </c>
      <c r="AB1495" s="5">
        <v>-0.47360673991397956</v>
      </c>
      <c r="AC1495" s="4">
        <v>2.4266994164497374E-4</v>
      </c>
      <c r="AE1495" s="5">
        <v>1.2933897637306977</v>
      </c>
      <c r="AF1495" s="5">
        <v>1.1661884325709231</v>
      </c>
    </row>
    <row r="1496" spans="23:32" x14ac:dyDescent="0.25">
      <c r="W1496">
        <v>72</v>
      </c>
      <c r="X1496" s="5">
        <v>72.423822399157032</v>
      </c>
      <c r="Y1496" s="5">
        <v>-0.42382239915703224</v>
      </c>
      <c r="Z1496" s="5">
        <v>-0.43286263829473626</v>
      </c>
      <c r="AA1496" s="18">
        <v>2.0884775764699791E-2</v>
      </c>
      <c r="AB1496" s="5">
        <v>-0.11911566938042409</v>
      </c>
      <c r="AC1496" s="4">
        <v>1.5928695257582674E-5</v>
      </c>
      <c r="AE1496" s="5">
        <v>1.2933897637306977</v>
      </c>
      <c r="AF1496" s="5">
        <v>1.1672954323985461</v>
      </c>
    </row>
    <row r="1497" spans="23:32" x14ac:dyDescent="0.25">
      <c r="W1497">
        <v>71.900000000000006</v>
      </c>
      <c r="X1497" s="5">
        <v>73.253435826676437</v>
      </c>
      <c r="Y1497" s="5">
        <v>-1.3534358266764315</v>
      </c>
      <c r="Z1497" s="5">
        <v>-1.3589959540984324</v>
      </c>
      <c r="AA1497" s="18">
        <v>4.091349503460729E-3</v>
      </c>
      <c r="AB1497" s="5">
        <v>-0.37716363083391435</v>
      </c>
      <c r="AC1497" s="4">
        <v>3.0757645763220746E-5</v>
      </c>
      <c r="AE1497" s="5">
        <v>1.2933897637306977</v>
      </c>
      <c r="AF1497" s="5">
        <v>1.1743264961319577</v>
      </c>
    </row>
    <row r="1498" spans="23:32" x14ac:dyDescent="0.25">
      <c r="W1498">
        <v>71.8</v>
      </c>
      <c r="X1498" s="5">
        <v>73.027047011856553</v>
      </c>
      <c r="Y1498" s="5">
        <v>-1.2270470118565555</v>
      </c>
      <c r="Z1498" s="5">
        <v>-1.2320181596532223</v>
      </c>
      <c r="AA1498" s="18">
        <v>4.0349630869603512E-3</v>
      </c>
      <c r="AB1498" s="5">
        <v>-0.34193302429402861</v>
      </c>
      <c r="AC1498" s="4">
        <v>2.4930096934788613E-5</v>
      </c>
      <c r="AE1498" s="5">
        <v>1.3219841213691266</v>
      </c>
      <c r="AF1498" s="5">
        <v>1.1816574695398494</v>
      </c>
    </row>
    <row r="1499" spans="23:32" x14ac:dyDescent="0.25">
      <c r="W1499">
        <v>71.599999999999994</v>
      </c>
      <c r="X1499" s="5">
        <v>73.265475141298865</v>
      </c>
      <c r="Y1499" s="5">
        <v>-1.6654751412988702</v>
      </c>
      <c r="Z1499" s="5">
        <v>-1.6731559420703945</v>
      </c>
      <c r="AA1499" s="18">
        <v>4.5906066364755404E-3</v>
      </c>
      <c r="AB1499" s="5">
        <v>-0.46423638876866502</v>
      </c>
      <c r="AC1499" s="4">
        <v>5.2311009725942105E-5</v>
      </c>
      <c r="AE1499" s="5">
        <v>1.3219841213691266</v>
      </c>
      <c r="AF1499" s="5">
        <v>1.1824175574653653</v>
      </c>
    </row>
    <row r="1500" spans="23:32" x14ac:dyDescent="0.25">
      <c r="W1500">
        <v>71.099999999999994</v>
      </c>
      <c r="X1500" s="5">
        <v>72.748687714412682</v>
      </c>
      <c r="Y1500" s="5">
        <v>-1.6486877144126879</v>
      </c>
      <c r="Z1500" s="5">
        <v>-1.6589176829164671</v>
      </c>
      <c r="AA1500" s="18">
        <v>6.166652275235102E-3</v>
      </c>
      <c r="AB1500" s="5">
        <v>-0.45992128691636874</v>
      </c>
      <c r="AC1500" s="4">
        <v>6.9079520706050781E-5</v>
      </c>
      <c r="AE1500" s="5">
        <v>1.3219841213691266</v>
      </c>
      <c r="AF1500" s="5">
        <v>1.1849117905878828</v>
      </c>
    </row>
    <row r="1501" spans="23:32" x14ac:dyDescent="0.25">
      <c r="W1501">
        <v>71</v>
      </c>
      <c r="X1501" s="5">
        <v>71.892432627028001</v>
      </c>
      <c r="Y1501" s="5">
        <v>-0.89243262702800052</v>
      </c>
      <c r="Z1501" s="5">
        <v>-0.89448300586039409</v>
      </c>
      <c r="AA1501" s="18">
        <v>2.2922501813434906E-3</v>
      </c>
      <c r="AB1501" s="5">
        <v>-0.2484709717588886</v>
      </c>
      <c r="AC1501" s="4">
        <v>7.4654567903079465E-6</v>
      </c>
      <c r="AE1501" s="5">
        <v>1.3219841213691266</v>
      </c>
      <c r="AF1501" s="5">
        <v>1.1914336218293742</v>
      </c>
    </row>
    <row r="1502" spans="23:32" x14ac:dyDescent="0.25">
      <c r="W1502">
        <v>78</v>
      </c>
      <c r="X1502" s="5">
        <v>72.37463251689644</v>
      </c>
      <c r="Y1502" s="5">
        <v>5.6253674831035596</v>
      </c>
      <c r="Z1502" s="5">
        <v>5.6620183071540566</v>
      </c>
      <c r="AA1502" s="18">
        <v>6.4731023571915226E-3</v>
      </c>
      <c r="AB1502" s="5">
        <v>1.5695059831571314</v>
      </c>
      <c r="AC1502" s="4">
        <v>8.4470525410973668E-4</v>
      </c>
      <c r="AE1502" s="5">
        <v>1.3219841213691266</v>
      </c>
      <c r="AF1502" s="5">
        <v>1.1924719494232385</v>
      </c>
    </row>
    <row r="1503" spans="23:32" x14ac:dyDescent="0.25">
      <c r="W1503">
        <v>76</v>
      </c>
      <c r="X1503" s="5">
        <v>70.842998641877628</v>
      </c>
      <c r="Y1503" s="5">
        <v>5.1570013581223719</v>
      </c>
      <c r="Z1503" s="5">
        <v>5.2540832691386044</v>
      </c>
      <c r="AA1503" s="18">
        <v>1.8477421472643227E-2</v>
      </c>
      <c r="AB1503" s="5">
        <v>1.4476013863830079</v>
      </c>
      <c r="AC1503" s="4">
        <v>2.076277753271823E-3</v>
      </c>
      <c r="AE1503" s="5">
        <v>1.3404190152831756</v>
      </c>
      <c r="AF1503" s="5">
        <v>1.1946709624053899</v>
      </c>
    </row>
    <row r="1504" spans="23:32" x14ac:dyDescent="0.25">
      <c r="W1504">
        <v>74</v>
      </c>
      <c r="X1504" s="5">
        <v>71.296311746550458</v>
      </c>
      <c r="Y1504" s="5">
        <v>2.7036882534495419</v>
      </c>
      <c r="Z1504" s="5">
        <v>2.7611625411832534</v>
      </c>
      <c r="AA1504" s="18">
        <v>2.0815249691558357E-2</v>
      </c>
      <c r="AB1504" s="5">
        <v>0.75984705636034189</v>
      </c>
      <c r="AC1504" s="4">
        <v>6.4597506369136535E-4</v>
      </c>
      <c r="AE1504" s="5">
        <v>1.3404190152831756</v>
      </c>
      <c r="AF1504" s="5">
        <v>1.2040843910900216</v>
      </c>
    </row>
    <row r="1505" spans="23:32" x14ac:dyDescent="0.25">
      <c r="W1505">
        <v>71</v>
      </c>
      <c r="X1505" s="5">
        <v>70.060668089013774</v>
      </c>
      <c r="Y1505" s="5">
        <v>0.93933191098622615</v>
      </c>
      <c r="Z1505" s="5">
        <v>0.95407727556880673</v>
      </c>
      <c r="AA1505" s="18">
        <v>1.5455105115879199E-2</v>
      </c>
      <c r="AB1505" s="5">
        <v>0.26327111085423499</v>
      </c>
      <c r="AC1505" s="4">
        <v>5.7264997947905355E-5</v>
      </c>
      <c r="AE1505" s="5">
        <v>1.3404190152831756</v>
      </c>
      <c r="AF1505" s="5">
        <v>1.2047156984784795</v>
      </c>
    </row>
    <row r="1506" spans="23:32" x14ac:dyDescent="0.25">
      <c r="W1506">
        <v>69.900000000000006</v>
      </c>
      <c r="X1506" s="5">
        <v>70.0178100910952</v>
      </c>
      <c r="Y1506" s="5">
        <v>-0.11781009109519403</v>
      </c>
      <c r="Z1506" s="5">
        <v>-0.12090453447871141</v>
      </c>
      <c r="AA1506" s="18">
        <v>2.5594105273693851E-2</v>
      </c>
      <c r="AB1506" s="5">
        <v>-3.3190548710559709E-2</v>
      </c>
      <c r="AC1506" s="4">
        <v>1.5229137680713579E-6</v>
      </c>
      <c r="AE1506" s="5">
        <v>1.3404190152831756</v>
      </c>
      <c r="AF1506" s="5">
        <v>1.2143801125673199</v>
      </c>
    </row>
    <row r="1507" spans="23:32" x14ac:dyDescent="0.25">
      <c r="W1507">
        <v>69.7</v>
      </c>
      <c r="X1507" s="5">
        <v>70.057578256456338</v>
      </c>
      <c r="Y1507" s="5">
        <v>-0.35757825645633545</v>
      </c>
      <c r="Z1507" s="5">
        <v>-0.36305850475459067</v>
      </c>
      <c r="AA1507" s="18">
        <v>1.509466994019785E-2</v>
      </c>
      <c r="AB1507" s="5">
        <v>-0.10020185241549144</v>
      </c>
      <c r="AC1507" s="4">
        <v>8.0989185841052745E-6</v>
      </c>
      <c r="AE1507" s="5">
        <v>1.3555018111021329</v>
      </c>
      <c r="AF1507" s="5">
        <v>1.2236917709877888</v>
      </c>
    </row>
    <row r="1508" spans="23:32" x14ac:dyDescent="0.25">
      <c r="W1508">
        <v>69.599999999999994</v>
      </c>
      <c r="X1508" s="5">
        <v>70.516450994526423</v>
      </c>
      <c r="Y1508" s="5">
        <v>-0.91645099452642853</v>
      </c>
      <c r="Z1508" s="5">
        <v>-0.91868019287797154</v>
      </c>
      <c r="AA1508" s="18">
        <v>2.4265227103206443E-3</v>
      </c>
      <c r="AB1508" s="5">
        <v>-0.2551753338576585</v>
      </c>
      <c r="AC1508" s="4">
        <v>8.3361063906457722E-6</v>
      </c>
      <c r="AE1508" s="5">
        <v>1.3555018111021329</v>
      </c>
      <c r="AF1508" s="5">
        <v>1.2251947264989356</v>
      </c>
    </row>
    <row r="1509" spans="23:32" x14ac:dyDescent="0.25">
      <c r="W1509">
        <v>69.5</v>
      </c>
      <c r="X1509" s="5">
        <v>71.144836945350349</v>
      </c>
      <c r="Y1509" s="5">
        <v>-1.6448369453503489</v>
      </c>
      <c r="Z1509" s="5">
        <v>-1.6494841468690566</v>
      </c>
      <c r="AA1509" s="18">
        <v>2.8173665855074606E-3</v>
      </c>
      <c r="AB1509" s="5">
        <v>-0.45807584443925109</v>
      </c>
      <c r="AC1509" s="4">
        <v>3.1202531759009862E-5</v>
      </c>
      <c r="AE1509" s="5">
        <v>1.3555018111021329</v>
      </c>
      <c r="AF1509" s="5">
        <v>1.2273354837292088</v>
      </c>
    </row>
    <row r="1510" spans="23:32" x14ac:dyDescent="0.25">
      <c r="W1510">
        <v>69.400000000000006</v>
      </c>
      <c r="X1510" s="5">
        <v>72.968994465702494</v>
      </c>
      <c r="Y1510" s="5">
        <v>-3.5689944657024881</v>
      </c>
      <c r="Z1510" s="5">
        <v>-3.5819273712000665</v>
      </c>
      <c r="AA1510" s="18">
        <v>3.610599589919555E-3</v>
      </c>
      <c r="AB1510" s="5">
        <v>-0.9943361224761218</v>
      </c>
      <c r="AC1510" s="4">
        <v>1.8856585836087231E-4</v>
      </c>
      <c r="AE1510" s="5">
        <v>1.3555018111021329</v>
      </c>
      <c r="AF1510" s="5">
        <v>1.2300162641513999</v>
      </c>
    </row>
    <row r="1511" spans="23:32" x14ac:dyDescent="0.25">
      <c r="W1511">
        <v>69.3</v>
      </c>
      <c r="X1511" s="5">
        <v>70.013714786793628</v>
      </c>
      <c r="Y1511" s="5">
        <v>-0.71371478679363065</v>
      </c>
      <c r="Z1511" s="5">
        <v>-0.71533845939293883</v>
      </c>
      <c r="AA1511" s="18">
        <v>2.2697963152753901E-3</v>
      </c>
      <c r="AB1511" s="5">
        <v>-0.19871013874527257</v>
      </c>
      <c r="AC1511" s="4">
        <v>4.7278122253645601E-6</v>
      </c>
      <c r="AE1511" s="5">
        <v>1.3555018111021329</v>
      </c>
      <c r="AF1511" s="5">
        <v>1.2409387984369507</v>
      </c>
    </row>
    <row r="1512" spans="23:32" x14ac:dyDescent="0.25">
      <c r="W1512">
        <v>69.2</v>
      </c>
      <c r="X1512" s="5">
        <v>69.654378291259306</v>
      </c>
      <c r="Y1512" s="5">
        <v>-0.45437829125930307</v>
      </c>
      <c r="Z1512" s="5">
        <v>-0.46037355894836196</v>
      </c>
      <c r="AA1512" s="18">
        <v>1.3022615162247871E-2</v>
      </c>
      <c r="AB1512" s="5">
        <v>-0.12719377734309936</v>
      </c>
      <c r="AC1512" s="4">
        <v>1.123489800784338E-5</v>
      </c>
      <c r="AE1512" s="5">
        <v>1.3748000243745633</v>
      </c>
      <c r="AF1512" s="5">
        <v>1.2538804598248807</v>
      </c>
    </row>
    <row r="1513" spans="23:32" x14ac:dyDescent="0.25">
      <c r="W1513">
        <v>75.099999999999994</v>
      </c>
      <c r="X1513" s="5">
        <v>75.333122480500521</v>
      </c>
      <c r="Y1513" s="5">
        <v>-0.23312248050052631</v>
      </c>
      <c r="Z1513" s="5">
        <v>-0.23512944095963917</v>
      </c>
      <c r="AA1513" s="18">
        <v>8.5355557811975149E-3</v>
      </c>
      <c r="AB1513" s="5">
        <v>-6.5109966989123844E-2</v>
      </c>
      <c r="AC1513" s="4">
        <v>1.9208613142575575E-6</v>
      </c>
      <c r="AE1513" s="5">
        <v>1.3748000243745633</v>
      </c>
      <c r="AF1513" s="5">
        <v>1.2595729200556354</v>
      </c>
    </row>
    <row r="1514" spans="23:32" x14ac:dyDescent="0.25">
      <c r="W1514">
        <v>74.900000000000006</v>
      </c>
      <c r="X1514" s="5">
        <v>77.102623538534218</v>
      </c>
      <c r="Y1514" s="5">
        <v>-2.2026235385342119</v>
      </c>
      <c r="Z1514" s="5">
        <v>-2.2140444965682207</v>
      </c>
      <c r="AA1514" s="18">
        <v>5.1584139576744664E-3</v>
      </c>
      <c r="AB1514" s="5">
        <v>-0.61413691378631852</v>
      </c>
      <c r="AC1514" s="4">
        <v>1.0292931040677867E-4</v>
      </c>
      <c r="AE1514" s="5">
        <v>1.3748000243745633</v>
      </c>
      <c r="AF1514" s="5">
        <v>1.2628293630646616</v>
      </c>
    </row>
    <row r="1515" spans="23:32" x14ac:dyDescent="0.25">
      <c r="W1515">
        <v>74.900000000000006</v>
      </c>
      <c r="X1515" s="5">
        <v>76.923275414229309</v>
      </c>
      <c r="Y1515" s="5">
        <v>-2.0232754142293032</v>
      </c>
      <c r="Z1515" s="5">
        <v>-2.0333165092516907</v>
      </c>
      <c r="AA1515" s="18">
        <v>4.9382843136817362E-3</v>
      </c>
      <c r="AB1515" s="5">
        <v>-0.56406855167537395</v>
      </c>
      <c r="AC1515" s="4">
        <v>8.3106739944735909E-5</v>
      </c>
      <c r="AE1515" s="5">
        <v>1.3748000243745633</v>
      </c>
      <c r="AF1515" s="5">
        <v>1.2692235396671032</v>
      </c>
    </row>
    <row r="1516" spans="23:32" x14ac:dyDescent="0.25">
      <c r="W1516">
        <v>74.8</v>
      </c>
      <c r="X1516" s="5">
        <v>76.806771970372694</v>
      </c>
      <c r="Y1516" s="5">
        <v>-2.0067719703726965</v>
      </c>
      <c r="Z1516" s="5">
        <v>-2.0165411534566289</v>
      </c>
      <c r="AA1516" s="18">
        <v>4.8445245301255166E-3</v>
      </c>
      <c r="AB1516" s="5">
        <v>-0.55944120375480566</v>
      </c>
      <c r="AC1516" s="4">
        <v>8.0189133539989885E-5</v>
      </c>
      <c r="AE1516" s="5">
        <v>1.3748000243745633</v>
      </c>
      <c r="AF1516" s="5">
        <v>1.2793820150396442</v>
      </c>
    </row>
    <row r="1517" spans="23:32" x14ac:dyDescent="0.25">
      <c r="W1517">
        <v>74.8</v>
      </c>
      <c r="X1517" s="5">
        <v>76.355276825594487</v>
      </c>
      <c r="Y1517" s="5">
        <v>-1.5552768255944898</v>
      </c>
      <c r="Z1517" s="5">
        <v>-1.5628283355243298</v>
      </c>
      <c r="AA1517" s="18">
        <v>4.8319509943498254E-3</v>
      </c>
      <c r="AB1517" s="5">
        <v>-0.43357215255303555</v>
      </c>
      <c r="AC1517" s="4">
        <v>4.8039143667093249E-5</v>
      </c>
      <c r="AE1517" s="5">
        <v>1.3946242806491955</v>
      </c>
      <c r="AF1517" s="5">
        <v>1.2842046590953333</v>
      </c>
    </row>
    <row r="1518" spans="23:32" x14ac:dyDescent="0.25">
      <c r="W1518">
        <v>74.7</v>
      </c>
      <c r="X1518" s="5">
        <v>76.515411438990583</v>
      </c>
      <c r="Y1518" s="5">
        <v>-1.81541143899058</v>
      </c>
      <c r="Z1518" s="5">
        <v>-1.8236693757256006</v>
      </c>
      <c r="AA1518" s="18">
        <v>4.5281983921739988E-3</v>
      </c>
      <c r="AB1518" s="5">
        <v>-0.50601393645428716</v>
      </c>
      <c r="AC1518" s="4">
        <v>6.1301039517656388E-5</v>
      </c>
      <c r="AE1518" s="5">
        <v>1.3946242806491955</v>
      </c>
      <c r="AF1518" s="5">
        <v>1.291604709085163</v>
      </c>
    </row>
    <row r="1519" spans="23:32" x14ac:dyDescent="0.25">
      <c r="W1519">
        <v>74.7</v>
      </c>
      <c r="X1519" s="5">
        <v>76.054730176769937</v>
      </c>
      <c r="Y1519" s="5">
        <v>-1.3547301767699338</v>
      </c>
      <c r="Z1519" s="5">
        <v>-1.361084872170693</v>
      </c>
      <c r="AA1519" s="18">
        <v>4.6688458087280702E-3</v>
      </c>
      <c r="AB1519" s="5">
        <v>-0.37763383387733407</v>
      </c>
      <c r="AC1519" s="4">
        <v>3.52070898003755E-5</v>
      </c>
      <c r="AE1519" s="5">
        <v>1.3946242806491955</v>
      </c>
      <c r="AF1519" s="5">
        <v>1.2920121343924684</v>
      </c>
    </row>
    <row r="1520" spans="23:32" x14ac:dyDescent="0.25">
      <c r="W1520">
        <v>74.599999999999994</v>
      </c>
      <c r="X1520" s="5">
        <v>76.093340671391061</v>
      </c>
      <c r="Y1520" s="5">
        <v>-1.4933406713910671</v>
      </c>
      <c r="Z1520" s="5">
        <v>-1.5000899643082874</v>
      </c>
      <c r="AA1520" s="18">
        <v>4.4992587630105479E-3</v>
      </c>
      <c r="AB1520" s="5">
        <v>-0.41623633725021991</v>
      </c>
      <c r="AC1520" s="4">
        <v>4.1212196796128179E-5</v>
      </c>
      <c r="AE1520" s="5">
        <v>1.3946242806491955</v>
      </c>
      <c r="AF1520" s="5">
        <v>1.2952922023197804</v>
      </c>
    </row>
    <row r="1521" spans="23:32" x14ac:dyDescent="0.25">
      <c r="W1521">
        <v>74.400000000000006</v>
      </c>
      <c r="X1521" s="5">
        <v>75.899398356820583</v>
      </c>
      <c r="Y1521" s="5">
        <v>-1.4993983568205778</v>
      </c>
      <c r="Z1521" s="5">
        <v>-1.5059257561700008</v>
      </c>
      <c r="AA1521" s="18">
        <v>4.3344762002248231E-3</v>
      </c>
      <c r="AB1521" s="5">
        <v>-0.41789020104608426</v>
      </c>
      <c r="AC1521" s="4">
        <v>4.0012337891958942E-5</v>
      </c>
      <c r="AE1521" s="5">
        <v>1.3946242806491955</v>
      </c>
      <c r="AF1521" s="5">
        <v>1.2981743740602556</v>
      </c>
    </row>
    <row r="1522" spans="23:32" x14ac:dyDescent="0.25">
      <c r="W1522">
        <v>74.2</v>
      </c>
      <c r="X1522" s="5">
        <v>75.483270255264813</v>
      </c>
      <c r="Y1522" s="5">
        <v>-1.2832702552648101</v>
      </c>
      <c r="Z1522" s="5">
        <v>-1.2885012770566391</v>
      </c>
      <c r="AA1522" s="18">
        <v>4.0597722990109711E-3</v>
      </c>
      <c r="AB1522" s="5">
        <v>-0.35760483529214049</v>
      </c>
      <c r="AC1522" s="4">
        <v>2.7436048705839064E-5</v>
      </c>
      <c r="AE1522" s="5">
        <v>1.3946242806491955</v>
      </c>
      <c r="AF1522" s="5">
        <v>1.2996041966121459</v>
      </c>
    </row>
    <row r="1523" spans="23:32" x14ac:dyDescent="0.25">
      <c r="W1523">
        <v>74</v>
      </c>
      <c r="X1523" s="5">
        <v>75.06568208351878</v>
      </c>
      <c r="Y1523" s="5">
        <v>-1.0656820835187801</v>
      </c>
      <c r="Z1523" s="5">
        <v>-1.0697419406489956</v>
      </c>
      <c r="AA1523" s="18">
        <v>3.7951743088150921E-3</v>
      </c>
      <c r="AB1523" s="5">
        <v>-0.29693079125117705</v>
      </c>
      <c r="AC1523" s="4">
        <v>1.7678277892444423E-5</v>
      </c>
      <c r="AE1523" s="5">
        <v>1.4191611772342045</v>
      </c>
      <c r="AF1523" s="5">
        <v>1.304810788089654</v>
      </c>
    </row>
    <row r="1524" spans="23:32" x14ac:dyDescent="0.25">
      <c r="W1524">
        <v>73.7</v>
      </c>
      <c r="X1524" s="5">
        <v>73.368237275423652</v>
      </c>
      <c r="Y1524" s="5">
        <v>0.33176272457635037</v>
      </c>
      <c r="Z1524" s="5">
        <v>0.33405185766955015</v>
      </c>
      <c r="AA1524" s="18">
        <v>6.852627939759692E-3</v>
      </c>
      <c r="AB1524" s="5">
        <v>9.258116295840671E-2</v>
      </c>
      <c r="AC1524" s="4">
        <v>3.1126846046839583E-6</v>
      </c>
      <c r="AE1524" s="5">
        <v>1.4191611772342045</v>
      </c>
      <c r="AF1524" s="5">
        <v>1.3079210632652858</v>
      </c>
    </row>
    <row r="1525" spans="23:32" x14ac:dyDescent="0.25">
      <c r="W1525">
        <v>73.5</v>
      </c>
      <c r="X1525" s="5">
        <v>74.504555536883686</v>
      </c>
      <c r="Y1525" s="5">
        <v>-1.0045555368836858</v>
      </c>
      <c r="Z1525" s="5">
        <v>-1.0081884381789763</v>
      </c>
      <c r="AA1525" s="18">
        <v>3.6033951171337798E-3</v>
      </c>
      <c r="AB1525" s="5">
        <v>-0.27987217570266443</v>
      </c>
      <c r="AC1525" s="4">
        <v>1.4908896288719028E-5</v>
      </c>
      <c r="AE1525" s="5">
        <v>1.4191611772342045</v>
      </c>
      <c r="AF1525" s="5">
        <v>1.3138513491231574</v>
      </c>
    </row>
    <row r="1526" spans="23:32" x14ac:dyDescent="0.25">
      <c r="W1526">
        <v>73.2</v>
      </c>
      <c r="X1526" s="5">
        <v>74.395636738201205</v>
      </c>
      <c r="Y1526" s="5">
        <v>-1.1956367382012019</v>
      </c>
      <c r="Z1526" s="5">
        <v>-1.2000909080881854</v>
      </c>
      <c r="AA1526" s="18">
        <v>3.7115270659584523E-3</v>
      </c>
      <c r="AB1526" s="5">
        <v>-0.33312604603791407</v>
      </c>
      <c r="AC1526" s="4">
        <v>2.1758607877299804E-5</v>
      </c>
      <c r="AE1526" s="5">
        <v>1.4191611772342045</v>
      </c>
      <c r="AF1526" s="5">
        <v>1.3224808054138639</v>
      </c>
    </row>
    <row r="1527" spans="23:32" x14ac:dyDescent="0.25">
      <c r="W1527">
        <v>72.900000000000006</v>
      </c>
      <c r="X1527" s="5">
        <v>72.298291548710822</v>
      </c>
      <c r="Y1527" s="5">
        <v>0.60170845128918415</v>
      </c>
      <c r="Z1527" s="5">
        <v>0.60322253020494543</v>
      </c>
      <c r="AA1527" s="18">
        <v>2.5099840273575891E-3</v>
      </c>
      <c r="AB1527" s="5">
        <v>0.16754586903368021</v>
      </c>
      <c r="AC1527" s="4">
        <v>3.7177163233271885E-6</v>
      </c>
      <c r="AE1527" s="5">
        <v>1.4191611772342045</v>
      </c>
      <c r="AF1527" s="5">
        <v>1.3415340588717739</v>
      </c>
    </row>
    <row r="1528" spans="23:32" x14ac:dyDescent="0.25">
      <c r="W1528">
        <v>75.5</v>
      </c>
      <c r="X1528" s="5">
        <v>77.388760046405395</v>
      </c>
      <c r="Y1528" s="5">
        <v>-1.8887600464053946</v>
      </c>
      <c r="Z1528" s="5">
        <v>-1.9074995801964008</v>
      </c>
      <c r="AA1528" s="18">
        <v>9.824135211120081E-3</v>
      </c>
      <c r="AB1528" s="5">
        <v>-0.52786456712378715</v>
      </c>
      <c r="AC1528" s="4">
        <v>1.4550349184037979E-4</v>
      </c>
      <c r="AE1528" s="5">
        <v>1.4191611772342045</v>
      </c>
      <c r="AF1528" s="5">
        <v>1.3423427826203533</v>
      </c>
    </row>
    <row r="1529" spans="23:32" x14ac:dyDescent="0.25">
      <c r="W1529">
        <v>75.2</v>
      </c>
      <c r="X1529" s="5">
        <v>77.150382920203384</v>
      </c>
      <c r="Y1529" s="5">
        <v>-1.9503829202033813</v>
      </c>
      <c r="Z1529" s="5">
        <v>-1.9733770847581695</v>
      </c>
      <c r="AA1529" s="18">
        <v>1.165218990956666E-2</v>
      </c>
      <c r="AB1529" s="5">
        <v>-0.54559059432246759</v>
      </c>
      <c r="AC1529" s="4">
        <v>1.8470467947322305E-4</v>
      </c>
      <c r="AE1529" s="5">
        <v>1.4191611772342045</v>
      </c>
      <c r="AF1529" s="5">
        <v>1.3494609615743844</v>
      </c>
    </row>
    <row r="1530" spans="23:32" x14ac:dyDescent="0.25">
      <c r="W1530">
        <v>74.8</v>
      </c>
      <c r="X1530" s="5">
        <v>75.27295122238597</v>
      </c>
      <c r="Y1530" s="5">
        <v>-0.47295122238597287</v>
      </c>
      <c r="Z1530" s="5">
        <v>-0.4751657364317623</v>
      </c>
      <c r="AA1530" s="18">
        <v>4.6605086941373082E-3</v>
      </c>
      <c r="AB1530" s="5">
        <v>-0.13183557759857961</v>
      </c>
      <c r="AC1530" s="4">
        <v>4.2832531060215477E-6</v>
      </c>
      <c r="AE1530" s="5">
        <v>1.4191611772342045</v>
      </c>
      <c r="AF1530" s="5">
        <v>1.3648982343884835</v>
      </c>
    </row>
    <row r="1531" spans="23:32" x14ac:dyDescent="0.25">
      <c r="W1531">
        <v>74.5</v>
      </c>
      <c r="X1531" s="5">
        <v>75.338726943164104</v>
      </c>
      <c r="Y1531" s="5">
        <v>-0.83872694316410445</v>
      </c>
      <c r="Z1531" s="5">
        <v>-0.8419505775246563</v>
      </c>
      <c r="AA1531" s="18">
        <v>3.8287691066442209E-3</v>
      </c>
      <c r="AB1531" s="5">
        <v>-0.2336982652340811</v>
      </c>
      <c r="AC1531" s="4">
        <v>1.1047971824913951E-5</v>
      </c>
      <c r="AE1531" s="5">
        <v>1.4191611772342045</v>
      </c>
      <c r="AF1531" s="5">
        <v>1.3702339518784261</v>
      </c>
    </row>
    <row r="1532" spans="23:32" x14ac:dyDescent="0.25">
      <c r="W1532">
        <v>74.2</v>
      </c>
      <c r="X1532" s="5">
        <v>73.689166704522933</v>
      </c>
      <c r="Y1532" s="5">
        <v>0.51083329547707024</v>
      </c>
      <c r="Z1532" s="5">
        <v>0.51281458138853964</v>
      </c>
      <c r="AA1532" s="18">
        <v>3.863552214341042E-3</v>
      </c>
      <c r="AB1532" s="5">
        <v>0.14233826658708645</v>
      </c>
      <c r="AC1532" s="4">
        <v>4.1357825777624415E-6</v>
      </c>
      <c r="AE1532" s="5">
        <v>1.4576525936309466</v>
      </c>
      <c r="AF1532" s="5">
        <v>1.3763016427409425</v>
      </c>
    </row>
    <row r="1533" spans="23:32" x14ac:dyDescent="0.25">
      <c r="W1533">
        <v>73.900000000000006</v>
      </c>
      <c r="X1533" s="5">
        <v>73.279077879404198</v>
      </c>
      <c r="Y1533" s="5">
        <v>0.62092212059580731</v>
      </c>
      <c r="Z1533" s="5">
        <v>0.62333433503009417</v>
      </c>
      <c r="AA1533" s="18">
        <v>3.8698565099449028E-3</v>
      </c>
      <c r="AB1533" s="5">
        <v>0.17301389471960835</v>
      </c>
      <c r="AC1533" s="4">
        <v>6.120503409483279E-6</v>
      </c>
      <c r="AE1533" s="5">
        <v>1.4576525936309466</v>
      </c>
      <c r="AF1533" s="5">
        <v>1.3907384680406882</v>
      </c>
    </row>
    <row r="1534" spans="23:32" x14ac:dyDescent="0.25">
      <c r="W1534">
        <v>73.5</v>
      </c>
      <c r="X1534" s="5">
        <v>71.406495464234752</v>
      </c>
      <c r="Y1534" s="5">
        <v>2.0935045357652484</v>
      </c>
      <c r="Z1534" s="5">
        <v>2.1055400429720237</v>
      </c>
      <c r="AA1534" s="18">
        <v>5.7161141375338693E-3</v>
      </c>
      <c r="AB1534" s="5">
        <v>0.5838759641716651</v>
      </c>
      <c r="AC1534" s="4">
        <v>1.031521026546529E-4</v>
      </c>
      <c r="AE1534" s="5">
        <v>1.4576525936309466</v>
      </c>
      <c r="AF1534" s="5">
        <v>1.4031116265490602</v>
      </c>
    </row>
    <row r="1535" spans="23:32" x14ac:dyDescent="0.25">
      <c r="W1535">
        <v>73.2</v>
      </c>
      <c r="X1535" s="5">
        <v>72.791838228227761</v>
      </c>
      <c r="Y1535" s="5">
        <v>0.40816177177224233</v>
      </c>
      <c r="Z1535" s="5">
        <v>0.40964636858697645</v>
      </c>
      <c r="AA1535" s="18">
        <v>3.6240936782843819E-3</v>
      </c>
      <c r="AB1535" s="5">
        <v>0.11371627096248542</v>
      </c>
      <c r="AC1535" s="4">
        <v>2.4755278485644641E-6</v>
      </c>
      <c r="AE1535" s="5">
        <v>1.4576525936309466</v>
      </c>
      <c r="AF1535" s="5">
        <v>1.4049658419750259</v>
      </c>
    </row>
    <row r="1536" spans="23:32" x14ac:dyDescent="0.25">
      <c r="W1536">
        <v>72.8</v>
      </c>
      <c r="X1536" s="5">
        <v>70.390094150272759</v>
      </c>
      <c r="Y1536" s="5">
        <v>2.4099058497272381</v>
      </c>
      <c r="Z1536" s="5">
        <v>2.4556253452723951</v>
      </c>
      <c r="AA1536" s="18">
        <v>1.8618269938116671E-2</v>
      </c>
      <c r="AB1536" s="5">
        <v>0.67652364999967007</v>
      </c>
      <c r="AC1536" s="4">
        <v>4.5699738994980888E-4</v>
      </c>
      <c r="AE1536" s="5">
        <v>1.4576525936309466</v>
      </c>
      <c r="AF1536" s="5">
        <v>1.4288412674358002</v>
      </c>
    </row>
    <row r="1537" spans="23:32" x14ac:dyDescent="0.25">
      <c r="W1537">
        <v>72.400000000000006</v>
      </c>
      <c r="X1537" s="5">
        <v>70.563444199648657</v>
      </c>
      <c r="Y1537" s="5">
        <v>1.8365558003513485</v>
      </c>
      <c r="Z1537" s="5">
        <v>1.8728851648127431</v>
      </c>
      <c r="AA1537" s="18">
        <v>1.9397539765885301E-2</v>
      </c>
      <c r="AB1537" s="5">
        <v>0.51577410085509778</v>
      </c>
      <c r="AC1537" s="4">
        <v>2.769613278290837E-4</v>
      </c>
      <c r="AE1537" s="5">
        <v>1.4576525936309466</v>
      </c>
      <c r="AF1537" s="5">
        <v>1.4476013863830079</v>
      </c>
    </row>
    <row r="1538" spans="23:32" x14ac:dyDescent="0.25">
      <c r="W1538">
        <v>72</v>
      </c>
      <c r="X1538" s="5">
        <v>71.86890040818011</v>
      </c>
      <c r="Y1538" s="5">
        <v>0.13109959181988984</v>
      </c>
      <c r="Z1538" s="5">
        <v>0.13148667785250723</v>
      </c>
      <c r="AA1538" s="18">
        <v>2.9439182656282995E-3</v>
      </c>
      <c r="AB1538" s="5">
        <v>3.6512657036517973E-2</v>
      </c>
      <c r="AC1538" s="4">
        <v>2.0717599627929142E-7</v>
      </c>
      <c r="AE1538" s="5">
        <v>1.4576525936309466</v>
      </c>
      <c r="AF1538" s="5">
        <v>1.4657550486150561</v>
      </c>
    </row>
    <row r="1539" spans="23:32" x14ac:dyDescent="0.25">
      <c r="W1539">
        <v>71.599999999999994</v>
      </c>
      <c r="X1539" s="5">
        <v>71.469838797492358</v>
      </c>
      <c r="Y1539" s="5">
        <v>0.13016120250763663</v>
      </c>
      <c r="Z1539" s="5">
        <v>0.13052927723165908</v>
      </c>
      <c r="AA1539" s="18">
        <v>2.8198633427944657E-3</v>
      </c>
      <c r="AB1539" s="5">
        <v>3.6249050438618979E-2</v>
      </c>
      <c r="AC1539" s="4">
        <v>1.9556634130519408E-7</v>
      </c>
      <c r="AE1539" s="5">
        <v>1.4576525936309466</v>
      </c>
      <c r="AF1539" s="5">
        <v>1.4704721542534949</v>
      </c>
    </row>
    <row r="1540" spans="23:32" x14ac:dyDescent="0.25">
      <c r="W1540">
        <v>71.2</v>
      </c>
      <c r="X1540" s="5">
        <v>70.96130219404148</v>
      </c>
      <c r="Y1540" s="5">
        <v>0.23869780595852319</v>
      </c>
      <c r="Z1540" s="5">
        <v>0.23932039988194731</v>
      </c>
      <c r="AA1540" s="18">
        <v>2.6015079522108556E-3</v>
      </c>
      <c r="AB1540" s="5">
        <v>6.6468513333966445E-2</v>
      </c>
      <c r="AC1540" s="4">
        <v>6.0650555095174787E-7</v>
      </c>
      <c r="AE1540" s="5">
        <v>1.4576525936309466</v>
      </c>
      <c r="AF1540" s="5">
        <v>1.4738258618985216</v>
      </c>
    </row>
    <row r="1541" spans="23:32" x14ac:dyDescent="0.25">
      <c r="W1541">
        <v>78</v>
      </c>
      <c r="X1541" s="5">
        <v>72.685726156644108</v>
      </c>
      <c r="Y1541" s="5">
        <v>5.3142738433558918</v>
      </c>
      <c r="Z1541" s="5">
        <v>5.3747208461627451</v>
      </c>
      <c r="AA1541" s="18">
        <v>1.1246538106255408E-2</v>
      </c>
      <c r="AB1541" s="5">
        <v>1.4862840355354106</v>
      </c>
      <c r="AC1541" s="4">
        <v>1.3224548905394612E-3</v>
      </c>
      <c r="AE1541" s="5">
        <v>1.4576525936309466</v>
      </c>
      <c r="AF1541" s="5">
        <v>1.4739318653425919</v>
      </c>
    </row>
    <row r="1542" spans="23:32" x14ac:dyDescent="0.25">
      <c r="W1542">
        <v>74</v>
      </c>
      <c r="X1542" s="5">
        <v>70.193420599563936</v>
      </c>
      <c r="Y1542" s="5">
        <v>3.806579400436064</v>
      </c>
      <c r="Z1542" s="5">
        <v>3.8227684443323398</v>
      </c>
      <c r="AA1542" s="18">
        <v>4.2349004738389956E-3</v>
      </c>
      <c r="AB1542" s="5">
        <v>1.0608606350248884</v>
      </c>
      <c r="AC1542" s="4">
        <v>2.5191230146988711E-4</v>
      </c>
      <c r="AE1542" s="5">
        <v>1.4576525936309466</v>
      </c>
      <c r="AF1542" s="5">
        <v>1.4757229257293403</v>
      </c>
    </row>
    <row r="1543" spans="23:32" x14ac:dyDescent="0.25">
      <c r="W1543">
        <v>66</v>
      </c>
      <c r="X1543" s="5">
        <v>69.3228042214607</v>
      </c>
      <c r="Y1543" s="5">
        <v>-3.3228042214607001</v>
      </c>
      <c r="Z1543" s="5">
        <v>-3.3378958117206707</v>
      </c>
      <c r="AA1543" s="18">
        <v>4.5212885935443422E-3</v>
      </c>
      <c r="AB1543" s="5">
        <v>-0.92616988779841747</v>
      </c>
      <c r="AC1543" s="4">
        <v>2.0504914591823689E-4</v>
      </c>
      <c r="AE1543" s="5">
        <v>1.4576525936309466</v>
      </c>
      <c r="AF1543" s="5">
        <v>1.4833503026839843</v>
      </c>
    </row>
    <row r="1544" spans="23:32" x14ac:dyDescent="0.25">
      <c r="W1544">
        <v>65.400000000000006</v>
      </c>
      <c r="X1544" s="5">
        <v>68.577110294537832</v>
      </c>
      <c r="Y1544" s="5">
        <v>-3.177110294537826</v>
      </c>
      <c r="Z1544" s="5">
        <v>-3.192355161209278</v>
      </c>
      <c r="AA1544" s="18">
        <v>4.7754293935360799E-3</v>
      </c>
      <c r="AB1544" s="5">
        <v>-0.88567347615739678</v>
      </c>
      <c r="AC1544" s="4">
        <v>1.9810024619737311E-4</v>
      </c>
      <c r="AE1544" s="5">
        <v>1.4576525936309466</v>
      </c>
      <c r="AF1544" s="5">
        <v>1.4862840355354106</v>
      </c>
    </row>
    <row r="1545" spans="23:32" x14ac:dyDescent="0.25">
      <c r="W1545">
        <v>65.599999999999994</v>
      </c>
      <c r="X1545" s="5">
        <v>72.230041368392023</v>
      </c>
      <c r="Y1545" s="5">
        <v>-6.6300413683920283</v>
      </c>
      <c r="Z1545" s="5">
        <v>-6.6685829416066014</v>
      </c>
      <c r="AA1545" s="18">
        <v>5.7795746940633649E-3</v>
      </c>
      <c r="AB1545" s="5">
        <v>-1.8491697888275669</v>
      </c>
      <c r="AC1545" s="4">
        <v>1.0461962951228581E-3</v>
      </c>
      <c r="AE1545" s="5">
        <v>1.4576525936309466</v>
      </c>
      <c r="AF1545" s="5">
        <v>1.4929805281638646</v>
      </c>
    </row>
    <row r="1546" spans="23:32" x14ac:dyDescent="0.25">
      <c r="W1546">
        <v>65.599999999999994</v>
      </c>
      <c r="X1546" s="5">
        <v>68.71572940512678</v>
      </c>
      <c r="Y1546" s="5">
        <v>-3.1157294051267854</v>
      </c>
      <c r="Z1546" s="5">
        <v>-3.1306135978221192</v>
      </c>
      <c r="AA1546" s="18">
        <v>4.754401087915491E-3</v>
      </c>
      <c r="AB1546" s="5">
        <v>-0.86855333445242622</v>
      </c>
      <c r="AC1546" s="4">
        <v>1.8967274686610685E-4</v>
      </c>
      <c r="AE1546" s="5">
        <v>1.5222105313262397</v>
      </c>
      <c r="AF1546" s="5">
        <v>1.5033693582290448</v>
      </c>
    </row>
    <row r="1547" spans="23:32" x14ac:dyDescent="0.25">
      <c r="W1547">
        <v>65.8</v>
      </c>
      <c r="X1547" s="5">
        <v>62.189041206680017</v>
      </c>
      <c r="Y1547" s="5">
        <v>3.6109587933199805</v>
      </c>
      <c r="Z1547" s="5">
        <v>3.6933424512039608</v>
      </c>
      <c r="AA1547" s="18">
        <v>2.2305989485791398E-2</v>
      </c>
      <c r="AB1547" s="5">
        <v>1.0156005956745628</v>
      </c>
      <c r="AC1547" s="4">
        <v>1.23854226506521E-3</v>
      </c>
      <c r="AE1547" s="5">
        <v>1.5222105313262397</v>
      </c>
      <c r="AF1547" s="5">
        <v>1.5040890125600428</v>
      </c>
    </row>
    <row r="1548" spans="23:32" x14ac:dyDescent="0.25">
      <c r="W1548">
        <v>65.599999999999994</v>
      </c>
      <c r="X1548" s="5">
        <v>61.727152800311941</v>
      </c>
      <c r="Y1548" s="5">
        <v>3.8728471996880529</v>
      </c>
      <c r="Z1548" s="5">
        <v>3.9585835187268898</v>
      </c>
      <c r="AA1548" s="18">
        <v>2.1658332742822223E-2</v>
      </c>
      <c r="AB1548" s="5">
        <v>1.0888974459126886</v>
      </c>
      <c r="AC1548" s="4">
        <v>1.3815125310649677E-3</v>
      </c>
      <c r="AE1548" s="5">
        <v>1.5222105313262397</v>
      </c>
      <c r="AF1548" s="5">
        <v>1.5044690910866605</v>
      </c>
    </row>
    <row r="1549" spans="23:32" x14ac:dyDescent="0.25">
      <c r="W1549">
        <v>64.5</v>
      </c>
      <c r="X1549" s="5">
        <v>61.359582584333715</v>
      </c>
      <c r="Y1549" s="5">
        <v>3.1404174156662847</v>
      </c>
      <c r="Z1549" s="5">
        <v>3.2093584317426931</v>
      </c>
      <c r="AA1549" s="18">
        <v>2.1481245408595161E-2</v>
      </c>
      <c r="AB1549" s="5">
        <v>0.88288612550649093</v>
      </c>
      <c r="AC1549" s="4">
        <v>9.0062932916225617E-4</v>
      </c>
      <c r="AE1549" s="5">
        <v>1.5222105313262397</v>
      </c>
      <c r="AF1549" s="5">
        <v>1.5122358303221499</v>
      </c>
    </row>
    <row r="1550" spans="23:32" x14ac:dyDescent="0.25">
      <c r="W1550">
        <v>64.099999999999994</v>
      </c>
      <c r="X1550" s="5">
        <v>61.172628528023047</v>
      </c>
      <c r="Y1550" s="5">
        <v>2.9273714719769472</v>
      </c>
      <c r="Z1550" s="5">
        <v>2.9909065566125008</v>
      </c>
      <c r="AA1550" s="18">
        <v>2.1242751464464325E-2</v>
      </c>
      <c r="AB1550" s="5">
        <v>0.82289084808144597</v>
      </c>
      <c r="AC1550" s="4">
        <v>7.7351126012933339E-4</v>
      </c>
      <c r="AE1550" s="5">
        <v>1.5222105313262397</v>
      </c>
      <c r="AF1550" s="5">
        <v>1.5212780876329783</v>
      </c>
    </row>
    <row r="1551" spans="23:32" x14ac:dyDescent="0.25">
      <c r="W1551">
        <v>63.7</v>
      </c>
      <c r="X1551" s="5">
        <v>61.174086955327155</v>
      </c>
      <c r="Y1551" s="5">
        <v>2.5259130446728477</v>
      </c>
      <c r="Z1551" s="5">
        <v>2.5795817360465776</v>
      </c>
      <c r="AA1551" s="18">
        <v>2.0805191253982353E-2</v>
      </c>
      <c r="AB1551" s="5">
        <v>0.70988130063939303</v>
      </c>
      <c r="AC1551" s="4">
        <v>5.6353446468176971E-4</v>
      </c>
      <c r="AE1551" s="5">
        <v>1.5222105313262397</v>
      </c>
      <c r="AF1551" s="5">
        <v>1.5243203690666614</v>
      </c>
    </row>
    <row r="1552" spans="23:32" x14ac:dyDescent="0.25">
      <c r="W1552">
        <v>63.3</v>
      </c>
      <c r="X1552" s="5">
        <v>59.821043170769009</v>
      </c>
      <c r="Y1552" s="5">
        <v>3.478956829230988</v>
      </c>
      <c r="Z1552" s="5">
        <v>3.5534966523219751</v>
      </c>
      <c r="AA1552" s="18">
        <v>2.0976472017296278E-2</v>
      </c>
      <c r="AB1552" s="5">
        <v>0.97780975779653934</v>
      </c>
      <c r="AC1552" s="4">
        <v>1.0781878932516883E-3</v>
      </c>
      <c r="AE1552" s="5">
        <v>1.5519290565282795</v>
      </c>
      <c r="AF1552" s="5">
        <v>1.5309698222167498</v>
      </c>
    </row>
    <row r="1553" spans="23:32" x14ac:dyDescent="0.25">
      <c r="W1553">
        <v>63.5</v>
      </c>
      <c r="X1553" s="5">
        <v>60.099180824375459</v>
      </c>
      <c r="Y1553" s="5">
        <v>3.4008191756245409</v>
      </c>
      <c r="Z1553" s="5">
        <v>3.4720759422387673</v>
      </c>
      <c r="AA1553" s="18">
        <v>2.0522813383015634E-2</v>
      </c>
      <c r="AB1553" s="5">
        <v>0.9556266881572677</v>
      </c>
      <c r="AC1553" s="4">
        <v>1.0070835679991097E-3</v>
      </c>
      <c r="AE1553" s="5">
        <v>1.5519290565282795</v>
      </c>
      <c r="AF1553" s="5">
        <v>1.5335310387088927</v>
      </c>
    </row>
    <row r="1554" spans="23:32" x14ac:dyDescent="0.25">
      <c r="W1554">
        <v>63.4</v>
      </c>
      <c r="X1554" s="5">
        <v>60.99359743914826</v>
      </c>
      <c r="Y1554" s="5">
        <v>2.4064025608517383</v>
      </c>
      <c r="Z1554" s="5">
        <v>2.4538769026439269</v>
      </c>
      <c r="AA1554" s="18">
        <v>1.9346668017877138E-2</v>
      </c>
      <c r="AB1554" s="5">
        <v>0.67579102341876796</v>
      </c>
      <c r="AC1554" s="4">
        <v>4.7420039081391664E-4</v>
      </c>
      <c r="AE1554" s="5">
        <v>1.5519290565282795</v>
      </c>
      <c r="AF1554" s="5">
        <v>1.5347239216998678</v>
      </c>
    </row>
    <row r="1555" spans="23:32" x14ac:dyDescent="0.25">
      <c r="W1555">
        <v>63.3</v>
      </c>
      <c r="X1555" s="5">
        <v>61.360368379743576</v>
      </c>
      <c r="Y1555" s="5">
        <v>1.9396316202564208</v>
      </c>
      <c r="Z1555" s="5">
        <v>1.9784770548688968</v>
      </c>
      <c r="AA1555" s="18">
        <v>1.9634008146255207E-2</v>
      </c>
      <c r="AB1555" s="5">
        <v>0.54478736731716659</v>
      </c>
      <c r="AC1555" s="4">
        <v>3.1283921349012318E-4</v>
      </c>
      <c r="AE1555" s="5">
        <v>1.5519290565282795</v>
      </c>
      <c r="AF1555" s="5">
        <v>1.5371247622528588</v>
      </c>
    </row>
    <row r="1556" spans="23:32" x14ac:dyDescent="0.25">
      <c r="W1556">
        <v>61.5</v>
      </c>
      <c r="X1556" s="5">
        <v>66.461729571706911</v>
      </c>
      <c r="Y1556" s="5">
        <v>-4.9617295717069112</v>
      </c>
      <c r="Z1556" s="5">
        <v>-4.9866190532907808</v>
      </c>
      <c r="AA1556" s="18">
        <v>4.9912538571492936E-3</v>
      </c>
      <c r="AB1556" s="5">
        <v>-1.3833164229030315</v>
      </c>
      <c r="AC1556" s="4">
        <v>5.0521033420919273E-4</v>
      </c>
      <c r="AE1556" s="5">
        <v>1.5725296242490356</v>
      </c>
      <c r="AF1556" s="5">
        <v>1.5416459652863319</v>
      </c>
    </row>
    <row r="1557" spans="23:32" x14ac:dyDescent="0.25">
      <c r="W1557">
        <v>67</v>
      </c>
      <c r="X1557" s="5">
        <v>61.035136393727747</v>
      </c>
      <c r="Y1557" s="5">
        <v>5.9648636062722531</v>
      </c>
      <c r="Z1557" s="5">
        <v>5.988806935625739</v>
      </c>
      <c r="AA1557" s="18">
        <v>3.9980132288204608E-3</v>
      </c>
      <c r="AB1557" s="5">
        <v>1.6621580101774232</v>
      </c>
      <c r="AC1557" s="4">
        <v>5.8368029907630262E-4</v>
      </c>
      <c r="AE1557" s="5">
        <v>1.5725296242490356</v>
      </c>
      <c r="AF1557" s="5">
        <v>1.5633210881536634</v>
      </c>
    </row>
    <row r="1558" spans="23:32" x14ac:dyDescent="0.25">
      <c r="W1558">
        <v>60</v>
      </c>
      <c r="X1558" s="5">
        <v>60.354321799002825</v>
      </c>
      <c r="Y1558" s="5">
        <v>-0.35432179900282534</v>
      </c>
      <c r="Z1558" s="5">
        <v>-0.35582725374731439</v>
      </c>
      <c r="AA1558" s="18">
        <v>4.2308584534692661E-3</v>
      </c>
      <c r="AB1558" s="5">
        <v>-9.8746209195641949E-2</v>
      </c>
      <c r="AC1558" s="4">
        <v>2.1805050462612851E-6</v>
      </c>
      <c r="AE1558" s="5">
        <v>1.5725296242490356</v>
      </c>
      <c r="AF1558" s="5">
        <v>1.5695059831571314</v>
      </c>
    </row>
    <row r="1559" spans="23:32" x14ac:dyDescent="0.25">
      <c r="W1559">
        <v>59.3</v>
      </c>
      <c r="X1559" s="5">
        <v>59.429826515266576</v>
      </c>
      <c r="Y1559" s="5">
        <v>-0.12982651526657918</v>
      </c>
      <c r="Z1559" s="5">
        <v>-0.13082382752200061</v>
      </c>
      <c r="AA1559" s="18">
        <v>7.6233227104916534E-3</v>
      </c>
      <c r="AB1559" s="5">
        <v>-3.6243240209500802E-2</v>
      </c>
      <c r="AC1559" s="4">
        <v>5.3109008017107291E-7</v>
      </c>
      <c r="AE1559" s="5">
        <v>1.5725296242490356</v>
      </c>
      <c r="AF1559" s="5">
        <v>1.5756659640766657</v>
      </c>
    </row>
    <row r="1560" spans="23:32" x14ac:dyDescent="0.25">
      <c r="W1560">
        <v>58.4</v>
      </c>
      <c r="X1560" s="5">
        <v>58.139671530407192</v>
      </c>
      <c r="Y1560" s="5">
        <v>0.26032846959280675</v>
      </c>
      <c r="Z1560" s="5">
        <v>0.26612754083832613</v>
      </c>
      <c r="AA1560" s="18">
        <v>2.1790571645663965E-2</v>
      </c>
      <c r="AB1560" s="5">
        <v>7.3199419145212649E-2</v>
      </c>
      <c r="AC1560" s="4">
        <v>6.2820074607092771E-6</v>
      </c>
      <c r="AE1560" s="5">
        <v>1.5725296242490356</v>
      </c>
      <c r="AF1560" s="5">
        <v>1.5894097224523007</v>
      </c>
    </row>
    <row r="1561" spans="23:32" x14ac:dyDescent="0.25">
      <c r="W1561">
        <v>57.5</v>
      </c>
      <c r="X1561" s="5">
        <v>57.964979384290956</v>
      </c>
      <c r="Y1561" s="5">
        <v>-0.46497938429095598</v>
      </c>
      <c r="Z1561" s="5">
        <v>-0.46797047473909004</v>
      </c>
      <c r="AA1561" s="18">
        <v>6.3916221419831496E-3</v>
      </c>
      <c r="AB1561" s="5">
        <v>-0.12972628088268975</v>
      </c>
      <c r="AC1561" s="4">
        <v>5.6976816751524187E-6</v>
      </c>
      <c r="AE1561" s="5">
        <v>1.5992570753291051</v>
      </c>
      <c r="AF1561" s="5">
        <v>1.5909887577594832</v>
      </c>
    </row>
    <row r="1562" spans="23:32" x14ac:dyDescent="0.25">
      <c r="W1562">
        <v>56.3</v>
      </c>
      <c r="X1562" s="5">
        <v>62.976241858932369</v>
      </c>
      <c r="Y1562" s="5">
        <v>-6.6762418589323715</v>
      </c>
      <c r="Z1562" s="5">
        <v>-6.7530214072977017</v>
      </c>
      <c r="AA1562" s="18">
        <v>1.1369658666024324E-2</v>
      </c>
      <c r="AB1562" s="5">
        <v>-1.8673124194259085</v>
      </c>
      <c r="AC1562" s="4">
        <v>2.1105413348621407E-3</v>
      </c>
      <c r="AE1562" s="5">
        <v>1.5992570753291051</v>
      </c>
      <c r="AF1562" s="5">
        <v>1.5995814563921886</v>
      </c>
    </row>
    <row r="1563" spans="23:32" x14ac:dyDescent="0.25">
      <c r="W1563">
        <v>55.5</v>
      </c>
      <c r="X1563" s="5">
        <v>61.94070396805273</v>
      </c>
      <c r="Y1563" s="5">
        <v>-6.4407039680527305</v>
      </c>
      <c r="Z1563" s="5">
        <v>-6.5873128733451765</v>
      </c>
      <c r="AA1563" s="18">
        <v>2.2256253515098634E-2</v>
      </c>
      <c r="AB1563" s="5">
        <v>-1.8114347989013382</v>
      </c>
      <c r="AC1563" s="4">
        <v>3.9311428442022449E-3</v>
      </c>
      <c r="AE1563" s="5">
        <v>1.5992570753291051</v>
      </c>
      <c r="AF1563" s="5">
        <v>1.602925250404734</v>
      </c>
    </row>
    <row r="1564" spans="23:32" x14ac:dyDescent="0.25">
      <c r="W1564">
        <v>54.9</v>
      </c>
      <c r="X1564" s="5">
        <v>62.276616281523445</v>
      </c>
      <c r="Y1564" s="5">
        <v>-7.3766162815234466</v>
      </c>
      <c r="Z1564" s="5">
        <v>-7.4743797647113368</v>
      </c>
      <c r="AA1564" s="18">
        <v>1.3079812140327444E-2</v>
      </c>
      <c r="AB1564" s="5">
        <v>-2.0649905484968976</v>
      </c>
      <c r="AC1564" s="4">
        <v>2.9744180588369682E-3</v>
      </c>
      <c r="AE1564" s="5">
        <v>1.5992570753291051</v>
      </c>
      <c r="AF1564" s="5">
        <v>1.6061879588780448</v>
      </c>
    </row>
    <row r="1565" spans="23:32" x14ac:dyDescent="0.25">
      <c r="W1565">
        <v>53.2</v>
      </c>
      <c r="X1565" s="5">
        <v>55.416769868840326</v>
      </c>
      <c r="Y1565" s="5">
        <v>-2.2167698688403235</v>
      </c>
      <c r="Z1565" s="5">
        <v>-2.2391923950237071</v>
      </c>
      <c r="AA1565" s="18">
        <v>1.0013666638566846E-2</v>
      </c>
      <c r="AB1565" s="5">
        <v>-0.61959499633196957</v>
      </c>
      <c r="AC1565" s="4">
        <v>2.0437422958642881E-4</v>
      </c>
      <c r="AE1565" s="5">
        <v>1.6214924498394727</v>
      </c>
      <c r="AF1565" s="5">
        <v>1.6081962879415868</v>
      </c>
    </row>
    <row r="1566" spans="23:32" x14ac:dyDescent="0.25">
      <c r="W1566">
        <v>51.3</v>
      </c>
      <c r="X1566" s="5">
        <v>55.011085023013436</v>
      </c>
      <c r="Y1566" s="5">
        <v>-3.7110850230134389</v>
      </c>
      <c r="Z1566" s="5">
        <v>-3.7521634081539972</v>
      </c>
      <c r="AA1566" s="18">
        <v>1.0947920085593352E-2</v>
      </c>
      <c r="AB1566" s="5">
        <v>-1.037751132201558</v>
      </c>
      <c r="AC1566" s="4">
        <v>6.2740111882538354E-4</v>
      </c>
      <c r="AE1566" s="5">
        <v>1.6214924498394727</v>
      </c>
      <c r="AF1566" s="5">
        <v>1.6087524012823657</v>
      </c>
    </row>
    <row r="1567" spans="23:32" x14ac:dyDescent="0.25">
      <c r="W1567">
        <v>51</v>
      </c>
      <c r="X1567" s="5">
        <v>61.408066396010895</v>
      </c>
      <c r="Y1567" s="5">
        <v>-10.408066396010895</v>
      </c>
      <c r="Z1567" s="5">
        <v>-10.61645441951228</v>
      </c>
      <c r="AA1567" s="18">
        <v>1.9628777675377702E-2</v>
      </c>
      <c r="AB1567" s="5">
        <v>-2.9233220915481097</v>
      </c>
      <c r="AC1567" s="4">
        <v>9.0053881730305565E-3</v>
      </c>
      <c r="AE1567" s="5">
        <v>1.6214924498394727</v>
      </c>
      <c r="AF1567" s="5">
        <v>1.6259499182326036</v>
      </c>
    </row>
    <row r="1568" spans="23:32" x14ac:dyDescent="0.25">
      <c r="W1568">
        <v>48.8</v>
      </c>
      <c r="X1568" s="5">
        <v>52.212317778224467</v>
      </c>
      <c r="Y1568" s="5">
        <v>-3.4123177782244696</v>
      </c>
      <c r="Z1568" s="5">
        <v>-3.5286414424488513</v>
      </c>
      <c r="AA1568" s="18">
        <v>3.2965566527965215E-2</v>
      </c>
      <c r="AB1568" s="5">
        <v>-0.96500683945327348</v>
      </c>
      <c r="AC1568" s="4">
        <v>1.6708050803362798E-3</v>
      </c>
      <c r="AE1568" s="5">
        <v>1.6214924498394727</v>
      </c>
      <c r="AF1568" s="5">
        <v>1.6408207787460747</v>
      </c>
    </row>
    <row r="1569" spans="23:32" x14ac:dyDescent="0.25">
      <c r="W1569">
        <v>78</v>
      </c>
      <c r="X1569" s="5">
        <v>74.25308062661891</v>
      </c>
      <c r="Y1569" s="5">
        <v>3.7469193733810897</v>
      </c>
      <c r="Z1569" s="5">
        <v>3.8156724985459789</v>
      </c>
      <c r="AA1569" s="18">
        <v>1.8018612758585399E-2</v>
      </c>
      <c r="AB1569" s="5">
        <v>1.0515371285136725</v>
      </c>
      <c r="AC1569" s="4">
        <v>1.0678585228522332E-3</v>
      </c>
      <c r="AE1569" s="5">
        <v>1.6445597025796697</v>
      </c>
      <c r="AF1569" s="5">
        <v>1.6434404477941205</v>
      </c>
    </row>
    <row r="1570" spans="23:32" x14ac:dyDescent="0.25">
      <c r="W1570">
        <v>71</v>
      </c>
      <c r="X1570" s="5">
        <v>72.173112401453679</v>
      </c>
      <c r="Y1570" s="5">
        <v>-1.1731124014536789</v>
      </c>
      <c r="Z1570" s="5">
        <v>-1.1851508500593582</v>
      </c>
      <c r="AA1570" s="18">
        <v>1.0157735283296977E-2</v>
      </c>
      <c r="AB1570" s="5">
        <v>-0.32791291425726521</v>
      </c>
      <c r="AC1570" s="4">
        <v>5.8075684595843931E-5</v>
      </c>
      <c r="AE1570" s="5">
        <v>1.6445597025796697</v>
      </c>
      <c r="AF1570" s="5">
        <v>1.64997311543179</v>
      </c>
    </row>
    <row r="1571" spans="23:32" x14ac:dyDescent="0.25">
      <c r="W1571">
        <v>77</v>
      </c>
      <c r="X1571" s="5">
        <v>76.91603192362625</v>
      </c>
      <c r="Y1571" s="5">
        <v>8.3968076373750478E-2</v>
      </c>
      <c r="Z1571" s="5">
        <v>8.4478491029997826E-2</v>
      </c>
      <c r="AA1571" s="18">
        <v>6.0419480748700218E-3</v>
      </c>
      <c r="AB1571" s="5">
        <v>2.3422436364106937E-2</v>
      </c>
      <c r="AC1571" s="4">
        <v>1.7551711300781754E-7</v>
      </c>
      <c r="AE1571" s="5">
        <v>1.6445597025796697</v>
      </c>
      <c r="AF1571" s="5">
        <v>1.6621580101774232</v>
      </c>
    </row>
    <row r="1572" spans="23:32" x14ac:dyDescent="0.25">
      <c r="W1572">
        <v>75</v>
      </c>
      <c r="X1572" s="5">
        <v>75.698648673912516</v>
      </c>
      <c r="Y1572" s="5">
        <v>-0.69864867391251551</v>
      </c>
      <c r="Z1572" s="5">
        <v>-0.7093711207213147</v>
      </c>
      <c r="AA1572" s="18">
        <v>1.5115426179026472E-2</v>
      </c>
      <c r="AB1572" s="5">
        <v>-0.19577988237706995</v>
      </c>
      <c r="AC1572" s="4">
        <v>3.0961185896892339E-5</v>
      </c>
      <c r="AE1572" s="5">
        <v>1.6624525291871317</v>
      </c>
      <c r="AF1572" s="5">
        <v>1.6744796653565959</v>
      </c>
    </row>
    <row r="1573" spans="23:32" x14ac:dyDescent="0.25">
      <c r="W1573">
        <v>69.8</v>
      </c>
      <c r="X1573" s="5">
        <v>72.985464061918165</v>
      </c>
      <c r="Y1573" s="5">
        <v>-3.185464061918168</v>
      </c>
      <c r="Z1573" s="5">
        <v>-3.2046498964477195</v>
      </c>
      <c r="AA1573" s="18">
        <v>5.9868738082163803E-3</v>
      </c>
      <c r="AB1573" s="5">
        <v>-0.88854318828231837</v>
      </c>
      <c r="AC1573" s="4">
        <v>2.5027154087734242E-4</v>
      </c>
      <c r="AE1573" s="5">
        <v>1.6624525291871317</v>
      </c>
      <c r="AF1573" s="5">
        <v>1.6799945933592966</v>
      </c>
    </row>
    <row r="1574" spans="23:32" x14ac:dyDescent="0.25">
      <c r="W1574">
        <v>69.2</v>
      </c>
      <c r="X1574" s="5">
        <v>72.920110151345995</v>
      </c>
      <c r="Y1574" s="5">
        <v>-3.7201101513459918</v>
      </c>
      <c r="Z1574" s="5">
        <v>-3.7358528013919994</v>
      </c>
      <c r="AA1574" s="18">
        <v>4.2139374549630768E-3</v>
      </c>
      <c r="AB1574" s="5">
        <v>-1.0367514930411104</v>
      </c>
      <c r="AC1574" s="4">
        <v>2.393964907553626E-4</v>
      </c>
      <c r="AE1574" s="5">
        <v>1.6624525291871317</v>
      </c>
      <c r="AF1574" s="5">
        <v>1.6940813971086803</v>
      </c>
    </row>
    <row r="1575" spans="23:32" x14ac:dyDescent="0.25">
      <c r="W1575">
        <v>67.7</v>
      </c>
      <c r="X1575" s="5">
        <v>71.188551355478168</v>
      </c>
      <c r="Y1575" s="5">
        <v>-3.4885513554781653</v>
      </c>
      <c r="Z1575" s="5">
        <v>-3.5674417378410226</v>
      </c>
      <c r="AA1575" s="18">
        <v>2.2113993208645363E-2</v>
      </c>
      <c r="AB1575" s="5">
        <v>-0.98107655331799892</v>
      </c>
      <c r="AC1575" s="4">
        <v>1.1455950612349456E-3</v>
      </c>
      <c r="AE1575" s="5">
        <v>1.6624525291871317</v>
      </c>
      <c r="AF1575" s="5">
        <v>1.7142639031778741</v>
      </c>
    </row>
    <row r="1576" spans="23:32" x14ac:dyDescent="0.25">
      <c r="W1576">
        <v>67.5</v>
      </c>
      <c r="X1576" s="5">
        <v>71.904341315709132</v>
      </c>
      <c r="Y1576" s="5">
        <v>-4.4043413157091322</v>
      </c>
      <c r="Z1576" s="5">
        <v>-4.4232899822119833</v>
      </c>
      <c r="AA1576" s="18">
        <v>4.283839987668403E-3</v>
      </c>
      <c r="AB1576" s="5">
        <v>-1.2274818560979668</v>
      </c>
      <c r="AC1576" s="4">
        <v>3.4117267972323868E-4</v>
      </c>
      <c r="AE1576" s="5">
        <v>1.6624525291871317</v>
      </c>
      <c r="AF1576" s="5">
        <v>1.7193420366707055</v>
      </c>
    </row>
    <row r="1577" spans="23:32" x14ac:dyDescent="0.25">
      <c r="W1577">
        <v>67.7</v>
      </c>
      <c r="X1577" s="5">
        <v>71.523064355183109</v>
      </c>
      <c r="Y1577" s="5">
        <v>-3.8230643551831065</v>
      </c>
      <c r="Z1577" s="5">
        <v>-3.8997948792952997</v>
      </c>
      <c r="AA1577" s="18">
        <v>1.9675528197539503E-2</v>
      </c>
      <c r="AB1577" s="5">
        <v>-1.0738128048773372</v>
      </c>
      <c r="AC1577" s="4">
        <v>1.2180359651202401E-3</v>
      </c>
      <c r="AE1577" s="5">
        <v>1.6624525291871317</v>
      </c>
      <c r="AF1577" s="5">
        <v>1.7258403223262191</v>
      </c>
    </row>
    <row r="1578" spans="23:32" x14ac:dyDescent="0.25">
      <c r="W1578">
        <v>67</v>
      </c>
      <c r="X1578" s="5">
        <v>71.426392708234332</v>
      </c>
      <c r="Y1578" s="5">
        <v>-4.4263927082343315</v>
      </c>
      <c r="Z1578" s="5">
        <v>-4.4423213157437687</v>
      </c>
      <c r="AA1578" s="18">
        <v>3.5856495686115014E-3</v>
      </c>
      <c r="AB1578" s="5">
        <v>-1.2331952598660307</v>
      </c>
      <c r="AC1578" s="4">
        <v>2.880301574636105E-4</v>
      </c>
      <c r="AE1578" s="5">
        <v>1.6624525291871317</v>
      </c>
      <c r="AF1578" s="5">
        <v>1.7299837869278185</v>
      </c>
    </row>
    <row r="1579" spans="23:32" x14ac:dyDescent="0.25">
      <c r="W1579">
        <v>67.400000000000006</v>
      </c>
      <c r="X1579" s="5">
        <v>71.689458911624627</v>
      </c>
      <c r="Y1579" s="5">
        <v>-4.2894589116246209</v>
      </c>
      <c r="Z1579" s="5">
        <v>-4.3046078097199967</v>
      </c>
      <c r="AA1579" s="18">
        <v>3.5192284094206039E-3</v>
      </c>
      <c r="AB1579" s="5">
        <v>-1.1950056055031117</v>
      </c>
      <c r="AC1579" s="4">
        <v>2.6543905102369543E-4</v>
      </c>
      <c r="AE1579" s="5">
        <v>1.7064083338107217</v>
      </c>
      <c r="AF1579" s="5">
        <v>1.738550011584886</v>
      </c>
    </row>
    <row r="1580" spans="23:32" x14ac:dyDescent="0.25">
      <c r="W1580">
        <v>67.599999999999994</v>
      </c>
      <c r="X1580" s="5">
        <v>71.720485223833748</v>
      </c>
      <c r="Y1580" s="5">
        <v>-4.1204852238337537</v>
      </c>
      <c r="Z1580" s="5">
        <v>-4.1353093663420708</v>
      </c>
      <c r="AA1580" s="18">
        <v>3.5847723096539609E-3</v>
      </c>
      <c r="AB1580" s="5">
        <v>-1.1479687737765354</v>
      </c>
      <c r="AC1580" s="4">
        <v>2.4953287420941656E-4</v>
      </c>
      <c r="AE1580" s="5">
        <v>1.7064083338107217</v>
      </c>
      <c r="AF1580" s="5">
        <v>1.7447079059850026</v>
      </c>
    </row>
    <row r="1581" spans="23:32" x14ac:dyDescent="0.25">
      <c r="W1581">
        <v>67.599999999999994</v>
      </c>
      <c r="X1581" s="5">
        <v>71.383709681199491</v>
      </c>
      <c r="Y1581" s="5">
        <v>-3.7837096811994968</v>
      </c>
      <c r="Z1581" s="5">
        <v>-3.8085359880064402</v>
      </c>
      <c r="AA1581" s="18">
        <v>6.5185958292444295E-3</v>
      </c>
      <c r="AB1581" s="5">
        <v>-1.0556983110033562</v>
      </c>
      <c r="AC1581" s="4">
        <v>3.848755871731575E-4</v>
      </c>
      <c r="AE1581" s="5">
        <v>1.7064083338107217</v>
      </c>
      <c r="AF1581" s="5">
        <v>1.7617187919347066</v>
      </c>
    </row>
    <row r="1582" spans="23:32" x14ac:dyDescent="0.25">
      <c r="W1582">
        <v>67.7</v>
      </c>
      <c r="X1582" s="5">
        <v>70.802506407657773</v>
      </c>
      <c r="Y1582" s="5">
        <v>-3.1025064076577706</v>
      </c>
      <c r="Z1582" s="5">
        <v>-3.1551603177701679</v>
      </c>
      <c r="AA1582" s="18">
        <v>1.6688188494209281E-2</v>
      </c>
      <c r="AB1582" s="5">
        <v>-0.87009956380726283</v>
      </c>
      <c r="AC1582" s="4">
        <v>6.7624215741007897E-4</v>
      </c>
      <c r="AE1582" s="5">
        <v>1.7064083338107217</v>
      </c>
      <c r="AF1582" s="5">
        <v>1.7718909633360733</v>
      </c>
    </row>
    <row r="1583" spans="23:32" x14ac:dyDescent="0.25">
      <c r="W1583">
        <v>67.5</v>
      </c>
      <c r="X1583" s="5">
        <v>70.888370022544024</v>
      </c>
      <c r="Y1583" s="5">
        <v>-3.3883700225440236</v>
      </c>
      <c r="Z1583" s="5">
        <v>-3.4406086391463759</v>
      </c>
      <c r="AA1583" s="18">
        <v>1.5182958040621477E-2</v>
      </c>
      <c r="AB1583" s="5">
        <v>-0.94954367429860687</v>
      </c>
      <c r="AC1583" s="4">
        <v>7.3160577572668663E-4</v>
      </c>
      <c r="AE1583" s="5">
        <v>1.7330844772440364</v>
      </c>
      <c r="AF1583" s="5">
        <v>1.7751175764525999</v>
      </c>
    </row>
    <row r="1584" spans="23:32" x14ac:dyDescent="0.25">
      <c r="W1584">
        <v>76.8</v>
      </c>
      <c r="X1584" s="5">
        <v>77.027809637827573</v>
      </c>
      <c r="Y1584" s="5">
        <v>-0.22780963782757624</v>
      </c>
      <c r="Z1584" s="5">
        <v>-0.23042487129477252</v>
      </c>
      <c r="AA1584" s="18">
        <v>1.1349614529468203E-2</v>
      </c>
      <c r="AB1584" s="5">
        <v>-6.3716603247631218E-2</v>
      </c>
      <c r="AC1584" s="4">
        <v>2.4529573745252216E-6</v>
      </c>
      <c r="AE1584" s="5">
        <v>1.7330844772440364</v>
      </c>
      <c r="AF1584" s="5">
        <v>1.7810192755581478</v>
      </c>
    </row>
    <row r="1585" spans="23:32" x14ac:dyDescent="0.25">
      <c r="W1585">
        <v>76.8</v>
      </c>
      <c r="X1585" s="5">
        <v>76.995917483850349</v>
      </c>
      <c r="Y1585" s="5">
        <v>-0.19591748385035146</v>
      </c>
      <c r="Z1585" s="5">
        <v>-0.19819257737165685</v>
      </c>
      <c r="AA1585" s="18">
        <v>1.147920649440265E-2</v>
      </c>
      <c r="AB1585" s="5">
        <v>-5.480020482843953E-2</v>
      </c>
      <c r="AC1585" s="4">
        <v>1.8354257560163631E-6</v>
      </c>
      <c r="AE1585" s="5">
        <v>1.7330844772440364</v>
      </c>
      <c r="AF1585" s="5">
        <v>1.7851683723764424</v>
      </c>
    </row>
    <row r="1586" spans="23:32" x14ac:dyDescent="0.25">
      <c r="W1586">
        <v>76.5</v>
      </c>
      <c r="X1586" s="5">
        <v>76.670785549840758</v>
      </c>
      <c r="Y1586" s="5">
        <v>-0.17078554984075822</v>
      </c>
      <c r="Z1586" s="5">
        <v>-0.17138134101337243</v>
      </c>
      <c r="AA1586" s="18">
        <v>3.4764062942749395E-3</v>
      </c>
      <c r="AB1586" s="5">
        <v>-4.7578332963686111E-2</v>
      </c>
      <c r="AC1586" s="4">
        <v>4.1563085792175937E-7</v>
      </c>
      <c r="AE1586" s="5">
        <v>1.7539324289023792</v>
      </c>
      <c r="AF1586" s="5">
        <v>1.7959478549153238</v>
      </c>
    </row>
    <row r="1587" spans="23:32" x14ac:dyDescent="0.25">
      <c r="W1587">
        <v>77</v>
      </c>
      <c r="X1587" s="5">
        <v>76.839936953957732</v>
      </c>
      <c r="Y1587" s="5">
        <v>0.16006304604226784</v>
      </c>
      <c r="Z1587" s="5">
        <v>0.1614066896202786</v>
      </c>
      <c r="AA1587" s="18">
        <v>8.3245841988726019E-3</v>
      </c>
      <c r="AB1587" s="5">
        <v>4.4700069221284694E-2</v>
      </c>
      <c r="AC1587" s="4">
        <v>8.8278672493077259E-7</v>
      </c>
      <c r="AE1587" s="5">
        <v>1.7539324289023792</v>
      </c>
      <c r="AF1587" s="5">
        <v>1.8402121377063636</v>
      </c>
    </row>
    <row r="1588" spans="23:32" x14ac:dyDescent="0.25">
      <c r="W1588">
        <v>76.3</v>
      </c>
      <c r="X1588" s="5">
        <v>77.445241884800083</v>
      </c>
      <c r="Y1588" s="5">
        <v>-1.145241884800086</v>
      </c>
      <c r="Z1588" s="5">
        <v>-1.1498468162069884</v>
      </c>
      <c r="AA1588" s="18">
        <v>4.0048216353605146E-3</v>
      </c>
      <c r="AB1588" s="5">
        <v>-0.31913210498290134</v>
      </c>
      <c r="AC1588" s="4">
        <v>2.1553278225747717E-5</v>
      </c>
      <c r="AE1588" s="5">
        <v>1.7539324289023792</v>
      </c>
      <c r="AF1588" s="5">
        <v>1.8710633191499484</v>
      </c>
    </row>
    <row r="1589" spans="23:32" x14ac:dyDescent="0.25">
      <c r="W1589">
        <v>76.599999999999994</v>
      </c>
      <c r="X1589" s="5">
        <v>75.280704760896214</v>
      </c>
      <c r="Y1589" s="5">
        <v>1.3192952391037807</v>
      </c>
      <c r="Z1589" s="5">
        <v>1.331881083632851</v>
      </c>
      <c r="AA1589" s="18">
        <v>9.4496758635112896E-3</v>
      </c>
      <c r="AB1589" s="5">
        <v>0.36864268006310502</v>
      </c>
      <c r="AC1589" s="4">
        <v>6.8233554566642671E-5</v>
      </c>
      <c r="AE1589" s="5">
        <v>1.7539324289023792</v>
      </c>
      <c r="AF1589" s="5">
        <v>1.8971211674674815</v>
      </c>
    </row>
    <row r="1590" spans="23:32" x14ac:dyDescent="0.25">
      <c r="W1590">
        <v>76.400000000000006</v>
      </c>
      <c r="X1590" s="5">
        <v>74.590317204678684</v>
      </c>
      <c r="Y1590" s="5">
        <v>1.8096827953213221</v>
      </c>
      <c r="Z1590" s="5">
        <v>1.8264917808697874</v>
      </c>
      <c r="AA1590" s="18">
        <v>9.2028804753029603E-3</v>
      </c>
      <c r="AB1590" s="5">
        <v>0.50560572364822465</v>
      </c>
      <c r="AC1590" s="4">
        <v>1.249710470892617E-4</v>
      </c>
      <c r="AE1590" s="5">
        <v>1.7539324289023792</v>
      </c>
      <c r="AF1590" s="5">
        <v>1.9006609503071605</v>
      </c>
    </row>
    <row r="1591" spans="23:32" x14ac:dyDescent="0.25">
      <c r="W1591">
        <v>75.400000000000006</v>
      </c>
      <c r="X1591" s="5">
        <v>75.836610935121229</v>
      </c>
      <c r="Y1591" s="5">
        <v>-0.43661093512122306</v>
      </c>
      <c r="Z1591" s="5">
        <v>-0.43791263027186744</v>
      </c>
      <c r="AA1591" s="18">
        <v>2.9724996738234137E-3</v>
      </c>
      <c r="AB1591" s="5">
        <v>-0.12160261987589634</v>
      </c>
      <c r="AC1591" s="4">
        <v>2.3203149637301701E-6</v>
      </c>
      <c r="AE1591" s="5">
        <v>1.7539324289023792</v>
      </c>
      <c r="AF1591" s="5">
        <v>1.9069914941091515</v>
      </c>
    </row>
    <row r="1592" spans="23:32" x14ac:dyDescent="0.25">
      <c r="W1592">
        <v>76.2</v>
      </c>
      <c r="X1592" s="5">
        <v>76.781980454136786</v>
      </c>
      <c r="Y1592" s="5">
        <v>-0.58198045413678301</v>
      </c>
      <c r="Z1592" s="5">
        <v>-0.58606918291347654</v>
      </c>
      <c r="AA1592" s="18">
        <v>6.9765292151485383E-3</v>
      </c>
      <c r="AB1592" s="5">
        <v>-0.16241664462029351</v>
      </c>
      <c r="AC1592" s="4">
        <v>9.7541037586662861E-6</v>
      </c>
      <c r="AE1592" s="5">
        <v>1.7539324289023792</v>
      </c>
      <c r="AF1592" s="5">
        <v>1.9097231865521502</v>
      </c>
    </row>
    <row r="1593" spans="23:32" x14ac:dyDescent="0.25">
      <c r="W1593">
        <v>75.7</v>
      </c>
      <c r="X1593" s="5">
        <v>76.25691902480267</v>
      </c>
      <c r="Y1593" s="5">
        <v>-0.5569190248026672</v>
      </c>
      <c r="Z1593" s="5">
        <v>-0.55997048799366667</v>
      </c>
      <c r="AA1593" s="18">
        <v>5.4493285921883294E-3</v>
      </c>
      <c r="AB1593" s="5">
        <v>-0.1553032300070058</v>
      </c>
      <c r="AC1593" s="4">
        <v>6.9554215601150955E-6</v>
      </c>
      <c r="AE1593" s="5">
        <v>1.7539324289023792</v>
      </c>
      <c r="AF1593" s="5">
        <v>1.919138010147744</v>
      </c>
    </row>
    <row r="1594" spans="23:32" x14ac:dyDescent="0.25">
      <c r="W1594">
        <v>75.400000000000006</v>
      </c>
      <c r="X1594" s="5">
        <v>76.597939620737108</v>
      </c>
      <c r="Y1594" s="5">
        <v>-1.1979396207371025</v>
      </c>
      <c r="Z1594" s="5">
        <v>-1.2051513509168075</v>
      </c>
      <c r="AA1594" s="18">
        <v>5.9840867076255914E-3</v>
      </c>
      <c r="AB1594" s="5">
        <v>-0.33414898960855144</v>
      </c>
      <c r="AC1594" s="4">
        <v>3.5377834353021701E-5</v>
      </c>
      <c r="AE1594" s="5">
        <v>1.7539324289023792</v>
      </c>
      <c r="AF1594" s="5">
        <v>1.9551134696821983</v>
      </c>
    </row>
    <row r="1595" spans="23:32" x14ac:dyDescent="0.25">
      <c r="W1595">
        <v>75.400000000000006</v>
      </c>
      <c r="X1595" s="5">
        <v>75.409102898514092</v>
      </c>
      <c r="Y1595" s="5">
        <v>-9.1028985140866325E-3</v>
      </c>
      <c r="Z1595" s="5">
        <v>-9.1218986768666355E-3</v>
      </c>
      <c r="AA1595" s="18">
        <v>2.0829175431679049E-3</v>
      </c>
      <c r="AB1595" s="5">
        <v>-2.5341619407907847E-3</v>
      </c>
      <c r="AC1595" s="4">
        <v>7.0549306377626747E-10</v>
      </c>
      <c r="AE1595" s="5">
        <v>1.7539324289023792</v>
      </c>
      <c r="AF1595" s="5">
        <v>1.963385897662121</v>
      </c>
    </row>
    <row r="1596" spans="23:32" x14ac:dyDescent="0.25">
      <c r="W1596">
        <v>75.400000000000006</v>
      </c>
      <c r="X1596" s="5">
        <v>75.025593021834268</v>
      </c>
      <c r="Y1596" s="5">
        <v>0.37440697816573731</v>
      </c>
      <c r="Z1596" s="5">
        <v>0.37521401206349481</v>
      </c>
      <c r="AA1596" s="18">
        <v>2.1508628990747724E-3</v>
      </c>
      <c r="AB1596" s="5">
        <v>0.10423495499164349</v>
      </c>
      <c r="AC1596" s="4">
        <v>1.2325967199752006E-6</v>
      </c>
      <c r="AE1596" s="5">
        <v>1.8295749434197284</v>
      </c>
      <c r="AF1596" s="5">
        <v>1.9646925584740611</v>
      </c>
    </row>
    <row r="1597" spans="23:32" x14ac:dyDescent="0.25">
      <c r="W1597">
        <v>75.2</v>
      </c>
      <c r="X1597" s="5">
        <v>74.761726771066023</v>
      </c>
      <c r="Y1597" s="5">
        <v>0.43827322893397991</v>
      </c>
      <c r="Z1597" s="5">
        <v>0.43905551203398829</v>
      </c>
      <c r="AA1597" s="18">
        <v>1.7817407561596128E-3</v>
      </c>
      <c r="AB1597" s="5">
        <v>0.12199276656104752</v>
      </c>
      <c r="AC1597" s="4">
        <v>1.3980849622386249E-6</v>
      </c>
      <c r="AE1597" s="5">
        <v>1.8295749434197284</v>
      </c>
      <c r="AF1597" s="5">
        <v>1.9763835335598512</v>
      </c>
    </row>
    <row r="1598" spans="23:32" x14ac:dyDescent="0.25">
      <c r="W1598">
        <v>75.099999999999994</v>
      </c>
      <c r="X1598" s="5">
        <v>73.270994952697436</v>
      </c>
      <c r="Y1598" s="5">
        <v>1.8290050473025588</v>
      </c>
      <c r="Z1598" s="5">
        <v>1.8679069592944018</v>
      </c>
      <c r="AA1598" s="18">
        <v>2.0826472002941583E-2</v>
      </c>
      <c r="AB1598" s="5">
        <v>0.51402822182283725</v>
      </c>
      <c r="AC1598" s="4">
        <v>2.9578515236235636E-4</v>
      </c>
      <c r="AE1598" s="5">
        <v>1.8460302671294702</v>
      </c>
      <c r="AF1598" s="5">
        <v>2.0021867105954105</v>
      </c>
    </row>
    <row r="1599" spans="23:32" x14ac:dyDescent="0.25">
      <c r="W1599">
        <v>69.2</v>
      </c>
      <c r="X1599" s="5">
        <v>71.16641043254694</v>
      </c>
      <c r="Y1599" s="5">
        <v>-1.9664104325469367</v>
      </c>
      <c r="Z1599" s="5">
        <v>-1.9731444935038951</v>
      </c>
      <c r="AA1599" s="18">
        <v>3.4128574866831209E-3</v>
      </c>
      <c r="AB1599" s="5">
        <v>-0.54779545105407668</v>
      </c>
      <c r="AC1599" s="4">
        <v>5.4086155911588812E-5</v>
      </c>
      <c r="AE1599" s="5">
        <v>1.8460302671294702</v>
      </c>
      <c r="AF1599" s="5">
        <v>2.0078656339075556</v>
      </c>
    </row>
    <row r="1600" spans="23:32" x14ac:dyDescent="0.25">
      <c r="W1600">
        <v>69.099999999999994</v>
      </c>
      <c r="X1600" s="5">
        <v>71.01415078416774</v>
      </c>
      <c r="Y1600" s="5">
        <v>-1.9141507841677452</v>
      </c>
      <c r="Z1600" s="5">
        <v>-1.9206146667484205</v>
      </c>
      <c r="AA1600" s="18">
        <v>3.3655280742092347E-3</v>
      </c>
      <c r="AB1600" s="5">
        <v>-0.53322448702300296</v>
      </c>
      <c r="AC1600" s="4">
        <v>5.0534024002960963E-5</v>
      </c>
      <c r="AE1600" s="5">
        <v>1.8630011940066851</v>
      </c>
      <c r="AF1600" s="5">
        <v>2.0084874229488099</v>
      </c>
    </row>
    <row r="1601" spans="23:32" x14ac:dyDescent="0.25">
      <c r="W1601">
        <v>68.8</v>
      </c>
      <c r="X1601" s="5">
        <v>70.890531490557152</v>
      </c>
      <c r="Y1601" s="5">
        <v>-2.0905314905571544</v>
      </c>
      <c r="Z1601" s="5">
        <v>-2.0975193979138851</v>
      </c>
      <c r="AA1601" s="18">
        <v>3.3315102419014244E-3</v>
      </c>
      <c r="AB1601" s="5">
        <v>-0.58234887612569175</v>
      </c>
      <c r="AC1601" s="4">
        <v>5.9662755486028905E-5</v>
      </c>
      <c r="AE1601" s="5">
        <v>1.8630011940066851</v>
      </c>
      <c r="AF1601" s="5">
        <v>2.0160844812297842</v>
      </c>
    </row>
    <row r="1602" spans="23:32" x14ac:dyDescent="0.25">
      <c r="W1602">
        <v>68.5</v>
      </c>
      <c r="X1602" s="5">
        <v>70.657133015424435</v>
      </c>
      <c r="Y1602" s="5">
        <v>-2.157133015424435</v>
      </c>
      <c r="Z1602" s="5">
        <v>-2.161219712080765</v>
      </c>
      <c r="AA1602" s="18">
        <v>1.8909214243623363E-3</v>
      </c>
      <c r="AB1602" s="5">
        <v>-0.60046792625930956</v>
      </c>
      <c r="AC1602" s="4">
        <v>3.5951871687768315E-5</v>
      </c>
      <c r="AE1602" s="5">
        <v>1.8630011940066851</v>
      </c>
      <c r="AF1602" s="5">
        <v>2.0235038819873807</v>
      </c>
    </row>
    <row r="1603" spans="23:32" x14ac:dyDescent="0.25">
      <c r="W1603">
        <v>68.3</v>
      </c>
      <c r="X1603" s="5">
        <v>69.2237479489348</v>
      </c>
      <c r="Y1603" s="5">
        <v>-0.92374794893480328</v>
      </c>
      <c r="Z1603" s="5">
        <v>-0.92905796695151821</v>
      </c>
      <c r="AA1603" s="18">
        <v>5.7154862297050732E-3</v>
      </c>
      <c r="AB1603" s="5">
        <v>-0.25763214018209746</v>
      </c>
      <c r="AC1603" s="4">
        <v>2.0081168907159855E-5</v>
      </c>
      <c r="AE1603" s="5">
        <v>1.8895099603334296</v>
      </c>
      <c r="AF1603" s="5">
        <v>2.0292397705253591</v>
      </c>
    </row>
    <row r="1604" spans="23:32" x14ac:dyDescent="0.25">
      <c r="W1604">
        <v>68</v>
      </c>
      <c r="X1604" s="5">
        <v>69.142345129392041</v>
      </c>
      <c r="Y1604" s="5">
        <v>-1.1423451293920408</v>
      </c>
      <c r="Z1604" s="5">
        <v>-1.1490556595146728</v>
      </c>
      <c r="AA1604" s="18">
        <v>5.8400392244430041E-3</v>
      </c>
      <c r="AB1604" s="5">
        <v>-0.31861857578558306</v>
      </c>
      <c r="AC1604" s="4">
        <v>3.1386875081563473E-5</v>
      </c>
      <c r="AE1604" s="5">
        <v>1.898648757670367</v>
      </c>
      <c r="AF1604" s="5">
        <v>2.0509059696759508</v>
      </c>
    </row>
    <row r="1605" spans="23:32" x14ac:dyDescent="0.25">
      <c r="W1605">
        <v>67.900000000000006</v>
      </c>
      <c r="X1605" s="5">
        <v>70.273490048279612</v>
      </c>
      <c r="Y1605" s="5">
        <v>-2.3734900482796064</v>
      </c>
      <c r="Z1605" s="5">
        <v>-2.3781843784580445</v>
      </c>
      <c r="AA1605" s="18">
        <v>1.9739134698573413E-3</v>
      </c>
      <c r="AB1605" s="5">
        <v>-0.66072138025689253</v>
      </c>
      <c r="AC1605" s="4">
        <v>4.5443245159288248E-5</v>
      </c>
      <c r="AE1605" s="5">
        <v>1.898648757670367</v>
      </c>
      <c r="AF1605" s="5">
        <v>2.0780551348088401</v>
      </c>
    </row>
    <row r="1606" spans="23:32" x14ac:dyDescent="0.25">
      <c r="W1606">
        <v>67.8</v>
      </c>
      <c r="X1606" s="5">
        <v>69.886053124124913</v>
      </c>
      <c r="Y1606" s="5">
        <v>-2.0860531241249163</v>
      </c>
      <c r="Z1606" s="5">
        <v>-2.0903257149153802</v>
      </c>
      <c r="AA1606" s="18">
        <v>2.0439832701548404E-3</v>
      </c>
      <c r="AB1606" s="5">
        <v>-0.58072638101573748</v>
      </c>
      <c r="AC1606" s="4">
        <v>3.6354271464391227E-5</v>
      </c>
      <c r="AE1606" s="5">
        <v>1.917417123160428</v>
      </c>
      <c r="AF1606" s="5">
        <v>2.0849170912718753</v>
      </c>
    </row>
    <row r="1607" spans="23:32" x14ac:dyDescent="0.25">
      <c r="W1607">
        <v>67.599999999999994</v>
      </c>
      <c r="X1607" s="5">
        <v>69.764493390524322</v>
      </c>
      <c r="Y1607" s="5">
        <v>-2.1644933905243278</v>
      </c>
      <c r="Z1607" s="5">
        <v>-2.1687079972312802</v>
      </c>
      <c r="AA1607" s="18">
        <v>1.9433721424607635E-3</v>
      </c>
      <c r="AB1607" s="5">
        <v>-0.60253262064445434</v>
      </c>
      <c r="AC1607" s="4">
        <v>3.7205600416308516E-5</v>
      </c>
      <c r="AE1607" s="5">
        <v>1.9270603903023944</v>
      </c>
      <c r="AF1607" s="5">
        <v>2.097812146009979</v>
      </c>
    </row>
    <row r="1608" spans="23:32" x14ac:dyDescent="0.25">
      <c r="W1608">
        <v>67.3</v>
      </c>
      <c r="X1608" s="5">
        <v>69.5897346769423</v>
      </c>
      <c r="Y1608" s="5">
        <v>-2.2897346769423024</v>
      </c>
      <c r="Z1608" s="5">
        <v>-2.2950417521159068</v>
      </c>
      <c r="AA1608" s="18">
        <v>2.3124089872030127E-3</v>
      </c>
      <c r="AB1608" s="5">
        <v>-0.63751406076187545</v>
      </c>
      <c r="AC1608" s="4">
        <v>4.9578800203091315E-5</v>
      </c>
      <c r="AE1608" s="5">
        <v>1.9368862628682144</v>
      </c>
      <c r="AF1608" s="5">
        <v>2.0981617158295567</v>
      </c>
    </row>
    <row r="1609" spans="23:32" x14ac:dyDescent="0.25">
      <c r="W1609">
        <v>67.8</v>
      </c>
      <c r="X1609" s="5">
        <v>69.508881922325926</v>
      </c>
      <c r="Y1609" s="5">
        <v>-1.7088819223259293</v>
      </c>
      <c r="Z1609" s="5">
        <v>-1.7128656616653899</v>
      </c>
      <c r="AA1609" s="18">
        <v>2.3257745359853287E-3</v>
      </c>
      <c r="AB1609" s="5">
        <v>-0.47579466828175476</v>
      </c>
      <c r="AC1609" s="4">
        <v>2.7775660803272016E-5</v>
      </c>
      <c r="AE1609" s="5">
        <v>1.9368862628682144</v>
      </c>
      <c r="AF1609" s="5">
        <v>2.100108777843503</v>
      </c>
    </row>
    <row r="1610" spans="23:32" x14ac:dyDescent="0.25">
      <c r="W1610">
        <v>67.2</v>
      </c>
      <c r="X1610" s="5">
        <v>69.173437827764403</v>
      </c>
      <c r="Y1610" s="5">
        <v>-1.9734378277643998</v>
      </c>
      <c r="Z1610" s="5">
        <v>-1.9780191537615082</v>
      </c>
      <c r="AA1610" s="18">
        <v>2.3161181166502513E-3</v>
      </c>
      <c r="AB1610" s="5">
        <v>-0.54945086631217699</v>
      </c>
      <c r="AC1610" s="4">
        <v>3.6886875643888974E-5</v>
      </c>
      <c r="AE1610" s="5">
        <v>1.9368862628682144</v>
      </c>
      <c r="AF1610" s="5">
        <v>2.1110972641812791</v>
      </c>
    </row>
    <row r="1611" spans="23:32" x14ac:dyDescent="0.25">
      <c r="W1611">
        <v>67.099999999999994</v>
      </c>
      <c r="X1611" s="5">
        <v>69.109338308497001</v>
      </c>
      <c r="Y1611" s="5">
        <v>-2.0093383084970071</v>
      </c>
      <c r="Z1611" s="5">
        <v>-2.0167297162495714</v>
      </c>
      <c r="AA1611" s="18">
        <v>3.665046284093519E-3</v>
      </c>
      <c r="AB1611" s="5">
        <v>-0.55982497928829689</v>
      </c>
      <c r="AC1611" s="4">
        <v>6.0677131488458856E-5</v>
      </c>
      <c r="AE1611" s="5">
        <v>1.9368862628682144</v>
      </c>
      <c r="AF1611" s="5">
        <v>2.1215023943355344</v>
      </c>
    </row>
    <row r="1612" spans="23:32" x14ac:dyDescent="0.25">
      <c r="W1612">
        <v>71.7</v>
      </c>
      <c r="X1612" s="5">
        <v>69.733710386112747</v>
      </c>
      <c r="Y1612" s="5">
        <v>1.9662896138872554</v>
      </c>
      <c r="Z1612" s="5">
        <v>1.9730968878341457</v>
      </c>
      <c r="AA1612" s="18">
        <v>3.450045453347832E-3</v>
      </c>
      <c r="AB1612" s="5">
        <v>0.54777201407116394</v>
      </c>
      <c r="AC1612" s="4">
        <v>5.467286372784859E-5</v>
      </c>
      <c r="AE1612" s="5">
        <v>1.9368862628682144</v>
      </c>
      <c r="AF1612" s="5">
        <v>2.1285201508880149</v>
      </c>
    </row>
    <row r="1613" spans="23:32" x14ac:dyDescent="0.25">
      <c r="W1613">
        <v>71.599999999999994</v>
      </c>
      <c r="X1613" s="5">
        <v>69.494720104278258</v>
      </c>
      <c r="Y1613" s="5">
        <v>2.1052798957217362</v>
      </c>
      <c r="Z1613" s="5">
        <v>2.1130905111683518</v>
      </c>
      <c r="AA1613" s="18">
        <v>3.6962995221160532E-3</v>
      </c>
      <c r="AB1613" s="5">
        <v>0.58656461909276858</v>
      </c>
      <c r="AC1613" s="4">
        <v>6.7182094330576819E-5</v>
      </c>
      <c r="AE1613" s="5">
        <v>1.9368862628682144</v>
      </c>
      <c r="AF1613" s="5">
        <v>2.1371946694014405</v>
      </c>
    </row>
    <row r="1614" spans="23:32" x14ac:dyDescent="0.25">
      <c r="W1614">
        <v>71.400000000000006</v>
      </c>
      <c r="X1614" s="5">
        <v>67.891268620478186</v>
      </c>
      <c r="Y1614" s="5">
        <v>3.5087313795218193</v>
      </c>
      <c r="Z1614" s="5">
        <v>3.5344273394825052</v>
      </c>
      <c r="AA1614" s="18">
        <v>7.2701904700762402E-3</v>
      </c>
      <c r="AB1614" s="5">
        <v>0.97934673810554418</v>
      </c>
      <c r="AC1614" s="4">
        <v>3.6968692206189302E-4</v>
      </c>
      <c r="AE1614" s="5">
        <v>1.9368862628682144</v>
      </c>
      <c r="AF1614" s="5">
        <v>2.1382257117648678</v>
      </c>
    </row>
    <row r="1615" spans="23:32" x14ac:dyDescent="0.25">
      <c r="W1615">
        <v>71.2</v>
      </c>
      <c r="X1615" s="5">
        <v>69.307276526552329</v>
      </c>
      <c r="Y1615" s="5">
        <v>1.8927234734476741</v>
      </c>
      <c r="Z1615" s="5">
        <v>1.89893503075902</v>
      </c>
      <c r="AA1615" s="18">
        <v>3.2710741603740011E-3</v>
      </c>
      <c r="AB1615" s="5">
        <v>0.52723050365505175</v>
      </c>
      <c r="AC1615" s="4">
        <v>4.8013214761986395E-5</v>
      </c>
      <c r="AE1615" s="5">
        <v>1.9368862628682144</v>
      </c>
      <c r="AF1615" s="5">
        <v>2.1399414473612799</v>
      </c>
    </row>
    <row r="1616" spans="23:32" x14ac:dyDescent="0.25">
      <c r="W1616">
        <v>71</v>
      </c>
      <c r="X1616" s="5">
        <v>69.28280494128947</v>
      </c>
      <c r="Y1616" s="5">
        <v>1.71719505871053</v>
      </c>
      <c r="Z1616" s="5">
        <v>1.7222032837124033</v>
      </c>
      <c r="AA1616" s="18">
        <v>2.9080335923406392E-3</v>
      </c>
      <c r="AB1616" s="5">
        <v>0.47824882678174502</v>
      </c>
      <c r="AC1616" s="4">
        <v>3.5108997393836301E-5</v>
      </c>
      <c r="AE1616" s="5">
        <v>1.9368862628682144</v>
      </c>
      <c r="AF1616" s="5">
        <v>2.1401779218802774</v>
      </c>
    </row>
    <row r="1617" spans="23:32" x14ac:dyDescent="0.25">
      <c r="W1617">
        <v>78</v>
      </c>
      <c r="X1617" s="5">
        <v>68.990311815044421</v>
      </c>
      <c r="Y1617" s="5">
        <v>9.0096881849555785</v>
      </c>
      <c r="Z1617" s="5">
        <v>9.0380868755863304</v>
      </c>
      <c r="AA1617" s="18">
        <v>3.1421130402564902E-3</v>
      </c>
      <c r="AB1617" s="5">
        <v>2.5095452327590513</v>
      </c>
      <c r="AC1617" s="4">
        <v>1.0447803857457616E-3</v>
      </c>
      <c r="AE1617" s="5">
        <v>2.0350728680272758</v>
      </c>
      <c r="AF1617" s="5">
        <v>2.1619547538317905</v>
      </c>
    </row>
    <row r="1618" spans="23:32" x14ac:dyDescent="0.25">
      <c r="W1618">
        <v>75</v>
      </c>
      <c r="X1618" s="5">
        <v>68.803803803696312</v>
      </c>
      <c r="Y1618" s="5">
        <v>6.1961961963036885</v>
      </c>
      <c r="Z1618" s="5">
        <v>6.2154457304128243</v>
      </c>
      <c r="AA1618" s="18">
        <v>3.0970480548071456E-3</v>
      </c>
      <c r="AB1618" s="5">
        <v>1.7258403223262191</v>
      </c>
      <c r="AC1618" s="4">
        <v>4.8701538870958648E-4</v>
      </c>
      <c r="AE1618" s="5">
        <v>2.0350728680272758</v>
      </c>
      <c r="AF1618" s="5">
        <v>2.1914249061060458</v>
      </c>
    </row>
    <row r="1619" spans="23:32" x14ac:dyDescent="0.25">
      <c r="W1619">
        <v>73</v>
      </c>
      <c r="X1619" s="5">
        <v>68.998596743056794</v>
      </c>
      <c r="Y1619" s="5">
        <v>4.0014032569432061</v>
      </c>
      <c r="Z1619" s="5">
        <v>4.0366606945482744</v>
      </c>
      <c r="AA1619" s="18">
        <v>8.734307952285086E-3</v>
      </c>
      <c r="AB1619" s="5">
        <v>1.1176843640485132</v>
      </c>
      <c r="AC1619" s="4">
        <v>5.7932620615127868E-4</v>
      </c>
      <c r="AE1619" s="5">
        <v>2.0350728680272758</v>
      </c>
      <c r="AF1619" s="5">
        <v>2.2253523280455898</v>
      </c>
    </row>
    <row r="1620" spans="23:32" x14ac:dyDescent="0.25">
      <c r="W1620">
        <v>71</v>
      </c>
      <c r="X1620" s="5">
        <v>68.343769193151118</v>
      </c>
      <c r="Y1620" s="5">
        <v>2.6562308068488818</v>
      </c>
      <c r="Z1620" s="5">
        <v>2.6642214133617728</v>
      </c>
      <c r="AA1620" s="18">
        <v>2.9992276440742862E-3</v>
      </c>
      <c r="AB1620" s="5">
        <v>0.73980958494247473</v>
      </c>
      <c r="AC1620" s="4">
        <v>8.6656320001338502E-5</v>
      </c>
      <c r="AE1620" s="5">
        <v>2.0350728680272758</v>
      </c>
      <c r="AF1620" s="5">
        <v>2.2957711888144985</v>
      </c>
    </row>
    <row r="1621" spans="23:32" x14ac:dyDescent="0.25">
      <c r="W1621">
        <v>69.900000000000006</v>
      </c>
      <c r="X1621" s="5">
        <v>62.752043823087746</v>
      </c>
      <c r="Y1621" s="5">
        <v>7.1479561769122597</v>
      </c>
      <c r="Z1621" s="5">
        <v>7.2926207402216079</v>
      </c>
      <c r="AA1621" s="18">
        <v>1.9837115964562599E-2</v>
      </c>
      <c r="AB1621" s="5">
        <v>2.0078656339075556</v>
      </c>
      <c r="AC1621" s="4">
        <v>4.2943355004006105E-3</v>
      </c>
      <c r="AE1621" s="5">
        <v>2.0350728680272758</v>
      </c>
      <c r="AF1621" s="5">
        <v>2.297904338772621</v>
      </c>
    </row>
    <row r="1622" spans="23:32" x14ac:dyDescent="0.25">
      <c r="W1622">
        <v>69.599999999999994</v>
      </c>
      <c r="X1622" s="5">
        <v>62.767785032879992</v>
      </c>
      <c r="Y1622" s="5">
        <v>6.8322149671200023</v>
      </c>
      <c r="Z1622" s="5">
        <v>6.9702299879775538</v>
      </c>
      <c r="AA1622" s="18">
        <v>1.9800640882094378E-2</v>
      </c>
      <c r="AB1622" s="5">
        <v>1.919138010147744</v>
      </c>
      <c r="AC1622" s="4">
        <v>3.9158283491265026E-3</v>
      </c>
      <c r="AE1622" s="5">
        <v>2.0350728680272758</v>
      </c>
      <c r="AF1622" s="5">
        <v>2.3020025192046263</v>
      </c>
    </row>
    <row r="1623" spans="23:32" x14ac:dyDescent="0.25">
      <c r="W1623">
        <v>69.400000000000006</v>
      </c>
      <c r="X1623" s="5">
        <v>62.246603763688483</v>
      </c>
      <c r="Y1623" s="5">
        <v>7.1533962363115222</v>
      </c>
      <c r="Z1623" s="5">
        <v>7.2915887747075629</v>
      </c>
      <c r="AA1623" s="18">
        <v>1.8952322006335915E-2</v>
      </c>
      <c r="AB1623" s="5">
        <v>2.0084874229488099</v>
      </c>
      <c r="AC1623" s="4">
        <v>4.1016343782430504E-3</v>
      </c>
      <c r="AE1623" s="5">
        <v>2.1134016615055304</v>
      </c>
      <c r="AF1623" s="5">
        <v>2.3107012281771699</v>
      </c>
    </row>
    <row r="1624" spans="23:32" x14ac:dyDescent="0.25">
      <c r="W1624">
        <v>69.3</v>
      </c>
      <c r="X1624" s="5">
        <v>61.107688330595039</v>
      </c>
      <c r="Y1624" s="5">
        <v>8.1923116694049583</v>
      </c>
      <c r="Z1624" s="5">
        <v>8.427084341139583</v>
      </c>
      <c r="AA1624" s="18">
        <v>2.7859300112674339E-2</v>
      </c>
      <c r="AB1624" s="5">
        <v>2.3107012281771699</v>
      </c>
      <c r="AC1624" s="4">
        <v>8.0533220249578395E-3</v>
      </c>
      <c r="AE1624" s="5">
        <v>2.1134016615055304</v>
      </c>
      <c r="AF1624" s="5">
        <v>2.3159740966498559</v>
      </c>
    </row>
    <row r="1625" spans="23:32" x14ac:dyDescent="0.25">
      <c r="W1625">
        <v>69.099999999999994</v>
      </c>
      <c r="X1625" s="5">
        <v>60.938565341212126</v>
      </c>
      <c r="Y1625" s="5">
        <v>8.1614346587878686</v>
      </c>
      <c r="Z1625" s="5">
        <v>8.3953981563031235</v>
      </c>
      <c r="AA1625" s="18">
        <v>2.7868064522895801E-2</v>
      </c>
      <c r="AB1625" s="5">
        <v>2.3020025192046263</v>
      </c>
      <c r="AC1625" s="4">
        <v>7.9953887580923831E-3</v>
      </c>
      <c r="AE1625" s="5">
        <v>2.1134016615055304</v>
      </c>
      <c r="AF1625" s="5">
        <v>2.3243425588087558</v>
      </c>
    </row>
    <row r="1626" spans="23:32" x14ac:dyDescent="0.25">
      <c r="W1626">
        <v>69</v>
      </c>
      <c r="X1626" s="5">
        <v>64.372606898501928</v>
      </c>
      <c r="Y1626" s="5">
        <v>4.6273931014980718</v>
      </c>
      <c r="Z1626" s="5">
        <v>4.7572382178668846</v>
      </c>
      <c r="AA1626" s="18">
        <v>2.7294222072199895E-2</v>
      </c>
      <c r="AB1626" s="5">
        <v>1.304810788089654</v>
      </c>
      <c r="AC1626" s="4">
        <v>2.5143787736107955E-3</v>
      </c>
      <c r="AE1626" s="5">
        <v>2.1134016615055304</v>
      </c>
      <c r="AF1626" s="5">
        <v>2.3647900008226799</v>
      </c>
    </row>
    <row r="1627" spans="23:32" x14ac:dyDescent="0.25">
      <c r="W1627">
        <v>61.1</v>
      </c>
      <c r="X1627" s="5">
        <v>64.661682276088598</v>
      </c>
      <c r="Y1627" s="5">
        <v>-3.5616822760885967</v>
      </c>
      <c r="Z1627" s="5">
        <v>-3.5770591404456056</v>
      </c>
      <c r="AA1627" s="18">
        <v>4.2987447937732053E-3</v>
      </c>
      <c r="AB1627" s="5">
        <v>-0.99264175489645157</v>
      </c>
      <c r="AC1627" s="4">
        <v>2.2389484090625376E-4</v>
      </c>
      <c r="AE1627" s="5">
        <v>2.1134016615055304</v>
      </c>
      <c r="AF1627" s="5">
        <v>2.391751786979365</v>
      </c>
    </row>
    <row r="1628" spans="23:32" x14ac:dyDescent="0.25">
      <c r="W1628">
        <v>63</v>
      </c>
      <c r="X1628" s="5">
        <v>63.850990687816903</v>
      </c>
      <c r="Y1628" s="5">
        <v>-0.85099068781690335</v>
      </c>
      <c r="Z1628" s="5">
        <v>-0.85388390673140435</v>
      </c>
      <c r="AA1628" s="18">
        <v>3.388304770348786E-3</v>
      </c>
      <c r="AB1628" s="5">
        <v>-0.2370629638717533</v>
      </c>
      <c r="AC1628" s="4">
        <v>1.0056116746846155E-5</v>
      </c>
      <c r="AE1628" s="5">
        <v>2.190305027167327</v>
      </c>
      <c r="AF1628" s="5">
        <v>2.3933972929986531</v>
      </c>
    </row>
    <row r="1629" spans="23:32" x14ac:dyDescent="0.25">
      <c r="W1629">
        <v>59.2</v>
      </c>
      <c r="X1629" s="5">
        <v>62.286867673988297</v>
      </c>
      <c r="Y1629" s="5">
        <v>-3.0868676739882943</v>
      </c>
      <c r="Z1629" s="5">
        <v>-3.1307721592277389</v>
      </c>
      <c r="AA1629" s="18">
        <v>1.4023532536547617E-2</v>
      </c>
      <c r="AB1629" s="5">
        <v>-0.86454306167835204</v>
      </c>
      <c r="AC1629" s="4">
        <v>5.5951345575513153E-4</v>
      </c>
      <c r="AE1629" s="5">
        <v>2.190305027167327</v>
      </c>
      <c r="AF1629" s="5">
        <v>2.3959044910391984</v>
      </c>
    </row>
    <row r="1630" spans="23:32" x14ac:dyDescent="0.25">
      <c r="W1630">
        <v>58.2</v>
      </c>
      <c r="X1630" s="5">
        <v>61.686903812096396</v>
      </c>
      <c r="Y1630" s="5">
        <v>-3.4869038120963936</v>
      </c>
      <c r="Z1630" s="5">
        <v>-3.5035481125259267</v>
      </c>
      <c r="AA1630" s="18">
        <v>4.7506984048613305E-3</v>
      </c>
      <c r="AB1630" s="5">
        <v>-0.97202160568125395</v>
      </c>
      <c r="AC1630" s="4">
        <v>2.3736889858211408E-4</v>
      </c>
      <c r="AE1630" s="5">
        <v>2.190305027167327</v>
      </c>
      <c r="AF1630" s="5">
        <v>2.4071385692980343</v>
      </c>
    </row>
    <row r="1631" spans="23:32" x14ac:dyDescent="0.25">
      <c r="W1631">
        <v>58</v>
      </c>
      <c r="X1631" s="5">
        <v>60.075357204159531</v>
      </c>
      <c r="Y1631" s="5">
        <v>-2.0753572041595305</v>
      </c>
      <c r="Z1631" s="5">
        <v>-2.1134020141846506</v>
      </c>
      <c r="AA1631" s="18">
        <v>1.8001691003305995E-2</v>
      </c>
      <c r="AB1631" s="5">
        <v>-0.58242415562533167</v>
      </c>
      <c r="AC1631" s="4">
        <v>3.2728621936921017E-4</v>
      </c>
      <c r="AE1631" s="5">
        <v>2.190305027167327</v>
      </c>
      <c r="AF1631" s="5">
        <v>2.4073783220574709</v>
      </c>
    </row>
    <row r="1632" spans="23:32" x14ac:dyDescent="0.25">
      <c r="W1632">
        <v>57.4</v>
      </c>
      <c r="X1632" s="5">
        <v>59.401255064924321</v>
      </c>
      <c r="Y1632" s="5">
        <v>-2.0012550649243224</v>
      </c>
      <c r="Z1632" s="5">
        <v>-2.0130681290589223</v>
      </c>
      <c r="AA1632" s="18">
        <v>5.8681889420818542E-3</v>
      </c>
      <c r="AB1632" s="5">
        <v>-0.55819038373494112</v>
      </c>
      <c r="AC1632" s="4">
        <v>9.6799077289964677E-5</v>
      </c>
      <c r="AE1632" s="5">
        <v>2.190305027167327</v>
      </c>
      <c r="AF1632" s="5">
        <v>2.4114645667190162</v>
      </c>
    </row>
    <row r="1633" spans="23:32" x14ac:dyDescent="0.25">
      <c r="W1633">
        <v>55.7</v>
      </c>
      <c r="X1633" s="5">
        <v>63.164100161588401</v>
      </c>
      <c r="Y1633" s="5">
        <v>-7.464100161588398</v>
      </c>
      <c r="Z1633" s="5">
        <v>-7.6162737584427447</v>
      </c>
      <c r="AA1633" s="18">
        <v>1.998005871121206E-2</v>
      </c>
      <c r="AB1633" s="5">
        <v>-2.0968235904648691</v>
      </c>
      <c r="AC1633" s="4">
        <v>4.7177186181840353E-3</v>
      </c>
      <c r="AE1633" s="5">
        <v>2.190305027167327</v>
      </c>
      <c r="AF1633" s="5">
        <v>2.4599270371080935</v>
      </c>
    </row>
    <row r="1634" spans="23:32" x14ac:dyDescent="0.25">
      <c r="W1634">
        <v>52.6</v>
      </c>
      <c r="X1634" s="5">
        <v>54.219797772514042</v>
      </c>
      <c r="Y1634" s="5">
        <v>-1.6197977725140404</v>
      </c>
      <c r="Z1634" s="5">
        <v>-1.6491792341059863</v>
      </c>
      <c r="AA1634" s="18">
        <v>1.7815808606073881E-2</v>
      </c>
      <c r="AB1634" s="5">
        <v>-0.45453383724784496</v>
      </c>
      <c r="AC1634" s="4">
        <v>1.9723838434670358E-4</v>
      </c>
      <c r="AE1634" s="5">
        <v>2.190305027167327</v>
      </c>
      <c r="AF1634" s="5">
        <v>2.5095452327590513</v>
      </c>
    </row>
    <row r="1635" spans="23:32" x14ac:dyDescent="0.25">
      <c r="W1635">
        <v>58</v>
      </c>
      <c r="X1635" s="5">
        <v>53.069022600677776</v>
      </c>
      <c r="Y1635" s="5">
        <v>4.9309773993222237</v>
      </c>
      <c r="Z1635" s="5">
        <v>4.9669576945387846</v>
      </c>
      <c r="AA1635" s="18">
        <v>7.2439302746871758E-3</v>
      </c>
      <c r="AB1635" s="5">
        <v>1.3763016427409425</v>
      </c>
      <c r="AC1635" s="4">
        <v>7.274537147371567E-4</v>
      </c>
      <c r="AE1635" s="5">
        <v>2.190305027167327</v>
      </c>
      <c r="AF1635" s="5">
        <v>2.5199319931824578</v>
      </c>
    </row>
    <row r="1636" spans="23:32" x14ac:dyDescent="0.25">
      <c r="W1636">
        <v>49.3</v>
      </c>
      <c r="X1636" s="5">
        <v>51.877265660082159</v>
      </c>
      <c r="Y1636" s="5">
        <v>-2.577265660082162</v>
      </c>
      <c r="Z1636" s="5">
        <v>-2.5993695788015785</v>
      </c>
      <c r="AA1636" s="18">
        <v>8.5035690575430978E-3</v>
      </c>
      <c r="AB1636" s="5">
        <v>-0.71980606449294804</v>
      </c>
      <c r="AC1636" s="4">
        <v>2.3387698657638246E-4</v>
      </c>
      <c r="AE1636" s="5">
        <v>2.349487559997844</v>
      </c>
      <c r="AF1636" s="5">
        <v>2.5525024669765601</v>
      </c>
    </row>
    <row r="1637" spans="23:32" x14ac:dyDescent="0.25">
      <c r="W1637">
        <v>59.2</v>
      </c>
      <c r="X1637" s="5">
        <v>60.336082015219802</v>
      </c>
      <c r="Y1637" s="5">
        <v>-1.1360820152197988</v>
      </c>
      <c r="Z1637" s="5">
        <v>-1.1400770124408481</v>
      </c>
      <c r="AA1637" s="18">
        <v>3.5041468053958261E-3</v>
      </c>
      <c r="AB1637" s="5">
        <v>-0.3165000833098352</v>
      </c>
      <c r="AC1637" s="4">
        <v>1.8539621060145819E-5</v>
      </c>
      <c r="AE1637" s="5">
        <v>2.349487559997844</v>
      </c>
      <c r="AF1637" s="5">
        <v>2.5591390038416884</v>
      </c>
    </row>
    <row r="1638" spans="23:32" x14ac:dyDescent="0.25">
      <c r="W1638">
        <v>58</v>
      </c>
      <c r="X1638" s="5">
        <v>58.850999884208264</v>
      </c>
      <c r="Y1638" s="5">
        <v>-0.85099988420826378</v>
      </c>
      <c r="Z1638" s="5">
        <v>-0.85605387348304873</v>
      </c>
      <c r="AA1638" s="18">
        <v>5.9038215132683437E-3</v>
      </c>
      <c r="AB1638" s="5">
        <v>-0.23736527818292694</v>
      </c>
      <c r="AC1638" s="4">
        <v>1.7611063996655067E-5</v>
      </c>
      <c r="AE1638" s="5">
        <v>2.349487559997844</v>
      </c>
      <c r="AF1638" s="5">
        <v>2.5712772024760531</v>
      </c>
    </row>
    <row r="1639" spans="23:32" x14ac:dyDescent="0.25">
      <c r="W1639">
        <v>56.6</v>
      </c>
      <c r="X1639" s="5">
        <v>56.579111842966718</v>
      </c>
      <c r="Y1639" s="5">
        <v>2.0888157033283505E-2</v>
      </c>
      <c r="Z1639" s="5">
        <v>2.1017895526931341E-2</v>
      </c>
      <c r="AA1639" s="18">
        <v>6.1727632760311514E-3</v>
      </c>
      <c r="AB1639" s="5">
        <v>5.8270207973663488E-3</v>
      </c>
      <c r="AC1639" s="4">
        <v>1.1099623883260772E-8</v>
      </c>
      <c r="AE1639" s="5">
        <v>2.428517260365656</v>
      </c>
      <c r="AF1639" s="5">
        <v>2.6124622684307339</v>
      </c>
    </row>
    <row r="1640" spans="23:32" x14ac:dyDescent="0.25">
      <c r="W1640">
        <v>54.9</v>
      </c>
      <c r="X1640" s="5">
        <v>54.935791146937646</v>
      </c>
      <c r="Y1640" s="5">
        <v>-3.5791146937647511E-2</v>
      </c>
      <c r="Z1640" s="5">
        <v>-3.5991484060929224E-2</v>
      </c>
      <c r="AA1640" s="18">
        <v>5.5662368059977317E-3</v>
      </c>
      <c r="AB1640" s="5">
        <v>-9.9813567190465014E-3</v>
      </c>
      <c r="AC1640" s="4">
        <v>2.9350220643401815E-8</v>
      </c>
      <c r="AE1640" s="5">
        <v>2.428517260365656</v>
      </c>
      <c r="AF1640" s="5">
        <v>2.6607875432501578</v>
      </c>
    </row>
    <row r="1641" spans="23:32" x14ac:dyDescent="0.25">
      <c r="W1641">
        <v>52.4</v>
      </c>
      <c r="X1641" s="5">
        <v>52.766171099805412</v>
      </c>
      <c r="Y1641" s="5">
        <v>-0.36617109980541329</v>
      </c>
      <c r="Z1641" s="5">
        <v>-0.37209537577577834</v>
      </c>
      <c r="AA1641" s="18">
        <v>1.5921391008998496E-2</v>
      </c>
      <c r="AB1641" s="5">
        <v>-0.10265286158873253</v>
      </c>
      <c r="AC1641" s="4">
        <v>8.9730427424975079E-6</v>
      </c>
      <c r="AE1641" s="5">
        <v>2.428517260365656</v>
      </c>
      <c r="AF1641" s="5">
        <v>2.6645113447166495</v>
      </c>
    </row>
    <row r="1642" spans="23:32" x14ac:dyDescent="0.25">
      <c r="W1642">
        <v>50</v>
      </c>
      <c r="X1642" s="5">
        <v>49.837266571510021</v>
      </c>
      <c r="Y1642" s="5">
        <v>0.16273342848997885</v>
      </c>
      <c r="Z1642" s="5">
        <v>0.16417732330786095</v>
      </c>
      <c r="AA1642" s="18">
        <v>8.7947274860594015E-3</v>
      </c>
      <c r="AB1642" s="5">
        <v>4.5456591153585413E-2</v>
      </c>
      <c r="AC1642" s="4">
        <v>9.6493689245605489E-7</v>
      </c>
      <c r="AE1642" s="5">
        <v>2.428517260365656</v>
      </c>
      <c r="AF1642" s="5">
        <v>2.7726134862042606</v>
      </c>
    </row>
    <row r="1643" spans="23:32" x14ac:dyDescent="0.25">
      <c r="W1643">
        <v>48.2</v>
      </c>
      <c r="X1643" s="5">
        <v>47.792038849137384</v>
      </c>
      <c r="Y1643" s="5">
        <v>0.40796115086261864</v>
      </c>
      <c r="Z1643" s="5">
        <v>0.41242178002548258</v>
      </c>
      <c r="AA1643" s="18">
        <v>1.0815697373186613E-2</v>
      </c>
      <c r="AB1643" s="5">
        <v>0.11407279745801735</v>
      </c>
      <c r="AC1643" s="4">
        <v>7.4883803388337834E-6</v>
      </c>
      <c r="AE1643" s="5">
        <v>2.428517260365656</v>
      </c>
      <c r="AF1643" s="5">
        <v>2.7840411451629197</v>
      </c>
    </row>
    <row r="1644" spans="23:32" x14ac:dyDescent="0.25">
      <c r="W1644">
        <v>46.6</v>
      </c>
      <c r="X1644" s="5">
        <v>55.570421869220723</v>
      </c>
      <c r="Y1644" s="5">
        <v>-8.970421869220722</v>
      </c>
      <c r="Z1644" s="5">
        <v>-9.1355381022347473</v>
      </c>
      <c r="AA1644" s="18">
        <v>1.8074056630953402E-2</v>
      </c>
      <c r="AB1644" s="5">
        <v>-2.5175342773589398</v>
      </c>
      <c r="AC1644" s="4">
        <v>6.1400808231457417E-3</v>
      </c>
      <c r="AE1644" s="5">
        <v>2.428517260365656</v>
      </c>
      <c r="AF1644" s="5">
        <v>2.7965404542385945</v>
      </c>
    </row>
    <row r="1645" spans="23:32" x14ac:dyDescent="0.25">
      <c r="W1645">
        <v>45.4</v>
      </c>
      <c r="X1645" s="5">
        <v>54.086355308506882</v>
      </c>
      <c r="Y1645" s="5">
        <v>-8.686355308506883</v>
      </c>
      <c r="Z1645" s="5">
        <v>-9.0195110135754035</v>
      </c>
      <c r="AA1645" s="18">
        <v>3.6937224708421659E-2</v>
      </c>
      <c r="AB1645" s="5">
        <v>-2.4615699599494847</v>
      </c>
      <c r="AC1645" s="4">
        <v>1.2231520019677453E-2</v>
      </c>
      <c r="AE1645" s="5">
        <v>2.6570161854420777</v>
      </c>
      <c r="AF1645" s="5">
        <v>2.7980681930751596</v>
      </c>
    </row>
    <row r="1646" spans="23:32" x14ac:dyDescent="0.25">
      <c r="W1646">
        <v>44.6</v>
      </c>
      <c r="X1646" s="5">
        <v>41.475126117071696</v>
      </c>
      <c r="Y1646" s="5">
        <v>3.1248738829283056</v>
      </c>
      <c r="Z1646" s="5">
        <v>3.1825804722653999</v>
      </c>
      <c r="AA1646" s="18">
        <v>1.8132012635650577E-2</v>
      </c>
      <c r="AB1646" s="5">
        <v>0.87701664460400219</v>
      </c>
      <c r="AC1646" s="4">
        <v>7.4757536753481952E-4</v>
      </c>
      <c r="AE1646" s="5">
        <v>2.6570161854420777</v>
      </c>
      <c r="AF1646" s="5">
        <v>2.8224321438290354</v>
      </c>
    </row>
    <row r="1647" spans="23:32" x14ac:dyDescent="0.25">
      <c r="W1647">
        <v>44.3</v>
      </c>
      <c r="X1647" s="5">
        <v>39.747749790070927</v>
      </c>
      <c r="Y1647" s="5">
        <v>4.5522502099290705</v>
      </c>
      <c r="Z1647" s="5">
        <v>4.6491180562298737</v>
      </c>
      <c r="AA1647" s="18">
        <v>2.0835746722111918E-2</v>
      </c>
      <c r="AB1647" s="5">
        <v>1.2793820150396442</v>
      </c>
      <c r="AC1647" s="4">
        <v>1.8331601216175055E-3</v>
      </c>
      <c r="AE1647" s="5">
        <v>2.6570161854420777</v>
      </c>
      <c r="AF1647" s="5">
        <v>2.9551142632689715</v>
      </c>
    </row>
    <row r="1648" spans="23:32" x14ac:dyDescent="0.25">
      <c r="W1648">
        <v>44.5</v>
      </c>
      <c r="X1648" s="5">
        <v>38.70291978706986</v>
      </c>
      <c r="Y1648" s="5">
        <v>5.7970802129301404</v>
      </c>
      <c r="Z1648" s="5">
        <v>6.0049473102150444</v>
      </c>
      <c r="AA1648" s="18">
        <v>3.4615973554222516E-2</v>
      </c>
      <c r="AB1648" s="5">
        <v>1.6408207787460747</v>
      </c>
      <c r="AC1648" s="4">
        <v>5.0809525034395918E-3</v>
      </c>
      <c r="AE1648" s="5">
        <v>2.6570161854420777</v>
      </c>
      <c r="AF1648" s="5">
        <v>3.111017244322241</v>
      </c>
    </row>
    <row r="1649" spans="23:32" x14ac:dyDescent="0.25">
      <c r="W1649">
        <v>44.8</v>
      </c>
      <c r="X1649" s="5">
        <v>49.374482890869309</v>
      </c>
      <c r="Y1649" s="5">
        <v>-4.5744828908693123</v>
      </c>
      <c r="Z1649" s="5">
        <v>-4.7879127207827921</v>
      </c>
      <c r="AA1649" s="18">
        <v>4.4576800447311736E-2</v>
      </c>
      <c r="AB1649" s="5">
        <v>-1.301505501104308</v>
      </c>
      <c r="AC1649" s="4">
        <v>4.159599582021745E-3</v>
      </c>
      <c r="AE1649" s="5">
        <v>2.6570161854420777</v>
      </c>
      <c r="AF1649" s="5">
        <v>3.1349969030296054</v>
      </c>
    </row>
    <row r="1650" spans="23:32" x14ac:dyDescent="0.25">
      <c r="W1650">
        <v>45.3</v>
      </c>
      <c r="X1650" s="5">
        <v>38.049656146615135</v>
      </c>
      <c r="Y1650" s="5">
        <v>7.2503438533848623</v>
      </c>
      <c r="Z1650" s="5">
        <v>7.5011717790708303</v>
      </c>
      <c r="AA1650" s="18">
        <v>3.343849908701E-2</v>
      </c>
      <c r="AB1650" s="5">
        <v>2.0509059696759508</v>
      </c>
      <c r="AC1650" s="4">
        <v>7.6587021550287588E-3</v>
      </c>
      <c r="AE1650" s="5">
        <v>2.6570161854420777</v>
      </c>
      <c r="AF1650" s="5">
        <v>3.3338509343308735</v>
      </c>
    </row>
    <row r="1651" spans="23:32" x14ac:dyDescent="0.25">
      <c r="W1651">
        <v>46</v>
      </c>
      <c r="X1651" s="5">
        <v>37.295304158635055</v>
      </c>
      <c r="Y1651" s="5">
        <v>8.7046958413649449</v>
      </c>
      <c r="Z1651" s="5">
        <v>8.9884967874231947</v>
      </c>
      <c r="AA1651" s="18">
        <v>3.157379401362724E-2</v>
      </c>
      <c r="AB1651" s="5">
        <v>2.4599270371080935</v>
      </c>
      <c r="AC1651" s="4">
        <v>1.0383675056364592E-2</v>
      </c>
      <c r="AE1651" s="5">
        <v>2.6570161854420777</v>
      </c>
      <c r="AF1651" s="5">
        <v>3.3493587450403712</v>
      </c>
    </row>
  </sheetData>
  <conditionalFormatting sqref="AA3:AA1651">
    <cfRule type="cellIs" dxfId="19" priority="14" operator="greaterThan">
      <formula>$AA$1</formula>
    </cfRule>
    <cfRule type="cellIs" dxfId="18" priority="15" operator="greaterThan">
      <formula>$AA$1*1.5</formula>
    </cfRule>
    <cfRule type="cellIs" priority="16" operator="between">
      <formula>$AA$1</formula>
      <formula>$AA$1*1.5</formula>
    </cfRule>
    <cfRule type="cellIs" dxfId="17" priority="17" operator="greaterThan">
      <formula>$AA$1</formula>
    </cfRule>
  </conditionalFormatting>
  <conditionalFormatting sqref="AB3:AB1651">
    <cfRule type="cellIs" dxfId="16" priority="10" operator="lessThan">
      <formula>-3</formula>
    </cfRule>
    <cfRule type="cellIs" dxfId="15" priority="11" operator="greaterThan">
      <formula>3</formula>
    </cfRule>
    <cfRule type="cellIs" dxfId="14" priority="12" operator="between">
      <formula>2</formula>
      <formula>3</formula>
    </cfRule>
    <cfRule type="cellIs" dxfId="13" priority="13" operator="between">
      <formula>-2</formula>
      <formula>-3</formula>
    </cfRule>
  </conditionalFormatting>
  <conditionalFormatting sqref="AA3:AA1048576">
    <cfRule type="cellIs" dxfId="12" priority="9" operator="greaterThan">
      <formula>$AA$1</formula>
    </cfRule>
  </conditionalFormatting>
  <conditionalFormatting sqref="AF3:AF1048576">
    <cfRule type="cellIs" dxfId="11" priority="5" operator="lessThan">
      <formula>-3</formula>
    </cfRule>
    <cfRule type="cellIs" dxfId="10" priority="6" operator="greaterThan">
      <formula>3</formula>
    </cfRule>
    <cfRule type="cellIs" dxfId="9" priority="7" operator="between">
      <formula>2</formula>
      <formula>3</formula>
    </cfRule>
    <cfRule type="cellIs" dxfId="8" priority="8" operator="between">
      <formula>-2</formula>
      <formula>-3</formula>
    </cfRule>
  </conditionalFormatting>
  <dataValidations count="1">
    <dataValidation type="list" allowBlank="1" showInputMessage="1" showErrorMessage="1" sqref="B2:B16000" xr:uid="{477BD9AC-8CAD-48D7-B8E6-54CC9920E0E1}">
      <formula1>"TRUE,FALSE"</formula1>
    </dataValidation>
  </dataValidation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LAMBDA_functions</vt:lpstr>
      <vt:lpstr>Life Expectancy Data</vt:lpstr>
      <vt:lpstr>Regression</vt:lpstr>
      <vt:lpstr>Regression!All_Xs</vt:lpstr>
      <vt:lpstr>Regression!Allow_Intercept</vt:lpstr>
      <vt:lpstr>Regression!alpha</vt:lpstr>
      <vt:lpstr>Regression!fil</vt:lpstr>
      <vt:lpstr>Regression!Ind_Var_Filter</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Colodner, Stephen</cp:lastModifiedBy>
  <dcterms:created xsi:type="dcterms:W3CDTF">2026-06-06T02:17:54Z</dcterms:created>
  <dcterms:modified xsi:type="dcterms:W3CDTF">2026-06-15T20:58:32Z</dcterms:modified>
</cp:coreProperties>
</file>