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tables/table3.xml" ContentType="application/vnd.openxmlformats-officedocument.spreadsheetml.table+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drawings/drawing2.xml" ContentType="application/vnd.openxmlformats-officedocument.drawing+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8_{05F5AE69-1837-44C9-A50B-BAB9A838137C}" xr6:coauthVersionLast="47" xr6:coauthVersionMax="47" xr10:uidLastSave="{00000000-0000-0000-0000-000000000000}"/>
  <bookViews>
    <workbookView xWindow="-120" yWindow="-120" windowWidth="29040" windowHeight="15720" firstSheet="1" activeTab="5" xr2:uid="{92D0E1A5-8335-431C-B56C-E9E74C0E0410}"/>
  </bookViews>
  <sheets>
    <sheet name="LAMBDA_functions" sheetId="1" r:id="rId1"/>
    <sheet name="Life Expectancy Data" sheetId="2" r:id="rId2"/>
    <sheet name="Regression Instructions" sheetId="4" r:id="rId3"/>
    <sheet name="Diagnostic Guide" sheetId="5" r:id="rId4"/>
    <sheet name="Version History" sheetId="6" r:id="rId5"/>
    <sheet name="Regression" sheetId="7" r:id="rId6"/>
    <sheet name="Univariate" sheetId="11" r:id="rId7"/>
    <sheet name="Mileage Data" sheetId="12" r:id="rId8"/>
  </sheets>
  <definedNames>
    <definedName name="Adjusted_R2" comment="R² penalised for model complexity: 1 − (1 − R²)·df_total/df_residual. Can be negative when the model fits worse than the mean.">_xlfn.LAMBDA(_xlpm.X_s,_xlpm.Y,_xlop.Allow_Intercept,_xlop.Include,_xlfn.LET(_xlpm.allow_arg,IF(_xlfn.ISOMITTED(_xlpm.Allow_Intercept),TRUE,_xlpm.Allow_Intercept),_xlpm.filt_arg,IF(_xlfn.ISOMITTED(_xlpm.Include),TRUE,_xlpm.Include),1-(1-R_Squared(_xlpm.X_s,_xlpm.Y,_xlpm.allow_arg,_xlpm.filt_arg))*DF_Total(_xlpm.Y,_xlpm.allow_arg,_xlpm.filt_arg)/DF_Residual(_xlpm.X_s,_xlpm.Y,_xlpm.allow_arg,_xlpm.filt_arg)))</definedName>
    <definedName name="Allow_Intercept" localSheetId="5">Regression!$C$2</definedName>
    <definedName name="alpha" localSheetId="5">Regression!$Y$12</definedName>
    <definedName name="Base_Period_Delta_Candidate" localSheetId="5">_xlfn.LAMBDA(_xlfn.LET(_xlpm.d,Regression!Sequence_Deltas(),IF(COUNT(_xlpm.d)=0,NA(),IFERROR(_xlfn.MODE.SNGL(_xlpm.d),MIN(_xlpm.d)))))</definedName>
    <definedName name="CI_Lower" comment="Low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I_Upper" comment="Upp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ol_Select" comment="Named wrapper for CHOOSECOLS: picks non-contiguous predictor columns by index. Returns an array suitable for X_s.">_xlfn.LAMBDA(_xlpm.table,_xlpm.col_nums,_xlfn.CHOOSECOLS(_xlpm.table,_xlpm.col_nums))</definedName>
    <definedName name="Constructed_Column_Names" localSheetId="5">_xlfn.LAMBDA(_xlfn.LET(_xlpm.n_c,COLUMNS(Regression!Source_Data),_xlpm.rl,_xlfn.TAKE(Regression!Spec_Role,_xlpm.n_c),_xlpm.inc,_xlfn.TAKE(Regression!Spec_Include,_xlpm.n_c),_xlpm.typ,_xlfn.TAKE(Regression!Spec_Type,_xlpm.n_c),_xlpm.refs,_xlfn.TAKE(Regression!Spec_Reference,_xlpm.n_c),_xlpm.hdrs,_xlfn.TOROW(Regression!Header_Names),_xlpm.built,_xlfn.REDUCE("",_xlfn.SEQUENCE(_xlpm.n_c),_xlfn.LAMBDA(_xlpm.acc,_xlpm.j,IF(OR(INDEX(_xlpm.rl,_xlpm.j)&lt;&gt;"Predictor (x)",INDEX(_xlpm.inc,_xlpm.j)&lt;&gt;TRUE),_xlpm.acc,_xlfn.LET(_xlpm.h,INDEX(_xlpm.hdrs,1,_xlpm.j),IF(INDEX(_xlpm.typ,_xlpm.j)&lt;&gt;"Categorical",_xlfn.HSTACK(_xlpm.acc,_xlpm.h),_xlfn.LET(_xlpm.col,INDEX(Regression!Source_Data,0,_xlpm.j),_xlpm.d,INDEX(_xlpm.refs,_xlpm.j),_xlpm.r,IF(LEN(_xlpm.d&amp;"")=0,"",_xlpm.d),_xlpm.lv,Dummy_Levels(_xlpm.col,_xlpm.r,Regression!Sample_Include()),IF(ISNA(INDEX(_xlpm.lv,1,1)),_xlpm.acc,_xlfn.HSTACK(_xlpm.acc,_xlpm.h&amp;": "&amp;_xlpm.lv)))))))),_xlfn.DROP(_xlpm.built,,1)))</definedName>
    <definedName name="Dependent_Var" comment="Filtered Y column in the order the model uses it. Companion to Predictions and Residuals for scatter plots.">_xlfn.LAMBDA(_xlpm.Y,_xlop.Include,_xlfn._xlws.FILTER(_xlpm.Y,IF(_xlfn.ISOMITTED(_xlpm.Include),TRUE,_xlpm.Include)))</definedName>
    <definedName name="Descriptive_Stat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F_Regression" comment="Degrees of freedom for regression = number of predictors k (= COLUMNS(X_s)). Used as the numerator df in the F-test.">_xlfn.LAMBDA(_xlpm.X_s,COLUMNS(_xlpm.X_s))</definedName>
    <definedName name="DF_Residual" comment="Residual degrees of freedom = DF_Total − DF_Regression. Denominator df in the F-test and the penalty term in Adjusted R².">_xlfn.LAMBDA(_xlpm.X_s,_xlpm.Y,_xlop.Allow_Intercept,_xlop.Include,_xlfn.LET(_xlpm.allow_arg,IF(_xlfn.ISOMITTED(_xlpm.Allow_Intercept),TRUE,_xlpm.Allow_Intercept),_xlpm.filt_arg,IF(_xlfn.ISOMITTED(_xlpm.Include),TRUE,_xlpm.Include),DF_Total(_xlpm.Y,_xlpm.allow_arg,_xlpm.filt_arg)-DF_Regression(_xlpm.X_s)))</definedName>
    <definedName name="DF_Total" comment="Total degrees of freedom = n − 1 with intercept or n without. Partitions into DF_Regression + DF_Residual.">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F_Stat" comment="Overall F-statistic = MS_Regression / MS_Residual. Tests whether the model explains significantly more variance than random noise.">_xlfn.LAMBDA(_xlpm.X_s,_xlpm.Y,_xlop.Allow_Intercept,_xlop.Include,_xlfn.LET(_xlpm.allow_arg,IF(_xlfn.ISOMITTED(_xlpm.Allow_Intercept),TRUE,_xlpm.Allow_Intercept),_xlpm.filt_arg,IF(_xlfn.ISOMITTED(_xlpm.Include),TRUE,_xlpm.Include),SS_Regression(_xlpm.X_s,_xlpm.Y,_xlpm.allow_arg,_xlpm.filt_arg)/DF_Regression(_xlpm.X_s)/(SS_Residual(_xlpm.X_s,_xlpm.Y,_xlpm.allow_arg,_xlpm.filt_arg)/DF_Residual(_xlpm.X_s,_xlpm.Y,_xlpm.allow_arg,_xlpm.filt_arg))))</definedName>
    <definedName name="FD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Fixed_Effects_Column" localSheetId="5">_xlfn.LAMBDA(_xlfn.LET(_xlpm.n_c,COLUMNS(Regression!Source_Data),INDEX(Regression!Source_Data,0,_xlfn.XMATCH("Fixed Effects",_xlfn.TAKE(Regression!Spec_Role,_xlpm.n_c),0))))</definedName>
    <definedName name="GoF_AndersonDarling">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KS">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id_Argmin"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Header_Names" localSheetId="5">_xlfn.TAKE(Regression!Source_Table,1)</definedName>
    <definedName name="Intercept_Only_DF" localSheetId="5">_xlfn.LAMBDA(Regression!Intercept_Only_N()-1)</definedName>
    <definedName name="Intercept_Only_N" localSheetId="5">_xlfn.LAMBDA(SUMPRODUCT(N(Regression!Sample_Include())))</definedName>
    <definedName name="Intercept_Only_Point" localSheetId="5">_xlfn.LAMBDA(AVERAGE(_xlfn._xlws.FILTER(Regression!Response_Column(),Regression!Sample_Include())))</definedName>
    <definedName name="Intercept_Only_S" localSheetId="5">_xlfn.LAMBDA(_xlfn.STDEV.S(_xlfn._xlws.FILTER(Regression!Response_Column(),Regression!Sample_Include())))</definedName>
    <definedName name="Intercept_Only_SE" localSheetId="5">_xlfn.LAMBDA(Regression!Intercept_Only_S()/SQRT(Regression!Intercept_Only_N()))</definedName>
    <definedName name="LOO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n_histogram_bins">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um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 comment="Sequence 1..n for the filtered dataset. Use as an observation index axis on diagnostic scatter plots.">_xlfn.LAMBDA(_xlpm.Y,_xlop.Include,_xlfn.SEQUENCE(ROWS(_xlfn._xlws.FILTER(_xlpm.Y,IF(_xlfn.ISOMITTED(_xlpm.Include),TRUE,_xlpm.Include)))))</definedName>
    <definedName name="P_Value_F" comment="Right-tail p-value for the overall F-test. Values &lt; 0.05 indicate the model as a whole is statistically significant.">_xlfn.LAMBDA(_xlpm.X_s,_xlpm.Y,_xlop.Allow_Intercept,_xlop.Include,_xlfn.LET(_xlpm.allow_arg,IF(_xlfn.ISOMITTED(_xlpm.Allow_Intercept),TRUE,_xlpm.Allow_Intercept),_xlpm.filt_arg,IF(_xlfn.ISOMITTED(_xlpm.Include),TRUE,_xlpm.Include),_xlfn.F.DIST.RT(F_Stat(_xlpm.X_s,_xlpm.Y,_xlpm.allow_arg,_xlpm.filt_arg),DF_Regression(_xlpm.X_s),DF_Residual(_xlpm.X_s,_xlpm.Y,_xlpm.allow_arg,_xlpm.filt_arg))))</definedName>
    <definedName name="Partial_R2" comment="Unique proportion of residual variance explained by each predictor after controlling for all others. Range [0, 1].">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2/(_xlpm.t^2+_xlpm.df)))</definedName>
    <definedName name="RegChartActY" comment="Actual vs. Predicted chart: Y values (Actual Y)" localSheetId="5">OFFSET(Regression!$AL$2,1,0,MAX(IFERROR(Regression!$Y$8,1),1),1)</definedName>
    <definedName name="RegChartCookDist" comment="Cook's Distance chart: bar values" localSheetId="5">OFFSET(Regression!$AQ$2,1,0,MAX(IFERROR(Regression!$Y$8,1),1),1)</definedName>
    <definedName name="RegChartFitY" comment="Predicted Y: X values for the Residuals vs. Fitted, Actual vs. Predicted, and Scale-Location charts" localSheetId="5">OFFSET(Regression!$AM$2,1,0,MAX(IFERROR(Regression!$Y$8,1),1),1)</definedName>
    <definedName name="RegChartLeverage" comment="Studentized Residuals vs. Leverage chart: X values (Hat Diagonal)" localSheetId="5">OFFSET(Regression!$AO$2,1,0,MAX(IFERROR(Regression!$Y$8,1),1),1)</definedName>
    <definedName name="RegChartPRESSResid" comment="PRESS Residuals chart: bar values" localSheetId="5">OFFSET(Regression!$AU$2,1,0,MAX(IFERROR(Regression!$Y$8,1),1),1)</definedName>
    <definedName name="RegChartQQX" comment="Normal Q-Q chart: X values (theoretical quantiles, Normal Scores Ranked)" localSheetId="5">OFFSET(Regression!$AR$2,1,0,MAX(IFERROR(Regression!$Y$8,1),1),1)</definedName>
    <definedName name="RegChartQQY" comment="Normal Q-Q chart: Y values (Studentized Residuals Ranked)" localSheetId="5">OFFSET(Regression!$AS$2,1,0,MAX(IFERROR(Regression!$Y$8,1),1),1)</definedName>
    <definedName name="RegChartResid" comment="Residuals vs. Fitted chart: Y values (Residuals)" localSheetId="5">OFFSET(Regression!$AN$2,1,0,MAX(IFERROR(Regression!$Y$8,1),1),1)</definedName>
    <definedName name="RegChartScaleLoc" comment="Scale-Location chart: Y values (sqrt of abs Studentized Residual)" localSheetId="5">OFFSET(Regression!$AT$2,1,0,MAX(IFERROR(Regression!$Y$8,1),1),1)</definedName>
    <definedName name="RegChartStudResid" comment="Studentized Residuals vs. Leverage chart: Y values" localSheetId="5">OFFSET(Regression!$AP$2,1,0,MAX(IFERROR(Regression!$Y$8,1),1),1)</definedName>
    <definedName name="Response_Column" localSheetId="5">_xlfn.LAMBDA(_xlfn.LET(_xlpm.n_c,COLUMNS(Regression!Source_Data),_xlpm.rl,_xlfn.TAKE(Regression!Spec_Role,_xlpm.n_c),INDEX(Regression!Source_Data,0,_xlfn.XMATCH("Response (y)",_xlpm.rl))))</definedName>
    <definedName name="Row_Labels" localSheetId="5">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5">_xlfn.LAMBDA(_xlfn.LET(_xlpm.n_c,COLUMNS(Regression!Source_Data),_xlpm.rl,_xlfn.TAKE(Regression!Spec_Role,_xlpm.n_c),_xlpm.inc,_xlfn.TAKE(Regression!Spec_Include,_xlpm.n_c),_xlpm.typ,_xlfn.TAKE(Regression!Spec_Type,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(x)",INDEX(_xlpm.inc,_xlpm.j)=TRUE,INDEX(_xlpm.typ,_xlpm.j)="Continuous")),_xlpm.acc*N(ISNUMBER(_xlpm.col)),_xlpm.acc))))),_xlpm.prod=1))</definedName>
    <definedName name="Sequence_Column" localSheetId="5">_xlfn.LAMBDA(_xlfn.LET(_xlpm.n_c,COLUMNS(Regression!Source_Data),INDEX(Regression!Source_Data,0,_xlfn.XMATCH(TRUE,_xlfn.TAKE(Regression!Spec_Sequence,_xlpm.n_c),0))))</definedName>
    <definedName name="Sequence_Delta_Spectrum" localSheetId="5">_xlfn.LAMBDA(_xlfn.LET(_xlpm.d,Regression!Sequence_Deltas(),_xlpm.u,_xlfn._xlws.SORT(_xlfn.UNIQUE(_xlpm.d)),IF(COUNT(_xlpm.d)=0,NA(),_xlfn.HSTACK(_xlpm.u,_xlfn.BYROW(_xlpm.u,_xlfn.LAMBDA(_xlpm.v,SUM(--(_xlpm.d=_xlpm.v))))))))</definedName>
    <definedName name="Sequence_Deltas" localSheetId="5">_xlfn.LAMBDA(_xlfn.LET(_xlpm.n_c,COLUMNS(Regression!Source_Data),_xlpm.s_pos,_xlfn.XMATCH(TRUE,_xlfn.TAKE(Regression!Spec_Sequence,_xlpm.n_c),0),_xlpm.t_raw,INDEX(Regression!Source_Data,0,_xlpm.s_pos),_xlpm.t_v,IF(_xlpm.t_raw="","",_xlpm.t_raw),_xlpm.rl,_xlfn.TAKE(Regression!Spec_Role,_xlpm.n_c),_xlpm.id_mask,(_xlpm.rl="Identifier (Row Label)")*(_xlfn.SEQUENCE(_xlpm.n_c)&lt;&gt;_xlpm.s_pos),_xlpm.g_v,IF(SUM(_xlpm.id_mask)=0,_xlfn.EXPAND("(all)",ROWS(_xlpm.t_v),1,"(all)"),_xlfn.BYROW(_xlfn.CHOOSECOLS(Regression!Source_Data,_xlfn.TOROW(_xlfn._xlws.FILTER(_xlfn.SEQUENCE(_xlpm.n_c),_xlpm.id_mask))),_xlfn.LAMBDA(_xlpm.r,_xlfn.TEXTJOIN(CHAR(31),FALSE,IF(_xlpm.r="","",_xlpm.r))))),_xlpm.ok,ISNUMBER(_xlpm.t_v)*(SUBSTITUTE(_xlpm.g_v,CHAR(31),"")&lt;&gt;""),_xlpm.g_f,_xlfn._xlws.FILTER(_xlpm.g_v,_xlpm.ok,NA()),_xlpm.t_f,_xlfn._xlws.FILTER(_xlpm.t_v,_xlpm.ok,NA()),_xlpm.g_s,_xlfn.SORTBY(_xlpm.g_f,_xlpm.g_f,1,_xlpm.t_f,1),_xlpm.t_s,_xlfn.SORTBY(_xlpm.t_f,_xlpm.g_f,1,_xlpm.t_f,1),_xlpm.d,_xlfn.DROP(_xlpm.t_s,1)-_xlfn.DROP(_xlpm.t_s,-1),_xlpm.same,_xlfn.DROP(_xlpm.g_s,1)=_xlfn.DROP(_xlpm.g_s,-1),IFERROR(_xlfn._xlws.FILTER(_xlpm.d,_xlpm.same*(_xlpm.d&gt;0),NA()),NA())))</definedName>
    <definedName name="Serial_Correlation_Group" localSheetId="5">_xlfn.LAMBDA(_xlfn.LET(_xlpm.roles,_xlfn.TAKE(Regression!Spec_Role,COLUMNS(Regression!Source_Data)),_xlpm.key,_xlfn.IFS(SUMPRODUCT(N(_xlpm.roles="Fixed Effects"))&gt;0,"Fixed Effects",SUMPRODUCT(N(_xlpm.roles="Cluster"))&gt;0,"Cluster",TRUE,"none"),_xlfn.SWITCH(_xlpm.key,"Fixed Effects",Regression!Fixed_Effects_Column(),"Cluster","n/a — Cluster grouping RESERVED — v2.6+","none")))</definedName>
    <definedName name="Source_Data" localSheetId="5">_xlfn.DROP(Regression!Source_Table,1)</definedName>
    <definedName name="Source_Table" localSheetId="5">MileageData[#All]</definedName>
    <definedName name="Spec_Base_Period_Delta" localSheetId="5">Regression!$I$4:$I$15989</definedName>
    <definedName name="Spec_Include" localSheetId="5">SpecTable[[#Data],[Include]]</definedName>
    <definedName name="Spec_Order" localSheetId="5">SpecTable[[#Data],[Order]]</definedName>
    <definedName name="Spec_Period_In_Use" localSheetId="5">SpecTable[[#Data],[Period In Use]]</definedName>
    <definedName name="Spec_Reference" localSheetId="5">SpecTable[[#Data],[Reference Level]]</definedName>
    <definedName name="Spec_Role" localSheetId="5">SpecTable[[#Data],[Role]]</definedName>
    <definedName name="Spec_Sequence" localSheetId="5">SpecTable[[#Data],[Sequence]]</definedName>
    <definedName name="Spec_Sequence_Period" localSheetId="5">SpecTable[[#Data],[Sequence Period]]</definedName>
    <definedName name="Spec_Transform" localSheetId="5">SpecTable[[#Data],[Transform]]</definedName>
    <definedName name="Spec_Type" localSheetId="5">SpecTable[[#Data],[Type]]</definedName>
    <definedName name="T_Stats" comment="t-statistics = Coefficients / SE_Coefficients. Measures each coefficient in standard-error units. Same order as Coefficien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UV_BETA_S1" localSheetId="6">Univariate!#REF!</definedName>
    <definedName name="UV_BETA_S2" localSheetId="6">Univariate!#REF!</definedName>
    <definedName name="UV_Data" localSheetId="6">_xlfn.ANCHORARRAY(Univariate!$A$4)</definedName>
    <definedName name="UV_FD_Beta_CDF" localSheetId="6">OFFSET(Univariate!$BB$4,1,0,MAX(IFERROR(Number_Of_Histogram_Bins(Univariate!UV_Data,Univariate!$AU$2,Univariate!UV_Include),1),1),1)</definedName>
    <definedName name="UV_FD_Beta_Expected" comment="Freedman-Diaconis Method histogram chart: Beta overlay line (expected counts = bin probability × n)" localSheetId="6">OFFSET(Univariate!$BB$4,1,0,MAX(IFERROR(Number_Of_Histogram_Bins(Univariate!UV_Data,Univariate!$AU$2,Univariate!UV_Include),1),1),1)*Univariate!$E$14</definedName>
    <definedName name="UV_FD_BetaPERT_CDF" localSheetId="6">OFFSET(Univariate!$BC$4,1,0,MAX(IFERROR(Number_Of_Histogram_Bins(Univariate!UV_Data,Univariate!$AU$2,Univariate!UV_Include),1),1),1)</definedName>
    <definedName name="UV_FD_BetaPERT_Expected" comment="Freedman-Diaconis Method histogram chart: BetaPERT overlay line (expected counts = bin probability × n)" localSheetId="6">OFFSET(Univariate!$BC$4,1,0,MAX(IFERROR(Number_Of_Histogram_Bins(Univariate!UV_Data,Univariate!$AU$2,Univariate!UV_Include),1),1),1)*Univariate!$E$14</definedName>
    <definedName name="UV_FD_Counts" comment="Freedman-Diaconis Method histogram chart: bar values (bin counts)" localSheetId="6">OFFSET(Univariate!$AU$4,1,0,MAX(IFERROR(Number_Of_Histogram_Bins(Univariate!UV_Data,Univariate!$AU$2,Univariate!UV_Include),1),1),1)</definedName>
    <definedName name="UV_FD_Edges">OFFSET(#REF!,1,0,MAX(IFERROR(num_histogram_bins([0]!UV_Data,#REF!,[0]!UV_Include),1),1),1)</definedName>
    <definedName name="UV_FD_Exponential_CDF" localSheetId="6">OFFSET(Univariate!$AX$4,1,0,MAX(IFERROR(Number_Of_Histogram_Bins(Univariate!UV_Data,Univariate!$AU$2,Univariate!UV_Include),1),1),1)</definedName>
    <definedName name="UV_FD_Exponential_Expected" comment="Freedman-Diaconis Method histogram chart: Exponential overlay line (expected counts = bin probability × n)" localSheetId="6">OFFSET(Univariate!$AX$4,1,0,MAX(IFERROR(Number_Of_Histogram_Bins(Univariate!UV_Data,Univariate!$AU$2,Univariate!UV_Include),1),1),1)*Univariate!$E$14</definedName>
    <definedName name="UV_FD_Gamma_CDF" localSheetId="6">OFFSET(Univariate!$AZ$4,1,0,MAX(IFERROR(Number_Of_Histogram_Bins(Univariate!UV_Data,Univariate!$AU$2,Univariate!UV_Include),1),1),1)</definedName>
    <definedName name="UV_FD_Gamma_Expected" comment="Freedman-Diaconis Method histogram chart: Gamma overlay line (expected counts = bin probability × n)" localSheetId="6">OFFSET(Univariate!$AZ$4,1,0,MAX(IFERROR(Number_Of_Histogram_Bins(Univariate!UV_Data,Univariate!$AU$2,Univariate!UV_Include),1),1),1)*Univariate!$E$14</definedName>
    <definedName name="UV_FD_Lognormal_CDF" localSheetId="6">OFFSET(Univariate!$AW$4,1,0,MAX(IFERROR(Number_Of_Histogram_Bins(Univariate!UV_Data,Univariate!$AU$2,Univariate!UV_Include),1),1),1)</definedName>
    <definedName name="UV_FD_Lognormal_Expected" comment="Freedman-Diaconis Method histogram chart: Lognormal overlay line (expected counts = bin probability × n)" localSheetId="6">OFFSET(Univariate!$AW$4,1,0,MAX(IFERROR(Number_Of_Histogram_Bins(Univariate!UV_Data,Univariate!$AU$2,Univariate!UV_Include),1),1),1)*Univariate!$E$14</definedName>
    <definedName name="UV_FD_Lower_Edges" localSheetId="6">OFFSET(Univariate!$AS$4,1,0,MAX(IFERROR(Number_Of_Histogram_Bins(Univariate!UV_Data,Univariate!$AU$2,Univariate!UV_Include),1),1),1)</definedName>
    <definedName name="UV_FD_Normal_CDF" localSheetId="6">OFFSET(Univariate!$AV$4,1,0,MAX(IFERROR(Number_Of_Histogram_Bins(Univariate!UV_Data,Univariate!$AU$2,Univariate!UV_Include),1),1),1)</definedName>
    <definedName name="UV_FD_Normal_Expected" comment="Freedman-Diaconis Method histogram chart: Normal overlay line (expected counts = bin probability × n)" localSheetId="6">OFFSET(Univariate!$AV$4,1,0,MAX(IFERROR(Number_Of_Histogram_Bins(Univariate!UV_Data,Univariate!$AU$2,Univariate!UV_Include),1),1),1)*Univariate!$E$14</definedName>
    <definedName name="UV_FD_Triangular_CDF" localSheetId="6">OFFSET(Univariate!$BA$4,1,0,MAX(IFERROR(Number_Of_Histogram_Bins(Univariate!UV_Data,Univariate!$AU$2,Univariate!UV_Include),1),1),1)</definedName>
    <definedName name="UV_FD_Triangular_Expected" comment="Freedman-Diaconis Method histogram chart: Triangular overlay line (expected counts = bin probability × n)" localSheetId="6">OFFSET(Univariate!$BA$4,1,0,MAX(IFERROR(Number_Of_Histogram_Bins(Univariate!UV_Data,Univariate!$AU$2,Univariate!UV_Include),1),1),1)*Univariate!$E$14</definedName>
    <definedName name="UV_FD_Upper_Edges" comment="Freedman-Diaconis Method histogram chart: category (X) axis bin edges" localSheetId="6">OFFSET(Univariate!$AT$4,1,0,MAX(IFERROR(Number_Of_Histogram_Bins(Univariate!UV_Data,Univariate!$AU$2,Univariate!UV_Include),1),1),1)</definedName>
    <definedName name="UV_FD_Weibull_CDF" localSheetId="6">OFFSET(Univariate!$AY$4,1,0,MAX(IFERROR(Number_Of_Histogram_Bins(Univariate!UV_Data,Univariate!$AU$2,Univariate!UV_Include),1),1),1)</definedName>
    <definedName name="UV_FD_Weibull_Expected" comment="Freedman-Diaconis Method histogram chart: Weibull overlay line (expected counts = bin probability × n)" localSheetId="6">OFFSET(Univariate!$AY$4,1,0,MAX(IFERROR(Number_Of_Histogram_Bins(Univariate!UV_Data,Univariate!$AU$2,Univariate!UV_Include),1),1),1)*Univariate!$E$14</definedName>
    <definedName name="UV_GAMMA_S1" localSheetId="6">Univariate!#REF!</definedName>
    <definedName name="UV_GAMMA_S2" localSheetId="6">Univariate!#REF!</definedName>
    <definedName name="UV_Include" localSheetId="6">_xlfn.ANCHORARRAY(Univariate!$B$4)</definedName>
    <definedName name="UV_n" localSheetId="6">IFERROR(COUNT(_xlfn._xlws.FILTER(_xlfn.ANCHORARRAY(Univariate!$A$4),Univariate!UV_Include)),0)</definedName>
    <definedName name="UV_QQ_Beta" comment="Beta Q-Q plot: theoretical quantiles (X axis)" localSheetId="6">OFFSET(Univariate!$BN$4,1,0,MAX(IFERROR(Univariate!$E$14,1),1),1)</definedName>
    <definedName name="UV_QQ_BetaPERT" comment="BetaPERT Q-Q plot: theoretical quantiles (X axis)" localSheetId="6">OFFSET(Univariate!$BO$4,1,0,MAX(IFERROR(Univariate!$E$14,1),1),1)</definedName>
    <definedName name="UV_QQ_Exponential" comment="Exponential Q-Q plot: theoretical quantiles (X axis)" localSheetId="6">OFFSET(Univariate!$BJ$4,1,0,MAX(IFERROR(Univariate!$E$14,1),1),1)</definedName>
    <definedName name="UV_QQ_Gamma" comment="Gamma Q-Q plot: theoretical quantiles (X axis)" localSheetId="6">OFFSET(Univariate!$BL$4,1,0,MAX(IFERROR(Univariate!$E$14,1),1),1)</definedName>
    <definedName name="UV_QQ_Lognormal" comment="Lognormal Q-Q plot: theoretical quantiles (X axis)" localSheetId="6">OFFSET(Univariate!$BI$4,1,0,MAX(IFERROR(Univariate!$E$14,1),1),1)</definedName>
    <definedName name="UV_QQ_Normal" comment="Normal Q-Q plot: theoretical quantiles (X axis)" localSheetId="6">OFFSET(Univariate!$BH$4,1,0,MAX(IFERROR(Univariate!$E$14,1),1),1)</definedName>
    <definedName name="UV_QQ_Sample" comment="Q-Q plots: sorted sample values (Y axis, shared by all eight charts)" localSheetId="6">OFFSET(Univariate!$BG$4,1,0,MAX(IFERROR(Univariate!$E$14,1),1),1)</definedName>
    <definedName name="UV_QQ_Triangular" comment="Triangular Q-Q plot: theoretical quantiles (X axis)" localSheetId="6">OFFSET(Univariate!$BM$4,1,0,MAX(IFERROR(Univariate!$E$14,1),1),1)</definedName>
    <definedName name="UV_QQ_Weibull" comment="Weibull Q-Q plot: theoretical quantiles (X axis)" localSheetId="6">OFFSET(Univariate!$BK$4,1,0,MAX(IFERROR(Univariate!$E$14,1),1),1)</definedName>
    <definedName name="UV_Scott_Beta_CDF" localSheetId="6">OFFSET(Univariate!$AP$4,1,0,MAX(IFERROR(Number_Of_Histogram_Bins(Univariate!UV_Data,Univariate!$AI$2,Univariate!UV_Include),1),1),1)</definedName>
    <definedName name="UV_Scott_Beta_Expected" comment="Scott Method histogram chart: Beta overlay line (expected counts = bin probability × n)" localSheetId="6">OFFSET(Univariate!$AP$4,1,0,MAX(IFERROR(Number_Of_Histogram_Bins(Univariate!UV_Data,Univariate!$AI$2,Univariate!UV_Include),1),1),1)*Univariate!$E$14</definedName>
    <definedName name="UV_Scott_BetaPERT_CDF" localSheetId="6">OFFSET(Univariate!$AQ$4,1,0,MAX(IFERROR(Number_Of_Histogram_Bins(Univariate!UV_Data,Univariate!$AI$2,Univariate!UV_Include),1),1),1)</definedName>
    <definedName name="UV_Scott_BetaPERT_Expected" comment="Scott Method histogram chart: BetaPERT overlay line (expected counts = bin probability × n)" localSheetId="6">OFFSET(Univariate!$AQ$4,1,0,MAX(IFERROR(Number_Of_Histogram_Bins(Univariate!UV_Data,Univariate!$AI$2,Univariate!UV_Include),1),1),1)*Univariate!$E$14</definedName>
    <definedName name="UV_Scott_Counts" comment="Scott Method histogram chart: bar values (bin counts)" localSheetId="6">OFFSET(Univariate!$AI$4,1,0,MAX(IFERROR(Number_Of_Histogram_Bins(Univariate!UV_Data,Univariate!$AI$2,Univariate!UV_Include),1),1),1)</definedName>
    <definedName name="UV_Scott_Edges">OFFSET(#REF!,1,0,MAX(IFERROR(num_histogram_bins(Univariate!UV_Data,#REF!,Univariate!UV_Include),1),1),1)</definedName>
    <definedName name="UV_Scott_Exponential_CDF" localSheetId="6">OFFSET(Univariate!$AL$4,1,0,MAX(IFERROR(Number_Of_Histogram_Bins(Univariate!UV_Data,Univariate!$AI$2,Univariate!UV_Include),1),1),1)</definedName>
    <definedName name="UV_Scott_Exponential_Expected" comment="Scott Method histogram chart: Exponential overlay line (expected counts = bin probability × n)" localSheetId="6">OFFSET(Univariate!$AL$4,1,0,MAX(IFERROR(Number_Of_Histogram_Bins(Univariate!UV_Data,Univariate!$AI$2,Univariate!UV_Include),1),1),1)*Univariate!$E$14</definedName>
    <definedName name="UV_Scott_Gamma_CDF" localSheetId="6">OFFSET(Univariate!$AN$4,1,0,MAX(IFERROR(Number_Of_Histogram_Bins(Univariate!UV_Data,Univariate!$AI$2,Univariate!UV_Include),1),1),1)</definedName>
    <definedName name="UV_Scott_Gamma_Expected" comment="Scott Method histogram chart: Gamma overlay line (expected counts = bin probability × n)" localSheetId="6">OFFSET(Univariate!$AN$4,1,0,MAX(IFERROR(Number_Of_Histogram_Bins(Univariate!UV_Data,Univariate!$AI$2,Univariate!UV_Include),1),1),1)*Univariate!$E$14</definedName>
    <definedName name="UV_Scott_Lognormal_CDF" localSheetId="6">OFFSET(Univariate!$AK$4,1,0,MAX(IFERROR(Number_Of_Histogram_Bins(Univariate!UV_Data,Univariate!$AI$2,Univariate!UV_Include),1),1),1)</definedName>
    <definedName name="UV_Scott_Lognormal_Expected" comment="Scott Method histogram chart: Lognormal overlay line (expected counts = bin probability × n)" localSheetId="6">OFFSET(Univariate!$AK$4,1,0,MAX(IFERROR(Number_Of_Histogram_Bins(Univariate!UV_Data,Univariate!$AI$2,Univariate!UV_Include),1),1),1)*Univariate!$E$14</definedName>
    <definedName name="UV_Scott_Lower_Edges" localSheetId="6">OFFSET(Univariate!$AG$4,1,0,MAX(IFERROR(Number_Of_Histogram_Bins(Univariate!UV_Data,Univariate!$AI$2,Univariate!UV_Include),1),1),1)</definedName>
    <definedName name="UV_Scott_Normal_CDF" localSheetId="6">OFFSET(Univariate!$AJ$4,1,0,MAX(IFERROR(Number_Of_Histogram_Bins(Univariate!UV_Data,Univariate!$AI$2,Univariate!UV_Include),1),1),1)</definedName>
    <definedName name="UV_Scott_Normal_Expected" comment="Scott Method histogram chart: Normal overlay line (expected counts = bin probability × n)" localSheetId="6">OFFSET(Univariate!$AJ$4,1,0,MAX(IFERROR(Number_Of_Histogram_Bins(Univariate!UV_Data,Univariate!$AI$2,Univariate!UV_Include),1),1),1)*Univariate!$E$14</definedName>
    <definedName name="UV_Scott_Triangular_CDF" localSheetId="6">OFFSET(Univariate!$AO$4,1,0,MAX(IFERROR(Number_Of_Histogram_Bins(Univariate!UV_Data,Univariate!$AI$2,Univariate!UV_Include),1),1),1)</definedName>
    <definedName name="UV_Scott_Triangular_Expected" comment="Scott Method histogram chart: Triangular overlay line (expected counts = bin probability × n)" localSheetId="6">OFFSET(Univariate!$AO$4,1,0,MAX(IFERROR(Number_Of_Histogram_Bins(Univariate!UV_Data,Univariate!$AI$2,Univariate!UV_Include),1),1),1)*Univariate!$E$14</definedName>
    <definedName name="UV_Scott_Upper_Edges" comment="Scott Method histogram chart: category (X) axis bin edges" localSheetId="6">OFFSET(Univariate!$AH$4,1,0,MAX(IFERROR(Number_Of_Histogram_Bins(Univariate!UV_Data,Univariate!$AI$2,Univariate!UV_Include),1),1),1)</definedName>
    <definedName name="UV_Scott_Weibull_CDF" localSheetId="6">OFFSET(Univariate!$AM$4,1,0,MAX(IFERROR(Number_Of_Histogram_Bins(Univariate!UV_Data,Univariate!$AI$2,Univariate!UV_Include),1),1),1)</definedName>
    <definedName name="UV_Scott_Weibull_Expected" comment="Scott Method histogram chart: Weibull overlay line (expected counts = bin probability × n)" localSheetId="6">OFFSET(Univariate!$AM$4,1,0,MAX(IFERROR(Number_Of_Histogram_Bins(Univariate!UV_Data,Univariate!$AI$2,Univariate!UV_Include),1),1),1)*Univariate!$E$14</definedName>
    <definedName name="UV_Sturges_Beta_CDF" localSheetId="6">OFFSET(Univariate!$AD$4,1,0,MAX(IFERROR(Number_Of_Histogram_Bins(Univariate!UV_Data,Univariate!$W$2,Univariate!UV_Include),1),1),1)</definedName>
    <definedName name="UV_Sturges_Beta_Expected" comment="Sturges Method histogram chart: Beta overlay line (expected counts = bin probability × n)" localSheetId="6">OFFSET(Univariate!$AD$4,1,0,MAX(IFERROR(Number_Of_Histogram_Bins(Univariate!UV_Data,Univariate!$W$2,Univariate!UV_Include),1),1),1)*Univariate!$E$14</definedName>
    <definedName name="UV_Sturges_BetaPERT_CDF" localSheetId="6">OFFSET(Univariate!$AE$4,1,0,MAX(IFERROR(Number_Of_Histogram_Bins(Univariate!UV_Data,Univariate!$W$2,Univariate!UV_Include),1),1),1)</definedName>
    <definedName name="UV_Sturges_BetaPERT_Expected" comment="Sturges Method histogram chart: BetaPERT overlay line (expected counts = bin probability × n)" localSheetId="6">OFFSET(Univariate!$AE$4,1,0,MAX(IFERROR(Number_Of_Histogram_Bins(Univariate!UV_Data,Univariate!$W$2,Univariate!UV_Include),1),1),1)*Univariate!$E$14</definedName>
    <definedName name="UV_Sturges_Counts" comment="Sturges Method histogram chart: bar values (bin counts)" localSheetId="6">OFFSET(Univariate!$W$4,1,0,MAX(IFERROR(Number_Of_Histogram_Bins(Univariate!UV_Data,Univariate!$W$2,Univariate!UV_Include),1),1),1)</definedName>
    <definedName name="UV_Sturges_Edges">OFFSET(#REF!,1,0,MAX(IFERROR(num_histogram_bins(Univariate!UV_Data,#REF!,Univariate!UV_Include),1),1),1)</definedName>
    <definedName name="UV_Sturges_Exponential_CDF" localSheetId="6">OFFSET(Univariate!$Z$4,1,0,MAX(IFERROR(Number_Of_Histogram_Bins(Univariate!UV_Data,Univariate!$W$2,Univariate!UV_Include),1),1),1)</definedName>
    <definedName name="UV_Sturges_Exponential_Expected" comment="Sturges Method histogram chart: Exponential overlay line (expected counts = bin probability × n)" localSheetId="6">OFFSET(Univariate!$Z$4,1,0,MAX(IFERROR(Number_Of_Histogram_Bins(Univariate!UV_Data,Univariate!$W$2,Univariate!UV_Include),1),1),1)*Univariate!$E$14</definedName>
    <definedName name="UV_Sturges_Gamma_CDF" localSheetId="6">OFFSET(Univariate!$AB$4,1,0,MAX(IFERROR(Number_Of_Histogram_Bins(Univariate!UV_Data,Univariate!$W$2,Univariate!UV_Include),1),1),1)</definedName>
    <definedName name="UV_Sturges_Gamma_Expected" comment="Sturges Method histogram chart: Gamma overlay line (expected counts = bin probability × n)" localSheetId="6">OFFSET(Univariate!$AB$4,1,0,MAX(IFERROR(Number_Of_Histogram_Bins(Univariate!UV_Data,Univariate!$W$2,Univariate!UV_Include),1),1),1)*Univariate!$E$14</definedName>
    <definedName name="UV_Sturges_Lognormal_CDF" localSheetId="6">OFFSET(Univariate!$Y$4,1,0,MAX(IFERROR(Number_Of_Histogram_Bins(Univariate!UV_Data,Univariate!$W$2,Univariate!UV_Include),1),1),1)</definedName>
    <definedName name="UV_Sturges_Lognormal_Expected" comment="Sturges Method histogram chart: Lognormal overlay line (expected counts = bin probability × n)" localSheetId="6">OFFSET(Univariate!$Y$4,1,0,MAX(IFERROR(Number_Of_Histogram_Bins(Univariate!UV_Data,Univariate!$W$2,Univariate!UV_Include),1),1),1)*Univariate!$E$14</definedName>
    <definedName name="UV_Sturges_Lower_Edges" localSheetId="6">OFFSET(Univariate!$U$4,1,0,MAX(IFERROR(Number_Of_Histogram_Bins(Univariate!UV_Data,Univariate!$W$2,Univariate!UV_Include),1),1),1)</definedName>
    <definedName name="UV_Sturges_Normal_CDF" localSheetId="6">OFFSET(Univariate!$X$4,1,0,MAX(IFERROR(Number_Of_Histogram_Bins(Univariate!UV_Data,Univariate!$W$2,Univariate!UV_Include),1),1),1)</definedName>
    <definedName name="UV_Sturges_Normal_Expected" comment="Sturges Method histogram chart: Normal overlay line (expected counts = bin probability × n)" localSheetId="6">OFFSET(Univariate!$X$4,1,0,MAX(IFERROR(Number_Of_Histogram_Bins(Univariate!UV_Data,Univariate!$W$2,Univariate!UV_Include),1),1),1)*Univariate!$E$14</definedName>
    <definedName name="UV_Sturges_Triangular_CDF" localSheetId="6">OFFSET(Univariate!$AC$4,1,0,MAX(IFERROR(Number_Of_Histogram_Bins(Univariate!UV_Data,Univariate!$W$2,Univariate!UV_Include),1),1),1)</definedName>
    <definedName name="UV_Sturges_Triangular_Expected" comment="Sturges Method histogram chart: Triangular overlay line (expected counts = bin probability × n)" localSheetId="6">OFFSET(Univariate!$AC$4,1,0,MAX(IFERROR(Number_Of_Histogram_Bins(Univariate!UV_Data,Univariate!$W$2,Univariate!UV_Include),1),1),1)*Univariate!$E$14</definedName>
    <definedName name="UV_Sturges_Upper_Edges" comment="Sturges Method histogram chart: category (X) axis bin edges" localSheetId="6">OFFSET(Univariate!$V$4,1,0,MAX(IFERROR(Number_Of_Histogram_Bins(Univariate!UV_Data,Univariate!$W$2,Univariate!UV_Include),1),1),1)</definedName>
    <definedName name="UV_Sturges_Weibull_CDF" localSheetId="6">OFFSET(Univariate!$AA$4,1,0,MAX(IFERROR(Number_Of_Histogram_Bins(Univariate!UV_Data,Univariate!$W$2,Univariate!UV_Include),1),1),1)</definedName>
    <definedName name="UV_Sturges_Weibull_Expected" comment="Sturges Method histogram chart: Weibull overlay line (expected counts = bin probability × n)" localSheetId="6">OFFSET(Univariate!$AA$4,1,0,MAX(IFERROR(Number_Of_Histogram_Bins(Univariate!UV_Data,Univariate!$W$2,Univariate!UV_Include),1),1),1)*Univariate!$E$14</definedName>
    <definedName name="UV_WB_S1" localSheetId="6">Univariate!#REF!</definedName>
    <definedName name="UV_WB_S2" localSheetId="6">Univariate!#REF!</definedName>
    <definedName name="X_s" localSheetId="5">_xlfn.LAMBDA(_xlfn.LET(_xlpm.n_c,COLUMNS(Regression!Source_Data),_xlpm.rl,_xlfn.TAKE(Regression!Spec_Role,_xlpm.n_c),_xlpm.inc,_xlfn.TAKE(Regression!Spec_Include,_xlpm.n_c),_xlpm.typ,_xlfn.TAKE(Regression!Spec_Type,_xlpm.n_c),_xlpm.refs,_xlfn.TAKE(Regression!Spec_Reference,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_xlpm.col),_xlfn.LET(_xlpm.d,INDEX(_xlpm.refs,_xlpm.j),_xlpm.r,IF(LEN(_xlpm.d&amp;"")=0,"",_xlpm.d),_xlpm.lv,Dummy_Levels(_xlpm.col,_xlpm.r,Regression!Sample_Include()),IF(ISNA(INDEX(_xlpm.lv,1,1)),_xlpm.acc,_xlfn.HSTACK(_xlpm.acc,--(_xlpm.col=_xlpm.lv))))))))),_xlfn.DROP(_xlpm.built,,1)))</definedName>
    <definedName name="Zero_Predictors_Selected" localSheetId="5">_xlfn.LAMBDA(IFERROR(COLUMNS(Regression!X_s()),0)=0)</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Regression_Degrees_Of_Freedom" comment="Degrees of freedom for regression = number of predictors k (= COLUMNS(X_s)). Used as the numerator df in the F-test.">_xlfn.LAMBDA(_xlpm.X_s,COLUMNS(_xlpm.X_s))</definedName>
    <definedName name="Total_Degrees_Of_Freedom" comment="Total degrees of freedom = n − 1 with intercept or n without. Partitions into Regression_Degrees_Of_Freedom + Residual_Degrees_Of_Freedom.">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R_Squared" comment="Proportion of Y’s variance explained by the model (SS_Regression / SS_Total). Ranges [0, 1]; higher is better.">_xlfn.LAMBDA(_xlpm.X_s,_xlpm.Y,_xlop.Allow_Intercept,_xlop.Include,_xlfn.LET(_xlpm.allow_arg,IF(_xlfn.ISOMITTED(_xlpm.Allow_Intercept),TRUE,_xlpm.Allow_Intercept),_xlpm.filt_arg,IF(_xlfn.ISOMITTED(_xlpm.Include),TRUE,_xlpm.Include),INDEX(LINEST(_xlfn._xlws.FILTER(_xlpm.Y,_xlpm.filt_arg),_xlfn._xlws.FILTER(_xlpm.X_s,_xlpm.filt_arg),_xlpm.allow_arg,TRUE),3,1)))</definedName>
    <definedName name="Residual_Degrees_Of_Freedom" comment="Residual degrees of freedom = Total_Degrees_Of_Freedom − Regression_Degrees_Of_Freedom. Denominator df in the F-test and the penalty term in Adjusted R².">_xlfn.LAMBDA(_xlpm.X_s,_xlpm.Y,_xlop.Allow_Intercept,_xlop.Include,_xlfn.LET(_xlpm.allow_arg,IF(_xlfn.ISOMITTED(_xlpm.Allow_Intercept),TRUE,_xlpm.Allow_Intercept),_xlpm.filt_arg,IF(_xlfn.ISOMITTED(_xlpm.Include),TRUE,_xlpm.Include),Total_Degrees_Of_Freedom(_xlpm.Y,_xlpm.allow_arg,_xlpm.filt_arg)-Regression_Degrees_Of_Freedom(_xlpm.X_s)))</definedName>
    <definedName name="Multiple_R" comment="Correlation between observed and fitted Y values = √R². Ranges [0, 1]. Square to recover R_Squared.">_xlfn.LAMBDA(_xlpm.X_s,_xlpm.Y,_xlop.Allow_Intercept,_xlop.Include,_xlfn.LET(_xlpm.allow_arg,IF(_xlfn.ISOMITTED(_xlpm.Allow_Intercept),TRUE,_xlpm.Allow_Intercept),_xlpm.filt_arg,IF(_xlfn.ISOMITTED(_xlpm.Include),TRUE,_xlpm.Include),SQRT(R_Squared(_xlpm.X_s,_xlpm.Y,_xlpm.allow_arg,_xlpm.filt_arg))))</definedName>
    <definedName name="Adjusted_R_Squared" comment="R² penalised for model complexity: 1 − (1 − R²)·df_total/df_residual. Can be negative when the model fits worse than the mean.">_xlfn.LAMBDA(_xlpm.X_s,_xlpm.Y,_xlop.Allow_Intercept,_xlop.Include,_xlfn.LET(_xlpm.allow_arg,IF(_xlfn.ISOMITTED(_xlpm.Allow_Intercept),TRUE,_xlpm.Allow_Intercept),_xlpm.filt_arg,IF(_xlfn.ISOMITTED(_xlpm.Include),TRUE,_xlpm.Include),1-(1-R_Squared(_xlpm.X_s,_xlpm.Y,_xlpm.allow_arg,_xlpm.filt_arg))*Total_Degrees_Of_Freedom(_xlpm.Y,_xlpm.allow_arg,_xlpm.filt_arg)/Residual_Degrees_Of_Freedom(_xlpm.X_s,_xlpm.Y,_xlpm.allow_arg,_xlpm.filt_arg)))</definedName>
    <definedName name="SS_Total" comment="Total variation in Y before fitting (DEVSQ(Y) with intercept, SUMSQ(Y) without). Denominator of the R² formula.">_xlfn.LAMBDA(_xlpm.Y,_xlop.Allow_Intercept,_xlop.Include,_xlfn.LET(_xlpm.allow_arg,IF(_xlfn.ISOMITTED(_xlpm.Allow_Intercept),TRUE,_xlpm.Allow_Intercept),_xlpm.filt_arg,IF(_xlfn.ISOMITTED(_xlpm.Include),TRUE,_xlpm.Include),_xlpm.y_filt,_xlfn._xlws.FILTER(_xlpm.Y,_xlpm.filt_arg),IF(_xlpm.allow_arg,DEVSQ(_xlpm.y_filt),SUMSQ(_xlpm.y_filt))))</definedName>
    <definedName name="SS_Residual" comment="Unexplained variation in Y = SS_Total × (1 − R²). Shrinks as model fit improves.">_xlfn.LAMBDA(_xlpm.X_s,_xlpm.Y,_xlop.Allow_Intercept,_xlop.Include,_xlfn.LET(_xlpm.allow_arg,IF(_xlfn.ISOMITTED(_xlpm.Allow_Intercept),TRUE,_xlpm.Allow_Intercept),_xlpm.filt_arg,IF(_xlfn.ISOMITTED(_xlpm.Include),TRUE,_xlpm.Include),SS_Total(_xlpm.Y,_xlpm.allow_arg,_xlpm.filt_arg)*(1-R_Squared(_xlpm.X_s,_xlpm.Y,_xlpm.allow_arg,_xlpm.filt_arg))))</definedName>
    <definedName name="SS_Regression" comment="Explained variation in Y = SS_Total × R². Grows as model fit improves.">_xlfn.LAMBDA(_xlpm.X_s,_xlpm.Y,_xlop.Allow_Intercept,_xlop.Include,_xlfn.LET(_xlpm.allow_arg,IF(_xlfn.ISOMITTED(_xlpm.Allow_Intercept),TRUE,_xlpm.Allow_Intercept),_xlpm.filt_arg,IF(_xlfn.ISOMITTED(_xlpm.Include),TRUE,_xlpm.Include),SS_Total(_xlpm.Y,_xlpm.allow_arg,_xlpm.filt_arg)*R_Squared(_xlpm.X_s,_xlpm.Y,_xlpm.allow_arg,_xlpm.filt_arg)))</definedName>
    <definedName name="MS_Regression" comment="Mean square for regression = SS_Regression / df_Regression. Numerator of the overall F-statistic.">_xlfn.LAMBDA(_xlpm.X_s,_xlpm.Y,_xlop.Allow_Intercept,_xlop.Include,_xlfn.LET(_xlpm.allow_arg,IF(_xlfn.ISOMITTED(_xlpm.Allow_Intercept),TRUE,_xlpm.Allow_Intercept),_xlpm.filt_arg,IF(_xlfn.ISOMITTED(_xlpm.Include),TRUE,_xlpm.Include),SS_Regression(_xlpm.X_s,_xlpm.Y,_xlpm.allow_arg,_xlpm.filt_arg)/Regression_Degrees_Of_Freedom(_xlpm.X_s)))</definedName>
    <definedName name="MS_Residual" comment="Mean square residual = SS_Residual / df_Residual = SE_Regression². Denominator of the F-statistic.">_xlfn.LAMBDA(_xlpm.X_s,_xlpm.Y,_xlop.Allow_Intercept,_xlop.Include,_xlfn.LET(_xlpm.allow_arg,IF(_xlfn.ISOMITTED(_xlpm.Allow_Intercept),TRUE,_xlpm.Allow_Intercept),_xlpm.filt_arg,IF(_xlfn.ISOMITTED(_xlpm.Include),TRUE,_xlpm.Include),SS_Residual(_xlpm.X_s,_xlpm.Y,_xlpm.allow_arg,_xlpm.filt_arg)/Residual_Degrees_Of_Freedom(_xlpm.X_s,_xlpm.Y,_xlpm.allow_arg,_xlpm.filt_arg)))</definedName>
    <definedName name="SE_Regression" comment="Standard error of the regression (root MSE = √(SS_Residual / df_residual)). Typical prediction error in Y units.">_xlfn.LAMBDA(_xlpm.X_s,_xlpm.Y,_xlop.Allow_Intercept,_xlop.Include,_xlfn.LET(_xlpm.allow_arg,IF(_xlfn.ISOMITTED(_xlpm.Allow_Intercept),TRUE,_xlpm.Allow_Intercept),_xlpm.filt_arg,IF(_xlfn.ISOMITTED(_xlpm.Include),TRUE,_xlpm.Include),SQRT(SS_Residual(_xlpm.X_s,_xlpm.Y,_xlpm.allow_arg,_xlpm.filt_arg)/Residual_Degrees_Of_Freedom(_xlpm.X_s,_xlpm.Y,_xlpm.allow_arg,_xlpm.filt_arg))))</definedName>
    <definedName name="PRESS" comment="Leave-one-out cross-validation sum of squares = Σ(eᵢ/(1−hᵢ))². Lower values mean better out-of-sample predictions.">_xlfn.LAMBDA(_xlpm.X_s,_xlpm.Y,_xlop.Allow_Intercept,_xlop.Include,_xlfn.LET(_xlpm.allow_arg,IF(_xlfn.ISOMITTED(_xlpm.Allow_Intercept),TRUE,_xlpm.Allow_Intercept),_xlpm.filt_arg,IF(_xlfn.ISOMITTED(_xlpm.Include),TRUE,_xlpm.Include),SUMSQ(LOOCV_Residual(_xlpm.X_s,_xlpm.Y,_xlpm.allow_arg,_xlpm.filt_arg))))</definedName>
    <definedName name="AIC" comment="Akaike Information Criterion = n·ln(SSR/n) + 2p. Lower = better. Use to compare models fitted to the same dataset.">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Regression_Degrees_Of_Freedom(_xlpm.X_s)+IF(_xlpm.allow_arg,1,0),_xlpm.n*LN(_xlpm.ssr/_xlpm.n)+2*_xlpm.p))</definedName>
    <definedName name="BIC" comment="Bayesian Information Criterion = n·ln(SSR/n) + p·ln(n). Penalises model complexity more strongly than AI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Regression_Degrees_Of_Freedom(_xlpm.X_s)+IF(_xlpm.allow_arg,1,0),_xlpm.n*LN(_xlpm.ssr/_xlpm.n)+_xlpm.p*LN(_xlpm.n)))</definedName>
    <definedName name="AICc" comment="AIC with a small-sample correction (+2p(p+1)/(n−p−1)). Preferred when n/p &lt; 40; converges to AIC as n → ∞.">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Regression_Degrees_Of_Freedom(_xlpm.X_s)+IF(_xlpm.allow_arg,1,0),_xlpm.aic,_xlpm.n*LN(_xlpm.ssr/_xlpm.n)+2*_xlpm.p,_xlpm.aic+2*_xlpm.p*(_xlpm.p+1)/(_xlpm.n-_xlpm.p-1)))</definedName>
    <definedName name="Durbin_Watson" comment="Test statistic for first-order serial autocorrelation in residuals. Values near 2 = no autocorrelation; &lt; 1.5 or &gt; 2.5 flag problems.">_xlfn.LAMBDA(_xlpm.X_s,_xlpm.Y,_xlop.Allow_Intercept,_xlop.Include,_xlfn.LET(_xlpm.allow_arg,IF(_xlfn.ISOMITTED(_xlpm.Allow_Intercept),TRUE,_xlpm.Allow_Intercept),_xlpm.filt_arg,IF(_xlfn.ISOMITTED(_xlpm.Include),TRUE,_xlpm.Include),_xlpm.e,Residuals(_xlpm.X_s,_xlpm.Y,_xlpm.allow_arg,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s,_xlpm.Y,_xlpm.seq,_xlop.Allow_Intercept,_xlop.Include,_xlfn.LET(_xlpm.allow_arg,IF(_xlfn.ISOMITTED(_xlpm.Allow_Intercept),TRUE,_xlpm.Allow_Intercept),_xlpm.filt_arg,IF(_xlfn.ISOMITTED(_xlpm.Include),TRUE,_xlpm.Include),_xlpm.e,Residuals(_xlpm.X_s,_xlpm.Y,_xlpm.allow_arg,_xlpm.filt_arg),_xlpm.ord,_xlfn._xlws.FILTER(_xlpm.seq,_xlpm.filt_arg),_xlpm.es,_xlfn.SORTBY(_xlpm.e,_xlpm.ord,1),SUM((_xlfn.DROP(_xlpm.es,1)-_xlfn.DROP(_xlpm.es,-1))^2)/SUM(_xlpm.es^2)))</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s,_xlpm.Y,_xlpm.group,_xlpm.seq,_xlop.delta,_xlop.Allow_Intercept,_xlop.Include,_xlfn.LET(_xlpm.allow_arg,IF(_xlfn.ISOMITTED(_xlpm.Allow_Intercept),TRUE,_xlpm.Allow_Intercept),_xlpm.filt_arg,IF(_xlfn.ISOMITTED(_xlpm.Include),TRUE,_xlpm.Include),_xlpm.step,IF(_xlfn.ISOMITTED(_xlpm.delta),Base_Period_Delta(),_xlpm.delta),_xlpm.e,Residuals(_xlpm.X_s,_xlpm.Y,_xlpm.allow_arg,_xlpm.filt_arg),_xlpm.g_f,_xlfn._xlws.FILTER(_xlpm.group,_xlpm.filt_arg),_xlpm.t_f,_xlfn._xlws.FILTER(_xlpm.seq,_xlpm.filt_arg),_xlpm.d,Difference_By(_xlpm.e,_xlpm.g_f,_xlpm.t_f,_xlpm.step),_xlpm.n_terms,SUMPRODUCT(N(ISNUMBER(_xlpm.d))),IF(_xlpm.n_terms=0,NA(),SUMPRODUCT(IFERROR(_xlpm.d,0)^2)/SUMPRODUCT(_xlpm.e^2))))</definedName>
    <definedName name="QQ_Correlation" comment="Filliben Q-Q correlation between ranked scaled residuals and normal quantiles. Values near 1 indicate approximately normal residuals.">_xlfn.LAMBDA(_xlpm.X_s,_xlpm.Y,_xlop.Allow_Intercept,_xlop.Include,_xlfn.LET(_xlpm.allow_arg,IF(_xlfn.ISOMITTED(_xlpm.Allow_Intercept),TRUE,_xlpm.Allow_Intercept),_xlpm.filt_arg,IF(_xlfn.ISOMITTED(_xlpm.Include),TRUE,_xlpm.Include),_xlpm.sr,Scaled_Residuals_Ranked(_xlpm.X_s,_xlpm.Y,_xlpm.allow_arg,_xlpm.filt_arg),_xlpm.n,ROWS(_xlpm.sr),_xlpm.ns,_xlfn.NORM.S.INV((_xlfn.SEQUENCE(_xlpm.n)-0.5)/_xlpm.n),CORREL(_xlpm.sr,_xlpm.ns)))</definedName>
    <definedName name="Coefficients" comment="Fitted OLS coefficients as a column vector: intercept first (when included), then each predictor in X_s column order.">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SE_Coefficients" comment="Standard errors of the OLS coefficients, same order as Coefficients. Smaller values = more precise estimates.">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T_Statistics" comment="t-statistics = Coefficients / SE_Coefficients. Measures each coefficient in standard-error units. Same order as Coefficien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P_Values" comment="Two-tailed p-values per coefficient testing H₀: true effect = 0. Same order as Coefficients. Values &lt; alpha are significant.">_xlfn.LAMBDA(_xlpm.X_s,_xlpm.Y,_xlop.Allow_Intercept,_xlop.Include,_xlfn.LET(_xlpm.allow_arg,IF(_xlfn.ISOMITTED(_xlpm.Allow_Intercept),TRUE,_xlpm.Allow_Intercept),_xlpm.filt_arg,IF(_xlfn.ISOMITTED(_xlpm.Include),TRUE,_xlpm.Include),_xlfn.T.DIST.2T(ABS(T_Statistics(_xlpm.X_s,_xlpm.Y,_xlpm.allow_arg,_xlpm.filt_arg)),Residual_Degrees_Of_Freedom(_xlpm.X_s,_xlpm.Y,_xlpm.allow_arg,_xlpm.filt_arg))))</definedName>
    <definedName name="Confidence_Interval_Lower" comment="Low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Residual_Degrees_Of_Freedom(_xlpm.X_s,_xlpm.Y,_xlpm.allow_arg,_xlpm.filt_arg))*SE_Coefficients(_xlpm.X_s,_xlpm.Y,_xlpm.allow_arg,_xlpm.filt_arg)))</definedName>
    <definedName name="Confidence_Interval_Upper" comment="Upp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Residual_Degrees_Of_Freedom(_xlpm.X_s,_xlpm.Y,_xlpm.allow_arg,_xlpm.filt_arg))*SE_Coefficients(_xlpm.X_s,_xlpm.Y,_xlpm.allow_arg,_xlpm.filt_arg)))</definedName>
    <definedName name="Partial_R_Squared" comment="Unique proportion of residual variance explained by each predictor after controlling for all others. Range [0, 1].">_xlfn.LAMBDA(_xlpm.X_s,_xlpm.Y,_xlop.Allow_Intercept,_xlop.Include,_xlfn.LET(_xlpm.allow_arg,IF(_xlfn.ISOMITTED(_xlpm.Allow_Intercept),TRUE,_xlpm.Allow_Intercept),_xlpm.filt_arg,IF(_xlfn.ISOMITTED(_xlpm.Include),TRUE,_xlpm.Include),_xlpm.t,T_Statistics(_xlpm.X_s,_xlpm.Y,_xlpm.allow_arg,_xlpm.filt_arg),_xlpm.df,Residual_Degrees_Of_Freedom(_xlpm.X_s,_xlpm.Y,_xlpm.allow_arg,_xlpm.filt_arg),_xlpm.t^2/(_xlpm.t^2+_xlpm.df)))</definedName>
    <definedName name="Partial_Correlation" comment="Sign-preserving partial correlation between Y and each predictor after removing all other predictor effects. Range [−1, 1].">_xlfn.LAMBDA(_xlpm.X_s,_xlpm.Y,_xlop.Allow_Intercept,_xlop.Include,_xlfn.LET(_xlpm.allow_arg,IF(_xlfn.ISOMITTED(_xlpm.Allow_Intercept),TRUE,_xlpm.Allow_Intercept),_xlpm.filt_arg,IF(_xlfn.ISOMITTED(_xlpm.Include),TRUE,_xlpm.Include),_xlpm.t,T_Statistics(_xlpm.X_s,_xlpm.Y,_xlpm.allow_arg,_xlpm.filt_arg),_xlpm.df,Residual_Degrees_Of_Freedom(_xlpm.X_s,_xlpm.Y,_xlpm.allow_arg,_xlpm.filt_arg),_xlpm.t/SQRT(_xlpm.t^2+_xlpm.df)))</definedName>
    <definedName name="Beta_Weights" comment="Standardised coefficients in SD units for comparing predictors measured on different scales. k rows; no intercept row.">_xlfn.LAMBDA(_xlpm.X_s,_xlpm.Y,_xlop.Allow_Intercept,_xlop.Include,_xlfn.LET(_xlpm.allow_arg,IF(_xlfn.ISOMITTED(_xlpm.Allow_Intercept),TRUE,_xlpm.Allow_Intercept),_xlpm.filt_arg,IF(_xlfn.ISOMITTED(_xlpm.Include),TRUE,_xlpm.Include),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VIF" comment="Variance Inflation Factor per predictor = 1/(1−R²ⱼ). VIF = 1: no collinearity. VIF &gt; 5: review. VIF &gt; 10: problem.">_xlfn.LAMBDA(_xlpm.X_s,_xlop.Allow_Intercept,_xlop.Include,_xlfn.LET(_xlpm.filt_arg,IF(_xlfn.ISOMITTED(_xlpm.Include),TRUE,_xlpm.Include),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Tolerance" comment="1/VIF per predictor. Fraction of unique variance not shared with other predictors. &lt; 0.2: review; &lt; 0.1: strong collinearity.">_xlfn.LAMBDA(_xlpm.X_s,_xlop.Allow_Intercept,_xlop.Include,1/VIF(_xlpm.X_s,_xlpm.Allow_Intercept,_xlpm.Include))</definedName>
    <definedName name="GVIF" comment="Generalized VIF, one value per source variable (shared across a categorical predictor's dummy columns): det(R11)*det(R22)/det(R). Equals ordinary VIF when a variable is a single column.">_xlfn.LAMBDA(_xlpm.X_s,_xlpm.Column_Names,_xlop.Allow_Intercept,_xlop.Include,_xlfn.LET(_xlpm.filt_arg,IF(_xlfn.ISOMITTED(_xlpm.Include),TRUE,_xlpm.Include),_xlpm.k,COLUMNS(_xlpm.X_s),_xlpm.grp,IFERROR(LEFT(_xlpm.Column_Names,FIND(": ",_xlpm.Column_Names)-1),_xlpm.Column_Names),IF(COUNTA(_xlfn.UNIQUE(_xlpm.grp,TRUE))&lt;=1,_xlfn.MAKEARRAY(_xlpm.k,1,_xlfn.LAMBDA(_xlpm.j,_xlpm._,1)),_xlfn.LET(_xlpm.R,Correlation_Matrix(_xlpm.X_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Generalized_Tolerance" comment="1/GVIF per source variable. Fraction of unique variance not shared with other predictors, generalized across a categorical predictor's dummy columns.">_xlfn.LAMBDA(_xlpm.X_s,_xlpm.Column_Names,_xlop.Allow_Intercept,_xlop.Include,1/GVIF(_xlpm.X_s,_xlpm.Column_Names,_xlpm.Allow_Intercept,_xlpm.Include))</definedName>
    <definedName name="Prediction_Interval" comment="6-element vector: point estimate, SE_prediction, t-critical, lower PI bound, upper PI bound, confidence level.">_xlfn.LAMBDA(_xlpm.X_s,_xlpm.Y,_xlpm.X_new,_xlop.Allow_Intercept,_xlop.Include,_xlop.alpha,_xlfn.LET(_xlpm.allow_arg,IF(_xlfn.ISOMITTED(_xlpm.Allow_Intercept),TRUE,_xlpm.Allow_Intercept),_xlpm.filt_arg,IF(_xlfn.ISOMITTED(_xlpm.Include),TRUE,_xlpm.Include),_xlpm.alpha_arg,IF(_xlfn.ISOMITTED(_xlpm.alpha),0.05,_xlpm.alpha),_xlpm.X_design,Design_Matrix(_xlpm.X_s,_xlpm.allow_arg,_xlpm.filt_arg),_xlpm.beta,Coefficients(_xlpm.X_s,_xlpm.Y,_xlpm.allow_arg,_xlpm.filt_arg),_xlpm.s,SE_Regression(_xlpm.X_s,_xlpm.Y,_xlpm.allow_arg,_xlpm.filt_arg),_xlpm.df,Residual_Degrees_Of_Freedom(_xlpm.X_s,_xlpm.Y,_xlpm.allow_arg,_xlpm.filt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Y_Ranked" comment="Filtered Y values sorted from low to high. Paired with Normal_Scores to build a Y-variable Q-Q plot.">_xlfn.LAMBDA(_xlpm.Y,_xlop.Include,_xlfn._xlws.SORT(_xlfn._xlws.FILTER(_xlpm.Y,IF(_xlfn.ISOMITTED(_xlpm.Include),TRUE,_xlpm.Include))))</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Design_Matrix" comment="Filtered predictor matrix with a leading column of 1s when intercept is included. The X matrix used internally by the regression.">_xlfn.LAMBDA(_xlpm.X_s,_xlop.Allow_Intercept,_xlop.Include,_xlfn.LET(_xlpm.allow_arg,IF(_xlfn.ISOMITTED(_xlpm.Allow_Intercept),TRUE,_xlpm.Allow_Intercept),_xlpm.filt_arg,IF(_xlfn.ISOMITTED(_xlpm.Include),TRUE,_xlpm.Include),_xlpm.x_filt,_xlfn._xlws.FILTER(_xlpm.X_s,_xlpm.filt_arg),IF(_xlpm.allow_arg,_xlfn.HSTACK(_xlfn.SEQUENCE(ROWS(_xlpm.x_filt),,1,0),_xlpm.x_filt),_xlpm.x_filt)))</definedName>
    <definedName name="Gram_Inverse" comment="Inverse of the Gram matrix (X’X)⁻¹. Central to leverage, prediction intervals, and LOOCV calculations. Pass Design_Matrix output.">_xlfn.LAMBDA(_xlpm.X,MINVERSE(MMULT(TRANSPOSE(_xlpm.X),_xlpm.X)))</definedName>
    <definedName name="Predictions" comment="Model-fitted ŷ values (X·β) for each filtered row. Subtract from Y to get Residuals.">_xlfn.LAMBDA(_xlpm.X_s,_xlpm.Y,_xlop.Allow_Intercept,_xlop.Include,_xlfn.LET(_xlpm.allow_arg,IF(_xlfn.ISOMITTED(_xlpm.Allow_Intercept),TRUE,_xlpm.Allow_Intercept),_xlpm.filt_arg,IF(_xlfn.ISOMITTED(_xlpm.Include),TRUE,_xlpm.Include),MMULT(Design_Matrix(_xlpm.X_s,_xlpm.allow_arg,_xlpm.filt_arg),Coefficients(_xlpm.X_s,_xlpm.Y,_xlpm.allow_arg,_xlpm.filt_arg))))</definedName>
    <definedName name="Residuals" comment="Raw residuals = Y − ŷ for each filtered row. Starting point for all diagnostic plots.">_xlfn.LAMBDA(_xlpm.X_s,_xlpm.Y,_xlop.Allow_Intercept,_xlop.Include,_xlfn.LET(_xlpm.allow_arg,IF(_xlfn.ISOMITTED(_xlpm.Allow_Intercept),TRUE,_xlpm.Allow_Intercept),_xlpm.filt_arg,IF(_xlfn.ISOMITTED(_xlpm.Include),TRUE,_xlpm.Include),_xlfn._xlws.FILTER(_xlpm.Y,_xlpm.filt_arg)-Predictions(_xlpm.X_s,_xlpm.Y,_xlpm.allow_arg,_xlpm.filt_arg)))</definedName>
    <definedName name="Scaled_Residuals" comment="Residuals divided by SE_Regression. Not leverage-adjusted; contrast with Studentized_Residuals for outlier detection.">_xlfn.LAMBDA(_xlpm.X_s,_xlpm.Y,_xlop.Allow_Intercept,_xlop.Include,_xlfn.LET(_xlpm.allow_arg,IF(_xlfn.ISOMITTED(_xlpm.Allow_Intercept),TRUE,_xlpm.Allow_Intercept),_xlpm.filt_arg,IF(_xlfn.ISOMITTED(_xlpm.Include),TRUE,_xlpm.Include),Residuals(_xlpm.X_s,_xlpm.Y,_xlpm.allow_arg,_xlpm.filt_arg)/SE_Regression(_xlpm.X_s,_xlpm.Y,_xlpm.allow_arg,_xlpm.filt_arg)))</definedName>
    <definedName name="This_Row" comment="Relative row numbers 1..n for the current spilled array. Pass to CHOOSEROWS or use as a mask inside FILTER.">_xlfn.LAMBDA(_xlpm.array,_xlfn.SEQUENCE(ROWS(_xlpm.array)))</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Leave_One_Out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 comment="All n leave-one-out predictions at once using the hat-matrix shortcut ŷ₋ᵢ = ŷᵢ − hᵢeᵢ/(1−hᵢ). No n separate refits needed.">_xlfn.LAMBDA(_xlpm.X_s,_xlpm.Y,_xlop.Allow_Intercept,_xlop.Include,_xlfn.LET(_xlpm.allow_arg,IF(_xlfn.ISOMITTED(_xlpm.Allow_Intercept),TRUE,_xlpm.Allow_Intercept),_xlpm.filt_arg,IF(_xlfn.ISOMITTED(_xlpm.Include),TRUE,_xlpm.Include),_xlpm.yhat,Predictions(_xlpm.X_s,_xlpm.Y,_xlpm.allow_arg,_xlpm.filt_arg),_xlpm.e,_xlfn._xlws.FILTER(_xlpm.Y,_xlpm.filt_arg)-_xlpm.yhat,_xlpm.h,Hat_Diagonal(_xlpm.X_s,_xlpm.allow_arg,_xlpm.filt_arg),_xlpm.yhat-_xlpm.h*_xlpm.e/(1-_xlpm.h)))</definedName>
    <definedName name="LOOCV_Residual" comment="Leave-one-out residuals e_i/(1-h_i). SUMSQ of this spilled vector equals PRESS. #N/A (not #DIV/0!) where h_i = 1.">_xlfn.LAMBDA(_xlpm.X_s,_xlpm.Y,_xlop.Allow_Intercept,_xlop.Include,_xlfn.LET(_xlpm.allow_arg,IF(_xlfn.ISOMITTED(_xlpm.Allow_Intercept),TRUE,_xlpm.Allow_Intercept),_xlpm.filt_arg,IF(_xlfn.ISOMITTED(_xlpm.Include),TRUE,_xlpm.Include),_xlpm.e,Residuals(_xlpm.X_s,_xlpm.Y,_xlpm.allow_arg,_xlpm.filt_arg),_xlpm.h,Hat_Diagonal(_xlpm.X_s,_xlpm.allow_arg,_xlpm.filt_arg),IFERROR(_xlpm.e/(1-_xlpm.h),NA())))</definedName>
    <definedName name="Hat_Diagonal" comment="Leverage hᵢ = xᵢ’(X’X)⁻¹xᵢ per row. Rows with hᵢ &gt; 2p/n have high leverage; used by Cook’s Distance and PRESS.">_xlfn.LAMBDA(_xlpm.X_s,_xlop.Allow_Intercept,_xlop.Include,_xlfn.LET(_xlpm.allow_arg,IF(_xlfn.ISOMITTED(_xlpm.Allow_Intercept),TRUE,_xlpm.Allow_Intercept),_xlpm.filt_arg,IF(_xlfn.ISOMITTED(_xlpm.Include),TRUE,_xlpm.Include),_xlpm.X_design,Design_Matrix(_xlpm.X_s,_xlpm.allow_arg,_xlpm.filt_arg),_xlpm.p,COLUMNS(_xlpm.X_design),_xlpm.XtX_inv,Gram_Inverse(_xlpm.X_design),_xlpm.Z,MMULT(_xlpm.X_design,_xlpm.XtX_inv),MMULT(_xlpm.Z*_xlpm.X_design,_xlfn.SEQUENCE(_xlpm.p,1,1,0))))</definedName>
    <definedName name="Studentized_Residuals" comment="Internally studentized residuals rᵢ = eᵢ / (s√(1−hᵢ)). Leverage-adjusted. Values beyond ±2 flag outliers; ±3 are probable outliers. #N/A (not #DIV/0!) when s = 0 or hᵢ = 1 — an exact fit for that row.">_xlfn.LAMBDA(_xlpm.X_s,_xlpm.Y,_xlop.Allow_Intercept,_xlop.Include,_xlfn.LET(_xlpm.allow_arg,IF(_xlfn.ISOMITTED(_xlpm.Allow_Intercept),TRUE,_xlpm.Allow_Intercept),_xlpm.filt_arg,IF(_xlfn.ISOMITTED(_xlpm.Include),TRUE,_xlpm.Include),_xlpm.e,Residuals(_xlpm.X_s,_xlpm.Y,_xlpm.allow_arg,_xlpm.filt_arg),_xlpm.se,SE_Regression(_xlpm.X_s,_xlpm.Y,_xlpm.allow_arg,_xlpm.filt_arg),_xlpm.h,Hat_Diagonal(_xlpm.X_s,_xlpm.allow_arg,_xlpm.filt_arg),IFERROR(_xlpm.e/(_xlpm.se*SQRT(1-_xlpm.h)),NA())))</definedName>
    <definedName name="Studentized_Residuals_Ranked" comment="Studentized residuals sorted ascending. Paired with Normal_Scores for a leverage-corrected Q-Q residual plot.">_xlfn.LAMBDA(_xlpm.X_s,_xlpm.Y,_xlop.Allow_Intercept,_xlop.Include,_xlfn.LET(_xlpm.allow_arg,IF(_xlfn.ISOMITTED(_xlpm.Allow_Intercept),TRUE,_xlpm.Allow_Intercept),_xlpm.filt_arg,IF(_xlfn.ISOMITTED(_xlpm.Include),TRUE,_xlpm.Include),_xlfn._xlws.SORT(Studentized_Residuals(_xlpm.X_s,_xlpm.Y,_xlpm.allow_arg,_xlpm.filt_arg))))</definedName>
    <definedName name="Cooks_Distance" comment="Influence measure Dᵢ = rᵢ²·hᵢ / ((1−hᵢ)·p). Combines outlier size and leverage. Values &gt; 4/n or &gt; 1 flag influential rows.">_xlfn.LAMBDA(_xlpm.X_s,_xlpm.Y,_xlop.Allow_Intercept,_xlop.Include,_xlfn.LET(_xlpm.allow_arg,IF(_xlfn.ISOMITTED(_xlpm.Allow_Intercept),TRUE,_xlpm.Allow_Intercept),_xlpm.filt_arg,IF(_xlfn.ISOMITTED(_xlpm.Include),TRUE,_xlpm.Include),_xlpm.r,Studentized_Residuals(_xlpm.X_s,_xlpm.Y,_xlpm.allow_arg,_xlpm.filt_arg),_xlpm.h,Hat_Diagonal(_xlpm.X_s,_xlpm.allow_arg,_xlpm.filt_arg),_xlpm.p,COLUMNS(Design_Matrix(_xlpm.X_s,_xlpm.allow_arg,_xlpm.filt_arg)),_xlpm.r^2*_xlpm.h/((1-_xlpm.h)*_xlpm.p)))</definedName>
    <definedName name="Scaled_Residuals_Ranked" comment="Scaled residuals sorted ascending. Paired with Normal_Scores for a standard Q-Q residual plot.">_xlfn.LAMBDA(_xlpm.X_s,_xlpm.Y,_xlop.Allow_Intercept,_xlop.Include,_xlfn.LET(_xlpm.allow_arg,IF(_xlfn.ISOMITTED(_xlpm.Allow_Intercept),TRUE,_xlpm.Allow_Intercept),_xlpm.filt_arg,IF(_xlfn.ISOMITTED(_xlpm.Include),TRUE,_xlpm.Include),_xlfn._xlws.SORT(Scaled_Residuals(_xlpm.X_s,_xlpm.Y,_xlpm.allow_arg,_xlpm.filt_arg))))</definedName>
    <definedName name="Column_Select" comment="Named wrapper for CHOOSECOLS: picks non-contiguous predictor columns by index. Returns an array suitable for X_s.">_xlfn.LAMBDA(_xlpm.table,_xlpm.col_nums,_xlfn.CHOOSECOLS(_xlpm.table,_xlpm.col_nums))</definedName>
    <definedName name="Complete_Cases_Filter" comment="Boolean vector TRUE where every included column is numeric. Pass as the Include argument to exclude incomplete rows.">_xlfn.LAMBDA(_xlpm.X_s,_xlop.Y,_xlfn.LET(_xlpm.combined,IF(_xlfn.ISOMITTED(_xlpm.Y),_xlpm.X_s,_xlfn.HSTACK(_xlpm.X_s,_xlpm.Y)),MMULT((ISNUMBER(_xlpm.combined))*1,_xlfn.SEQUENCE(COLUMNS(_xlpm.combined),1,1,0))=COLUMNS(_xlpm.combined)))</definedName>
    <definedName name="Data_Completeness" comment="Returns TRUE when every predictor cell in one table row is numeric. Use as a calculated table column and pass as Include.">_xlfn.LAMBDA(_xlpm.predictor_row,AND(ISNUMBER(_xlpm.predictor_row)))</definedName>
    <definedName name="Pearson_R" comment="Linear (Pearson) correlations between each X_s column and Y. Returns a k×1 vector. Compare with Spearman_R to detect nonlinearity.">_xlfn.LAMBDA(_xlpm.X_s,_xlpm.Y,_xlop.Include,_xlfn.LET(_xlpm.filt_arg,IF(_xlfn.ISOMITTED(_xlpm.Include),TRUE,_xlpm.Include),_xlpm.xf,_xlfn._xlws.FILTER(_xlpm.X_s,_xlpm.filt_arg),_xlpm.yf,_xlfn._xlws.FILTER(_xlpm.Y,_xlpm.filt_arg),_xlfn.MAKEARRAY(COLUMNS(_xlpm.X_s),1,_xlfn.LAMBDA(_xlpm.r,_xlpm.c,CORREL(_xlfn.CHOOSECOLS(_xlpm.xf,_xlpm.r),_xlpm.yf)))))</definedName>
    <definedName name="Spearman_R" comment="Rank (Spearman) correlations between each X_s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kewness" comment="Sample skewness per X_s column after filtering. 0 = symmetric; &gt; 1 = long right tail; &lt; −1 = long left tail.">_xlfn.LAMBDA(_xlpm.X_s,_xlop.Include,_xlfn.LET(_xlpm.filt_arg,IF(_xlfn.ISOMITTED(_xlpm.Include),TRUE,_xlpm.Include),_xlpm.xf,_xlfn._xlws.FILTER(_xlpm.X_s,_xlpm.filt_arg),_xlfn.MAKEARRAY(COLUMNS(_xlpm.X_s),1,_xlfn.LAMBDA(_xlpm.r,_xlpm.c,SKEW(_xlfn.CHOOSECOLS(_xlpm.xf,_xlpm.r))))))</definedName>
    <definedName name="Kurtosis" comment="Excess kurtosis per X_s column. 0 = normal-distributed tails; positive = heavier tails with more frequent extremes.">_xlfn.LAMBDA(_xlpm.X_s,_xlop.Include,_xlfn.LET(_xlpm.filt_arg,IF(_xlfn.ISOMITTED(_xlpm.Include),TRUE,_xlpm.Include),_xlpm.xf,_xlfn._xlws.FILTER(_xlpm.X_s,_xlpm.filt_arg),_xlfn.MAKEARRAY(COLUMNS(_xlpm.X_s),1,_xlfn.LAMBDA(_xlpm.r,_xlpm.c,KURT(_xlfn.CHOOSECOLS(_xlpm.xf,_xlpm.r))))))</definedName>
    <definedName name="F_Statistic" comment="Overall F-statistic = MS_Regression / MS_Residual. Tests whether the model explains significantly more variance than random noise.">_xlfn.LAMBDA(_xlpm.X_s,_xlpm.Y,_xlop.Allow_Intercept,_xlop.Include,_xlfn.LET(_xlpm.allow_arg,IF(_xlfn.ISOMITTED(_xlpm.Allow_Intercept),TRUE,_xlpm.Allow_Intercept),_xlpm.filt_arg,IF(_xlfn.ISOMITTED(_xlpm.Include),TRUE,_xlpm.Include),SS_Regression(_xlpm.X_s,_xlpm.Y,_xlpm.allow_arg,_xlpm.filt_arg)/Regression_Degrees_Of_Freedom(_xlpm.X_s)/(SS_Residual(_xlpm.X_s,_xlpm.Y,_xlpm.allow_arg,_xlpm.filt_arg)/Residual_Degrees_Of_Freedom(_xlpm.X_s,_xlpm.Y,_xlpm.allow_arg,_xlpm.filt_arg))))</definedName>
    <definedName name="F_Statistic_P_Value" comment="Right-tail p-value for the overall F-test. Values &lt; 0.05 indicate the model as a whole is statistically significant.">_xlfn.LAMBDA(_xlpm.X_s,_xlpm.Y,_xlop.Allow_Intercept,_xlop.Include,_xlfn.LET(_xlpm.allow_arg,IF(_xlfn.ISOMITTED(_xlpm.Allow_Intercept),TRUE,_xlpm.Allow_Intercept),_xlpm.filt_arg,IF(_xlfn.ISOMITTED(_xlpm.Include),TRUE,_xlpm.Include),_xlfn.F.DIST.RT(F_Statistic(_xlpm.X_s,_xlpm.Y,_xlpm.allow_arg,_xlpm.filt_arg),Regression_Degrees_Of_Freedom(_xlpm.X_s),Residual_Degrees_Of_Freedom(_xlpm.X_s,_xlpm.Y,_xlpm.allow_arg,_xlpm.filt_arg))))</definedName>
    <definedName name="Correlation_Matrix" comment="k×k symmetric Pearson correlation matrix among all X_s columns. Use to screen for multicollinearity before fitting.">_xlfn.LAMBDA(_xlpm.X_s,_xlop.Include,_xlfn.LET(_xlpm.filt_arg,IF(_xlfn.ISOMITTED(_xlpm.Include),TRUE,_xlpm.Include),_xlpm.xf,_xlfn._xlws.FILTER(_xlpm.X_s,_xlpm.filt_arg),_xlpm.k,COLUMNS(_xlpm.X_s),_xlfn.MAKEARRAY(_xlpm.k,_xlpm.k,_xlfn.LAMBDA(_xlpm.r,_xlpm.c,CORREL(_xlfn.CHOOSECOLS(_xlpm.xf,_xlpm.r),_xlfn.CHOOSECOLS(_xlpm.xf,_xlpm.c))))))</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Bin_Lower_Edges" comment="k lower bin boundaries (Bin_Edges without the last element). First element = data minimum.">_xlfn.LAMBDA(_xlpm.data,_xlop.method,_xlop.filter,_xlfn.DROP(Bin_Edges(_xlpm.data,_xlpm.method,_xlpm.filter),-1))</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E+15)))</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E+15)))</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_xlfn.LAMBDA(_xlpm.data,_xlpm.rate,_xlop.filter,_xlfn.LET(_xlpm.filt_arg,IF(_xlfn.ISOMITTED(_xlpm.filter),ISNUMBER(_xlpm.data),_xlpm.filter),_xlpm.x,_xlfn._xlws.FILTER(_xlpm.data,_xlpm.filt_arg),IFERROR(-SUMPRODUCT(LN(_xlfn.EXPON.DIST(_xlpm.x,_xlpm.rate,FALSE))),1E+15)))</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E+15)))</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E+15)))</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E+15)))</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E+15)))</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E+15)))</definedName>
    <definedName name="GoF_AIC" comment="AIC = 2k + 2·NLL for distribution comparison. k = number of free parameters. Lower = better. Compare across distributions on same data.">_xlfn.LAMBDA(_xlpm.nll,_xlpm.k,2*_xlpm.k+2*_xlpm.nll)</definedName>
    <definedName name="GoF_BIC" comment="BIC = k·ln(n) + 2·NLL. Penalises extra parameters more than AIC (penalty scales with log n). Lower = better.">_xlfn.LAMBDA(_xlpm.nll,_xlpm.k,_xlpm.n,_xlpm.k*LN(_xlpm.n)+2*_xlpm.nll)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1E-10,_xlpm.fc,IF(_xlpm.fs&lt;_xlpm.eps,_xlpm.eps,IF(_xlpm.fs&gt;1-_xlpm.eps,1-_xlpm.eps,_xlpm.fs)),_xlpm.i,_xlfn.SEQUENCE(_xlpm.n),_xlpm.fc_rev,_xlfn.SORTBY(_xlpm.fc,_xlpm.i,-1),-_xlpm.n-SUMPRODUCT((2*_xlpm.i-1)*(LN(_xlpm.fc)+LN(1-_xlpm.fc_rev)))/_xlpm.n))))</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Base_Period_Delta" comment="The base period Δ in effect: spec column J (Period In Use) on the Sequence-flagged row of the Regression sheet. #N/A when no axis is flagged or the cell is not numeric. Default for Lag_By / Difference_By.">_xlfn.LAMBDA(_xlfn.LET(_xlpm.n_c,COLUMNS('Regression'!Source_Data),_xlpm.position,_xlfn.XMATCH(TRUE,_xlfn.TAKE('Regression'!Spec_Sequence,_xlpm.n_c),0),_xlpm.value,INDEX(_xlfn.TAKE('Regression'!Spec_Sequence_Period,_xlpm.n_c),_xlpm.position),IF(ISNUMBER(_xlpm.value),_xlpm.value,NA())))</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prior,Lag_By(_xlpm.x,_xlpm.group,_xlpm.seq,_xlpm.step,_xlpm.inc),IF(_xlpm.inc,IF(ISNUMBER(_xlpm.x_v)*ISNUMBER(_xlpm.prior),_xlpm.x_v-_xlpm.prior,NA()),"")))</definedName>
  </definedNames>
  <calcPr calcId="191029" calcMode="autoNoTabl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Q2" authorId="0" shapeId="0" xr:uid="{2E5EF611-4468-4C2F-8035-9C8CFF84AD77}">
      <text>
        <r>
          <rPr>
            <b/>
            <sz val="9"/>
            <color indexed="81"/>
            <rFont val="Tahoma"/>
            <family val="2"/>
          </rPr>
          <t>Measures the straight-line relationship between a predictor and Y. Values near 1 or -1 mean a strong linear relationship; values near 0 mean little linear pattern.</t>
        </r>
      </text>
    </comment>
    <comment ref="R2" authorId="0" shapeId="0" xr:uid="{8FF4D51C-44F4-4890-AECA-B40FAC13A1C2}">
      <text>
        <r>
          <rPr>
            <b/>
            <sz val="9"/>
            <color indexed="81"/>
            <rFont val="Tahoma"/>
            <family val="2"/>
          </rPr>
          <t>Measures whether higher X tends to go with higher or lower Y after converting both to ranks. It is useful when the relationship is ordered but curved instead of perfectly linear.</t>
        </r>
      </text>
    </comment>
    <comment ref="S2" authorId="0" shapeId="0" xr:uid="{C1018F1D-D068-4E74-9880-11170AB79356}">
      <text>
        <r>
          <rPr>
            <b/>
            <sz val="9"/>
            <color indexed="81"/>
            <rFont val="Tahoma"/>
            <family val="2"/>
          </rPr>
          <t>Shows whether the data have a longer tail on one side. Positive means a longer right tail; negative means a longer left tail.</t>
        </r>
      </text>
    </comment>
    <comment ref="T2" authorId="0" shapeId="0" xr:uid="{266856F1-C01E-4B8B-BF9A-138821A951BF}">
      <text>
        <r>
          <rPr>
            <b/>
            <sz val="9"/>
            <color indexed="81"/>
            <rFont val="Tahoma"/>
            <family val="2"/>
          </rPr>
          <t>Shows how heavy the tails are relative to a normal bell curve. Positive values mean heavier tails with more frequent extremes; values near 0 match a normal distribution.</t>
        </r>
      </text>
    </comment>
    <comment ref="U2" authorId="0" shapeId="0" xr:uid="{F7EB4C17-DD0A-4E38-B824-8DF9EE9C8721}">
      <text>
        <r>
          <rPr>
            <b/>
            <sz val="9"/>
            <color indexed="81"/>
            <rFont val="Tahoma"/>
            <family val="2"/>
          </rPr>
          <t>A measure of collinearity with the other predictors, generalized so a categorical predictor's whole dummy block shares one value instead of a separate number per level. A value of 1 means no overlap; above 5 warrants review, above 10 indicates a problem — those thresholds are exact for a continuous predictor, and reflect the combined block for a multi-level categorical one.</t>
        </r>
      </text>
    </comment>
    <comment ref="V2" authorId="0" shapeId="0" xr:uid="{6F340729-B218-4422-B212-14AE074EDBE0}">
      <text>
        <r>
          <rPr>
            <b/>
            <sz val="9"/>
            <color indexed="81"/>
            <rFont val="Tahoma"/>
            <family val="2"/>
          </rPr>
          <t>The fraction of a predictor's variation not explained by the other predictors (1/GVIF) — generalized the same way, so a categorical predictor's dummy columns share one value. Values below 0.2 warrant review; below 0.1 indicate strong collinearity.</t>
        </r>
      </text>
    </comment>
    <comment ref="AL2" authorId="0" shapeId="0" xr:uid="{73D20C14-A327-4A96-A94E-572DC27ED369}">
      <text>
        <r>
          <rPr>
            <b/>
            <sz val="9"/>
            <color indexed="81"/>
            <rFont val="Tahoma"/>
            <family val="2"/>
          </rPr>
          <t>The actual observed outcome values.</t>
        </r>
      </text>
    </comment>
    <comment ref="AM2" authorId="0" shapeId="0" xr:uid="{EE04BCD9-9B15-4169-94EE-05E682320730}">
      <text>
        <r>
          <rPr>
            <b/>
            <sz val="9"/>
            <color indexed="81"/>
            <rFont val="Tahoma"/>
            <family val="2"/>
          </rPr>
          <t>The fitted outcome values produced by the model.</t>
        </r>
      </text>
    </comment>
    <comment ref="AN2" authorId="0" shapeId="0" xr:uid="{2D0497EE-28AF-4793-8448-CB94F72A84F8}">
      <text>
        <r>
          <rPr>
            <b/>
            <sz val="9"/>
            <color indexed="81"/>
            <rFont val="Tahoma"/>
            <family val="2"/>
          </rPr>
          <t>Actual Y minus predicted Y. Positive means the row came in above the model's prediction; negative means below.</t>
        </r>
      </text>
    </comment>
    <comment ref="AO2" authorId="0" shapeId="0" xr:uid="{9C46E489-5521-4EC8-AA08-5DA414C6899C}">
      <text>
        <r>
          <rPr>
            <b/>
            <sz val="9"/>
            <color indexed="81"/>
            <rFont val="Tahoma"/>
            <family val="2"/>
          </rPr>
          <t>Leverage. It shows how unusual a row's predictor values are relative to the rest of the data.</t>
        </r>
      </text>
    </comment>
    <comment ref="AP2" authorId="0" shapeId="0" xr:uid="{ED5D6349-5B94-4A4E-BDB3-502573A03900}">
      <text>
        <r>
          <rPr>
            <b/>
            <sz val="9"/>
            <color indexed="81"/>
            <rFont val="Tahoma"/>
            <family val="2"/>
          </rPr>
          <t>Residuals scaled to account for overall error size and leverage, making outliers easier to compare fairly.</t>
        </r>
      </text>
    </comment>
    <comment ref="AQ2" authorId="0" shapeId="0" xr:uid="{817FE20F-9671-4625-8C27-CFB7EA10B8CC}">
      <text>
        <r>
          <rPr>
            <b/>
            <sz val="9"/>
            <color indexed="81"/>
            <rFont val="Tahoma"/>
            <family val="2"/>
          </rPr>
          <t>How much a single row can pull the fitted coefficients and predictions around.</t>
        </r>
      </text>
    </comment>
    <comment ref="AR2" authorId="0" shapeId="0" xr:uid="{679C019C-3483-470D-B3B4-1E52D2A64D89}">
      <text>
        <r>
          <rPr>
            <b/>
            <sz val="9"/>
            <color indexed="81"/>
            <rFont val="Tahoma"/>
            <family val="2"/>
          </rPr>
          <t>Expected bell-curve quantiles used for the Q-Q comparison.</t>
        </r>
      </text>
    </comment>
    <comment ref="AS2" authorId="0" shapeId="0" xr:uid="{A68BB7E3-1081-4D1F-8B14-653572050251}">
      <text>
        <r>
          <rPr>
            <b/>
            <sz val="9"/>
            <color indexed="81"/>
            <rFont val="Tahoma"/>
            <family val="2"/>
          </rPr>
          <t>Studentized residuals sorted from smallest to largest for the Q-Q plot.</t>
        </r>
      </text>
    </comment>
    <comment ref="AT2" authorId="0" shapeId="0" xr:uid="{2DD84D22-6365-40EE-849E-BB6A3CCBB1E6}">
      <text>
        <r>
          <rPr>
            <b/>
            <sz val="9"/>
            <color indexed="81"/>
            <rFont val="Tahoma"/>
            <family val="2"/>
          </rPr>
          <t>The square root of the absolute studentized residual. A flat pattern suggests stable error spread.</t>
        </r>
      </text>
    </comment>
    <comment ref="AU2" authorId="0" shapeId="0" xr:uid="{9AFBD34D-43AE-4AC5-84E3-EC24BC9A5E64}">
      <text>
        <r>
          <rPr>
            <b/>
            <sz val="9"/>
            <color indexed="81"/>
            <rFont val="Tahoma"/>
            <family val="2"/>
          </rPr>
          <t>The prediction error for a row when that row is left out of the fitting step (the leave-one-out / LOOCV residual). Summing its squares gives PRESS.</t>
        </r>
      </text>
    </comment>
    <comment ref="AG3" authorId="0" shapeId="0" xr:uid="{7EF2F4E7-ADB3-4F3B-A1D4-D099212B085D}">
      <text>
        <r>
          <rPr>
            <b/>
            <sz val="9"/>
            <color indexed="81"/>
            <rFont val="Tahoma"/>
            <family val="2"/>
          </rPr>
          <t>The model's single best predicted Y value for the inputs you entered.</t>
        </r>
      </text>
    </comment>
    <comment ref="F4" authorId="0" shapeId="0" xr:uid="{D9EB2DF1-70B4-4585-A95C-D0C4BCC2A51C}">
      <text>
        <r>
          <rPr>
            <b/>
            <sz val="9"/>
            <color indexed="81"/>
            <rFont val="Tahoma"/>
            <family val="2"/>
          </rPr>
          <t>Reserved for a future release — not yet used by any formula.</t>
        </r>
      </text>
    </comment>
    <comment ref="G4" authorId="0" shapeId="0" xr:uid="{BA56B5A4-D427-445E-9268-C09E8506A10A}">
      <text>
        <r>
          <rPr>
            <b/>
            <sz val="9"/>
            <color indexed="81"/>
            <rFont val="Tahoma"/>
            <family val="2"/>
          </rPr>
          <t>Reserved for a future release — not yet used by any formula.</t>
        </r>
      </text>
    </comment>
    <comment ref="H4" authorId="0" shapeId="0" xr:uid="{E60D9BFA-BE4C-4358-9637-832B72D6EFE8}">
      <text>
        <r>
          <rPr>
            <b/>
            <sz val="9"/>
            <color indexed="81"/>
            <rFont val="Tahoma"/>
            <family val="2"/>
          </rPr>
          <t>Sequence structural axis: mark AT MOST ONE variable TRUE as the ordering axis for lag/difference/serial-correlation features. Independent of Role and Predictor Type — a Predictor can also be the sequence axis. Zero flags is valid (non-panel data); two or more is a spec error shown in the status line above this column. Distinct from the reserved Order column (F), which is term-ordering.</t>
        </r>
      </text>
    </comment>
    <comment ref="I4" authorId="0" shapeId="0" xr:uid="{D4232088-8D7E-4AD7-923C-D79F48DE8C82}">
      <text>
        <r>
          <rPr>
            <b/>
            <sz val="9"/>
            <color indexed="81"/>
            <rFont val="Tahoma"/>
            <family val="2"/>
          </rPr>
          <t>Sequence Period — typed override input for Base Period Δ (renamed in v2.1.0). On the Sequence-flagged row this cell is blank by default; type a number here to override the computed candidate delta. Lag_By and Difference_By read the Period In Use column when [delta] is omitted. Period In Use shows what the engine will actually use (the typed override if non-blank, else the computed candidate from within-group consecutive spacings). Blank on rows that are not the sequence axis. See the Sequence Spacing block below the spec for the delta spectrum and verdicts.</t>
        </r>
      </text>
    </comment>
    <comment ref="X4" authorId="0" shapeId="0" xr:uid="{23276DA8-C654-42BA-8089-9F8A4ABA8C5F}">
      <text>
        <r>
          <rPr>
            <b/>
            <sz val="9"/>
            <color indexed="81"/>
            <rFont val="Tahoma"/>
            <family val="2"/>
          </rPr>
          <t>How closely the model's predicted Y values track the actual Y values overall.</t>
        </r>
      </text>
    </comment>
    <comment ref="AA4" authorId="0" shapeId="0" xr:uid="{829EB2E0-C539-479B-9672-3F78D3098835}">
      <text>
        <r>
          <rPr>
            <b/>
            <sz val="9"/>
            <color indexed="81"/>
            <rFont val="Tahoma"/>
            <family val="2"/>
          </rPr>
          <t>A leave-one-out prediction error score. Lower is better because it means the model predicts unseen rows more accurately.</t>
        </r>
      </text>
    </comment>
    <comment ref="AG4" authorId="0" shapeId="0" xr:uid="{862217C6-2705-49EF-A22F-B42A7E3B3DA3}">
      <text>
        <r>
          <rPr>
            <b/>
            <sz val="9"/>
            <color indexed="81"/>
            <rFont val="Tahoma"/>
            <family val="2"/>
          </rPr>
          <t>The standard error for a new prediction. It reflects both model uncertainty and ordinary row-to-row noise.</t>
        </r>
      </text>
    </comment>
    <comment ref="X5" authorId="0" shapeId="0" xr:uid="{EAC0326C-9E13-4CB0-8F0A-662FDBFE7BEA}">
      <text>
        <r>
          <rPr>
            <b/>
            <sz val="9"/>
            <color indexed="81"/>
            <rFont val="Tahoma"/>
            <family val="2"/>
          </rPr>
          <t>The share of the outcome's variation explained by the model.</t>
        </r>
      </text>
    </comment>
    <comment ref="AA5" authorId="0" shapeId="0" xr:uid="{1EBEB7DD-2FCB-4993-87C4-86269256C7B3}">
      <text>
        <r>
          <rPr>
            <b/>
            <sz val="9"/>
            <color indexed="81"/>
            <rFont val="Tahoma"/>
            <family val="2"/>
          </rPr>
          <t>An out-of-sample version of R Square based on leave-one-out prediction. Negative values mean the model predicts worse than just using the average Y.</t>
        </r>
      </text>
    </comment>
    <comment ref="AG5" authorId="0" shapeId="0" xr:uid="{255BF730-8FDD-4C69-9D12-43EB90DBC88C}">
      <text>
        <r>
          <rPr>
            <b/>
            <sz val="9"/>
            <color indexed="81"/>
            <rFont val="Tahoma"/>
            <family val="2"/>
          </rPr>
          <t>The t-distribution cutoff at the chosen confidence level. Multiply by SE Prediction to get the prediction interval half-width.</t>
        </r>
      </text>
    </comment>
    <comment ref="X6" authorId="0" shapeId="0" xr:uid="{0D3A8877-173E-4406-9B53-DFCF7F3DB16D}">
      <text>
        <r>
          <rPr>
            <b/>
            <sz val="9"/>
            <color indexed="81"/>
            <rFont val="Tahoma"/>
            <family val="2"/>
          </rPr>
          <t>R Square with a penalty for adding predictors that do not help enough.</t>
        </r>
      </text>
    </comment>
    <comment ref="AA6" authorId="0" shapeId="0" xr:uid="{A247F366-8CF0-46D8-9AB3-B5B06B94D329}">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G6" authorId="0" shapeId="0" xr:uid="{38F53FA4-030E-44D9-A608-688EFC612DB6}">
      <text>
        <r>
          <rPr>
            <b/>
            <sz val="9"/>
            <color indexed="81"/>
            <rFont val="Tahoma"/>
            <family val="2"/>
          </rPr>
          <t>The lower bound of the 95% confidence interval.</t>
        </r>
      </text>
    </comment>
    <comment ref="X7" authorId="0" shapeId="0" xr:uid="{AA699152-B622-465F-8D63-BE5C72E9A245}">
      <text>
        <r>
          <rPr>
            <b/>
            <sz val="9"/>
            <color indexed="81"/>
            <rFont val="Tahoma"/>
            <family val="2"/>
          </rPr>
          <t>The typical size of the model's prediction errors, measured in the same units as Y.</t>
        </r>
      </text>
    </comment>
    <comment ref="AA7" authorId="0" shapeId="0" xr:uid="{12A82E80-72D5-4C3E-A4BF-583B904C237F}">
      <text>
        <r>
          <rPr>
            <b/>
            <sz val="9"/>
            <color indexed="81"/>
            <rFont val="Tahoma"/>
            <family val="2"/>
          </rPr>
          <t>A model-comparison score that balances fit against complexity. Lower is better when comparing models on the same data.</t>
        </r>
      </text>
    </comment>
    <comment ref="AG7" authorId="0" shapeId="0" xr:uid="{FCA167D8-0BD3-4A1A-AA68-4B0251FE27BB}">
      <text>
        <r>
          <rPr>
            <b/>
            <sz val="9"/>
            <color indexed="81"/>
            <rFont val="Tahoma"/>
            <family val="2"/>
          </rPr>
          <t>The upper bound of the 95% confidence interval.</t>
        </r>
      </text>
    </comment>
    <comment ref="X8" authorId="0" shapeId="0" xr:uid="{FFA2E072-42FE-46A7-90ED-79AD80B4DE89}">
      <text>
        <r>
          <rPr>
            <b/>
            <sz val="9"/>
            <color indexed="81"/>
            <rFont val="Tahoma"/>
            <family val="2"/>
          </rPr>
          <t>The number of rows actually used in the regression after filtering.</t>
        </r>
      </text>
    </comment>
    <comment ref="AA8" authorId="0" shapeId="0" xr:uid="{766DC040-705F-4D13-9E70-D4F00135372E}">
      <text>
        <r>
          <rPr>
            <b/>
            <sz val="9"/>
            <color indexed="81"/>
            <rFont val="Tahoma"/>
            <family val="2"/>
          </rPr>
          <t>Another model-comparison score like AIC, but it penalizes extra predictors more strongly.</t>
        </r>
      </text>
    </comment>
    <comment ref="AG8" authorId="0" shapeId="0" xr:uid="{FF89101B-6879-48BC-AFD9-0C81E29E3D7D}">
      <text>
        <r>
          <rPr>
            <b/>
            <sz val="9"/>
            <color indexed="81"/>
            <rFont val="Tahoma"/>
            <family val="2"/>
          </rPr>
          <t>The probability level associated with the interval. With alpha 0.05, this is 95%.</t>
        </r>
      </text>
    </comment>
    <comment ref="AA9" authorId="0" shapeId="0" xr:uid="{33B2B10D-E1D9-466F-B53A-814E601E11D2}">
      <text>
        <r>
          <rPr>
            <b/>
            <sz val="9"/>
            <color indexed="81"/>
            <rFont val="Tahoma"/>
            <family val="2"/>
          </rPr>
          <t>AIC with an extra correction for small samples.</t>
        </r>
      </text>
    </comment>
    <comment ref="AA10" authorId="0" shapeId="0" xr:uid="{6050112D-79AD-466E-BD2C-64F237A21297}">
      <text>
        <r>
          <rPr>
            <b/>
            <sz val="9"/>
            <color indexed="81"/>
            <rFont val="Tahoma"/>
            <family val="2"/>
          </rPr>
          <t>A numeric check of how close the residuals are to a normal bell shape. Values closer to 1 are better.</t>
        </r>
      </text>
    </comment>
    <comment ref="AA11" authorId="0" shapeId="0" xr:uid="{D50E5E34-44B7-4B7C-9632-A2B039F049AA}">
      <text>
        <r>
          <rPr>
            <b/>
            <sz val="9"/>
            <color indexed="81"/>
            <rFont val="Tahoma"/>
            <family val="2"/>
          </rPr>
          <t>A check for serial correlation — whether residuals next to each other in the declared Sequence order tend to move together. Values near 2 mean no autocorrelation; below ~1.5 suggests positive, above ~2.5 negative. Requires exactly one Sequence axis to be flagged; with none the cell reads 'n/a — requires Sequence' (plain row order is not a meaningful time axis), and with two or more it reads 'n/a — multiple Sequence flags' (the spec error the status line above column H reports). With a Fixed Effects variable declared it reads 'n/a — FE active': the single-series statistic is invalid on within-demeaned panel residuals, and the BFN Panel Durbin-Watson cell below takes over.</t>
        </r>
      </text>
    </comment>
    <comment ref="X12" authorId="0" shapeId="0" xr:uid="{65E13AAF-6D40-4D99-8D9B-C3E00EDD4324}">
      <text>
        <r>
          <rPr>
            <b/>
            <sz val="9"/>
            <color indexed="81"/>
            <rFont val="Tahoma"/>
            <family val="2"/>
          </rPr>
          <t>The cutoff for statistical significance. At 0.05, results with p-values below 0.05 are treated as statistically significant.</t>
        </r>
      </text>
    </comment>
    <comment ref="AA12" authorId="0" shapeId="0" xr:uid="{6CE87016-9C86-4CE4-B043-FD6D38E8937A}">
      <text>
        <r>
          <rPr>
            <b/>
            <sz val="9"/>
            <color indexed="81"/>
            <rFont val="Tahoma"/>
            <family val="2"/>
          </rPr>
          <t>The panel (fixed-effects) form of the serial-correlation check, after Bhargava–Franzini–Narendranathan (1982): residual changes are measured within each panel unit only, never across the boundary between two units, so group seams cannot fake a correlation. Read it like Durbin-Watson — near 2 means no first-order autocorrelation in the within residuals — but do NOT judge it against the standard Durbin-Watson significance bounds: BFN has its own critical values that depend on the number of units (N) and periods (T). Surfacing those bounds here is a recorded open item. Active only when both a Sequence axis and a Fixed Effects variable are declared; otherwise the cell shows which ingredient is missing.</t>
        </r>
      </text>
    </comment>
    <comment ref="Y14" authorId="0" shapeId="0" xr:uid="{F57B2B56-0E2B-42CB-B5F2-31B48ADFE829}">
      <text>
        <r>
          <rPr>
            <b/>
            <sz val="9"/>
            <color indexed="81"/>
            <rFont val="Tahoma"/>
            <family val="2"/>
          </rPr>
          <t>The number of independent data points available to estimate each part of the model — total rows minus one for each estimated parameter.</t>
        </r>
      </text>
    </comment>
    <comment ref="Z14" authorId="0" shapeId="0" xr:uid="{8ADA3886-38B9-4290-872C-F94C052C30D9}">
      <text>
        <r>
          <rPr>
            <b/>
            <sz val="9"/>
            <color indexed="81"/>
            <rFont val="Tahoma"/>
            <family val="2"/>
          </rPr>
          <t>The total variation attributed to that source — regression, residual, or total. The raw material from which MS and F are calculated.</t>
        </r>
      </text>
    </comment>
    <comment ref="AA14" authorId="0" shapeId="0" xr:uid="{5265DA07-763A-48E2-A716-55635666BC5B}">
      <text>
        <r>
          <rPr>
            <b/>
            <sz val="9"/>
            <color indexed="81"/>
            <rFont val="Tahoma"/>
            <family val="2"/>
          </rPr>
          <t>Sum of squares averaged over its degrees of freedom — a per-unit measure of variation for that source.</t>
        </r>
      </text>
    </comment>
    <comment ref="AB14" authorId="0" shapeId="0" xr:uid="{0BF50423-A6A2-4DA3-91D3-B9657B53FC4F}">
      <text>
        <r>
          <rPr>
            <b/>
            <sz val="9"/>
            <color indexed="81"/>
            <rFont val="Tahoma"/>
            <family val="2"/>
          </rPr>
          <t>The model-vs-noise ratio used in the overall regression significance test.</t>
        </r>
      </text>
    </comment>
    <comment ref="AC14" authorId="0" shapeId="0" xr:uid="{441D9E1C-4B2A-45A2-A33A-5CD2945A7E01}">
      <text>
        <r>
          <rPr>
            <b/>
            <sz val="9"/>
            <color indexed="81"/>
            <rFont val="Tahoma"/>
            <family val="2"/>
          </rPr>
          <t>The p-value for the overall F test. Small values mean the model as a whole is unlikely to be pure noise.</t>
        </r>
      </text>
    </comment>
    <comment ref="X15" authorId="0" shapeId="0" xr:uid="{D23152BA-CA57-4238-98A6-2D4D20F59853}">
      <text>
        <r>
          <rPr>
            <b/>
            <sz val="9"/>
            <color indexed="81"/>
            <rFont val="Tahoma"/>
            <family val="2"/>
          </rPr>
          <t>The variation explained by the predictors taken together.</t>
        </r>
      </text>
    </comment>
    <comment ref="X16" authorId="0" shapeId="0" xr:uid="{E821F6D4-689A-4428-B524-85608F22D7AB}">
      <text>
        <r>
          <rPr>
            <b/>
            <sz val="9"/>
            <color indexed="81"/>
            <rFont val="Tahoma"/>
            <family val="2"/>
          </rPr>
          <t>The variation the model does not explain.</t>
        </r>
      </text>
    </comment>
    <comment ref="X17" authorId="0" shapeId="0" xr:uid="{078546B1-8AA5-4957-B4B2-AAEC1C8A61B7}">
      <text>
        <r>
          <rPr>
            <b/>
            <sz val="9"/>
            <color indexed="81"/>
            <rFont val="Tahoma"/>
            <family val="2"/>
          </rPr>
          <t>All variation in the outcome before splitting it into explained and unexplained parts.</t>
        </r>
      </text>
    </comment>
    <comment ref="Y20" authorId="0" shapeId="0" xr:uid="{1AD234F7-3558-4105-A5AF-C93FBD1796A6}">
      <text>
        <r>
          <rPr>
            <b/>
            <sz val="9"/>
            <color indexed="81"/>
            <rFont val="Tahoma"/>
            <family val="2"/>
          </rPr>
          <t>The fitted weights used to turn predictor values into predictions.</t>
        </r>
      </text>
    </comment>
    <comment ref="Z20" authorId="0" shapeId="0" xr:uid="{9000AB8C-97C3-4D4D-909B-3A634C12CF42}">
      <text>
        <r>
          <rPr>
            <b/>
            <sz val="9"/>
            <color indexed="81"/>
            <rFont val="Tahoma"/>
            <family val="2"/>
          </rPr>
          <t>How uncertain each coefficient estimate is.</t>
        </r>
      </text>
    </comment>
    <comment ref="AA20" authorId="0" shapeId="0" xr:uid="{F69FE781-EB99-4F95-8958-160F6969CE19}">
      <text>
        <r>
          <rPr>
            <b/>
            <sz val="9"/>
            <color indexed="81"/>
            <rFont val="Tahoma"/>
            <family val="2"/>
          </rPr>
          <t>How many standard errors the coefficient is away from zero.</t>
        </r>
      </text>
    </comment>
    <comment ref="AB20" authorId="0" shapeId="0" xr:uid="{453A1A66-40A0-441F-98D4-06A9FCD4E31D}">
      <text>
        <r>
          <rPr>
            <b/>
            <sz val="9"/>
            <color indexed="81"/>
            <rFont val="Tahoma"/>
            <family val="2"/>
          </rPr>
          <t>How surprising this coefficient would be if its true effect were zero. Smaller values mean stronger evidence of a real effect.</t>
        </r>
      </text>
    </comment>
    <comment ref="AC20" authorId="0" shapeId="0" xr:uid="{0A7C14E3-BC58-4B99-9C51-803E1C7EE889}">
      <text>
        <r>
          <rPr>
            <b/>
            <sz val="9"/>
            <color indexed="81"/>
            <rFont val="Tahoma"/>
            <family val="2"/>
          </rPr>
          <t>The lower bound of the 95% confidence interval.</t>
        </r>
      </text>
    </comment>
    <comment ref="AD20" authorId="0" shapeId="0" xr:uid="{D94DFA61-BFB9-4A5D-826C-161225920C44}">
      <text>
        <r>
          <rPr>
            <b/>
            <sz val="9"/>
            <color indexed="81"/>
            <rFont val="Tahoma"/>
            <family val="2"/>
          </rPr>
          <t>The upper bound of the 95% confidence interval.</t>
        </r>
      </text>
    </comment>
    <comment ref="AE20" authorId="0" shapeId="0" xr:uid="{8E35646A-73B3-401F-BB6E-E0FBF2585188}">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0"/>
        </ext>
      </extLst>
    </bk>
    <bk>
      <extLst>
        <ext uri="{3e2802c4-a4d2-4d8b-9148-e3be6c30e623}">
          <xlrd:rvb i="1"/>
        </ext>
      </extLst>
    </bk>
  </futureMetadata>
  <cellMetadata count="1">
    <bk>
      <rc t="1" v="0"/>
    </bk>
  </cellMetadata>
  <valueMetadata count="2">
    <bk>
      <rc t="2" v="0"/>
    </bk>
    <bk>
      <rc t="2" v="1"/>
    </bk>
  </valueMetadata>
</metadata>
</file>

<file path=xl/sharedStrings.xml><?xml version="1.0" encoding="utf-8"?>
<sst xmlns="http://schemas.openxmlformats.org/spreadsheetml/2006/main" count="8263" uniqueCount="1736">
  <si>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</si>
  <si>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</si>
  <si>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</si>
  <si>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</si>
  <si>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</si>
  <si>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</si>
  <si>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</si>
  <si>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</si>
  <si>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</si>
  <si>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</si>
  <si>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</si>
  <si>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</si>
  <si>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=LAMBDA(X_s,
  COLUMNS(X_s))</t>
  </si>
  <si>
    <t>X_s: column range of predictors (single or multi-column)</t>
  </si>
  <si>
    <t>df_regression (k, number of predictors) as a scalar integer</t>
  </si>
  <si>
    <t>How many predictor slots the model is trying to fit.</t>
  </si>
  <si>
    <t>df_regression is the number of degrees of freedom attributable to the regression model — equal to k, the number of predictor columns. The intercept term (if any) is not counted here; it is accounted for implicitly in df_total.
Returns COLUMNS(X_s). Include and Allow_Intercept do not affect this value.</t>
  </si>
  <si>
    <t>=LAMBDA(Y, [Allow_Intercept], [Include],
  LET(
    allow_arg, IF(ISOMITTED(Allow_Intercept), TRUE, Allow_Intercept),
    filt_arg,  IF(ISOMITTED(Include),          TRUE, Include),
    n,         Observations(Y, filt_arg),
    IF(allow_arg, n - 1, n)
  ))</t>
  </si>
  <si>
    <t>Y: single-column outcome range
[Allow_Intercept]: TRUE/FALSE — fit intercept? Default TRUE
[Include]: boolean array — TRUE includes the row, FALSE excludes it</t>
  </si>
  <si>
    <t>df_total (n-1 with intercept, n without) as a scalar integer</t>
  </si>
  <si>
    <t>The total amount of independent information in the outcome column.</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</si>
  <si>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</si>
  <si>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=LAMBDA(X_s, Y, [Allow_Intercept], [Include],
  LET(
    allow_arg, IF(ISOMITTED(Allow_Intercept), TRUE, Allow_Intercept),
    filt_arg,  IF(ISOMITTED(Include),          TRUE, Include),
    INDEX(LINEST(FILTER(Y, filt_arg), FILTER(X_s, filt_arg), allow_arg, TRUE), 3, 1)
  ))</t>
  </si>
  <si>
    <t>X_s: column range of predictors (single or multi-column)
Y: single-column outcome range
[Allow_Intercept]: TRUE/FALSE — fit intercept? Default TRUE
[Include]: boolean array — TRUE includes the row, FALSE excludes it</t>
  </si>
  <si>
    <t>R² (coefficient of determination) as a scalar in [0, 1]</t>
  </si>
  <si>
    <t>How much of the outcome's movement the model explains.</t>
  </si>
  <si>
    <t>df_residual (n-k-1 with intercept, n-k without) as a scalar integer</t>
  </si>
  <si>
    <t>How much data is left to estimate random error after fitting the model.</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</si>
  <si>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</si>
  <si>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</si>
  <si>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</si>
  <si>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</si>
  <si>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</si>
  <si>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</si>
  <si>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=LAMBDA(Y, [Allow_Intercept], [Include],
  LET(
    allow_arg, IF(ISOMITTED(Allow_Intercept), TRUE, Allow_Intercept),
    filt_arg,  IF(ISOMITTED(Include),          TRUE, Include),
    y_filt, FILTER(Y, filt_arg),
    IF(allow_arg, DEVSQ(y_filt), SUMSQ(y_filt))
  ))</t>
  </si>
  <si>
    <t>SS_total (total sum of squares) as a scalar</t>
  </si>
  <si>
    <t>All of the variation in Y before the model explains any of it.</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</si>
  <si>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</si>
  <si>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</si>
  <si>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</si>
  <si>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</si>
  <si>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</si>
  <si>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</si>
  <si>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</si>
  <si>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</si>
  <si>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</si>
  <si>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</si>
  <si>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</si>
  <si>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</si>
  <si>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</si>
  <si>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</si>
  <si>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</si>
  <si>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</si>
  <si>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</si>
  <si>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</si>
  <si>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</si>
  <si>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</si>
  <si>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</si>
  <si>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</si>
  <si>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</si>
  <si>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</si>
  <si>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AIC = n·ln(SSR/n) + 2p, where p = number of regression parameters (predictors + intercept when Allow_Intercept is TRUE). Smaller values indicate better-fitting models; compare across models on the same dataset.</t>
  </si>
  <si>
    <t>BIC</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</si>
  <si>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</si>
  <si>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</si>
  <si>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t>
  </si>
  <si>
    <t>AICc</t>
  </si>
  <si>
    <t>Corrected Akaike Information Criterion (AICc) scalar</t>
  </si>
  <si>
    <t>AIC with an extra small-sample penalty.</t>
  </si>
  <si>
    <t>AICc = AIC + 2p(p+1)/(n−p−1). The small-sample correction reduces upward bias in AIC when n/p &lt; 40. Converges to AIC as n → ∞.</t>
  </si>
  <si>
    <t>Durbin_Watson</t>
  </si>
  <si>
    <t>=LAMBDA(X_s, Y, [Allow_Intercept], [Include],
  LET(
    allow_arg, IF(ISOMITTED(Allow_Intercept), TRUE, Allow_Intercept),
    filt_arg,  IF(ISOMITTED(Include),          TRUE, Include),
    e,         Residuals(X_s, Y, allow_arg, filt_arg),
    SUM((DROP(e, 1) - DROP(e, -1))^2) / SUM(e^2)
  ))</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</si>
  <si>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</si>
  <si>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</si>
  <si>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</si>
  <si>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</si>
  <si>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=LAMBDA(X_s, Y, [Allow_Intercept], [Include],
  LET(
    allow_arg, IF(ISOMITTED(Allow_Intercept), TRUE, Allow_Intercept),
    filt_arg,  IF(ISOMITTED(Include), TRUE, Include),
    sr,        Scaled_Residuals_Ranked(X_s, Y, allow_arg, filt_arg),
    n,         ROWS(sr),
    ns,        NORM.S.INV((SEQUENCE(n) - 0.5) / n),
    CORREL(sr, ns)
  ))</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</si>
  <si>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</si>
  <si>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</si>
  <si>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</si>
  <si>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</si>
  <si>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[Include],
  LET(
    allow_arg, IF(ISOMITTED(Allow_Intercept), TRUE, Allow_Intercept),
    filt_arg,  IF(ISOMITTED(Include),          TRUE, Include),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</si>
  <si>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</si>
  <si>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The fitted intercept and predictor weights used to make predictions.</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</si>
  <si>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</si>
  <si>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</si>
  <si>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[Include],
  LET(
    allow_arg, IF(ISOMITTED(Allow_Intercept), TRUE, Allow_Intercept),
    filt_arg,  IF(ISOMITTED(Include),          TRUE, Include),
    ls,        LINEST(FILTER(Y, filt_arg), FILTER(X_s, filt_arg), allow_arg, TRUE),
    ses,       INDEX(ls, 2),
    k,         COLUMNS(X_s),
    TRANSPOSE(IF(allow_arg,
      HSTACK(INDEX(ses, 1, k + 1), CHOOSECOLS(ses, SEQUENCE(1, k, k, -1))),
      CHOOSECOLS(ses, SEQUENCE(1, k, k, -1))
    ))
  ))</t>
  </si>
  <si>
    <t>vertical array of standard errors of the OLS coefficients — same order as Coefficients</t>
  </si>
  <si>
    <t>How uncertain each fitted coefficient is.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</si>
  <si>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</si>
  <si>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=LAMBDA(X_s, Y, [Allow_Intercept], [Include],
  LET(
    allow_arg, IF(ISOMITTED(Allow_Intercept), TRUE, Allow_Intercept),
    filt_arg,  IF(ISOMITTED(Include),          TRUE, Include),
    Coefficients(X_s, Y, allow_arg, filt_arg) / SE_Coefficients(X_s, Y, allow_arg, filt_arg)
  ))</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</si>
  <si>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</si>
  <si>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</si>
  <si>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t>
  </si>
  <si>
    <t>P_Values</t>
  </si>
  <si>
    <t>vertical array of two-tailed p-values for each coefficient</t>
  </si>
  <si>
    <t>How surprising each coefficient would be if its true effect were zero.</t>
  </si>
  <si>
    <t>X_s: column range of predictors (single or multi-column)
Y: single-column outcome range
[Allow_Intercept]: TRUE/FALSE — fit intercept? Default TRUE
[Include]: boolean array — TRUE includes the row, FALSE excludes it
[Alpha]: significance level (0–1); default 0.05 yields 95% CIs.</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</si>
  <si>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</si>
  <si>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</si>
  <si>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</si>
  <si>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</si>
  <si>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</si>
  <si>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</si>
  <si>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</si>
  <si>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</si>
  <si>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</si>
  <si>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</si>
  <si>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=LAMBDA(X_s, Y, [Allow_Intercept], [Include],
  LET(
    allow_arg,  IF(ISOMITTED(Allow_Intercept), TRUE, Allow_Intercept),
    filt_arg,   IF(ISOMITTED(Include),          TRUE, Include),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</si>
  <si>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</si>
  <si>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Coefficients rescaled so predictors on different units can be compared fairly.</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</si>
  <si>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</si>
  <si>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VIF</t>
  </si>
  <si>
    <t>X_s: column range of predictors (single or multi-column)
[Allow_Intercept]: TRUE/FALSE — included for interface consistency; VIF always fits intercept in auxiliary regressions
[Include]: boolean array — TRUE includes the row, FALSE excludes it</t>
  </si>
  <si>
    <t>k×1 column vector of VIF values, one per predictor (does not include an intercept row)</t>
  </si>
  <si>
    <t>How much overlap with other predictors is inflating each coefficient's instability.</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</si>
  <si>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</si>
  <si>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</si>
  <si>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[Include],
  1 / VIF(X_s, Allow_Intercept, Include)
)</t>
  </si>
  <si>
    <t>X_s: column range of predictors (single or multi-column)
[Allow_Intercept]: TRUE/FALSE — passed through to VIF; included for interface consistency
[Include]: boolean array — TRUE includes the row, FALSE excludes it</t>
  </si>
  <si>
    <t>k×1 column vector of Tolerance values (= 1/VIF), one per predictor</t>
  </si>
  <si>
    <t>How much unique information a predictor still has after overlap with the others.</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</si>
  <si>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</si>
  <si>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</si>
  <si>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[Include]: boolean array — TRUE includes the row, FALSE excludes it
[alpha]: significance level (0–1); default 0.05 yields 95% prediction intervals</t>
  </si>
  <si>
    <t>6-element vertical array: [Point Estimate, SE Prediction, t Critical, Lower bound, Upper bound, Confidence Level]</t>
  </si>
  <si>
    <t>A predicted outcome plus the range a new real-world observation is likely to fall in.</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</si>
  <si>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</si>
  <si>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</si>
  <si>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</si>
  <si>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</si>
  <si>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</si>
  <si>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</si>
  <si>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</si>
  <si>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</si>
  <si>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</si>
  <si>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</si>
  <si>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</si>
  <si>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</si>
  <si>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</si>
  <si>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</si>
  <si>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</si>
  <si>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</si>
  <si>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</si>
  <si>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</si>
  <si>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</si>
  <si>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</si>
  <si>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</si>
  <si>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</si>
  <si>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</si>
  <si>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</si>
  <si>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</si>
  <si>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=LAMBDA(X_s, [Allow_Intercept], [Include],
  LET(
    allow_arg, IF(ISOMITTED(Allow_Intercept), TRUE, Allow_Intercept),
    filt_arg,  IF(ISOMITTED(Include), TRUE, Include),
    x_filt,    FILTER(X_s, filt_arg),
    IF(
      allow_arg,
      HSTACK(SEQUENCE(ROWS(x_filt), , 1, 0), x_filt),
      x_filt
    )
  ))</t>
  </si>
  <si>
    <t>X_s: column range of predictors (single or multi-column)
[Allow_Intercept]: TRUE/FALSE — fit intercept? Default TRUE
[Include]: boolean array — TRUE includes the row, FALSE excludes it</t>
  </si>
  <si>
    <t>filtered numeric design matrix as spilled array</t>
  </si>
  <si>
    <t>The cleaned predictor matrix the regression actually fits.</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</si>
  <si>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</si>
  <si>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</si>
  <si>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</si>
  <si>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</si>
  <si>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</si>
  <si>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</si>
  <si>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</si>
  <si>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=LAMBDA(X_s, Y, [Allow_Intercept], [Include],
  LET(
    allow_arg, IF(ISOMITTED(Allow_Intercept), TRUE, Allow_Intercept),
    filt_arg,  IF(ISOMITTED(Include), TRUE, Include),
    MMULT(
      Design_Matrix(X_s, allow_arg, filt_arg),
      Coefficients(X_s, Y, allow_arg, filt_arg)
    )
  ))</t>
  </si>
  <si>
    <t>fitted Y values as a spilled vector</t>
  </si>
  <si>
    <t>The model's fitted Y values for each row.</t>
  </si>
  <si>
    <t>Computes X_design * beta using MMULT.</t>
  </si>
  <si>
    <t>Residuals</t>
  </si>
  <si>
    <t>=LAMBDA(X_s, Y, [Allow_Intercept], [Include],
  LET(
    allow_arg, IF(ISOMITTED(Allow_Intercept), TRUE, Allow_Intercept),
    filt_arg,  IF(ISOMITTED(Include), TRUE, Include),
    FILTER(Y, filt_arg) - Predictions(X_s, Y, allow_arg, filt_arg)
  ))</t>
  </si>
  <si>
    <t>raw residuals as a spilled vector</t>
  </si>
  <si>
    <t>How far each actual Y value is above or below its fitted value.</t>
  </si>
  <si>
    <t>Residuals are Y - fitted Y.</t>
  </si>
  <si>
    <t>Scaled_Residuals</t>
  </si>
  <si>
    <t>=LAMBDA(X_s, Y, [Allow_Intercept], [Include],
  LET(
    allow_arg, IF(ISOMITTED(Allow_Intercept), TRUE, Allow_Intercept),
    filt_arg,  IF(ISOMITTED(Include), TRUE, Include),
    Residuals(X_s, Y, allow_arg, filt_arg)
      / SE_Regression(X_s, Y, allow_arg, filt_arg)
  ))</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</si>
  <si>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</si>
  <si>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</si>
  <si>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</si>
  <si>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</si>
  <si>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</si>
  <si>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</si>
  <si>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</si>
  <si>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</si>
  <si>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</si>
  <si>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</si>
  <si>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</si>
  <si>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</si>
  <si>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X_s: column range of predictors (single or multi-column)
Y: single-column outcome range
n: relative row index of the observation to predict (1-based within the filtered dataset; negative values count from the end)
[Allow_Intercept]: TRUE/FALSE — fit intercept? Default TRUE
[Include]: boolean array — TRUE includes the row, FALSE excludes it</t>
  </si>
  <si>
    <t>scalar LOO prediction for observation n — the fitted value from a model trained on all rows except n, evaluated at row n of X_s</t>
  </si>
  <si>
    <t>One leave-one-out prediction for the requested row.</t>
  </si>
  <si>
    <t>n-element spill vector of LOO predictions for every filtered observation</t>
  </si>
  <si>
    <t>Each row's prediction from a model refit without that row.</t>
  </si>
  <si>
    <t>=LAMBDA(X_s, [Allow_Intercept], [Include],
  LET(
    allow_arg, IF(ISOMITTED(Allow_Intercept), TRUE, Allow_Intercept),
    filt_arg,  IF(ISOMITTED(Include), TRUE, Include),
    X_design,  Design_Matrix(X_s, allow_arg, filt_arg),
    p,         COLUMNS(X_design),
    XtX_inv,   Gram_Inverse(X_design),
    Z,         MMULT(X_design, XtX_inv),
    MMULT(Z * X_design, SEQUENCE(p, 1, 1, 0))
  ))</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</si>
  <si>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</si>
  <si>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</si>
  <si>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</si>
  <si>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</si>
  <si>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</si>
  <si>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Studentized_Residuals_Ranked</t>
  </si>
  <si>
    <t>=LAMBDA(X_s, Y, [Allow_Intercept], [Include],
  LET(
    allow_arg, IF(ISOMITTED(Allow_Intercept), TRUE, Allow_Intercept),
    filt_arg,  IF(ISOMITTED(Include), TRUE, Include),
    SORT(Studentized_Residuals(X_s, Y, allow_arg, filt_arg))
  ))</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</si>
  <si>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</si>
  <si>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</si>
  <si>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</si>
  <si>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</si>
  <si>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</si>
  <si>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</si>
  <si>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</si>
  <si>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</si>
  <si>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[Include],
  LET(
    allow_arg, IF(ISOMITTED(Allow_Intercept), TRUE, Allow_Intercept),
    filt_arg,  IF(ISOMITTED(Include), TRUE, Include),
    SORT(Scaled_Residuals(X_s, Y, allow_arg, filt_arg))
  ))</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</si>
  <si>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</si>
  <si>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</si>
  <si>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</si>
  <si>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</si>
  <si>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</si>
  <si>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</si>
  <si>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</si>
  <si>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</si>
  <si>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=LAMBDA(X_s, [Y],
  LET(
    combined, IF(ISOMITTED(Y), X_s, HSTACK(X_s, Y)),
    MMULT((ISNUMBER(combined)) * 1, SEQUENCE(COLUMNS(combined), 1, 1, 0)) = COLUMNS(combined)
  )
)</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</si>
  <si>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</si>
  <si>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</si>
  <si>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</si>
  <si>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</si>
  <si>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</si>
  <si>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</si>
  <si>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</si>
  <si>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</si>
  <si>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</si>
  <si>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=LAMBDA(X_s, Y, [Include],
  LET(
    filt_arg, IF(ISOMITTED(Include), TRUE, Include),
    xf, FILTER(X_s, filt_arg),
    yf, FILTER(Y,   filt_arg),
    MAKEARRAY(COLUMNS(X_s), 1, LAMBDA(r, c, CORREL(CHOOSECOLS(xf, r), yf)))
  ))</t>
  </si>
  <si>
    <t>X_s: predictor column range (single or multi-column); returns one correlation per column
Y: single-column outcome range
[Include]: boolean array — TRUE includes the row, FALSE excludes it</t>
  </si>
  <si>
    <t>k×1 column vector of Pearson correlations between each predictor and Y</t>
  </si>
  <si>
    <t>The straight-line relationship between each predictor and the outcome.</t>
  </si>
  <si>
    <t>Pearson_R computes the linear (Pearson product-moment) correlation between each column of X_s and Y after applying the optional Include argument.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</si>
  <si>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</si>
  <si>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</si>
  <si>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</si>
  <si>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</si>
  <si>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</si>
  <si>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</si>
  <si>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</si>
  <si>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=LAMBDA(X_s, [Include],
  LET(
    filt_arg, IF(ISOMITTED(Include), TRUE, Include),
    xf, FILTER(X_s, filt_arg),
    MAKEARRAY(COLUMNS(X_s), 1, LAMBDA(r, c, SKEW(CHOOSECOLS(xf, r))))
  ))</t>
  </si>
  <si>
    <t>X_s: column range to summarize (single or multi-column); returns one value per column
[Include]: boolean array — TRUE includes the row, FALSE excludes it</t>
  </si>
  <si>
    <t>k×1 column vector of sample skewness values (one per column of X_s)</t>
  </si>
  <si>
    <t>Whether a variable has a longer tail on one side than the other.</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</si>
  <si>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</si>
  <si>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</si>
  <si>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[Include],
  LET(
    filt_arg, IF(ISOMITTED(Include), TRUE, Include),
    xf, FILTER(X_s, filt_arg),
    MAKEARRAY(COLUMNS(X_s), 1, LAMBDA(r, c, KURT(CHOOSECOLS(xf, r))))
  ))</t>
  </si>
  <si>
    <t>k×1 column vector of excess kurtosis values (one per column of X_s)</t>
  </si>
  <si>
    <t>Whether a variable has unusually heavy tails or outliers.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</si>
  <si>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</si>
  <si>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</si>
  <si>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</si>
  <si>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</si>
  <si>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</si>
  <si>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</si>
  <si>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=LAMBDA(X_s, [Include],
  LET(
    filt_arg, IF(ISOMITTED(Include), TRUE, Include),
    xf, FILTER(X_s, filt_arg),
    k,  COLUMNS(X_s),
    MAKEARRAY(k, k, LAMBDA(r, c, CORREL(CHOOSECOLS(xf, r), CHOOSECOLS(xf, c))))
  ))</t>
  </si>
  <si>
    <t>X_s: column range of variables (single or multi-column); returns a k×k symmetric matrix
[Include]: boolean array — TRUE includes the row, FALSE excludes it</t>
  </si>
  <si>
    <t>k×k symmetric matrix of pairwise Pearson correlations (diagonal = 1)</t>
  </si>
  <si>
    <t>The pairwise correlations among all predictor columns.</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</si>
  <si>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</si>
  <si>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</si>
  <si>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</si>
  <si>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</si>
  <si>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</si>
  <si>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</si>
  <si>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</si>
  <si>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</si>
  <si>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</si>
  <si>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</si>
  <si>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</si>
  <si>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</si>
  <si>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</si>
  <si>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</si>
  <si>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</si>
  <si>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</si>
  <si>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</si>
  <si>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</si>
  <si>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</si>
  <si>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</si>
  <si>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</si>
  <si>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</si>
  <si>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</si>
  <si>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</si>
  <si>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</si>
  <si>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</si>
  <si>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</si>
  <si>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</si>
  <si>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</si>
  <si>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</si>
  <si>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</si>
  <si>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</si>
  <si>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</si>
  <si>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</si>
  <si>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</si>
  <si>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</si>
  <si>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Grid_Search_Optimum</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</si>
  <si>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</si>
  <si>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</si>
  <si>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</si>
  <si>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</si>
  <si>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</si>
  <si>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</si>
  <si>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</si>
  <si>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</si>
  <si>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</si>
  <si>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</si>
  <si>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</si>
  <si>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</si>
  <si>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</si>
  <si>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</si>
  <si>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</si>
  <si>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</si>
  <si>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</si>
  <si>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</si>
  <si>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</si>
  <si>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</si>
  <si>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</si>
  <si>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</si>
  <si>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</si>
  <si>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</si>
  <si>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</si>
  <si>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</si>
  <si>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</si>
  <si>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</si>
  <si>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</si>
  <si>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</si>
  <si>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</si>
  <si>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</si>
  <si>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</si>
  <si>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</si>
  <si>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</si>
  <si>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</si>
  <si>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</si>
  <si>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</si>
  <si>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</si>
  <si>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</si>
  <si>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</si>
  <si>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</si>
  <si>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</si>
  <si>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</si>
  <si>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</si>
  <si>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</si>
  <si>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</si>
  <si>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</si>
  <si>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</si>
  <si>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</si>
  <si>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</si>
  <si>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</si>
  <si>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</si>
  <si>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</si>
  <si>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</si>
  <si>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</si>
  <si>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</si>
  <si>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</si>
  <si>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</si>
  <si>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</si>
  <si>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</si>
  <si>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</si>
  <si>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</si>
  <si>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</si>
  <si>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</si>
  <si>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</si>
  <si>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</si>
  <si>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</si>
  <si>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</si>
  <si>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</si>
  <si>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</si>
  <si>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</si>
  <si>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</si>
  <si>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</si>
  <si>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</si>
  <si>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</si>
  <si>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</si>
  <si>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</si>
  <si>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</si>
  <si>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</si>
  <si>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</si>
  <si>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</si>
  <si>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</si>
  <si>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</si>
  <si>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</si>
  <si>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</si>
  <si>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</si>
  <si>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</si>
  <si>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</si>
  <si>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</si>
  <si>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</si>
  <si>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</si>
  <si>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</si>
  <si>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</si>
  <si>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</si>
  <si>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</si>
  <si>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</si>
  <si>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</si>
  <si>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</si>
  <si>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</si>
  <si>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</si>
  <si>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</si>
  <si>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</si>
  <si>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</si>
  <si>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</si>
  <si>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</si>
  <si>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</si>
  <si>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</si>
  <si>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</si>
  <si>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</si>
  <si>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</si>
  <si>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</si>
  <si>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</si>
  <si>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</si>
  <si>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</si>
  <si>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</si>
  <si>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</si>
  <si>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</si>
  <si>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</si>
  <si>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</si>
  <si>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</si>
  <si>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</si>
  <si>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</si>
  <si>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</si>
  <si>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</si>
  <si>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</si>
  <si>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</si>
  <si>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</si>
  <si>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</si>
  <si>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</si>
  <si>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</si>
  <si>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</si>
  <si>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</si>
  <si>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</si>
  <si>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</si>
  <si>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</si>
  <si>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</si>
  <si>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</si>
  <si>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</si>
  <si>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</si>
  <si>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</si>
  <si>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</si>
  <si>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</si>
  <si>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</si>
  <si>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</si>
  <si>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</si>
  <si>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</si>
  <si>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</si>
  <si>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</si>
  <si>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</si>
  <si>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</si>
  <si>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</si>
  <si>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</si>
  <si>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</si>
  <si>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</si>
  <si>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</si>
  <si>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</si>
  <si>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</si>
  <si>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</si>
  <si>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</si>
  <si>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</si>
  <si>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</si>
  <si>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</si>
  <si>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</si>
  <si>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</si>
  <si>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</si>
  <si>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</si>
  <si>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</si>
  <si>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</si>
  <si>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</si>
  <si>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</si>
  <si>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</si>
  <si>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</si>
  <si>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</si>
  <si>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</si>
  <si>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</si>
  <si>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</si>
  <si>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</si>
  <si>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</si>
  <si>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</si>
  <si>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</si>
  <si>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</si>
  <si>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</si>
  <si>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</si>
  <si>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</si>
  <si>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</si>
  <si>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</si>
  <si>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</si>
  <si>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</si>
  <si>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</si>
  <si>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</si>
  <si>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</si>
  <si>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</si>
  <si>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</si>
  <si>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</si>
  <si>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</si>
  <si>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</si>
  <si>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</si>
  <si>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</si>
  <si>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</si>
  <si>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</si>
  <si>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</si>
  <si>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</si>
  <si>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</si>
  <si>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</si>
  <si>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</si>
  <si>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</si>
  <si>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</si>
  <si>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</si>
  <si>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</si>
  <si>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</si>
  <si>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</si>
  <si>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</si>
  <si>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</si>
  <si>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</si>
  <si>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</si>
  <si>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</si>
  <si>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</si>
  <si>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</si>
  <si>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</si>
  <si>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</si>
  <si>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</si>
  <si>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</si>
  <si>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</si>
  <si>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</si>
  <si>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</si>
  <si>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</si>
  <si>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</si>
  <si>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</si>
  <si>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</si>
  <si>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</si>
  <si>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</si>
  <si>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</si>
  <si>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</si>
  <si>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</si>
  <si>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</si>
  <si>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</si>
  <si>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</si>
  <si>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</si>
  <si>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</si>
  <si>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</si>
  <si>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</si>
  <si>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</si>
  <si>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</si>
  <si>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</si>
  <si>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</si>
  <si>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</si>
  <si>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</si>
  <si>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</si>
  <si>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</si>
  <si>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</si>
  <si>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</si>
  <si>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</si>
  <si>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</si>
  <si>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</si>
  <si>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</si>
  <si>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</si>
  <si>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</si>
  <si>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</si>
  <si>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</si>
  <si>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</si>
  <si>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</si>
  <si>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</si>
  <si>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</si>
  <si>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</si>
  <si>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</si>
  <si>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</si>
  <si>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</si>
  <si>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</si>
  <si>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</si>
  <si>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</si>
  <si>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</si>
  <si>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</si>
  <si>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</si>
  <si>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</si>
  <si>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</si>
  <si>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</si>
  <si>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</si>
  <si>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</si>
  <si>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</si>
  <si>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</si>
  <si>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How to use the Regression sheet for Multilinear Regression (MLR)</t>
  </si>
  <si>
    <t>Ensure your data is organized as a structured Excel table. Select the range including column headers and press Ctrl+T, or go to Home → Format as Table.</t>
  </si>
  <si>
    <t>Optional — point prediction:</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</si>
  <si>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</si>
  <si>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</si>
  <si>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</si>
  <si>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</si>
  <si>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</si>
  <si>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</si>
  <si>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</si>
  <si>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</si>
  <si>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</si>
  <si>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</si>
  <si>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</si>
  <si>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</si>
  <si>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</si>
  <si>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</si>
  <si>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</si>
  <si>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</si>
  <si>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</si>
  <si>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</si>
  <si>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</si>
  <si>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</si>
  <si>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</si>
  <si>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</si>
  <si>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</si>
  <si>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</si>
  <si>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</si>
  <si>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</si>
  <si>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</si>
  <si>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</si>
  <si>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</si>
  <si>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</si>
  <si>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</si>
  <si>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</si>
  <si>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</si>
  <si>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</si>
  <si>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</si>
  <si>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</si>
  <si>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</si>
  <si>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</si>
  <si>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</si>
  <si>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</si>
  <si>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</si>
  <si>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</si>
  <si>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</si>
  <si>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</si>
  <si>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</si>
  <si>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</si>
  <si>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</si>
  <si>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</si>
  <si>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</si>
  <si>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</si>
  <si>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</si>
  <si>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</si>
  <si>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</si>
  <si>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</si>
  <si>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</si>
  <si>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</si>
  <si>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</si>
  <si>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</si>
  <si>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</si>
  <si>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</si>
  <si>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</si>
  <si>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</si>
  <si>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</si>
  <si>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</si>
  <si>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</si>
  <si>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</si>
  <si>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</si>
  <si>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</si>
  <si>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</si>
  <si>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</si>
  <si>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</si>
  <si>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</si>
  <si>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</si>
  <si>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</si>
  <si>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</si>
  <si>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</si>
  <si>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</si>
  <si>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</si>
  <si>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</si>
  <si>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</si>
  <si>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</si>
  <si>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</si>
  <si>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</si>
  <si>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</si>
  <si>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</si>
  <si>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</si>
  <si>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</si>
  <si>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</si>
  <si>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</si>
  <si>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</si>
  <si>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</si>
  <si>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</si>
  <si>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</si>
  <si>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</si>
  <si>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</si>
  <si>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</si>
  <si>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</si>
  <si>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</si>
  <si>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</si>
  <si>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</si>
  <si>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</si>
  <si>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</si>
  <si>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</si>
  <si>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</si>
  <si>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</si>
  <si>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</si>
  <si>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</si>
  <si>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</si>
  <si>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</si>
  <si>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</si>
  <si>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</si>
  <si>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</si>
  <si>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</si>
  <si>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</si>
  <si>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</si>
  <si>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</si>
  <si>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</si>
  <si>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</si>
  <si>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</si>
  <si>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</si>
  <si>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SE Prediction</t>
  </si>
  <si>
    <t>t Critical</t>
  </si>
  <si>
    <t>Confidence Level</t>
  </si>
  <si>
    <t>PREDICTION INPUTS</t>
  </si>
  <si>
    <t>Predictor</t>
  </si>
  <si>
    <t>Prediction Value</t>
  </si>
  <si>
    <t>Intercept</t>
  </si>
  <si>
    <t>RESIDUAL OUTPUT</t>
  </si>
  <si>
    <t>Hat Diagonal</t>
  </si>
  <si>
    <t>Normal Scores Ranked</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</si>
  <si>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</si>
  <si>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</si>
  <si>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</si>
  <si>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</si>
  <si>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</si>
  <si>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</si>
  <si>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</si>
  <si>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</si>
  <si>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</si>
  <si>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</si>
  <si>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</si>
  <si>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</si>
  <si>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</si>
  <si>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</si>
  <si>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</si>
  <si>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</si>
  <si>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</si>
  <si>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</si>
  <si>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</si>
  <si>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</si>
  <si>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</si>
  <si>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</si>
  <si>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</si>
  <si>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</si>
  <si>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</si>
  <si>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</si>
  <si>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</si>
  <si>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</si>
  <si>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</si>
  <si>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</si>
  <si>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</si>
  <si>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</si>
  <si>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</si>
  <si>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</si>
  <si>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</si>
  <si>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</si>
  <si>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</si>
  <si>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</si>
  <si>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</si>
  <si>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</si>
  <si>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</si>
  <si>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</si>
  <si>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</si>
  <si>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</si>
  <si>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</si>
  <si>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</si>
  <si>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</si>
  <si>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</si>
  <si>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</si>
  <si>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</si>
  <si>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</si>
  <si>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</si>
  <si>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</si>
  <si>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</si>
  <si>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</si>
  <si>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</si>
  <si>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</si>
  <si>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</si>
  <si>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</si>
  <si>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</si>
  <si>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</si>
  <si>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</si>
  <si>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</si>
  <si>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</si>
  <si>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</si>
  <si>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</si>
  <si>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</si>
  <si>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</si>
  <si>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</si>
  <si>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</si>
  <si>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</si>
  <si>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</si>
  <si>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</si>
  <si>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</si>
  <si>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</si>
  <si>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</si>
  <si>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</si>
  <si>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Predicted Variable</t>
  </si>
  <si>
    <t>Regression_Degrees_Of_Freedom</t>
  </si>
  <si>
    <t>Total_Degrees_Of_Freedom</t>
  </si>
  <si>
    <t>R_Squared</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</si>
  <si>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Adjusted_R_Squared are derived.</t>
  </si>
  <si>
    <t>Residual_Degrees_Of_Freedom</t>
  </si>
  <si>
    <t>=LAMBDA(X_s, Y, [Allow_Intercept], [Include],
  LET(
    allow_arg, IF(ISOMITTED(Allow_Intercept), TRUE, Allow_Intercept),
    filt_arg,  IF(ISOMITTED(Include),          TRUE, Include),
    Total_Degrees_Of_Freedom(Y, allow_arg, filt_arg) - Regression_Degrees_Of_Freedom(X_s)
  ))</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</si>
  <si>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Total_Degrees_Of_Freedom(...) - Regression_Degrees_Of_Freedom(...), inheriting the Allow_Intercept correction from Total_Degrees_Of_Freedom.</t>
  </si>
  <si>
    <t>=LAMBDA(X_s, Y, [Allow_Intercept], [Include],
  LET(
    allow_arg, IF(ISOMITTED(Allow_Intercept), TRUE, Allow_Intercept),
    filt_arg,  IF(ISOMITTED(Include),          TRUE, Include),
    SQRT(R_Squared(X_s, Y, allow_arg, filt_arg))
  ))</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</si>
  <si>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</si>
  <si>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</si>
  <si>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=LAMBDA(X_s, Y, [Allow_Intercept], [Include],
  LET(
    allow_arg, IF(ISOMITTED(Allow_Intercept), TRUE, Allow_Intercept),
    filt_arg,  IF(ISOMITTED(Include),          TRUE, Include),
    1 - (1 - R_Squared(X_s, Y, allow_arg, filt_arg))
      * Total_Degrees_Of_Freedom(Y, allow_arg, filt_arg)
      / Residual_Degrees_Of_Freedom(X_s, Y, allow_arg, filt_arg)
  ))</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</si>
  <si>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Allow_Intercept correction from both df functions.</t>
  </si>
  <si>
    <t>=LAMBDA(X_s, Y, [Allow_Intercept], [Include],
  LET(
    allow_arg, IF(ISOMITTED(Allow_Intercept), TRUE, Allow_Intercept),
    filt_arg,  IF(ISOMITTED(Include),          TRUE, Include),
    SS_Total(Y, allow_arg, filt_arg) * (1 - R_Squared(X_s, Y, allow_arg, filt_arg))
  ))</t>
  </si>
  <si>
    <t>SS_residual (also called SS_error) is the variation in Y left unexplained by the regression model — the sum of squared differences between observed and fitted values. It equals SS_total × (1 - R²) and shrinks as the model improves.
Computed as SS_Total(...) * (1 - R_Squared(...)).</t>
  </si>
  <si>
    <t>=LAMBDA(X_s, Y, [Allow_Intercept], [Include],
  LET(
    allow_arg, IF(ISOMITTED(Allow_Intercept), TRUE, Allow_Intercept),
    filt_arg,  IF(ISOMITTED(Include),          TRUE, Include),
    SS_Total(Y, allow_arg, filt_arg) * R_Squared(X_s, Y, allow_arg, filt_arg)
  ))</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</si>
  <si>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</si>
  <si>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=LAMBDA(X_s, Y, [Allow_Intercept], [Include],
  LET(
    allow_arg, IF(ISOMITTED(Allow_Intercept), TRUE, Allow_Intercept),
    filt_arg,  IF(ISOMITTED(Include),          TRUE, Include),
    SS_Regression(X_s, Y, allow_arg, filt_arg) / Regression_Degrees_Of_Freedom(X_s)
  ))</t>
  </si>
  <si>
    <t>=LAMBDA(X_s, Y, [Allow_Intercept], [Include],
  LET(
    allow_arg, IF(ISOMITTED(Allow_Intercept), TRUE, Allow_Intercept),
    filt_arg,  IF(ISOMITTED(Include),          TRUE, Include),
    SS_Residual(X_s, Y, allow_arg, filt_arg) / Residual_Degrees_Of_Freedom(X_s, Y, allow_arg, filt_arg)
  ))</t>
  </si>
  <si>
    <t>=LAMBDA(X_s, Y, [Allow_Intercept], [Include],
  LET(
    allow_arg, IF(ISOMITTED(Allow_Intercept), TRUE, Allow_Intercept),
    filt_arg,  IF(ISOMITTED(Include),          TRUE, Include),
    SQRT(SS_Residual(X_s, Y, allow_arg, filt_arg) / Residual_Degrees_Of_Freedom(X_s, Y, allow_arg, filt_arg))
  ))</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</si>
  <si>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t>
  </si>
  <si>
    <t>=LAMBDA(X_s, Y, [Allow_Intercept], [Include],
  LET(
    allow_arg, IF(ISOMITTED(Allow_Intercept), TRUE, Allow_Intercept),
    filt_arg,  IF(ISOMITTED(Include), TRUE, Include),
    n,   Observations(Y, filt_arg),
    ssr, SS_Residual(X_s, Y, allow_arg, filt_arg),
    p,   Regression_Degrees_Of_Freedom(X_s) + IF(allow_arg, 1, 0),
    n * LN(ssr / n) + 2 * p
  ))</t>
  </si>
  <si>
    <t>=LAMBDA(X_s, Y, [Allow_Intercept], [Include],
  LET(
    allow_arg, IF(ISOMITTED(Allow_Intercept), TRUE, Allow_Intercept),
    filt_arg,  IF(ISOMITTED(Include), TRUE, Include),
    n,   Observations(Y, filt_arg),
    ssr, SS_Residual(X_s, Y, allow_arg, filt_arg),
    p,   Regression_Degrees_Of_Freedom(X_s) + IF(allow_arg, 1, 0),
    n * LN(ssr / n) + p * LN(n)
  ))</t>
  </si>
  <si>
    <t>=LAMBDA(X_s, Y, [Allow_Intercept], [Include],
  LET(
    allow_arg, IF(ISOMITTED(Allow_Intercept), TRUE, Allow_Intercept),
    filt_arg,  IF(ISOMITTED(Include), TRUE, Include),
    n,   Observations(Y, filt_arg),
    ssr, SS_Residual(X_s, Y, allow_arg, filt_arg),
    p,   Regression_Degrees_Of_Freedom(X_s) + IF(allow_arg, 1, 0),
    aic, n * LN(ssr / n) + 2 * p,
    aic + 2 * p * (p + 1) / (n - p - 1)
  ))</t>
  </si>
  <si>
    <t>T_Statistics</t>
  </si>
  <si>
    <t>=LAMBDA(X_s, Y, [Allow_Intercept], [Include],
  LET(
    allow_arg, IF(ISOMITTED(Allow_Intercept), TRUE, Allow_Intercept),
    filt_arg,  IF(ISOMITTED(Include),          TRUE, Include),
    T.DIST.2T(ABS(T_Statistics(X_s, Y, allow_arg, filt_arg)), Residual_Degrees_Of_Freedom(X_s, Y, allow_arg, filt_arg))
  ))</t>
  </si>
  <si>
    <t>Returns a vertical spill array of two-tailed p-values for each OLS coefficient, testing the null hypothesis that the true coefficient equals zero.
Computed as T.DIST.2T(ABS(T_Statistics(...)), Residual_Degrees_Of_Freedom(...)).</t>
  </si>
  <si>
    <t>Confidence_Interval_Lower</t>
  </si>
  <si>
    <t>=LAMBDA(X_s, Y, [Allow_Intercept], [Include], [Alpha],
  LET(
    allow_arg,   IF(ISOMITTED(Allow_Intercept), TRUE, Allow_Intercept),
    filt_arg,    IF(ISOMITTED(Include),          TRUE, Include),
    alpha_arg,   IF(ISOMITTED(Alpha),           0.05, Alpha),
    Coefficients(X_s, Y, allow_arg, filt_arg)
      - T.INV.2T(alpha_arg, Residual_Degrees_Of_Freedom(X_s, Y, allow_arg, filt_arg))
        * SE_Coefficients(X_s, Y, allow_arg, filt_arg)
  ))</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</si>
  <si>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t>
  </si>
  <si>
    <t>Confidence_Interval_Upper</t>
  </si>
  <si>
    <t>=LAMBDA(X_s, Y, [Allow_Intercept], [Include], [Alpha],
  LET(
    allow_arg,   IF(ISOMITTED(Allow_Intercept), TRUE, Allow_Intercept),
    filt_arg,    IF(ISOMITTED(Include),          TRUE, Include),
    alpha_arg,   IF(ISOMITTED(Alpha),           0.05, Alpha),
    Coefficients(X_s, Y, allow_arg, filt_arg)
      + T.INV.2T(alpha_arg, Residual_Degrees_Of_Freedom(X_s, Y, allow_arg, filt_arg))
        * SE_Coefficients(X_s, Y, allow_arg, filt_arg)
  ))</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</si>
  <si>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t>
  </si>
  <si>
    <t>Partial_R_Squared</t>
  </si>
  <si>
    <t>=LAMBDA(X_s, Y, [Allow_Intercept], [Include],
  LET(
    allow_arg, IF(ISOMITTED(Allow_Intercept), TRUE, Allow_Intercept),
    filt_arg,  IF(ISOMITTED(Include),          TRUE, Include),
    t,         T_Statistics(X_s, Y, allow_arg, filt_arg),
    df,        Residual_Degrees_Of_Freedom(X_s, Y, allow_arg, filt_arg),
    t^2 / (t^2 + df)
  ))</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</si>
  <si>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t>
  </si>
  <si>
    <t>=LAMBDA(X_s, Y, [Allow_Intercept], [Include],
  LET(
    allow_arg, IF(ISOMITTED(Allow_Intercept), TRUE, Allow_Intercept),
    filt_arg,  IF(ISOMITTED(Include),          TRUE, Include),
    t,         T_Statistics(X_s, Y, allow_arg, filt_arg),
    df,        Residual_Degrees_Of_Freedom(X_s, Y, allow_arg, filt_arg),
    t / SQRT(t^2 + df)
  ))</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</si>
  <si>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t>
  </si>
  <si>
    <t>=LAMBDA(X_s, [Allow_Intercept], [Include],
  LET(
    filt_arg, IF(ISOMITTED(Include), TRUE, Include),
    k,        COLUMNS(X_s),
    IF(k = 1,
      1,
      LET(
        col_idx, SEQUENCE(1, k),
        R2_vec,  MAKEARRAY(k, 1, LAMBDA(j, _,
          R_Squared(
            CHOOSECOLS(X_s, FILTER(col_idx, col_idx &lt;&gt; j)),
            CHOOSECOLS(X_s, j),
            TRUE,
            filt_arg
          )
        )),
        1 / (1 - R2_vec)
      )
    )
  ))</t>
  </si>
  <si>
    <t>=LAMBDA(X_s, Y, X_new, [Allow_Intercept], [Include], [alpha],
  LET(
    allow_arg,     IF(ISOMITTED(Allow_Intercept), TRUE, Allow_Intercept),
    filt_arg,      IF(ISOMITTED(Include),          TRUE, Include),
    alpha_arg,     IF(ISOMITTED(alpha),           0.05, alpha),
    X_design,      Design_Matrix(X_s, allow_arg, filt_arg),
    beta,          Coefficients(X_s, Y, allow_arg, filt_arg),
    s,             SE_Regression(X_s, Y, allow_arg, filt_arg),
    df,            Residual_Degrees_Of_Freedom(X_s, Y, allow_arg, filt_arg),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</si>
  <si>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</si>
  <si>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</si>
  <si>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</si>
  <si>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</si>
  <si>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</si>
  <si>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</si>
  <si>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</si>
  <si>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=LAMBDA(X_s, Y, n, [Allow_Intercept], [Include],
  LET(
    allow_arg, IF(ISOMITTED(Allow_Intercept), TRUE, Allow_Intercept),
    filt_arg,  IF(ISOMITTED(Include),          TRUE, Include),
    X_filt,    FILTER(X_s, filt_arg),
    Y_filt,    FILTER(Y, filt_arg),
    X_loo,     Exclude_Row_N(X_filt, n),
    Y_loo,     Exclude_Row_N(Y_filt, n),
    x_n,       Design_Matrix(CHOOSEROWS(X_filt, n), allow_arg),
    beta_loo,  Coefficients(X_loo, Y_loo, allow_arg),
    MMULT(x_n, beta_loo)
  )
)</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</si>
  <si>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</si>
  <si>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</si>
  <si>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[Include],
  LET(
    allow_arg, IF(ISOMITTED(Allow_Intercept), TRUE, Allow_Intercept),
    filt_arg,  IF(ISOMITTED(Include),          TRUE, Include),
    yhat,      Predictions(X_s, Y, allow_arg, filt_arg),
    e,         FILTER(Y, filt_arg) - yhat,
    h,         Hat_Diagonal(X_s, allow_arg, filt_arg),
    yhat - h * e / (1 - h)
  )
)</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</si>
  <si>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</si>
  <si>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</si>
  <si>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=LAMBDA(X_s, Y, [Allow_Intercept], [Include],
  LET(
    allow_arg, IF(ISOMITTED(Allow_Intercept), TRUE, Allow_Intercept),
    filt_arg,  IF(ISOMITTED(Include), TRUE, Include),
    r,         Studentized_Residuals(X_s, Y, allow_arg, filt_arg),
    h,         Hat_Diagonal(X_s, allow_arg, filt_arg),
    p,         COLUMNS(Design_Matrix(X_s, allow_arg, filt_arg)),
    r ^ 2 * h / ((1 - h) * p)
  ))</t>
  </si>
  <si>
    <t>Column_Select</t>
  </si>
  <si>
    <t>Wraps CHOOSECOLS to give column selection a named, self-documenting form. The output is a calculated array with the same row count as the source table, valid as X_s in any library function.
Primary use: define a named range — e.g. X_Predictors = Column_Select(LifeData, {3,7,9}) — then pass that name as X_s. Non-contiguous column sets are fully supported. Combine with Complete_Cases_Filter to drop rows that have missing or non-numeric values in the chosen columns.</t>
  </si>
  <si>
    <t>X_s: column range of predictors (single or multi-column), or a Column_Select result
[Y]: single-column outcome range; when supplied, rows where Y is also non-numeric are excluded</t>
  </si>
  <si>
    <t>Produces a ready-made Include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</si>
  <si>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F_Statistic</t>
  </si>
  <si>
    <t>=LAMBDA(X_s, Y, [Allow_Intercept], [Include],
  LET(
    allow_arg, IF(ISOMITTED(Allow_Intercept), TRUE, Allow_Intercept),
    filt_arg,  IF(ISOMITTED(Include),          TRUE, Include),
    SS_Regression(X_s, Y, allow_arg, filt_arg) / Regression_Degrees_Of_Freedom(X_s) /
    (SS_Residual(X_s, Y, allow_arg, filt_arg) / Residual_Degrees_Of_Freedom(X_s, Y, allow_arg, filt_arg))
  ))</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</si>
  <si>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t>
  </si>
  <si>
    <t>F_Statistic_P_Value</t>
  </si>
  <si>
    <t>=LAMBDA(X_s, Y, [Allow_Intercept], [Include],
  LET(
    allow_arg, IF(ISOMITTED(Allow_Intercept), TRUE, Allow_Intercept),
    filt_arg,  IF(ISOMITTED(Include),          TRUE, Include),
    F.DIST.RT(
      F_Statistic(X_s, Y, allow_arg, filt_arg),
      Regression_Degrees_Of_Freedom(X_s),
      Residual_Degrees_Of_Freedom(X_s, Y, allow_arg, filt_arg)
    )
  ))</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</si>
  <si>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</si>
  <si>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</si>
  <si>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</si>
  <si>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</si>
  <si>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</si>
  <si>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</si>
  <si>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</si>
  <si>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</si>
  <si>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</si>
  <si>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</si>
  <si>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</si>
  <si>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=LAMBDA(X_s, Y, [Allow_Intercept], [Include],
  LET(
    allow_arg, IF(ISOMITTED(Allow_Intercept), TRUE, Allow_Intercept),
    filt_arg,  IF(ISOMITTED(Include),          TRUE, Include),
    SUMSQ(LOOCV_Residual(X_s, Y, allow_arg, filt_arg))
  ))</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</si>
  <si>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</si>
  <si>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</si>
  <si>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</si>
  <si>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</si>
  <si>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</si>
  <si>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</si>
  <si>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</si>
  <si>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</si>
  <si>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</si>
  <si>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</si>
  <si>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</si>
  <si>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</si>
  <si>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</si>
  <si>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</si>
  <si>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</si>
  <si>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</si>
  <si>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</si>
  <si>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</si>
  <si>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</si>
  <si>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Role</t>
  </si>
  <si>
    <t>Type</t>
  </si>
  <si>
    <t>Reference Level</t>
  </si>
  <si>
    <t>Order</t>
  </si>
  <si>
    <t>Transform</t>
  </si>
  <si>
    <t>Levels</t>
  </si>
  <si>
    <t>Continuous</t>
  </si>
  <si>
    <t>None</t>
  </si>
  <si>
    <t>Categorical</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</si>
  <si>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</si>
  <si>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</si>
  <si>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Scope</t>
  </si>
  <si>
    <t>Workbook</t>
  </si>
  <si>
    <t>Sample_Include</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</si>
  <si>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</si>
  <si>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</si>
  <si>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</si>
  <si>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</si>
  <si>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The single Role=Response data column, full height; #N/A when no row is declared Response.</t>
  </si>
  <si>
    <t>The y column — whichever variable is marked Response in the spec.</t>
  </si>
  <si>
    <t>Sheet-scoped derived response for the Model Construction sheet. Returns the data column of the first spec row whose Role is Response, via XMATCH over the trimmed role vector. Full-height; consumers wrap it in IFERROR to absorb the no-Response and multiple-Response states, which the audit strip's responses count flags separately.</t>
  </si>
  <si>
    <t>Row_Labels</t>
  </si>
  <si>
    <t>Full-height text column of observation labels: joined Identifier columns, or 'Obs. n' when none are declared.</t>
  </si>
  <si>
    <t>A readable label per row — the Identifier columns joined, or Obs. 1, Obs. 2, … when there are none.</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</si>
  <si>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X_s and Sample_Include.</t>
  </si>
  <si>
    <t>X_s</t>
  </si>
  <si>
    <t>The constructed design matrix in spec order: continuous predictors passed through, categoricals reference-dropped one-hot; full height.</t>
  </si>
  <si>
    <t>The design matrix built from the spec — continuous columns as-is, categorical columns turned into reference-dropped dummies.</t>
  </si>
  <si>
    <t>Constructed_Column_Names</t>
  </si>
  <si>
    <t>Horizontal header row of level-qualified names for X_s(); always the same width as COLUMNS(X_s()).</t>
  </si>
  <si>
    <t>The column headings for the design matrix — like 'Status: Developing' or 'Year: 2001', one per X_s column.</t>
  </si>
  <si>
    <t>Sheet-scoped design-matrix constructor for the Model Construction sheet. A REDUCE assembles columns in spec order for rows where Role=Predictor and Include=TRUE: a Continuous predictor is passed through as its raw column; a Categorical predictor is encoded as --(col = retained_levels), where Dummy_Levels supplies the mask-scoped, reference-dropped level set (bound once; its #N/A on a degenerate or invalid-reference column is the single skip signal, so the variable contributes nothing rather than erroring the sheet). Reads Sample_Include only to fix categorical level sets; the output is always full-height (the row-mask contract). The retained-levels broadcast is inlined, never LET-bound, to avoid an eager empty-array error. The degenerate skip tests ISNA(INDEX(lv,1,1)), a scalar: lv is a 1x(L-1) row, and an array ISNA condition in front of a wider HSTACK branch broadcasts to #N/A, so the guard must be scalarized.</t>
  </si>
  <si>
    <t>Sheet-scoped header strip for the Model Construction sheet: the structural twin of X_s. Same iteration, same Predictor-AND-Include predicate, same Dummy_Levels skip conditions, emitting a name per contributed column — the bare header for a Continuous predictor, 'Header: level' for each retained Categorical level. Twinning guarantees the header width always equals COLUMNS(X_s()); QC asserts the two never diverge. The degenerate skip tests ISNA(INDEX(lv,1,1)), a scalar: lv is a 1x(L-1) row, and an array ISNA condition in front of a wider HSTACK branch broadcasts to #N/A, so the guard must be scalarized.</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</si>
  <si>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</si>
  <si>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=LAMBDA(LET(n_c,COLUMNS(Source_Data),rl,TAKE(Spec_Role,n_c),INDEX(Source_Data,0,XMATCH("Response (y)",rl))))</t>
  </si>
  <si>
    <t>=LAMBDA(LET(n_c,COLUMNS(Source_Data),rl,TAKE(Spec_Role,n_c),ids,IFERROR(TRANSPOSE(FILTER(TRANSPOSE(Source_Data),rl="Identifier (Row Label)")),NA()),IF(SUM(--(rl="Identifier (Row Label)"))=0,"Obs. "&amp;SEQUENCE(ROWS(Source_Data)),BYROW(ids,LAMBDA(r,TEXTJOIN("|",FALSE,r))))))</t>
  </si>
  <si>
    <t>=LAMBDA(LET(n_c,COLUMNS(Source_Data),rl,TAKE(Spec_Role,n_c),inc,TAKE(Spec_Include,n_c),typ,TAKE(Spec_Type,n_c),refs,TAKE(Spec_Reference,n_c),seed,SEQUENCE(ROWS(Source_Data),1,0,0),built,REDUCE(seed,SEQUENCE(n_c),LAMBDA(acc,j,IF(OR(INDEX(rl,j)&lt;&gt;"Predictor (x)",INDEX(inc,j)&lt;&gt;TRUE),acc,LET(col,INDEX(Source_Data,0,j),IF(INDEX(typ,j)&lt;&gt;"Categorical",HSTACK(acc,col),LET(d,INDEX(refs,j),r,IF(LEN(d&amp;"")=0,"",d),lv,Dummy_Levels(col,r,Sample_Include()),IF(ISNA(INDEX(lv,1,1)),acc,HSTACK(acc,--(col=lv))))))))),DROP(built,,1)))</t>
  </si>
  <si>
    <t>=LAMBDA(LET(n_c,COLUMNS(Source_Data),rl,TAKE(Spec_Role,n_c),inc,TAKE(Spec_Include,n_c),typ,TAKE(Spec_Type,n_c),refs,TAKE(Spec_Reference,n_c),hdrs,TOROW(Header_Names),built,REDUCE("",SEQUENCE(n_c),LAMBDA(acc,j,IF(OR(INDEX(rl,j)&lt;&gt;"Predictor (x)",INDEX(inc,j)&lt;&gt;TRUE),acc,LET(h,INDEX(hdrs,1,j),IF(INDEX(typ,j)&lt;&gt;"Categorical",HSTACK(acc,h),LET(col,INDEX(Source_Data,0,j),d,INDEX(refs,j),r,IF(LEN(d&amp;"")=0,"",d),lv,Dummy_Levels(col,r,Sample_Include()),IF(ISNA(INDEX(lv,1,1)),acc,HSTACK(acc,h&amp;": "&amp;lv)))))))),DROP(built,,1)))</t>
  </si>
  <si>
    <t>Predictor (x)</t>
  </si>
  <si>
    <t>Response (y)</t>
  </si>
  <si>
    <t>Reference In Use</t>
  </si>
  <si>
    <t>MODEL SPECIFICATION</t>
  </si>
  <si>
    <t>Observation</t>
  </si>
  <si>
    <t>Training Mean</t>
  </si>
  <si>
    <t>To analyze your own dataset, copy the Regression sheet into your workbook (right-click the tab → Move or Copy). This carries over all workbook-scoped LAMBDA functions as well as the sheet-scoped names the Regression sheet uses.</t>
  </si>
  <si>
    <t>Point the sheet at your data (one edit):</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</si>
  <si>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</si>
  <si>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</si>
  <si>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</si>
  <si>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</si>
  <si>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</si>
  <si>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</si>
  <si>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Enter a value for each design-matrix column in the orange cells under PREDICTION INPUTS (column AC) — one row per constructed column, including one per dummy (use 1 for the scenario's level, 0 for its siblings). The Training Mean column beside the inputs shows each column's mean over the analysis sample, which is also the prefilled default — so the untouched prediction is at the data's center and the SE prediction equals the SE of the regression. Results appear in the PREDICTION OUTPUTS box above; the confidence level is controlled by the Alpha cell (T12) in REGRESSION OUTPUTS.</t>
  </si>
  <si>
    <t>Breaking?</t>
  </si>
  <si>
    <t>1.1.0</t>
  </si>
  <si>
    <t>No</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</si>
  <si>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</si>
  <si>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</si>
  <si>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Yes</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</si>
  <si>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</si>
  <si>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</si>
  <si>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Define your model in the MODEL SPECIFICATION block (columns A–K):</t>
  </si>
  <si>
    <t>Sequence</t>
  </si>
  <si>
    <t>Durbin_Watson_By</t>
  </si>
  <si>
    <t>=LAMBDA(X_s, Y, seq, [Allow_Intercept], [Include],
  LET(
    allow_arg, IF(ISOMITTED(Allow_Intercept), TRUE, Allow_Intercept),
    filt_arg,  IF(ISOMITTED(Include),          TRUE, Include),
    e,         Residuals(X_s, Y, allow_arg, filt_arg),
    ord,       FILTER(seq, filt_arg),
    es,        SORTBY(e, ord, 1),
    SUM((DROP(es, 1) - DROP(es, -1))^2) / SUM(es^2)
  ))</t>
  </si>
  <si>
    <t>X_s: column range of predictors (single or multi-column)
Y: single-column outcome range
seq: single-column ordering axis (the declared Sequence column, e.g. Year) — residuals are sorted by this before differencing, so the result does not depend on physical row order
[Allow_Intercept]: TRUE/FALSE — fit intercept? Default TRUE
[Include]: boolean array — TRUE includes the row, FALSE excludes it</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</si>
  <si>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</si>
  <si>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</si>
  <si>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</si>
  <si>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</si>
  <si>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=LAMBDA(X_s, Y, group, seq, [delta], [Allow_Intercept], [Include],
  LET(
    allow_arg, IF(ISOMITTED(Allow_Intercept), TRUE, Allow_Intercept),
    filt_arg,  IF(ISOMITTED(Include),          TRUE, Include),
    step,      IF(ISOMITTED(delta), Base_Period_Delta(), delta),
    e,         Residuals(X_s, Y, allow_arg, filt_arg),
    g_f,       FILTER(group, filt_arg),
    t_f,       FILTER(seq, filt_arg),
    d,         Difference_By(e, g_f, t_f, step),
    n_terms,   SUMPRODUCT(N(ISNUMBER(d))),
    IF(n_terms = 0, NA(),
      SUMPRODUCT(IFERROR(d, 0)^2) / SUMPRODUCT(e^2))
  ))</t>
  </si>
  <si>
    <t>X_s: column range of predictors (single or multi-column)
Y: single-column outcome range
group: single-column panel-unit identifiers (the Fixed Effects variable, e.g. Country) — residual differences never cross a group boundary
seq: single-column numeric time index (the declared Sequence column, e.g. Year) — the within-group lookup key, not the row order
[delta]: base period Δ: differences pair û(i,t) with û(i,t−delta) by exact time value; when omitted, the spec's Base Period Δ (Base_Period_Delta()) is used — never a silent 1
[Allow_Intercept]: TRUE/FALSE — fit intercept? Default TRUE
[Include]: boolean array — TRUE includes the row, FALSE excludes it</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</si>
  <si>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</si>
  <si>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</si>
  <si>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</si>
  <si>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Base_Period_Delta</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</si>
  <si>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</si>
  <si>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</si>
  <si>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</si>
  <si>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</si>
  <si>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</si>
  <si>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</si>
  <si>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</si>
  <si>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</si>
  <si>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</si>
  <si>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</si>
  <si>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</si>
  <si>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</si>
  <si>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</si>
  <si>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</si>
  <si>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</si>
  <si>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</si>
  <si>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</si>
  <si>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</si>
  <si>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</si>
  <si>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</si>
  <si>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</si>
  <si>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</si>
  <si>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</si>
  <si>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Serial_Correlation_Group</t>
  </si>
  <si>
    <t>=LAMBDA(LET(
    roles, TAKE(Spec_Role, COLUMNS(Source_Data)),
    key, IFS(
        SUMPRODUCT(N(roles = "Fixed Effects")) &gt; 0, "Fixed Effects",
        SUMPRODUCT(N(roles = "Cluster")) &gt; 0, "Cluster",
        TRUE, "none"
    ),
    SWITCH(key,
        "Fixed Effects", Fixed_Effects_Column(),
        "Cluster", "n/a — Cluster grouping RESERVED — v2.6+",
        "none"
    )
))</t>
  </si>
  <si>
    <t>The grouping-key column for serial-correlation diagnostics: the Fixed Effects data column when a Role="Fixed Effects" row is declared; the token "n/a — Cluster grouping RESERVED — v2.6+" when only a Cluster role is declared; the sentinel "none" when no grouping role exists (ordinary DW path).</t>
  </si>
  <si>
    <t>Which column groups the residuals for the serial-correlation checks — the Fixed Effects variable today, with a reserved slot for the future Cluster role.</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</si>
  <si>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v2.6+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v2.6+"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</si>
  <si>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</si>
  <si>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</si>
  <si>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</si>
  <si>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</si>
  <si>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</si>
  <si>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</si>
  <si>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</si>
  <si>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</si>
  <si>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</si>
  <si>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</si>
  <si>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</si>
  <si>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</si>
  <si>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</si>
  <si>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</si>
  <si>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Variable</t>
  </si>
  <si>
    <t>Omit</t>
  </si>
  <si>
    <t>Durbin-Watson</t>
  </si>
  <si>
    <t>BFN Panel Durbin-Watson</t>
  </si>
  <si>
    <t>=LAMBDA(
    LET(
        n_c,      COLUMNS('Regression'!Source_Data),
        position, XMATCH(TRUE, TAKE('Regression'!Spec_Sequence, n_c), 0),
        value,    INDEX(TAKE('Regression'!Spec_Sequence_Period, n_c), position),
        IF(ISNUMBER(value), value, NA())
    )
)</t>
  </si>
  <si>
    <t>The base period Δ in effect — the numeric value of spec cell J (Period In Use) on the Sequence-flagged row of the Regression sheet; #N/A when no Sequence axis is flagged or the cell holds no number.</t>
  </si>
  <si>
    <t>Base_Period_Delta returns the base period Δ currently in effect for the workbook's sequence axis: the value of the Period In Use spec cell (column J) on the row whose Sequence flag (column H) is TRUE on the Regression sheet.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The reference is sheet-qualified ('Regression'!Spec_Sequence / 'Regression'!Spec_Sequence_Period) because a workbook-scoped name cannot resolve sheet-scoped names unqualified; both bands are TAKE-trimmed to COLUMNS(Source_Data) so cells below the live spec rows (including the Sequence Spacing block) are never scanned. In a workbook without a Regression sheet the accessor is inert (#REF!/# N/A), which only matters for omitted-delta calls — an explicit delta argument never evaluates it.</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</si>
  <si>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</si>
  <si>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Specification-Driven Regression release (MAJOR — existing workbook inputs change meaning). The Regression sheet's control block is replaced by a declarative variable-specification block (Role, Include, Type, Reference Level, plus reserved Order/Transform columns); X_s is promoted from a column filter to a model-matrix constructor with sheet-scoped twins (Source_Data, Sample_Include, Response_Column, Row_Labels, X_s, Constructed_Column_Names) that dissolve the v1 hard-wired ranges. Categorical predictors are reference-dropped via the rebuilt Dummy_Levels/Dummy_Code, now NA()-error-signaling with degenerate or invalid-reference cases flagged red rather than erroring. Ships the canonical rename pass and a Model Construction QC analyzer that asserts the default-spec audit values, the X_s/Constructed_Column_Names twin widths, and the full-height row-mask contract.</t>
  </si>
  <si>
    <t>Sequence Period</t>
  </si>
  <si>
    <t>Period In Use</t>
  </si>
  <si>
    <t>Δ</t>
  </si>
  <si>
    <t>Count</t>
  </si>
  <si>
    <t>Verdict</t>
  </si>
  <si>
    <t>Filter</t>
  </si>
  <si>
    <t>=LAMBDA(X_s, Y, [Allow_Intercept], [Include],
  LET(
    allow_arg, IF(ISOMITTED(Allow_Intercept), TRUE, Allow_Intercept),
    filt_arg,  IF(ISOMITTED(Include),          TRUE, Include),
    e,         Residuals(X_s, Y, allow_arg, filt_arg),
    h,         Hat_Diagonal(X_s, allow_arg, filt_arg),
    IFERROR(e / (1 - h), NA())
  )
)</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</si>
  <si>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</si>
  <si>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=LAMBDA(X_s, Y, [Allow_Intercept], [Include],
  LET(
    allow_arg, IF(ISOMITTED(Allow_Intercept), TRUE, Allow_Intercept),
    filt_arg,  IF(ISOMITTED(Include), TRUE, Include),
    e,         Residuals(X_s, Y, allow_arg, filt_arg),
    se,        SE_Regression(X_s, Y, allow_arg, filt_arg),
    h,         Hat_Diagonal(X_s, allow_arg, filt_arg),
    IFERROR(e / (se * SQRT(1 - h)), NA())
  ))</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</si>
  <si>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t>
  </si>
  <si>
    <t>Univariate Analysis</t>
  </si>
  <si>
    <t>Data</t>
  </si>
  <si>
    <t>Descriptive Statistics</t>
  </si>
  <si>
    <t>Value</t>
  </si>
  <si>
    <t>Mean</t>
  </si>
  <si>
    <t>Median</t>
  </si>
  <si>
    <t>Mode</t>
  </si>
  <si>
    <t>Std Dev</t>
  </si>
  <si>
    <t>Variance</t>
  </si>
  <si>
    <t>Min</t>
  </si>
  <si>
    <t>Max</t>
  </si>
  <si>
    <t>Range</t>
  </si>
  <si>
    <t>Missing</t>
  </si>
  <si>
    <t>Histograms</t>
  </si>
  <si>
    <t>Method</t>
  </si>
  <si>
    <t>Sturges</t>
  </si>
  <si>
    <t>Lower Edges</t>
  </si>
  <si>
    <t>Upper Edges</t>
  </si>
  <si>
    <t>Normal</t>
  </si>
  <si>
    <t>Lognormal</t>
  </si>
  <si>
    <t>Exponential</t>
  </si>
  <si>
    <t>Weibull</t>
  </si>
  <si>
    <t>Gamma</t>
  </si>
  <si>
    <t>Triangular</t>
  </si>
  <si>
    <t>Beta</t>
  </si>
  <si>
    <t>BetaPERT</t>
  </si>
  <si>
    <t>Bins:</t>
  </si>
  <si>
    <t>Scott</t>
  </si>
  <si>
    <t>FD</t>
  </si>
  <si>
    <t>Distribution Fitting/Comparison</t>
  </si>
  <si>
    <t>Distribution</t>
  </si>
  <si>
    <t>θ₁</t>
  </si>
  <si>
    <t>θ₂</t>
  </si>
  <si>
    <t>θ₃</t>
  </si>
  <si>
    <t>NLL</t>
  </si>
  <si>
    <t>k</t>
  </si>
  <si>
    <t>A-D</t>
  </si>
  <si>
    <t>K-S</t>
  </si>
  <si>
    <t>μ_ln</t>
  </si>
  <si>
    <t>σ_ln</t>
  </si>
  <si>
    <t>Rate</t>
  </si>
  <si>
    <t>shape</t>
  </si>
  <si>
    <t>scale</t>
  </si>
  <si>
    <t>rate</t>
  </si>
  <si>
    <t>alpha</t>
  </si>
  <si>
    <t>beta</t>
  </si>
  <si>
    <t>Q-Q Plot Data</t>
  </si>
  <si>
    <t>P</t>
  </si>
  <si>
    <t>Sample</t>
  </si>
  <si>
    <t>If your table has more columns than the shipped dataset, fill in Role, Include, and Type for the extra specification rows — the dropdowns are available all the way down. A row with a blank Role is ignored. The Order and Transform columns are placeholders for a future version and are not read by any formula; they are hidden on the sheet. The Sequence column marks at most one variable as the ordering axis for future lag/difference/serial-correlation features — it is independent of Role and Type (a Predictor can also be the sequence axis). Leave it blank for non-panel data; marking two or more rows shows a red error in the status cell above the column. The Sequence Period column (I) is the typed override input: type a number on the flagged row to declare a Δ that differs from the candidate. The Period In Use column (J) is the live companion — it shows the typed override if column I is non-blank, otherwise the computed candidate (the most common gap between consecutive periods within a group). Lag_By and Difference_By fall back to Base_Period_Delta() when their [delta] argument is omitted — never a silent 1.</t>
  </si>
  <si>
    <t>Identifier (Row Label)</t>
  </si>
  <si>
    <t>MPG</t>
  </si>
  <si>
    <t>Cylinders</t>
  </si>
  <si>
    <t>Displacement</t>
  </si>
  <si>
    <t>Horsepower</t>
  </si>
  <si>
    <t>Weight</t>
  </si>
  <si>
    <t>Acceleration</t>
  </si>
  <si>
    <t>Model Year</t>
  </si>
  <si>
    <t>Origin</t>
  </si>
  <si>
    <t>Car Name</t>
  </si>
  <si>
    <t>Make</t>
  </si>
  <si>
    <t>Model?</t>
  </si>
  <si>
    <t>chevrolet chevelle malibu</t>
  </si>
  <si>
    <t>chevrolet</t>
  </si>
  <si>
    <t>chevelle malibu</t>
  </si>
  <si>
    <t>buick skylark 320</t>
  </si>
  <si>
    <t>buick</t>
  </si>
  <si>
    <t>skylark 320</t>
  </si>
  <si>
    <t>plymouth satellite</t>
  </si>
  <si>
    <t>plymouth</t>
  </si>
  <si>
    <t>satellite</t>
  </si>
  <si>
    <t>amc rebel sst</t>
  </si>
  <si>
    <t>amc</t>
  </si>
  <si>
    <t>rebel sst</t>
  </si>
  <si>
    <t>ford torino</t>
  </si>
  <si>
    <t>ford</t>
  </si>
  <si>
    <t>torino</t>
  </si>
  <si>
    <t>ford galaxie 500</t>
  </si>
  <si>
    <t>galaxie 500</t>
  </si>
  <si>
    <t>chevrolet impala</t>
  </si>
  <si>
    <t>impala</t>
  </si>
  <si>
    <t>plymouth fury iii</t>
  </si>
  <si>
    <t>fury iii</t>
  </si>
  <si>
    <t>pontiac catalina</t>
  </si>
  <si>
    <t>pontiac</t>
  </si>
  <si>
    <t>catalina</t>
  </si>
  <si>
    <t>amc ambassador dpl</t>
  </si>
  <si>
    <t>ambassador dpl</t>
  </si>
  <si>
    <t>citroen ds-21 pallas</t>
  </si>
  <si>
    <t>citroen</t>
  </si>
  <si>
    <t>ds-21 pallas</t>
  </si>
  <si>
    <t>chevrolet chevelle concours (sw)</t>
  </si>
  <si>
    <t>chevelle concours (sw)</t>
  </si>
  <si>
    <t>ford torino (sw)</t>
  </si>
  <si>
    <t>torino (sw)</t>
  </si>
  <si>
    <t>plymouth satellite (sw)</t>
  </si>
  <si>
    <t>satellite (sw)</t>
  </si>
  <si>
    <t>amc rebel sst (sw)</t>
  </si>
  <si>
    <t>rebel sst (sw)</t>
  </si>
  <si>
    <t>dodge challenger se</t>
  </si>
  <si>
    <t>dodge</t>
  </si>
  <si>
    <t>challenger se</t>
  </si>
  <si>
    <t>plymouth 'cuda 340</t>
  </si>
  <si>
    <t>ford mustang boss 302</t>
  </si>
  <si>
    <t>mustang boss 302</t>
  </si>
  <si>
    <t>chevrolet monte carlo</t>
  </si>
  <si>
    <t>monte carlo</t>
  </si>
  <si>
    <t>buick estate wagon (sw)</t>
  </si>
  <si>
    <t>estate wagon (sw)</t>
  </si>
  <si>
    <t>toyota corona mark ii</t>
  </si>
  <si>
    <t>toyota</t>
  </si>
  <si>
    <t>corona mark ii</t>
  </si>
  <si>
    <t>plymouth duster</t>
  </si>
  <si>
    <t>duster</t>
  </si>
  <si>
    <t>amc hornet</t>
  </si>
  <si>
    <t>hornet</t>
  </si>
  <si>
    <t>ford maverick</t>
  </si>
  <si>
    <t>maverick</t>
  </si>
  <si>
    <t>datsun pl510</t>
  </si>
  <si>
    <t>datsun</t>
  </si>
  <si>
    <t>pl510</t>
  </si>
  <si>
    <t>volkswagen 1131 deluxe sedan</t>
  </si>
  <si>
    <t>volkswagen</t>
  </si>
  <si>
    <t>1131 deluxe sedan</t>
  </si>
  <si>
    <t>peugeot 504</t>
  </si>
  <si>
    <t>peugeot</t>
  </si>
  <si>
    <t>audi 100 ls</t>
  </si>
  <si>
    <t>audi</t>
  </si>
  <si>
    <t>100 ls</t>
  </si>
  <si>
    <t>saab 99e</t>
  </si>
  <si>
    <t>saab</t>
  </si>
  <si>
    <t>99e</t>
  </si>
  <si>
    <t>bmw 2002</t>
  </si>
  <si>
    <t>bmw</t>
  </si>
  <si>
    <t>amc gremlin</t>
  </si>
  <si>
    <t>gremlin</t>
  </si>
  <si>
    <t>ford f250</t>
  </si>
  <si>
    <t>f250</t>
  </si>
  <si>
    <t>chevy c20</t>
  </si>
  <si>
    <t>chevy</t>
  </si>
  <si>
    <t>c20</t>
  </si>
  <si>
    <t>dodge d200</t>
  </si>
  <si>
    <t>d200</t>
  </si>
  <si>
    <t>hi 1200d</t>
  </si>
  <si>
    <t>hi</t>
  </si>
  <si>
    <t>1200d</t>
  </si>
  <si>
    <t>chevrolet vega 2300</t>
  </si>
  <si>
    <t>vega 2300</t>
  </si>
  <si>
    <t>toyota corona</t>
  </si>
  <si>
    <t>corona</t>
  </si>
  <si>
    <t>ford pinto</t>
  </si>
  <si>
    <t>pinto</t>
  </si>
  <si>
    <t>volkswagen super beetle 117</t>
  </si>
  <si>
    <t>super beetle 117</t>
  </si>
  <si>
    <t>plymouth satellite custom</t>
  </si>
  <si>
    <t>satellite custom</t>
  </si>
  <si>
    <t>ford torino 500</t>
  </si>
  <si>
    <t>torino 500</t>
  </si>
  <si>
    <t>amc matador</t>
  </si>
  <si>
    <t>matador</t>
  </si>
  <si>
    <t>pontiac catalina brougham</t>
  </si>
  <si>
    <t>catalina brougham</t>
  </si>
  <si>
    <t>dodge monaco (sw)</t>
  </si>
  <si>
    <t>monaco (sw)</t>
  </si>
  <si>
    <t>ford country squire (sw)</t>
  </si>
  <si>
    <t>country squire (sw)</t>
  </si>
  <si>
    <t>pontiac safari (sw)</t>
  </si>
  <si>
    <t>safari (sw)</t>
  </si>
  <si>
    <t>amc hornet sportabout (sw)</t>
  </si>
  <si>
    <t>hornet sportabout (sw)</t>
  </si>
  <si>
    <t>chevrolet vega (sw)</t>
  </si>
  <si>
    <t>vega (sw)</t>
  </si>
  <si>
    <t>pontiac firebird</t>
  </si>
  <si>
    <t>firebird</t>
  </si>
  <si>
    <t>ford mustang</t>
  </si>
  <si>
    <t>mustang</t>
  </si>
  <si>
    <t>mercury capri 2000</t>
  </si>
  <si>
    <t>mercury</t>
  </si>
  <si>
    <t>capri 2000</t>
  </si>
  <si>
    <t>opel 1900</t>
  </si>
  <si>
    <t>opel</t>
  </si>
  <si>
    <t>peugeot 304</t>
  </si>
  <si>
    <t>fiat 124b</t>
  </si>
  <si>
    <t>fiat</t>
  </si>
  <si>
    <t>124b</t>
  </si>
  <si>
    <t>toyota corolla 1200</t>
  </si>
  <si>
    <t>corolla 1200</t>
  </si>
  <si>
    <t>datsun 1200</t>
  </si>
  <si>
    <t>volkswagen model 111</t>
  </si>
  <si>
    <t>model 111</t>
  </si>
  <si>
    <t>plymouth cricket</t>
  </si>
  <si>
    <t>cricket</t>
  </si>
  <si>
    <t>toyota corona hardtop</t>
  </si>
  <si>
    <t>corona hardtop</t>
  </si>
  <si>
    <t>dodge colt hardtop</t>
  </si>
  <si>
    <t>colt hardtop</t>
  </si>
  <si>
    <t>volkswagen type 3</t>
  </si>
  <si>
    <t>type 3</t>
  </si>
  <si>
    <t>chevrolet vega</t>
  </si>
  <si>
    <t>vega</t>
  </si>
  <si>
    <t>ford pinto runabout</t>
  </si>
  <si>
    <t>pinto runabout</t>
  </si>
  <si>
    <t>amc ambassador sst</t>
  </si>
  <si>
    <t>ambassador sst</t>
  </si>
  <si>
    <t>mercury marquis</t>
  </si>
  <si>
    <t>marquis</t>
  </si>
  <si>
    <t>buick lesabre custom</t>
  </si>
  <si>
    <t>lesabre custom</t>
  </si>
  <si>
    <t>oldsmobile delta 88 royale</t>
  </si>
  <si>
    <t>oldsmobile</t>
  </si>
  <si>
    <t>delta 88 royale</t>
  </si>
  <si>
    <t>chrysler newport royal</t>
  </si>
  <si>
    <t>chrysler</t>
  </si>
  <si>
    <t>newport royal</t>
  </si>
  <si>
    <t>mazda rx2 coupe</t>
  </si>
  <si>
    <t>mazda</t>
  </si>
  <si>
    <t>rx2 coupe</t>
  </si>
  <si>
    <t>amc matador (sw)</t>
  </si>
  <si>
    <t>matador (sw)</t>
  </si>
  <si>
    <t>ford gran torino (sw)</t>
  </si>
  <si>
    <t>gran torino (sw)</t>
  </si>
  <si>
    <t>plymouth satellite custom (sw)</t>
  </si>
  <si>
    <t>satellite custom (sw)</t>
  </si>
  <si>
    <t>volvo 145e (sw)</t>
  </si>
  <si>
    <t>volvo</t>
  </si>
  <si>
    <t>145e (sw)</t>
  </si>
  <si>
    <t>volkswagen 411 (sw)</t>
  </si>
  <si>
    <t>411 (sw)</t>
  </si>
  <si>
    <t>peugeot 504 (sw)</t>
  </si>
  <si>
    <t>504 (sw)</t>
  </si>
  <si>
    <t>renault 12 (sw)</t>
  </si>
  <si>
    <t>renault</t>
  </si>
  <si>
    <t>12 (sw)</t>
  </si>
  <si>
    <t>ford pinto (sw)</t>
  </si>
  <si>
    <t>pinto (sw)</t>
  </si>
  <si>
    <t>datsun 510 (sw)</t>
  </si>
  <si>
    <t>510 (sw)</t>
  </si>
  <si>
    <t>toyouta corona mark ii (sw)</t>
  </si>
  <si>
    <t>toyouta</t>
  </si>
  <si>
    <t>corona mark ii (sw)</t>
  </si>
  <si>
    <t>dodge colt (sw)</t>
  </si>
  <si>
    <t>colt (sw)</t>
  </si>
  <si>
    <t>toyota corolla 1600 (sw)</t>
  </si>
  <si>
    <t>corolla 1600 (sw)</t>
  </si>
  <si>
    <t>buick century 350</t>
  </si>
  <si>
    <t>century 350</t>
  </si>
  <si>
    <t>chevrolet malibu</t>
  </si>
  <si>
    <t>malibu</t>
  </si>
  <si>
    <t>ford gran torino</t>
  </si>
  <si>
    <t>gran torino</t>
  </si>
  <si>
    <t>dodge coronet custom</t>
  </si>
  <si>
    <t>coronet custom</t>
  </si>
  <si>
    <t>mercury marquis brougham</t>
  </si>
  <si>
    <t>marquis brougham</t>
  </si>
  <si>
    <t>chevrolet caprice classic</t>
  </si>
  <si>
    <t>caprice classic</t>
  </si>
  <si>
    <t>ford ltd</t>
  </si>
  <si>
    <t>ltd</t>
  </si>
  <si>
    <t>plymouth fury gran sedan</t>
  </si>
  <si>
    <t>fury gran sedan</t>
  </si>
  <si>
    <t>chrysler new yorker brougham</t>
  </si>
  <si>
    <t>new yorker brougham</t>
  </si>
  <si>
    <t>buick electra 225 custom</t>
  </si>
  <si>
    <t>electra 225 custom</t>
  </si>
  <si>
    <t>amc ambassador brougham</t>
  </si>
  <si>
    <t>ambassador brougham</t>
  </si>
  <si>
    <t>plymouth valiant</t>
  </si>
  <si>
    <t>valiant</t>
  </si>
  <si>
    <t>chevrolet nova custom</t>
  </si>
  <si>
    <t>nova custom</t>
  </si>
  <si>
    <t>volkswagen super beetle</t>
  </si>
  <si>
    <t>super beetle</t>
  </si>
  <si>
    <t>ford country</t>
  </si>
  <si>
    <t>country</t>
  </si>
  <si>
    <t>plymouth custom suburb</t>
  </si>
  <si>
    <t>custom suburb</t>
  </si>
  <si>
    <t>oldsmobile vista cruiser</t>
  </si>
  <si>
    <t>vista cruiser</t>
  </si>
  <si>
    <t>toyota carina</t>
  </si>
  <si>
    <t>carina</t>
  </si>
  <si>
    <t>datsun 610</t>
  </si>
  <si>
    <t>maxda rx3</t>
  </si>
  <si>
    <t>maxda</t>
  </si>
  <si>
    <t>rx3</t>
  </si>
  <si>
    <t>mercury capri v6</t>
  </si>
  <si>
    <t>capri v6</t>
  </si>
  <si>
    <t>fiat 124 sport coupe</t>
  </si>
  <si>
    <t>124 sport coupe</t>
  </si>
  <si>
    <t>chevrolet monte carlo s</t>
  </si>
  <si>
    <t>monte carlo s</t>
  </si>
  <si>
    <t>pontiac grand prix</t>
  </si>
  <si>
    <t>grand prix</t>
  </si>
  <si>
    <t>fiat 128</t>
  </si>
  <si>
    <t>opel manta</t>
  </si>
  <si>
    <t>manta</t>
  </si>
  <si>
    <t>audi 100ls</t>
  </si>
  <si>
    <t>100ls</t>
  </si>
  <si>
    <t>volvo 144ea</t>
  </si>
  <si>
    <t>144ea</t>
  </si>
  <si>
    <t>dodge dart custom</t>
  </si>
  <si>
    <t>dart custom</t>
  </si>
  <si>
    <t>saab 99le</t>
  </si>
  <si>
    <t>99le</t>
  </si>
  <si>
    <t>toyota mark ii</t>
  </si>
  <si>
    <t>mark ii</t>
  </si>
  <si>
    <t>oldsmobile omega</t>
  </si>
  <si>
    <t>omega</t>
  </si>
  <si>
    <t>chevrolet nova</t>
  </si>
  <si>
    <t>nova</t>
  </si>
  <si>
    <t>datsun b210</t>
  </si>
  <si>
    <t>b210</t>
  </si>
  <si>
    <t>chevrolet chevelle malibu classic</t>
  </si>
  <si>
    <t>chevelle malibu classic</t>
  </si>
  <si>
    <t>plymouth satellite sebring</t>
  </si>
  <si>
    <t>satellite sebring</t>
  </si>
  <si>
    <t>buick century luxus (sw)</t>
  </si>
  <si>
    <t>century luxus (sw)</t>
  </si>
  <si>
    <t>dodge coronet custom (sw)</t>
  </si>
  <si>
    <t>coronet custom (sw)</t>
  </si>
  <si>
    <t>audi fox</t>
  </si>
  <si>
    <t>fox</t>
  </si>
  <si>
    <t>volkswagen dasher</t>
  </si>
  <si>
    <t>dasher</t>
  </si>
  <si>
    <t>datsun 710</t>
  </si>
  <si>
    <t>dodge colt</t>
  </si>
  <si>
    <t>colt</t>
  </si>
  <si>
    <t>fiat 124 tc</t>
  </si>
  <si>
    <t>124 tc</t>
  </si>
  <si>
    <t>honda civic</t>
  </si>
  <si>
    <t>honda</t>
  </si>
  <si>
    <t>civic</t>
  </si>
  <si>
    <t>subaru</t>
  </si>
  <si>
    <t>fiat x1.9</t>
  </si>
  <si>
    <t>x1.9</t>
  </si>
  <si>
    <t>plymouth valiant custom</t>
  </si>
  <si>
    <t>valiant custom</t>
  </si>
  <si>
    <t>mercury monarch</t>
  </si>
  <si>
    <t>monarch</t>
  </si>
  <si>
    <t>chevrolet bel air</t>
  </si>
  <si>
    <t>bel air</t>
  </si>
  <si>
    <t>plymouth grand fury</t>
  </si>
  <si>
    <t>grand fury</t>
  </si>
  <si>
    <t>buick century</t>
  </si>
  <si>
    <t>century</t>
  </si>
  <si>
    <t>chevroelt chevelle malibu</t>
  </si>
  <si>
    <t>chevroelt</t>
  </si>
  <si>
    <t>plymouth fury</t>
  </si>
  <si>
    <t>fury</t>
  </si>
  <si>
    <t>buick skyhawk</t>
  </si>
  <si>
    <t>skyhawk</t>
  </si>
  <si>
    <t>chevrolet monza 2+2</t>
  </si>
  <si>
    <t>monza 2+2</t>
  </si>
  <si>
    <t>ford mustang ii</t>
  </si>
  <si>
    <t>mustang ii</t>
  </si>
  <si>
    <t>toyota corolla</t>
  </si>
  <si>
    <t>corolla</t>
  </si>
  <si>
    <t>pontiac astro</t>
  </si>
  <si>
    <t>astro</t>
  </si>
  <si>
    <t>volkswagen rabbit</t>
  </si>
  <si>
    <t>rabbit</t>
  </si>
  <si>
    <t>amc pacer</t>
  </si>
  <si>
    <t>pacer</t>
  </si>
  <si>
    <t>volvo 244dl</t>
  </si>
  <si>
    <t>244dl</t>
  </si>
  <si>
    <t>honda civic cvcc</t>
  </si>
  <si>
    <t>civic cvcc</t>
  </si>
  <si>
    <t>fiat 131</t>
  </si>
  <si>
    <t>capri ii</t>
  </si>
  <si>
    <t>capri</t>
  </si>
  <si>
    <t>ii</t>
  </si>
  <si>
    <t>renault 12tl</t>
  </si>
  <si>
    <t>12tl</t>
  </si>
  <si>
    <t>dodge coronet brougham</t>
  </si>
  <si>
    <t>coronet brougham</t>
  </si>
  <si>
    <t>chevrolet chevette</t>
  </si>
  <si>
    <t>chevette</t>
  </si>
  <si>
    <t>chevrolet woody</t>
  </si>
  <si>
    <t>woody</t>
  </si>
  <si>
    <t>vw rabbit</t>
  </si>
  <si>
    <t>vw</t>
  </si>
  <si>
    <t>dodge aspen se</t>
  </si>
  <si>
    <t>aspen se</t>
  </si>
  <si>
    <t>ford granada ghia</t>
  </si>
  <si>
    <t>granada ghia</t>
  </si>
  <si>
    <t>pontiac ventura sj</t>
  </si>
  <si>
    <t>ventura sj</t>
  </si>
  <si>
    <t>amc pacer d/l</t>
  </si>
  <si>
    <t>pacer d/l</t>
  </si>
  <si>
    <t>datsun b-210</t>
  </si>
  <si>
    <t>b-210</t>
  </si>
  <si>
    <t>volvo 245</t>
  </si>
  <si>
    <t>plymouth volare premier v8</t>
  </si>
  <si>
    <t>volare premier v8</t>
  </si>
  <si>
    <t>mercedes-benz 280s</t>
  </si>
  <si>
    <t>mercedes-benz</t>
  </si>
  <si>
    <t>280s</t>
  </si>
  <si>
    <t>cadillac seville</t>
  </si>
  <si>
    <t>cadillac</t>
  </si>
  <si>
    <t>seville</t>
  </si>
  <si>
    <t>chevy c10</t>
  </si>
  <si>
    <t>c10</t>
  </si>
  <si>
    <t>ford f108</t>
  </si>
  <si>
    <t>f108</t>
  </si>
  <si>
    <t>dodge d100</t>
  </si>
  <si>
    <t>d100</t>
  </si>
  <si>
    <t>honda accord cvcc</t>
  </si>
  <si>
    <t>accord cvcc</t>
  </si>
  <si>
    <t>buick opel isuzu deluxe</t>
  </si>
  <si>
    <t>opel isuzu deluxe</t>
  </si>
  <si>
    <t>renault 5 gtl</t>
  </si>
  <si>
    <t>5 gtl</t>
  </si>
  <si>
    <t>plymouth arrow gs</t>
  </si>
  <si>
    <t>arrow gs</t>
  </si>
  <si>
    <t>datsun f-10 hatchback</t>
  </si>
  <si>
    <t>f-10 hatchback</t>
  </si>
  <si>
    <t>oldsmobile cutlass supreme</t>
  </si>
  <si>
    <t>cutlass supreme</t>
  </si>
  <si>
    <t>dodge monaco brougham</t>
  </si>
  <si>
    <t>monaco brougham</t>
  </si>
  <si>
    <t>mercury cougar brougham</t>
  </si>
  <si>
    <t>cougar brougham</t>
  </si>
  <si>
    <t>chevrolet concours</t>
  </si>
  <si>
    <t>concours</t>
  </si>
  <si>
    <t>buick skylark</t>
  </si>
  <si>
    <t>skylark</t>
  </si>
  <si>
    <t>plymouth volare custom</t>
  </si>
  <si>
    <t>volare custom</t>
  </si>
  <si>
    <t>ford granada</t>
  </si>
  <si>
    <t>granada</t>
  </si>
  <si>
    <t>pontiac grand prix lj</t>
  </si>
  <si>
    <t>grand prix lj</t>
  </si>
  <si>
    <t>chevrolet monte carlo landau</t>
  </si>
  <si>
    <t>monte carlo landau</t>
  </si>
  <si>
    <t>chrysler cordoba</t>
  </si>
  <si>
    <t>cordoba</t>
  </si>
  <si>
    <t>ford thunderbird</t>
  </si>
  <si>
    <t>thunderbird</t>
  </si>
  <si>
    <t>volkswagen rabbit custom</t>
  </si>
  <si>
    <t>rabbit custom</t>
  </si>
  <si>
    <t>pontiac sunbird coupe</t>
  </si>
  <si>
    <t>sunbird coupe</t>
  </si>
  <si>
    <t>toyota corolla liftback</t>
  </si>
  <si>
    <t>corolla liftback</t>
  </si>
  <si>
    <t>ford mustang ii 2+2</t>
  </si>
  <si>
    <t>mustang ii 2+2</t>
  </si>
  <si>
    <t>dodge colt m/m</t>
  </si>
  <si>
    <t>colt m/m</t>
  </si>
  <si>
    <t>subaru dl</t>
  </si>
  <si>
    <t>dl</t>
  </si>
  <si>
    <t>datsun 810</t>
  </si>
  <si>
    <t>bmw 320i</t>
  </si>
  <si>
    <t>320i</t>
  </si>
  <si>
    <t>mazda rx-4</t>
  </si>
  <si>
    <t>rx-4</t>
  </si>
  <si>
    <t>volkswagen rabbit custom diesel</t>
  </si>
  <si>
    <t>rabbit custom diesel</t>
  </si>
  <si>
    <t>ford fiesta</t>
  </si>
  <si>
    <t>fiesta</t>
  </si>
  <si>
    <t>mazda glc deluxe</t>
  </si>
  <si>
    <t>glc deluxe</t>
  </si>
  <si>
    <t>datsun b210 gx</t>
  </si>
  <si>
    <t>b210 gx</t>
  </si>
  <si>
    <t>oldsmobile cutlass salon brougham</t>
  </si>
  <si>
    <t>cutlass salon brougham</t>
  </si>
  <si>
    <t>dodge diplomat</t>
  </si>
  <si>
    <t>diplomat</t>
  </si>
  <si>
    <t>mercury monarch ghia</t>
  </si>
  <si>
    <t>monarch ghia</t>
  </si>
  <si>
    <t>pontiac phoenix lj</t>
  </si>
  <si>
    <t>phoenix lj</t>
  </si>
  <si>
    <t>ford fairmont (auto)</t>
  </si>
  <si>
    <t>fairmont (auto)</t>
  </si>
  <si>
    <t>ford fairmont (man)</t>
  </si>
  <si>
    <t>fairmont (man)</t>
  </si>
  <si>
    <t>plymouth volare</t>
  </si>
  <si>
    <t>volare</t>
  </si>
  <si>
    <t>amc concord</t>
  </si>
  <si>
    <t>concord</t>
  </si>
  <si>
    <t>buick century special</t>
  </si>
  <si>
    <t>century special</t>
  </si>
  <si>
    <t>mercury zephyr</t>
  </si>
  <si>
    <t>zephyr</t>
  </si>
  <si>
    <t>dodge aspen</t>
  </si>
  <si>
    <t>aspen</t>
  </si>
  <si>
    <t>amc concord d/l</t>
  </si>
  <si>
    <t>concord d/l</t>
  </si>
  <si>
    <t>buick regal sport coupe (turbo)</t>
  </si>
  <si>
    <t>regal sport coupe (turbo)</t>
  </si>
  <si>
    <t>ford futura</t>
  </si>
  <si>
    <t>futura</t>
  </si>
  <si>
    <t>dodge magnum xe</t>
  </si>
  <si>
    <t>magnum xe</t>
  </si>
  <si>
    <t>datsun 510</t>
  </si>
  <si>
    <t>dodge omni</t>
  </si>
  <si>
    <t>omni</t>
  </si>
  <si>
    <t>toyota celica gt liftback</t>
  </si>
  <si>
    <t>celica gt liftback</t>
  </si>
  <si>
    <t>plymouth sapporo</t>
  </si>
  <si>
    <t>sapporo</t>
  </si>
  <si>
    <t>oldsmobile starfire sx</t>
  </si>
  <si>
    <t>starfire sx</t>
  </si>
  <si>
    <t>datsun 200-sx</t>
  </si>
  <si>
    <t>200-sx</t>
  </si>
  <si>
    <t>audi 5000</t>
  </si>
  <si>
    <t>volvo 264gl</t>
  </si>
  <si>
    <t>264gl</t>
  </si>
  <si>
    <t>saab 99gle</t>
  </si>
  <si>
    <t>99gle</t>
  </si>
  <si>
    <t>peugeot 604sl</t>
  </si>
  <si>
    <t>604sl</t>
  </si>
  <si>
    <t>volkswagen scirocco</t>
  </si>
  <si>
    <t>scirocco</t>
  </si>
  <si>
    <t>honda accord lx</t>
  </si>
  <si>
    <t>accord lx</t>
  </si>
  <si>
    <t>pontiac lemans v6</t>
  </si>
  <si>
    <t>lemans v6</t>
  </si>
  <si>
    <t>mercury zephyr 6</t>
  </si>
  <si>
    <t>zephyr 6</t>
  </si>
  <si>
    <t>ford fairmont 4</t>
  </si>
  <si>
    <t>fairmont 4</t>
  </si>
  <si>
    <t>amc concord dl 6</t>
  </si>
  <si>
    <t>concord dl 6</t>
  </si>
  <si>
    <t>dodge aspen 6</t>
  </si>
  <si>
    <t>aspen 6</t>
  </si>
  <si>
    <t>ford ltd landau</t>
  </si>
  <si>
    <t>ltd landau</t>
  </si>
  <si>
    <t>mercury grand marquis</t>
  </si>
  <si>
    <t>grand marquis</t>
  </si>
  <si>
    <t>dodge st. regis</t>
  </si>
  <si>
    <t>st. regis</t>
  </si>
  <si>
    <t>chevrolet malibu classic (sw)</t>
  </si>
  <si>
    <t>malibu classic (sw)</t>
  </si>
  <si>
    <t>chrysler lebaron town @ country (sw)</t>
  </si>
  <si>
    <t>lebaron town @ country (sw)</t>
  </si>
  <si>
    <t>vw rabbit custom</t>
  </si>
  <si>
    <t>maxda glc deluxe</t>
  </si>
  <si>
    <t>dodge colt hatchback custom</t>
  </si>
  <si>
    <t>colt hatchback custom</t>
  </si>
  <si>
    <t>amc spirit dl</t>
  </si>
  <si>
    <t>spirit dl</t>
  </si>
  <si>
    <t>mercedes benz 300d</t>
  </si>
  <si>
    <t>mercedes</t>
  </si>
  <si>
    <t>benz 300d</t>
  </si>
  <si>
    <t>cadillac eldorado</t>
  </si>
  <si>
    <t>eldorado</t>
  </si>
  <si>
    <t>plymouth horizon</t>
  </si>
  <si>
    <t>horizon</t>
  </si>
  <si>
    <t>plymouth horizon tc3</t>
  </si>
  <si>
    <t>horizon tc3</t>
  </si>
  <si>
    <t>datsun 210</t>
  </si>
  <si>
    <t>fiat strada custom</t>
  </si>
  <si>
    <t>strada custom</t>
  </si>
  <si>
    <t>buick skylark limited</t>
  </si>
  <si>
    <t>skylark limited</t>
  </si>
  <si>
    <t>chevrolet citation</t>
  </si>
  <si>
    <t>citation</t>
  </si>
  <si>
    <t>oldsmobile omega brougham</t>
  </si>
  <si>
    <t>omega brougham</t>
  </si>
  <si>
    <t>pontiac phoenix</t>
  </si>
  <si>
    <t>phoenix</t>
  </si>
  <si>
    <t>toyota corolla tercel</t>
  </si>
  <si>
    <t>corolla tercel</t>
  </si>
  <si>
    <t>datsun 310</t>
  </si>
  <si>
    <t>ford fairmont</t>
  </si>
  <si>
    <t>fairmont</t>
  </si>
  <si>
    <t>audi 4000</t>
  </si>
  <si>
    <t>toyota corona liftback</t>
  </si>
  <si>
    <t>corona liftback</t>
  </si>
  <si>
    <t>mazda 626</t>
  </si>
  <si>
    <t>datsun 510 hatchback</t>
  </si>
  <si>
    <t>510 hatchback</t>
  </si>
  <si>
    <t>mazda glc</t>
  </si>
  <si>
    <t>glc</t>
  </si>
  <si>
    <t>vw rabbit c (diesel)</t>
  </si>
  <si>
    <t>rabbit c (diesel)</t>
  </si>
  <si>
    <t>vw dasher (diesel)</t>
  </si>
  <si>
    <t>dasher (diesel)</t>
  </si>
  <si>
    <t>audi 5000s (diesel)</t>
  </si>
  <si>
    <t>5000s (diesel)</t>
  </si>
  <si>
    <t>mercedes-benz 240d</t>
  </si>
  <si>
    <t>240d</t>
  </si>
  <si>
    <t>honda civic 1500 gl</t>
  </si>
  <si>
    <t>civic 1500 gl</t>
  </si>
  <si>
    <t>renault lecar deluxe</t>
  </si>
  <si>
    <t>lecar deluxe</t>
  </si>
  <si>
    <t>vokswagen rabbit</t>
  </si>
  <si>
    <t>vokswagen</t>
  </si>
  <si>
    <t>datsun 280-zx</t>
  </si>
  <si>
    <t>280-zx</t>
  </si>
  <si>
    <t>mazda rx-7 gs</t>
  </si>
  <si>
    <t>rx-7 gs</t>
  </si>
  <si>
    <t>triumph tr7 coupe</t>
  </si>
  <si>
    <t>triumph</t>
  </si>
  <si>
    <t>tr7 coupe</t>
  </si>
  <si>
    <t>ford mustang cobra</t>
  </si>
  <si>
    <t>mustang cobra</t>
  </si>
  <si>
    <t>honda accord</t>
  </si>
  <si>
    <t>accord</t>
  </si>
  <si>
    <t>plymouth reliant</t>
  </si>
  <si>
    <t>reliant</t>
  </si>
  <si>
    <t>dodge aries wagon (sw)</t>
  </si>
  <si>
    <t>aries wagon (sw)</t>
  </si>
  <si>
    <t>toyota starlet</t>
  </si>
  <si>
    <t>starlet</t>
  </si>
  <si>
    <t>plymouth champ</t>
  </si>
  <si>
    <t>champ</t>
  </si>
  <si>
    <t>honda civic 1300</t>
  </si>
  <si>
    <t>civic 1300</t>
  </si>
  <si>
    <t>datsun 210 mpg</t>
  </si>
  <si>
    <t>210 mpg</t>
  </si>
  <si>
    <t>toyota tercel</t>
  </si>
  <si>
    <t>tercel</t>
  </si>
  <si>
    <t>mazda glc 4</t>
  </si>
  <si>
    <t>glc 4</t>
  </si>
  <si>
    <t>plymouth horizon 4</t>
  </si>
  <si>
    <t>horizon 4</t>
  </si>
  <si>
    <t>ford escort 4w</t>
  </si>
  <si>
    <t>escort 4w</t>
  </si>
  <si>
    <t>ford escort 2h</t>
  </si>
  <si>
    <t>escort 2h</t>
  </si>
  <si>
    <t>volkswagen jetta</t>
  </si>
  <si>
    <t>jetta</t>
  </si>
  <si>
    <t>renault 18i</t>
  </si>
  <si>
    <t>18i</t>
  </si>
  <si>
    <t>honda prelude</t>
  </si>
  <si>
    <t>prelude</t>
  </si>
  <si>
    <t>datsun 200sx</t>
  </si>
  <si>
    <t>200sx</t>
  </si>
  <si>
    <t>peugeot 505s turbo diesel</t>
  </si>
  <si>
    <t>505s turbo diesel</t>
  </si>
  <si>
    <t>saab 900s</t>
  </si>
  <si>
    <t>900s</t>
  </si>
  <si>
    <t>volvo diesel</t>
  </si>
  <si>
    <t>diesel</t>
  </si>
  <si>
    <t>toyota cressida</t>
  </si>
  <si>
    <t>cressida</t>
  </si>
  <si>
    <t>datsun 810 maxima</t>
  </si>
  <si>
    <t>810 maxima</t>
  </si>
  <si>
    <t>oldsmobile cutlass ls</t>
  </si>
  <si>
    <t>cutlass ls</t>
  </si>
  <si>
    <t>ford granada gl</t>
  </si>
  <si>
    <t>granada gl</t>
  </si>
  <si>
    <t>chrysler lebaron salon</t>
  </si>
  <si>
    <t>lebaron salon</t>
  </si>
  <si>
    <t>chevrolet cavalier</t>
  </si>
  <si>
    <t>cavalier</t>
  </si>
  <si>
    <t>chevrolet cavalier wagon</t>
  </si>
  <si>
    <t>cavalier wagon</t>
  </si>
  <si>
    <t>chevrolet cavalier 2-door</t>
  </si>
  <si>
    <t>cavalier 2-door</t>
  </si>
  <si>
    <t>pontiac j2000 se hatchback</t>
  </si>
  <si>
    <t>j2000 se hatchback</t>
  </si>
  <si>
    <t>dodge aries se</t>
  </si>
  <si>
    <t>aries se</t>
  </si>
  <si>
    <t>ford fairmont futura</t>
  </si>
  <si>
    <t>fairmont futura</t>
  </si>
  <si>
    <t>amc concord dl</t>
  </si>
  <si>
    <t>concord dl</t>
  </si>
  <si>
    <t>volkswagen rabbit l</t>
  </si>
  <si>
    <t>rabbit l</t>
  </si>
  <si>
    <t>mazda glc custom l</t>
  </si>
  <si>
    <t>glc custom l</t>
  </si>
  <si>
    <t>mazda glc custom</t>
  </si>
  <si>
    <t>glc custom</t>
  </si>
  <si>
    <t>plymouth horizon miser</t>
  </si>
  <si>
    <t>horizon miser</t>
  </si>
  <si>
    <t>mercury lynx l</t>
  </si>
  <si>
    <t>lynx l</t>
  </si>
  <si>
    <t>nissan stanza xe</t>
  </si>
  <si>
    <t>nissan</t>
  </si>
  <si>
    <t>stanza xe</t>
  </si>
  <si>
    <t>honda civic (auto)</t>
  </si>
  <si>
    <t>civic (auto)</t>
  </si>
  <si>
    <t>datsun 310 gx</t>
  </si>
  <si>
    <t>310 gx</t>
  </si>
  <si>
    <t>buick century limited</t>
  </si>
  <si>
    <t>century limited</t>
  </si>
  <si>
    <t>oldsmobile cutlass ciera (diesel)</t>
  </si>
  <si>
    <t>cutlass ciera (diesel)</t>
  </si>
  <si>
    <t>chrysler lebaron medallion</t>
  </si>
  <si>
    <t>lebaron medallion</t>
  </si>
  <si>
    <t>ford granada l</t>
  </si>
  <si>
    <t>granada l</t>
  </si>
  <si>
    <t>toyota celica gt</t>
  </si>
  <si>
    <t>celica gt</t>
  </si>
  <si>
    <t>dodge charger 2.2</t>
  </si>
  <si>
    <t>charger 2.2</t>
  </si>
  <si>
    <t>chevrolet camaro</t>
  </si>
  <si>
    <t>camaro</t>
  </si>
  <si>
    <t>ford mustang gl</t>
  </si>
  <si>
    <t>mustang gl</t>
  </si>
  <si>
    <t>vw pickup</t>
  </si>
  <si>
    <t>pickup</t>
  </si>
  <si>
    <t>dodge rampage</t>
  </si>
  <si>
    <t>rampage</t>
  </si>
  <si>
    <t>ford ranger</t>
  </si>
  <si>
    <t>ranger</t>
  </si>
  <si>
    <t>chevy s-10</t>
  </si>
  <si>
    <t>s-10</t>
  </si>
  <si>
    <t>GVIF</t>
  </si>
  <si>
    <t>=LAMBDA(X_s, Column_Names, [Allow_Intercept], [Include],
  LET(
    filt_arg, IF(ISOMITTED(Include), TRUE, Include),
    k,        COLUMNS(X_s),
    grp,      IFERROR(LEFT(Column_Names, FIND(": ", Column_Names) - 1), Column_Names),
    IF(COUNTA(UNIQUE(grp, TRUE)) &lt;= 1,
      MAKEARRAY(k, 1, LAMBDA(j, _, 1)),
      LET(
        R,    Correlation_Matrix(X_s, filt_arg),
        detR, MDETERM(R),
        MAKEARRAY(k, 1, LAMBDA(j, _,
          LET(
            g,   INDEX(grp, 1, j),
            own, grp = g,
            R11, FILTER(FILTER(R, TRANSPOSE(own)), own),
            R22, FILTER(FILTER(R, TRANSPOSE(NOT(own))), NOT(own)),
            MDETERM(R11) * MDETERM(R22) / detR
          )
        ))
      )
    )
  ))</t>
  </si>
  <si>
    <t>X_s: column range of predictors (single or multi-column); a categorical predictor contributes a contiguous block of dummy columns
Column_Names: 1×k row vector of column labels aligned with X_s, following the "Header: level" convention (e.g. Constructed_Column_Names()); columns sharing the text before the first ": " are treated as one variable's group
[Allow_Intercept]: TRUE/FALSE — included for interface consistency; the correlation-matrix formula is intercept-invariant
[Include]: boolean array — TRUE includes the row, FALSE excludes it</t>
  </si>
  <si>
    <t>k×1 column vector of GVIF values, one per column of X_s — every dummy column sharing a source variable's group carries the same value</t>
  </si>
  <si>
    <t>How much overlap with the other predictors is inflating a variable's instability — one shared number per variable, even when it spans several dummy columns.</t>
  </si>
  <si>
    <t>Generalized Variance Inflation Factor (Fox &amp; Monette, 1992): GVIF_g = det(R11) * det(R22) / det(R), where R is the k×k correlation matrix of X_s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X_s (det(R) = 0) produces #DIV/0! for every column, not only the collinear ones — the same all-or-nothing failure mode VIF's own 1/(1−R²ⱼ) already has at R²ⱼ = 1, surfaced once instead of per column.</t>
  </si>
  <si>
    <t>Generalized_Tolerance</t>
  </si>
  <si>
    <t>=LAMBDA(X_s, Column_Names, [Allow_Intercept], [Include],
  1 / GVIF(X_s, Column_Names, Allow_Intercept, Include)
)</t>
  </si>
  <si>
    <t>X_s: column range of predictors (single or multi-column); a categorical predictor contributes a contiguous block of dummy columns
Column_Names: 1×k row vector of column labels aligned with X_s, following the "Header: level" convention (e.g. Constructed_Column_Names())
[Allow_Intercept]: TRUE/FALSE — passed through to GVIF; included for interface consistency
[Include]: boolean array — TRUE includes the row, FALSE excludes it</t>
  </si>
  <si>
    <t>k×1 column vector of Generalized Tolerance values (= 1/GVIF), one per column of X_s</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</si>
  <si>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</si>
  <si>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</si>
  <si>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cuda 340</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</si>
  <si>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 Source_Table points at MileageData by default; a second sample table, LifeExpectancyData (on the Life Expectancy Data sheet), ships with the workbook if you want to practice this retarget before pointing at your own data.</t>
  </si>
  <si>
    <t>GVIF (Generalized Variance Inflation Factor)</t>
  </si>
  <si>
    <t>Col U, Predictor Summary</t>
  </si>
  <si>
    <t>GVIF &gt; 5  (possible collinearity)</t>
  </si>
  <si>
    <t>GVIF &gt; 10  (strong collinearity)</t>
  </si>
  <si>
    <t>Col V, Predictor Summary</t>
  </si>
  <si>
    <t>Multicollinearity
(high GVIF)</t>
  </si>
  <si>
    <t>GVIF &gt; 10 for one or more predictors. A categorical predictor's dummy columns all show the same shared GVIF value — that's the whole variable's collinearity, not a per-level artifact.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</si>
</sst>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
    <numFmt numFmtId="166" formatCode="0.0E+00"/>
    <numFmt numFmtId="167" formatCode="0.000"/>
  </numFmts>
  <fonts count="4" x14ac:knownFonts="1">
    <font>
      <sz val="11"/>
      <color theme="1"/>
      <name val="Aptos Narrow"/>
      <family val="2"/>
      <scheme val="minor"/>
    </font>
    <font>
      <b/>
      <sz val="11"/>
      <color theme="1"/>
      <name val="Aptos Narrow"/>
      <family val="2"/>
      <scheme val="minor"/>
    </font>
    <font>
      <b/>
      <sz val="9"/>
      <color indexed="81"/>
      <name val="Tahoma"/>
      <family val="2"/>
    </font>
    <font>
      <b/>
      <sz val="14"/>
      <color theme="1"/>
      <name val="Aptos Narrow"/>
      <family val="2"/>
      <scheme val="minor"/>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4">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63">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164" fontId="0" fillId="0" borderId="5" xfId="0" applyNumberFormat="1" applyBorder="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1" fillId="0" borderId="0" xfId="0" applyFont="1" applyAlignment="1">
      <alignment wrapText="1"/>
    </xf>
    <xf numFmtId="0" fontId="1" fillId="0" borderId="1" xfId="0" applyFont="1" applyBorder="1" applyAlignment="1">
      <alignment wrapText="1"/>
    </xf>
    <xf numFmtId="0" fontId="0" fillId="0" borderId="4" xfId="0" applyBorder="1" applyAlignment="1">
      <alignment wrapText="1"/>
    </xf>
    <xf numFmtId="164" fontId="1" fillId="0" borderId="0" xfId="0" applyNumberFormat="1" applyFont="1" applyAlignment="1">
      <alignment wrapText="1"/>
    </xf>
    <xf numFmtId="0" fontId="1" fillId="2" borderId="0" xfId="0" applyFont="1" applyFill="1" applyAlignment="1">
      <alignment wrapText="1"/>
    </xf>
    <xf numFmtId="164" fontId="1" fillId="0" borderId="0" xfId="0" applyNumberFormat="1" applyFont="1"/>
    <xf numFmtId="164" fontId="0" fillId="0" borderId="0" xfId="0" applyNumberFormat="1" applyAlignment="1">
      <alignment wrapText="1"/>
    </xf>
    <xf numFmtId="167" fontId="0" fillId="0" borderId="4" xfId="0" applyNumberFormat="1" applyBorder="1"/>
    <xf numFmtId="1" fontId="0" fillId="0" borderId="0" xfId="0" applyNumberFormat="1"/>
    <xf numFmtId="165" fontId="0" fillId="0" borderId="0" xfId="0" applyNumberFormat="1"/>
    <xf numFmtId="0" fontId="3" fillId="0" borderId="0" xfId="0" applyFont="1"/>
    <xf numFmtId="0" fontId="1" fillId="4" borderId="0" xfId="0" applyFont="1" applyFill="1"/>
    <xf numFmtId="165" fontId="0" fillId="4" borderId="0" xfId="0" applyNumberFormat="1" applyFill="1"/>
    <xf numFmtId="1" fontId="0" fillId="4" borderId="0" xfId="0" applyNumberFormat="1" applyFill="1"/>
    <xf numFmtId="0" fontId="1" fillId="3" borderId="1" xfId="0" applyFont="1" applyFill="1" applyBorder="1"/>
    <xf numFmtId="165" fontId="1" fillId="3" borderId="4" xfId="0" applyNumberFormat="1" applyFont="1" applyFill="1" applyBorder="1"/>
    <xf numFmtId="165" fontId="0" fillId="0" borderId="4" xfId="0" applyNumberFormat="1" applyBorder="1"/>
    <xf numFmtId="1" fontId="0" fillId="0" borderId="4" xfId="0" applyNumberFormat="1" applyBorder="1"/>
    <xf numFmtId="166" fontId="0" fillId="0" borderId="3" xfId="0" applyNumberFormat="1" applyBorder="1"/>
    <xf numFmtId="164" fontId="0" fillId="0" borderId="3" xfId="0" applyNumberFormat="1" applyBorder="1"/>
    <xf numFmtId="0" fontId="1" fillId="2" borderId="6" xfId="0" applyFont="1" applyFill="1" applyBorder="1"/>
    <xf numFmtId="0" fontId="0" fillId="0" borderId="8" xfId="0" applyBorder="1"/>
    <xf numFmtId="0" fontId="1" fillId="3" borderId="6" xfId="0" applyFont="1" applyFill="1" applyBorder="1"/>
    <xf numFmtId="0" fontId="1" fillId="3" borderId="7" xfId="0" applyFont="1" applyFill="1" applyBorder="1"/>
    <xf numFmtId="0" fontId="1" fillId="3" borderId="8" xfId="0" applyFont="1" applyFill="1" applyBorder="1"/>
    <xf numFmtId="0" fontId="0" fillId="0" borderId="0" xfId="0" quotePrefix="1"/>
    <xf numFmtId="0" fontId="1" fillId="2" borderId="9" xfId="0" applyFont="1" applyFill="1" applyBorder="1"/>
    <xf numFmtId="0" fontId="0" fillId="0" borderId="10" xfId="0" applyBorder="1"/>
    <xf numFmtId="0" fontId="1" fillId="2" borderId="0" xfId="0" applyFont="1" applyFill="1"/>
    <xf numFmtId="0" fontId="0" fillId="0" borderId="0" xfId="0" applyBorder="1"/>
    <xf numFmtId="1" fontId="0" fillId="0" borderId="0" xfId="0" applyNumberFormat="1" applyBorder="1"/>
    <xf numFmtId="0" fontId="1" fillId="0" borderId="0" xfId="0" applyFont="1" applyBorder="1"/>
    <xf numFmtId="165" fontId="0" fillId="0" borderId="0" xfId="0" applyNumberFormat="1" applyBorder="1"/>
    <xf numFmtId="0" fontId="1" fillId="2" borderId="11" xfId="0" applyFont="1" applyFill="1" applyBorder="1"/>
    <xf numFmtId="0" fontId="0" fillId="0" borderId="12" xfId="0" applyBorder="1"/>
    <xf numFmtId="0" fontId="0" fillId="0" borderId="13" xfId="0" applyBorder="1"/>
  </cellXfs>
  <cellStyles count="1">
    <cellStyle name="Normal" xfId="0" builtinId="0"/>
  </cellStyles>
  <dxfs count="73">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69696"/>
      </font>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69696"/>
      </font>
    </dxf>
    <dxf>
      <font>
        <color rgb="FF969696"/>
      </font>
    </dxf>
    <dxf>
      <font>
        <color rgb="FF969696"/>
      </font>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color rgb="FF286227"/>
      </font>
      <fill>
        <patternFill>
          <bgColor rgb="FFCEEFC6"/>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6969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69696"/>
      </font>
    </dxf>
    <dxf>
      <font>
        <color rgb="FF969696"/>
      </font>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Residuals vs. Fitted</a:t>
            </a:r>
          </a:p>
        </c:rich>
      </c:tx>
      <c:overlay val="0"/>
      <c:spPr>
        <a:solidFill>
          <a:srgbClr val="CAEDFB"/>
        </a:solidFill>
      </c:sp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392"/>
                <c:pt idx="0">
                  <c:v>16.838573626431657</c:v>
                </c:pt>
                <c:pt idx="1">
                  <c:v>15.313332990800653</c:v>
                </c:pt>
                <c:pt idx="2">
                  <c:v>16.858150041188768</c:v>
                </c:pt>
                <c:pt idx="3">
                  <c:v>16.87333997003412</c:v>
                </c:pt>
                <c:pt idx="4">
                  <c:v>16.954691335727667</c:v>
                </c:pt>
                <c:pt idx="5">
                  <c:v>11.496506105738145</c:v>
                </c:pt>
                <c:pt idx="6">
                  <c:v>11.073481577763719</c:v>
                </c:pt>
                <c:pt idx="7">
                  <c:v>11.36732274136633</c:v>
                </c:pt>
                <c:pt idx="8">
                  <c:v>10.632804435322722</c:v>
                </c:pt>
                <c:pt idx="9">
                  <c:v>14.11248258238879</c:v>
                </c:pt>
                <c:pt idx="10">
                  <c:v>15.890381080998122</c:v>
                </c:pt>
                <c:pt idx="11">
                  <c:v>15.819833158238158</c:v>
                </c:pt>
                <c:pt idx="12">
                  <c:v>15.212574416275828</c:v>
                </c:pt>
                <c:pt idx="13">
                  <c:v>17.412576009964042</c:v>
                </c:pt>
                <c:pt idx="14">
                  <c:v>25.198456840216735</c:v>
                </c:pt>
                <c:pt idx="15">
                  <c:v>20.804329496548931</c:v>
                </c:pt>
                <c:pt idx="16">
                  <c:v>21.070591899933738</c:v>
                </c:pt>
                <c:pt idx="17">
                  <c:v>22.212267981403059</c:v>
                </c:pt>
                <c:pt idx="18">
                  <c:v>26.537432790749776</c:v>
                </c:pt>
                <c:pt idx="19">
                  <c:v>28.591062427308088</c:v>
                </c:pt>
                <c:pt idx="20">
                  <c:v>23.687378569360181</c:v>
                </c:pt>
                <c:pt idx="21">
                  <c:v>24.863990200357815</c:v>
                </c:pt>
                <c:pt idx="22">
                  <c:v>25.061290069421531</c:v>
                </c:pt>
                <c:pt idx="23">
                  <c:v>25.482960949989245</c:v>
                </c:pt>
                <c:pt idx="24">
                  <c:v>21.822223935113236</c:v>
                </c:pt>
                <c:pt idx="25">
                  <c:v>9.8331399279859539</c:v>
                </c:pt>
                <c:pt idx="26">
                  <c:v>11.286817405301978</c:v>
                </c:pt>
                <c:pt idx="27">
                  <c:v>11.094073228075864</c:v>
                </c:pt>
                <c:pt idx="28">
                  <c:v>9.5979342059952053</c:v>
                </c:pt>
                <c:pt idx="29">
                  <c:v>27.447842985332564</c:v>
                </c:pt>
                <c:pt idx="30">
                  <c:v>24.676945021900856</c:v>
                </c:pt>
                <c:pt idx="31">
                  <c:v>26.837983619376338</c:v>
                </c:pt>
                <c:pt idx="32">
                  <c:v>22.641156144772246</c:v>
                </c:pt>
                <c:pt idx="33">
                  <c:v>18.484009744835561</c:v>
                </c:pt>
                <c:pt idx="34">
                  <c:v>19.12215596226611</c:v>
                </c:pt>
                <c:pt idx="35">
                  <c:v>19.453702505316755</c:v>
                </c:pt>
                <c:pt idx="36">
                  <c:v>19.329751656485897</c:v>
                </c:pt>
                <c:pt idx="37">
                  <c:v>13.611075423983204</c:v>
                </c:pt>
                <c:pt idx="38">
                  <c:v>12.157567152593019</c:v>
                </c:pt>
                <c:pt idx="39">
                  <c:v>14.084394636257118</c:v>
                </c:pt>
                <c:pt idx="40">
                  <c:v>14.426775889794508</c:v>
                </c:pt>
                <c:pt idx="41">
                  <c:v>9.59029997180299</c:v>
                </c:pt>
                <c:pt idx="42">
                  <c:v>10.810896000897804</c:v>
                </c:pt>
                <c:pt idx="43">
                  <c:v>8.7347698527740985</c:v>
                </c:pt>
                <c:pt idx="44">
                  <c:v>20.818026271478541</c:v>
                </c:pt>
                <c:pt idx="45">
                  <c:v>24.24008421248778</c:v>
                </c:pt>
                <c:pt idx="46">
                  <c:v>19.360131514176597</c:v>
                </c:pt>
                <c:pt idx="47">
                  <c:v>20.279021972580786</c:v>
                </c:pt>
                <c:pt idx="48">
                  <c:v>24.964676372780154</c:v>
                </c:pt>
                <c:pt idx="49">
                  <c:v>27.328836446781445</c:v>
                </c:pt>
                <c:pt idx="50">
                  <c:v>27.901667256992983</c:v>
                </c:pt>
                <c:pt idx="51">
                  <c:v>27.849818451807792</c:v>
                </c:pt>
                <c:pt idx="52">
                  <c:v>29.628882452860687</c:v>
                </c:pt>
                <c:pt idx="53">
                  <c:v>30.374066263465203</c:v>
                </c:pt>
                <c:pt idx="54">
                  <c:v>29.279225884156418</c:v>
                </c:pt>
                <c:pt idx="55">
                  <c:v>26.566236332042749</c:v>
                </c:pt>
                <c:pt idx="56">
                  <c:v>25.328456204078385</c:v>
                </c:pt>
                <c:pt idx="57">
                  <c:v>24.28168413378026</c:v>
                </c:pt>
                <c:pt idx="58">
                  <c:v>25.993692502986516</c:v>
                </c:pt>
                <c:pt idx="59">
                  <c:v>22.691466502781928</c:v>
                </c:pt>
                <c:pt idx="60">
                  <c:v>23.67793458054734</c:v>
                </c:pt>
                <c:pt idx="61">
                  <c:v>12.025598364458501</c:v>
                </c:pt>
                <c:pt idx="62">
                  <c:v>11.301206677645128</c:v>
                </c:pt>
                <c:pt idx="63">
                  <c:v>12.972944880262842</c:v>
                </c:pt>
                <c:pt idx="64">
                  <c:v>12.954615442092924</c:v>
                </c:pt>
                <c:pt idx="65">
                  <c:v>15.317257232061893</c:v>
                </c:pt>
                <c:pt idx="66">
                  <c:v>9.5097036386293166</c:v>
                </c:pt>
                <c:pt idx="67">
                  <c:v>11.033528091747291</c:v>
                </c:pt>
                <c:pt idx="68">
                  <c:v>11.185258174274955</c:v>
                </c:pt>
                <c:pt idx="69">
                  <c:v>10.87031774258269</c:v>
                </c:pt>
                <c:pt idx="70">
                  <c:v>25.032691240185233</c:v>
                </c:pt>
                <c:pt idx="71">
                  <c:v>14.203329116736212</c:v>
                </c:pt>
                <c:pt idx="72">
                  <c:v>13.485015975092987</c:v>
                </c:pt>
                <c:pt idx="73">
                  <c:v>12.330242970994691</c:v>
                </c:pt>
                <c:pt idx="74">
                  <c:v>13.266616837939614</c:v>
                </c:pt>
                <c:pt idx="75">
                  <c:v>21.613992221016861</c:v>
                </c:pt>
                <c:pt idx="76">
                  <c:v>24.335220428923609</c:v>
                </c:pt>
                <c:pt idx="77">
                  <c:v>21.786990777560018</c:v>
                </c:pt>
                <c:pt idx="78">
                  <c:v>26.079261148665989</c:v>
                </c:pt>
                <c:pt idx="79">
                  <c:v>22.822235255592609</c:v>
                </c:pt>
                <c:pt idx="80">
                  <c:v>25.326532403787837</c:v>
                </c:pt>
                <c:pt idx="81">
                  <c:v>24.141548747924688</c:v>
                </c:pt>
                <c:pt idx="82">
                  <c:v>24.089278368405822</c:v>
                </c:pt>
                <c:pt idx="83">
                  <c:v>26.343380339243954</c:v>
                </c:pt>
                <c:pt idx="84">
                  <c:v>12.383947606403465</c:v>
                </c:pt>
                <c:pt idx="85">
                  <c:v>14.956954920511956</c:v>
                </c:pt>
                <c:pt idx="86">
                  <c:v>13.438131241902772</c:v>
                </c:pt>
                <c:pt idx="87">
                  <c:v>13.294603978314802</c:v>
                </c:pt>
                <c:pt idx="88">
                  <c:v>14.425307410924701</c:v>
                </c:pt>
                <c:pt idx="89">
                  <c:v>7.6965698793925537</c:v>
                </c:pt>
                <c:pt idx="90">
                  <c:v>10.946813705339496</c:v>
                </c:pt>
                <c:pt idx="91">
                  <c:v>11.32831652083796</c:v>
                </c:pt>
                <c:pt idx="92">
                  <c:v>12.096184987970998</c:v>
                </c:pt>
                <c:pt idx="93">
                  <c:v>8.5192887226626848</c:v>
                </c:pt>
                <c:pt idx="94">
                  <c:v>7.2632495262620562</c:v>
                </c:pt>
                <c:pt idx="95">
                  <c:v>13.796610989021035</c:v>
                </c:pt>
                <c:pt idx="96">
                  <c:v>18.477477956350636</c:v>
                </c:pt>
                <c:pt idx="97">
                  <c:v>17.763720506545017</c:v>
                </c:pt>
                <c:pt idx="98">
                  <c:v>19.449802608378892</c:v>
                </c:pt>
                <c:pt idx="99">
                  <c:v>19.259828261072514</c:v>
                </c:pt>
                <c:pt idx="100">
                  <c:v>19.738580462366386</c:v>
                </c:pt>
                <c:pt idx="101">
                  <c:v>27.302527770060404</c:v>
                </c:pt>
                <c:pt idx="102">
                  <c:v>8.2480696804822724</c:v>
                </c:pt>
                <c:pt idx="103">
                  <c:v>8.4328115122477012</c:v>
                </c:pt>
                <c:pt idx="104">
                  <c:v>9.6600562393964946</c:v>
                </c:pt>
                <c:pt idx="105">
                  <c:v>10.282504910204176</c:v>
                </c:pt>
                <c:pt idx="106">
                  <c:v>20.239678908337105</c:v>
                </c:pt>
                <c:pt idx="107">
                  <c:v>25.076745606588123</c:v>
                </c:pt>
                <c:pt idx="108">
                  <c:v>22.658863133701555</c:v>
                </c:pt>
                <c:pt idx="109">
                  <c:v>24.4729960533552</c:v>
                </c:pt>
                <c:pt idx="110">
                  <c:v>25.829085733024137</c:v>
                </c:pt>
                <c:pt idx="111">
                  <c:v>22.908550693281139</c:v>
                </c:pt>
                <c:pt idx="112">
                  <c:v>21.731093032654325</c:v>
                </c:pt>
                <c:pt idx="113">
                  <c:v>24.993182235342822</c:v>
                </c:pt>
                <c:pt idx="114">
                  <c:v>12.9621801380818</c:v>
                </c:pt>
                <c:pt idx="115">
                  <c:v>10.589674737467918</c:v>
                </c:pt>
                <c:pt idx="116">
                  <c:v>27.674073172254467</c:v>
                </c:pt>
                <c:pt idx="117">
                  <c:v>25.778502843463425</c:v>
                </c:pt>
                <c:pt idx="118">
                  <c:v>23.371876655397269</c:v>
                </c:pt>
                <c:pt idx="119">
                  <c:v>21.582805034449514</c:v>
                </c:pt>
                <c:pt idx="120">
                  <c:v>16.339238445438831</c:v>
                </c:pt>
                <c:pt idx="121">
                  <c:v>22.668446298300879</c:v>
                </c:pt>
                <c:pt idx="122">
                  <c:v>21.85127944338608</c:v>
                </c:pt>
                <c:pt idx="123">
                  <c:v>14.510368438826658</c:v>
                </c:pt>
                <c:pt idx="124">
                  <c:v>20.700160815023679</c:v>
                </c:pt>
                <c:pt idx="125">
                  <c:v>21.636703887894438</c:v>
                </c:pt>
                <c:pt idx="126">
                  <c:v>19.434164205318655</c:v>
                </c:pt>
                <c:pt idx="127">
                  <c:v>29.047655197436306</c:v>
                </c:pt>
                <c:pt idx="128">
                  <c:v>24.239921853767793</c:v>
                </c:pt>
                <c:pt idx="129">
                  <c:v>29.657345357466696</c:v>
                </c:pt>
                <c:pt idx="130">
                  <c:v>23.860342838559877</c:v>
                </c:pt>
                <c:pt idx="131">
                  <c:v>17.180991426591703</c:v>
                </c:pt>
                <c:pt idx="132">
                  <c:v>17.773060239708684</c:v>
                </c:pt>
                <c:pt idx="133">
                  <c:v>17.95044528216361</c:v>
                </c:pt>
                <c:pt idx="134">
                  <c:v>14.708742687008032</c:v>
                </c:pt>
                <c:pt idx="135">
                  <c:v>11.721051602237475</c:v>
                </c:pt>
                <c:pt idx="136">
                  <c:v>12.946372529095727</c:v>
                </c:pt>
                <c:pt idx="137">
                  <c:v>12.192277808295009</c:v>
                </c:pt>
                <c:pt idx="138">
                  <c:v>13.959034452119075</c:v>
                </c:pt>
                <c:pt idx="139">
                  <c:v>27.30386515776339</c:v>
                </c:pt>
                <c:pt idx="140">
                  <c:v>28.859855330489932</c:v>
                </c:pt>
                <c:pt idx="141">
                  <c:v>26.974919238706633</c:v>
                </c:pt>
                <c:pt idx="142">
                  <c:v>30.815257870889557</c:v>
                </c:pt>
                <c:pt idx="143">
                  <c:v>28.876718379556362</c:v>
                </c:pt>
                <c:pt idx="144">
                  <c:v>25.971742948063561</c:v>
                </c:pt>
                <c:pt idx="145">
                  <c:v>27.995783980669671</c:v>
                </c:pt>
                <c:pt idx="146">
                  <c:v>27.29704725378356</c:v>
                </c:pt>
                <c:pt idx="147">
                  <c:v>25.831438356282145</c:v>
                </c:pt>
                <c:pt idx="148">
                  <c:v>26.392588426377753</c:v>
                </c:pt>
                <c:pt idx="149">
                  <c:v>28.672512874730614</c:v>
                </c:pt>
                <c:pt idx="150">
                  <c:v>19.261395253436948</c:v>
                </c:pt>
                <c:pt idx="151">
                  <c:v>18.11168555895377</c:v>
                </c:pt>
                <c:pt idx="152">
                  <c:v>18.784197173028783</c:v>
                </c:pt>
                <c:pt idx="153">
                  <c:v>20.17154400757077</c:v>
                </c:pt>
                <c:pt idx="154">
                  <c:v>10.934776157297453</c:v>
                </c:pt>
                <c:pt idx="155">
                  <c:v>12.495121548382599</c:v>
                </c:pt>
                <c:pt idx="156">
                  <c:v>12.120267430938121</c:v>
                </c:pt>
                <c:pt idx="157">
                  <c:v>11.347674066041641</c:v>
                </c:pt>
                <c:pt idx="158">
                  <c:v>15.762140691613762</c:v>
                </c:pt>
                <c:pt idx="159">
                  <c:v>15.893955947532636</c:v>
                </c:pt>
                <c:pt idx="160">
                  <c:v>16.658346493489425</c:v>
                </c:pt>
                <c:pt idx="161">
                  <c:v>16.623410943961126</c:v>
                </c:pt>
                <c:pt idx="162">
                  <c:v>20.157093437535096</c:v>
                </c:pt>
                <c:pt idx="163">
                  <c:v>19.23557108758385</c:v>
                </c:pt>
                <c:pt idx="164">
                  <c:v>19.190370980452638</c:v>
                </c:pt>
                <c:pt idx="165">
                  <c:v>27.180262912929358</c:v>
                </c:pt>
                <c:pt idx="166">
                  <c:v>22.620800946327407</c:v>
                </c:pt>
                <c:pt idx="167">
                  <c:v>20.952371458960101</c:v>
                </c:pt>
                <c:pt idx="168">
                  <c:v>22.939958658005594</c:v>
                </c:pt>
                <c:pt idx="169">
                  <c:v>24.150680436278002</c:v>
                </c:pt>
                <c:pt idx="170">
                  <c:v>26.85993969880759</c:v>
                </c:pt>
                <c:pt idx="171">
                  <c:v>24.929383613897791</c:v>
                </c:pt>
                <c:pt idx="172">
                  <c:v>20.646649081762554</c:v>
                </c:pt>
                <c:pt idx="173">
                  <c:v>28.324282680684522</c:v>
                </c:pt>
                <c:pt idx="174">
                  <c:v>19.610932822805843</c:v>
                </c:pt>
                <c:pt idx="175">
                  <c:v>24.085446503202622</c:v>
                </c:pt>
                <c:pt idx="176">
                  <c:v>22.867451098101707</c:v>
                </c:pt>
                <c:pt idx="177">
                  <c:v>22.765846493947695</c:v>
                </c:pt>
                <c:pt idx="178">
                  <c:v>23.87717398527948</c:v>
                </c:pt>
                <c:pt idx="179">
                  <c:v>29.441268831191159</c:v>
                </c:pt>
                <c:pt idx="180">
                  <c:v>26.171208171857554</c:v>
                </c:pt>
                <c:pt idx="181">
                  <c:v>27.487837877713748</c:v>
                </c:pt>
                <c:pt idx="182">
                  <c:v>23.588987372554566</c:v>
                </c:pt>
                <c:pt idx="183">
                  <c:v>25.405130135942613</c:v>
                </c:pt>
                <c:pt idx="184">
                  <c:v>27.546504586878768</c:v>
                </c:pt>
                <c:pt idx="185">
                  <c:v>14.490620941147784</c:v>
                </c:pt>
                <c:pt idx="186">
                  <c:v>14.454839361990286</c:v>
                </c:pt>
                <c:pt idx="187">
                  <c:v>16.096366912843141</c:v>
                </c:pt>
                <c:pt idx="188">
                  <c:v>14.295783757705289</c:v>
                </c:pt>
                <c:pt idx="189">
                  <c:v>20.112248261334074</c:v>
                </c:pt>
                <c:pt idx="190">
                  <c:v>19.423468947752358</c:v>
                </c:pt>
                <c:pt idx="191">
                  <c:v>21.539731893392158</c:v>
                </c:pt>
                <c:pt idx="192">
                  <c:v>21.023982403906764</c:v>
                </c:pt>
                <c:pt idx="193">
                  <c:v>26.957441914013906</c:v>
                </c:pt>
                <c:pt idx="194">
                  <c:v>26.174383518035519</c:v>
                </c:pt>
                <c:pt idx="195">
                  <c:v>29.099355250280734</c:v>
                </c:pt>
                <c:pt idx="196">
                  <c:v>30.216341400787371</c:v>
                </c:pt>
                <c:pt idx="197">
                  <c:v>17.995784842215276</c:v>
                </c:pt>
                <c:pt idx="198">
                  <c:v>18.742861185557164</c:v>
                </c:pt>
                <c:pt idx="199">
                  <c:v>17.863800380370563</c:v>
                </c:pt>
                <c:pt idx="200">
                  <c:v>20.39596280570645</c:v>
                </c:pt>
                <c:pt idx="201">
                  <c:v>29.650209495220267</c:v>
                </c:pt>
                <c:pt idx="202">
                  <c:v>28.952976682629405</c:v>
                </c:pt>
                <c:pt idx="203">
                  <c:v>28.036348436367433</c:v>
                </c:pt>
                <c:pt idx="204">
                  <c:v>23.949159178931211</c:v>
                </c:pt>
                <c:pt idx="205">
                  <c:v>22.437994864630813</c:v>
                </c:pt>
                <c:pt idx="206">
                  <c:v>15.720666765769474</c:v>
                </c:pt>
                <c:pt idx="207">
                  <c:v>22.057707758166377</c:v>
                </c:pt>
                <c:pt idx="208">
                  <c:v>23.576481230185102</c:v>
                </c:pt>
                <c:pt idx="209">
                  <c:v>18.753321647338847</c:v>
                </c:pt>
                <c:pt idx="210">
                  <c:v>13.005717576511872</c:v>
                </c:pt>
                <c:pt idx="211">
                  <c:v>15.219568319798755</c:v>
                </c:pt>
                <c:pt idx="212">
                  <c:v>16.399827077898475</c:v>
                </c:pt>
                <c:pt idx="213">
                  <c:v>16.657379044566074</c:v>
                </c:pt>
                <c:pt idx="214">
                  <c:v>30.140660247573575</c:v>
                </c:pt>
                <c:pt idx="215">
                  <c:v>27.328917395369249</c:v>
                </c:pt>
                <c:pt idx="216">
                  <c:v>31.294975840484813</c:v>
                </c:pt>
                <c:pt idx="217">
                  <c:v>26.334954589920667</c:v>
                </c:pt>
                <c:pt idx="218">
                  <c:v>30.614518345178166</c:v>
                </c:pt>
                <c:pt idx="219">
                  <c:v>17.539340232312693</c:v>
                </c:pt>
                <c:pt idx="220">
                  <c:v>17.196219619965621</c:v>
                </c:pt>
                <c:pt idx="221">
                  <c:v>16.222879732382342</c:v>
                </c:pt>
                <c:pt idx="222">
                  <c:v>15.681613221342369</c:v>
                </c:pt>
                <c:pt idx="223">
                  <c:v>19.930406812128663</c:v>
                </c:pt>
                <c:pt idx="224">
                  <c:v>20.492603385332458</c:v>
                </c:pt>
                <c:pt idx="225">
                  <c:v>19.535807074001234</c:v>
                </c:pt>
                <c:pt idx="226">
                  <c:v>20.099927447495574</c:v>
                </c:pt>
                <c:pt idx="227">
                  <c:v>15.249539844799065</c:v>
                </c:pt>
                <c:pt idx="228">
                  <c:v>15.690386193165898</c:v>
                </c:pt>
                <c:pt idx="229">
                  <c:v>14.555528015676392</c:v>
                </c:pt>
                <c:pt idx="230">
                  <c:v>15.170588629620417</c:v>
                </c:pt>
                <c:pt idx="231">
                  <c:v>30.387966595675561</c:v>
                </c:pt>
                <c:pt idx="232">
                  <c:v>24.23698981489763</c:v>
                </c:pt>
                <c:pt idx="233">
                  <c:v>28.913077108573102</c:v>
                </c:pt>
                <c:pt idx="234">
                  <c:v>24.144803738717336</c:v>
                </c:pt>
                <c:pt idx="235">
                  <c:v>28.131520938551592</c:v>
                </c:pt>
                <c:pt idx="236">
                  <c:v>27.68527286871797</c:v>
                </c:pt>
                <c:pt idx="237">
                  <c:v>30.460695256434121</c:v>
                </c:pt>
                <c:pt idx="238">
                  <c:v>29.122139191896373</c:v>
                </c:pt>
                <c:pt idx="239">
                  <c:v>25.771055317280993</c:v>
                </c:pt>
                <c:pt idx="240">
                  <c:v>26.526616427185196</c:v>
                </c:pt>
                <c:pt idx="241">
                  <c:v>26.040996115321043</c:v>
                </c:pt>
                <c:pt idx="242">
                  <c:v>30.497188279232841</c:v>
                </c:pt>
                <c:pt idx="243">
                  <c:v>29.203680013716564</c:v>
                </c:pt>
                <c:pt idx="244">
                  <c:v>30.554219393368527</c:v>
                </c:pt>
                <c:pt idx="245">
                  <c:v>29.83158230091987</c:v>
                </c:pt>
                <c:pt idx="246">
                  <c:v>31.3610402165368</c:v>
                </c:pt>
                <c:pt idx="247">
                  <c:v>20.56519746010305</c:v>
                </c:pt>
                <c:pt idx="248">
                  <c:v>18.204679943903621</c:v>
                </c:pt>
                <c:pt idx="249">
                  <c:v>19.05636246235143</c:v>
                </c:pt>
                <c:pt idx="250">
                  <c:v>19.785616985300912</c:v>
                </c:pt>
                <c:pt idx="251">
                  <c:v>21.872038958580688</c:v>
                </c:pt>
                <c:pt idx="252">
                  <c:v>22.99643210498828</c:v>
                </c:pt>
                <c:pt idx="253">
                  <c:v>24.188233664831259</c:v>
                </c:pt>
                <c:pt idx="254">
                  <c:v>20.398446654655878</c:v>
                </c:pt>
                <c:pt idx="255">
                  <c:v>21.674739089516976</c:v>
                </c:pt>
                <c:pt idx="256">
                  <c:v>20.570429975644011</c:v>
                </c:pt>
                <c:pt idx="257">
                  <c:v>22.464784595401021</c:v>
                </c:pt>
                <c:pt idx="258">
                  <c:v>19.274053508248279</c:v>
                </c:pt>
                <c:pt idx="259">
                  <c:v>20.174984207887384</c:v>
                </c:pt>
                <c:pt idx="260">
                  <c:v>19.693123764822104</c:v>
                </c:pt>
                <c:pt idx="261">
                  <c:v>19.267128933448951</c:v>
                </c:pt>
                <c:pt idx="262">
                  <c:v>20.90447047186904</c:v>
                </c:pt>
                <c:pt idx="263">
                  <c:v>16.457838126688344</c:v>
                </c:pt>
                <c:pt idx="264">
                  <c:v>27.37373223644304</c:v>
                </c:pt>
                <c:pt idx="265">
                  <c:v>26.944649790674134</c:v>
                </c:pt>
                <c:pt idx="266">
                  <c:v>28.228637426697411</c:v>
                </c:pt>
                <c:pt idx="267">
                  <c:v>26.880328991634499</c:v>
                </c:pt>
                <c:pt idx="268">
                  <c:v>27.172498723354387</c:v>
                </c:pt>
                <c:pt idx="269">
                  <c:v>23.785631581243138</c:v>
                </c:pt>
                <c:pt idx="270">
                  <c:v>23.553396162651119</c:v>
                </c:pt>
                <c:pt idx="271">
                  <c:v>27.696989917110152</c:v>
                </c:pt>
                <c:pt idx="272">
                  <c:v>25.325687897014429</c:v>
                </c:pt>
                <c:pt idx="273">
                  <c:v>23.398860413350338</c:v>
                </c:pt>
                <c:pt idx="274">
                  <c:v>25.308066550101021</c:v>
                </c:pt>
                <c:pt idx="275">
                  <c:v>21.901875361640482</c:v>
                </c:pt>
                <c:pt idx="276">
                  <c:v>30.098433796225809</c:v>
                </c:pt>
                <c:pt idx="277">
                  <c:v>29.534940039844358</c:v>
                </c:pt>
                <c:pt idx="278">
                  <c:v>23.499499380574036</c:v>
                </c:pt>
                <c:pt idx="279">
                  <c:v>25.27773629103504</c:v>
                </c:pt>
                <c:pt idx="280">
                  <c:v>25.735357956686094</c:v>
                </c:pt>
                <c:pt idx="281">
                  <c:v>23.804143987110237</c:v>
                </c:pt>
                <c:pt idx="282">
                  <c:v>22.998400934603318</c:v>
                </c:pt>
                <c:pt idx="283">
                  <c:v>20.243283680276463</c:v>
                </c:pt>
                <c:pt idx="284">
                  <c:v>20.841800717968425</c:v>
                </c:pt>
                <c:pt idx="285">
                  <c:v>19.531111618909698</c:v>
                </c:pt>
                <c:pt idx="286">
                  <c:v>20.212734616659922</c:v>
                </c:pt>
                <c:pt idx="287">
                  <c:v>17.204451881577221</c:v>
                </c:pt>
                <c:pt idx="288">
                  <c:v>18.96489823919898</c:v>
                </c:pt>
                <c:pt idx="289">
                  <c:v>21.5143435995966</c:v>
                </c:pt>
                <c:pt idx="290">
                  <c:v>19.412224079693956</c:v>
                </c:pt>
                <c:pt idx="291">
                  <c:v>32.835435847633072</c:v>
                </c:pt>
                <c:pt idx="292">
                  <c:v>32.801665800548349</c:v>
                </c:pt>
                <c:pt idx="293">
                  <c:v>30.801976287053243</c:v>
                </c:pt>
                <c:pt idx="294">
                  <c:v>26.979177527640104</c:v>
                </c:pt>
                <c:pt idx="295">
                  <c:v>24.611405323649461</c:v>
                </c:pt>
                <c:pt idx="296">
                  <c:v>20.020667263137163</c:v>
                </c:pt>
                <c:pt idx="297">
                  <c:v>26.430349184510394</c:v>
                </c:pt>
                <c:pt idx="298">
                  <c:v>23.019330996767138</c:v>
                </c:pt>
                <c:pt idx="299">
                  <c:v>29.521297366280386</c:v>
                </c:pt>
                <c:pt idx="300">
                  <c:v>29.774462847036226</c:v>
                </c:pt>
                <c:pt idx="301">
                  <c:v>32.573816867868089</c:v>
                </c:pt>
                <c:pt idx="302">
                  <c:v>31.829930240441232</c:v>
                </c:pt>
                <c:pt idx="303">
                  <c:v>26.816813208104698</c:v>
                </c:pt>
                <c:pt idx="304">
                  <c:v>26.790650630399917</c:v>
                </c:pt>
                <c:pt idx="305">
                  <c:v>26.259003120812665</c:v>
                </c:pt>
                <c:pt idx="306">
                  <c:v>27.394030504228006</c:v>
                </c:pt>
                <c:pt idx="307">
                  <c:v>35.706490359450044</c:v>
                </c:pt>
                <c:pt idx="308">
                  <c:v>36.979392604917109</c:v>
                </c:pt>
                <c:pt idx="309">
                  <c:v>33.987463612784964</c:v>
                </c:pt>
                <c:pt idx="310">
                  <c:v>36.639981654778452</c:v>
                </c:pt>
                <c:pt idx="311">
                  <c:v>30.837408208479005</c:v>
                </c:pt>
                <c:pt idx="312">
                  <c:v>29.897725626283673</c:v>
                </c:pt>
                <c:pt idx="313">
                  <c:v>29.191832583566061</c:v>
                </c:pt>
                <c:pt idx="314">
                  <c:v>27.277901549051933</c:v>
                </c:pt>
                <c:pt idx="315">
                  <c:v>35.45123187247782</c:v>
                </c:pt>
                <c:pt idx="316">
                  <c:v>32.730260602279138</c:v>
                </c:pt>
                <c:pt idx="317">
                  <c:v>33.829506406536979</c:v>
                </c:pt>
                <c:pt idx="318">
                  <c:v>34.100324501759388</c:v>
                </c:pt>
                <c:pt idx="319">
                  <c:v>35.232043169924317</c:v>
                </c:pt>
                <c:pt idx="320">
                  <c:v>36.179220479802829</c:v>
                </c:pt>
                <c:pt idx="321">
                  <c:v>29.976137956131637</c:v>
                </c:pt>
                <c:pt idx="322">
                  <c:v>36.179220479802829</c:v>
                </c:pt>
                <c:pt idx="323">
                  <c:v>36.459845721441084</c:v>
                </c:pt>
                <c:pt idx="324">
                  <c:v>35.1940183176619</c:v>
                </c:pt>
                <c:pt idx="325">
                  <c:v>31.771590697247827</c:v>
                </c:pt>
                <c:pt idx="326">
                  <c:v>30.252597812712803</c:v>
                </c:pt>
                <c:pt idx="327">
                  <c:v>37.463208115826099</c:v>
                </c:pt>
                <c:pt idx="328">
                  <c:v>35.969531779366662</c:v>
                </c:pt>
                <c:pt idx="329">
                  <c:v>37.447729981719526</c:v>
                </c:pt>
                <c:pt idx="330">
                  <c:v>31.040731846822169</c:v>
                </c:pt>
                <c:pt idx="331">
                  <c:v>34.041319380742692</c:v>
                </c:pt>
                <c:pt idx="332">
                  <c:v>33.709114953025988</c:v>
                </c:pt>
                <c:pt idx="333">
                  <c:v>35.154169725407023</c:v>
                </c:pt>
                <c:pt idx="334">
                  <c:v>29.250550208008121</c:v>
                </c:pt>
                <c:pt idx="335">
                  <c:v>28.516370313816193</c:v>
                </c:pt>
                <c:pt idx="336">
                  <c:v>28.462428502414614</c:v>
                </c:pt>
                <c:pt idx="337">
                  <c:v>27.638525217663616</c:v>
                </c:pt>
                <c:pt idx="338">
                  <c:v>29.782197717595377</c:v>
                </c:pt>
                <c:pt idx="339">
                  <c:v>35.454171617009983</c:v>
                </c:pt>
                <c:pt idx="340">
                  <c:v>32.689214260375735</c:v>
                </c:pt>
                <c:pt idx="341">
                  <c:v>35.396382205027315</c:v>
                </c:pt>
                <c:pt idx="342">
                  <c:v>33.738417748741924</c:v>
                </c:pt>
                <c:pt idx="343">
                  <c:v>34.226588478009511</c:v>
                </c:pt>
                <c:pt idx="344">
                  <c:v>33.895549552736377</c:v>
                </c:pt>
                <c:pt idx="345">
                  <c:v>34.127246085997719</c:v>
                </c:pt>
                <c:pt idx="346">
                  <c:v>30.983925423189589</c:v>
                </c:pt>
                <c:pt idx="347">
                  <c:v>31.812215193852357</c:v>
                </c:pt>
                <c:pt idx="348">
                  <c:v>30.116006472788246</c:v>
                </c:pt>
                <c:pt idx="349">
                  <c:v>32.869872181227684</c:v>
                </c:pt>
                <c:pt idx="350">
                  <c:v>32.874346398921659</c:v>
                </c:pt>
                <c:pt idx="351">
                  <c:v>32.165483052805314</c:v>
                </c:pt>
                <c:pt idx="352">
                  <c:v>30.417795205960854</c:v>
                </c:pt>
                <c:pt idx="353">
                  <c:v>30.738676244450591</c:v>
                </c:pt>
                <c:pt idx="354">
                  <c:v>27.50661158978502</c:v>
                </c:pt>
                <c:pt idx="355">
                  <c:v>27.925988990657363</c:v>
                </c:pt>
                <c:pt idx="356">
                  <c:v>28.714969054395926</c:v>
                </c:pt>
                <c:pt idx="357">
                  <c:v>28.498124038128257</c:v>
                </c:pt>
                <c:pt idx="358">
                  <c:v>24.144841583233063</c:v>
                </c:pt>
                <c:pt idx="359">
                  <c:v>22.65639776231458</c:v>
                </c:pt>
                <c:pt idx="360">
                  <c:v>26.299517999577414</c:v>
                </c:pt>
                <c:pt idx="361">
                  <c:v>24.29758690131575</c:v>
                </c:pt>
                <c:pt idx="362">
                  <c:v>30.28175978404812</c:v>
                </c:pt>
                <c:pt idx="363">
                  <c:v>30.104543947519034</c:v>
                </c:pt>
                <c:pt idx="364">
                  <c:v>31.345054803222634</c:v>
                </c:pt>
                <c:pt idx="365">
                  <c:v>30.482368368362241</c:v>
                </c:pt>
                <c:pt idx="366">
                  <c:v>30.751770281071622</c:v>
                </c:pt>
                <c:pt idx="367">
                  <c:v>29.591056670175863</c:v>
                </c:pt>
                <c:pt idx="368">
                  <c:v>28.900353556303596</c:v>
                </c:pt>
                <c:pt idx="369">
                  <c:v>35.611603109994782</c:v>
                </c:pt>
                <c:pt idx="370">
                  <c:v>35.603149610985632</c:v>
                </c:pt>
                <c:pt idx="371">
                  <c:v>35.881631639817051</c:v>
                </c:pt>
                <c:pt idx="372">
                  <c:v>33.118059198142689</c:v>
                </c:pt>
                <c:pt idx="373">
                  <c:v>33.004404174467894</c:v>
                </c:pt>
                <c:pt idx="374">
                  <c:v>34.594874173874054</c:v>
                </c:pt>
                <c:pt idx="375">
                  <c:v>34.57809885658984</c:v>
                </c:pt>
                <c:pt idx="376">
                  <c:v>34.456748631752866</c:v>
                </c:pt>
                <c:pt idx="377">
                  <c:v>35.923184619846189</c:v>
                </c:pt>
                <c:pt idx="378">
                  <c:v>35.923184619846189</c:v>
                </c:pt>
                <c:pt idx="379">
                  <c:v>35.771285331392683</c:v>
                </c:pt>
                <c:pt idx="380">
                  <c:v>28.203033011930518</c:v>
                </c:pt>
                <c:pt idx="381">
                  <c:v>28.254512137710872</c:v>
                </c:pt>
                <c:pt idx="382">
                  <c:v>30.318080248536287</c:v>
                </c:pt>
                <c:pt idx="383">
                  <c:v>28.727524205686279</c:v>
                </c:pt>
                <c:pt idx="384">
                  <c:v>31.90801136261177</c:v>
                </c:pt>
                <c:pt idx="385">
                  <c:v>31.536583271414717</c:v>
                </c:pt>
                <c:pt idx="386">
                  <c:v>28.502445102925762</c:v>
                </c:pt>
                <c:pt idx="387">
                  <c:v>29.377520369158603</c:v>
                </c:pt>
                <c:pt idx="388">
                  <c:v>35.209308170705178</c:v>
                </c:pt>
                <c:pt idx="389">
                  <c:v>31.916331492548473</c:v>
                </c:pt>
                <c:pt idx="390">
                  <c:v>30.326621479327653</c:v>
                </c:pt>
                <c:pt idx="391">
                  <c:v>29.796897770030938</c:v>
                </c:pt>
              </c:numCache>
            </c:numRef>
          </c:xVal>
          <c:yVal>
            <c:numRef>
              <c:f>Regression!RegChartResid</c:f>
              <c:numCache>
                <c:formatCode>0.0000</c:formatCode>
                <c:ptCount val="392"/>
                <c:pt idx="0">
                  <c:v>1.161426373568343</c:v>
                </c:pt>
                <c:pt idx="1">
                  <c:v>-0.31333299080065302</c:v>
                </c:pt>
                <c:pt idx="2">
                  <c:v>1.1418499588112319</c:v>
                </c:pt>
                <c:pt idx="3">
                  <c:v>-0.87333997003412023</c:v>
                </c:pt>
                <c:pt idx="4">
                  <c:v>4.5308664272333488E-2</c:v>
                </c:pt>
                <c:pt idx="5">
                  <c:v>3.5034938942618545</c:v>
                </c:pt>
                <c:pt idx="6">
                  <c:v>2.9265184222362812</c:v>
                </c:pt>
                <c:pt idx="7">
                  <c:v>2.6326772586336702</c:v>
                </c:pt>
                <c:pt idx="8">
                  <c:v>3.367195564677278</c:v>
                </c:pt>
                <c:pt idx="9">
                  <c:v>0.88751741761121039</c:v>
                </c:pt>
                <c:pt idx="10">
                  <c:v>-0.89038108099812163</c:v>
                </c:pt>
                <c:pt idx="11">
                  <c:v>-1.8198331582381577</c:v>
                </c:pt>
                <c:pt idx="12">
                  <c:v>-0.21257441627582807</c:v>
                </c:pt>
                <c:pt idx="13">
                  <c:v>-3.4125760099640416</c:v>
                </c:pt>
                <c:pt idx="14">
                  <c:v>-1.1984568402167355</c:v>
                </c:pt>
                <c:pt idx="15">
                  <c:v>1.1956705034510691</c:v>
                </c:pt>
                <c:pt idx="16">
                  <c:v>-3.0705918999337385</c:v>
                </c:pt>
                <c:pt idx="17">
                  <c:v>-1.212267981403059</c:v>
                </c:pt>
                <c:pt idx="18">
                  <c:v>0.46256720925022421</c:v>
                </c:pt>
                <c:pt idx="19">
                  <c:v>-2.5910624273080884</c:v>
                </c:pt>
                <c:pt idx="20">
                  <c:v>1.312621430639819</c:v>
                </c:pt>
                <c:pt idx="21">
                  <c:v>-0.86399020035781504</c:v>
                </c:pt>
                <c:pt idx="22">
                  <c:v>-6.1290069421531257E-2</c:v>
                </c:pt>
                <c:pt idx="23">
                  <c:v>0.51703905001075512</c:v>
                </c:pt>
                <c:pt idx="24">
                  <c:v>-0.82222393511323588</c:v>
                </c:pt>
                <c:pt idx="25">
                  <c:v>0.16686007201404607</c:v>
                </c:pt>
                <c:pt idx="26">
                  <c:v>-1.2868174053019779</c:v>
                </c:pt>
                <c:pt idx="27">
                  <c:v>-9.4073228075863824E-2</c:v>
                </c:pt>
                <c:pt idx="28">
                  <c:v>-0.5979342059952053</c:v>
                </c:pt>
                <c:pt idx="29">
                  <c:v>-0.44784298533256361</c:v>
                </c:pt>
                <c:pt idx="30">
                  <c:v>3.3230549780991439</c:v>
                </c:pt>
                <c:pt idx="31">
                  <c:v>-1.8379836193763381</c:v>
                </c:pt>
                <c:pt idx="32">
                  <c:v>-3.6411561447722463</c:v>
                </c:pt>
                <c:pt idx="33">
                  <c:v>-2.4840097448355607</c:v>
                </c:pt>
                <c:pt idx="34">
                  <c:v>-2.1221559622661097</c:v>
                </c:pt>
                <c:pt idx="35">
                  <c:v>-0.45370250531675538</c:v>
                </c:pt>
                <c:pt idx="36">
                  <c:v>-1.3297516564858967</c:v>
                </c:pt>
                <c:pt idx="37">
                  <c:v>0.38892457601679631</c:v>
                </c:pt>
                <c:pt idx="38">
                  <c:v>1.8424328474069807</c:v>
                </c:pt>
                <c:pt idx="39">
                  <c:v>-8.4394636257117739E-2</c:v>
                </c:pt>
                <c:pt idx="40">
                  <c:v>-0.42677588979450753</c:v>
                </c:pt>
                <c:pt idx="41">
                  <c:v>2.40970002819701</c:v>
                </c:pt>
                <c:pt idx="42">
                  <c:v>2.1891039991021959</c:v>
                </c:pt>
                <c:pt idx="43">
                  <c:v>4.2652301472259015</c:v>
                </c:pt>
                <c:pt idx="44">
                  <c:v>-2.8180262714785407</c:v>
                </c:pt>
                <c:pt idx="45">
                  <c:v>-2.2400842124877798</c:v>
                </c:pt>
                <c:pt idx="46">
                  <c:v>-0.36013151417659728</c:v>
                </c:pt>
                <c:pt idx="47">
                  <c:v>-2.2790219725807859</c:v>
                </c:pt>
                <c:pt idx="48">
                  <c:v>-1.9646763727801542</c:v>
                </c:pt>
                <c:pt idx="49">
                  <c:v>0.67116355321855536</c:v>
                </c:pt>
                <c:pt idx="50">
                  <c:v>2.0983327430070169</c:v>
                </c:pt>
                <c:pt idx="51">
                  <c:v>2.150181548192208</c:v>
                </c:pt>
                <c:pt idx="52">
                  <c:v>1.3711175471393133</c:v>
                </c:pt>
                <c:pt idx="53">
                  <c:v>4.6259337365347974</c:v>
                </c:pt>
                <c:pt idx="54">
                  <c:v>-2.2792258841564177</c:v>
                </c:pt>
                <c:pt idx="55">
                  <c:v>-0.56623633204274881</c:v>
                </c:pt>
                <c:pt idx="56">
                  <c:v>-1.3284562040783854</c:v>
                </c:pt>
                <c:pt idx="57">
                  <c:v>0.71831586621973997</c:v>
                </c:pt>
                <c:pt idx="58">
                  <c:v>-2.9936925029865158</c:v>
                </c:pt>
                <c:pt idx="59">
                  <c:v>-2.6914665027819282</c:v>
                </c:pt>
                <c:pt idx="60">
                  <c:v>-2.6779345805473405</c:v>
                </c:pt>
                <c:pt idx="61">
                  <c:v>0.97440163554149883</c:v>
                </c:pt>
                <c:pt idx="62">
                  <c:v>2.6987933223548719</c:v>
                </c:pt>
                <c:pt idx="63">
                  <c:v>2.0270551197371578</c:v>
                </c:pt>
                <c:pt idx="64">
                  <c:v>1.0453845579070755</c:v>
                </c:pt>
                <c:pt idx="65">
                  <c:v>1.6827427679381071</c:v>
                </c:pt>
                <c:pt idx="66">
                  <c:v>1.4902963613706834</c:v>
                </c:pt>
                <c:pt idx="67">
                  <c:v>1.9664719082527089</c:v>
                </c:pt>
                <c:pt idx="68">
                  <c:v>0.81474182572504539</c:v>
                </c:pt>
                <c:pt idx="69">
                  <c:v>2.1296822574173095</c:v>
                </c:pt>
                <c:pt idx="70">
                  <c:v>-6.0326912401852333</c:v>
                </c:pt>
                <c:pt idx="71">
                  <c:v>0.7966708832637881</c:v>
                </c:pt>
                <c:pt idx="72">
                  <c:v>-0.48501597509298655</c:v>
                </c:pt>
                <c:pt idx="73">
                  <c:v>0.66975702900530898</c:v>
                </c:pt>
                <c:pt idx="74">
                  <c:v>0.73338316206038634</c:v>
                </c:pt>
                <c:pt idx="75">
                  <c:v>-3.6139922210168614</c:v>
                </c:pt>
                <c:pt idx="76">
                  <c:v>-2.3352204289236091</c:v>
                </c:pt>
                <c:pt idx="77">
                  <c:v>-0.78699077756001756</c:v>
                </c:pt>
                <c:pt idx="78">
                  <c:v>-7.9261148665988657E-2</c:v>
                </c:pt>
                <c:pt idx="79">
                  <c:v>-0.82223525559260935</c:v>
                </c:pt>
                <c:pt idx="80">
                  <c:v>2.6734675962121628</c:v>
                </c:pt>
                <c:pt idx="81">
                  <c:v>-1.1415487479246877</c:v>
                </c:pt>
                <c:pt idx="82">
                  <c:v>3.9107216315941784</c:v>
                </c:pt>
                <c:pt idx="83">
                  <c:v>0.65661966075604639</c:v>
                </c:pt>
                <c:pt idx="84">
                  <c:v>0.61605239359653474</c:v>
                </c:pt>
                <c:pt idx="85">
                  <c:v>-0.95695492051195608</c:v>
                </c:pt>
                <c:pt idx="86">
                  <c:v>-0.43813124190277186</c:v>
                </c:pt>
                <c:pt idx="87">
                  <c:v>0.70539602168519799</c:v>
                </c:pt>
                <c:pt idx="88">
                  <c:v>0.57469258907529941</c:v>
                </c:pt>
                <c:pt idx="89">
                  <c:v>4.3034301206074463</c:v>
                </c:pt>
                <c:pt idx="90">
                  <c:v>2.0531862946605042</c:v>
                </c:pt>
                <c:pt idx="91">
                  <c:v>1.6716834791620396</c:v>
                </c:pt>
                <c:pt idx="92">
                  <c:v>1.9038150120290016</c:v>
                </c:pt>
                <c:pt idx="93">
                  <c:v>4.4807112773373152</c:v>
                </c:pt>
                <c:pt idx="94">
                  <c:v>4.7367504737379438</c:v>
                </c:pt>
                <c:pt idx="95">
                  <c:v>-0.79661098902103511</c:v>
                </c:pt>
                <c:pt idx="96">
                  <c:v>-0.47747795635063639</c:v>
                </c:pt>
                <c:pt idx="97">
                  <c:v>-1.7637205065450168</c:v>
                </c:pt>
                <c:pt idx="98">
                  <c:v>-1.4498026083788922</c:v>
                </c:pt>
                <c:pt idx="99">
                  <c:v>-1.2598282610725136</c:v>
                </c:pt>
                <c:pt idx="100">
                  <c:v>3.2614195376336141</c:v>
                </c:pt>
                <c:pt idx="101">
                  <c:v>-1.3025277700604043</c:v>
                </c:pt>
                <c:pt idx="102">
                  <c:v>2.7519303195177276</c:v>
                </c:pt>
                <c:pt idx="103">
                  <c:v>3.5671884877522988</c:v>
                </c:pt>
                <c:pt idx="104">
                  <c:v>3.3399437606035054</c:v>
                </c:pt>
                <c:pt idx="105">
                  <c:v>1.7174950897958237</c:v>
                </c:pt>
                <c:pt idx="106">
                  <c:v>-2.2396789083371047</c:v>
                </c:pt>
                <c:pt idx="107">
                  <c:v>-5.0767456065881227</c:v>
                </c:pt>
                <c:pt idx="108">
                  <c:v>-1.6588631337015549</c:v>
                </c:pt>
                <c:pt idx="109">
                  <c:v>-2.4729960533551996</c:v>
                </c:pt>
                <c:pt idx="110">
                  <c:v>-7.8290857330241366</c:v>
                </c:pt>
                <c:pt idx="111">
                  <c:v>-3.9085506932811391</c:v>
                </c:pt>
                <c:pt idx="112">
                  <c:v>-0.73109303265432501</c:v>
                </c:pt>
                <c:pt idx="113">
                  <c:v>1.0068177646571783</c:v>
                </c:pt>
                <c:pt idx="114">
                  <c:v>2.0378198619181997</c:v>
                </c:pt>
                <c:pt idx="115">
                  <c:v>5.4103252625320817</c:v>
                </c:pt>
                <c:pt idx="116">
                  <c:v>1.3259268277455334</c:v>
                </c:pt>
                <c:pt idx="117">
                  <c:v>-1.7785028434634249</c:v>
                </c:pt>
                <c:pt idx="118">
                  <c:v>-3.3718766553972692</c:v>
                </c:pt>
                <c:pt idx="119">
                  <c:v>-2.5828050344495139</c:v>
                </c:pt>
                <c:pt idx="120">
                  <c:v>-1.3392384454388306</c:v>
                </c:pt>
                <c:pt idx="121">
                  <c:v>1.3315537016991215</c:v>
                </c:pt>
                <c:pt idx="122">
                  <c:v>-1.8512794433860797</c:v>
                </c:pt>
                <c:pt idx="123">
                  <c:v>-3.5103684388266583</c:v>
                </c:pt>
                <c:pt idx="124">
                  <c:v>-0.70016081502367911</c:v>
                </c:pt>
                <c:pt idx="125">
                  <c:v>-2.6367038878944378</c:v>
                </c:pt>
                <c:pt idx="126">
                  <c:v>-4.4341642053186554</c:v>
                </c:pt>
                <c:pt idx="127">
                  <c:v>1.9523448025636938</c:v>
                </c:pt>
                <c:pt idx="128">
                  <c:v>1.7600781462322068</c:v>
                </c:pt>
                <c:pt idx="129">
                  <c:v>2.3426546425333044</c:v>
                </c:pt>
                <c:pt idx="130">
                  <c:v>1.1396571614401232</c:v>
                </c:pt>
                <c:pt idx="131">
                  <c:v>-1.180991426591703</c:v>
                </c:pt>
                <c:pt idx="132">
                  <c:v>-1.7730602397086841</c:v>
                </c:pt>
                <c:pt idx="133">
                  <c:v>4.9554717836389983E-2</c:v>
                </c:pt>
                <c:pt idx="134">
                  <c:v>1.2912573129919682</c:v>
                </c:pt>
                <c:pt idx="135">
                  <c:v>1.2789483977625249</c:v>
                </c:pt>
                <c:pt idx="136">
                  <c:v>1.0536274709042726</c:v>
                </c:pt>
                <c:pt idx="137">
                  <c:v>1.8077221917049915</c:v>
                </c:pt>
                <c:pt idx="138">
                  <c:v>4.0965547880924547E-2</c:v>
                </c:pt>
                <c:pt idx="139">
                  <c:v>1.69613484223661</c:v>
                </c:pt>
                <c:pt idx="140">
                  <c:v>-2.8598553304899319</c:v>
                </c:pt>
                <c:pt idx="141">
                  <c:v>-0.974919238706633</c:v>
                </c:pt>
                <c:pt idx="142">
                  <c:v>0.18474212911044319</c:v>
                </c:pt>
                <c:pt idx="143">
                  <c:v>3.1232816204436382</c:v>
                </c:pt>
                <c:pt idx="144">
                  <c:v>2.0282570519364391</c:v>
                </c:pt>
                <c:pt idx="145">
                  <c:v>-3.9957839806696711</c:v>
                </c:pt>
                <c:pt idx="146">
                  <c:v>-1.2970472537835604</c:v>
                </c:pt>
                <c:pt idx="147">
                  <c:v>-1.8314383562821455</c:v>
                </c:pt>
                <c:pt idx="148">
                  <c:v>-0.3925884263777526</c:v>
                </c:pt>
                <c:pt idx="149">
                  <c:v>2.3274871252693856</c:v>
                </c:pt>
                <c:pt idx="150">
                  <c:v>-0.26139525343694814</c:v>
                </c:pt>
                <c:pt idx="151">
                  <c:v>-0.11168555895376997</c:v>
                </c:pt>
                <c:pt idx="152">
                  <c:v>-3.7841971730287831</c:v>
                </c:pt>
                <c:pt idx="153">
                  <c:v>-5.1715440075707697</c:v>
                </c:pt>
                <c:pt idx="154">
                  <c:v>5.0652238427025473</c:v>
                </c:pt>
                <c:pt idx="155">
                  <c:v>2.504878451617401</c:v>
                </c:pt>
                <c:pt idx="156">
                  <c:v>3.8797325690618791</c:v>
                </c:pt>
                <c:pt idx="157">
                  <c:v>2.6523259339583589</c:v>
                </c:pt>
                <c:pt idx="158">
                  <c:v>1.2378593083862377</c:v>
                </c:pt>
                <c:pt idx="159">
                  <c:v>0.10604405246736448</c:v>
                </c:pt>
                <c:pt idx="160">
                  <c:v>-1.6583464934894252</c:v>
                </c:pt>
                <c:pt idx="161">
                  <c:v>1.376589056038874</c:v>
                </c:pt>
                <c:pt idx="162">
                  <c:v>0.84290656246490414</c:v>
                </c:pt>
                <c:pt idx="163">
                  <c:v>0.7644289124161503</c:v>
                </c:pt>
                <c:pt idx="164">
                  <c:v>-6.1903709804526379</c:v>
                </c:pt>
                <c:pt idx="165">
                  <c:v>1.8197370870706422</c:v>
                </c:pt>
                <c:pt idx="166">
                  <c:v>0.37919905367259332</c:v>
                </c:pt>
                <c:pt idx="167">
                  <c:v>-0.95237145896010134</c:v>
                </c:pt>
                <c:pt idx="168">
                  <c:v>6.0041341994406139E-2</c:v>
                </c:pt>
                <c:pt idx="169">
                  <c:v>-0.15068043627800165</c:v>
                </c:pt>
                <c:pt idx="170">
                  <c:v>-1.8599396988075902</c:v>
                </c:pt>
                <c:pt idx="171">
                  <c:v>-0.92938361389779089</c:v>
                </c:pt>
                <c:pt idx="172">
                  <c:v>-2.6466490817625541</c:v>
                </c:pt>
                <c:pt idx="173">
                  <c:v>0.67571731931547774</c:v>
                </c:pt>
                <c:pt idx="174">
                  <c:v>-0.61093282280584305</c:v>
                </c:pt>
                <c:pt idx="175">
                  <c:v>-1.0854465032026219</c:v>
                </c:pt>
                <c:pt idx="176">
                  <c:v>0.13254890189829283</c:v>
                </c:pt>
                <c:pt idx="177">
                  <c:v>-0.765846493947695</c:v>
                </c:pt>
                <c:pt idx="178">
                  <c:v>1.1228260147205198</c:v>
                </c:pt>
                <c:pt idx="179">
                  <c:v>3.5587311688088406</c:v>
                </c:pt>
                <c:pt idx="180">
                  <c:v>1.828791828142446</c:v>
                </c:pt>
                <c:pt idx="181">
                  <c:v>-2.4878378777137478</c:v>
                </c:pt>
                <c:pt idx="182">
                  <c:v>1.4110126274454338</c:v>
                </c:pt>
                <c:pt idx="183">
                  <c:v>0.59486986405738662</c:v>
                </c:pt>
                <c:pt idx="184">
                  <c:v>-0.54650458687876835</c:v>
                </c:pt>
                <c:pt idx="185">
                  <c:v>3.0093790588522165</c:v>
                </c:pt>
                <c:pt idx="186">
                  <c:v>1.5451606380097136</c:v>
                </c:pt>
                <c:pt idx="187">
                  <c:v>-0.59636691284314125</c:v>
                </c:pt>
                <c:pt idx="188">
                  <c:v>0.20421624229471114</c:v>
                </c:pt>
                <c:pt idx="189">
                  <c:v>1.8877517386659264</c:v>
                </c:pt>
                <c:pt idx="190">
                  <c:v>2.5765310522476419</c:v>
                </c:pt>
                <c:pt idx="191">
                  <c:v>2.4602681066078418</c:v>
                </c:pt>
                <c:pt idx="192">
                  <c:v>1.4760175960932358</c:v>
                </c:pt>
                <c:pt idx="193">
                  <c:v>2.0425580859860943</c:v>
                </c:pt>
                <c:pt idx="194">
                  <c:v>-1.6743835180355191</c:v>
                </c:pt>
                <c:pt idx="195">
                  <c:v>-9.9355250280733998E-2</c:v>
                </c:pt>
                <c:pt idx="196">
                  <c:v>2.7836585992126288</c:v>
                </c:pt>
                <c:pt idx="197">
                  <c:v>2.0042151577847243</c:v>
                </c:pt>
                <c:pt idx="198">
                  <c:v>-0.74286118555716385</c:v>
                </c:pt>
                <c:pt idx="199">
                  <c:v>0.63619961962943705</c:v>
                </c:pt>
                <c:pt idx="200">
                  <c:v>-2.8959628057064499</c:v>
                </c:pt>
                <c:pt idx="201">
                  <c:v>-0.15020949522026683</c:v>
                </c:pt>
                <c:pt idx="202">
                  <c:v>3.047023317370595</c:v>
                </c:pt>
                <c:pt idx="203">
                  <c:v>-3.6348436367433123E-2</c:v>
                </c:pt>
                <c:pt idx="204">
                  <c:v>2.550840821068789</c:v>
                </c:pt>
                <c:pt idx="205">
                  <c:v>-2.4379948646308129</c:v>
                </c:pt>
                <c:pt idx="206">
                  <c:v>-2.7206667657694741</c:v>
                </c:pt>
                <c:pt idx="207">
                  <c:v>-3.0577077581663765</c:v>
                </c:pt>
                <c:pt idx="208">
                  <c:v>-4.5764812301851023</c:v>
                </c:pt>
                <c:pt idx="209">
                  <c:v>-2.2533216473388471</c:v>
                </c:pt>
                <c:pt idx="210">
                  <c:v>3.4942824234881282</c:v>
                </c:pt>
                <c:pt idx="211">
                  <c:v>-2.2195683197987552</c:v>
                </c:pt>
                <c:pt idx="212">
                  <c:v>-3.3998270778984754</c:v>
                </c:pt>
                <c:pt idx="213">
                  <c:v>-3.6573790445660741</c:v>
                </c:pt>
                <c:pt idx="214">
                  <c:v>1.3593397524264255</c:v>
                </c:pt>
                <c:pt idx="215">
                  <c:v>2.671082604630751</c:v>
                </c:pt>
                <c:pt idx="216">
                  <c:v>4.7050241595151867</c:v>
                </c:pt>
                <c:pt idx="217">
                  <c:v>-0.83495458992066673</c:v>
                </c:pt>
                <c:pt idx="218">
                  <c:v>2.8854816548218345</c:v>
                </c:pt>
                <c:pt idx="219">
                  <c:v>-3.9340232312692791E-2</c:v>
                </c:pt>
                <c:pt idx="220">
                  <c:v>-0.19621961996562121</c:v>
                </c:pt>
                <c:pt idx="221">
                  <c:v>-0.72287973238234216</c:v>
                </c:pt>
                <c:pt idx="222">
                  <c:v>-0.6816132213423689</c:v>
                </c:pt>
                <c:pt idx="223">
                  <c:v>-2.4304068121286626</c:v>
                </c:pt>
                <c:pt idx="224">
                  <c:v>7.3966146675417122E-3</c:v>
                </c:pt>
                <c:pt idx="225">
                  <c:v>-0.53580707400123373</c:v>
                </c:pt>
                <c:pt idx="226">
                  <c:v>-1.599927447495574</c:v>
                </c:pt>
                <c:pt idx="227">
                  <c:v>0.75046015520093512</c:v>
                </c:pt>
                <c:pt idx="228">
                  <c:v>-0.19038619316589767</c:v>
                </c:pt>
                <c:pt idx="229">
                  <c:v>0.94447198432360757</c:v>
                </c:pt>
                <c:pt idx="230">
                  <c:v>0.82941137037958335</c:v>
                </c:pt>
                <c:pt idx="231">
                  <c:v>-1.3879665956755609</c:v>
                </c:pt>
                <c:pt idx="232">
                  <c:v>0.26301018510237029</c:v>
                </c:pt>
                <c:pt idx="233">
                  <c:v>-2.913077108573102</c:v>
                </c:pt>
                <c:pt idx="234">
                  <c:v>1.3551962612826642</c:v>
                </c:pt>
                <c:pt idx="235">
                  <c:v>2.3684790614484079</c:v>
                </c:pt>
                <c:pt idx="236">
                  <c:v>5.8147271312820301</c:v>
                </c:pt>
                <c:pt idx="237">
                  <c:v>-0.46069525643412135</c:v>
                </c:pt>
                <c:pt idx="238">
                  <c:v>1.3778608081036268</c:v>
                </c:pt>
                <c:pt idx="239">
                  <c:v>-3.7710553172809931</c:v>
                </c:pt>
                <c:pt idx="240">
                  <c:v>-5.0266164271851963</c:v>
                </c:pt>
                <c:pt idx="241">
                  <c:v>-4.5409961153210432</c:v>
                </c:pt>
                <c:pt idx="242">
                  <c:v>12.602811720767161</c:v>
                </c:pt>
                <c:pt idx="243">
                  <c:v>6.8963199862834372</c:v>
                </c:pt>
                <c:pt idx="244">
                  <c:v>2.2457806066314703</c:v>
                </c:pt>
                <c:pt idx="245">
                  <c:v>9.5684176990801291</c:v>
                </c:pt>
                <c:pt idx="246">
                  <c:v>4.7389597834632013</c:v>
                </c:pt>
                <c:pt idx="247">
                  <c:v>-0.6651974601030517</c:v>
                </c:pt>
                <c:pt idx="248">
                  <c:v>1.1953200560963779</c:v>
                </c:pt>
                <c:pt idx="249">
                  <c:v>1.1436375376485692</c:v>
                </c:pt>
                <c:pt idx="250">
                  <c:v>-0.58561698530091277</c:v>
                </c:pt>
                <c:pt idx="251">
                  <c:v>-1.3720389585806885</c:v>
                </c:pt>
                <c:pt idx="252">
                  <c:v>-2.7964321049882805</c:v>
                </c:pt>
                <c:pt idx="253">
                  <c:v>0.91176633516874261</c:v>
                </c:pt>
                <c:pt idx="254">
                  <c:v>0.10155334534412219</c:v>
                </c:pt>
                <c:pt idx="255">
                  <c:v>-2.2747390895169772</c:v>
                </c:pt>
                <c:pt idx="256">
                  <c:v>2.9570024355990654E-2</c:v>
                </c:pt>
                <c:pt idx="257">
                  <c:v>-1.6647845954010201</c:v>
                </c:pt>
                <c:pt idx="258">
                  <c:v>-0.67405350824827792</c:v>
                </c:pt>
                <c:pt idx="259">
                  <c:v>-2.0749842078873826</c:v>
                </c:pt>
                <c:pt idx="260">
                  <c:v>-0.49312376482210496</c:v>
                </c:pt>
                <c:pt idx="261">
                  <c:v>-1.5671289334489522</c:v>
                </c:pt>
                <c:pt idx="262">
                  <c:v>-2.8044704718690383</c:v>
                </c:pt>
                <c:pt idx="263">
                  <c:v>1.042161873311656</c:v>
                </c:pt>
                <c:pt idx="264">
                  <c:v>2.6262677635569602</c:v>
                </c:pt>
                <c:pt idx="265">
                  <c:v>0.55535020932586576</c:v>
                </c:pt>
                <c:pt idx="266">
                  <c:v>-1.0286374266974114</c:v>
                </c:pt>
                <c:pt idx="267">
                  <c:v>4.0196710083654992</c:v>
                </c:pt>
                <c:pt idx="268">
                  <c:v>-6.0724987233543857</c:v>
                </c:pt>
                <c:pt idx="269">
                  <c:v>-0.5856315812431383</c:v>
                </c:pt>
                <c:pt idx="270">
                  <c:v>0.24660383734888214</c:v>
                </c:pt>
                <c:pt idx="271">
                  <c:v>-3.7969899171101531</c:v>
                </c:pt>
                <c:pt idx="272">
                  <c:v>-5.0256878970144285</c:v>
                </c:pt>
                <c:pt idx="273">
                  <c:v>-6.398860413350338</c:v>
                </c:pt>
                <c:pt idx="274">
                  <c:v>-3.7080665501010195</c:v>
                </c:pt>
                <c:pt idx="275">
                  <c:v>-5.7018753616404823</c:v>
                </c:pt>
                <c:pt idx="276">
                  <c:v>1.4015662037741912</c:v>
                </c:pt>
                <c:pt idx="277">
                  <c:v>-3.4940039844357784E-2</c:v>
                </c:pt>
                <c:pt idx="278">
                  <c:v>-1.9994993805740364</c:v>
                </c:pt>
                <c:pt idx="279">
                  <c:v>-5.4777362910350398</c:v>
                </c:pt>
                <c:pt idx="280">
                  <c:v>-3.4353579566860937</c:v>
                </c:pt>
                <c:pt idx="281">
                  <c:v>-3.6041439871102376</c:v>
                </c:pt>
                <c:pt idx="282">
                  <c:v>-2.3984009346033162</c:v>
                </c:pt>
                <c:pt idx="283">
                  <c:v>-3.2432836802764626</c:v>
                </c:pt>
                <c:pt idx="284">
                  <c:v>-3.2418007179684238</c:v>
                </c:pt>
                <c:pt idx="285">
                  <c:v>-3.0311116189096978</c:v>
                </c:pt>
                <c:pt idx="286">
                  <c:v>-2.0127346166599231</c:v>
                </c:pt>
                <c:pt idx="287">
                  <c:v>-0.30445188157722214</c:v>
                </c:pt>
                <c:pt idx="288">
                  <c:v>-3.4648982391989804</c:v>
                </c:pt>
                <c:pt idx="289">
                  <c:v>-2.3143435995966009</c:v>
                </c:pt>
                <c:pt idx="290">
                  <c:v>-0.91222407969395647</c:v>
                </c:pt>
                <c:pt idx="291">
                  <c:v>-0.93543584763307308</c:v>
                </c:pt>
                <c:pt idx="292">
                  <c:v>1.2983341994516522</c:v>
                </c:pt>
                <c:pt idx="293">
                  <c:v>4.8980237129467596</c:v>
                </c:pt>
                <c:pt idx="294">
                  <c:v>0.42082247235989456</c:v>
                </c:pt>
                <c:pt idx="295">
                  <c:v>0.78859467635053804</c:v>
                </c:pt>
                <c:pt idx="296">
                  <c:v>2.9793327368628368</c:v>
                </c:pt>
                <c:pt idx="297">
                  <c:v>0.76965081548960512</c:v>
                </c:pt>
                <c:pt idx="298">
                  <c:v>0.88066900323286035</c:v>
                </c:pt>
                <c:pt idx="299">
                  <c:v>4.6787026337196167</c:v>
                </c:pt>
                <c:pt idx="300">
                  <c:v>4.7255371529637742</c:v>
                </c:pt>
                <c:pt idx="301">
                  <c:v>-0.77381686786808856</c:v>
                </c:pt>
                <c:pt idx="302">
                  <c:v>5.4700697595587648</c:v>
                </c:pt>
                <c:pt idx="303">
                  <c:v>1.5831867918953009</c:v>
                </c:pt>
                <c:pt idx="304">
                  <c:v>2.0093493696000841</c:v>
                </c:pt>
                <c:pt idx="305">
                  <c:v>0.54099687918733608</c:v>
                </c:pt>
                <c:pt idx="306">
                  <c:v>6.1059694957719941</c:v>
                </c:pt>
                <c:pt idx="307">
                  <c:v>5.7935096405499564</c:v>
                </c:pt>
                <c:pt idx="308">
                  <c:v>1.1206073950828923</c:v>
                </c:pt>
                <c:pt idx="309">
                  <c:v>-1.8874636127849627</c:v>
                </c:pt>
                <c:pt idx="310">
                  <c:v>0.56001834522155036</c:v>
                </c:pt>
                <c:pt idx="311">
                  <c:v>-2.8374082084790047</c:v>
                </c:pt>
                <c:pt idx="312">
                  <c:v>-3.4977256262836747</c:v>
                </c:pt>
                <c:pt idx="313">
                  <c:v>-4.8918325835660603</c:v>
                </c:pt>
                <c:pt idx="314">
                  <c:v>-8.1779015490519313</c:v>
                </c:pt>
                <c:pt idx="315">
                  <c:v>-1.1512318724778225</c:v>
                </c:pt>
                <c:pt idx="316">
                  <c:v>-2.9302606022791373</c:v>
                </c:pt>
                <c:pt idx="317">
                  <c:v>-2.5295064065369779</c:v>
                </c:pt>
                <c:pt idx="318">
                  <c:v>2.8996754982406117</c:v>
                </c:pt>
                <c:pt idx="319">
                  <c:v>-3.0320431699243144</c:v>
                </c:pt>
                <c:pt idx="320">
                  <c:v>10.420779520197172</c:v>
                </c:pt>
                <c:pt idx="321">
                  <c:v>-2.0761379561316389</c:v>
                </c:pt>
                <c:pt idx="322">
                  <c:v>4.6207795201971678</c:v>
                </c:pt>
                <c:pt idx="323">
                  <c:v>7.8401542785589129</c:v>
                </c:pt>
                <c:pt idx="324">
                  <c:v>8.2059816823380984</c:v>
                </c:pt>
                <c:pt idx="325">
                  <c:v>4.6284093027521713</c:v>
                </c:pt>
                <c:pt idx="326">
                  <c:v>-0.25259781271280346</c:v>
                </c:pt>
                <c:pt idx="327">
                  <c:v>7.1367918841739026</c:v>
                </c:pt>
                <c:pt idx="328">
                  <c:v>-2.1695317793666646</c:v>
                </c:pt>
                <c:pt idx="329">
                  <c:v>-7.6477299817195252</c:v>
                </c:pt>
                <c:pt idx="330">
                  <c:v>1.6592681531778339</c:v>
                </c:pt>
                <c:pt idx="331">
                  <c:v>-10.341319380742693</c:v>
                </c:pt>
                <c:pt idx="332">
                  <c:v>1.2908850469740116</c:v>
                </c:pt>
                <c:pt idx="333">
                  <c:v>-2.7541697254070243</c:v>
                </c:pt>
                <c:pt idx="334">
                  <c:v>-2.0505502080081222</c:v>
                </c:pt>
                <c:pt idx="335">
                  <c:v>-1.9163703138161914</c:v>
                </c:pt>
                <c:pt idx="336">
                  <c:v>-2.6624285024146133</c:v>
                </c:pt>
                <c:pt idx="337">
                  <c:v>-4.1385252176636165</c:v>
                </c:pt>
                <c:pt idx="338">
                  <c:v>0.21780228240462307</c:v>
                </c:pt>
                <c:pt idx="339">
                  <c:v>3.6458283829900182</c:v>
                </c:pt>
                <c:pt idx="340">
                  <c:v>6.310785739624265</c:v>
                </c:pt>
                <c:pt idx="341">
                  <c:v>-0.29638220502731372</c:v>
                </c:pt>
                <c:pt idx="342">
                  <c:v>-1.4384177487419265</c:v>
                </c:pt>
                <c:pt idx="343">
                  <c:v>2.7734115219904893</c:v>
                </c:pt>
                <c:pt idx="344">
                  <c:v>3.8044504472636262</c:v>
                </c:pt>
                <c:pt idx="345">
                  <c:v>-2.7246085997717273E-2</c:v>
                </c:pt>
                <c:pt idx="346">
                  <c:v>3.7160745768104135</c:v>
                </c:pt>
                <c:pt idx="347">
                  <c:v>2.5877848061476421</c:v>
                </c:pt>
                <c:pt idx="348">
                  <c:v>-0.21600647278824781</c:v>
                </c:pt>
                <c:pt idx="349">
                  <c:v>0.13012781877231561</c:v>
                </c:pt>
                <c:pt idx="350">
                  <c:v>0.82565360107834351</c:v>
                </c:pt>
                <c:pt idx="351">
                  <c:v>0.23451694719468463</c:v>
                </c:pt>
                <c:pt idx="352">
                  <c:v>2.482204794039145</c:v>
                </c:pt>
                <c:pt idx="353">
                  <c:v>0.86132375554941021</c:v>
                </c:pt>
                <c:pt idx="354">
                  <c:v>0.59338841021498112</c:v>
                </c:pt>
                <c:pt idx="355">
                  <c:v>2.7740110093426367</c:v>
                </c:pt>
                <c:pt idx="356">
                  <c:v>-3.3149690543959274</c:v>
                </c:pt>
                <c:pt idx="357">
                  <c:v>-4.2981240381282575</c:v>
                </c:pt>
                <c:pt idx="358">
                  <c:v>-1.7448415832330646</c:v>
                </c:pt>
                <c:pt idx="359">
                  <c:v>3.9436022376854218</c:v>
                </c:pt>
                <c:pt idx="360">
                  <c:v>-6.0995179995774151</c:v>
                </c:pt>
                <c:pt idx="361">
                  <c:v>-6.6975869013157485</c:v>
                </c:pt>
                <c:pt idx="362">
                  <c:v>-2.2817597840481199</c:v>
                </c:pt>
                <c:pt idx="363">
                  <c:v>-3.1045439475190335</c:v>
                </c:pt>
                <c:pt idx="364">
                  <c:v>2.6549451967773656</c:v>
                </c:pt>
                <c:pt idx="365">
                  <c:v>0.51763163163775872</c:v>
                </c:pt>
                <c:pt idx="366">
                  <c:v>-1.7517702810716216</c:v>
                </c:pt>
                <c:pt idx="367">
                  <c:v>-2.5910566701758633</c:v>
                </c:pt>
                <c:pt idx="368">
                  <c:v>-4.900353556303596</c:v>
                </c:pt>
                <c:pt idx="369">
                  <c:v>0.38839689000521815</c:v>
                </c:pt>
                <c:pt idx="370">
                  <c:v>1.396850389014368</c:v>
                </c:pt>
                <c:pt idx="371">
                  <c:v>-4.8816316398170514</c:v>
                </c:pt>
                <c:pt idx="372">
                  <c:v>4.8819408018573114</c:v>
                </c:pt>
                <c:pt idx="373">
                  <c:v>2.9955958255321065</c:v>
                </c:pt>
                <c:pt idx="374">
                  <c:v>1.4051258261259463</c:v>
                </c:pt>
                <c:pt idx="375">
                  <c:v>1.4219011434101603</c:v>
                </c:pt>
                <c:pt idx="376">
                  <c:v>-0.45674863175286617</c:v>
                </c:pt>
                <c:pt idx="377">
                  <c:v>2.0768153801538105</c:v>
                </c:pt>
                <c:pt idx="378">
                  <c:v>-3.9231846198461895</c:v>
                </c:pt>
                <c:pt idx="379">
                  <c:v>2.2287146686073172</c:v>
                </c:pt>
                <c:pt idx="380">
                  <c:v>-3.2030330119305184</c:v>
                </c:pt>
                <c:pt idx="381">
                  <c:v>9.7454878622891279</c:v>
                </c:pt>
                <c:pt idx="382">
                  <c:v>-4.3180802485362868</c:v>
                </c:pt>
                <c:pt idx="383">
                  <c:v>-6.7275242056862794</c:v>
                </c:pt>
                <c:pt idx="384">
                  <c:v>9.1988637388229932E-2</c:v>
                </c:pt>
                <c:pt idx="385">
                  <c:v>4.4634167285852833</c:v>
                </c:pt>
                <c:pt idx="386">
                  <c:v>-1.5024451029257619</c:v>
                </c:pt>
                <c:pt idx="387">
                  <c:v>-2.3775203691586029</c:v>
                </c:pt>
                <c:pt idx="388">
                  <c:v>8.790691829294822</c:v>
                </c:pt>
                <c:pt idx="389">
                  <c:v>8.3668507451527319E-2</c:v>
                </c:pt>
                <c:pt idx="390">
                  <c:v>-2.3266214793276525</c:v>
                </c:pt>
                <c:pt idx="391">
                  <c:v>1.2031022299690619</c:v>
                </c:pt>
              </c:numCache>
            </c:numRef>
          </c:yVal>
          <c:smooth val="0"/>
          <c:extLst>
            <c:ext xmlns:c16="http://schemas.microsoft.com/office/drawing/2014/chart" uri="{C3380CC4-5D6E-409C-BE32-E72D297353CC}">
              <c16:uniqueId val="{00000001-8B9C-49A1-8BAA-A0C481C67462}"/>
            </c:ext>
          </c:extLst>
        </c:ser>
        <c:dLbls>
          <c:showLegendKey val="0"/>
          <c:showVal val="0"/>
          <c:showCatName val="0"/>
          <c:showSerName val="0"/>
          <c:showPercent val="0"/>
          <c:showBubbleSize val="0"/>
        </c:dLbls>
        <c:axId val="193238544"/>
        <c:axId val="193241424"/>
      </c:scatterChart>
      <c:valAx>
        <c:axId val="193238544"/>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93241424"/>
        <c:crosses val="autoZero"/>
        <c:crossBetween val="midCat"/>
      </c:valAx>
      <c:valAx>
        <c:axId val="193241424"/>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19323854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Normal Q-Q</a:t>
            </a:r>
          </a:p>
        </c:rich>
      </c:tx>
      <c:overlay val="0"/>
      <c:spPr>
        <a:solidFill>
          <a:srgbClr val="CAEDFB"/>
        </a:solidFill>
      </c:sp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Regression!RegChartQQY</c:f>
              <c:numCache>
                <c:formatCode>0.0000</c:formatCode>
                <c:ptCount val="392"/>
                <c:pt idx="0">
                  <c:v>-3.451682617569364</c:v>
                </c:pt>
                <c:pt idx="1">
                  <c:v>-2.7327997376671558</c:v>
                </c:pt>
                <c:pt idx="2">
                  <c:v>-2.6063331092365809</c:v>
                </c:pt>
                <c:pt idx="3">
                  <c:v>-2.5586120959927139</c:v>
                </c:pt>
                <c:pt idx="4">
                  <c:v>-2.2382603266400936</c:v>
                </c:pt>
                <c:pt idx="5">
                  <c:v>-2.2366030601609661</c:v>
                </c:pt>
                <c:pt idx="6">
                  <c:v>-2.1379379429147822</c:v>
                </c:pt>
                <c:pt idx="7">
                  <c:v>-2.0636596826638138</c:v>
                </c:pt>
                <c:pt idx="8">
                  <c:v>-2.0302994659393137</c:v>
                </c:pt>
                <c:pt idx="9">
                  <c:v>-2.0195065214468055</c:v>
                </c:pt>
                <c:pt idx="10">
                  <c:v>-2.0157358299478276</c:v>
                </c:pt>
                <c:pt idx="11">
                  <c:v>-1.9076726580567764</c:v>
                </c:pt>
                <c:pt idx="12">
                  <c:v>-1.8200175308828721</c:v>
                </c:pt>
                <c:pt idx="13">
                  <c:v>-1.7231986194513169</c:v>
                </c:pt>
                <c:pt idx="14">
                  <c:v>-1.6897180627740656</c:v>
                </c:pt>
                <c:pt idx="15">
                  <c:v>-1.6852434476538711</c:v>
                </c:pt>
                <c:pt idx="16">
                  <c:v>-1.674643980926678</c:v>
                </c:pt>
                <c:pt idx="17">
                  <c:v>-1.6319415081566522</c:v>
                </c:pt>
                <c:pt idx="18">
                  <c:v>-1.6266867098316846</c:v>
                </c:pt>
                <c:pt idx="19">
                  <c:v>-1.626368466519942</c:v>
                </c:pt>
                <c:pt idx="20">
                  <c:v>-1.5268692799723598</c:v>
                </c:pt>
                <c:pt idx="21">
                  <c:v>-1.5175419689962188</c:v>
                </c:pt>
                <c:pt idx="22">
                  <c:v>-1.476936332318173</c:v>
                </c:pt>
                <c:pt idx="23">
                  <c:v>-1.4375278289347968</c:v>
                </c:pt>
                <c:pt idx="24">
                  <c:v>-1.4339281629923637</c:v>
                </c:pt>
                <c:pt idx="25">
                  <c:v>-1.3818722583783212</c:v>
                </c:pt>
                <c:pt idx="26">
                  <c:v>-1.3375231715810603</c:v>
                </c:pt>
                <c:pt idx="27">
                  <c:v>-1.3070680932321534</c:v>
                </c:pt>
                <c:pt idx="28">
                  <c:v>-1.2992210520172569</c:v>
                </c:pt>
                <c:pt idx="29">
                  <c:v>-1.2647682754399099</c:v>
                </c:pt>
                <c:pt idx="30">
                  <c:v>-1.2628813097867138</c:v>
                </c:pt>
                <c:pt idx="31">
                  <c:v>-1.2605695043801406</c:v>
                </c:pt>
                <c:pt idx="32">
                  <c:v>-1.2377760380844078</c:v>
                </c:pt>
                <c:pt idx="33">
                  <c:v>-1.2151675973963232</c:v>
                </c:pt>
                <c:pt idx="34">
                  <c:v>-1.2127928346337915</c:v>
                </c:pt>
                <c:pt idx="35">
                  <c:v>-1.2081383307454165</c:v>
                </c:pt>
                <c:pt idx="36">
                  <c:v>-1.1982691301329933</c:v>
                </c:pt>
                <c:pt idx="37">
                  <c:v>-1.1807393696594941</c:v>
                </c:pt>
                <c:pt idx="38">
                  <c:v>-1.1692507528849188</c:v>
                </c:pt>
                <c:pt idx="39">
                  <c:v>-1.1670319415810084</c:v>
                </c:pt>
                <c:pt idx="40">
                  <c:v>-1.1524014899843344</c:v>
                </c:pt>
                <c:pt idx="41">
                  <c:v>-1.1408976899843084</c:v>
                </c:pt>
                <c:pt idx="42">
                  <c:v>-1.1267405125615253</c:v>
                </c:pt>
                <c:pt idx="43">
                  <c:v>-1.1208436092324701</c:v>
                </c:pt>
                <c:pt idx="44">
                  <c:v>-1.1079659887017943</c:v>
                </c:pt>
                <c:pt idx="45">
                  <c:v>-1.0776013794312607</c:v>
                </c:pt>
                <c:pt idx="46">
                  <c:v>-1.0767196379396311</c:v>
                </c:pt>
                <c:pt idx="47">
                  <c:v>-1.063961351992486</c:v>
                </c:pt>
                <c:pt idx="48">
                  <c:v>-1.0306011185079671</c:v>
                </c:pt>
                <c:pt idx="49">
                  <c:v>-1.0254466826344879</c:v>
                </c:pt>
                <c:pt idx="50">
                  <c:v>-1.0214074988536554</c:v>
                </c:pt>
                <c:pt idx="51">
                  <c:v>-1.0101337973139433</c:v>
                </c:pt>
                <c:pt idx="52">
                  <c:v>-1.0076315540428575</c:v>
                </c:pt>
                <c:pt idx="53">
                  <c:v>-1.0042751043337586</c:v>
                </c:pt>
                <c:pt idx="54">
                  <c:v>-0.97713360215343181</c:v>
                </c:pt>
                <c:pt idx="55">
                  <c:v>-0.97305252208919601</c:v>
                </c:pt>
                <c:pt idx="56">
                  <c:v>-0.95975295748031297</c:v>
                </c:pt>
                <c:pt idx="57">
                  <c:v>-0.95733088971303293</c:v>
                </c:pt>
                <c:pt idx="58">
                  <c:v>-0.94749992351059853</c:v>
                </c:pt>
                <c:pt idx="59">
                  <c:v>-0.93736805879047125</c:v>
                </c:pt>
                <c:pt idx="60">
                  <c:v>-0.93176894037652425</c:v>
                </c:pt>
                <c:pt idx="61">
                  <c:v>-0.92704752263459855</c:v>
                </c:pt>
                <c:pt idx="62">
                  <c:v>-0.91766871471414835</c:v>
                </c:pt>
                <c:pt idx="63">
                  <c:v>-0.90311709621559733</c:v>
                </c:pt>
                <c:pt idx="64">
                  <c:v>-0.89847347465828342</c:v>
                </c:pt>
                <c:pt idx="65">
                  <c:v>-0.89544945314468438</c:v>
                </c:pt>
                <c:pt idx="66">
                  <c:v>-0.88698134092906744</c:v>
                </c:pt>
                <c:pt idx="67">
                  <c:v>-0.87909939485507749</c:v>
                </c:pt>
                <c:pt idx="68">
                  <c:v>-0.87855079557956628</c:v>
                </c:pt>
                <c:pt idx="69">
                  <c:v>-0.87508847543410839</c:v>
                </c:pt>
                <c:pt idx="70">
                  <c:v>-0.86006936817939506</c:v>
                </c:pt>
                <c:pt idx="71">
                  <c:v>-0.85847137129503925</c:v>
                </c:pt>
                <c:pt idx="72">
                  <c:v>-0.84358082508022647</c:v>
                </c:pt>
                <c:pt idx="73">
                  <c:v>-0.82893417664067559</c:v>
                </c:pt>
                <c:pt idx="74">
                  <c:v>-0.82687344310871891</c:v>
                </c:pt>
                <c:pt idx="75">
                  <c:v>-0.82281965858508455</c:v>
                </c:pt>
                <c:pt idx="76">
                  <c:v>-0.81252205315323123</c:v>
                </c:pt>
                <c:pt idx="77">
                  <c:v>-0.80833512211099123</c:v>
                </c:pt>
                <c:pt idx="78">
                  <c:v>-0.79604972147693909</c:v>
                </c:pt>
                <c:pt idx="79">
                  <c:v>-0.78933938116930435</c:v>
                </c:pt>
                <c:pt idx="80">
                  <c:v>-0.78110036437009633</c:v>
                </c:pt>
                <c:pt idx="81">
                  <c:v>-0.77256397256164244</c:v>
                </c:pt>
                <c:pt idx="82">
                  <c:v>-0.76844520954536322</c:v>
                </c:pt>
                <c:pt idx="83">
                  <c:v>-0.76325101320992539</c:v>
                </c:pt>
                <c:pt idx="84">
                  <c:v>-0.75950614299184971</c:v>
                </c:pt>
                <c:pt idx="85">
                  <c:v>-0.75751706682775866</c:v>
                </c:pt>
                <c:pt idx="86">
                  <c:v>-0.75457189916222867</c:v>
                </c:pt>
                <c:pt idx="87">
                  <c:v>-0.75452115641439366</c:v>
                </c:pt>
                <c:pt idx="88">
                  <c:v>-0.7470888487317634</c:v>
                </c:pt>
                <c:pt idx="89">
                  <c:v>-0.74192401686980614</c:v>
                </c:pt>
                <c:pt idx="90">
                  <c:v>-0.73626542374562209</c:v>
                </c:pt>
                <c:pt idx="91">
                  <c:v>-0.72283127398567093</c:v>
                </c:pt>
                <c:pt idx="92">
                  <c:v>-0.70648636894145744</c:v>
                </c:pt>
                <c:pt idx="93">
                  <c:v>-0.69392179736044413</c:v>
                </c:pt>
                <c:pt idx="94">
                  <c:v>-0.68678649689214288</c:v>
                </c:pt>
                <c:pt idx="95">
                  <c:v>-0.68324182750021967</c:v>
                </c:pt>
                <c:pt idx="96">
                  <c:v>-0.66878988326603028</c:v>
                </c:pt>
                <c:pt idx="97">
                  <c:v>-0.66377208981313063</c:v>
                </c:pt>
                <c:pt idx="98">
                  <c:v>-0.6561239243010768</c:v>
                </c:pt>
                <c:pt idx="99">
                  <c:v>-0.63802821850481628</c:v>
                </c:pt>
                <c:pt idx="100">
                  <c:v>-0.63228553332444026</c:v>
                </c:pt>
                <c:pt idx="101">
                  <c:v>-0.62096861122347158</c:v>
                </c:pt>
                <c:pt idx="102">
                  <c:v>-0.61593470926202398</c:v>
                </c:pt>
                <c:pt idx="103">
                  <c:v>-0.61509549983121481</c:v>
                </c:pt>
                <c:pt idx="104">
                  <c:v>-0.61264897901117887</c:v>
                </c:pt>
                <c:pt idx="105">
                  <c:v>-0.60409084446563566</c:v>
                </c:pt>
                <c:pt idx="106">
                  <c:v>-0.59179023453714319</c:v>
                </c:pt>
                <c:pt idx="107">
                  <c:v>-0.59082143000943876</c:v>
                </c:pt>
                <c:pt idx="108">
                  <c:v>-0.58466219481199555</c:v>
                </c:pt>
                <c:pt idx="109">
                  <c:v>-0.58163018536706346</c:v>
                </c:pt>
                <c:pt idx="110">
                  <c:v>-0.58074238683041934</c:v>
                </c:pt>
                <c:pt idx="111">
                  <c:v>-0.55753264896976684</c:v>
                </c:pt>
                <c:pt idx="112">
                  <c:v>-0.55221926921070585</c:v>
                </c:pt>
                <c:pt idx="113">
                  <c:v>-0.55194584126169699</c:v>
                </c:pt>
                <c:pt idx="114">
                  <c:v>-0.55072347548179312</c:v>
                </c:pt>
                <c:pt idx="115">
                  <c:v>-0.53338642732774066</c:v>
                </c:pt>
                <c:pt idx="116">
                  <c:v>-0.5239373665705841</c:v>
                </c:pt>
                <c:pt idx="117">
                  <c:v>-0.49892317917099677</c:v>
                </c:pt>
                <c:pt idx="118">
                  <c:v>-0.48011210341267641</c:v>
                </c:pt>
                <c:pt idx="119">
                  <c:v>-0.47899199098150524</c:v>
                </c:pt>
                <c:pt idx="120">
                  <c:v>-0.46498176646527506</c:v>
                </c:pt>
                <c:pt idx="121">
                  <c:v>-0.45454530660835657</c:v>
                </c:pt>
                <c:pt idx="122">
                  <c:v>-0.44392180663234571</c:v>
                </c:pt>
                <c:pt idx="123">
                  <c:v>-0.44348189348087841</c:v>
                </c:pt>
                <c:pt idx="124">
                  <c:v>-0.44257513070662241</c:v>
                </c:pt>
                <c:pt idx="125">
                  <c:v>-0.43529358270499124</c:v>
                </c:pt>
                <c:pt idx="126">
                  <c:v>-0.43384150629044232</c:v>
                </c:pt>
                <c:pt idx="127">
                  <c:v>-0.42839201056709808</c:v>
                </c:pt>
                <c:pt idx="128">
                  <c:v>-0.41823693209923823</c:v>
                </c:pt>
                <c:pt idx="129">
                  <c:v>-0.40591022394117865</c:v>
                </c:pt>
                <c:pt idx="130">
                  <c:v>-0.40193142131393461</c:v>
                </c:pt>
                <c:pt idx="131">
                  <c:v>-0.39486001875875998</c:v>
                </c:pt>
                <c:pt idx="132">
                  <c:v>-0.38508480762603547</c:v>
                </c:pt>
                <c:pt idx="133">
                  <c:v>-0.38135513775663676</c:v>
                </c:pt>
                <c:pt idx="134">
                  <c:v>-0.36253627723479914</c:v>
                </c:pt>
                <c:pt idx="135">
                  <c:v>-0.34222462819834659</c:v>
                </c:pt>
                <c:pt idx="136">
                  <c:v>-0.32610721496462935</c:v>
                </c:pt>
                <c:pt idx="137">
                  <c:v>-0.31654278630410199</c:v>
                </c:pt>
                <c:pt idx="138">
                  <c:v>-0.31629077006853967</c:v>
                </c:pt>
                <c:pt idx="139">
                  <c:v>-0.31311702677891717</c:v>
                </c:pt>
                <c:pt idx="140">
                  <c:v>-0.31053190188587437</c:v>
                </c:pt>
                <c:pt idx="141">
                  <c:v>-0.30358004022532814</c:v>
                </c:pt>
                <c:pt idx="142">
                  <c:v>-0.29588942339118851</c:v>
                </c:pt>
                <c:pt idx="143">
                  <c:v>-0.28991504577291177</c:v>
                </c:pt>
                <c:pt idx="144">
                  <c:v>-0.28923752793396956</c:v>
                </c:pt>
                <c:pt idx="145">
                  <c:v>-0.27897206548306047</c:v>
                </c:pt>
                <c:pt idx="146">
                  <c:v>-0.27496797490025326</c:v>
                </c:pt>
                <c:pt idx="147">
                  <c:v>-0.27449869399565818</c:v>
                </c:pt>
                <c:pt idx="148">
                  <c:v>-0.26432732427601768</c:v>
                </c:pt>
                <c:pt idx="149">
                  <c:v>-0.26364023528520003</c:v>
                </c:pt>
                <c:pt idx="150">
                  <c:v>-0.25886999570707309</c:v>
                </c:pt>
                <c:pt idx="151">
                  <c:v>-0.25571503432003556</c:v>
                </c:pt>
                <c:pt idx="152">
                  <c:v>-0.24814969353100777</c:v>
                </c:pt>
                <c:pt idx="153">
                  <c:v>-0.24289117425341836</c:v>
                </c:pt>
                <c:pt idx="154">
                  <c:v>-0.24068058859416963</c:v>
                </c:pt>
                <c:pt idx="155">
                  <c:v>-0.23318022611887829</c:v>
                </c:pt>
                <c:pt idx="156">
                  <c:v>-0.22773334599687814</c:v>
                </c:pt>
                <c:pt idx="157">
                  <c:v>-0.22349400460848995</c:v>
                </c:pt>
                <c:pt idx="158">
                  <c:v>-0.22021492268660475</c:v>
                </c:pt>
                <c:pt idx="159">
                  <c:v>-0.20291519301262079</c:v>
                </c:pt>
                <c:pt idx="160">
                  <c:v>-0.19933424776621109</c:v>
                </c:pt>
                <c:pt idx="161">
                  <c:v>-0.19789440550577952</c:v>
                </c:pt>
                <c:pt idx="162">
                  <c:v>-0.19419634887019871</c:v>
                </c:pt>
                <c:pt idx="163">
                  <c:v>-0.19410783505686552</c:v>
                </c:pt>
                <c:pt idx="164">
                  <c:v>-0.18942202796256102</c:v>
                </c:pt>
                <c:pt idx="165">
                  <c:v>-0.18217601115514115</c:v>
                </c:pt>
                <c:pt idx="166">
                  <c:v>-0.17875083851948473</c:v>
                </c:pt>
                <c:pt idx="167">
                  <c:v>-0.16374778792660116</c:v>
                </c:pt>
                <c:pt idx="168">
                  <c:v>-0.16166667853581243</c:v>
                </c:pt>
                <c:pt idx="169">
                  <c:v>-0.15803478633346987</c:v>
                </c:pt>
                <c:pt idx="170">
                  <c:v>-0.15390694742658717</c:v>
                </c:pt>
                <c:pt idx="171">
                  <c:v>-0.15234540833318785</c:v>
                </c:pt>
                <c:pt idx="172">
                  <c:v>-0.15142098901853582</c:v>
                </c:pt>
                <c:pt idx="173">
                  <c:v>-0.1498383863684378</c:v>
                </c:pt>
                <c:pt idx="174">
                  <c:v>-0.14480257381873282</c:v>
                </c:pt>
                <c:pt idx="175">
                  <c:v>-0.14215101395795865</c:v>
                </c:pt>
                <c:pt idx="176">
                  <c:v>-0.13131189884057423</c:v>
                </c:pt>
                <c:pt idx="177">
                  <c:v>-0.11985683096865939</c:v>
                </c:pt>
                <c:pt idx="178">
                  <c:v>-0.10402109723738548</c:v>
                </c:pt>
                <c:pt idx="179">
                  <c:v>-0.10145734321849456</c:v>
                </c:pt>
                <c:pt idx="180">
                  <c:v>-9.8723664725636207E-2</c:v>
                </c:pt>
                <c:pt idx="181">
                  <c:v>-8.6786137087073154E-2</c:v>
                </c:pt>
                <c:pt idx="182">
                  <c:v>-8.5231484219194242E-2</c:v>
                </c:pt>
                <c:pt idx="183">
                  <c:v>-7.1999000729864662E-2</c:v>
                </c:pt>
                <c:pt idx="184">
                  <c:v>-7.0617155228777803E-2</c:v>
                </c:pt>
                <c:pt idx="185">
                  <c:v>-6.5682072482441053E-2</c:v>
                </c:pt>
                <c:pt idx="186">
                  <c:v>-6.3550945766771158E-2</c:v>
                </c:pt>
                <c:pt idx="187">
                  <c:v>-5.0323917807234816E-2</c:v>
                </c:pt>
                <c:pt idx="188">
                  <c:v>-5.015145269264281E-2</c:v>
                </c:pt>
                <c:pt idx="189">
                  <c:v>-3.7067224491663844E-2</c:v>
                </c:pt>
                <c:pt idx="190">
                  <c:v>-3.3128045912270733E-2</c:v>
                </c:pt>
                <c:pt idx="191">
                  <c:v>-3.1377572652117845E-2</c:v>
                </c:pt>
                <c:pt idx="192">
                  <c:v>-2.8119699994228455E-2</c:v>
                </c:pt>
                <c:pt idx="193">
                  <c:v>-2.6512351797491639E-2</c:v>
                </c:pt>
                <c:pt idx="194">
                  <c:v>-2.0495322425383513E-2</c:v>
                </c:pt>
                <c:pt idx="195">
                  <c:v>-1.3087490477450449E-2</c:v>
                </c:pt>
                <c:pt idx="196">
                  <c:v>-1.2115968549613172E-2</c:v>
                </c:pt>
                <c:pt idx="197">
                  <c:v>-1.1623375752352078E-2</c:v>
                </c:pt>
                <c:pt idx="198">
                  <c:v>-9.0731992161423598E-3</c:v>
                </c:pt>
                <c:pt idx="199">
                  <c:v>2.4603534850325339E-3</c:v>
                </c:pt>
                <c:pt idx="200">
                  <c:v>9.7946834914349849E-3</c:v>
                </c:pt>
                <c:pt idx="201">
                  <c:v>1.3677785391089624E-2</c:v>
                </c:pt>
                <c:pt idx="202">
                  <c:v>1.5048430823993902E-2</c:v>
                </c:pt>
                <c:pt idx="203">
                  <c:v>1.6521563559614698E-2</c:v>
                </c:pt>
                <c:pt idx="204">
                  <c:v>1.9978196923056375E-2</c:v>
                </c:pt>
                <c:pt idx="205">
                  <c:v>2.7811363264700843E-2</c:v>
                </c:pt>
                <c:pt idx="206">
                  <c:v>3.0723966658171176E-2</c:v>
                </c:pt>
                <c:pt idx="207">
                  <c:v>3.367712023155562E-2</c:v>
                </c:pt>
                <c:pt idx="208">
                  <c:v>3.5295875579668304E-2</c:v>
                </c:pt>
                <c:pt idx="209">
                  <c:v>4.357517290963616E-2</c:v>
                </c:pt>
                <c:pt idx="210">
                  <c:v>4.4247006473739414E-2</c:v>
                </c:pt>
                <c:pt idx="211">
                  <c:v>5.5683358456536082E-2</c:v>
                </c:pt>
                <c:pt idx="212">
                  <c:v>6.1844508852539351E-2</c:v>
                </c:pt>
                <c:pt idx="213">
                  <c:v>6.7796750316842819E-2</c:v>
                </c:pt>
                <c:pt idx="214">
                  <c:v>7.2633416429775458E-2</c:v>
                </c:pt>
                <c:pt idx="215">
                  <c:v>7.8125519301108906E-2</c:v>
                </c:pt>
                <c:pt idx="216">
                  <c:v>8.1721707715660175E-2</c:v>
                </c:pt>
                <c:pt idx="217">
                  <c:v>8.7513237424760415E-2</c:v>
                </c:pt>
                <c:pt idx="218">
                  <c:v>0.12614744788802004</c:v>
                </c:pt>
                <c:pt idx="219">
                  <c:v>0.12974540077510843</c:v>
                </c:pt>
                <c:pt idx="220">
                  <c:v>0.12999171896584169</c:v>
                </c:pt>
                <c:pt idx="221">
                  <c:v>0.1398501115583628</c:v>
                </c:pt>
                <c:pt idx="222">
                  <c:v>0.15513508303133314</c:v>
                </c:pt>
                <c:pt idx="223">
                  <c:v>0.17184976624815301</c:v>
                </c:pt>
                <c:pt idx="224">
                  <c:v>0.17289252435540359</c:v>
                </c:pt>
                <c:pt idx="225">
                  <c:v>0.18042945365691565</c:v>
                </c:pt>
                <c:pt idx="226">
                  <c:v>0.18470642599231274</c:v>
                </c:pt>
                <c:pt idx="227">
                  <c:v>0.18658521528183186</c:v>
                </c:pt>
                <c:pt idx="228">
                  <c:v>0.18988660114211794</c:v>
                </c:pt>
                <c:pt idx="229">
                  <c:v>0.1980052332784995</c:v>
                </c:pt>
                <c:pt idx="230">
                  <c:v>0.19993267130990333</c:v>
                </c:pt>
                <c:pt idx="231">
                  <c:v>0.2039871045077741</c:v>
                </c:pt>
                <c:pt idx="232">
                  <c:v>0.21089005247032286</c:v>
                </c:pt>
                <c:pt idx="233">
                  <c:v>0.21951048018534813</c:v>
                </c:pt>
                <c:pt idx="234">
                  <c:v>0.22330383955665631</c:v>
                </c:pt>
                <c:pt idx="235">
                  <c:v>0.22503211391071073</c:v>
                </c:pt>
                <c:pt idx="236">
                  <c:v>0.22610292454868022</c:v>
                </c:pt>
                <c:pt idx="237">
                  <c:v>0.2334274183109091</c:v>
                </c:pt>
                <c:pt idx="238">
                  <c:v>0.24039254577346186</c:v>
                </c:pt>
                <c:pt idx="239">
                  <c:v>0.24386567077228774</c:v>
                </c:pt>
                <c:pt idx="240">
                  <c:v>0.25110022474117832</c:v>
                </c:pt>
                <c:pt idx="241">
                  <c:v>0.25381221692103478</c:v>
                </c:pt>
                <c:pt idx="242">
                  <c:v>0.25939653083974701</c:v>
                </c:pt>
                <c:pt idx="243">
                  <c:v>0.26483477874394606</c:v>
                </c:pt>
                <c:pt idx="244">
                  <c:v>0.26714134253452815</c:v>
                </c:pt>
                <c:pt idx="245">
                  <c:v>0.27141090048237276</c:v>
                </c:pt>
                <c:pt idx="246">
                  <c:v>0.27496728736359077</c:v>
                </c:pt>
                <c:pt idx="247">
                  <c:v>0.27649769074526082</c:v>
                </c:pt>
                <c:pt idx="248">
                  <c:v>0.2802206101814847</c:v>
                </c:pt>
                <c:pt idx="249">
                  <c:v>0.28753308488155083</c:v>
                </c:pt>
                <c:pt idx="250">
                  <c:v>0.29319660015181381</c:v>
                </c:pt>
                <c:pt idx="251">
                  <c:v>0.29552136767781362</c:v>
                </c:pt>
                <c:pt idx="252">
                  <c:v>0.30206292858297307</c:v>
                </c:pt>
                <c:pt idx="253">
                  <c:v>0.31685206458483878</c:v>
                </c:pt>
                <c:pt idx="254">
                  <c:v>0.32432388942401175</c:v>
                </c:pt>
                <c:pt idx="255">
                  <c:v>0.33488821969057964</c:v>
                </c:pt>
                <c:pt idx="256">
                  <c:v>0.34571317856571393</c:v>
                </c:pt>
                <c:pt idx="257">
                  <c:v>0.34767210505293616</c:v>
                </c:pt>
                <c:pt idx="258">
                  <c:v>0.35223603151478577</c:v>
                </c:pt>
                <c:pt idx="259">
                  <c:v>0.3734161112853604</c:v>
                </c:pt>
                <c:pt idx="260">
                  <c:v>0.37698943709717597</c:v>
                </c:pt>
                <c:pt idx="261">
                  <c:v>0.37898661019969043</c:v>
                </c:pt>
                <c:pt idx="262">
                  <c:v>0.37904856644532819</c:v>
                </c:pt>
                <c:pt idx="263">
                  <c:v>0.38024696094502236</c:v>
                </c:pt>
                <c:pt idx="264">
                  <c:v>0.38649046111355317</c:v>
                </c:pt>
                <c:pt idx="265">
                  <c:v>0.39604728421942459</c:v>
                </c:pt>
                <c:pt idx="266">
                  <c:v>0.39947920216775701</c:v>
                </c:pt>
                <c:pt idx="267">
                  <c:v>0.39968495672631044</c:v>
                </c:pt>
                <c:pt idx="268">
                  <c:v>0.41163641314958455</c:v>
                </c:pt>
                <c:pt idx="269">
                  <c:v>0.42871024250542161</c:v>
                </c:pt>
                <c:pt idx="270">
                  <c:v>0.43079556603355051</c:v>
                </c:pt>
                <c:pt idx="271">
                  <c:v>0.43174338069117302</c:v>
                </c:pt>
                <c:pt idx="272">
                  <c:v>0.43433707282313844</c:v>
                </c:pt>
                <c:pt idx="273">
                  <c:v>0.44079310612390166</c:v>
                </c:pt>
                <c:pt idx="274">
                  <c:v>0.44266880067425157</c:v>
                </c:pt>
                <c:pt idx="275">
                  <c:v>0.44275727569780055</c:v>
                </c:pt>
                <c:pt idx="276">
                  <c:v>0.45088667377233943</c:v>
                </c:pt>
                <c:pt idx="277">
                  <c:v>0.45411013125419464</c:v>
                </c:pt>
                <c:pt idx="278">
                  <c:v>0.45874200542910859</c:v>
                </c:pt>
                <c:pt idx="279">
                  <c:v>0.4589773839745715</c:v>
                </c:pt>
                <c:pt idx="280">
                  <c:v>0.46083052696320559</c:v>
                </c:pt>
                <c:pt idx="281">
                  <c:v>0.4654442793344194</c:v>
                </c:pt>
                <c:pt idx="282">
                  <c:v>0.46674163527249862</c:v>
                </c:pt>
                <c:pt idx="283">
                  <c:v>0.46857065274584953</c:v>
                </c:pt>
                <c:pt idx="284">
                  <c:v>0.46871808445674862</c:v>
                </c:pt>
                <c:pt idx="285">
                  <c:v>0.4739844616413193</c:v>
                </c:pt>
                <c:pt idx="286">
                  <c:v>0.48931010929768809</c:v>
                </c:pt>
                <c:pt idx="287">
                  <c:v>0.50018854209738106</c:v>
                </c:pt>
                <c:pt idx="288">
                  <c:v>0.5128636816681813</c:v>
                </c:pt>
                <c:pt idx="289">
                  <c:v>0.52607820754973034</c:v>
                </c:pt>
                <c:pt idx="290">
                  <c:v>0.55319696979360056</c:v>
                </c:pt>
                <c:pt idx="291">
                  <c:v>0.55656803120621579</c:v>
                </c:pt>
                <c:pt idx="292">
                  <c:v>0.55972501051096402</c:v>
                </c:pt>
                <c:pt idx="293">
                  <c:v>0.56798307093810541</c:v>
                </c:pt>
                <c:pt idx="294">
                  <c:v>0.56878580743136131</c:v>
                </c:pt>
                <c:pt idx="295">
                  <c:v>0.58752778997756849</c:v>
                </c:pt>
                <c:pt idx="296">
                  <c:v>0.60637414955155156</c:v>
                </c:pt>
                <c:pt idx="297">
                  <c:v>0.60778730846125428</c:v>
                </c:pt>
                <c:pt idx="298">
                  <c:v>0.6088896894378435</c:v>
                </c:pt>
                <c:pt idx="299">
                  <c:v>0.61570961852166972</c:v>
                </c:pt>
                <c:pt idx="300">
                  <c:v>0.62541466034937176</c:v>
                </c:pt>
                <c:pt idx="301">
                  <c:v>0.6298865239351964</c:v>
                </c:pt>
                <c:pt idx="302">
                  <c:v>0.65290692305069276</c:v>
                </c:pt>
                <c:pt idx="303">
                  <c:v>0.6556418348632248</c:v>
                </c:pt>
                <c:pt idx="304">
                  <c:v>0.66552441488229586</c:v>
                </c:pt>
                <c:pt idx="305">
                  <c:v>0.6712335804008861</c:v>
                </c:pt>
                <c:pt idx="306">
                  <c:v>0.67383986412758412</c:v>
                </c:pt>
                <c:pt idx="307">
                  <c:v>0.6741998247581702</c:v>
                </c:pt>
                <c:pt idx="308">
                  <c:v>0.67897281388579822</c:v>
                </c:pt>
                <c:pt idx="309">
                  <c:v>0.6808652991853632</c:v>
                </c:pt>
                <c:pt idx="310">
                  <c:v>0.68104115262367493</c:v>
                </c:pt>
                <c:pt idx="311">
                  <c:v>0.69192234930796503</c:v>
                </c:pt>
                <c:pt idx="312">
                  <c:v>0.70221206283556703</c:v>
                </c:pt>
                <c:pt idx="313">
                  <c:v>0.71162663600436971</c:v>
                </c:pt>
                <c:pt idx="314">
                  <c:v>0.71980311888979831</c:v>
                </c:pt>
                <c:pt idx="315">
                  <c:v>0.73255545774192032</c:v>
                </c:pt>
                <c:pt idx="316">
                  <c:v>0.74258970300151861</c:v>
                </c:pt>
                <c:pt idx="317">
                  <c:v>0.74844507336636368</c:v>
                </c:pt>
                <c:pt idx="318">
                  <c:v>0.7789342813770056</c:v>
                </c:pt>
                <c:pt idx="319">
                  <c:v>0.78371741325869382</c:v>
                </c:pt>
                <c:pt idx="320">
                  <c:v>0.79148643600889412</c:v>
                </c:pt>
                <c:pt idx="321">
                  <c:v>0.80808342930666788</c:v>
                </c:pt>
                <c:pt idx="322">
                  <c:v>0.81643234827063693</c:v>
                </c:pt>
                <c:pt idx="323">
                  <c:v>0.8279402322420274</c:v>
                </c:pt>
                <c:pt idx="324">
                  <c:v>0.83361742346055268</c:v>
                </c:pt>
                <c:pt idx="325">
                  <c:v>0.84720077695598162</c:v>
                </c:pt>
                <c:pt idx="326">
                  <c:v>0.85349810780512758</c:v>
                </c:pt>
                <c:pt idx="327">
                  <c:v>0.86418422319001653</c:v>
                </c:pt>
                <c:pt idx="328">
                  <c:v>0.87264012009621639</c:v>
                </c:pt>
                <c:pt idx="329">
                  <c:v>0.87970525767098584</c:v>
                </c:pt>
                <c:pt idx="330">
                  <c:v>0.88224971223868232</c:v>
                </c:pt>
                <c:pt idx="331">
                  <c:v>0.8842825204929029</c:v>
                </c:pt>
                <c:pt idx="332">
                  <c:v>0.89210317838710151</c:v>
                </c:pt>
                <c:pt idx="333">
                  <c:v>0.89328897781380623</c:v>
                </c:pt>
                <c:pt idx="334">
                  <c:v>0.89925474334882816</c:v>
                </c:pt>
                <c:pt idx="335">
                  <c:v>0.92150618089199388</c:v>
                </c:pt>
                <c:pt idx="336">
                  <c:v>0.92354334626382917</c:v>
                </c:pt>
                <c:pt idx="337">
                  <c:v>0.92900557209987533</c:v>
                </c:pt>
                <c:pt idx="338">
                  <c:v>0.93448737390407421</c:v>
                </c:pt>
                <c:pt idx="339">
                  <c:v>0.96387111404314796</c:v>
                </c:pt>
                <c:pt idx="340">
                  <c:v>0.96668836786536427</c:v>
                </c:pt>
                <c:pt idx="341">
                  <c:v>0.97921087107924287</c:v>
                </c:pt>
                <c:pt idx="342">
                  <c:v>0.99045257304541956</c:v>
                </c:pt>
                <c:pt idx="343">
                  <c:v>0.99590616832095802</c:v>
                </c:pt>
                <c:pt idx="344">
                  <c:v>0.99879597785625385</c:v>
                </c:pt>
                <c:pt idx="345">
                  <c:v>1.0160259092109298</c:v>
                </c:pt>
                <c:pt idx="346">
                  <c:v>1.0446177063052586</c:v>
                </c:pt>
                <c:pt idx="347">
                  <c:v>1.0807560254323896</c:v>
                </c:pt>
                <c:pt idx="348">
                  <c:v>1.1069048065287967</c:v>
                </c:pt>
                <c:pt idx="349">
                  <c:v>1.1097334264431649</c:v>
                </c:pt>
                <c:pt idx="350">
                  <c:v>1.1280247387124058</c:v>
                </c:pt>
                <c:pt idx="351">
                  <c:v>1.1659795306247422</c:v>
                </c:pt>
                <c:pt idx="352">
                  <c:v>1.1660321456416016</c:v>
                </c:pt>
                <c:pt idx="353">
                  <c:v>1.1863106075737995</c:v>
                </c:pt>
                <c:pt idx="354">
                  <c:v>1.1899727275032885</c:v>
                </c:pt>
                <c:pt idx="355">
                  <c:v>1.2143705581244517</c:v>
                </c:pt>
                <c:pt idx="356">
                  <c:v>1.2394515341278629</c:v>
                </c:pt>
                <c:pt idx="357">
                  <c:v>1.2670807492508778</c:v>
                </c:pt>
                <c:pt idx="358">
                  <c:v>1.2915705569901506</c:v>
                </c:pt>
                <c:pt idx="359">
                  <c:v>1.3082330687569519</c:v>
                </c:pt>
                <c:pt idx="360">
                  <c:v>1.3160037932020459</c:v>
                </c:pt>
                <c:pt idx="361">
                  <c:v>1.3348865121336073</c:v>
                </c:pt>
                <c:pt idx="362">
                  <c:v>1.4296443982960407</c:v>
                </c:pt>
                <c:pt idx="363">
                  <c:v>1.4343249307838957</c:v>
                </c:pt>
                <c:pt idx="364">
                  <c:v>1.4829089516943319</c:v>
                </c:pt>
                <c:pt idx="365">
                  <c:v>1.4945061059531664</c:v>
                </c:pt>
                <c:pt idx="366">
                  <c:v>1.5395876753007918</c:v>
                </c:pt>
                <c:pt idx="367">
                  <c:v>1.5500221062846562</c:v>
                </c:pt>
                <c:pt idx="368">
                  <c:v>1.5535500258921515</c:v>
                </c:pt>
                <c:pt idx="369">
                  <c:v>1.5585580298512549</c:v>
                </c:pt>
                <c:pt idx="370">
                  <c:v>1.5747836013923129</c:v>
                </c:pt>
                <c:pt idx="371">
                  <c:v>1.5748070831006031</c:v>
                </c:pt>
                <c:pt idx="372">
                  <c:v>1.5766853430851646</c:v>
                </c:pt>
                <c:pt idx="373">
                  <c:v>1.5835184219573564</c:v>
                </c:pt>
                <c:pt idx="374">
                  <c:v>1.6231038143843963</c:v>
                </c:pt>
                <c:pt idx="375">
                  <c:v>1.6395545081768101</c:v>
                </c:pt>
                <c:pt idx="376">
                  <c:v>1.6896822821993758</c:v>
                </c:pt>
                <c:pt idx="377">
                  <c:v>1.8285518903811406</c:v>
                </c:pt>
                <c:pt idx="378">
                  <c:v>1.830763895168803</c:v>
                </c:pt>
                <c:pt idx="379">
                  <c:v>1.937883735039764</c:v>
                </c:pt>
                <c:pt idx="380">
                  <c:v>1.9447162353916576</c:v>
                </c:pt>
                <c:pt idx="381">
                  <c:v>2.0304757137130003</c:v>
                </c:pt>
                <c:pt idx="382">
                  <c:v>2.1111674999819705</c:v>
                </c:pt>
                <c:pt idx="383">
                  <c:v>2.2990445774735218</c:v>
                </c:pt>
                <c:pt idx="384">
                  <c:v>2.3790723412149846</c:v>
                </c:pt>
                <c:pt idx="385">
                  <c:v>2.6212478115325442</c:v>
                </c:pt>
                <c:pt idx="386">
                  <c:v>2.7473960479992194</c:v>
                </c:pt>
                <c:pt idx="387">
                  <c:v>2.9429591190884881</c:v>
                </c:pt>
                <c:pt idx="388">
                  <c:v>3.1819916573400069</c:v>
                </c:pt>
                <c:pt idx="389">
                  <c:v>3.2394353065249777</c:v>
                </c:pt>
                <c:pt idx="390">
                  <c:v>3.4720773077781217</c:v>
                </c:pt>
                <c:pt idx="391">
                  <c:v>4.2007262122566926</c:v>
                </c:pt>
              </c:numCache>
            </c:numRef>
          </c:yVal>
          <c:smooth val="0"/>
          <c:extLst>
            <c:ext xmlns:c16="http://schemas.microsoft.com/office/drawing/2014/chart" uri="{C3380CC4-5D6E-409C-BE32-E72D297353CC}">
              <c16:uniqueId val="{00000001-6AA7-4806-A689-9D75D3C2EFE4}"/>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yVal>
          <c:smooth val="0"/>
          <c:extLst>
            <c:ext xmlns:c16="http://schemas.microsoft.com/office/drawing/2014/chart" uri="{C3380CC4-5D6E-409C-BE32-E72D297353CC}">
              <c16:uniqueId val="{00000002-6AA7-4806-A689-9D75D3C2EFE4}"/>
            </c:ext>
          </c:extLst>
        </c:ser>
        <c:dLbls>
          <c:showLegendKey val="0"/>
          <c:showVal val="0"/>
          <c:showCatName val="0"/>
          <c:showSerName val="0"/>
          <c:showPercent val="0"/>
          <c:showBubbleSize val="0"/>
        </c:dLbls>
        <c:axId val="193244304"/>
        <c:axId val="193244784"/>
      </c:scatterChart>
      <c:valAx>
        <c:axId val="193244304"/>
        <c:scaling>
          <c:orientation val="minMax"/>
          <c:max val="4.2007262122566926"/>
          <c:min val="-3.451682617569364"/>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193244784"/>
        <c:crosses val="autoZero"/>
        <c:crossBetween val="midCat"/>
      </c:valAx>
      <c:valAx>
        <c:axId val="193244784"/>
        <c:scaling>
          <c:orientation val="minMax"/>
          <c:max val="4.2007262122566926"/>
          <c:min val="-3.451682617569364"/>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9324430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Actual vs. Predicted</a:t>
            </a:r>
          </a:p>
        </c:rich>
      </c:tx>
      <c:overlay val="0"/>
      <c:spPr>
        <a:solidFill>
          <a:srgbClr val="CAEDFB"/>
        </a:solidFill>
      </c:sp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392"/>
                <c:pt idx="0">
                  <c:v>16.838573626431657</c:v>
                </c:pt>
                <c:pt idx="1">
                  <c:v>15.313332990800653</c:v>
                </c:pt>
                <c:pt idx="2">
                  <c:v>16.858150041188768</c:v>
                </c:pt>
                <c:pt idx="3">
                  <c:v>16.87333997003412</c:v>
                </c:pt>
                <c:pt idx="4">
                  <c:v>16.954691335727667</c:v>
                </c:pt>
                <c:pt idx="5">
                  <c:v>11.496506105738145</c:v>
                </c:pt>
                <c:pt idx="6">
                  <c:v>11.073481577763719</c:v>
                </c:pt>
                <c:pt idx="7">
                  <c:v>11.36732274136633</c:v>
                </c:pt>
                <c:pt idx="8">
                  <c:v>10.632804435322722</c:v>
                </c:pt>
                <c:pt idx="9">
                  <c:v>14.11248258238879</c:v>
                </c:pt>
                <c:pt idx="10">
                  <c:v>15.890381080998122</c:v>
                </c:pt>
                <c:pt idx="11">
                  <c:v>15.819833158238158</c:v>
                </c:pt>
                <c:pt idx="12">
                  <c:v>15.212574416275828</c:v>
                </c:pt>
                <c:pt idx="13">
                  <c:v>17.412576009964042</c:v>
                </c:pt>
                <c:pt idx="14">
                  <c:v>25.198456840216735</c:v>
                </c:pt>
                <c:pt idx="15">
                  <c:v>20.804329496548931</c:v>
                </c:pt>
                <c:pt idx="16">
                  <c:v>21.070591899933738</c:v>
                </c:pt>
                <c:pt idx="17">
                  <c:v>22.212267981403059</c:v>
                </c:pt>
                <c:pt idx="18">
                  <c:v>26.537432790749776</c:v>
                </c:pt>
                <c:pt idx="19">
                  <c:v>28.591062427308088</c:v>
                </c:pt>
                <c:pt idx="20">
                  <c:v>23.687378569360181</c:v>
                </c:pt>
                <c:pt idx="21">
                  <c:v>24.863990200357815</c:v>
                </c:pt>
                <c:pt idx="22">
                  <c:v>25.061290069421531</c:v>
                </c:pt>
                <c:pt idx="23">
                  <c:v>25.482960949989245</c:v>
                </c:pt>
                <c:pt idx="24">
                  <c:v>21.822223935113236</c:v>
                </c:pt>
                <c:pt idx="25">
                  <c:v>9.8331399279859539</c:v>
                </c:pt>
                <c:pt idx="26">
                  <c:v>11.286817405301978</c:v>
                </c:pt>
                <c:pt idx="27">
                  <c:v>11.094073228075864</c:v>
                </c:pt>
                <c:pt idx="28">
                  <c:v>9.5979342059952053</c:v>
                </c:pt>
                <c:pt idx="29">
                  <c:v>27.447842985332564</c:v>
                </c:pt>
                <c:pt idx="30">
                  <c:v>24.676945021900856</c:v>
                </c:pt>
                <c:pt idx="31">
                  <c:v>26.837983619376338</c:v>
                </c:pt>
                <c:pt idx="32">
                  <c:v>22.641156144772246</c:v>
                </c:pt>
                <c:pt idx="33">
                  <c:v>18.484009744835561</c:v>
                </c:pt>
                <c:pt idx="34">
                  <c:v>19.12215596226611</c:v>
                </c:pt>
                <c:pt idx="35">
                  <c:v>19.453702505316755</c:v>
                </c:pt>
                <c:pt idx="36">
                  <c:v>19.329751656485897</c:v>
                </c:pt>
                <c:pt idx="37">
                  <c:v>13.611075423983204</c:v>
                </c:pt>
                <c:pt idx="38">
                  <c:v>12.157567152593019</c:v>
                </c:pt>
                <c:pt idx="39">
                  <c:v>14.084394636257118</c:v>
                </c:pt>
                <c:pt idx="40">
                  <c:v>14.426775889794508</c:v>
                </c:pt>
                <c:pt idx="41">
                  <c:v>9.59029997180299</c:v>
                </c:pt>
                <c:pt idx="42">
                  <c:v>10.810896000897804</c:v>
                </c:pt>
                <c:pt idx="43">
                  <c:v>8.7347698527740985</c:v>
                </c:pt>
                <c:pt idx="44">
                  <c:v>20.818026271478541</c:v>
                </c:pt>
                <c:pt idx="45">
                  <c:v>24.24008421248778</c:v>
                </c:pt>
                <c:pt idx="46">
                  <c:v>19.360131514176597</c:v>
                </c:pt>
                <c:pt idx="47">
                  <c:v>20.279021972580786</c:v>
                </c:pt>
                <c:pt idx="48">
                  <c:v>24.964676372780154</c:v>
                </c:pt>
                <c:pt idx="49">
                  <c:v>27.328836446781445</c:v>
                </c:pt>
                <c:pt idx="50">
                  <c:v>27.901667256992983</c:v>
                </c:pt>
                <c:pt idx="51">
                  <c:v>27.849818451807792</c:v>
                </c:pt>
                <c:pt idx="52">
                  <c:v>29.628882452860687</c:v>
                </c:pt>
                <c:pt idx="53">
                  <c:v>30.374066263465203</c:v>
                </c:pt>
                <c:pt idx="54">
                  <c:v>29.279225884156418</c:v>
                </c:pt>
                <c:pt idx="55">
                  <c:v>26.566236332042749</c:v>
                </c:pt>
                <c:pt idx="56">
                  <c:v>25.328456204078385</c:v>
                </c:pt>
                <c:pt idx="57">
                  <c:v>24.28168413378026</c:v>
                </c:pt>
                <c:pt idx="58">
                  <c:v>25.993692502986516</c:v>
                </c:pt>
                <c:pt idx="59">
                  <c:v>22.691466502781928</c:v>
                </c:pt>
                <c:pt idx="60">
                  <c:v>23.67793458054734</c:v>
                </c:pt>
                <c:pt idx="61">
                  <c:v>12.025598364458501</c:v>
                </c:pt>
                <c:pt idx="62">
                  <c:v>11.301206677645128</c:v>
                </c:pt>
                <c:pt idx="63">
                  <c:v>12.972944880262842</c:v>
                </c:pt>
                <c:pt idx="64">
                  <c:v>12.954615442092924</c:v>
                </c:pt>
                <c:pt idx="65">
                  <c:v>15.317257232061893</c:v>
                </c:pt>
                <c:pt idx="66">
                  <c:v>9.5097036386293166</c:v>
                </c:pt>
                <c:pt idx="67">
                  <c:v>11.033528091747291</c:v>
                </c:pt>
                <c:pt idx="68">
                  <c:v>11.185258174274955</c:v>
                </c:pt>
                <c:pt idx="69">
                  <c:v>10.87031774258269</c:v>
                </c:pt>
                <c:pt idx="70">
                  <c:v>25.032691240185233</c:v>
                </c:pt>
                <c:pt idx="71">
                  <c:v>14.203329116736212</c:v>
                </c:pt>
                <c:pt idx="72">
                  <c:v>13.485015975092987</c:v>
                </c:pt>
                <c:pt idx="73">
                  <c:v>12.330242970994691</c:v>
                </c:pt>
                <c:pt idx="74">
                  <c:v>13.266616837939614</c:v>
                </c:pt>
                <c:pt idx="75">
                  <c:v>21.613992221016861</c:v>
                </c:pt>
                <c:pt idx="76">
                  <c:v>24.335220428923609</c:v>
                </c:pt>
                <c:pt idx="77">
                  <c:v>21.786990777560018</c:v>
                </c:pt>
                <c:pt idx="78">
                  <c:v>26.079261148665989</c:v>
                </c:pt>
                <c:pt idx="79">
                  <c:v>22.822235255592609</c:v>
                </c:pt>
                <c:pt idx="80">
                  <c:v>25.326532403787837</c:v>
                </c:pt>
                <c:pt idx="81">
                  <c:v>24.141548747924688</c:v>
                </c:pt>
                <c:pt idx="82">
                  <c:v>24.089278368405822</c:v>
                </c:pt>
                <c:pt idx="83">
                  <c:v>26.343380339243954</c:v>
                </c:pt>
                <c:pt idx="84">
                  <c:v>12.383947606403465</c:v>
                </c:pt>
                <c:pt idx="85">
                  <c:v>14.956954920511956</c:v>
                </c:pt>
                <c:pt idx="86">
                  <c:v>13.438131241902772</c:v>
                </c:pt>
                <c:pt idx="87">
                  <c:v>13.294603978314802</c:v>
                </c:pt>
                <c:pt idx="88">
                  <c:v>14.425307410924701</c:v>
                </c:pt>
                <c:pt idx="89">
                  <c:v>7.6965698793925537</c:v>
                </c:pt>
                <c:pt idx="90">
                  <c:v>10.946813705339496</c:v>
                </c:pt>
                <c:pt idx="91">
                  <c:v>11.32831652083796</c:v>
                </c:pt>
                <c:pt idx="92">
                  <c:v>12.096184987970998</c:v>
                </c:pt>
                <c:pt idx="93">
                  <c:v>8.5192887226626848</c:v>
                </c:pt>
                <c:pt idx="94">
                  <c:v>7.2632495262620562</c:v>
                </c:pt>
                <c:pt idx="95">
                  <c:v>13.796610989021035</c:v>
                </c:pt>
                <c:pt idx="96">
                  <c:v>18.477477956350636</c:v>
                </c:pt>
                <c:pt idx="97">
                  <c:v>17.763720506545017</c:v>
                </c:pt>
                <c:pt idx="98">
                  <c:v>19.449802608378892</c:v>
                </c:pt>
                <c:pt idx="99">
                  <c:v>19.259828261072514</c:v>
                </c:pt>
                <c:pt idx="100">
                  <c:v>19.738580462366386</c:v>
                </c:pt>
                <c:pt idx="101">
                  <c:v>27.302527770060404</c:v>
                </c:pt>
                <c:pt idx="102">
                  <c:v>8.2480696804822724</c:v>
                </c:pt>
                <c:pt idx="103">
                  <c:v>8.4328115122477012</c:v>
                </c:pt>
                <c:pt idx="104">
                  <c:v>9.6600562393964946</c:v>
                </c:pt>
                <c:pt idx="105">
                  <c:v>10.282504910204176</c:v>
                </c:pt>
                <c:pt idx="106">
                  <c:v>20.239678908337105</c:v>
                </c:pt>
                <c:pt idx="107">
                  <c:v>25.076745606588123</c:v>
                </c:pt>
                <c:pt idx="108">
                  <c:v>22.658863133701555</c:v>
                </c:pt>
                <c:pt idx="109">
                  <c:v>24.4729960533552</c:v>
                </c:pt>
                <c:pt idx="110">
                  <c:v>25.829085733024137</c:v>
                </c:pt>
                <c:pt idx="111">
                  <c:v>22.908550693281139</c:v>
                </c:pt>
                <c:pt idx="112">
                  <c:v>21.731093032654325</c:v>
                </c:pt>
                <c:pt idx="113">
                  <c:v>24.993182235342822</c:v>
                </c:pt>
                <c:pt idx="114">
                  <c:v>12.9621801380818</c:v>
                </c:pt>
                <c:pt idx="115">
                  <c:v>10.589674737467918</c:v>
                </c:pt>
                <c:pt idx="116">
                  <c:v>27.674073172254467</c:v>
                </c:pt>
                <c:pt idx="117">
                  <c:v>25.778502843463425</c:v>
                </c:pt>
                <c:pt idx="118">
                  <c:v>23.371876655397269</c:v>
                </c:pt>
                <c:pt idx="119">
                  <c:v>21.582805034449514</c:v>
                </c:pt>
                <c:pt idx="120">
                  <c:v>16.339238445438831</c:v>
                </c:pt>
                <c:pt idx="121">
                  <c:v>22.668446298300879</c:v>
                </c:pt>
                <c:pt idx="122">
                  <c:v>21.85127944338608</c:v>
                </c:pt>
                <c:pt idx="123">
                  <c:v>14.510368438826658</c:v>
                </c:pt>
                <c:pt idx="124">
                  <c:v>20.700160815023679</c:v>
                </c:pt>
                <c:pt idx="125">
                  <c:v>21.636703887894438</c:v>
                </c:pt>
                <c:pt idx="126">
                  <c:v>19.434164205318655</c:v>
                </c:pt>
                <c:pt idx="127">
                  <c:v>29.047655197436306</c:v>
                </c:pt>
                <c:pt idx="128">
                  <c:v>24.239921853767793</c:v>
                </c:pt>
                <c:pt idx="129">
                  <c:v>29.657345357466696</c:v>
                </c:pt>
                <c:pt idx="130">
                  <c:v>23.860342838559877</c:v>
                </c:pt>
                <c:pt idx="131">
                  <c:v>17.180991426591703</c:v>
                </c:pt>
                <c:pt idx="132">
                  <c:v>17.773060239708684</c:v>
                </c:pt>
                <c:pt idx="133">
                  <c:v>17.95044528216361</c:v>
                </c:pt>
                <c:pt idx="134">
                  <c:v>14.708742687008032</c:v>
                </c:pt>
                <c:pt idx="135">
                  <c:v>11.721051602237475</c:v>
                </c:pt>
                <c:pt idx="136">
                  <c:v>12.946372529095727</c:v>
                </c:pt>
                <c:pt idx="137">
                  <c:v>12.192277808295009</c:v>
                </c:pt>
                <c:pt idx="138">
                  <c:v>13.959034452119075</c:v>
                </c:pt>
                <c:pt idx="139">
                  <c:v>27.30386515776339</c:v>
                </c:pt>
                <c:pt idx="140">
                  <c:v>28.859855330489932</c:v>
                </c:pt>
                <c:pt idx="141">
                  <c:v>26.974919238706633</c:v>
                </c:pt>
                <c:pt idx="142">
                  <c:v>30.815257870889557</c:v>
                </c:pt>
                <c:pt idx="143">
                  <c:v>28.876718379556362</c:v>
                </c:pt>
                <c:pt idx="144">
                  <c:v>25.971742948063561</c:v>
                </c:pt>
                <c:pt idx="145">
                  <c:v>27.995783980669671</c:v>
                </c:pt>
                <c:pt idx="146">
                  <c:v>27.29704725378356</c:v>
                </c:pt>
                <c:pt idx="147">
                  <c:v>25.831438356282145</c:v>
                </c:pt>
                <c:pt idx="148">
                  <c:v>26.392588426377753</c:v>
                </c:pt>
                <c:pt idx="149">
                  <c:v>28.672512874730614</c:v>
                </c:pt>
                <c:pt idx="150">
                  <c:v>19.261395253436948</c:v>
                </c:pt>
                <c:pt idx="151">
                  <c:v>18.11168555895377</c:v>
                </c:pt>
                <c:pt idx="152">
                  <c:v>18.784197173028783</c:v>
                </c:pt>
                <c:pt idx="153">
                  <c:v>20.17154400757077</c:v>
                </c:pt>
                <c:pt idx="154">
                  <c:v>10.934776157297453</c:v>
                </c:pt>
                <c:pt idx="155">
                  <c:v>12.495121548382599</c:v>
                </c:pt>
                <c:pt idx="156">
                  <c:v>12.120267430938121</c:v>
                </c:pt>
                <c:pt idx="157">
                  <c:v>11.347674066041641</c:v>
                </c:pt>
                <c:pt idx="158">
                  <c:v>15.762140691613762</c:v>
                </c:pt>
                <c:pt idx="159">
                  <c:v>15.893955947532636</c:v>
                </c:pt>
                <c:pt idx="160">
                  <c:v>16.658346493489425</c:v>
                </c:pt>
                <c:pt idx="161">
                  <c:v>16.623410943961126</c:v>
                </c:pt>
                <c:pt idx="162">
                  <c:v>20.157093437535096</c:v>
                </c:pt>
                <c:pt idx="163">
                  <c:v>19.23557108758385</c:v>
                </c:pt>
                <c:pt idx="164">
                  <c:v>19.190370980452638</c:v>
                </c:pt>
                <c:pt idx="165">
                  <c:v>27.180262912929358</c:v>
                </c:pt>
                <c:pt idx="166">
                  <c:v>22.620800946327407</c:v>
                </c:pt>
                <c:pt idx="167">
                  <c:v>20.952371458960101</c:v>
                </c:pt>
                <c:pt idx="168">
                  <c:v>22.939958658005594</c:v>
                </c:pt>
                <c:pt idx="169">
                  <c:v>24.150680436278002</c:v>
                </c:pt>
                <c:pt idx="170">
                  <c:v>26.85993969880759</c:v>
                </c:pt>
                <c:pt idx="171">
                  <c:v>24.929383613897791</c:v>
                </c:pt>
                <c:pt idx="172">
                  <c:v>20.646649081762554</c:v>
                </c:pt>
                <c:pt idx="173">
                  <c:v>28.324282680684522</c:v>
                </c:pt>
                <c:pt idx="174">
                  <c:v>19.610932822805843</c:v>
                </c:pt>
                <c:pt idx="175">
                  <c:v>24.085446503202622</c:v>
                </c:pt>
                <c:pt idx="176">
                  <c:v>22.867451098101707</c:v>
                </c:pt>
                <c:pt idx="177">
                  <c:v>22.765846493947695</c:v>
                </c:pt>
                <c:pt idx="178">
                  <c:v>23.87717398527948</c:v>
                </c:pt>
                <c:pt idx="179">
                  <c:v>29.441268831191159</c:v>
                </c:pt>
                <c:pt idx="180">
                  <c:v>26.171208171857554</c:v>
                </c:pt>
                <c:pt idx="181">
                  <c:v>27.487837877713748</c:v>
                </c:pt>
                <c:pt idx="182">
                  <c:v>23.588987372554566</c:v>
                </c:pt>
                <c:pt idx="183">
                  <c:v>25.405130135942613</c:v>
                </c:pt>
                <c:pt idx="184">
                  <c:v>27.546504586878768</c:v>
                </c:pt>
                <c:pt idx="185">
                  <c:v>14.490620941147784</c:v>
                </c:pt>
                <c:pt idx="186">
                  <c:v>14.454839361990286</c:v>
                </c:pt>
                <c:pt idx="187">
                  <c:v>16.096366912843141</c:v>
                </c:pt>
                <c:pt idx="188">
                  <c:v>14.295783757705289</c:v>
                </c:pt>
                <c:pt idx="189">
                  <c:v>20.112248261334074</c:v>
                </c:pt>
                <c:pt idx="190">
                  <c:v>19.423468947752358</c:v>
                </c:pt>
                <c:pt idx="191">
                  <c:v>21.539731893392158</c:v>
                </c:pt>
                <c:pt idx="192">
                  <c:v>21.023982403906764</c:v>
                </c:pt>
                <c:pt idx="193">
                  <c:v>26.957441914013906</c:v>
                </c:pt>
                <c:pt idx="194">
                  <c:v>26.174383518035519</c:v>
                </c:pt>
                <c:pt idx="195">
                  <c:v>29.099355250280734</c:v>
                </c:pt>
                <c:pt idx="196">
                  <c:v>30.216341400787371</c:v>
                </c:pt>
                <c:pt idx="197">
                  <c:v>17.995784842215276</c:v>
                </c:pt>
                <c:pt idx="198">
                  <c:v>18.742861185557164</c:v>
                </c:pt>
                <c:pt idx="199">
                  <c:v>17.863800380370563</c:v>
                </c:pt>
                <c:pt idx="200">
                  <c:v>20.39596280570645</c:v>
                </c:pt>
                <c:pt idx="201">
                  <c:v>29.650209495220267</c:v>
                </c:pt>
                <c:pt idx="202">
                  <c:v>28.952976682629405</c:v>
                </c:pt>
                <c:pt idx="203">
                  <c:v>28.036348436367433</c:v>
                </c:pt>
                <c:pt idx="204">
                  <c:v>23.949159178931211</c:v>
                </c:pt>
                <c:pt idx="205">
                  <c:v>22.437994864630813</c:v>
                </c:pt>
                <c:pt idx="206">
                  <c:v>15.720666765769474</c:v>
                </c:pt>
                <c:pt idx="207">
                  <c:v>22.057707758166377</c:v>
                </c:pt>
                <c:pt idx="208">
                  <c:v>23.576481230185102</c:v>
                </c:pt>
                <c:pt idx="209">
                  <c:v>18.753321647338847</c:v>
                </c:pt>
                <c:pt idx="210">
                  <c:v>13.005717576511872</c:v>
                </c:pt>
                <c:pt idx="211">
                  <c:v>15.219568319798755</c:v>
                </c:pt>
                <c:pt idx="212">
                  <c:v>16.399827077898475</c:v>
                </c:pt>
                <c:pt idx="213">
                  <c:v>16.657379044566074</c:v>
                </c:pt>
                <c:pt idx="214">
                  <c:v>30.140660247573575</c:v>
                </c:pt>
                <c:pt idx="215">
                  <c:v>27.328917395369249</c:v>
                </c:pt>
                <c:pt idx="216">
                  <c:v>31.294975840484813</c:v>
                </c:pt>
                <c:pt idx="217">
                  <c:v>26.334954589920667</c:v>
                </c:pt>
                <c:pt idx="218">
                  <c:v>30.614518345178166</c:v>
                </c:pt>
                <c:pt idx="219">
                  <c:v>17.539340232312693</c:v>
                </c:pt>
                <c:pt idx="220">
                  <c:v>17.196219619965621</c:v>
                </c:pt>
                <c:pt idx="221">
                  <c:v>16.222879732382342</c:v>
                </c:pt>
                <c:pt idx="222">
                  <c:v>15.681613221342369</c:v>
                </c:pt>
                <c:pt idx="223">
                  <c:v>19.930406812128663</c:v>
                </c:pt>
                <c:pt idx="224">
                  <c:v>20.492603385332458</c:v>
                </c:pt>
                <c:pt idx="225">
                  <c:v>19.535807074001234</c:v>
                </c:pt>
                <c:pt idx="226">
                  <c:v>20.099927447495574</c:v>
                </c:pt>
                <c:pt idx="227">
                  <c:v>15.249539844799065</c:v>
                </c:pt>
                <c:pt idx="228">
                  <c:v>15.690386193165898</c:v>
                </c:pt>
                <c:pt idx="229">
                  <c:v>14.555528015676392</c:v>
                </c:pt>
                <c:pt idx="230">
                  <c:v>15.170588629620417</c:v>
                </c:pt>
                <c:pt idx="231">
                  <c:v>30.387966595675561</c:v>
                </c:pt>
                <c:pt idx="232">
                  <c:v>24.23698981489763</c:v>
                </c:pt>
                <c:pt idx="233">
                  <c:v>28.913077108573102</c:v>
                </c:pt>
                <c:pt idx="234">
                  <c:v>24.144803738717336</c:v>
                </c:pt>
                <c:pt idx="235">
                  <c:v>28.131520938551592</c:v>
                </c:pt>
                <c:pt idx="236">
                  <c:v>27.68527286871797</c:v>
                </c:pt>
                <c:pt idx="237">
                  <c:v>30.460695256434121</c:v>
                </c:pt>
                <c:pt idx="238">
                  <c:v>29.122139191896373</c:v>
                </c:pt>
                <c:pt idx="239">
                  <c:v>25.771055317280993</c:v>
                </c:pt>
                <c:pt idx="240">
                  <c:v>26.526616427185196</c:v>
                </c:pt>
                <c:pt idx="241">
                  <c:v>26.040996115321043</c:v>
                </c:pt>
                <c:pt idx="242">
                  <c:v>30.497188279232841</c:v>
                </c:pt>
                <c:pt idx="243">
                  <c:v>29.203680013716564</c:v>
                </c:pt>
                <c:pt idx="244">
                  <c:v>30.554219393368527</c:v>
                </c:pt>
                <c:pt idx="245">
                  <c:v>29.83158230091987</c:v>
                </c:pt>
                <c:pt idx="246">
                  <c:v>31.3610402165368</c:v>
                </c:pt>
                <c:pt idx="247">
                  <c:v>20.56519746010305</c:v>
                </c:pt>
                <c:pt idx="248">
                  <c:v>18.204679943903621</c:v>
                </c:pt>
                <c:pt idx="249">
                  <c:v>19.05636246235143</c:v>
                </c:pt>
                <c:pt idx="250">
                  <c:v>19.785616985300912</c:v>
                </c:pt>
                <c:pt idx="251">
                  <c:v>21.872038958580688</c:v>
                </c:pt>
                <c:pt idx="252">
                  <c:v>22.99643210498828</c:v>
                </c:pt>
                <c:pt idx="253">
                  <c:v>24.188233664831259</c:v>
                </c:pt>
                <c:pt idx="254">
                  <c:v>20.398446654655878</c:v>
                </c:pt>
                <c:pt idx="255">
                  <c:v>21.674739089516976</c:v>
                </c:pt>
                <c:pt idx="256">
                  <c:v>20.570429975644011</c:v>
                </c:pt>
                <c:pt idx="257">
                  <c:v>22.464784595401021</c:v>
                </c:pt>
                <c:pt idx="258">
                  <c:v>19.274053508248279</c:v>
                </c:pt>
                <c:pt idx="259">
                  <c:v>20.174984207887384</c:v>
                </c:pt>
                <c:pt idx="260">
                  <c:v>19.693123764822104</c:v>
                </c:pt>
                <c:pt idx="261">
                  <c:v>19.267128933448951</c:v>
                </c:pt>
                <c:pt idx="262">
                  <c:v>20.90447047186904</c:v>
                </c:pt>
                <c:pt idx="263">
                  <c:v>16.457838126688344</c:v>
                </c:pt>
                <c:pt idx="264">
                  <c:v>27.37373223644304</c:v>
                </c:pt>
                <c:pt idx="265">
                  <c:v>26.944649790674134</c:v>
                </c:pt>
                <c:pt idx="266">
                  <c:v>28.228637426697411</c:v>
                </c:pt>
                <c:pt idx="267">
                  <c:v>26.880328991634499</c:v>
                </c:pt>
                <c:pt idx="268">
                  <c:v>27.172498723354387</c:v>
                </c:pt>
                <c:pt idx="269">
                  <c:v>23.785631581243138</c:v>
                </c:pt>
                <c:pt idx="270">
                  <c:v>23.553396162651119</c:v>
                </c:pt>
                <c:pt idx="271">
                  <c:v>27.696989917110152</c:v>
                </c:pt>
                <c:pt idx="272">
                  <c:v>25.325687897014429</c:v>
                </c:pt>
                <c:pt idx="273">
                  <c:v>23.398860413350338</c:v>
                </c:pt>
                <c:pt idx="274">
                  <c:v>25.308066550101021</c:v>
                </c:pt>
                <c:pt idx="275">
                  <c:v>21.901875361640482</c:v>
                </c:pt>
                <c:pt idx="276">
                  <c:v>30.098433796225809</c:v>
                </c:pt>
                <c:pt idx="277">
                  <c:v>29.534940039844358</c:v>
                </c:pt>
                <c:pt idx="278">
                  <c:v>23.499499380574036</c:v>
                </c:pt>
                <c:pt idx="279">
                  <c:v>25.27773629103504</c:v>
                </c:pt>
                <c:pt idx="280">
                  <c:v>25.735357956686094</c:v>
                </c:pt>
                <c:pt idx="281">
                  <c:v>23.804143987110237</c:v>
                </c:pt>
                <c:pt idx="282">
                  <c:v>22.998400934603318</c:v>
                </c:pt>
                <c:pt idx="283">
                  <c:v>20.243283680276463</c:v>
                </c:pt>
                <c:pt idx="284">
                  <c:v>20.841800717968425</c:v>
                </c:pt>
                <c:pt idx="285">
                  <c:v>19.531111618909698</c:v>
                </c:pt>
                <c:pt idx="286">
                  <c:v>20.212734616659922</c:v>
                </c:pt>
                <c:pt idx="287">
                  <c:v>17.204451881577221</c:v>
                </c:pt>
                <c:pt idx="288">
                  <c:v>18.96489823919898</c:v>
                </c:pt>
                <c:pt idx="289">
                  <c:v>21.5143435995966</c:v>
                </c:pt>
                <c:pt idx="290">
                  <c:v>19.412224079693956</c:v>
                </c:pt>
                <c:pt idx="291">
                  <c:v>32.835435847633072</c:v>
                </c:pt>
                <c:pt idx="292">
                  <c:v>32.801665800548349</c:v>
                </c:pt>
                <c:pt idx="293">
                  <c:v>30.801976287053243</c:v>
                </c:pt>
                <c:pt idx="294">
                  <c:v>26.979177527640104</c:v>
                </c:pt>
                <c:pt idx="295">
                  <c:v>24.611405323649461</c:v>
                </c:pt>
                <c:pt idx="296">
                  <c:v>20.020667263137163</c:v>
                </c:pt>
                <c:pt idx="297">
                  <c:v>26.430349184510394</c:v>
                </c:pt>
                <c:pt idx="298">
                  <c:v>23.019330996767138</c:v>
                </c:pt>
                <c:pt idx="299">
                  <c:v>29.521297366280386</c:v>
                </c:pt>
                <c:pt idx="300">
                  <c:v>29.774462847036226</c:v>
                </c:pt>
                <c:pt idx="301">
                  <c:v>32.573816867868089</c:v>
                </c:pt>
                <c:pt idx="302">
                  <c:v>31.829930240441232</c:v>
                </c:pt>
                <c:pt idx="303">
                  <c:v>26.816813208104698</c:v>
                </c:pt>
                <c:pt idx="304">
                  <c:v>26.790650630399917</c:v>
                </c:pt>
                <c:pt idx="305">
                  <c:v>26.259003120812665</c:v>
                </c:pt>
                <c:pt idx="306">
                  <c:v>27.394030504228006</c:v>
                </c:pt>
                <c:pt idx="307">
                  <c:v>35.706490359450044</c:v>
                </c:pt>
                <c:pt idx="308">
                  <c:v>36.979392604917109</c:v>
                </c:pt>
                <c:pt idx="309">
                  <c:v>33.987463612784964</c:v>
                </c:pt>
                <c:pt idx="310">
                  <c:v>36.639981654778452</c:v>
                </c:pt>
                <c:pt idx="311">
                  <c:v>30.837408208479005</c:v>
                </c:pt>
                <c:pt idx="312">
                  <c:v>29.897725626283673</c:v>
                </c:pt>
                <c:pt idx="313">
                  <c:v>29.191832583566061</c:v>
                </c:pt>
                <c:pt idx="314">
                  <c:v>27.277901549051933</c:v>
                </c:pt>
                <c:pt idx="315">
                  <c:v>35.45123187247782</c:v>
                </c:pt>
                <c:pt idx="316">
                  <c:v>32.730260602279138</c:v>
                </c:pt>
                <c:pt idx="317">
                  <c:v>33.829506406536979</c:v>
                </c:pt>
                <c:pt idx="318">
                  <c:v>34.100324501759388</c:v>
                </c:pt>
                <c:pt idx="319">
                  <c:v>35.232043169924317</c:v>
                </c:pt>
                <c:pt idx="320">
                  <c:v>36.179220479802829</c:v>
                </c:pt>
                <c:pt idx="321">
                  <c:v>29.976137956131637</c:v>
                </c:pt>
                <c:pt idx="322">
                  <c:v>36.179220479802829</c:v>
                </c:pt>
                <c:pt idx="323">
                  <c:v>36.459845721441084</c:v>
                </c:pt>
                <c:pt idx="324">
                  <c:v>35.1940183176619</c:v>
                </c:pt>
                <c:pt idx="325">
                  <c:v>31.771590697247827</c:v>
                </c:pt>
                <c:pt idx="326">
                  <c:v>30.252597812712803</c:v>
                </c:pt>
                <c:pt idx="327">
                  <c:v>37.463208115826099</c:v>
                </c:pt>
                <c:pt idx="328">
                  <c:v>35.969531779366662</c:v>
                </c:pt>
                <c:pt idx="329">
                  <c:v>37.447729981719526</c:v>
                </c:pt>
                <c:pt idx="330">
                  <c:v>31.040731846822169</c:v>
                </c:pt>
                <c:pt idx="331">
                  <c:v>34.041319380742692</c:v>
                </c:pt>
                <c:pt idx="332">
                  <c:v>33.709114953025988</c:v>
                </c:pt>
                <c:pt idx="333">
                  <c:v>35.154169725407023</c:v>
                </c:pt>
                <c:pt idx="334">
                  <c:v>29.250550208008121</c:v>
                </c:pt>
                <c:pt idx="335">
                  <c:v>28.516370313816193</c:v>
                </c:pt>
                <c:pt idx="336">
                  <c:v>28.462428502414614</c:v>
                </c:pt>
                <c:pt idx="337">
                  <c:v>27.638525217663616</c:v>
                </c:pt>
                <c:pt idx="338">
                  <c:v>29.782197717595377</c:v>
                </c:pt>
                <c:pt idx="339">
                  <c:v>35.454171617009983</c:v>
                </c:pt>
                <c:pt idx="340">
                  <c:v>32.689214260375735</c:v>
                </c:pt>
                <c:pt idx="341">
                  <c:v>35.396382205027315</c:v>
                </c:pt>
                <c:pt idx="342">
                  <c:v>33.738417748741924</c:v>
                </c:pt>
                <c:pt idx="343">
                  <c:v>34.226588478009511</c:v>
                </c:pt>
                <c:pt idx="344">
                  <c:v>33.895549552736377</c:v>
                </c:pt>
                <c:pt idx="345">
                  <c:v>34.127246085997719</c:v>
                </c:pt>
                <c:pt idx="346">
                  <c:v>30.983925423189589</c:v>
                </c:pt>
                <c:pt idx="347">
                  <c:v>31.812215193852357</c:v>
                </c:pt>
                <c:pt idx="348">
                  <c:v>30.116006472788246</c:v>
                </c:pt>
                <c:pt idx="349">
                  <c:v>32.869872181227684</c:v>
                </c:pt>
                <c:pt idx="350">
                  <c:v>32.874346398921659</c:v>
                </c:pt>
                <c:pt idx="351">
                  <c:v>32.165483052805314</c:v>
                </c:pt>
                <c:pt idx="352">
                  <c:v>30.417795205960854</c:v>
                </c:pt>
                <c:pt idx="353">
                  <c:v>30.738676244450591</c:v>
                </c:pt>
                <c:pt idx="354">
                  <c:v>27.50661158978502</c:v>
                </c:pt>
                <c:pt idx="355">
                  <c:v>27.925988990657363</c:v>
                </c:pt>
                <c:pt idx="356">
                  <c:v>28.714969054395926</c:v>
                </c:pt>
                <c:pt idx="357">
                  <c:v>28.498124038128257</c:v>
                </c:pt>
                <c:pt idx="358">
                  <c:v>24.144841583233063</c:v>
                </c:pt>
                <c:pt idx="359">
                  <c:v>22.65639776231458</c:v>
                </c:pt>
                <c:pt idx="360">
                  <c:v>26.299517999577414</c:v>
                </c:pt>
                <c:pt idx="361">
                  <c:v>24.29758690131575</c:v>
                </c:pt>
                <c:pt idx="362">
                  <c:v>30.28175978404812</c:v>
                </c:pt>
                <c:pt idx="363">
                  <c:v>30.104543947519034</c:v>
                </c:pt>
                <c:pt idx="364">
                  <c:v>31.345054803222634</c:v>
                </c:pt>
                <c:pt idx="365">
                  <c:v>30.482368368362241</c:v>
                </c:pt>
                <c:pt idx="366">
                  <c:v>30.751770281071622</c:v>
                </c:pt>
                <c:pt idx="367">
                  <c:v>29.591056670175863</c:v>
                </c:pt>
                <c:pt idx="368">
                  <c:v>28.900353556303596</c:v>
                </c:pt>
                <c:pt idx="369">
                  <c:v>35.611603109994782</c:v>
                </c:pt>
                <c:pt idx="370">
                  <c:v>35.603149610985632</c:v>
                </c:pt>
                <c:pt idx="371">
                  <c:v>35.881631639817051</c:v>
                </c:pt>
                <c:pt idx="372">
                  <c:v>33.118059198142689</c:v>
                </c:pt>
                <c:pt idx="373">
                  <c:v>33.004404174467894</c:v>
                </c:pt>
                <c:pt idx="374">
                  <c:v>34.594874173874054</c:v>
                </c:pt>
                <c:pt idx="375">
                  <c:v>34.57809885658984</c:v>
                </c:pt>
                <c:pt idx="376">
                  <c:v>34.456748631752866</c:v>
                </c:pt>
                <c:pt idx="377">
                  <c:v>35.923184619846189</c:v>
                </c:pt>
                <c:pt idx="378">
                  <c:v>35.923184619846189</c:v>
                </c:pt>
                <c:pt idx="379">
                  <c:v>35.771285331392683</c:v>
                </c:pt>
                <c:pt idx="380">
                  <c:v>28.203033011930518</c:v>
                </c:pt>
                <c:pt idx="381">
                  <c:v>28.254512137710872</c:v>
                </c:pt>
                <c:pt idx="382">
                  <c:v>30.318080248536287</c:v>
                </c:pt>
                <c:pt idx="383">
                  <c:v>28.727524205686279</c:v>
                </c:pt>
                <c:pt idx="384">
                  <c:v>31.90801136261177</c:v>
                </c:pt>
                <c:pt idx="385">
                  <c:v>31.536583271414717</c:v>
                </c:pt>
                <c:pt idx="386">
                  <c:v>28.502445102925762</c:v>
                </c:pt>
                <c:pt idx="387">
                  <c:v>29.377520369158603</c:v>
                </c:pt>
                <c:pt idx="388">
                  <c:v>35.209308170705178</c:v>
                </c:pt>
                <c:pt idx="389">
                  <c:v>31.916331492548473</c:v>
                </c:pt>
                <c:pt idx="390">
                  <c:v>30.326621479327653</c:v>
                </c:pt>
                <c:pt idx="391">
                  <c:v>29.796897770030938</c:v>
                </c:pt>
              </c:numCache>
            </c:numRef>
          </c:xVal>
          <c:yVal>
            <c:numRef>
              <c:f>Regression!RegChartActY</c:f>
              <c:numCache>
                <c:formatCode>0.0000</c:formatCode>
                <c:ptCount val="392"/>
                <c:pt idx="0">
                  <c:v>18</c:v>
                </c:pt>
                <c:pt idx="1">
                  <c:v>15</c:v>
                </c:pt>
                <c:pt idx="2">
                  <c:v>18</c:v>
                </c:pt>
                <c:pt idx="3">
                  <c:v>16</c:v>
                </c:pt>
                <c:pt idx="4">
                  <c:v>17</c:v>
                </c:pt>
                <c:pt idx="5">
                  <c:v>15</c:v>
                </c:pt>
                <c:pt idx="6">
                  <c:v>14</c:v>
                </c:pt>
                <c:pt idx="7">
                  <c:v>14</c:v>
                </c:pt>
                <c:pt idx="8">
                  <c:v>14</c:v>
                </c:pt>
                <c:pt idx="9">
                  <c:v>15</c:v>
                </c:pt>
                <c:pt idx="10">
                  <c:v>15</c:v>
                </c:pt>
                <c:pt idx="11">
                  <c:v>14</c:v>
                </c:pt>
                <c:pt idx="12">
                  <c:v>15</c:v>
                </c:pt>
                <c:pt idx="13">
                  <c:v>14</c:v>
                </c:pt>
                <c:pt idx="14">
                  <c:v>24</c:v>
                </c:pt>
                <c:pt idx="15">
                  <c:v>22</c:v>
                </c:pt>
                <c:pt idx="16">
                  <c:v>18</c:v>
                </c:pt>
                <c:pt idx="17">
                  <c:v>21</c:v>
                </c:pt>
                <c:pt idx="18">
                  <c:v>27</c:v>
                </c:pt>
                <c:pt idx="19">
                  <c:v>26</c:v>
                </c:pt>
                <c:pt idx="20">
                  <c:v>25</c:v>
                </c:pt>
                <c:pt idx="21">
                  <c:v>24</c:v>
                </c:pt>
                <c:pt idx="22">
                  <c:v>25</c:v>
                </c:pt>
                <c:pt idx="23">
                  <c:v>26</c:v>
                </c:pt>
                <c:pt idx="24">
                  <c:v>21</c:v>
                </c:pt>
                <c:pt idx="25">
                  <c:v>10</c:v>
                </c:pt>
                <c:pt idx="26">
                  <c:v>10</c:v>
                </c:pt>
                <c:pt idx="27">
                  <c:v>11</c:v>
                </c:pt>
                <c:pt idx="28">
                  <c:v>9</c:v>
                </c:pt>
                <c:pt idx="29">
                  <c:v>27</c:v>
                </c:pt>
                <c:pt idx="30">
                  <c:v>28</c:v>
                </c:pt>
                <c:pt idx="31">
                  <c:v>25</c:v>
                </c:pt>
                <c:pt idx="32">
                  <c:v>19</c:v>
                </c:pt>
                <c:pt idx="33">
                  <c:v>16</c:v>
                </c:pt>
                <c:pt idx="34">
                  <c:v>17</c:v>
                </c:pt>
                <c:pt idx="35">
                  <c:v>19</c:v>
                </c:pt>
                <c:pt idx="36">
                  <c:v>18</c:v>
                </c:pt>
                <c:pt idx="37">
                  <c:v>14</c:v>
                </c:pt>
                <c:pt idx="38">
                  <c:v>14</c:v>
                </c:pt>
                <c:pt idx="39">
                  <c:v>14</c:v>
                </c:pt>
                <c:pt idx="40">
                  <c:v>14</c:v>
                </c:pt>
                <c:pt idx="41">
                  <c:v>12</c:v>
                </c:pt>
                <c:pt idx="42">
                  <c:v>13</c:v>
                </c:pt>
                <c:pt idx="43">
                  <c:v>13</c:v>
                </c:pt>
                <c:pt idx="44">
                  <c:v>18</c:v>
                </c:pt>
                <c:pt idx="45">
                  <c:v>22</c:v>
                </c:pt>
                <c:pt idx="46">
                  <c:v>19</c:v>
                </c:pt>
                <c:pt idx="47">
                  <c:v>18</c:v>
                </c:pt>
                <c:pt idx="48">
                  <c:v>23</c:v>
                </c:pt>
                <c:pt idx="49">
                  <c:v>28</c:v>
                </c:pt>
                <c:pt idx="50">
                  <c:v>30</c:v>
                </c:pt>
                <c:pt idx="51">
                  <c:v>30</c:v>
                </c:pt>
                <c:pt idx="52">
                  <c:v>31</c:v>
                </c:pt>
                <c:pt idx="53">
                  <c:v>35</c:v>
                </c:pt>
                <c:pt idx="54">
                  <c:v>27</c:v>
                </c:pt>
                <c:pt idx="55">
                  <c:v>26</c:v>
                </c:pt>
                <c:pt idx="56">
                  <c:v>24</c:v>
                </c:pt>
                <c:pt idx="57">
                  <c:v>25</c:v>
                </c:pt>
                <c:pt idx="58">
                  <c:v>23</c:v>
                </c:pt>
                <c:pt idx="59">
                  <c:v>20</c:v>
                </c:pt>
                <c:pt idx="60">
                  <c:v>21</c:v>
                </c:pt>
                <c:pt idx="61">
                  <c:v>13</c:v>
                </c:pt>
                <c:pt idx="62">
                  <c:v>14</c:v>
                </c:pt>
                <c:pt idx="63">
                  <c:v>15</c:v>
                </c:pt>
                <c:pt idx="64">
                  <c:v>14</c:v>
                </c:pt>
                <c:pt idx="65">
                  <c:v>17</c:v>
                </c:pt>
                <c:pt idx="66">
                  <c:v>11</c:v>
                </c:pt>
                <c:pt idx="67">
                  <c:v>13</c:v>
                </c:pt>
                <c:pt idx="68">
                  <c:v>12</c:v>
                </c:pt>
                <c:pt idx="69">
                  <c:v>13</c:v>
                </c:pt>
                <c:pt idx="70">
                  <c:v>19</c:v>
                </c:pt>
                <c:pt idx="71">
                  <c:v>15</c:v>
                </c:pt>
                <c:pt idx="72">
                  <c:v>13</c:v>
                </c:pt>
                <c:pt idx="73">
                  <c:v>13</c:v>
                </c:pt>
                <c:pt idx="74">
                  <c:v>14</c:v>
                </c:pt>
                <c:pt idx="75">
                  <c:v>18</c:v>
                </c:pt>
                <c:pt idx="76">
                  <c:v>22</c:v>
                </c:pt>
                <c:pt idx="77">
                  <c:v>21</c:v>
                </c:pt>
                <c:pt idx="78">
                  <c:v>26</c:v>
                </c:pt>
                <c:pt idx="79">
                  <c:v>22</c:v>
                </c:pt>
                <c:pt idx="80">
                  <c:v>28</c:v>
                </c:pt>
                <c:pt idx="81">
                  <c:v>23</c:v>
                </c:pt>
                <c:pt idx="82">
                  <c:v>28</c:v>
                </c:pt>
                <c:pt idx="83">
                  <c:v>27</c:v>
                </c:pt>
                <c:pt idx="84">
                  <c:v>13</c:v>
                </c:pt>
                <c:pt idx="85">
                  <c:v>14</c:v>
                </c:pt>
                <c:pt idx="86">
                  <c:v>13</c:v>
                </c:pt>
                <c:pt idx="87">
                  <c:v>14</c:v>
                </c:pt>
                <c:pt idx="88">
                  <c:v>15</c:v>
                </c:pt>
                <c:pt idx="89">
                  <c:v>12</c:v>
                </c:pt>
                <c:pt idx="90">
                  <c:v>13</c:v>
                </c:pt>
                <c:pt idx="91">
                  <c:v>13</c:v>
                </c:pt>
                <c:pt idx="92">
                  <c:v>14</c:v>
                </c:pt>
                <c:pt idx="93">
                  <c:v>13</c:v>
                </c:pt>
                <c:pt idx="94">
                  <c:v>12</c:v>
                </c:pt>
                <c:pt idx="95">
                  <c:v>13</c:v>
                </c:pt>
                <c:pt idx="96">
                  <c:v>18</c:v>
                </c:pt>
                <c:pt idx="97">
                  <c:v>16</c:v>
                </c:pt>
                <c:pt idx="98">
                  <c:v>18</c:v>
                </c:pt>
                <c:pt idx="99">
                  <c:v>18</c:v>
                </c:pt>
                <c:pt idx="100">
                  <c:v>23</c:v>
                </c:pt>
                <c:pt idx="101">
                  <c:v>26</c:v>
                </c:pt>
                <c:pt idx="102">
                  <c:v>11</c:v>
                </c:pt>
                <c:pt idx="103">
                  <c:v>12</c:v>
                </c:pt>
                <c:pt idx="104">
                  <c:v>13</c:v>
                </c:pt>
                <c:pt idx="105">
                  <c:v>12</c:v>
                </c:pt>
                <c:pt idx="106">
                  <c:v>18</c:v>
                </c:pt>
                <c:pt idx="107">
                  <c:v>20</c:v>
                </c:pt>
                <c:pt idx="108">
                  <c:v>21</c:v>
                </c:pt>
                <c:pt idx="109">
                  <c:v>22</c:v>
                </c:pt>
                <c:pt idx="110">
                  <c:v>18</c:v>
                </c:pt>
                <c:pt idx="111">
                  <c:v>19</c:v>
                </c:pt>
                <c:pt idx="112">
                  <c:v>21</c:v>
                </c:pt>
                <c:pt idx="113">
                  <c:v>26</c:v>
                </c:pt>
                <c:pt idx="114">
                  <c:v>15</c:v>
                </c:pt>
                <c:pt idx="115">
                  <c:v>16</c:v>
                </c:pt>
                <c:pt idx="116">
                  <c:v>29</c:v>
                </c:pt>
                <c:pt idx="117">
                  <c:v>24</c:v>
                </c:pt>
                <c:pt idx="118">
                  <c:v>20</c:v>
                </c:pt>
                <c:pt idx="119">
                  <c:v>19</c:v>
                </c:pt>
                <c:pt idx="120">
                  <c:v>15</c:v>
                </c:pt>
                <c:pt idx="121">
                  <c:v>24</c:v>
                </c:pt>
                <c:pt idx="122">
                  <c:v>20</c:v>
                </c:pt>
                <c:pt idx="123">
                  <c:v>11</c:v>
                </c:pt>
                <c:pt idx="124">
                  <c:v>20</c:v>
                </c:pt>
                <c:pt idx="125">
                  <c:v>19</c:v>
                </c:pt>
                <c:pt idx="126">
                  <c:v>15</c:v>
                </c:pt>
                <c:pt idx="127">
                  <c:v>31</c:v>
                </c:pt>
                <c:pt idx="128">
                  <c:v>26</c:v>
                </c:pt>
                <c:pt idx="129">
                  <c:v>32</c:v>
                </c:pt>
                <c:pt idx="130">
                  <c:v>25</c:v>
                </c:pt>
                <c:pt idx="131">
                  <c:v>16</c:v>
                </c:pt>
                <c:pt idx="132">
                  <c:v>16</c:v>
                </c:pt>
                <c:pt idx="133">
                  <c:v>18</c:v>
                </c:pt>
                <c:pt idx="134">
                  <c:v>16</c:v>
                </c:pt>
                <c:pt idx="135">
                  <c:v>13</c:v>
                </c:pt>
                <c:pt idx="136">
                  <c:v>14</c:v>
                </c:pt>
                <c:pt idx="137">
                  <c:v>14</c:v>
                </c:pt>
                <c:pt idx="138">
                  <c:v>14</c:v>
                </c:pt>
                <c:pt idx="139">
                  <c:v>29</c:v>
                </c:pt>
                <c:pt idx="140">
                  <c:v>26</c:v>
                </c:pt>
                <c:pt idx="141">
                  <c:v>26</c:v>
                </c:pt>
                <c:pt idx="142">
                  <c:v>31</c:v>
                </c:pt>
                <c:pt idx="143">
                  <c:v>32</c:v>
                </c:pt>
                <c:pt idx="144">
                  <c:v>28</c:v>
                </c:pt>
                <c:pt idx="145">
                  <c:v>24</c:v>
                </c:pt>
                <c:pt idx="146">
                  <c:v>26</c:v>
                </c:pt>
                <c:pt idx="147">
                  <c:v>24</c:v>
                </c:pt>
                <c:pt idx="148">
                  <c:v>26</c:v>
                </c:pt>
                <c:pt idx="149">
                  <c:v>31</c:v>
                </c:pt>
                <c:pt idx="150">
                  <c:v>19</c:v>
                </c:pt>
                <c:pt idx="151">
                  <c:v>18</c:v>
                </c:pt>
                <c:pt idx="152">
                  <c:v>15</c:v>
                </c:pt>
                <c:pt idx="153">
                  <c:v>15</c:v>
                </c:pt>
                <c:pt idx="154">
                  <c:v>16</c:v>
                </c:pt>
                <c:pt idx="155">
                  <c:v>15</c:v>
                </c:pt>
                <c:pt idx="156">
                  <c:v>16</c:v>
                </c:pt>
                <c:pt idx="157">
                  <c:v>14</c:v>
                </c:pt>
                <c:pt idx="158">
                  <c:v>17</c:v>
                </c:pt>
                <c:pt idx="159">
                  <c:v>16</c:v>
                </c:pt>
                <c:pt idx="160">
                  <c:v>15</c:v>
                </c:pt>
                <c:pt idx="161">
                  <c:v>18</c:v>
                </c:pt>
                <c:pt idx="162">
                  <c:v>21</c:v>
                </c:pt>
                <c:pt idx="163">
                  <c:v>20</c:v>
                </c:pt>
                <c:pt idx="164">
                  <c:v>13</c:v>
                </c:pt>
                <c:pt idx="165">
                  <c:v>29</c:v>
                </c:pt>
                <c:pt idx="166">
                  <c:v>23</c:v>
                </c:pt>
                <c:pt idx="167">
                  <c:v>20</c:v>
                </c:pt>
                <c:pt idx="168">
                  <c:v>23</c:v>
                </c:pt>
                <c:pt idx="169">
                  <c:v>24</c:v>
                </c:pt>
                <c:pt idx="170">
                  <c:v>25</c:v>
                </c:pt>
                <c:pt idx="171">
                  <c:v>24</c:v>
                </c:pt>
                <c:pt idx="172">
                  <c:v>18</c:v>
                </c:pt>
                <c:pt idx="173">
                  <c:v>29</c:v>
                </c:pt>
                <c:pt idx="174">
                  <c:v>19</c:v>
                </c:pt>
                <c:pt idx="175">
                  <c:v>23</c:v>
                </c:pt>
                <c:pt idx="176">
                  <c:v>23</c:v>
                </c:pt>
                <c:pt idx="177">
                  <c:v>22</c:v>
                </c:pt>
                <c:pt idx="178">
                  <c:v>25</c:v>
                </c:pt>
                <c:pt idx="179">
                  <c:v>33</c:v>
                </c:pt>
                <c:pt idx="180">
                  <c:v>28</c:v>
                </c:pt>
                <c:pt idx="181">
                  <c:v>25</c:v>
                </c:pt>
                <c:pt idx="182">
                  <c:v>25</c:v>
                </c:pt>
                <c:pt idx="183">
                  <c:v>26</c:v>
                </c:pt>
                <c:pt idx="184">
                  <c:v>27</c:v>
                </c:pt>
                <c:pt idx="185">
                  <c:v>17.5</c:v>
                </c:pt>
                <c:pt idx="186">
                  <c:v>16</c:v>
                </c:pt>
                <c:pt idx="187">
                  <c:v>15.5</c:v>
                </c:pt>
                <c:pt idx="188">
                  <c:v>14.5</c:v>
                </c:pt>
                <c:pt idx="189">
                  <c:v>22</c:v>
                </c:pt>
                <c:pt idx="190">
                  <c:v>22</c:v>
                </c:pt>
                <c:pt idx="191">
                  <c:v>24</c:v>
                </c:pt>
                <c:pt idx="192">
                  <c:v>22.5</c:v>
                </c:pt>
                <c:pt idx="193">
                  <c:v>29</c:v>
                </c:pt>
                <c:pt idx="194">
                  <c:v>24.5</c:v>
                </c:pt>
                <c:pt idx="195">
                  <c:v>29</c:v>
                </c:pt>
                <c:pt idx="196">
                  <c:v>33</c:v>
                </c:pt>
                <c:pt idx="197">
                  <c:v>20</c:v>
                </c:pt>
                <c:pt idx="198">
                  <c:v>18</c:v>
                </c:pt>
                <c:pt idx="199">
                  <c:v>18.5</c:v>
                </c:pt>
                <c:pt idx="200">
                  <c:v>17.5</c:v>
                </c:pt>
                <c:pt idx="201">
                  <c:v>29.5</c:v>
                </c:pt>
                <c:pt idx="202">
                  <c:v>32</c:v>
                </c:pt>
                <c:pt idx="203">
                  <c:v>28</c:v>
                </c:pt>
                <c:pt idx="204">
                  <c:v>26.5</c:v>
                </c:pt>
                <c:pt idx="205">
                  <c:v>20</c:v>
                </c:pt>
                <c:pt idx="206">
                  <c:v>13</c:v>
                </c:pt>
                <c:pt idx="207">
                  <c:v>19</c:v>
                </c:pt>
                <c:pt idx="208">
                  <c:v>19</c:v>
                </c:pt>
                <c:pt idx="209">
                  <c:v>16.5</c:v>
                </c:pt>
                <c:pt idx="210">
                  <c:v>16.5</c:v>
                </c:pt>
                <c:pt idx="211">
                  <c:v>13</c:v>
                </c:pt>
                <c:pt idx="212">
                  <c:v>13</c:v>
                </c:pt>
                <c:pt idx="213">
                  <c:v>13</c:v>
                </c:pt>
                <c:pt idx="214">
                  <c:v>31.5</c:v>
                </c:pt>
                <c:pt idx="215">
                  <c:v>30</c:v>
                </c:pt>
                <c:pt idx="216">
                  <c:v>36</c:v>
                </c:pt>
                <c:pt idx="217">
                  <c:v>25.5</c:v>
                </c:pt>
                <c:pt idx="218">
                  <c:v>33.5</c:v>
                </c:pt>
                <c:pt idx="219">
                  <c:v>17.5</c:v>
                </c:pt>
                <c:pt idx="220">
                  <c:v>17</c:v>
                </c:pt>
                <c:pt idx="221">
                  <c:v>15.5</c:v>
                </c:pt>
                <c:pt idx="222">
                  <c:v>15</c:v>
                </c:pt>
                <c:pt idx="223">
                  <c:v>17.5</c:v>
                </c:pt>
                <c:pt idx="224">
                  <c:v>20.5</c:v>
                </c:pt>
                <c:pt idx="225">
                  <c:v>19</c:v>
                </c:pt>
                <c:pt idx="226">
                  <c:v>18.5</c:v>
                </c:pt>
                <c:pt idx="227">
                  <c:v>16</c:v>
                </c:pt>
                <c:pt idx="228">
                  <c:v>15.5</c:v>
                </c:pt>
                <c:pt idx="229">
                  <c:v>15.5</c:v>
                </c:pt>
                <c:pt idx="230">
                  <c:v>16</c:v>
                </c:pt>
                <c:pt idx="231">
                  <c:v>29</c:v>
                </c:pt>
                <c:pt idx="232">
                  <c:v>24.5</c:v>
                </c:pt>
                <c:pt idx="233">
                  <c:v>26</c:v>
                </c:pt>
                <c:pt idx="234">
                  <c:v>25.5</c:v>
                </c:pt>
                <c:pt idx="235">
                  <c:v>30.5</c:v>
                </c:pt>
                <c:pt idx="236">
                  <c:v>33.5</c:v>
                </c:pt>
                <c:pt idx="237">
                  <c:v>30</c:v>
                </c:pt>
                <c:pt idx="238">
                  <c:v>30.5</c:v>
                </c:pt>
                <c:pt idx="239">
                  <c:v>22</c:v>
                </c:pt>
                <c:pt idx="240">
                  <c:v>21.5</c:v>
                </c:pt>
                <c:pt idx="241">
                  <c:v>21.5</c:v>
                </c:pt>
                <c:pt idx="242">
                  <c:v>43.1</c:v>
                </c:pt>
                <c:pt idx="243">
                  <c:v>36.1</c:v>
                </c:pt>
                <c:pt idx="244">
                  <c:v>32.799999999999997</c:v>
                </c:pt>
                <c:pt idx="245">
                  <c:v>39.4</c:v>
                </c:pt>
                <c:pt idx="246">
                  <c:v>36.1</c:v>
                </c:pt>
                <c:pt idx="247">
                  <c:v>19.899999999999999</c:v>
                </c:pt>
                <c:pt idx="248">
                  <c:v>19.399999999999999</c:v>
                </c:pt>
                <c:pt idx="249">
                  <c:v>20.2</c:v>
                </c:pt>
                <c:pt idx="250">
                  <c:v>19.2</c:v>
                </c:pt>
                <c:pt idx="251">
                  <c:v>20.5</c:v>
                </c:pt>
                <c:pt idx="252">
                  <c:v>20.2</c:v>
                </c:pt>
                <c:pt idx="253">
                  <c:v>25.1</c:v>
                </c:pt>
                <c:pt idx="254">
                  <c:v>20.5</c:v>
                </c:pt>
                <c:pt idx="255">
                  <c:v>19.399999999999999</c:v>
                </c:pt>
                <c:pt idx="256">
                  <c:v>20.6</c:v>
                </c:pt>
                <c:pt idx="257">
                  <c:v>20.8</c:v>
                </c:pt>
                <c:pt idx="258">
                  <c:v>18.600000000000001</c:v>
                </c:pt>
                <c:pt idx="259">
                  <c:v>18.100000000000001</c:v>
                </c:pt>
                <c:pt idx="260">
                  <c:v>19.2</c:v>
                </c:pt>
                <c:pt idx="261">
                  <c:v>17.7</c:v>
                </c:pt>
                <c:pt idx="262">
                  <c:v>18.100000000000001</c:v>
                </c:pt>
                <c:pt idx="263">
                  <c:v>17.5</c:v>
                </c:pt>
                <c:pt idx="264">
                  <c:v>30</c:v>
                </c:pt>
                <c:pt idx="265">
                  <c:v>27.5</c:v>
                </c:pt>
                <c:pt idx="266">
                  <c:v>27.2</c:v>
                </c:pt>
                <c:pt idx="267">
                  <c:v>30.9</c:v>
                </c:pt>
                <c:pt idx="268">
                  <c:v>21.1</c:v>
                </c:pt>
                <c:pt idx="269">
                  <c:v>23.2</c:v>
                </c:pt>
                <c:pt idx="270">
                  <c:v>23.8</c:v>
                </c:pt>
                <c:pt idx="271">
                  <c:v>23.9</c:v>
                </c:pt>
                <c:pt idx="272">
                  <c:v>20.3</c:v>
                </c:pt>
                <c:pt idx="273">
                  <c:v>17</c:v>
                </c:pt>
                <c:pt idx="274">
                  <c:v>21.6</c:v>
                </c:pt>
                <c:pt idx="275">
                  <c:v>16.2</c:v>
                </c:pt>
                <c:pt idx="276">
                  <c:v>31.5</c:v>
                </c:pt>
                <c:pt idx="277">
                  <c:v>29.5</c:v>
                </c:pt>
                <c:pt idx="278">
                  <c:v>21.5</c:v>
                </c:pt>
                <c:pt idx="279">
                  <c:v>19.8</c:v>
                </c:pt>
                <c:pt idx="280">
                  <c:v>22.3</c:v>
                </c:pt>
                <c:pt idx="281">
                  <c:v>20.2</c:v>
                </c:pt>
                <c:pt idx="282">
                  <c:v>20.6</c:v>
                </c:pt>
                <c:pt idx="283">
                  <c:v>17</c:v>
                </c:pt>
                <c:pt idx="284">
                  <c:v>17.600000000000001</c:v>
                </c:pt>
                <c:pt idx="285">
                  <c:v>16.5</c:v>
                </c:pt>
                <c:pt idx="286">
                  <c:v>18.2</c:v>
                </c:pt>
                <c:pt idx="287">
                  <c:v>16.899999999999999</c:v>
                </c:pt>
                <c:pt idx="288">
                  <c:v>15.5</c:v>
                </c:pt>
                <c:pt idx="289">
                  <c:v>19.2</c:v>
                </c:pt>
                <c:pt idx="290">
                  <c:v>18.5</c:v>
                </c:pt>
                <c:pt idx="291">
                  <c:v>31.9</c:v>
                </c:pt>
                <c:pt idx="292">
                  <c:v>34.1</c:v>
                </c:pt>
                <c:pt idx="293">
                  <c:v>35.700000000000003</c:v>
                </c:pt>
                <c:pt idx="294">
                  <c:v>27.4</c:v>
                </c:pt>
                <c:pt idx="295">
                  <c:v>25.4</c:v>
                </c:pt>
                <c:pt idx="296">
                  <c:v>23</c:v>
                </c:pt>
                <c:pt idx="297">
                  <c:v>27.2</c:v>
                </c:pt>
                <c:pt idx="298">
                  <c:v>23.9</c:v>
                </c:pt>
                <c:pt idx="299">
                  <c:v>34.200000000000003</c:v>
                </c:pt>
                <c:pt idx="300">
                  <c:v>34.5</c:v>
                </c:pt>
                <c:pt idx="301">
                  <c:v>31.8</c:v>
                </c:pt>
                <c:pt idx="302">
                  <c:v>37.299999999999997</c:v>
                </c:pt>
                <c:pt idx="303">
                  <c:v>28.4</c:v>
                </c:pt>
                <c:pt idx="304">
                  <c:v>28.8</c:v>
                </c:pt>
                <c:pt idx="305">
                  <c:v>26.8</c:v>
                </c:pt>
                <c:pt idx="306">
                  <c:v>33.5</c:v>
                </c:pt>
                <c:pt idx="307">
                  <c:v>41.5</c:v>
                </c:pt>
                <c:pt idx="308">
                  <c:v>38.1</c:v>
                </c:pt>
                <c:pt idx="309">
                  <c:v>32.1</c:v>
                </c:pt>
                <c:pt idx="310">
                  <c:v>37.200000000000003</c:v>
                </c:pt>
                <c:pt idx="311">
                  <c:v>28</c:v>
                </c:pt>
                <c:pt idx="312">
                  <c:v>26.4</c:v>
                </c:pt>
                <c:pt idx="313">
                  <c:v>24.3</c:v>
                </c:pt>
                <c:pt idx="314">
                  <c:v>19.100000000000001</c:v>
                </c:pt>
                <c:pt idx="315">
                  <c:v>34.299999999999997</c:v>
                </c:pt>
                <c:pt idx="316">
                  <c:v>29.8</c:v>
                </c:pt>
                <c:pt idx="317">
                  <c:v>31.3</c:v>
                </c:pt>
                <c:pt idx="318">
                  <c:v>37</c:v>
                </c:pt>
                <c:pt idx="319">
                  <c:v>32.200000000000003</c:v>
                </c:pt>
                <c:pt idx="320">
                  <c:v>46.6</c:v>
                </c:pt>
                <c:pt idx="321">
                  <c:v>27.9</c:v>
                </c:pt>
                <c:pt idx="322">
                  <c:v>40.799999999999997</c:v>
                </c:pt>
                <c:pt idx="323">
                  <c:v>44.3</c:v>
                </c:pt>
                <c:pt idx="324">
                  <c:v>43.4</c:v>
                </c:pt>
                <c:pt idx="325">
                  <c:v>36.4</c:v>
                </c:pt>
                <c:pt idx="326">
                  <c:v>30</c:v>
                </c:pt>
                <c:pt idx="327">
                  <c:v>44.6</c:v>
                </c:pt>
                <c:pt idx="328">
                  <c:v>33.799999999999997</c:v>
                </c:pt>
                <c:pt idx="329">
                  <c:v>29.8</c:v>
                </c:pt>
                <c:pt idx="330">
                  <c:v>32.700000000000003</c:v>
                </c:pt>
                <c:pt idx="331">
                  <c:v>23.7</c:v>
                </c:pt>
                <c:pt idx="332">
                  <c:v>35</c:v>
                </c:pt>
                <c:pt idx="333">
                  <c:v>32.4</c:v>
                </c:pt>
                <c:pt idx="334">
                  <c:v>27.2</c:v>
                </c:pt>
                <c:pt idx="335">
                  <c:v>26.6</c:v>
                </c:pt>
                <c:pt idx="336">
                  <c:v>25.8</c:v>
                </c:pt>
                <c:pt idx="337">
                  <c:v>23.5</c:v>
                </c:pt>
                <c:pt idx="338">
                  <c:v>30</c:v>
                </c:pt>
                <c:pt idx="339">
                  <c:v>39.1</c:v>
                </c:pt>
                <c:pt idx="340">
                  <c:v>39</c:v>
                </c:pt>
                <c:pt idx="341">
                  <c:v>35.1</c:v>
                </c:pt>
                <c:pt idx="342">
                  <c:v>32.299999999999997</c:v>
                </c:pt>
                <c:pt idx="343">
                  <c:v>37</c:v>
                </c:pt>
                <c:pt idx="344">
                  <c:v>37.700000000000003</c:v>
                </c:pt>
                <c:pt idx="345">
                  <c:v>34.1</c:v>
                </c:pt>
                <c:pt idx="346">
                  <c:v>34.700000000000003</c:v>
                </c:pt>
                <c:pt idx="347">
                  <c:v>34.4</c:v>
                </c:pt>
                <c:pt idx="348">
                  <c:v>29.9</c:v>
                </c:pt>
                <c:pt idx="349">
                  <c:v>33</c:v>
                </c:pt>
                <c:pt idx="350">
                  <c:v>33.700000000000003</c:v>
                </c:pt>
                <c:pt idx="351">
                  <c:v>32.4</c:v>
                </c:pt>
                <c:pt idx="352">
                  <c:v>32.9</c:v>
                </c:pt>
                <c:pt idx="353">
                  <c:v>31.6</c:v>
                </c:pt>
                <c:pt idx="354">
                  <c:v>28.1</c:v>
                </c:pt>
                <c:pt idx="355">
                  <c:v>30.7</c:v>
                </c:pt>
                <c:pt idx="356">
                  <c:v>25.4</c:v>
                </c:pt>
                <c:pt idx="357">
                  <c:v>24.2</c:v>
                </c:pt>
                <c:pt idx="358">
                  <c:v>22.4</c:v>
                </c:pt>
                <c:pt idx="359">
                  <c:v>26.6</c:v>
                </c:pt>
                <c:pt idx="360">
                  <c:v>20.2</c:v>
                </c:pt>
                <c:pt idx="361">
                  <c:v>17.600000000000001</c:v>
                </c:pt>
                <c:pt idx="362">
                  <c:v>28</c:v>
                </c:pt>
                <c:pt idx="363">
                  <c:v>27</c:v>
                </c:pt>
                <c:pt idx="364">
                  <c:v>34</c:v>
                </c:pt>
                <c:pt idx="365">
                  <c:v>31</c:v>
                </c:pt>
                <c:pt idx="366">
                  <c:v>29</c:v>
                </c:pt>
                <c:pt idx="367">
                  <c:v>27</c:v>
                </c:pt>
                <c:pt idx="368">
                  <c:v>24</c:v>
                </c:pt>
                <c:pt idx="369">
                  <c:v>36</c:v>
                </c:pt>
                <c:pt idx="370">
                  <c:v>37</c:v>
                </c:pt>
                <c:pt idx="371">
                  <c:v>31</c:v>
                </c:pt>
                <c:pt idx="372">
                  <c:v>38</c:v>
                </c:pt>
                <c:pt idx="373">
                  <c:v>36</c:v>
                </c:pt>
                <c:pt idx="374">
                  <c:v>36</c:v>
                </c:pt>
                <c:pt idx="375">
                  <c:v>36</c:v>
                </c:pt>
                <c:pt idx="376">
                  <c:v>34</c:v>
                </c:pt>
                <c:pt idx="377">
                  <c:v>38</c:v>
                </c:pt>
                <c:pt idx="378">
                  <c:v>32</c:v>
                </c:pt>
                <c:pt idx="379">
                  <c:v>38</c:v>
                </c:pt>
                <c:pt idx="380">
                  <c:v>25</c:v>
                </c:pt>
                <c:pt idx="381">
                  <c:v>38</c:v>
                </c:pt>
                <c:pt idx="382">
                  <c:v>26</c:v>
                </c:pt>
                <c:pt idx="383">
                  <c:v>22</c:v>
                </c:pt>
                <c:pt idx="384">
                  <c:v>32</c:v>
                </c:pt>
                <c:pt idx="385">
                  <c:v>36</c:v>
                </c:pt>
                <c:pt idx="386">
                  <c:v>27</c:v>
                </c:pt>
                <c:pt idx="387">
                  <c:v>27</c:v>
                </c:pt>
                <c:pt idx="388">
                  <c:v>44</c:v>
                </c:pt>
                <c:pt idx="389">
                  <c:v>32</c:v>
                </c:pt>
                <c:pt idx="390">
                  <c:v>28</c:v>
                </c:pt>
                <c:pt idx="391">
                  <c:v>31</c:v>
                </c:pt>
              </c:numCache>
            </c:numRef>
          </c:yVal>
          <c:smooth val="0"/>
          <c:extLst>
            <c:ext xmlns:c16="http://schemas.microsoft.com/office/drawing/2014/chart" uri="{C3380CC4-5D6E-409C-BE32-E72D297353CC}">
              <c16:uniqueId val="{00000001-6345-4972-9EF8-C79218A09D4A}"/>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392"/>
                <c:pt idx="0">
                  <c:v>16.838573626431657</c:v>
                </c:pt>
                <c:pt idx="1">
                  <c:v>15.313332990800653</c:v>
                </c:pt>
                <c:pt idx="2">
                  <c:v>16.858150041188768</c:v>
                </c:pt>
                <c:pt idx="3">
                  <c:v>16.87333997003412</c:v>
                </c:pt>
                <c:pt idx="4">
                  <c:v>16.954691335727667</c:v>
                </c:pt>
                <c:pt idx="5">
                  <c:v>11.496506105738145</c:v>
                </c:pt>
                <c:pt idx="6">
                  <c:v>11.073481577763719</c:v>
                </c:pt>
                <c:pt idx="7">
                  <c:v>11.36732274136633</c:v>
                </c:pt>
                <c:pt idx="8">
                  <c:v>10.632804435322722</c:v>
                </c:pt>
                <c:pt idx="9">
                  <c:v>14.11248258238879</c:v>
                </c:pt>
                <c:pt idx="10">
                  <c:v>15.890381080998122</c:v>
                </c:pt>
                <c:pt idx="11">
                  <c:v>15.819833158238158</c:v>
                </c:pt>
                <c:pt idx="12">
                  <c:v>15.212574416275828</c:v>
                </c:pt>
                <c:pt idx="13">
                  <c:v>17.412576009964042</c:v>
                </c:pt>
                <c:pt idx="14">
                  <c:v>25.198456840216735</c:v>
                </c:pt>
                <c:pt idx="15">
                  <c:v>20.804329496548931</c:v>
                </c:pt>
                <c:pt idx="16">
                  <c:v>21.070591899933738</c:v>
                </c:pt>
                <c:pt idx="17">
                  <c:v>22.212267981403059</c:v>
                </c:pt>
                <c:pt idx="18">
                  <c:v>26.537432790749776</c:v>
                </c:pt>
                <c:pt idx="19">
                  <c:v>28.591062427308088</c:v>
                </c:pt>
                <c:pt idx="20">
                  <c:v>23.687378569360181</c:v>
                </c:pt>
                <c:pt idx="21">
                  <c:v>24.863990200357815</c:v>
                </c:pt>
                <c:pt idx="22">
                  <c:v>25.061290069421531</c:v>
                </c:pt>
                <c:pt idx="23">
                  <c:v>25.482960949989245</c:v>
                </c:pt>
                <c:pt idx="24">
                  <c:v>21.822223935113236</c:v>
                </c:pt>
                <c:pt idx="25">
                  <c:v>9.8331399279859539</c:v>
                </c:pt>
                <c:pt idx="26">
                  <c:v>11.286817405301978</c:v>
                </c:pt>
                <c:pt idx="27">
                  <c:v>11.094073228075864</c:v>
                </c:pt>
                <c:pt idx="28">
                  <c:v>9.5979342059952053</c:v>
                </c:pt>
                <c:pt idx="29">
                  <c:v>27.447842985332564</c:v>
                </c:pt>
                <c:pt idx="30">
                  <c:v>24.676945021900856</c:v>
                </c:pt>
                <c:pt idx="31">
                  <c:v>26.837983619376338</c:v>
                </c:pt>
                <c:pt idx="32">
                  <c:v>22.641156144772246</c:v>
                </c:pt>
                <c:pt idx="33">
                  <c:v>18.484009744835561</c:v>
                </c:pt>
                <c:pt idx="34">
                  <c:v>19.12215596226611</c:v>
                </c:pt>
                <c:pt idx="35">
                  <c:v>19.453702505316755</c:v>
                </c:pt>
                <c:pt idx="36">
                  <c:v>19.329751656485897</c:v>
                </c:pt>
                <c:pt idx="37">
                  <c:v>13.611075423983204</c:v>
                </c:pt>
                <c:pt idx="38">
                  <c:v>12.157567152593019</c:v>
                </c:pt>
                <c:pt idx="39">
                  <c:v>14.084394636257118</c:v>
                </c:pt>
                <c:pt idx="40">
                  <c:v>14.426775889794508</c:v>
                </c:pt>
                <c:pt idx="41">
                  <c:v>9.59029997180299</c:v>
                </c:pt>
                <c:pt idx="42">
                  <c:v>10.810896000897804</c:v>
                </c:pt>
                <c:pt idx="43">
                  <c:v>8.7347698527740985</c:v>
                </c:pt>
                <c:pt idx="44">
                  <c:v>20.818026271478541</c:v>
                </c:pt>
                <c:pt idx="45">
                  <c:v>24.24008421248778</c:v>
                </c:pt>
                <c:pt idx="46">
                  <c:v>19.360131514176597</c:v>
                </c:pt>
                <c:pt idx="47">
                  <c:v>20.279021972580786</c:v>
                </c:pt>
                <c:pt idx="48">
                  <c:v>24.964676372780154</c:v>
                </c:pt>
                <c:pt idx="49">
                  <c:v>27.328836446781445</c:v>
                </c:pt>
                <c:pt idx="50">
                  <c:v>27.901667256992983</c:v>
                </c:pt>
                <c:pt idx="51">
                  <c:v>27.849818451807792</c:v>
                </c:pt>
                <c:pt idx="52">
                  <c:v>29.628882452860687</c:v>
                </c:pt>
                <c:pt idx="53">
                  <c:v>30.374066263465203</c:v>
                </c:pt>
                <c:pt idx="54">
                  <c:v>29.279225884156418</c:v>
                </c:pt>
                <c:pt idx="55">
                  <c:v>26.566236332042749</c:v>
                </c:pt>
                <c:pt idx="56">
                  <c:v>25.328456204078385</c:v>
                </c:pt>
                <c:pt idx="57">
                  <c:v>24.28168413378026</c:v>
                </c:pt>
                <c:pt idx="58">
                  <c:v>25.993692502986516</c:v>
                </c:pt>
                <c:pt idx="59">
                  <c:v>22.691466502781928</c:v>
                </c:pt>
                <c:pt idx="60">
                  <c:v>23.67793458054734</c:v>
                </c:pt>
                <c:pt idx="61">
                  <c:v>12.025598364458501</c:v>
                </c:pt>
                <c:pt idx="62">
                  <c:v>11.301206677645128</c:v>
                </c:pt>
                <c:pt idx="63">
                  <c:v>12.972944880262842</c:v>
                </c:pt>
                <c:pt idx="64">
                  <c:v>12.954615442092924</c:v>
                </c:pt>
                <c:pt idx="65">
                  <c:v>15.317257232061893</c:v>
                </c:pt>
                <c:pt idx="66">
                  <c:v>9.5097036386293166</c:v>
                </c:pt>
                <c:pt idx="67">
                  <c:v>11.033528091747291</c:v>
                </c:pt>
                <c:pt idx="68">
                  <c:v>11.185258174274955</c:v>
                </c:pt>
                <c:pt idx="69">
                  <c:v>10.87031774258269</c:v>
                </c:pt>
                <c:pt idx="70">
                  <c:v>25.032691240185233</c:v>
                </c:pt>
                <c:pt idx="71">
                  <c:v>14.203329116736212</c:v>
                </c:pt>
                <c:pt idx="72">
                  <c:v>13.485015975092987</c:v>
                </c:pt>
                <c:pt idx="73">
                  <c:v>12.330242970994691</c:v>
                </c:pt>
                <c:pt idx="74">
                  <c:v>13.266616837939614</c:v>
                </c:pt>
                <c:pt idx="75">
                  <c:v>21.613992221016861</c:v>
                </c:pt>
                <c:pt idx="76">
                  <c:v>24.335220428923609</c:v>
                </c:pt>
                <c:pt idx="77">
                  <c:v>21.786990777560018</c:v>
                </c:pt>
                <c:pt idx="78">
                  <c:v>26.079261148665989</c:v>
                </c:pt>
                <c:pt idx="79">
                  <c:v>22.822235255592609</c:v>
                </c:pt>
                <c:pt idx="80">
                  <c:v>25.326532403787837</c:v>
                </c:pt>
                <c:pt idx="81">
                  <c:v>24.141548747924688</c:v>
                </c:pt>
                <c:pt idx="82">
                  <c:v>24.089278368405822</c:v>
                </c:pt>
                <c:pt idx="83">
                  <c:v>26.343380339243954</c:v>
                </c:pt>
                <c:pt idx="84">
                  <c:v>12.383947606403465</c:v>
                </c:pt>
                <c:pt idx="85">
                  <c:v>14.956954920511956</c:v>
                </c:pt>
                <c:pt idx="86">
                  <c:v>13.438131241902772</c:v>
                </c:pt>
                <c:pt idx="87">
                  <c:v>13.294603978314802</c:v>
                </c:pt>
                <c:pt idx="88">
                  <c:v>14.425307410924701</c:v>
                </c:pt>
                <c:pt idx="89">
                  <c:v>7.6965698793925537</c:v>
                </c:pt>
                <c:pt idx="90">
                  <c:v>10.946813705339496</c:v>
                </c:pt>
                <c:pt idx="91">
                  <c:v>11.32831652083796</c:v>
                </c:pt>
                <c:pt idx="92">
                  <c:v>12.096184987970998</c:v>
                </c:pt>
                <c:pt idx="93">
                  <c:v>8.5192887226626848</c:v>
                </c:pt>
                <c:pt idx="94">
                  <c:v>7.2632495262620562</c:v>
                </c:pt>
                <c:pt idx="95">
                  <c:v>13.796610989021035</c:v>
                </c:pt>
                <c:pt idx="96">
                  <c:v>18.477477956350636</c:v>
                </c:pt>
                <c:pt idx="97">
                  <c:v>17.763720506545017</c:v>
                </c:pt>
                <c:pt idx="98">
                  <c:v>19.449802608378892</c:v>
                </c:pt>
                <c:pt idx="99">
                  <c:v>19.259828261072514</c:v>
                </c:pt>
                <c:pt idx="100">
                  <c:v>19.738580462366386</c:v>
                </c:pt>
                <c:pt idx="101">
                  <c:v>27.302527770060404</c:v>
                </c:pt>
                <c:pt idx="102">
                  <c:v>8.2480696804822724</c:v>
                </c:pt>
                <c:pt idx="103">
                  <c:v>8.4328115122477012</c:v>
                </c:pt>
                <c:pt idx="104">
                  <c:v>9.6600562393964946</c:v>
                </c:pt>
                <c:pt idx="105">
                  <c:v>10.282504910204176</c:v>
                </c:pt>
                <c:pt idx="106">
                  <c:v>20.239678908337105</c:v>
                </c:pt>
                <c:pt idx="107">
                  <c:v>25.076745606588123</c:v>
                </c:pt>
                <c:pt idx="108">
                  <c:v>22.658863133701555</c:v>
                </c:pt>
                <c:pt idx="109">
                  <c:v>24.4729960533552</c:v>
                </c:pt>
                <c:pt idx="110">
                  <c:v>25.829085733024137</c:v>
                </c:pt>
                <c:pt idx="111">
                  <c:v>22.908550693281139</c:v>
                </c:pt>
                <c:pt idx="112">
                  <c:v>21.731093032654325</c:v>
                </c:pt>
                <c:pt idx="113">
                  <c:v>24.993182235342822</c:v>
                </c:pt>
                <c:pt idx="114">
                  <c:v>12.9621801380818</c:v>
                </c:pt>
                <c:pt idx="115">
                  <c:v>10.589674737467918</c:v>
                </c:pt>
                <c:pt idx="116">
                  <c:v>27.674073172254467</c:v>
                </c:pt>
                <c:pt idx="117">
                  <c:v>25.778502843463425</c:v>
                </c:pt>
                <c:pt idx="118">
                  <c:v>23.371876655397269</c:v>
                </c:pt>
                <c:pt idx="119">
                  <c:v>21.582805034449514</c:v>
                </c:pt>
                <c:pt idx="120">
                  <c:v>16.339238445438831</c:v>
                </c:pt>
                <c:pt idx="121">
                  <c:v>22.668446298300879</c:v>
                </c:pt>
                <c:pt idx="122">
                  <c:v>21.85127944338608</c:v>
                </c:pt>
                <c:pt idx="123">
                  <c:v>14.510368438826658</c:v>
                </c:pt>
                <c:pt idx="124">
                  <c:v>20.700160815023679</c:v>
                </c:pt>
                <c:pt idx="125">
                  <c:v>21.636703887894438</c:v>
                </c:pt>
                <c:pt idx="126">
                  <c:v>19.434164205318655</c:v>
                </c:pt>
                <c:pt idx="127">
                  <c:v>29.047655197436306</c:v>
                </c:pt>
                <c:pt idx="128">
                  <c:v>24.239921853767793</c:v>
                </c:pt>
                <c:pt idx="129">
                  <c:v>29.657345357466696</c:v>
                </c:pt>
                <c:pt idx="130">
                  <c:v>23.860342838559877</c:v>
                </c:pt>
                <c:pt idx="131">
                  <c:v>17.180991426591703</c:v>
                </c:pt>
                <c:pt idx="132">
                  <c:v>17.773060239708684</c:v>
                </c:pt>
                <c:pt idx="133">
                  <c:v>17.95044528216361</c:v>
                </c:pt>
                <c:pt idx="134">
                  <c:v>14.708742687008032</c:v>
                </c:pt>
                <c:pt idx="135">
                  <c:v>11.721051602237475</c:v>
                </c:pt>
                <c:pt idx="136">
                  <c:v>12.946372529095727</c:v>
                </c:pt>
                <c:pt idx="137">
                  <c:v>12.192277808295009</c:v>
                </c:pt>
                <c:pt idx="138">
                  <c:v>13.959034452119075</c:v>
                </c:pt>
                <c:pt idx="139">
                  <c:v>27.30386515776339</c:v>
                </c:pt>
                <c:pt idx="140">
                  <c:v>28.859855330489932</c:v>
                </c:pt>
                <c:pt idx="141">
                  <c:v>26.974919238706633</c:v>
                </c:pt>
                <c:pt idx="142">
                  <c:v>30.815257870889557</c:v>
                </c:pt>
                <c:pt idx="143">
                  <c:v>28.876718379556362</c:v>
                </c:pt>
                <c:pt idx="144">
                  <c:v>25.971742948063561</c:v>
                </c:pt>
                <c:pt idx="145">
                  <c:v>27.995783980669671</c:v>
                </c:pt>
                <c:pt idx="146">
                  <c:v>27.29704725378356</c:v>
                </c:pt>
                <c:pt idx="147">
                  <c:v>25.831438356282145</c:v>
                </c:pt>
                <c:pt idx="148">
                  <c:v>26.392588426377753</c:v>
                </c:pt>
                <c:pt idx="149">
                  <c:v>28.672512874730614</c:v>
                </c:pt>
                <c:pt idx="150">
                  <c:v>19.261395253436948</c:v>
                </c:pt>
                <c:pt idx="151">
                  <c:v>18.11168555895377</c:v>
                </c:pt>
                <c:pt idx="152">
                  <c:v>18.784197173028783</c:v>
                </c:pt>
                <c:pt idx="153">
                  <c:v>20.17154400757077</c:v>
                </c:pt>
                <c:pt idx="154">
                  <c:v>10.934776157297453</c:v>
                </c:pt>
                <c:pt idx="155">
                  <c:v>12.495121548382599</c:v>
                </c:pt>
                <c:pt idx="156">
                  <c:v>12.120267430938121</c:v>
                </c:pt>
                <c:pt idx="157">
                  <c:v>11.347674066041641</c:v>
                </c:pt>
                <c:pt idx="158">
                  <c:v>15.762140691613762</c:v>
                </c:pt>
                <c:pt idx="159">
                  <c:v>15.893955947532636</c:v>
                </c:pt>
                <c:pt idx="160">
                  <c:v>16.658346493489425</c:v>
                </c:pt>
                <c:pt idx="161">
                  <c:v>16.623410943961126</c:v>
                </c:pt>
                <c:pt idx="162">
                  <c:v>20.157093437535096</c:v>
                </c:pt>
                <c:pt idx="163">
                  <c:v>19.23557108758385</c:v>
                </c:pt>
                <c:pt idx="164">
                  <c:v>19.190370980452638</c:v>
                </c:pt>
                <c:pt idx="165">
                  <c:v>27.180262912929358</c:v>
                </c:pt>
                <c:pt idx="166">
                  <c:v>22.620800946327407</c:v>
                </c:pt>
                <c:pt idx="167">
                  <c:v>20.952371458960101</c:v>
                </c:pt>
                <c:pt idx="168">
                  <c:v>22.939958658005594</c:v>
                </c:pt>
                <c:pt idx="169">
                  <c:v>24.150680436278002</c:v>
                </c:pt>
                <c:pt idx="170">
                  <c:v>26.85993969880759</c:v>
                </c:pt>
                <c:pt idx="171">
                  <c:v>24.929383613897791</c:v>
                </c:pt>
                <c:pt idx="172">
                  <c:v>20.646649081762554</c:v>
                </c:pt>
                <c:pt idx="173">
                  <c:v>28.324282680684522</c:v>
                </c:pt>
                <c:pt idx="174">
                  <c:v>19.610932822805843</c:v>
                </c:pt>
                <c:pt idx="175">
                  <c:v>24.085446503202622</c:v>
                </c:pt>
                <c:pt idx="176">
                  <c:v>22.867451098101707</c:v>
                </c:pt>
                <c:pt idx="177">
                  <c:v>22.765846493947695</c:v>
                </c:pt>
                <c:pt idx="178">
                  <c:v>23.87717398527948</c:v>
                </c:pt>
                <c:pt idx="179">
                  <c:v>29.441268831191159</c:v>
                </c:pt>
                <c:pt idx="180">
                  <c:v>26.171208171857554</c:v>
                </c:pt>
                <c:pt idx="181">
                  <c:v>27.487837877713748</c:v>
                </c:pt>
                <c:pt idx="182">
                  <c:v>23.588987372554566</c:v>
                </c:pt>
                <c:pt idx="183">
                  <c:v>25.405130135942613</c:v>
                </c:pt>
                <c:pt idx="184">
                  <c:v>27.546504586878768</c:v>
                </c:pt>
                <c:pt idx="185">
                  <c:v>14.490620941147784</c:v>
                </c:pt>
                <c:pt idx="186">
                  <c:v>14.454839361990286</c:v>
                </c:pt>
                <c:pt idx="187">
                  <c:v>16.096366912843141</c:v>
                </c:pt>
                <c:pt idx="188">
                  <c:v>14.295783757705289</c:v>
                </c:pt>
                <c:pt idx="189">
                  <c:v>20.112248261334074</c:v>
                </c:pt>
                <c:pt idx="190">
                  <c:v>19.423468947752358</c:v>
                </c:pt>
                <c:pt idx="191">
                  <c:v>21.539731893392158</c:v>
                </c:pt>
                <c:pt idx="192">
                  <c:v>21.023982403906764</c:v>
                </c:pt>
                <c:pt idx="193">
                  <c:v>26.957441914013906</c:v>
                </c:pt>
                <c:pt idx="194">
                  <c:v>26.174383518035519</c:v>
                </c:pt>
                <c:pt idx="195">
                  <c:v>29.099355250280734</c:v>
                </c:pt>
                <c:pt idx="196">
                  <c:v>30.216341400787371</c:v>
                </c:pt>
                <c:pt idx="197">
                  <c:v>17.995784842215276</c:v>
                </c:pt>
                <c:pt idx="198">
                  <c:v>18.742861185557164</c:v>
                </c:pt>
                <c:pt idx="199">
                  <c:v>17.863800380370563</c:v>
                </c:pt>
                <c:pt idx="200">
                  <c:v>20.39596280570645</c:v>
                </c:pt>
                <c:pt idx="201">
                  <c:v>29.650209495220267</c:v>
                </c:pt>
                <c:pt idx="202">
                  <c:v>28.952976682629405</c:v>
                </c:pt>
                <c:pt idx="203">
                  <c:v>28.036348436367433</c:v>
                </c:pt>
                <c:pt idx="204">
                  <c:v>23.949159178931211</c:v>
                </c:pt>
                <c:pt idx="205">
                  <c:v>22.437994864630813</c:v>
                </c:pt>
                <c:pt idx="206">
                  <c:v>15.720666765769474</c:v>
                </c:pt>
                <c:pt idx="207">
                  <c:v>22.057707758166377</c:v>
                </c:pt>
                <c:pt idx="208">
                  <c:v>23.576481230185102</c:v>
                </c:pt>
                <c:pt idx="209">
                  <c:v>18.753321647338847</c:v>
                </c:pt>
                <c:pt idx="210">
                  <c:v>13.005717576511872</c:v>
                </c:pt>
                <c:pt idx="211">
                  <c:v>15.219568319798755</c:v>
                </c:pt>
                <c:pt idx="212">
                  <c:v>16.399827077898475</c:v>
                </c:pt>
                <c:pt idx="213">
                  <c:v>16.657379044566074</c:v>
                </c:pt>
                <c:pt idx="214">
                  <c:v>30.140660247573575</c:v>
                </c:pt>
                <c:pt idx="215">
                  <c:v>27.328917395369249</c:v>
                </c:pt>
                <c:pt idx="216">
                  <c:v>31.294975840484813</c:v>
                </c:pt>
                <c:pt idx="217">
                  <c:v>26.334954589920667</c:v>
                </c:pt>
                <c:pt idx="218">
                  <c:v>30.614518345178166</c:v>
                </c:pt>
                <c:pt idx="219">
                  <c:v>17.539340232312693</c:v>
                </c:pt>
                <c:pt idx="220">
                  <c:v>17.196219619965621</c:v>
                </c:pt>
                <c:pt idx="221">
                  <c:v>16.222879732382342</c:v>
                </c:pt>
                <c:pt idx="222">
                  <c:v>15.681613221342369</c:v>
                </c:pt>
                <c:pt idx="223">
                  <c:v>19.930406812128663</c:v>
                </c:pt>
                <c:pt idx="224">
                  <c:v>20.492603385332458</c:v>
                </c:pt>
                <c:pt idx="225">
                  <c:v>19.535807074001234</c:v>
                </c:pt>
                <c:pt idx="226">
                  <c:v>20.099927447495574</c:v>
                </c:pt>
                <c:pt idx="227">
                  <c:v>15.249539844799065</c:v>
                </c:pt>
                <c:pt idx="228">
                  <c:v>15.690386193165898</c:v>
                </c:pt>
                <c:pt idx="229">
                  <c:v>14.555528015676392</c:v>
                </c:pt>
                <c:pt idx="230">
                  <c:v>15.170588629620417</c:v>
                </c:pt>
                <c:pt idx="231">
                  <c:v>30.387966595675561</c:v>
                </c:pt>
                <c:pt idx="232">
                  <c:v>24.23698981489763</c:v>
                </c:pt>
                <c:pt idx="233">
                  <c:v>28.913077108573102</c:v>
                </c:pt>
                <c:pt idx="234">
                  <c:v>24.144803738717336</c:v>
                </c:pt>
                <c:pt idx="235">
                  <c:v>28.131520938551592</c:v>
                </c:pt>
                <c:pt idx="236">
                  <c:v>27.68527286871797</c:v>
                </c:pt>
                <c:pt idx="237">
                  <c:v>30.460695256434121</c:v>
                </c:pt>
                <c:pt idx="238">
                  <c:v>29.122139191896373</c:v>
                </c:pt>
                <c:pt idx="239">
                  <c:v>25.771055317280993</c:v>
                </c:pt>
                <c:pt idx="240">
                  <c:v>26.526616427185196</c:v>
                </c:pt>
                <c:pt idx="241">
                  <c:v>26.040996115321043</c:v>
                </c:pt>
                <c:pt idx="242">
                  <c:v>30.497188279232841</c:v>
                </c:pt>
                <c:pt idx="243">
                  <c:v>29.203680013716564</c:v>
                </c:pt>
                <c:pt idx="244">
                  <c:v>30.554219393368527</c:v>
                </c:pt>
                <c:pt idx="245">
                  <c:v>29.83158230091987</c:v>
                </c:pt>
                <c:pt idx="246">
                  <c:v>31.3610402165368</c:v>
                </c:pt>
                <c:pt idx="247">
                  <c:v>20.56519746010305</c:v>
                </c:pt>
                <c:pt idx="248">
                  <c:v>18.204679943903621</c:v>
                </c:pt>
                <c:pt idx="249">
                  <c:v>19.05636246235143</c:v>
                </c:pt>
                <c:pt idx="250">
                  <c:v>19.785616985300912</c:v>
                </c:pt>
                <c:pt idx="251">
                  <c:v>21.872038958580688</c:v>
                </c:pt>
                <c:pt idx="252">
                  <c:v>22.99643210498828</c:v>
                </c:pt>
                <c:pt idx="253">
                  <c:v>24.188233664831259</c:v>
                </c:pt>
                <c:pt idx="254">
                  <c:v>20.398446654655878</c:v>
                </c:pt>
                <c:pt idx="255">
                  <c:v>21.674739089516976</c:v>
                </c:pt>
                <c:pt idx="256">
                  <c:v>20.570429975644011</c:v>
                </c:pt>
                <c:pt idx="257">
                  <c:v>22.464784595401021</c:v>
                </c:pt>
                <c:pt idx="258">
                  <c:v>19.274053508248279</c:v>
                </c:pt>
                <c:pt idx="259">
                  <c:v>20.174984207887384</c:v>
                </c:pt>
                <c:pt idx="260">
                  <c:v>19.693123764822104</c:v>
                </c:pt>
                <c:pt idx="261">
                  <c:v>19.267128933448951</c:v>
                </c:pt>
                <c:pt idx="262">
                  <c:v>20.90447047186904</c:v>
                </c:pt>
                <c:pt idx="263">
                  <c:v>16.457838126688344</c:v>
                </c:pt>
                <c:pt idx="264">
                  <c:v>27.37373223644304</c:v>
                </c:pt>
                <c:pt idx="265">
                  <c:v>26.944649790674134</c:v>
                </c:pt>
                <c:pt idx="266">
                  <c:v>28.228637426697411</c:v>
                </c:pt>
                <c:pt idx="267">
                  <c:v>26.880328991634499</c:v>
                </c:pt>
                <c:pt idx="268">
                  <c:v>27.172498723354387</c:v>
                </c:pt>
                <c:pt idx="269">
                  <c:v>23.785631581243138</c:v>
                </c:pt>
                <c:pt idx="270">
                  <c:v>23.553396162651119</c:v>
                </c:pt>
                <c:pt idx="271">
                  <c:v>27.696989917110152</c:v>
                </c:pt>
                <c:pt idx="272">
                  <c:v>25.325687897014429</c:v>
                </c:pt>
                <c:pt idx="273">
                  <c:v>23.398860413350338</c:v>
                </c:pt>
                <c:pt idx="274">
                  <c:v>25.308066550101021</c:v>
                </c:pt>
                <c:pt idx="275">
                  <c:v>21.901875361640482</c:v>
                </c:pt>
                <c:pt idx="276">
                  <c:v>30.098433796225809</c:v>
                </c:pt>
                <c:pt idx="277">
                  <c:v>29.534940039844358</c:v>
                </c:pt>
                <c:pt idx="278">
                  <c:v>23.499499380574036</c:v>
                </c:pt>
                <c:pt idx="279">
                  <c:v>25.27773629103504</c:v>
                </c:pt>
                <c:pt idx="280">
                  <c:v>25.735357956686094</c:v>
                </c:pt>
                <c:pt idx="281">
                  <c:v>23.804143987110237</c:v>
                </c:pt>
                <c:pt idx="282">
                  <c:v>22.998400934603318</c:v>
                </c:pt>
                <c:pt idx="283">
                  <c:v>20.243283680276463</c:v>
                </c:pt>
                <c:pt idx="284">
                  <c:v>20.841800717968425</c:v>
                </c:pt>
                <c:pt idx="285">
                  <c:v>19.531111618909698</c:v>
                </c:pt>
                <c:pt idx="286">
                  <c:v>20.212734616659922</c:v>
                </c:pt>
                <c:pt idx="287">
                  <c:v>17.204451881577221</c:v>
                </c:pt>
                <c:pt idx="288">
                  <c:v>18.96489823919898</c:v>
                </c:pt>
                <c:pt idx="289">
                  <c:v>21.5143435995966</c:v>
                </c:pt>
                <c:pt idx="290">
                  <c:v>19.412224079693956</c:v>
                </c:pt>
                <c:pt idx="291">
                  <c:v>32.835435847633072</c:v>
                </c:pt>
                <c:pt idx="292">
                  <c:v>32.801665800548349</c:v>
                </c:pt>
                <c:pt idx="293">
                  <c:v>30.801976287053243</c:v>
                </c:pt>
                <c:pt idx="294">
                  <c:v>26.979177527640104</c:v>
                </c:pt>
                <c:pt idx="295">
                  <c:v>24.611405323649461</c:v>
                </c:pt>
                <c:pt idx="296">
                  <c:v>20.020667263137163</c:v>
                </c:pt>
                <c:pt idx="297">
                  <c:v>26.430349184510394</c:v>
                </c:pt>
                <c:pt idx="298">
                  <c:v>23.019330996767138</c:v>
                </c:pt>
                <c:pt idx="299">
                  <c:v>29.521297366280386</c:v>
                </c:pt>
                <c:pt idx="300">
                  <c:v>29.774462847036226</c:v>
                </c:pt>
                <c:pt idx="301">
                  <c:v>32.573816867868089</c:v>
                </c:pt>
                <c:pt idx="302">
                  <c:v>31.829930240441232</c:v>
                </c:pt>
                <c:pt idx="303">
                  <c:v>26.816813208104698</c:v>
                </c:pt>
                <c:pt idx="304">
                  <c:v>26.790650630399917</c:v>
                </c:pt>
                <c:pt idx="305">
                  <c:v>26.259003120812665</c:v>
                </c:pt>
                <c:pt idx="306">
                  <c:v>27.394030504228006</c:v>
                </c:pt>
                <c:pt idx="307">
                  <c:v>35.706490359450044</c:v>
                </c:pt>
                <c:pt idx="308">
                  <c:v>36.979392604917109</c:v>
                </c:pt>
                <c:pt idx="309">
                  <c:v>33.987463612784964</c:v>
                </c:pt>
                <c:pt idx="310">
                  <c:v>36.639981654778452</c:v>
                </c:pt>
                <c:pt idx="311">
                  <c:v>30.837408208479005</c:v>
                </c:pt>
                <c:pt idx="312">
                  <c:v>29.897725626283673</c:v>
                </c:pt>
                <c:pt idx="313">
                  <c:v>29.191832583566061</c:v>
                </c:pt>
                <c:pt idx="314">
                  <c:v>27.277901549051933</c:v>
                </c:pt>
                <c:pt idx="315">
                  <c:v>35.45123187247782</c:v>
                </c:pt>
                <c:pt idx="316">
                  <c:v>32.730260602279138</c:v>
                </c:pt>
                <c:pt idx="317">
                  <c:v>33.829506406536979</c:v>
                </c:pt>
                <c:pt idx="318">
                  <c:v>34.100324501759388</c:v>
                </c:pt>
                <c:pt idx="319">
                  <c:v>35.232043169924317</c:v>
                </c:pt>
                <c:pt idx="320">
                  <c:v>36.179220479802829</c:v>
                </c:pt>
                <c:pt idx="321">
                  <c:v>29.976137956131637</c:v>
                </c:pt>
                <c:pt idx="322">
                  <c:v>36.179220479802829</c:v>
                </c:pt>
                <c:pt idx="323">
                  <c:v>36.459845721441084</c:v>
                </c:pt>
                <c:pt idx="324">
                  <c:v>35.1940183176619</c:v>
                </c:pt>
                <c:pt idx="325">
                  <c:v>31.771590697247827</c:v>
                </c:pt>
                <c:pt idx="326">
                  <c:v>30.252597812712803</c:v>
                </c:pt>
                <c:pt idx="327">
                  <c:v>37.463208115826099</c:v>
                </c:pt>
                <c:pt idx="328">
                  <c:v>35.969531779366662</c:v>
                </c:pt>
                <c:pt idx="329">
                  <c:v>37.447729981719526</c:v>
                </c:pt>
                <c:pt idx="330">
                  <c:v>31.040731846822169</c:v>
                </c:pt>
                <c:pt idx="331">
                  <c:v>34.041319380742692</c:v>
                </c:pt>
                <c:pt idx="332">
                  <c:v>33.709114953025988</c:v>
                </c:pt>
                <c:pt idx="333">
                  <c:v>35.154169725407023</c:v>
                </c:pt>
                <c:pt idx="334">
                  <c:v>29.250550208008121</c:v>
                </c:pt>
                <c:pt idx="335">
                  <c:v>28.516370313816193</c:v>
                </c:pt>
                <c:pt idx="336">
                  <c:v>28.462428502414614</c:v>
                </c:pt>
                <c:pt idx="337">
                  <c:v>27.638525217663616</c:v>
                </c:pt>
                <c:pt idx="338">
                  <c:v>29.782197717595377</c:v>
                </c:pt>
                <c:pt idx="339">
                  <c:v>35.454171617009983</c:v>
                </c:pt>
                <c:pt idx="340">
                  <c:v>32.689214260375735</c:v>
                </c:pt>
                <c:pt idx="341">
                  <c:v>35.396382205027315</c:v>
                </c:pt>
                <c:pt idx="342">
                  <c:v>33.738417748741924</c:v>
                </c:pt>
                <c:pt idx="343">
                  <c:v>34.226588478009511</c:v>
                </c:pt>
                <c:pt idx="344">
                  <c:v>33.895549552736377</c:v>
                </c:pt>
                <c:pt idx="345">
                  <c:v>34.127246085997719</c:v>
                </c:pt>
                <c:pt idx="346">
                  <c:v>30.983925423189589</c:v>
                </c:pt>
                <c:pt idx="347">
                  <c:v>31.812215193852357</c:v>
                </c:pt>
                <c:pt idx="348">
                  <c:v>30.116006472788246</c:v>
                </c:pt>
                <c:pt idx="349">
                  <c:v>32.869872181227684</c:v>
                </c:pt>
                <c:pt idx="350">
                  <c:v>32.874346398921659</c:v>
                </c:pt>
                <c:pt idx="351">
                  <c:v>32.165483052805314</c:v>
                </c:pt>
                <c:pt idx="352">
                  <c:v>30.417795205960854</c:v>
                </c:pt>
                <c:pt idx="353">
                  <c:v>30.738676244450591</c:v>
                </c:pt>
                <c:pt idx="354">
                  <c:v>27.50661158978502</c:v>
                </c:pt>
                <c:pt idx="355">
                  <c:v>27.925988990657363</c:v>
                </c:pt>
                <c:pt idx="356">
                  <c:v>28.714969054395926</c:v>
                </c:pt>
                <c:pt idx="357">
                  <c:v>28.498124038128257</c:v>
                </c:pt>
                <c:pt idx="358">
                  <c:v>24.144841583233063</c:v>
                </c:pt>
                <c:pt idx="359">
                  <c:v>22.65639776231458</c:v>
                </c:pt>
                <c:pt idx="360">
                  <c:v>26.299517999577414</c:v>
                </c:pt>
                <c:pt idx="361">
                  <c:v>24.29758690131575</c:v>
                </c:pt>
                <c:pt idx="362">
                  <c:v>30.28175978404812</c:v>
                </c:pt>
                <c:pt idx="363">
                  <c:v>30.104543947519034</c:v>
                </c:pt>
                <c:pt idx="364">
                  <c:v>31.345054803222634</c:v>
                </c:pt>
                <c:pt idx="365">
                  <c:v>30.482368368362241</c:v>
                </c:pt>
                <c:pt idx="366">
                  <c:v>30.751770281071622</c:v>
                </c:pt>
                <c:pt idx="367">
                  <c:v>29.591056670175863</c:v>
                </c:pt>
                <c:pt idx="368">
                  <c:v>28.900353556303596</c:v>
                </c:pt>
                <c:pt idx="369">
                  <c:v>35.611603109994782</c:v>
                </c:pt>
                <c:pt idx="370">
                  <c:v>35.603149610985632</c:v>
                </c:pt>
                <c:pt idx="371">
                  <c:v>35.881631639817051</c:v>
                </c:pt>
                <c:pt idx="372">
                  <c:v>33.118059198142689</c:v>
                </c:pt>
                <c:pt idx="373">
                  <c:v>33.004404174467894</c:v>
                </c:pt>
                <c:pt idx="374">
                  <c:v>34.594874173874054</c:v>
                </c:pt>
                <c:pt idx="375">
                  <c:v>34.57809885658984</c:v>
                </c:pt>
                <c:pt idx="376">
                  <c:v>34.456748631752866</c:v>
                </c:pt>
                <c:pt idx="377">
                  <c:v>35.923184619846189</c:v>
                </c:pt>
                <c:pt idx="378">
                  <c:v>35.923184619846189</c:v>
                </c:pt>
                <c:pt idx="379">
                  <c:v>35.771285331392683</c:v>
                </c:pt>
                <c:pt idx="380">
                  <c:v>28.203033011930518</c:v>
                </c:pt>
                <c:pt idx="381">
                  <c:v>28.254512137710872</c:v>
                </c:pt>
                <c:pt idx="382">
                  <c:v>30.318080248536287</c:v>
                </c:pt>
                <c:pt idx="383">
                  <c:v>28.727524205686279</c:v>
                </c:pt>
                <c:pt idx="384">
                  <c:v>31.90801136261177</c:v>
                </c:pt>
                <c:pt idx="385">
                  <c:v>31.536583271414717</c:v>
                </c:pt>
                <c:pt idx="386">
                  <c:v>28.502445102925762</c:v>
                </c:pt>
                <c:pt idx="387">
                  <c:v>29.377520369158603</c:v>
                </c:pt>
                <c:pt idx="388">
                  <c:v>35.209308170705178</c:v>
                </c:pt>
                <c:pt idx="389">
                  <c:v>31.916331492548473</c:v>
                </c:pt>
                <c:pt idx="390">
                  <c:v>30.326621479327653</c:v>
                </c:pt>
                <c:pt idx="391">
                  <c:v>29.796897770030938</c:v>
                </c:pt>
              </c:numCache>
            </c:numRef>
          </c:xVal>
          <c:yVal>
            <c:numRef>
              <c:f>Regression!RegChartFitY</c:f>
              <c:numCache>
                <c:formatCode>0.0000</c:formatCode>
                <c:ptCount val="392"/>
                <c:pt idx="0">
                  <c:v>16.838573626431657</c:v>
                </c:pt>
                <c:pt idx="1">
                  <c:v>15.313332990800653</c:v>
                </c:pt>
                <c:pt idx="2">
                  <c:v>16.858150041188768</c:v>
                </c:pt>
                <c:pt idx="3">
                  <c:v>16.87333997003412</c:v>
                </c:pt>
                <c:pt idx="4">
                  <c:v>16.954691335727667</c:v>
                </c:pt>
                <c:pt idx="5">
                  <c:v>11.496506105738145</c:v>
                </c:pt>
                <c:pt idx="6">
                  <c:v>11.073481577763719</c:v>
                </c:pt>
                <c:pt idx="7">
                  <c:v>11.36732274136633</c:v>
                </c:pt>
                <c:pt idx="8">
                  <c:v>10.632804435322722</c:v>
                </c:pt>
                <c:pt idx="9">
                  <c:v>14.11248258238879</c:v>
                </c:pt>
                <c:pt idx="10">
                  <c:v>15.890381080998122</c:v>
                </c:pt>
                <c:pt idx="11">
                  <c:v>15.819833158238158</c:v>
                </c:pt>
                <c:pt idx="12">
                  <c:v>15.212574416275828</c:v>
                </c:pt>
                <c:pt idx="13">
                  <c:v>17.412576009964042</c:v>
                </c:pt>
                <c:pt idx="14">
                  <c:v>25.198456840216735</c:v>
                </c:pt>
                <c:pt idx="15">
                  <c:v>20.804329496548931</c:v>
                </c:pt>
                <c:pt idx="16">
                  <c:v>21.070591899933738</c:v>
                </c:pt>
                <c:pt idx="17">
                  <c:v>22.212267981403059</c:v>
                </c:pt>
                <c:pt idx="18">
                  <c:v>26.537432790749776</c:v>
                </c:pt>
                <c:pt idx="19">
                  <c:v>28.591062427308088</c:v>
                </c:pt>
                <c:pt idx="20">
                  <c:v>23.687378569360181</c:v>
                </c:pt>
                <c:pt idx="21">
                  <c:v>24.863990200357815</c:v>
                </c:pt>
                <c:pt idx="22">
                  <c:v>25.061290069421531</c:v>
                </c:pt>
                <c:pt idx="23">
                  <c:v>25.482960949989245</c:v>
                </c:pt>
                <c:pt idx="24">
                  <c:v>21.822223935113236</c:v>
                </c:pt>
                <c:pt idx="25">
                  <c:v>9.8331399279859539</c:v>
                </c:pt>
                <c:pt idx="26">
                  <c:v>11.286817405301978</c:v>
                </c:pt>
                <c:pt idx="27">
                  <c:v>11.094073228075864</c:v>
                </c:pt>
                <c:pt idx="28">
                  <c:v>9.5979342059952053</c:v>
                </c:pt>
                <c:pt idx="29">
                  <c:v>27.447842985332564</c:v>
                </c:pt>
                <c:pt idx="30">
                  <c:v>24.676945021900856</c:v>
                </c:pt>
                <c:pt idx="31">
                  <c:v>26.837983619376338</c:v>
                </c:pt>
                <c:pt idx="32">
                  <c:v>22.641156144772246</c:v>
                </c:pt>
                <c:pt idx="33">
                  <c:v>18.484009744835561</c:v>
                </c:pt>
                <c:pt idx="34">
                  <c:v>19.12215596226611</c:v>
                </c:pt>
                <c:pt idx="35">
                  <c:v>19.453702505316755</c:v>
                </c:pt>
                <c:pt idx="36">
                  <c:v>19.329751656485897</c:v>
                </c:pt>
                <c:pt idx="37">
                  <c:v>13.611075423983204</c:v>
                </c:pt>
                <c:pt idx="38">
                  <c:v>12.157567152593019</c:v>
                </c:pt>
                <c:pt idx="39">
                  <c:v>14.084394636257118</c:v>
                </c:pt>
                <c:pt idx="40">
                  <c:v>14.426775889794508</c:v>
                </c:pt>
                <c:pt idx="41">
                  <c:v>9.59029997180299</c:v>
                </c:pt>
                <c:pt idx="42">
                  <c:v>10.810896000897804</c:v>
                </c:pt>
                <c:pt idx="43">
                  <c:v>8.7347698527740985</c:v>
                </c:pt>
                <c:pt idx="44">
                  <c:v>20.818026271478541</c:v>
                </c:pt>
                <c:pt idx="45">
                  <c:v>24.24008421248778</c:v>
                </c:pt>
                <c:pt idx="46">
                  <c:v>19.360131514176597</c:v>
                </c:pt>
                <c:pt idx="47">
                  <c:v>20.279021972580786</c:v>
                </c:pt>
                <c:pt idx="48">
                  <c:v>24.964676372780154</c:v>
                </c:pt>
                <c:pt idx="49">
                  <c:v>27.328836446781445</c:v>
                </c:pt>
                <c:pt idx="50">
                  <c:v>27.901667256992983</c:v>
                </c:pt>
                <c:pt idx="51">
                  <c:v>27.849818451807792</c:v>
                </c:pt>
                <c:pt idx="52">
                  <c:v>29.628882452860687</c:v>
                </c:pt>
                <c:pt idx="53">
                  <c:v>30.374066263465203</c:v>
                </c:pt>
                <c:pt idx="54">
                  <c:v>29.279225884156418</c:v>
                </c:pt>
                <c:pt idx="55">
                  <c:v>26.566236332042749</c:v>
                </c:pt>
                <c:pt idx="56">
                  <c:v>25.328456204078385</c:v>
                </c:pt>
                <c:pt idx="57">
                  <c:v>24.28168413378026</c:v>
                </c:pt>
                <c:pt idx="58">
                  <c:v>25.993692502986516</c:v>
                </c:pt>
                <c:pt idx="59">
                  <c:v>22.691466502781928</c:v>
                </c:pt>
                <c:pt idx="60">
                  <c:v>23.67793458054734</c:v>
                </c:pt>
                <c:pt idx="61">
                  <c:v>12.025598364458501</c:v>
                </c:pt>
                <c:pt idx="62">
                  <c:v>11.301206677645128</c:v>
                </c:pt>
                <c:pt idx="63">
                  <c:v>12.972944880262842</c:v>
                </c:pt>
                <c:pt idx="64">
                  <c:v>12.954615442092924</c:v>
                </c:pt>
                <c:pt idx="65">
                  <c:v>15.317257232061893</c:v>
                </c:pt>
                <c:pt idx="66">
                  <c:v>9.5097036386293166</c:v>
                </c:pt>
                <c:pt idx="67">
                  <c:v>11.033528091747291</c:v>
                </c:pt>
                <c:pt idx="68">
                  <c:v>11.185258174274955</c:v>
                </c:pt>
                <c:pt idx="69">
                  <c:v>10.87031774258269</c:v>
                </c:pt>
                <c:pt idx="70">
                  <c:v>25.032691240185233</c:v>
                </c:pt>
                <c:pt idx="71">
                  <c:v>14.203329116736212</c:v>
                </c:pt>
                <c:pt idx="72">
                  <c:v>13.485015975092987</c:v>
                </c:pt>
                <c:pt idx="73">
                  <c:v>12.330242970994691</c:v>
                </c:pt>
                <c:pt idx="74">
                  <c:v>13.266616837939614</c:v>
                </c:pt>
                <c:pt idx="75">
                  <c:v>21.613992221016861</c:v>
                </c:pt>
                <c:pt idx="76">
                  <c:v>24.335220428923609</c:v>
                </c:pt>
                <c:pt idx="77">
                  <c:v>21.786990777560018</c:v>
                </c:pt>
                <c:pt idx="78">
                  <c:v>26.079261148665989</c:v>
                </c:pt>
                <c:pt idx="79">
                  <c:v>22.822235255592609</c:v>
                </c:pt>
                <c:pt idx="80">
                  <c:v>25.326532403787837</c:v>
                </c:pt>
                <c:pt idx="81">
                  <c:v>24.141548747924688</c:v>
                </c:pt>
                <c:pt idx="82">
                  <c:v>24.089278368405822</c:v>
                </c:pt>
                <c:pt idx="83">
                  <c:v>26.343380339243954</c:v>
                </c:pt>
                <c:pt idx="84">
                  <c:v>12.383947606403465</c:v>
                </c:pt>
                <c:pt idx="85">
                  <c:v>14.956954920511956</c:v>
                </c:pt>
                <c:pt idx="86">
                  <c:v>13.438131241902772</c:v>
                </c:pt>
                <c:pt idx="87">
                  <c:v>13.294603978314802</c:v>
                </c:pt>
                <c:pt idx="88">
                  <c:v>14.425307410924701</c:v>
                </c:pt>
                <c:pt idx="89">
                  <c:v>7.6965698793925537</c:v>
                </c:pt>
                <c:pt idx="90">
                  <c:v>10.946813705339496</c:v>
                </c:pt>
                <c:pt idx="91">
                  <c:v>11.32831652083796</c:v>
                </c:pt>
                <c:pt idx="92">
                  <c:v>12.096184987970998</c:v>
                </c:pt>
                <c:pt idx="93">
                  <c:v>8.5192887226626848</c:v>
                </c:pt>
                <c:pt idx="94">
                  <c:v>7.2632495262620562</c:v>
                </c:pt>
                <c:pt idx="95">
                  <c:v>13.796610989021035</c:v>
                </c:pt>
                <c:pt idx="96">
                  <c:v>18.477477956350636</c:v>
                </c:pt>
                <c:pt idx="97">
                  <c:v>17.763720506545017</c:v>
                </c:pt>
                <c:pt idx="98">
                  <c:v>19.449802608378892</c:v>
                </c:pt>
                <c:pt idx="99">
                  <c:v>19.259828261072514</c:v>
                </c:pt>
                <c:pt idx="100">
                  <c:v>19.738580462366386</c:v>
                </c:pt>
                <c:pt idx="101">
                  <c:v>27.302527770060404</c:v>
                </c:pt>
                <c:pt idx="102">
                  <c:v>8.2480696804822724</c:v>
                </c:pt>
                <c:pt idx="103">
                  <c:v>8.4328115122477012</c:v>
                </c:pt>
                <c:pt idx="104">
                  <c:v>9.6600562393964946</c:v>
                </c:pt>
                <c:pt idx="105">
                  <c:v>10.282504910204176</c:v>
                </c:pt>
                <c:pt idx="106">
                  <c:v>20.239678908337105</c:v>
                </c:pt>
                <c:pt idx="107">
                  <c:v>25.076745606588123</c:v>
                </c:pt>
                <c:pt idx="108">
                  <c:v>22.658863133701555</c:v>
                </c:pt>
                <c:pt idx="109">
                  <c:v>24.4729960533552</c:v>
                </c:pt>
                <c:pt idx="110">
                  <c:v>25.829085733024137</c:v>
                </c:pt>
                <c:pt idx="111">
                  <c:v>22.908550693281139</c:v>
                </c:pt>
                <c:pt idx="112">
                  <c:v>21.731093032654325</c:v>
                </c:pt>
                <c:pt idx="113">
                  <c:v>24.993182235342822</c:v>
                </c:pt>
                <c:pt idx="114">
                  <c:v>12.9621801380818</c:v>
                </c:pt>
                <c:pt idx="115">
                  <c:v>10.589674737467918</c:v>
                </c:pt>
                <c:pt idx="116">
                  <c:v>27.674073172254467</c:v>
                </c:pt>
                <c:pt idx="117">
                  <c:v>25.778502843463425</c:v>
                </c:pt>
                <c:pt idx="118">
                  <c:v>23.371876655397269</c:v>
                </c:pt>
                <c:pt idx="119">
                  <c:v>21.582805034449514</c:v>
                </c:pt>
                <c:pt idx="120">
                  <c:v>16.339238445438831</c:v>
                </c:pt>
                <c:pt idx="121">
                  <c:v>22.668446298300879</c:v>
                </c:pt>
                <c:pt idx="122">
                  <c:v>21.85127944338608</c:v>
                </c:pt>
                <c:pt idx="123">
                  <c:v>14.510368438826658</c:v>
                </c:pt>
                <c:pt idx="124">
                  <c:v>20.700160815023679</c:v>
                </c:pt>
                <c:pt idx="125">
                  <c:v>21.636703887894438</c:v>
                </c:pt>
                <c:pt idx="126">
                  <c:v>19.434164205318655</c:v>
                </c:pt>
                <c:pt idx="127">
                  <c:v>29.047655197436306</c:v>
                </c:pt>
                <c:pt idx="128">
                  <c:v>24.239921853767793</c:v>
                </c:pt>
                <c:pt idx="129">
                  <c:v>29.657345357466696</c:v>
                </c:pt>
                <c:pt idx="130">
                  <c:v>23.860342838559877</c:v>
                </c:pt>
                <c:pt idx="131">
                  <c:v>17.180991426591703</c:v>
                </c:pt>
                <c:pt idx="132">
                  <c:v>17.773060239708684</c:v>
                </c:pt>
                <c:pt idx="133">
                  <c:v>17.95044528216361</c:v>
                </c:pt>
                <c:pt idx="134">
                  <c:v>14.708742687008032</c:v>
                </c:pt>
                <c:pt idx="135">
                  <c:v>11.721051602237475</c:v>
                </c:pt>
                <c:pt idx="136">
                  <c:v>12.946372529095727</c:v>
                </c:pt>
                <c:pt idx="137">
                  <c:v>12.192277808295009</c:v>
                </c:pt>
                <c:pt idx="138">
                  <c:v>13.959034452119075</c:v>
                </c:pt>
                <c:pt idx="139">
                  <c:v>27.30386515776339</c:v>
                </c:pt>
                <c:pt idx="140">
                  <c:v>28.859855330489932</c:v>
                </c:pt>
                <c:pt idx="141">
                  <c:v>26.974919238706633</c:v>
                </c:pt>
                <c:pt idx="142">
                  <c:v>30.815257870889557</c:v>
                </c:pt>
                <c:pt idx="143">
                  <c:v>28.876718379556362</c:v>
                </c:pt>
                <c:pt idx="144">
                  <c:v>25.971742948063561</c:v>
                </c:pt>
                <c:pt idx="145">
                  <c:v>27.995783980669671</c:v>
                </c:pt>
                <c:pt idx="146">
                  <c:v>27.29704725378356</c:v>
                </c:pt>
                <c:pt idx="147">
                  <c:v>25.831438356282145</c:v>
                </c:pt>
                <c:pt idx="148">
                  <c:v>26.392588426377753</c:v>
                </c:pt>
                <c:pt idx="149">
                  <c:v>28.672512874730614</c:v>
                </c:pt>
                <c:pt idx="150">
                  <c:v>19.261395253436948</c:v>
                </c:pt>
                <c:pt idx="151">
                  <c:v>18.11168555895377</c:v>
                </c:pt>
                <c:pt idx="152">
                  <c:v>18.784197173028783</c:v>
                </c:pt>
                <c:pt idx="153">
                  <c:v>20.17154400757077</c:v>
                </c:pt>
                <c:pt idx="154">
                  <c:v>10.934776157297453</c:v>
                </c:pt>
                <c:pt idx="155">
                  <c:v>12.495121548382599</c:v>
                </c:pt>
                <c:pt idx="156">
                  <c:v>12.120267430938121</c:v>
                </c:pt>
                <c:pt idx="157">
                  <c:v>11.347674066041641</c:v>
                </c:pt>
                <c:pt idx="158">
                  <c:v>15.762140691613762</c:v>
                </c:pt>
                <c:pt idx="159">
                  <c:v>15.893955947532636</c:v>
                </c:pt>
                <c:pt idx="160">
                  <c:v>16.658346493489425</c:v>
                </c:pt>
                <c:pt idx="161">
                  <c:v>16.623410943961126</c:v>
                </c:pt>
                <c:pt idx="162">
                  <c:v>20.157093437535096</c:v>
                </c:pt>
                <c:pt idx="163">
                  <c:v>19.23557108758385</c:v>
                </c:pt>
                <c:pt idx="164">
                  <c:v>19.190370980452638</c:v>
                </c:pt>
                <c:pt idx="165">
                  <c:v>27.180262912929358</c:v>
                </c:pt>
                <c:pt idx="166">
                  <c:v>22.620800946327407</c:v>
                </c:pt>
                <c:pt idx="167">
                  <c:v>20.952371458960101</c:v>
                </c:pt>
                <c:pt idx="168">
                  <c:v>22.939958658005594</c:v>
                </c:pt>
                <c:pt idx="169">
                  <c:v>24.150680436278002</c:v>
                </c:pt>
                <c:pt idx="170">
                  <c:v>26.85993969880759</c:v>
                </c:pt>
                <c:pt idx="171">
                  <c:v>24.929383613897791</c:v>
                </c:pt>
                <c:pt idx="172">
                  <c:v>20.646649081762554</c:v>
                </c:pt>
                <c:pt idx="173">
                  <c:v>28.324282680684522</c:v>
                </c:pt>
                <c:pt idx="174">
                  <c:v>19.610932822805843</c:v>
                </c:pt>
                <c:pt idx="175">
                  <c:v>24.085446503202622</c:v>
                </c:pt>
                <c:pt idx="176">
                  <c:v>22.867451098101707</c:v>
                </c:pt>
                <c:pt idx="177">
                  <c:v>22.765846493947695</c:v>
                </c:pt>
                <c:pt idx="178">
                  <c:v>23.87717398527948</c:v>
                </c:pt>
                <c:pt idx="179">
                  <c:v>29.441268831191159</c:v>
                </c:pt>
                <c:pt idx="180">
                  <c:v>26.171208171857554</c:v>
                </c:pt>
                <c:pt idx="181">
                  <c:v>27.487837877713748</c:v>
                </c:pt>
                <c:pt idx="182">
                  <c:v>23.588987372554566</c:v>
                </c:pt>
                <c:pt idx="183">
                  <c:v>25.405130135942613</c:v>
                </c:pt>
                <c:pt idx="184">
                  <c:v>27.546504586878768</c:v>
                </c:pt>
                <c:pt idx="185">
                  <c:v>14.490620941147784</c:v>
                </c:pt>
                <c:pt idx="186">
                  <c:v>14.454839361990286</c:v>
                </c:pt>
                <c:pt idx="187">
                  <c:v>16.096366912843141</c:v>
                </c:pt>
                <c:pt idx="188">
                  <c:v>14.295783757705289</c:v>
                </c:pt>
                <c:pt idx="189">
                  <c:v>20.112248261334074</c:v>
                </c:pt>
                <c:pt idx="190">
                  <c:v>19.423468947752358</c:v>
                </c:pt>
                <c:pt idx="191">
                  <c:v>21.539731893392158</c:v>
                </c:pt>
                <c:pt idx="192">
                  <c:v>21.023982403906764</c:v>
                </c:pt>
                <c:pt idx="193">
                  <c:v>26.957441914013906</c:v>
                </c:pt>
                <c:pt idx="194">
                  <c:v>26.174383518035519</c:v>
                </c:pt>
                <c:pt idx="195">
                  <c:v>29.099355250280734</c:v>
                </c:pt>
                <c:pt idx="196">
                  <c:v>30.216341400787371</c:v>
                </c:pt>
                <c:pt idx="197">
                  <c:v>17.995784842215276</c:v>
                </c:pt>
                <c:pt idx="198">
                  <c:v>18.742861185557164</c:v>
                </c:pt>
                <c:pt idx="199">
                  <c:v>17.863800380370563</c:v>
                </c:pt>
                <c:pt idx="200">
                  <c:v>20.39596280570645</c:v>
                </c:pt>
                <c:pt idx="201">
                  <c:v>29.650209495220267</c:v>
                </c:pt>
                <c:pt idx="202">
                  <c:v>28.952976682629405</c:v>
                </c:pt>
                <c:pt idx="203">
                  <c:v>28.036348436367433</c:v>
                </c:pt>
                <c:pt idx="204">
                  <c:v>23.949159178931211</c:v>
                </c:pt>
                <c:pt idx="205">
                  <c:v>22.437994864630813</c:v>
                </c:pt>
                <c:pt idx="206">
                  <c:v>15.720666765769474</c:v>
                </c:pt>
                <c:pt idx="207">
                  <c:v>22.057707758166377</c:v>
                </c:pt>
                <c:pt idx="208">
                  <c:v>23.576481230185102</c:v>
                </c:pt>
                <c:pt idx="209">
                  <c:v>18.753321647338847</c:v>
                </c:pt>
                <c:pt idx="210">
                  <c:v>13.005717576511872</c:v>
                </c:pt>
                <c:pt idx="211">
                  <c:v>15.219568319798755</c:v>
                </c:pt>
                <c:pt idx="212">
                  <c:v>16.399827077898475</c:v>
                </c:pt>
                <c:pt idx="213">
                  <c:v>16.657379044566074</c:v>
                </c:pt>
                <c:pt idx="214">
                  <c:v>30.140660247573575</c:v>
                </c:pt>
                <c:pt idx="215">
                  <c:v>27.328917395369249</c:v>
                </c:pt>
                <c:pt idx="216">
                  <c:v>31.294975840484813</c:v>
                </c:pt>
                <c:pt idx="217">
                  <c:v>26.334954589920667</c:v>
                </c:pt>
                <c:pt idx="218">
                  <c:v>30.614518345178166</c:v>
                </c:pt>
                <c:pt idx="219">
                  <c:v>17.539340232312693</c:v>
                </c:pt>
                <c:pt idx="220">
                  <c:v>17.196219619965621</c:v>
                </c:pt>
                <c:pt idx="221">
                  <c:v>16.222879732382342</c:v>
                </c:pt>
                <c:pt idx="222">
                  <c:v>15.681613221342369</c:v>
                </c:pt>
                <c:pt idx="223">
                  <c:v>19.930406812128663</c:v>
                </c:pt>
                <c:pt idx="224">
                  <c:v>20.492603385332458</c:v>
                </c:pt>
                <c:pt idx="225">
                  <c:v>19.535807074001234</c:v>
                </c:pt>
                <c:pt idx="226">
                  <c:v>20.099927447495574</c:v>
                </c:pt>
                <c:pt idx="227">
                  <c:v>15.249539844799065</c:v>
                </c:pt>
                <c:pt idx="228">
                  <c:v>15.690386193165898</c:v>
                </c:pt>
                <c:pt idx="229">
                  <c:v>14.555528015676392</c:v>
                </c:pt>
                <c:pt idx="230">
                  <c:v>15.170588629620417</c:v>
                </c:pt>
                <c:pt idx="231">
                  <c:v>30.387966595675561</c:v>
                </c:pt>
                <c:pt idx="232">
                  <c:v>24.23698981489763</c:v>
                </c:pt>
                <c:pt idx="233">
                  <c:v>28.913077108573102</c:v>
                </c:pt>
                <c:pt idx="234">
                  <c:v>24.144803738717336</c:v>
                </c:pt>
                <c:pt idx="235">
                  <c:v>28.131520938551592</c:v>
                </c:pt>
                <c:pt idx="236">
                  <c:v>27.68527286871797</c:v>
                </c:pt>
                <c:pt idx="237">
                  <c:v>30.460695256434121</c:v>
                </c:pt>
                <c:pt idx="238">
                  <c:v>29.122139191896373</c:v>
                </c:pt>
                <c:pt idx="239">
                  <c:v>25.771055317280993</c:v>
                </c:pt>
                <c:pt idx="240">
                  <c:v>26.526616427185196</c:v>
                </c:pt>
                <c:pt idx="241">
                  <c:v>26.040996115321043</c:v>
                </c:pt>
                <c:pt idx="242">
                  <c:v>30.497188279232841</c:v>
                </c:pt>
                <c:pt idx="243">
                  <c:v>29.203680013716564</c:v>
                </c:pt>
                <c:pt idx="244">
                  <c:v>30.554219393368527</c:v>
                </c:pt>
                <c:pt idx="245">
                  <c:v>29.83158230091987</c:v>
                </c:pt>
                <c:pt idx="246">
                  <c:v>31.3610402165368</c:v>
                </c:pt>
                <c:pt idx="247">
                  <c:v>20.56519746010305</c:v>
                </c:pt>
                <c:pt idx="248">
                  <c:v>18.204679943903621</c:v>
                </c:pt>
                <c:pt idx="249">
                  <c:v>19.05636246235143</c:v>
                </c:pt>
                <c:pt idx="250">
                  <c:v>19.785616985300912</c:v>
                </c:pt>
                <c:pt idx="251">
                  <c:v>21.872038958580688</c:v>
                </c:pt>
                <c:pt idx="252">
                  <c:v>22.99643210498828</c:v>
                </c:pt>
                <c:pt idx="253">
                  <c:v>24.188233664831259</c:v>
                </c:pt>
                <c:pt idx="254">
                  <c:v>20.398446654655878</c:v>
                </c:pt>
                <c:pt idx="255">
                  <c:v>21.674739089516976</c:v>
                </c:pt>
                <c:pt idx="256">
                  <c:v>20.570429975644011</c:v>
                </c:pt>
                <c:pt idx="257">
                  <c:v>22.464784595401021</c:v>
                </c:pt>
                <c:pt idx="258">
                  <c:v>19.274053508248279</c:v>
                </c:pt>
                <c:pt idx="259">
                  <c:v>20.174984207887384</c:v>
                </c:pt>
                <c:pt idx="260">
                  <c:v>19.693123764822104</c:v>
                </c:pt>
                <c:pt idx="261">
                  <c:v>19.267128933448951</c:v>
                </c:pt>
                <c:pt idx="262">
                  <c:v>20.90447047186904</c:v>
                </c:pt>
                <c:pt idx="263">
                  <c:v>16.457838126688344</c:v>
                </c:pt>
                <c:pt idx="264">
                  <c:v>27.37373223644304</c:v>
                </c:pt>
                <c:pt idx="265">
                  <c:v>26.944649790674134</c:v>
                </c:pt>
                <c:pt idx="266">
                  <c:v>28.228637426697411</c:v>
                </c:pt>
                <c:pt idx="267">
                  <c:v>26.880328991634499</c:v>
                </c:pt>
                <c:pt idx="268">
                  <c:v>27.172498723354387</c:v>
                </c:pt>
                <c:pt idx="269">
                  <c:v>23.785631581243138</c:v>
                </c:pt>
                <c:pt idx="270">
                  <c:v>23.553396162651119</c:v>
                </c:pt>
                <c:pt idx="271">
                  <c:v>27.696989917110152</c:v>
                </c:pt>
                <c:pt idx="272">
                  <c:v>25.325687897014429</c:v>
                </c:pt>
                <c:pt idx="273">
                  <c:v>23.398860413350338</c:v>
                </c:pt>
                <c:pt idx="274">
                  <c:v>25.308066550101021</c:v>
                </c:pt>
                <c:pt idx="275">
                  <c:v>21.901875361640482</c:v>
                </c:pt>
                <c:pt idx="276">
                  <c:v>30.098433796225809</c:v>
                </c:pt>
                <c:pt idx="277">
                  <c:v>29.534940039844358</c:v>
                </c:pt>
                <c:pt idx="278">
                  <c:v>23.499499380574036</c:v>
                </c:pt>
                <c:pt idx="279">
                  <c:v>25.27773629103504</c:v>
                </c:pt>
                <c:pt idx="280">
                  <c:v>25.735357956686094</c:v>
                </c:pt>
                <c:pt idx="281">
                  <c:v>23.804143987110237</c:v>
                </c:pt>
                <c:pt idx="282">
                  <c:v>22.998400934603318</c:v>
                </c:pt>
                <c:pt idx="283">
                  <c:v>20.243283680276463</c:v>
                </c:pt>
                <c:pt idx="284">
                  <c:v>20.841800717968425</c:v>
                </c:pt>
                <c:pt idx="285">
                  <c:v>19.531111618909698</c:v>
                </c:pt>
                <c:pt idx="286">
                  <c:v>20.212734616659922</c:v>
                </c:pt>
                <c:pt idx="287">
                  <c:v>17.204451881577221</c:v>
                </c:pt>
                <c:pt idx="288">
                  <c:v>18.96489823919898</c:v>
                </c:pt>
                <c:pt idx="289">
                  <c:v>21.5143435995966</c:v>
                </c:pt>
                <c:pt idx="290">
                  <c:v>19.412224079693956</c:v>
                </c:pt>
                <c:pt idx="291">
                  <c:v>32.835435847633072</c:v>
                </c:pt>
                <c:pt idx="292">
                  <c:v>32.801665800548349</c:v>
                </c:pt>
                <c:pt idx="293">
                  <c:v>30.801976287053243</c:v>
                </c:pt>
                <c:pt idx="294">
                  <c:v>26.979177527640104</c:v>
                </c:pt>
                <c:pt idx="295">
                  <c:v>24.611405323649461</c:v>
                </c:pt>
                <c:pt idx="296">
                  <c:v>20.020667263137163</c:v>
                </c:pt>
                <c:pt idx="297">
                  <c:v>26.430349184510394</c:v>
                </c:pt>
                <c:pt idx="298">
                  <c:v>23.019330996767138</c:v>
                </c:pt>
                <c:pt idx="299">
                  <c:v>29.521297366280386</c:v>
                </c:pt>
                <c:pt idx="300">
                  <c:v>29.774462847036226</c:v>
                </c:pt>
                <c:pt idx="301">
                  <c:v>32.573816867868089</c:v>
                </c:pt>
                <c:pt idx="302">
                  <c:v>31.829930240441232</c:v>
                </c:pt>
                <c:pt idx="303">
                  <c:v>26.816813208104698</c:v>
                </c:pt>
                <c:pt idx="304">
                  <c:v>26.790650630399917</c:v>
                </c:pt>
                <c:pt idx="305">
                  <c:v>26.259003120812665</c:v>
                </c:pt>
                <c:pt idx="306">
                  <c:v>27.394030504228006</c:v>
                </c:pt>
                <c:pt idx="307">
                  <c:v>35.706490359450044</c:v>
                </c:pt>
                <c:pt idx="308">
                  <c:v>36.979392604917109</c:v>
                </c:pt>
                <c:pt idx="309">
                  <c:v>33.987463612784964</c:v>
                </c:pt>
                <c:pt idx="310">
                  <c:v>36.639981654778452</c:v>
                </c:pt>
                <c:pt idx="311">
                  <c:v>30.837408208479005</c:v>
                </c:pt>
                <c:pt idx="312">
                  <c:v>29.897725626283673</c:v>
                </c:pt>
                <c:pt idx="313">
                  <c:v>29.191832583566061</c:v>
                </c:pt>
                <c:pt idx="314">
                  <c:v>27.277901549051933</c:v>
                </c:pt>
                <c:pt idx="315">
                  <c:v>35.45123187247782</c:v>
                </c:pt>
                <c:pt idx="316">
                  <c:v>32.730260602279138</c:v>
                </c:pt>
                <c:pt idx="317">
                  <c:v>33.829506406536979</c:v>
                </c:pt>
                <c:pt idx="318">
                  <c:v>34.100324501759388</c:v>
                </c:pt>
                <c:pt idx="319">
                  <c:v>35.232043169924317</c:v>
                </c:pt>
                <c:pt idx="320">
                  <c:v>36.179220479802829</c:v>
                </c:pt>
                <c:pt idx="321">
                  <c:v>29.976137956131637</c:v>
                </c:pt>
                <c:pt idx="322">
                  <c:v>36.179220479802829</c:v>
                </c:pt>
                <c:pt idx="323">
                  <c:v>36.459845721441084</c:v>
                </c:pt>
                <c:pt idx="324">
                  <c:v>35.1940183176619</c:v>
                </c:pt>
                <c:pt idx="325">
                  <c:v>31.771590697247827</c:v>
                </c:pt>
                <c:pt idx="326">
                  <c:v>30.252597812712803</c:v>
                </c:pt>
                <c:pt idx="327">
                  <c:v>37.463208115826099</c:v>
                </c:pt>
                <c:pt idx="328">
                  <c:v>35.969531779366662</c:v>
                </c:pt>
                <c:pt idx="329">
                  <c:v>37.447729981719526</c:v>
                </c:pt>
                <c:pt idx="330">
                  <c:v>31.040731846822169</c:v>
                </c:pt>
                <c:pt idx="331">
                  <c:v>34.041319380742692</c:v>
                </c:pt>
                <c:pt idx="332">
                  <c:v>33.709114953025988</c:v>
                </c:pt>
                <c:pt idx="333">
                  <c:v>35.154169725407023</c:v>
                </c:pt>
                <c:pt idx="334">
                  <c:v>29.250550208008121</c:v>
                </c:pt>
                <c:pt idx="335">
                  <c:v>28.516370313816193</c:v>
                </c:pt>
                <c:pt idx="336">
                  <c:v>28.462428502414614</c:v>
                </c:pt>
                <c:pt idx="337">
                  <c:v>27.638525217663616</c:v>
                </c:pt>
                <c:pt idx="338">
                  <c:v>29.782197717595377</c:v>
                </c:pt>
                <c:pt idx="339">
                  <c:v>35.454171617009983</c:v>
                </c:pt>
                <c:pt idx="340">
                  <c:v>32.689214260375735</c:v>
                </c:pt>
                <c:pt idx="341">
                  <c:v>35.396382205027315</c:v>
                </c:pt>
                <c:pt idx="342">
                  <c:v>33.738417748741924</c:v>
                </c:pt>
                <c:pt idx="343">
                  <c:v>34.226588478009511</c:v>
                </c:pt>
                <c:pt idx="344">
                  <c:v>33.895549552736377</c:v>
                </c:pt>
                <c:pt idx="345">
                  <c:v>34.127246085997719</c:v>
                </c:pt>
                <c:pt idx="346">
                  <c:v>30.983925423189589</c:v>
                </c:pt>
                <c:pt idx="347">
                  <c:v>31.812215193852357</c:v>
                </c:pt>
                <c:pt idx="348">
                  <c:v>30.116006472788246</c:v>
                </c:pt>
                <c:pt idx="349">
                  <c:v>32.869872181227684</c:v>
                </c:pt>
                <c:pt idx="350">
                  <c:v>32.874346398921659</c:v>
                </c:pt>
                <c:pt idx="351">
                  <c:v>32.165483052805314</c:v>
                </c:pt>
                <c:pt idx="352">
                  <c:v>30.417795205960854</c:v>
                </c:pt>
                <c:pt idx="353">
                  <c:v>30.738676244450591</c:v>
                </c:pt>
                <c:pt idx="354">
                  <c:v>27.50661158978502</c:v>
                </c:pt>
                <c:pt idx="355">
                  <c:v>27.925988990657363</c:v>
                </c:pt>
                <c:pt idx="356">
                  <c:v>28.714969054395926</c:v>
                </c:pt>
                <c:pt idx="357">
                  <c:v>28.498124038128257</c:v>
                </c:pt>
                <c:pt idx="358">
                  <c:v>24.144841583233063</c:v>
                </c:pt>
                <c:pt idx="359">
                  <c:v>22.65639776231458</c:v>
                </c:pt>
                <c:pt idx="360">
                  <c:v>26.299517999577414</c:v>
                </c:pt>
                <c:pt idx="361">
                  <c:v>24.29758690131575</c:v>
                </c:pt>
                <c:pt idx="362">
                  <c:v>30.28175978404812</c:v>
                </c:pt>
                <c:pt idx="363">
                  <c:v>30.104543947519034</c:v>
                </c:pt>
                <c:pt idx="364">
                  <c:v>31.345054803222634</c:v>
                </c:pt>
                <c:pt idx="365">
                  <c:v>30.482368368362241</c:v>
                </c:pt>
                <c:pt idx="366">
                  <c:v>30.751770281071622</c:v>
                </c:pt>
                <c:pt idx="367">
                  <c:v>29.591056670175863</c:v>
                </c:pt>
                <c:pt idx="368">
                  <c:v>28.900353556303596</c:v>
                </c:pt>
                <c:pt idx="369">
                  <c:v>35.611603109994782</c:v>
                </c:pt>
                <c:pt idx="370">
                  <c:v>35.603149610985632</c:v>
                </c:pt>
                <c:pt idx="371">
                  <c:v>35.881631639817051</c:v>
                </c:pt>
                <c:pt idx="372">
                  <c:v>33.118059198142689</c:v>
                </c:pt>
                <c:pt idx="373">
                  <c:v>33.004404174467894</c:v>
                </c:pt>
                <c:pt idx="374">
                  <c:v>34.594874173874054</c:v>
                </c:pt>
                <c:pt idx="375">
                  <c:v>34.57809885658984</c:v>
                </c:pt>
                <c:pt idx="376">
                  <c:v>34.456748631752866</c:v>
                </c:pt>
                <c:pt idx="377">
                  <c:v>35.923184619846189</c:v>
                </c:pt>
                <c:pt idx="378">
                  <c:v>35.923184619846189</c:v>
                </c:pt>
                <c:pt idx="379">
                  <c:v>35.771285331392683</c:v>
                </c:pt>
                <c:pt idx="380">
                  <c:v>28.203033011930518</c:v>
                </c:pt>
                <c:pt idx="381">
                  <c:v>28.254512137710872</c:v>
                </c:pt>
                <c:pt idx="382">
                  <c:v>30.318080248536287</c:v>
                </c:pt>
                <c:pt idx="383">
                  <c:v>28.727524205686279</c:v>
                </c:pt>
                <c:pt idx="384">
                  <c:v>31.90801136261177</c:v>
                </c:pt>
                <c:pt idx="385">
                  <c:v>31.536583271414717</c:v>
                </c:pt>
                <c:pt idx="386">
                  <c:v>28.502445102925762</c:v>
                </c:pt>
                <c:pt idx="387">
                  <c:v>29.377520369158603</c:v>
                </c:pt>
                <c:pt idx="388">
                  <c:v>35.209308170705178</c:v>
                </c:pt>
                <c:pt idx="389">
                  <c:v>31.916331492548473</c:v>
                </c:pt>
                <c:pt idx="390">
                  <c:v>30.326621479327653</c:v>
                </c:pt>
                <c:pt idx="391">
                  <c:v>29.796897770030938</c:v>
                </c:pt>
              </c:numCache>
            </c:numRef>
          </c:yVal>
          <c:smooth val="0"/>
          <c:extLst>
            <c:ext xmlns:c16="http://schemas.microsoft.com/office/drawing/2014/chart" uri="{C3380CC4-5D6E-409C-BE32-E72D297353CC}">
              <c16:uniqueId val="{00000002-6345-4972-9EF8-C79218A09D4A}"/>
            </c:ext>
          </c:extLst>
        </c:ser>
        <c:dLbls>
          <c:showLegendKey val="0"/>
          <c:showVal val="0"/>
          <c:showCatName val="0"/>
          <c:showSerName val="0"/>
          <c:showPercent val="0"/>
          <c:showBubbleSize val="0"/>
        </c:dLbls>
        <c:axId val="193243824"/>
        <c:axId val="193244304"/>
      </c:scatterChart>
      <c:valAx>
        <c:axId val="193243824"/>
        <c:scaling>
          <c:orientation val="minMax"/>
          <c:max val="46.6"/>
          <c:min val="7.2632495262620562"/>
        </c:scaling>
        <c:delete val="0"/>
        <c:axPos val="b"/>
        <c:majorGridlines/>
        <c:title>
          <c:tx>
            <c:rich>
              <a:bodyPr/>
              <a:lstStyle/>
              <a:p>
                <a:pPr>
                  <a:defRPr/>
                </a:pPr>
                <a:r>
                  <a:rPr lang="en-US"/>
                  <a:t>Predicted Y</a:t>
                </a:r>
              </a:p>
            </c:rich>
          </c:tx>
          <c:overlay val="0"/>
        </c:title>
        <c:numFmt formatCode="0" sourceLinked="0"/>
        <c:majorTickMark val="out"/>
        <c:minorTickMark val="none"/>
        <c:tickLblPos val="nextTo"/>
        <c:crossAx val="193244304"/>
        <c:crosses val="autoZero"/>
        <c:crossBetween val="midCat"/>
      </c:valAx>
      <c:valAx>
        <c:axId val="193244304"/>
        <c:scaling>
          <c:orientation val="minMax"/>
          <c:max val="46.6"/>
          <c:min val="7.2632495262620562"/>
        </c:scaling>
        <c:delete val="0"/>
        <c:axPos val="l"/>
        <c:majorGridlines/>
        <c:title>
          <c:tx>
            <c:rich>
              <a:bodyPr/>
              <a:lstStyle/>
              <a:p>
                <a:pPr>
                  <a:defRPr/>
                </a:pPr>
                <a:r>
                  <a:rPr lang="en-US"/>
                  <a:t>Actual Y</a:t>
                </a:r>
              </a:p>
            </c:rich>
          </c:tx>
          <c:overlay val="0"/>
        </c:title>
        <c:numFmt formatCode="0" sourceLinked="0"/>
        <c:majorTickMark val="out"/>
        <c:minorTickMark val="none"/>
        <c:tickLblPos val="nextTo"/>
        <c:crossAx val="19324382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392"/>
                <c:pt idx="0">
                  <c:v>16.838573626431657</c:v>
                </c:pt>
                <c:pt idx="1">
                  <c:v>15.313332990800653</c:v>
                </c:pt>
                <c:pt idx="2">
                  <c:v>16.858150041188768</c:v>
                </c:pt>
                <c:pt idx="3">
                  <c:v>16.87333997003412</c:v>
                </c:pt>
                <c:pt idx="4">
                  <c:v>16.954691335727667</c:v>
                </c:pt>
                <c:pt idx="5">
                  <c:v>11.496506105738145</c:v>
                </c:pt>
                <c:pt idx="6">
                  <c:v>11.073481577763719</c:v>
                </c:pt>
                <c:pt idx="7">
                  <c:v>11.36732274136633</c:v>
                </c:pt>
                <c:pt idx="8">
                  <c:v>10.632804435322722</c:v>
                </c:pt>
                <c:pt idx="9">
                  <c:v>14.11248258238879</c:v>
                </c:pt>
                <c:pt idx="10">
                  <c:v>15.890381080998122</c:v>
                </c:pt>
                <c:pt idx="11">
                  <c:v>15.819833158238158</c:v>
                </c:pt>
                <c:pt idx="12">
                  <c:v>15.212574416275828</c:v>
                </c:pt>
                <c:pt idx="13">
                  <c:v>17.412576009964042</c:v>
                </c:pt>
                <c:pt idx="14">
                  <c:v>25.198456840216735</c:v>
                </c:pt>
                <c:pt idx="15">
                  <c:v>20.804329496548931</c:v>
                </c:pt>
                <c:pt idx="16">
                  <c:v>21.070591899933738</c:v>
                </c:pt>
                <c:pt idx="17">
                  <c:v>22.212267981403059</c:v>
                </c:pt>
                <c:pt idx="18">
                  <c:v>26.537432790749776</c:v>
                </c:pt>
                <c:pt idx="19">
                  <c:v>28.591062427308088</c:v>
                </c:pt>
                <c:pt idx="20">
                  <c:v>23.687378569360181</c:v>
                </c:pt>
                <c:pt idx="21">
                  <c:v>24.863990200357815</c:v>
                </c:pt>
                <c:pt idx="22">
                  <c:v>25.061290069421531</c:v>
                </c:pt>
                <c:pt idx="23">
                  <c:v>25.482960949989245</c:v>
                </c:pt>
                <c:pt idx="24">
                  <c:v>21.822223935113236</c:v>
                </c:pt>
                <c:pt idx="25">
                  <c:v>9.8331399279859539</c:v>
                </c:pt>
                <c:pt idx="26">
                  <c:v>11.286817405301978</c:v>
                </c:pt>
                <c:pt idx="27">
                  <c:v>11.094073228075864</c:v>
                </c:pt>
                <c:pt idx="28">
                  <c:v>9.5979342059952053</c:v>
                </c:pt>
                <c:pt idx="29">
                  <c:v>27.447842985332564</c:v>
                </c:pt>
                <c:pt idx="30">
                  <c:v>24.676945021900856</c:v>
                </c:pt>
                <c:pt idx="31">
                  <c:v>26.837983619376338</c:v>
                </c:pt>
                <c:pt idx="32">
                  <c:v>22.641156144772246</c:v>
                </c:pt>
                <c:pt idx="33">
                  <c:v>18.484009744835561</c:v>
                </c:pt>
                <c:pt idx="34">
                  <c:v>19.12215596226611</c:v>
                </c:pt>
                <c:pt idx="35">
                  <c:v>19.453702505316755</c:v>
                </c:pt>
                <c:pt idx="36">
                  <c:v>19.329751656485897</c:v>
                </c:pt>
                <c:pt idx="37">
                  <c:v>13.611075423983204</c:v>
                </c:pt>
                <c:pt idx="38">
                  <c:v>12.157567152593019</c:v>
                </c:pt>
                <c:pt idx="39">
                  <c:v>14.084394636257118</c:v>
                </c:pt>
                <c:pt idx="40">
                  <c:v>14.426775889794508</c:v>
                </c:pt>
                <c:pt idx="41">
                  <c:v>9.59029997180299</c:v>
                </c:pt>
                <c:pt idx="42">
                  <c:v>10.810896000897804</c:v>
                </c:pt>
                <c:pt idx="43">
                  <c:v>8.7347698527740985</c:v>
                </c:pt>
                <c:pt idx="44">
                  <c:v>20.818026271478541</c:v>
                </c:pt>
                <c:pt idx="45">
                  <c:v>24.24008421248778</c:v>
                </c:pt>
                <c:pt idx="46">
                  <c:v>19.360131514176597</c:v>
                </c:pt>
                <c:pt idx="47">
                  <c:v>20.279021972580786</c:v>
                </c:pt>
                <c:pt idx="48">
                  <c:v>24.964676372780154</c:v>
                </c:pt>
                <c:pt idx="49">
                  <c:v>27.328836446781445</c:v>
                </c:pt>
                <c:pt idx="50">
                  <c:v>27.901667256992983</c:v>
                </c:pt>
                <c:pt idx="51">
                  <c:v>27.849818451807792</c:v>
                </c:pt>
                <c:pt idx="52">
                  <c:v>29.628882452860687</c:v>
                </c:pt>
                <c:pt idx="53">
                  <c:v>30.374066263465203</c:v>
                </c:pt>
                <c:pt idx="54">
                  <c:v>29.279225884156418</c:v>
                </c:pt>
                <c:pt idx="55">
                  <c:v>26.566236332042749</c:v>
                </c:pt>
                <c:pt idx="56">
                  <c:v>25.328456204078385</c:v>
                </c:pt>
                <c:pt idx="57">
                  <c:v>24.28168413378026</c:v>
                </c:pt>
                <c:pt idx="58">
                  <c:v>25.993692502986516</c:v>
                </c:pt>
                <c:pt idx="59">
                  <c:v>22.691466502781928</c:v>
                </c:pt>
                <c:pt idx="60">
                  <c:v>23.67793458054734</c:v>
                </c:pt>
                <c:pt idx="61">
                  <c:v>12.025598364458501</c:v>
                </c:pt>
                <c:pt idx="62">
                  <c:v>11.301206677645128</c:v>
                </c:pt>
                <c:pt idx="63">
                  <c:v>12.972944880262842</c:v>
                </c:pt>
                <c:pt idx="64">
                  <c:v>12.954615442092924</c:v>
                </c:pt>
                <c:pt idx="65">
                  <c:v>15.317257232061893</c:v>
                </c:pt>
                <c:pt idx="66">
                  <c:v>9.5097036386293166</c:v>
                </c:pt>
                <c:pt idx="67">
                  <c:v>11.033528091747291</c:v>
                </c:pt>
                <c:pt idx="68">
                  <c:v>11.185258174274955</c:v>
                </c:pt>
                <c:pt idx="69">
                  <c:v>10.87031774258269</c:v>
                </c:pt>
                <c:pt idx="70">
                  <c:v>25.032691240185233</c:v>
                </c:pt>
                <c:pt idx="71">
                  <c:v>14.203329116736212</c:v>
                </c:pt>
                <c:pt idx="72">
                  <c:v>13.485015975092987</c:v>
                </c:pt>
                <c:pt idx="73">
                  <c:v>12.330242970994691</c:v>
                </c:pt>
                <c:pt idx="74">
                  <c:v>13.266616837939614</c:v>
                </c:pt>
                <c:pt idx="75">
                  <c:v>21.613992221016861</c:v>
                </c:pt>
                <c:pt idx="76">
                  <c:v>24.335220428923609</c:v>
                </c:pt>
                <c:pt idx="77">
                  <c:v>21.786990777560018</c:v>
                </c:pt>
                <c:pt idx="78">
                  <c:v>26.079261148665989</c:v>
                </c:pt>
                <c:pt idx="79">
                  <c:v>22.822235255592609</c:v>
                </c:pt>
                <c:pt idx="80">
                  <c:v>25.326532403787837</c:v>
                </c:pt>
                <c:pt idx="81">
                  <c:v>24.141548747924688</c:v>
                </c:pt>
                <c:pt idx="82">
                  <c:v>24.089278368405822</c:v>
                </c:pt>
                <c:pt idx="83">
                  <c:v>26.343380339243954</c:v>
                </c:pt>
                <c:pt idx="84">
                  <c:v>12.383947606403465</c:v>
                </c:pt>
                <c:pt idx="85">
                  <c:v>14.956954920511956</c:v>
                </c:pt>
                <c:pt idx="86">
                  <c:v>13.438131241902772</c:v>
                </c:pt>
                <c:pt idx="87">
                  <c:v>13.294603978314802</c:v>
                </c:pt>
                <c:pt idx="88">
                  <c:v>14.425307410924701</c:v>
                </c:pt>
                <c:pt idx="89">
                  <c:v>7.6965698793925537</c:v>
                </c:pt>
                <c:pt idx="90">
                  <c:v>10.946813705339496</c:v>
                </c:pt>
                <c:pt idx="91">
                  <c:v>11.32831652083796</c:v>
                </c:pt>
                <c:pt idx="92">
                  <c:v>12.096184987970998</c:v>
                </c:pt>
                <c:pt idx="93">
                  <c:v>8.5192887226626848</c:v>
                </c:pt>
                <c:pt idx="94">
                  <c:v>7.2632495262620562</c:v>
                </c:pt>
                <c:pt idx="95">
                  <c:v>13.796610989021035</c:v>
                </c:pt>
                <c:pt idx="96">
                  <c:v>18.477477956350636</c:v>
                </c:pt>
                <c:pt idx="97">
                  <c:v>17.763720506545017</c:v>
                </c:pt>
                <c:pt idx="98">
                  <c:v>19.449802608378892</c:v>
                </c:pt>
                <c:pt idx="99">
                  <c:v>19.259828261072514</c:v>
                </c:pt>
                <c:pt idx="100">
                  <c:v>19.738580462366386</c:v>
                </c:pt>
                <c:pt idx="101">
                  <c:v>27.302527770060404</c:v>
                </c:pt>
                <c:pt idx="102">
                  <c:v>8.2480696804822724</c:v>
                </c:pt>
                <c:pt idx="103">
                  <c:v>8.4328115122477012</c:v>
                </c:pt>
                <c:pt idx="104">
                  <c:v>9.6600562393964946</c:v>
                </c:pt>
                <c:pt idx="105">
                  <c:v>10.282504910204176</c:v>
                </c:pt>
                <c:pt idx="106">
                  <c:v>20.239678908337105</c:v>
                </c:pt>
                <c:pt idx="107">
                  <c:v>25.076745606588123</c:v>
                </c:pt>
                <c:pt idx="108">
                  <c:v>22.658863133701555</c:v>
                </c:pt>
                <c:pt idx="109">
                  <c:v>24.4729960533552</c:v>
                </c:pt>
                <c:pt idx="110">
                  <c:v>25.829085733024137</c:v>
                </c:pt>
                <c:pt idx="111">
                  <c:v>22.908550693281139</c:v>
                </c:pt>
                <c:pt idx="112">
                  <c:v>21.731093032654325</c:v>
                </c:pt>
                <c:pt idx="113">
                  <c:v>24.993182235342822</c:v>
                </c:pt>
                <c:pt idx="114">
                  <c:v>12.9621801380818</c:v>
                </c:pt>
                <c:pt idx="115">
                  <c:v>10.589674737467918</c:v>
                </c:pt>
                <c:pt idx="116">
                  <c:v>27.674073172254467</c:v>
                </c:pt>
                <c:pt idx="117">
                  <c:v>25.778502843463425</c:v>
                </c:pt>
                <c:pt idx="118">
                  <c:v>23.371876655397269</c:v>
                </c:pt>
                <c:pt idx="119">
                  <c:v>21.582805034449514</c:v>
                </c:pt>
                <c:pt idx="120">
                  <c:v>16.339238445438831</c:v>
                </c:pt>
                <c:pt idx="121">
                  <c:v>22.668446298300879</c:v>
                </c:pt>
                <c:pt idx="122">
                  <c:v>21.85127944338608</c:v>
                </c:pt>
                <c:pt idx="123">
                  <c:v>14.510368438826658</c:v>
                </c:pt>
                <c:pt idx="124">
                  <c:v>20.700160815023679</c:v>
                </c:pt>
                <c:pt idx="125">
                  <c:v>21.636703887894438</c:v>
                </c:pt>
                <c:pt idx="126">
                  <c:v>19.434164205318655</c:v>
                </c:pt>
                <c:pt idx="127">
                  <c:v>29.047655197436306</c:v>
                </c:pt>
                <c:pt idx="128">
                  <c:v>24.239921853767793</c:v>
                </c:pt>
                <c:pt idx="129">
                  <c:v>29.657345357466696</c:v>
                </c:pt>
                <c:pt idx="130">
                  <c:v>23.860342838559877</c:v>
                </c:pt>
                <c:pt idx="131">
                  <c:v>17.180991426591703</c:v>
                </c:pt>
                <c:pt idx="132">
                  <c:v>17.773060239708684</c:v>
                </c:pt>
                <c:pt idx="133">
                  <c:v>17.95044528216361</c:v>
                </c:pt>
                <c:pt idx="134">
                  <c:v>14.708742687008032</c:v>
                </c:pt>
                <c:pt idx="135">
                  <c:v>11.721051602237475</c:v>
                </c:pt>
                <c:pt idx="136">
                  <c:v>12.946372529095727</c:v>
                </c:pt>
                <c:pt idx="137">
                  <c:v>12.192277808295009</c:v>
                </c:pt>
                <c:pt idx="138">
                  <c:v>13.959034452119075</c:v>
                </c:pt>
                <c:pt idx="139">
                  <c:v>27.30386515776339</c:v>
                </c:pt>
                <c:pt idx="140">
                  <c:v>28.859855330489932</c:v>
                </c:pt>
                <c:pt idx="141">
                  <c:v>26.974919238706633</c:v>
                </c:pt>
                <c:pt idx="142">
                  <c:v>30.815257870889557</c:v>
                </c:pt>
                <c:pt idx="143">
                  <c:v>28.876718379556362</c:v>
                </c:pt>
                <c:pt idx="144">
                  <c:v>25.971742948063561</c:v>
                </c:pt>
                <c:pt idx="145">
                  <c:v>27.995783980669671</c:v>
                </c:pt>
                <c:pt idx="146">
                  <c:v>27.29704725378356</c:v>
                </c:pt>
                <c:pt idx="147">
                  <c:v>25.831438356282145</c:v>
                </c:pt>
                <c:pt idx="148">
                  <c:v>26.392588426377753</c:v>
                </c:pt>
                <c:pt idx="149">
                  <c:v>28.672512874730614</c:v>
                </c:pt>
                <c:pt idx="150">
                  <c:v>19.261395253436948</c:v>
                </c:pt>
                <c:pt idx="151">
                  <c:v>18.11168555895377</c:v>
                </c:pt>
                <c:pt idx="152">
                  <c:v>18.784197173028783</c:v>
                </c:pt>
                <c:pt idx="153">
                  <c:v>20.17154400757077</c:v>
                </c:pt>
                <c:pt idx="154">
                  <c:v>10.934776157297453</c:v>
                </c:pt>
                <c:pt idx="155">
                  <c:v>12.495121548382599</c:v>
                </c:pt>
                <c:pt idx="156">
                  <c:v>12.120267430938121</c:v>
                </c:pt>
                <c:pt idx="157">
                  <c:v>11.347674066041641</c:v>
                </c:pt>
                <c:pt idx="158">
                  <c:v>15.762140691613762</c:v>
                </c:pt>
                <c:pt idx="159">
                  <c:v>15.893955947532636</c:v>
                </c:pt>
                <c:pt idx="160">
                  <c:v>16.658346493489425</c:v>
                </c:pt>
                <c:pt idx="161">
                  <c:v>16.623410943961126</c:v>
                </c:pt>
                <c:pt idx="162">
                  <c:v>20.157093437535096</c:v>
                </c:pt>
                <c:pt idx="163">
                  <c:v>19.23557108758385</c:v>
                </c:pt>
                <c:pt idx="164">
                  <c:v>19.190370980452638</c:v>
                </c:pt>
                <c:pt idx="165">
                  <c:v>27.180262912929358</c:v>
                </c:pt>
                <c:pt idx="166">
                  <c:v>22.620800946327407</c:v>
                </c:pt>
                <c:pt idx="167">
                  <c:v>20.952371458960101</c:v>
                </c:pt>
                <c:pt idx="168">
                  <c:v>22.939958658005594</c:v>
                </c:pt>
                <c:pt idx="169">
                  <c:v>24.150680436278002</c:v>
                </c:pt>
                <c:pt idx="170">
                  <c:v>26.85993969880759</c:v>
                </c:pt>
                <c:pt idx="171">
                  <c:v>24.929383613897791</c:v>
                </c:pt>
                <c:pt idx="172">
                  <c:v>20.646649081762554</c:v>
                </c:pt>
                <c:pt idx="173">
                  <c:v>28.324282680684522</c:v>
                </c:pt>
                <c:pt idx="174">
                  <c:v>19.610932822805843</c:v>
                </c:pt>
                <c:pt idx="175">
                  <c:v>24.085446503202622</c:v>
                </c:pt>
                <c:pt idx="176">
                  <c:v>22.867451098101707</c:v>
                </c:pt>
                <c:pt idx="177">
                  <c:v>22.765846493947695</c:v>
                </c:pt>
                <c:pt idx="178">
                  <c:v>23.87717398527948</c:v>
                </c:pt>
                <c:pt idx="179">
                  <c:v>29.441268831191159</c:v>
                </c:pt>
                <c:pt idx="180">
                  <c:v>26.171208171857554</c:v>
                </c:pt>
                <c:pt idx="181">
                  <c:v>27.487837877713748</c:v>
                </c:pt>
                <c:pt idx="182">
                  <c:v>23.588987372554566</c:v>
                </c:pt>
                <c:pt idx="183">
                  <c:v>25.405130135942613</c:v>
                </c:pt>
                <c:pt idx="184">
                  <c:v>27.546504586878768</c:v>
                </c:pt>
                <c:pt idx="185">
                  <c:v>14.490620941147784</c:v>
                </c:pt>
                <c:pt idx="186">
                  <c:v>14.454839361990286</c:v>
                </c:pt>
                <c:pt idx="187">
                  <c:v>16.096366912843141</c:v>
                </c:pt>
                <c:pt idx="188">
                  <c:v>14.295783757705289</c:v>
                </c:pt>
                <c:pt idx="189">
                  <c:v>20.112248261334074</c:v>
                </c:pt>
                <c:pt idx="190">
                  <c:v>19.423468947752358</c:v>
                </c:pt>
                <c:pt idx="191">
                  <c:v>21.539731893392158</c:v>
                </c:pt>
                <c:pt idx="192">
                  <c:v>21.023982403906764</c:v>
                </c:pt>
                <c:pt idx="193">
                  <c:v>26.957441914013906</c:v>
                </c:pt>
                <c:pt idx="194">
                  <c:v>26.174383518035519</c:v>
                </c:pt>
                <c:pt idx="195">
                  <c:v>29.099355250280734</c:v>
                </c:pt>
                <c:pt idx="196">
                  <c:v>30.216341400787371</c:v>
                </c:pt>
                <c:pt idx="197">
                  <c:v>17.995784842215276</c:v>
                </c:pt>
                <c:pt idx="198">
                  <c:v>18.742861185557164</c:v>
                </c:pt>
                <c:pt idx="199">
                  <c:v>17.863800380370563</c:v>
                </c:pt>
                <c:pt idx="200">
                  <c:v>20.39596280570645</c:v>
                </c:pt>
                <c:pt idx="201">
                  <c:v>29.650209495220267</c:v>
                </c:pt>
                <c:pt idx="202">
                  <c:v>28.952976682629405</c:v>
                </c:pt>
                <c:pt idx="203">
                  <c:v>28.036348436367433</c:v>
                </c:pt>
                <c:pt idx="204">
                  <c:v>23.949159178931211</c:v>
                </c:pt>
                <c:pt idx="205">
                  <c:v>22.437994864630813</c:v>
                </c:pt>
                <c:pt idx="206">
                  <c:v>15.720666765769474</c:v>
                </c:pt>
                <c:pt idx="207">
                  <c:v>22.057707758166377</c:v>
                </c:pt>
                <c:pt idx="208">
                  <c:v>23.576481230185102</c:v>
                </c:pt>
                <c:pt idx="209">
                  <c:v>18.753321647338847</c:v>
                </c:pt>
                <c:pt idx="210">
                  <c:v>13.005717576511872</c:v>
                </c:pt>
                <c:pt idx="211">
                  <c:v>15.219568319798755</c:v>
                </c:pt>
                <c:pt idx="212">
                  <c:v>16.399827077898475</c:v>
                </c:pt>
                <c:pt idx="213">
                  <c:v>16.657379044566074</c:v>
                </c:pt>
                <c:pt idx="214">
                  <c:v>30.140660247573575</c:v>
                </c:pt>
                <c:pt idx="215">
                  <c:v>27.328917395369249</c:v>
                </c:pt>
                <c:pt idx="216">
                  <c:v>31.294975840484813</c:v>
                </c:pt>
                <c:pt idx="217">
                  <c:v>26.334954589920667</c:v>
                </c:pt>
                <c:pt idx="218">
                  <c:v>30.614518345178166</c:v>
                </c:pt>
                <c:pt idx="219">
                  <c:v>17.539340232312693</c:v>
                </c:pt>
                <c:pt idx="220">
                  <c:v>17.196219619965621</c:v>
                </c:pt>
                <c:pt idx="221">
                  <c:v>16.222879732382342</c:v>
                </c:pt>
                <c:pt idx="222">
                  <c:v>15.681613221342369</c:v>
                </c:pt>
                <c:pt idx="223">
                  <c:v>19.930406812128663</c:v>
                </c:pt>
                <c:pt idx="224">
                  <c:v>20.492603385332458</c:v>
                </c:pt>
                <c:pt idx="225">
                  <c:v>19.535807074001234</c:v>
                </c:pt>
                <c:pt idx="226">
                  <c:v>20.099927447495574</c:v>
                </c:pt>
                <c:pt idx="227">
                  <c:v>15.249539844799065</c:v>
                </c:pt>
                <c:pt idx="228">
                  <c:v>15.690386193165898</c:v>
                </c:pt>
                <c:pt idx="229">
                  <c:v>14.555528015676392</c:v>
                </c:pt>
                <c:pt idx="230">
                  <c:v>15.170588629620417</c:v>
                </c:pt>
                <c:pt idx="231">
                  <c:v>30.387966595675561</c:v>
                </c:pt>
                <c:pt idx="232">
                  <c:v>24.23698981489763</c:v>
                </c:pt>
                <c:pt idx="233">
                  <c:v>28.913077108573102</c:v>
                </c:pt>
                <c:pt idx="234">
                  <c:v>24.144803738717336</c:v>
                </c:pt>
                <c:pt idx="235">
                  <c:v>28.131520938551592</c:v>
                </c:pt>
                <c:pt idx="236">
                  <c:v>27.68527286871797</c:v>
                </c:pt>
                <c:pt idx="237">
                  <c:v>30.460695256434121</c:v>
                </c:pt>
                <c:pt idx="238">
                  <c:v>29.122139191896373</c:v>
                </c:pt>
                <c:pt idx="239">
                  <c:v>25.771055317280993</c:v>
                </c:pt>
                <c:pt idx="240">
                  <c:v>26.526616427185196</c:v>
                </c:pt>
                <c:pt idx="241">
                  <c:v>26.040996115321043</c:v>
                </c:pt>
                <c:pt idx="242">
                  <c:v>30.497188279232841</c:v>
                </c:pt>
                <c:pt idx="243">
                  <c:v>29.203680013716564</c:v>
                </c:pt>
                <c:pt idx="244">
                  <c:v>30.554219393368527</c:v>
                </c:pt>
                <c:pt idx="245">
                  <c:v>29.83158230091987</c:v>
                </c:pt>
                <c:pt idx="246">
                  <c:v>31.3610402165368</c:v>
                </c:pt>
                <c:pt idx="247">
                  <c:v>20.56519746010305</c:v>
                </c:pt>
                <c:pt idx="248">
                  <c:v>18.204679943903621</c:v>
                </c:pt>
                <c:pt idx="249">
                  <c:v>19.05636246235143</c:v>
                </c:pt>
                <c:pt idx="250">
                  <c:v>19.785616985300912</c:v>
                </c:pt>
                <c:pt idx="251">
                  <c:v>21.872038958580688</c:v>
                </c:pt>
                <c:pt idx="252">
                  <c:v>22.99643210498828</c:v>
                </c:pt>
                <c:pt idx="253">
                  <c:v>24.188233664831259</c:v>
                </c:pt>
                <c:pt idx="254">
                  <c:v>20.398446654655878</c:v>
                </c:pt>
                <c:pt idx="255">
                  <c:v>21.674739089516976</c:v>
                </c:pt>
                <c:pt idx="256">
                  <c:v>20.570429975644011</c:v>
                </c:pt>
                <c:pt idx="257">
                  <c:v>22.464784595401021</c:v>
                </c:pt>
                <c:pt idx="258">
                  <c:v>19.274053508248279</c:v>
                </c:pt>
                <c:pt idx="259">
                  <c:v>20.174984207887384</c:v>
                </c:pt>
                <c:pt idx="260">
                  <c:v>19.693123764822104</c:v>
                </c:pt>
                <c:pt idx="261">
                  <c:v>19.267128933448951</c:v>
                </c:pt>
                <c:pt idx="262">
                  <c:v>20.90447047186904</c:v>
                </c:pt>
                <c:pt idx="263">
                  <c:v>16.457838126688344</c:v>
                </c:pt>
                <c:pt idx="264">
                  <c:v>27.37373223644304</c:v>
                </c:pt>
                <c:pt idx="265">
                  <c:v>26.944649790674134</c:v>
                </c:pt>
                <c:pt idx="266">
                  <c:v>28.228637426697411</c:v>
                </c:pt>
                <c:pt idx="267">
                  <c:v>26.880328991634499</c:v>
                </c:pt>
                <c:pt idx="268">
                  <c:v>27.172498723354387</c:v>
                </c:pt>
                <c:pt idx="269">
                  <c:v>23.785631581243138</c:v>
                </c:pt>
                <c:pt idx="270">
                  <c:v>23.553396162651119</c:v>
                </c:pt>
                <c:pt idx="271">
                  <c:v>27.696989917110152</c:v>
                </c:pt>
                <c:pt idx="272">
                  <c:v>25.325687897014429</c:v>
                </c:pt>
                <c:pt idx="273">
                  <c:v>23.398860413350338</c:v>
                </c:pt>
                <c:pt idx="274">
                  <c:v>25.308066550101021</c:v>
                </c:pt>
                <c:pt idx="275">
                  <c:v>21.901875361640482</c:v>
                </c:pt>
                <c:pt idx="276">
                  <c:v>30.098433796225809</c:v>
                </c:pt>
                <c:pt idx="277">
                  <c:v>29.534940039844358</c:v>
                </c:pt>
                <c:pt idx="278">
                  <c:v>23.499499380574036</c:v>
                </c:pt>
                <c:pt idx="279">
                  <c:v>25.27773629103504</c:v>
                </c:pt>
                <c:pt idx="280">
                  <c:v>25.735357956686094</c:v>
                </c:pt>
                <c:pt idx="281">
                  <c:v>23.804143987110237</c:v>
                </c:pt>
                <c:pt idx="282">
                  <c:v>22.998400934603318</c:v>
                </c:pt>
                <c:pt idx="283">
                  <c:v>20.243283680276463</c:v>
                </c:pt>
                <c:pt idx="284">
                  <c:v>20.841800717968425</c:v>
                </c:pt>
                <c:pt idx="285">
                  <c:v>19.531111618909698</c:v>
                </c:pt>
                <c:pt idx="286">
                  <c:v>20.212734616659922</c:v>
                </c:pt>
                <c:pt idx="287">
                  <c:v>17.204451881577221</c:v>
                </c:pt>
                <c:pt idx="288">
                  <c:v>18.96489823919898</c:v>
                </c:pt>
                <c:pt idx="289">
                  <c:v>21.5143435995966</c:v>
                </c:pt>
                <c:pt idx="290">
                  <c:v>19.412224079693956</c:v>
                </c:pt>
                <c:pt idx="291">
                  <c:v>32.835435847633072</c:v>
                </c:pt>
                <c:pt idx="292">
                  <c:v>32.801665800548349</c:v>
                </c:pt>
                <c:pt idx="293">
                  <c:v>30.801976287053243</c:v>
                </c:pt>
                <c:pt idx="294">
                  <c:v>26.979177527640104</c:v>
                </c:pt>
                <c:pt idx="295">
                  <c:v>24.611405323649461</c:v>
                </c:pt>
                <c:pt idx="296">
                  <c:v>20.020667263137163</c:v>
                </c:pt>
                <c:pt idx="297">
                  <c:v>26.430349184510394</c:v>
                </c:pt>
                <c:pt idx="298">
                  <c:v>23.019330996767138</c:v>
                </c:pt>
                <c:pt idx="299">
                  <c:v>29.521297366280386</c:v>
                </c:pt>
                <c:pt idx="300">
                  <c:v>29.774462847036226</c:v>
                </c:pt>
                <c:pt idx="301">
                  <c:v>32.573816867868089</c:v>
                </c:pt>
                <c:pt idx="302">
                  <c:v>31.829930240441232</c:v>
                </c:pt>
                <c:pt idx="303">
                  <c:v>26.816813208104698</c:v>
                </c:pt>
                <c:pt idx="304">
                  <c:v>26.790650630399917</c:v>
                </c:pt>
                <c:pt idx="305">
                  <c:v>26.259003120812665</c:v>
                </c:pt>
                <c:pt idx="306">
                  <c:v>27.394030504228006</c:v>
                </c:pt>
                <c:pt idx="307">
                  <c:v>35.706490359450044</c:v>
                </c:pt>
                <c:pt idx="308">
                  <c:v>36.979392604917109</c:v>
                </c:pt>
                <c:pt idx="309">
                  <c:v>33.987463612784964</c:v>
                </c:pt>
                <c:pt idx="310">
                  <c:v>36.639981654778452</c:v>
                </c:pt>
                <c:pt idx="311">
                  <c:v>30.837408208479005</c:v>
                </c:pt>
                <c:pt idx="312">
                  <c:v>29.897725626283673</c:v>
                </c:pt>
                <c:pt idx="313">
                  <c:v>29.191832583566061</c:v>
                </c:pt>
                <c:pt idx="314">
                  <c:v>27.277901549051933</c:v>
                </c:pt>
                <c:pt idx="315">
                  <c:v>35.45123187247782</c:v>
                </c:pt>
                <c:pt idx="316">
                  <c:v>32.730260602279138</c:v>
                </c:pt>
                <c:pt idx="317">
                  <c:v>33.829506406536979</c:v>
                </c:pt>
                <c:pt idx="318">
                  <c:v>34.100324501759388</c:v>
                </c:pt>
                <c:pt idx="319">
                  <c:v>35.232043169924317</c:v>
                </c:pt>
                <c:pt idx="320">
                  <c:v>36.179220479802829</c:v>
                </c:pt>
                <c:pt idx="321">
                  <c:v>29.976137956131637</c:v>
                </c:pt>
                <c:pt idx="322">
                  <c:v>36.179220479802829</c:v>
                </c:pt>
                <c:pt idx="323">
                  <c:v>36.459845721441084</c:v>
                </c:pt>
                <c:pt idx="324">
                  <c:v>35.1940183176619</c:v>
                </c:pt>
                <c:pt idx="325">
                  <c:v>31.771590697247827</c:v>
                </c:pt>
                <c:pt idx="326">
                  <c:v>30.252597812712803</c:v>
                </c:pt>
                <c:pt idx="327">
                  <c:v>37.463208115826099</c:v>
                </c:pt>
                <c:pt idx="328">
                  <c:v>35.969531779366662</c:v>
                </c:pt>
                <c:pt idx="329">
                  <c:v>37.447729981719526</c:v>
                </c:pt>
                <c:pt idx="330">
                  <c:v>31.040731846822169</c:v>
                </c:pt>
                <c:pt idx="331">
                  <c:v>34.041319380742692</c:v>
                </c:pt>
                <c:pt idx="332">
                  <c:v>33.709114953025988</c:v>
                </c:pt>
                <c:pt idx="333">
                  <c:v>35.154169725407023</c:v>
                </c:pt>
                <c:pt idx="334">
                  <c:v>29.250550208008121</c:v>
                </c:pt>
                <c:pt idx="335">
                  <c:v>28.516370313816193</c:v>
                </c:pt>
                <c:pt idx="336">
                  <c:v>28.462428502414614</c:v>
                </c:pt>
                <c:pt idx="337">
                  <c:v>27.638525217663616</c:v>
                </c:pt>
                <c:pt idx="338">
                  <c:v>29.782197717595377</c:v>
                </c:pt>
                <c:pt idx="339">
                  <c:v>35.454171617009983</c:v>
                </c:pt>
                <c:pt idx="340">
                  <c:v>32.689214260375735</c:v>
                </c:pt>
                <c:pt idx="341">
                  <c:v>35.396382205027315</c:v>
                </c:pt>
                <c:pt idx="342">
                  <c:v>33.738417748741924</c:v>
                </c:pt>
                <c:pt idx="343">
                  <c:v>34.226588478009511</c:v>
                </c:pt>
                <c:pt idx="344">
                  <c:v>33.895549552736377</c:v>
                </c:pt>
                <c:pt idx="345">
                  <c:v>34.127246085997719</c:v>
                </c:pt>
                <c:pt idx="346">
                  <c:v>30.983925423189589</c:v>
                </c:pt>
                <c:pt idx="347">
                  <c:v>31.812215193852357</c:v>
                </c:pt>
                <c:pt idx="348">
                  <c:v>30.116006472788246</c:v>
                </c:pt>
                <c:pt idx="349">
                  <c:v>32.869872181227684</c:v>
                </c:pt>
                <c:pt idx="350">
                  <c:v>32.874346398921659</c:v>
                </c:pt>
                <c:pt idx="351">
                  <c:v>32.165483052805314</c:v>
                </c:pt>
                <c:pt idx="352">
                  <c:v>30.417795205960854</c:v>
                </c:pt>
                <c:pt idx="353">
                  <c:v>30.738676244450591</c:v>
                </c:pt>
                <c:pt idx="354">
                  <c:v>27.50661158978502</c:v>
                </c:pt>
                <c:pt idx="355">
                  <c:v>27.925988990657363</c:v>
                </c:pt>
                <c:pt idx="356">
                  <c:v>28.714969054395926</c:v>
                </c:pt>
                <c:pt idx="357">
                  <c:v>28.498124038128257</c:v>
                </c:pt>
                <c:pt idx="358">
                  <c:v>24.144841583233063</c:v>
                </c:pt>
                <c:pt idx="359">
                  <c:v>22.65639776231458</c:v>
                </c:pt>
                <c:pt idx="360">
                  <c:v>26.299517999577414</c:v>
                </c:pt>
                <c:pt idx="361">
                  <c:v>24.29758690131575</c:v>
                </c:pt>
                <c:pt idx="362">
                  <c:v>30.28175978404812</c:v>
                </c:pt>
                <c:pt idx="363">
                  <c:v>30.104543947519034</c:v>
                </c:pt>
                <c:pt idx="364">
                  <c:v>31.345054803222634</c:v>
                </c:pt>
                <c:pt idx="365">
                  <c:v>30.482368368362241</c:v>
                </c:pt>
                <c:pt idx="366">
                  <c:v>30.751770281071622</c:v>
                </c:pt>
                <c:pt idx="367">
                  <c:v>29.591056670175863</c:v>
                </c:pt>
                <c:pt idx="368">
                  <c:v>28.900353556303596</c:v>
                </c:pt>
                <c:pt idx="369">
                  <c:v>35.611603109994782</c:v>
                </c:pt>
                <c:pt idx="370">
                  <c:v>35.603149610985632</c:v>
                </c:pt>
                <c:pt idx="371">
                  <c:v>35.881631639817051</c:v>
                </c:pt>
                <c:pt idx="372">
                  <c:v>33.118059198142689</c:v>
                </c:pt>
                <c:pt idx="373">
                  <c:v>33.004404174467894</c:v>
                </c:pt>
                <c:pt idx="374">
                  <c:v>34.594874173874054</c:v>
                </c:pt>
                <c:pt idx="375">
                  <c:v>34.57809885658984</c:v>
                </c:pt>
                <c:pt idx="376">
                  <c:v>34.456748631752866</c:v>
                </c:pt>
                <c:pt idx="377">
                  <c:v>35.923184619846189</c:v>
                </c:pt>
                <c:pt idx="378">
                  <c:v>35.923184619846189</c:v>
                </c:pt>
                <c:pt idx="379">
                  <c:v>35.771285331392683</c:v>
                </c:pt>
                <c:pt idx="380">
                  <c:v>28.203033011930518</c:v>
                </c:pt>
                <c:pt idx="381">
                  <c:v>28.254512137710872</c:v>
                </c:pt>
                <c:pt idx="382">
                  <c:v>30.318080248536287</c:v>
                </c:pt>
                <c:pt idx="383">
                  <c:v>28.727524205686279</c:v>
                </c:pt>
                <c:pt idx="384">
                  <c:v>31.90801136261177</c:v>
                </c:pt>
                <c:pt idx="385">
                  <c:v>31.536583271414717</c:v>
                </c:pt>
                <c:pt idx="386">
                  <c:v>28.502445102925762</c:v>
                </c:pt>
                <c:pt idx="387">
                  <c:v>29.377520369158603</c:v>
                </c:pt>
                <c:pt idx="388">
                  <c:v>35.209308170705178</c:v>
                </c:pt>
                <c:pt idx="389">
                  <c:v>31.916331492548473</c:v>
                </c:pt>
                <c:pt idx="390">
                  <c:v>30.326621479327653</c:v>
                </c:pt>
                <c:pt idx="391">
                  <c:v>29.796897770030938</c:v>
                </c:pt>
              </c:numCache>
            </c:numRef>
          </c:xVal>
          <c:yVal>
            <c:numRef>
              <c:f>Regression!RegChartScaleLoc</c:f>
              <c:numCache>
                <c:formatCode>0.0000</c:formatCode>
                <c:ptCount val="392"/>
                <c:pt idx="0">
                  <c:v>0.6216835699240838</c:v>
                </c:pt>
                <c:pt idx="1">
                  <c:v>0.32252301815124063</c:v>
                </c:pt>
                <c:pt idx="2">
                  <c:v>0.61566920212507636</c:v>
                </c:pt>
                <c:pt idx="3">
                  <c:v>0.53843759691621806</c:v>
                </c:pt>
                <c:pt idx="4">
                  <c:v>0.1226720458131921</c:v>
                </c:pt>
                <c:pt idx="5">
                  <c:v>1.0798296836268215</c:v>
                </c:pt>
                <c:pt idx="6">
                  <c:v>0.98955084309965746</c:v>
                </c:pt>
                <c:pt idx="7">
                  <c:v>0.93792604061886764</c:v>
                </c:pt>
                <c:pt idx="8">
                  <c:v>1.062085090146927</c:v>
                </c:pt>
                <c:pt idx="9">
                  <c:v>0.54361877053484242</c:v>
                </c:pt>
                <c:pt idx="10">
                  <c:v>0.5439571889323539</c:v>
                </c:pt>
                <c:pt idx="11">
                  <c:v>0.7772328122677501</c:v>
                </c:pt>
                <c:pt idx="12">
                  <c:v>0.26573888542849317</c:v>
                </c:pt>
                <c:pt idx="13">
                  <c:v>1.0866183182974112</c:v>
                </c:pt>
                <c:pt idx="14">
                  <c:v>0.63398061588185373</c:v>
                </c:pt>
                <c:pt idx="15">
                  <c:v>0.63220641939663225</c:v>
                </c:pt>
                <c:pt idx="16">
                  <c:v>1.0126434133664663</c:v>
                </c:pt>
                <c:pt idx="17">
                  <c:v>0.63711084117379346</c:v>
                </c:pt>
                <c:pt idx="18">
                  <c:v>0.3938719119603899</c:v>
                </c:pt>
                <c:pt idx="19">
                  <c:v>0.93546163760686007</c:v>
                </c:pt>
                <c:pt idx="20">
                  <c:v>0.66392251515060219</c:v>
                </c:pt>
                <c:pt idx="21">
                  <c:v>0.53780807723013013</c:v>
                </c:pt>
                <c:pt idx="22">
                  <c:v>0.1431618749017472</c:v>
                </c:pt>
                <c:pt idx="23">
                  <c:v>0.41580346842637517</c:v>
                </c:pt>
                <c:pt idx="24">
                  <c:v>0.52437388846151867</c:v>
                </c:pt>
                <c:pt idx="25">
                  <c:v>0.23597321554900269</c:v>
                </c:pt>
                <c:pt idx="26">
                  <c:v>0.65451662359874263</c:v>
                </c:pt>
                <c:pt idx="27">
                  <c:v>0.17713715773975217</c:v>
                </c:pt>
                <c:pt idx="28">
                  <c:v>0.44646864141416592</c:v>
                </c:pt>
                <c:pt idx="29">
                  <c:v>0.3870896360901927</c:v>
                </c:pt>
                <c:pt idx="30">
                  <c:v>1.0534388574773406</c:v>
                </c:pt>
                <c:pt idx="31">
                  <c:v>0.78428024317281819</c:v>
                </c:pt>
                <c:pt idx="32">
                  <c:v>1.1012687386073354</c:v>
                </c:pt>
                <c:pt idx="33">
                  <c:v>0.90932581790506695</c:v>
                </c:pt>
                <c:pt idx="34">
                  <c:v>0.84052743497250426</c:v>
                </c:pt>
                <c:pt idx="35">
                  <c:v>0.3891284993656155</c:v>
                </c:pt>
                <c:pt idx="36">
                  <c:v>0.66526320408288209</c:v>
                </c:pt>
                <c:pt idx="37">
                  <c:v>0.36020188891107779</c:v>
                </c:pt>
                <c:pt idx="38">
                  <c:v>0.78467166287668988</c:v>
                </c:pt>
                <c:pt idx="39">
                  <c:v>0.16768929600373558</c:v>
                </c:pt>
                <c:pt idx="40">
                  <c:v>0.37702919510027155</c:v>
                </c:pt>
                <c:pt idx="41">
                  <c:v>0.8989346079146513</c:v>
                </c:pt>
                <c:pt idx="42">
                  <c:v>0.85589453657674452</c:v>
                </c:pt>
                <c:pt idx="43">
                  <c:v>1.1976330534783581</c:v>
                </c:pt>
                <c:pt idx="44">
                  <c:v>0.96817770000680725</c:v>
                </c:pt>
                <c:pt idx="45">
                  <c:v>0.86434301566667582</c:v>
                </c:pt>
                <c:pt idx="46">
                  <c:v>0.34620345314375389</c:v>
                </c:pt>
                <c:pt idx="47">
                  <c:v>0.87149649625907832</c:v>
                </c:pt>
                <c:pt idx="48">
                  <c:v>0.81001476795245952</c:v>
                </c:pt>
                <c:pt idx="49">
                  <c:v>0.47437549885160674</c:v>
                </c:pt>
                <c:pt idx="50">
                  <c:v>0.83798094419596858</c:v>
                </c:pt>
                <c:pt idx="51">
                  <c:v>0.84841211618516998</c:v>
                </c:pt>
                <c:pt idx="52">
                  <c:v>0.67747869632525826</c:v>
                </c:pt>
                <c:pt idx="53">
                  <c:v>1.2449988378647814</c:v>
                </c:pt>
                <c:pt idx="54">
                  <c:v>0.87364238290614393</c:v>
                </c:pt>
                <c:pt idx="55">
                  <c:v>0.43522641000123258</c:v>
                </c:pt>
                <c:pt idx="56">
                  <c:v>0.66627457300451265</c:v>
                </c:pt>
                <c:pt idx="57">
                  <c:v>0.49029842522025485</c:v>
                </c:pt>
                <c:pt idx="58">
                  <c:v>1.0021352724726131</c:v>
                </c:pt>
                <c:pt idx="59">
                  <c:v>0.94787840710625082</c:v>
                </c:pt>
                <c:pt idx="60">
                  <c:v>0.9462819099743397</c:v>
                </c:pt>
                <c:pt idx="61">
                  <c:v>0.56949441562144554</c:v>
                </c:pt>
                <c:pt idx="62">
                  <c:v>0.94829043196102536</c:v>
                </c:pt>
                <c:pt idx="63">
                  <c:v>0.82109672070844986</c:v>
                </c:pt>
                <c:pt idx="64">
                  <c:v>0.5896372656582487</c:v>
                </c:pt>
                <c:pt idx="65">
                  <c:v>0.74814771971246696</c:v>
                </c:pt>
                <c:pt idx="66">
                  <c:v>0.70724008801635463</c:v>
                </c:pt>
                <c:pt idx="67">
                  <c:v>0.80971713262300726</c:v>
                </c:pt>
                <c:pt idx="68">
                  <c:v>0.52097111290586229</c:v>
                </c:pt>
                <c:pt idx="69">
                  <c:v>0.84357965599246743</c:v>
                </c:pt>
                <c:pt idx="70">
                  <c:v>1.419766118044739</c:v>
                </c:pt>
                <c:pt idx="71">
                  <c:v>0.51462100495796526</c:v>
                </c:pt>
                <c:pt idx="72">
                  <c:v>0.40207795082025133</c:v>
                </c:pt>
                <c:pt idx="73">
                  <c:v>0.47255035663583655</c:v>
                </c:pt>
                <c:pt idx="74">
                  <c:v>0.49382757190368354</c:v>
                </c:pt>
                <c:pt idx="75">
                  <c:v>1.0991534609623064</c:v>
                </c:pt>
                <c:pt idx="76">
                  <c:v>0.88379882573473489</c:v>
                </c:pt>
                <c:pt idx="77">
                  <c:v>0.51345908822923758</c:v>
                </c:pt>
                <c:pt idx="78">
                  <c:v>0.16282613978563651</c:v>
                </c:pt>
                <c:pt idx="79">
                  <c:v>0.52392622953585577</c:v>
                </c:pt>
                <c:pt idx="80">
                  <c:v>0.94513966048082343</c:v>
                </c:pt>
                <c:pt idx="81">
                  <c:v>0.6175395839593093</c:v>
                </c:pt>
                <c:pt idx="82">
                  <c:v>1.1437801662718898</c:v>
                </c:pt>
                <c:pt idx="83">
                  <c:v>0.4685194555035555</c:v>
                </c:pt>
                <c:pt idx="84">
                  <c:v>0.45164931585000118</c:v>
                </c:pt>
                <c:pt idx="85">
                  <c:v>0.56239734180429735</c:v>
                </c:pt>
                <c:pt idx="86">
                  <c:v>0.38052933371651237</c:v>
                </c:pt>
                <c:pt idx="87">
                  <c:v>0.48314326892849196</c:v>
                </c:pt>
                <c:pt idx="88">
                  <c:v>0.43575979752854432</c:v>
                </c:pt>
                <c:pt idx="89">
                  <c:v>1.19567738052371</c:v>
                </c:pt>
                <c:pt idx="90">
                  <c:v>0.82514562301775751</c:v>
                </c:pt>
                <c:pt idx="91">
                  <c:v>0.74377212222131617</c:v>
                </c:pt>
                <c:pt idx="92">
                  <c:v>0.79365390689846438</c:v>
                </c:pt>
                <c:pt idx="93">
                  <c:v>1.2224999410851383</c:v>
                </c:pt>
                <c:pt idx="94">
                  <c:v>1.2583792838239813</c:v>
                </c:pt>
                <c:pt idx="95">
                  <c:v>0.51412773147926738</c:v>
                </c:pt>
                <c:pt idx="96">
                  <c:v>0.39753589313855658</c:v>
                </c:pt>
                <c:pt idx="97">
                  <c:v>0.76463206499073499</c:v>
                </c:pt>
                <c:pt idx="98">
                  <c:v>0.6929012219737215</c:v>
                </c:pt>
                <c:pt idx="99">
                  <c:v>0.64671240292670917</c:v>
                </c:pt>
                <c:pt idx="100">
                  <c:v>1.039594163812201</c:v>
                </c:pt>
                <c:pt idx="101">
                  <c:v>0.65976782484825014</c:v>
                </c:pt>
                <c:pt idx="102">
                  <c:v>0.95995113463758863</c:v>
                </c:pt>
                <c:pt idx="103">
                  <c:v>1.0891788684939676</c:v>
                </c:pt>
                <c:pt idx="104">
                  <c:v>1.0520954360364827</c:v>
                </c:pt>
                <c:pt idx="105">
                  <c:v>0.7541788961720961</c:v>
                </c:pt>
                <c:pt idx="106">
                  <c:v>0.86135011282857921</c:v>
                </c:pt>
                <c:pt idx="107">
                  <c:v>1.2998915580824677</c:v>
                </c:pt>
                <c:pt idx="108">
                  <c:v>0.74293057634054682</c:v>
                </c:pt>
                <c:pt idx="109">
                  <c:v>0.90709407372393547</c:v>
                </c:pt>
                <c:pt idx="110">
                  <c:v>1.6144141690522233</c:v>
                </c:pt>
                <c:pt idx="111">
                  <c:v>1.1398337826267726</c:v>
                </c:pt>
                <c:pt idx="112">
                  <c:v>0.49283990732632271</c:v>
                </c:pt>
                <c:pt idx="113">
                  <c:v>0.57869527360311113</c:v>
                </c:pt>
                <c:pt idx="114">
                  <c:v>0.82087749641927943</c:v>
                </c:pt>
                <c:pt idx="115">
                  <c:v>1.3530572401671717</c:v>
                </c:pt>
                <c:pt idx="116">
                  <c:v>0.66533360104105033</c:v>
                </c:pt>
                <c:pt idx="117">
                  <c:v>0.76927903555026322</c:v>
                </c:pt>
                <c:pt idx="118">
                  <c:v>1.0586990173002289</c:v>
                </c:pt>
                <c:pt idx="119">
                  <c:v>0.92653730162095427</c:v>
                </c:pt>
                <c:pt idx="120">
                  <c:v>0.66594436215113229</c:v>
                </c:pt>
                <c:pt idx="121">
                  <c:v>0.66540008693852792</c:v>
                </c:pt>
                <c:pt idx="122">
                  <c:v>0.78481507966018593</c:v>
                </c:pt>
                <c:pt idx="123">
                  <c:v>1.0813189875725473</c:v>
                </c:pt>
                <c:pt idx="124">
                  <c:v>0.4828873845099686</c:v>
                </c:pt>
                <c:pt idx="125">
                  <c:v>0.93731040513778907</c:v>
                </c:pt>
                <c:pt idx="126">
                  <c:v>1.2152926940939672</c:v>
                </c:pt>
                <c:pt idx="127">
                  <c:v>0.8080265608571866</c:v>
                </c:pt>
                <c:pt idx="128">
                  <c:v>0.7665036138059419</c:v>
                </c:pt>
                <c:pt idx="129">
                  <c:v>0.88527815586893022</c:v>
                </c:pt>
                <c:pt idx="130">
                  <c:v>0.61664167953927862</c:v>
                </c:pt>
                <c:pt idx="131">
                  <c:v>0.6283788815346677</c:v>
                </c:pt>
                <c:pt idx="132">
                  <c:v>0.76864909419672045</c:v>
                </c:pt>
                <c:pt idx="133">
                  <c:v>0.12853623442288442</c:v>
                </c:pt>
                <c:pt idx="134">
                  <c:v>0.65635018552107571</c:v>
                </c:pt>
                <c:pt idx="135">
                  <c:v>0.65475968301768672</c:v>
                </c:pt>
                <c:pt idx="136">
                  <c:v>0.59349476115192945</c:v>
                </c:pt>
                <c:pt idx="137">
                  <c:v>0.77870029507606553</c:v>
                </c:pt>
                <c:pt idx="138">
                  <c:v>0.11695206450118623</c:v>
                </c:pt>
                <c:pt idx="139">
                  <c:v>0.75364651590656573</c:v>
                </c:pt>
                <c:pt idx="140">
                  <c:v>0.97843287440326376</c:v>
                </c:pt>
                <c:pt idx="141">
                  <c:v>0.57105797863669616</c:v>
                </c:pt>
                <c:pt idx="142">
                  <c:v>0.24868556221167998</c:v>
                </c:pt>
                <c:pt idx="143">
                  <c:v>1.0220654119503598</c:v>
                </c:pt>
                <c:pt idx="144">
                  <c:v>0.82399806667600761</c:v>
                </c:pt>
                <c:pt idx="145">
                  <c:v>1.156513368526737</c:v>
                </c:pt>
                <c:pt idx="146">
                  <c:v>0.6586664605780701</c:v>
                </c:pt>
                <c:pt idx="147">
                  <c:v>0.78271896553691533</c:v>
                </c:pt>
                <c:pt idx="148">
                  <c:v>0.36236983710095716</c:v>
                </c:pt>
                <c:pt idx="149">
                  <c:v>0.88257253604279218</c:v>
                </c:pt>
                <c:pt idx="150">
                  <c:v>0.2945948694174309</c:v>
                </c:pt>
                <c:pt idx="151">
                  <c:v>0.19252850306295907</c:v>
                </c:pt>
                <c:pt idx="152">
                  <c:v>1.1246191690700946</c:v>
                </c:pt>
                <c:pt idx="153">
                  <c:v>1.3127066006733252</c:v>
                </c:pt>
                <c:pt idx="154">
                  <c:v>1.2998777951020533</c:v>
                </c:pt>
                <c:pt idx="155">
                  <c:v>0.91302651848703309</c:v>
                </c:pt>
                <c:pt idx="156">
                  <c:v>1.1364728580085626</c:v>
                </c:pt>
                <c:pt idx="157">
                  <c:v>0.94036297273600844</c:v>
                </c:pt>
                <c:pt idx="158">
                  <c:v>0.64158897524005554</c:v>
                </c:pt>
                <c:pt idx="159">
                  <c:v>0.18787196592272171</c:v>
                </c:pt>
                <c:pt idx="160">
                  <c:v>0.74210745548188173</c:v>
                </c:pt>
                <c:pt idx="161">
                  <c:v>0.67730495748156794</c:v>
                </c:pt>
                <c:pt idx="162">
                  <c:v>0.52935867819606464</c:v>
                </c:pt>
                <c:pt idx="163">
                  <c:v>0.50379779368416733</c:v>
                </c:pt>
                <c:pt idx="164">
                  <c:v>1.4365443545758738</c:v>
                </c:pt>
                <c:pt idx="165">
                  <c:v>0.77960715008345982</c:v>
                </c:pt>
                <c:pt idx="166">
                  <c:v>0.35517241994279347</c:v>
                </c:pt>
                <c:pt idx="167">
                  <c:v>0.562621352513484</c:v>
                </c:pt>
                <c:pt idx="168">
                  <c:v>0.14134424969929402</c:v>
                </c:pt>
                <c:pt idx="169">
                  <c:v>0.22432993069859139</c:v>
                </c:pt>
                <c:pt idx="170">
                  <c:v>0.78801561610381277</c:v>
                </c:pt>
                <c:pt idx="171">
                  <c:v>0.55725389355829036</c:v>
                </c:pt>
                <c:pt idx="172">
                  <c:v>0.93760300493069959</c:v>
                </c:pt>
                <c:pt idx="173">
                  <c:v>0.47550281234571073</c:v>
                </c:pt>
                <c:pt idx="174">
                  <c:v>0.4504610893435978</c:v>
                </c:pt>
                <c:pt idx="175">
                  <c:v>0.60210985478963819</c:v>
                </c:pt>
                <c:pt idx="176">
                  <c:v>0.21034972420647338</c:v>
                </c:pt>
                <c:pt idx="177">
                  <c:v>0.50568274077729369</c:v>
                </c:pt>
                <c:pt idx="178">
                  <c:v>0.61399465559333333</c:v>
                </c:pt>
                <c:pt idx="179">
                  <c:v>1.090858711063577</c:v>
                </c:pt>
                <c:pt idx="180">
                  <c:v>0.78031384034748708</c:v>
                </c:pt>
                <c:pt idx="181">
                  <c:v>0.91045822344612581</c:v>
                </c:pt>
                <c:pt idx="182">
                  <c:v>0.68462988866740881</c:v>
                </c:pt>
                <c:pt idx="183">
                  <c:v>0.44497778964629181</c:v>
                </c:pt>
                <c:pt idx="184">
                  <c:v>0.42682081855872628</c:v>
                </c:pt>
                <c:pt idx="185">
                  <c:v>0.99939780761028985</c:v>
                </c:pt>
                <c:pt idx="186">
                  <c:v>0.7161450144127105</c:v>
                </c:pt>
                <c:pt idx="187">
                  <c:v>0.44485324041281249</c:v>
                </c:pt>
                <c:pt idx="188">
                  <c:v>0.2603780910845665</c:v>
                </c:pt>
                <c:pt idx="189">
                  <c:v>0.79083162578982114</c:v>
                </c:pt>
                <c:pt idx="190">
                  <c:v>0.92384961319747683</c:v>
                </c:pt>
                <c:pt idx="191">
                  <c:v>0.9035664603506689</c:v>
                </c:pt>
                <c:pt idx="192">
                  <c:v>0.69950704735384051</c:v>
                </c:pt>
                <c:pt idx="193">
                  <c:v>0.82525217517052019</c:v>
                </c:pt>
                <c:pt idx="194">
                  <c:v>0.74668108920058152</c:v>
                </c:pt>
                <c:pt idx="195">
                  <c:v>0.1820111148042084</c:v>
                </c:pt>
                <c:pt idx="196">
                  <c:v>0.96384935135106842</c:v>
                </c:pt>
                <c:pt idx="197">
                  <c:v>0.81579679754354018</c:v>
                </c:pt>
                <c:pt idx="198">
                  <c:v>0.49814625716852251</c:v>
                </c:pt>
                <c:pt idx="199">
                  <c:v>0.45922766953911093</c:v>
                </c:pt>
                <c:pt idx="200">
                  <c:v>0.97966982064382946</c:v>
                </c:pt>
                <c:pt idx="201">
                  <c:v>0.22394520020005521</c:v>
                </c:pt>
                <c:pt idx="202">
                  <c:v>1.0079811055823069</c:v>
                </c:pt>
                <c:pt idx="203">
                  <c:v>0.11007256038456256</c:v>
                </c:pt>
                <c:pt idx="204">
                  <c:v>0.92043510197948319</c:v>
                </c:pt>
                <c:pt idx="205">
                  <c:v>0.9014000516714159</c:v>
                </c:pt>
                <c:pt idx="206">
                  <c:v>0.95032473198144085</c:v>
                </c:pt>
                <c:pt idx="207">
                  <c:v>1.0106470693835981</c:v>
                </c:pt>
                <c:pt idx="208">
                  <c:v>1.2356655210745178</c:v>
                </c:pt>
                <c:pt idx="209">
                  <c:v>0.86866098056850038</c:v>
                </c:pt>
                <c:pt idx="210">
                  <c:v>1.0798053207058864</c:v>
                </c:pt>
                <c:pt idx="211">
                  <c:v>0.85805910271124219</c:v>
                </c:pt>
                <c:pt idx="212">
                  <c:v>1.0614803401672239</c:v>
                </c:pt>
                <c:pt idx="213">
                  <c:v>1.1023464053537451</c:v>
                </c:pt>
                <c:pt idx="214">
                  <c:v>0.67387694073487525</c:v>
                </c:pt>
                <c:pt idx="215">
                  <c:v>0.94451213776589527</c:v>
                </c:pt>
                <c:pt idx="216">
                  <c:v>1.2549038215705268</c:v>
                </c:pt>
                <c:pt idx="217">
                  <c:v>0.52817806228871389</c:v>
                </c:pt>
                <c:pt idx="218">
                  <c:v>0.98176937925520369</c:v>
                </c:pt>
                <c:pt idx="219">
                  <c:v>0.11440057026715579</c:v>
                </c:pt>
                <c:pt idx="220">
                  <c:v>0.25628513901988359</c:v>
                </c:pt>
                <c:pt idx="221">
                  <c:v>0.49059207962845225</c:v>
                </c:pt>
                <c:pt idx="222">
                  <c:v>0.4772141510861535</c:v>
                </c:pt>
                <c:pt idx="223">
                  <c:v>0.89907459207286644</c:v>
                </c:pt>
                <c:pt idx="224">
                  <c:v>4.9601950415608997E-2</c:v>
                </c:pt>
                <c:pt idx="225">
                  <c:v>0.42278935478496232</c:v>
                </c:pt>
                <c:pt idx="226">
                  <c:v>0.73033309340857655</c:v>
                </c:pt>
                <c:pt idx="227">
                  <c:v>0.50109901690302516</c:v>
                </c:pt>
                <c:pt idx="228">
                  <c:v>0.25209312915422977</c:v>
                </c:pt>
                <c:pt idx="229">
                  <c:v>0.56289614014029155</c:v>
                </c:pt>
                <c:pt idx="230">
                  <c:v>0.52583047719323084</c:v>
                </c:pt>
                <c:pt idx="231">
                  <c:v>0.68189571524190928</c:v>
                </c:pt>
                <c:pt idx="232">
                  <c:v>0.29582636364049841</c:v>
                </c:pt>
                <c:pt idx="233">
                  <c:v>0.98643424620660647</c:v>
                </c:pt>
                <c:pt idx="234">
                  <c:v>0.67148095562892873</c:v>
                </c:pt>
                <c:pt idx="235">
                  <c:v>0.8896552343514279</c:v>
                </c:pt>
                <c:pt idx="236">
                  <c:v>1.3945308298462453</c:v>
                </c:pt>
                <c:pt idx="237">
                  <c:v>0.3923097595352264</c:v>
                </c:pt>
                <c:pt idx="238">
                  <c:v>0.67884499479866944</c:v>
                </c:pt>
                <c:pt idx="239">
                  <c:v>1.1227508647870821</c:v>
                </c:pt>
                <c:pt idx="240">
                  <c:v>1.2981692677204584</c:v>
                </c:pt>
                <c:pt idx="241">
                  <c:v>1.2318855340477941</c:v>
                </c:pt>
                <c:pt idx="242">
                  <c:v>2.0495673231823082</c:v>
                </c:pt>
                <c:pt idx="243">
                  <c:v>1.5162600626124536</c:v>
                </c:pt>
                <c:pt idx="244">
                  <c:v>0.865127200685751</c:v>
                </c:pt>
                <c:pt idx="245">
                  <c:v>1.783813795590786</c:v>
                </c:pt>
                <c:pt idx="246">
                  <c:v>1.2556613170298607</c:v>
                </c:pt>
                <c:pt idx="247">
                  <c:v>0.46927062840817635</c:v>
                </c:pt>
                <c:pt idx="248">
                  <c:v>0.629322877559226</c:v>
                </c:pt>
                <c:pt idx="249">
                  <c:v>0.61561888388814912</c:v>
                </c:pt>
                <c:pt idx="250">
                  <c:v>0.44067714811435221</c:v>
                </c:pt>
                <c:pt idx="251">
                  <c:v>0.67419975275014499</c:v>
                </c:pt>
                <c:pt idx="252">
                  <c:v>0.96283307101210358</c:v>
                </c:pt>
                <c:pt idx="253">
                  <c:v>0.54960251871964072</c:v>
                </c:pt>
                <c:pt idx="254">
                  <c:v>0.18351326990589978</c:v>
                </c:pt>
                <c:pt idx="255">
                  <c:v>0.86863177262542823</c:v>
                </c:pt>
                <c:pt idx="256">
                  <c:v>9.8968093299987264E-2</c:v>
                </c:pt>
                <c:pt idx="257">
                  <c:v>0.74311457340756404</c:v>
                </c:pt>
                <c:pt idx="258">
                  <c:v>0.47275152523126773</c:v>
                </c:pt>
                <c:pt idx="259">
                  <c:v>0.82872582733503775</c:v>
                </c:pt>
                <c:pt idx="260">
                  <c:v>0.40465761814971574</c:v>
                </c:pt>
                <c:pt idx="261">
                  <c:v>0.7238351791468719</c:v>
                </c:pt>
                <c:pt idx="262">
                  <c:v>0.96528179324823293</c:v>
                </c:pt>
                <c:pt idx="263">
                  <c:v>0.5879737907132544</c:v>
                </c:pt>
                <c:pt idx="264">
                  <c:v>0.93415208617024259</c:v>
                </c:pt>
                <c:pt idx="265">
                  <c:v>0.42977485500237533</c:v>
                </c:pt>
                <c:pt idx="266">
                  <c:v>0.58499968222072274</c:v>
                </c:pt>
                <c:pt idx="267">
                  <c:v>1.155372888782495</c:v>
                </c:pt>
                <c:pt idx="268">
                  <c:v>1.4210934246019173</c:v>
                </c:pt>
                <c:pt idx="269">
                  <c:v>0.44057670734716053</c:v>
                </c:pt>
                <c:pt idx="270">
                  <c:v>0.28587008887895243</c:v>
                </c:pt>
                <c:pt idx="271">
                  <c:v>1.1237799205301338</c:v>
                </c:pt>
                <c:pt idx="272">
                  <c:v>1.2940803610775793</c:v>
                </c:pt>
                <c:pt idx="273">
                  <c:v>1.4621689173672043</c:v>
                </c:pt>
                <c:pt idx="274">
                  <c:v>1.1125538360386915</c:v>
                </c:pt>
                <c:pt idx="275">
                  <c:v>1.3811852366923043</c:v>
                </c:pt>
                <c:pt idx="276">
                  <c:v>0.68318492026134381</c:v>
                </c:pt>
                <c:pt idx="277">
                  <c:v>0.10781176073301131</c:v>
                </c:pt>
                <c:pt idx="278">
                  <c:v>0.81472209360807846</c:v>
                </c:pt>
                <c:pt idx="279">
                  <c:v>1.3490802536850326</c:v>
                </c:pt>
                <c:pt idx="280">
                  <c:v>1.0681281243298055</c:v>
                </c:pt>
                <c:pt idx="281">
                  <c:v>1.0946547995295106</c:v>
                </c:pt>
                <c:pt idx="282">
                  <c:v>0.89221618539283354</c:v>
                </c:pt>
                <c:pt idx="283">
                  <c:v>1.0380758062064932</c:v>
                </c:pt>
                <c:pt idx="284">
                  <c:v>1.0376510193411035</c:v>
                </c:pt>
                <c:pt idx="285">
                  <c:v>1.0038085245916462</c:v>
                </c:pt>
                <c:pt idx="286">
                  <c:v>0.81779574666662969</c:v>
                </c:pt>
                <c:pt idx="287">
                  <c:v>0.31852369333927821</c:v>
                </c:pt>
                <c:pt idx="288">
                  <c:v>1.0734996460103443</c:v>
                </c:pt>
                <c:pt idx="289">
                  <c:v>0.87661006698837496</c:v>
                </c:pt>
                <c:pt idx="290">
                  <c:v>0.5509809799124904</c:v>
                </c:pt>
                <c:pt idx="291">
                  <c:v>0.55956860774968176</c:v>
                </c:pt>
                <c:pt idx="292">
                  <c:v>0.65904254249869065</c:v>
                </c:pt>
                <c:pt idx="293">
                  <c:v>1.2804509003381621</c:v>
                </c:pt>
                <c:pt idx="294">
                  <c:v>0.37396538818233271</c:v>
                </c:pt>
                <c:pt idx="295">
                  <c:v>0.51685717808165166</c:v>
                </c:pt>
                <c:pt idx="296">
                  <c:v>0.99521483763327179</c:v>
                </c:pt>
                <c:pt idx="297">
                  <c:v>0.50930985739503121</c:v>
                </c:pt>
                <c:pt idx="298">
                  <c:v>0.54147631541168428</c:v>
                </c:pt>
                <c:pt idx="299">
                  <c:v>1.2484222161797887</c:v>
                </c:pt>
                <c:pt idx="300">
                  <c:v>1.254913177514924</c:v>
                </c:pt>
                <c:pt idx="301">
                  <c:v>0.50879268440797487</c:v>
                </c:pt>
                <c:pt idx="302">
                  <c:v>1.3522395832030434</c:v>
                </c:pt>
                <c:pt idx="303">
                  <c:v>0.7253124895861992</c:v>
                </c:pt>
                <c:pt idx="304">
                  <c:v>0.81928845982406351</c:v>
                </c:pt>
                <c:pt idx="305">
                  <c:v>0.42476988318019399</c:v>
                </c:pt>
                <c:pt idx="306">
                  <c:v>1.4249476178838998</c:v>
                </c:pt>
                <c:pt idx="307">
                  <c:v>1.3920789255784902</c:v>
                </c:pt>
                <c:pt idx="308">
                  <c:v>0.61107782751901607</c:v>
                </c:pt>
                <c:pt idx="309">
                  <c:v>0.79516384055390765</c:v>
                </c:pt>
                <c:pt idx="310">
                  <c:v>0.43195510794737901</c:v>
                </c:pt>
                <c:pt idx="311">
                  <c:v>0.97339607740662204</c:v>
                </c:pt>
                <c:pt idx="312">
                  <c:v>1.0802925259303651</c:v>
                </c:pt>
                <c:pt idx="313">
                  <c:v>1.2774746604753662</c:v>
                </c:pt>
                <c:pt idx="314">
                  <c:v>1.6531181862368933</c:v>
                </c:pt>
                <c:pt idx="315">
                  <c:v>0.62055201846906882</c:v>
                </c:pt>
                <c:pt idx="316">
                  <c:v>0.9885006839418129</c:v>
                </c:pt>
                <c:pt idx="317">
                  <c:v>0.91846656176489438</c:v>
                </c:pt>
                <c:pt idx="318">
                  <c:v>0.98320311628135326</c:v>
                </c:pt>
                <c:pt idx="319">
                  <c:v>1.0050541265593327</c:v>
                </c:pt>
                <c:pt idx="320">
                  <c:v>1.8633510962183486</c:v>
                </c:pt>
                <c:pt idx="321">
                  <c:v>0.83301968605816523</c:v>
                </c:pt>
                <c:pt idx="322">
                  <c:v>1.2408012231218954</c:v>
                </c:pt>
                <c:pt idx="323">
                  <c:v>1.6190268100104286</c:v>
                </c:pt>
                <c:pt idx="324">
                  <c:v>1.6575270881645403</c:v>
                </c:pt>
                <c:pt idx="325">
                  <c:v>1.2464148690914079</c:v>
                </c:pt>
                <c:pt idx="326">
                  <c:v>0.29194431698389717</c:v>
                </c:pt>
                <c:pt idx="327">
                  <c:v>1.5424241768122622</c:v>
                </c:pt>
                <c:pt idx="328">
                  <c:v>0.85019484471835682</c:v>
                </c:pt>
                <c:pt idx="329">
                  <c:v>1.5995662211964574</c:v>
                </c:pt>
                <c:pt idx="330">
                  <c:v>0.74603487264752966</c:v>
                </c:pt>
                <c:pt idx="331">
                  <c:v>1.8578704523107537</c:v>
                </c:pt>
                <c:pt idx="332">
                  <c:v>0.65707182308418388</c:v>
                </c:pt>
                <c:pt idx="333">
                  <c:v>0.95795026734906674</c:v>
                </c:pt>
                <c:pt idx="334">
                  <c:v>0.82658443458621922</c:v>
                </c:pt>
                <c:pt idx="335">
                  <c:v>0.79876668590071798</c:v>
                </c:pt>
                <c:pt idx="336">
                  <c:v>0.94179686818818176</c:v>
                </c:pt>
                <c:pt idx="337">
                  <c:v>1.1755306284305489</c:v>
                </c:pt>
                <c:pt idx="338">
                  <c:v>0.26950587457377523</c:v>
                </c:pt>
                <c:pt idx="339">
                  <c:v>1.1019848266307717</c:v>
                </c:pt>
                <c:pt idx="340">
                  <c:v>1.4529857191252675</c:v>
                </c:pt>
                <c:pt idx="341">
                  <c:v>0.3142032220166372</c:v>
                </c:pt>
                <c:pt idx="342">
                  <c:v>0.69209247285424602</c:v>
                </c:pt>
                <c:pt idx="343">
                  <c:v>0.96101162649773864</c:v>
                </c:pt>
                <c:pt idx="344">
                  <c:v>1.1256468137257254</c:v>
                </c:pt>
                <c:pt idx="345">
                  <c:v>9.5253342283314973E-2</c:v>
                </c:pt>
                <c:pt idx="346">
                  <c:v>1.1133065768816166</c:v>
                </c:pt>
                <c:pt idx="347">
                  <c:v>0.92961509410616638</c:v>
                </c:pt>
                <c:pt idx="348">
                  <c:v>0.26832629526355528</c:v>
                </c:pt>
                <c:pt idx="349">
                  <c:v>0.20874667161331259</c:v>
                </c:pt>
                <c:pt idx="350">
                  <c:v>0.52437323288244875</c:v>
                </c:pt>
                <c:pt idx="351">
                  <c:v>0.27950942613999424</c:v>
                </c:pt>
                <c:pt idx="352">
                  <c:v>0.90991221128305966</c:v>
                </c:pt>
                <c:pt idx="353">
                  <c:v>0.53622111566176767</c:v>
                </c:pt>
                <c:pt idx="354">
                  <c:v>0.44713831339967203</c:v>
                </c:pt>
                <c:pt idx="355">
                  <c:v>0.96668887130455483</c:v>
                </c:pt>
                <c:pt idx="356">
                  <c:v>1.0525996336222971</c:v>
                </c:pt>
                <c:pt idx="357">
                  <c:v>1.1989694862400782</c:v>
                </c:pt>
                <c:pt idx="358">
                  <c:v>0.76206455555314956</c:v>
                </c:pt>
                <c:pt idx="359">
                  <c:v>1.147172085260989</c:v>
                </c:pt>
                <c:pt idx="360">
                  <c:v>1.4248857729443836</c:v>
                </c:pt>
                <c:pt idx="361">
                  <c:v>1.4960816577446878</c:v>
                </c:pt>
                <c:pt idx="362">
                  <c:v>0.87035456385760324</c:v>
                </c:pt>
                <c:pt idx="363">
                  <c:v>1.0151852631455833</c:v>
                </c:pt>
                <c:pt idx="364">
                  <c:v>0.93928148722237803</c:v>
                </c:pt>
                <c:pt idx="365">
                  <c:v>0.41454766462754677</c:v>
                </c:pt>
                <c:pt idx="366">
                  <c:v>0.76264682872681211</c:v>
                </c:pt>
                <c:pt idx="367">
                  <c:v>0.92739924961118825</c:v>
                </c:pt>
                <c:pt idx="368">
                  <c:v>1.2754162888373681</c:v>
                </c:pt>
                <c:pt idx="369">
                  <c:v>0.36054364363533259</c:v>
                </c:pt>
                <c:pt idx="370">
                  <c:v>0.68223476848839903</c:v>
                </c:pt>
                <c:pt idx="371">
                  <c:v>1.2752915221704966</c:v>
                </c:pt>
                <c:pt idx="372">
                  <c:v>1.2740109161166542</c:v>
                </c:pt>
                <c:pt idx="373">
                  <c:v>0.99795098492909862</c:v>
                </c:pt>
                <c:pt idx="374">
                  <c:v>0.68452220763525962</c:v>
                </c:pt>
                <c:pt idx="375">
                  <c:v>0.68846529443488969</c:v>
                </c:pt>
                <c:pt idx="376">
                  <c:v>0.39031449926077283</c:v>
                </c:pt>
                <c:pt idx="377">
                  <c:v>0.83181869978256984</c:v>
                </c:pt>
                <c:pt idx="378">
                  <c:v>1.1432707873606118</c:v>
                </c:pt>
                <c:pt idx="379">
                  <c:v>0.86173644636949098</c:v>
                </c:pt>
                <c:pt idx="380">
                  <c:v>1.0314850226699785</c:v>
                </c:pt>
                <c:pt idx="381">
                  <c:v>1.7998431338661094</c:v>
                </c:pt>
                <c:pt idx="382">
                  <c:v>1.1974673953775792</c:v>
                </c:pt>
                <c:pt idx="383">
                  <c:v>1.4955276861900504</c:v>
                </c:pt>
                <c:pt idx="384">
                  <c:v>0.17528253380805281</c:v>
                </c:pt>
                <c:pt idx="385">
                  <c:v>1.2177474909415054</c:v>
                </c:pt>
                <c:pt idx="386">
                  <c:v>0.70634494347379362</c:v>
                </c:pt>
                <c:pt idx="387">
                  <c:v>0.88844773688118783</c:v>
                </c:pt>
                <c:pt idx="388">
                  <c:v>1.7155054995797852</c:v>
                </c:pt>
                <c:pt idx="389">
                  <c:v>0.16676739269024038</c:v>
                </c:pt>
                <c:pt idx="390">
                  <c:v>0.87895618352773563</c:v>
                </c:pt>
                <c:pt idx="391">
                  <c:v>0.63204367109224102</c:v>
                </c:pt>
              </c:numCache>
            </c:numRef>
          </c:yVal>
          <c:smooth val="0"/>
          <c:extLst>
            <c:ext xmlns:c16="http://schemas.microsoft.com/office/drawing/2014/chart" uri="{C3380CC4-5D6E-409C-BE32-E72D297353CC}">
              <c16:uniqueId val="{00000001-2EBD-4ECC-92BE-26FE4E7E1416}"/>
            </c:ext>
          </c:extLst>
        </c:ser>
        <c:dLbls>
          <c:showLegendKey val="0"/>
          <c:showVal val="0"/>
          <c:showCatName val="0"/>
          <c:showSerName val="0"/>
          <c:showPercent val="0"/>
          <c:showBubbleSize val="0"/>
        </c:dLbls>
        <c:axId val="193253904"/>
        <c:axId val="193255824"/>
      </c:scatterChart>
      <c:valAx>
        <c:axId val="193253904"/>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93255824"/>
        <c:crosses val="autoZero"/>
        <c:crossBetween val="midCat"/>
      </c:valAx>
      <c:valAx>
        <c:axId val="193255824"/>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19325390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392"/>
                <c:pt idx="0">
                  <c:v>3.6754428083898762E-4</c:v>
                </c:pt>
                <c:pt idx="1">
                  <c:v>2.3480728919653656E-5</c:v>
                </c:pt>
                <c:pt idx="2">
                  <c:v>3.105973201492215E-4</c:v>
                </c:pt>
                <c:pt idx="3">
                  <c:v>1.8173549121273331E-4</c:v>
                </c:pt>
                <c:pt idx="4">
                  <c:v>5.0380500510358376E-7</c:v>
                </c:pt>
                <c:pt idx="5">
                  <c:v>3.3692573430558685E-3</c:v>
                </c:pt>
                <c:pt idx="6">
                  <c:v>3.0063214519006854E-3</c:v>
                </c:pt>
                <c:pt idx="7">
                  <c:v>2.2972825975755809E-3</c:v>
                </c:pt>
                <c:pt idx="8">
                  <c:v>4.1804729026989453E-3</c:v>
                </c:pt>
                <c:pt idx="9">
                  <c:v>2.2142013145425471E-4</c:v>
                </c:pt>
                <c:pt idx="10">
                  <c:v>2.0077587758420934E-4</c:v>
                </c:pt>
                <c:pt idx="11">
                  <c:v>7.8733138753293798E-4</c:v>
                </c:pt>
                <c:pt idx="12">
                  <c:v>1.1219488900921487E-5</c:v>
                </c:pt>
                <c:pt idx="13">
                  <c:v>1.0355921898592944E-2</c:v>
                </c:pt>
                <c:pt idx="14">
                  <c:v>5.5292272908022031E-4</c:v>
                </c:pt>
                <c:pt idx="15">
                  <c:v>4.8179719659588894E-4</c:v>
                </c:pt>
                <c:pt idx="16">
                  <c:v>3.0471804305155894E-3</c:v>
                </c:pt>
                <c:pt idx="17">
                  <c:v>5.3100063365987891E-4</c:v>
                </c:pt>
                <c:pt idx="18">
                  <c:v>8.2410948129189057E-5</c:v>
                </c:pt>
                <c:pt idx="19">
                  <c:v>3.294007913368768E-3</c:v>
                </c:pt>
                <c:pt idx="20">
                  <c:v>6.9656393771629619E-4</c:v>
                </c:pt>
                <c:pt idx="21">
                  <c:v>2.6757104145415416E-4</c:v>
                </c:pt>
                <c:pt idx="22">
                  <c:v>1.285837892009649E-6</c:v>
                </c:pt>
                <c:pt idx="23">
                  <c:v>9.1401420889608283E-5</c:v>
                </c:pt>
                <c:pt idx="24">
                  <c:v>2.3203088177442473E-4</c:v>
                </c:pt>
                <c:pt idx="25">
                  <c:v>8.7050537501578895E-6</c:v>
                </c:pt>
                <c:pt idx="26">
                  <c:v>4.6074819083104376E-4</c:v>
                </c:pt>
                <c:pt idx="27">
                  <c:v>2.7027747579050412E-6</c:v>
                </c:pt>
                <c:pt idx="28">
                  <c:v>1.0654646364982016E-4</c:v>
                </c:pt>
                <c:pt idx="29">
                  <c:v>7.0215809939310245E-5</c:v>
                </c:pt>
                <c:pt idx="30">
                  <c:v>3.5652487247722522E-3</c:v>
                </c:pt>
                <c:pt idx="31">
                  <c:v>1.1944280641904581E-3</c:v>
                </c:pt>
                <c:pt idx="32">
                  <c:v>3.785430902678774E-3</c:v>
                </c:pt>
                <c:pt idx="33">
                  <c:v>1.7090893677473677E-3</c:v>
                </c:pt>
                <c:pt idx="34">
                  <c:v>1.2533973309379809E-3</c:v>
                </c:pt>
                <c:pt idx="35">
                  <c:v>6.4644108034657676E-5</c:v>
                </c:pt>
                <c:pt idx="36">
                  <c:v>4.8578999244009986E-4</c:v>
                </c:pt>
                <c:pt idx="37">
                  <c:v>4.6561898072066485E-5</c:v>
                </c:pt>
                <c:pt idx="38">
                  <c:v>1.1301842896385133E-3</c:v>
                </c:pt>
                <c:pt idx="39">
                  <c:v>2.068211138446864E-6</c:v>
                </c:pt>
                <c:pt idx="40">
                  <c:v>5.202043372550185E-5</c:v>
                </c:pt>
                <c:pt idx="41">
                  <c:v>2.2281742354487185E-3</c:v>
                </c:pt>
                <c:pt idx="42">
                  <c:v>1.690061169542176E-3</c:v>
                </c:pt>
                <c:pt idx="43">
                  <c:v>7.73646239834575E-3</c:v>
                </c:pt>
                <c:pt idx="44">
                  <c:v>2.1168747955341658E-3</c:v>
                </c:pt>
                <c:pt idx="45">
                  <c:v>1.5250187306289848E-3</c:v>
                </c:pt>
                <c:pt idx="46">
                  <c:v>3.5568681059558829E-5</c:v>
                </c:pt>
                <c:pt idx="47">
                  <c:v>1.5230080763382339E-3</c:v>
                </c:pt>
                <c:pt idx="48">
                  <c:v>1.2479823486709766E-3</c:v>
                </c:pt>
                <c:pt idx="49">
                  <c:v>1.716742877559677E-4</c:v>
                </c:pt>
                <c:pt idx="50">
                  <c:v>1.5557403605267876E-3</c:v>
                </c:pt>
                <c:pt idx="51">
                  <c:v>1.6560625973104726E-3</c:v>
                </c:pt>
                <c:pt idx="52">
                  <c:v>6.7201268951933544E-4</c:v>
                </c:pt>
                <c:pt idx="53">
                  <c:v>7.9540200138242898E-3</c:v>
                </c:pt>
                <c:pt idx="54">
                  <c:v>1.8855578190512289E-3</c:v>
                </c:pt>
                <c:pt idx="55">
                  <c:v>1.1155389639298854E-4</c:v>
                </c:pt>
                <c:pt idx="56">
                  <c:v>5.8609937575260891E-4</c:v>
                </c:pt>
                <c:pt idx="57">
                  <c:v>1.8251494497609731E-4</c:v>
                </c:pt>
                <c:pt idx="58">
                  <c:v>3.4854916482902291E-3</c:v>
                </c:pt>
                <c:pt idx="59">
                  <c:v>2.2992117628888534E-3</c:v>
                </c:pt>
                <c:pt idx="60">
                  <c:v>2.449099914727788E-3</c:v>
                </c:pt>
                <c:pt idx="61">
                  <c:v>2.6160164199701868E-4</c:v>
                </c:pt>
                <c:pt idx="62">
                  <c:v>2.1190915902930454E-3</c:v>
                </c:pt>
                <c:pt idx="63">
                  <c:v>1.0897083862935082E-3</c:v>
                </c:pt>
                <c:pt idx="64">
                  <c:v>2.8878407312035557E-4</c:v>
                </c:pt>
                <c:pt idx="65">
                  <c:v>7.5406833956957449E-4</c:v>
                </c:pt>
                <c:pt idx="66">
                  <c:v>8.8009930219651008E-4</c:v>
                </c:pt>
                <c:pt idx="67">
                  <c:v>1.1588150254695357E-3</c:v>
                </c:pt>
                <c:pt idx="68">
                  <c:v>1.908307193923476E-4</c:v>
                </c:pt>
                <c:pt idx="69">
                  <c:v>1.5029811765241644E-3</c:v>
                </c:pt>
                <c:pt idx="70">
                  <c:v>1.2041954383458002E-2</c:v>
                </c:pt>
                <c:pt idx="71">
                  <c:v>1.636581945931976E-4</c:v>
                </c:pt>
                <c:pt idx="72">
                  <c:v>6.9609488850080388E-5</c:v>
                </c:pt>
                <c:pt idx="73">
                  <c:v>1.3442287771775591E-4</c:v>
                </c:pt>
                <c:pt idx="74">
                  <c:v>1.4083972970042362E-4</c:v>
                </c:pt>
                <c:pt idx="75">
                  <c:v>4.411749716502409E-3</c:v>
                </c:pt>
                <c:pt idx="76">
                  <c:v>1.8875104784440947E-3</c:v>
                </c:pt>
                <c:pt idx="77">
                  <c:v>2.281918034516187E-4</c:v>
                </c:pt>
                <c:pt idx="78">
                  <c:v>2.1763544257760776E-6</c:v>
                </c:pt>
                <c:pt idx="79">
                  <c:v>2.1520678488999554E-4</c:v>
                </c:pt>
                <c:pt idx="80">
                  <c:v>2.3636637964117831E-3</c:v>
                </c:pt>
                <c:pt idx="81">
                  <c:v>4.2739652627327547E-4</c:v>
                </c:pt>
                <c:pt idx="82">
                  <c:v>5.3187978632043761E-3</c:v>
                </c:pt>
                <c:pt idx="83">
                  <c:v>1.4580616877093826E-4</c:v>
                </c:pt>
                <c:pt idx="84">
                  <c:v>7.7121370315233985E-5</c:v>
                </c:pt>
                <c:pt idx="85">
                  <c:v>1.6336976489835422E-4</c:v>
                </c:pt>
                <c:pt idx="86">
                  <c:v>3.4107232934282117E-5</c:v>
                </c:pt>
                <c:pt idx="87">
                  <c:v>9.6938152578107361E-5</c:v>
                </c:pt>
                <c:pt idx="88">
                  <c:v>5.751464936766693E-5</c:v>
                </c:pt>
                <c:pt idx="89">
                  <c:v>4.6064966597044853E-3</c:v>
                </c:pt>
                <c:pt idx="90">
                  <c:v>9.4323127268055652E-4</c:v>
                </c:pt>
                <c:pt idx="91">
                  <c:v>5.4502843087953954E-4</c:v>
                </c:pt>
                <c:pt idx="92">
                  <c:v>6.9685566042904123E-4</c:v>
                </c:pt>
                <c:pt idx="93">
                  <c:v>6.1298740672773985E-3</c:v>
                </c:pt>
                <c:pt idx="94">
                  <c:v>7.588608067286548E-3</c:v>
                </c:pt>
                <c:pt idx="95">
                  <c:v>1.4731239043869795E-4</c:v>
                </c:pt>
                <c:pt idx="96">
                  <c:v>4.4993300213986023E-5</c:v>
                </c:pt>
                <c:pt idx="97">
                  <c:v>6.8042137360537153E-4</c:v>
                </c:pt>
                <c:pt idx="98">
                  <c:v>4.3036099915624398E-4</c:v>
                </c:pt>
                <c:pt idx="99">
                  <c:v>3.7937895031364238E-4</c:v>
                </c:pt>
                <c:pt idx="100">
                  <c:v>2.2745610997066752E-3</c:v>
                </c:pt>
                <c:pt idx="101">
                  <c:v>5.6548084865628461E-4</c:v>
                </c:pt>
                <c:pt idx="102">
                  <c:v>2.743877054293463E-3</c:v>
                </c:pt>
                <c:pt idx="103">
                  <c:v>3.3537592678973861E-3</c:v>
                </c:pt>
                <c:pt idx="104">
                  <c:v>2.4031468448560719E-3</c:v>
                </c:pt>
                <c:pt idx="105">
                  <c:v>6.0577184723648503E-4</c:v>
                </c:pt>
                <c:pt idx="106">
                  <c:v>1.0492289704715065E-3</c:v>
                </c:pt>
                <c:pt idx="107">
                  <c:v>7.0911158671741773E-3</c:v>
                </c:pt>
                <c:pt idx="108">
                  <c:v>7.4433226647682108E-4</c:v>
                </c:pt>
                <c:pt idx="109">
                  <c:v>1.6532889736620524E-3</c:v>
                </c:pt>
                <c:pt idx="110">
                  <c:v>1.7043893646453583E-2</c:v>
                </c:pt>
                <c:pt idx="111">
                  <c:v>3.9250309517006206E-3</c:v>
                </c:pt>
                <c:pt idx="112">
                  <c:v>1.3339369925580112E-4</c:v>
                </c:pt>
                <c:pt idx="113">
                  <c:v>2.6968379516021783E-4</c:v>
                </c:pt>
                <c:pt idx="114">
                  <c:v>7.6627389377137054E-4</c:v>
                </c:pt>
                <c:pt idx="115">
                  <c:v>1.5232369994827868E-2</c:v>
                </c:pt>
                <c:pt idx="116">
                  <c:v>5.6051582264195492E-4</c:v>
                </c:pt>
                <c:pt idx="117">
                  <c:v>8.5837605658504947E-4</c:v>
                </c:pt>
                <c:pt idx="118">
                  <c:v>2.923375510949251E-3</c:v>
                </c:pt>
                <c:pt idx="119">
                  <c:v>1.7068052633930112E-3</c:v>
                </c:pt>
                <c:pt idx="120">
                  <c:v>3.6632914178232458E-4</c:v>
                </c:pt>
                <c:pt idx="121">
                  <c:v>4.6355127300932986E-4</c:v>
                </c:pt>
                <c:pt idx="122">
                  <c:v>9.2443789980417731E-4</c:v>
                </c:pt>
                <c:pt idx="123">
                  <c:v>3.5214511972825793E-3</c:v>
                </c:pt>
                <c:pt idx="124">
                  <c:v>1.3911385496748126E-4</c:v>
                </c:pt>
                <c:pt idx="125">
                  <c:v>2.0209788357389664E-3</c:v>
                </c:pt>
                <c:pt idx="126">
                  <c:v>5.6155672815874974E-3</c:v>
                </c:pt>
                <c:pt idx="127">
                  <c:v>1.3085644958385793E-3</c:v>
                </c:pt>
                <c:pt idx="128">
                  <c:v>9.8121962635278255E-4</c:v>
                </c:pt>
                <c:pt idx="129">
                  <c:v>1.9128386377732147E-3</c:v>
                </c:pt>
                <c:pt idx="130">
                  <c:v>4.0258837650252924E-4</c:v>
                </c:pt>
                <c:pt idx="131">
                  <c:v>4.7423777402829287E-4</c:v>
                </c:pt>
                <c:pt idx="132">
                  <c:v>9.1667782099527856E-4</c:v>
                </c:pt>
                <c:pt idx="133">
                  <c:v>7.3485180761346746E-7</c:v>
                </c:pt>
                <c:pt idx="134">
                  <c:v>5.1499756946703278E-4</c:v>
                </c:pt>
                <c:pt idx="135">
                  <c:v>6.1753686570022192E-4</c:v>
                </c:pt>
                <c:pt idx="136">
                  <c:v>3.7562131648233711E-4</c:v>
                </c:pt>
                <c:pt idx="137">
                  <c:v>1.2668404438458572E-3</c:v>
                </c:pt>
                <c:pt idx="138">
                  <c:v>5.3713449731696746E-7</c:v>
                </c:pt>
                <c:pt idx="139">
                  <c:v>1.043719697737433E-3</c:v>
                </c:pt>
                <c:pt idx="140">
                  <c:v>2.9239765362483084E-3</c:v>
                </c:pt>
                <c:pt idx="141">
                  <c:v>3.2938884363679954E-4</c:v>
                </c:pt>
                <c:pt idx="142">
                  <c:v>1.2221370089461076E-5</c:v>
                </c:pt>
                <c:pt idx="143">
                  <c:v>3.3657262048215914E-3</c:v>
                </c:pt>
                <c:pt idx="144">
                  <c:v>1.4723016665139791E-3</c:v>
                </c:pt>
                <c:pt idx="145">
                  <c:v>5.698033918563398E-3</c:v>
                </c:pt>
                <c:pt idx="146">
                  <c:v>5.8209173033592734E-4</c:v>
                </c:pt>
                <c:pt idx="147">
                  <c:v>1.1655083173075431E-3</c:v>
                </c:pt>
                <c:pt idx="148">
                  <c:v>5.3282971853457921E-5</c:v>
                </c:pt>
                <c:pt idx="149">
                  <c:v>1.9176603742006918E-3</c:v>
                </c:pt>
                <c:pt idx="150">
                  <c:v>1.6423450272720492E-5</c:v>
                </c:pt>
                <c:pt idx="151">
                  <c:v>2.9344256287308832E-6</c:v>
                </c:pt>
                <c:pt idx="152">
                  <c:v>4.7930164375910378E-3</c:v>
                </c:pt>
                <c:pt idx="153">
                  <c:v>7.7830325589615112E-3</c:v>
                </c:pt>
                <c:pt idx="154">
                  <c:v>7.8805652842904115E-3</c:v>
                </c:pt>
                <c:pt idx="155">
                  <c:v>1.7163587022957024E-3</c:v>
                </c:pt>
                <c:pt idx="156">
                  <c:v>4.184289296931893E-3</c:v>
                </c:pt>
                <c:pt idx="157">
                  <c:v>2.1046924450569726E-3</c:v>
                </c:pt>
                <c:pt idx="158">
                  <c:v>4.0237065341328082E-4</c:v>
                </c:pt>
                <c:pt idx="159">
                  <c:v>3.0971924792744028E-6</c:v>
                </c:pt>
                <c:pt idx="160">
                  <c:v>6.7035362396424914E-4</c:v>
                </c:pt>
                <c:pt idx="161">
                  <c:v>5.5451159645289244E-4</c:v>
                </c:pt>
                <c:pt idx="162">
                  <c:v>1.8376966255361017E-4</c:v>
                </c:pt>
                <c:pt idx="163">
                  <c:v>1.4088353926934271E-4</c:v>
                </c:pt>
                <c:pt idx="164">
                  <c:v>1.1411024261701277E-2</c:v>
                </c:pt>
                <c:pt idx="165">
                  <c:v>1.0759320631190577E-3</c:v>
                </c:pt>
                <c:pt idx="166">
                  <c:v>3.8545143009553003E-5</c:v>
                </c:pt>
                <c:pt idx="167">
                  <c:v>2.3182860362914429E-4</c:v>
                </c:pt>
                <c:pt idx="168">
                  <c:v>9.7743494523183713E-7</c:v>
                </c:pt>
                <c:pt idx="169">
                  <c:v>7.3578717392998806E-6</c:v>
                </c:pt>
                <c:pt idx="170">
                  <c:v>1.1042361165811076E-3</c:v>
                </c:pt>
                <c:pt idx="171">
                  <c:v>2.8547663095471009E-4</c:v>
                </c:pt>
                <c:pt idx="172">
                  <c:v>1.7261967878924674E-3</c:v>
                </c:pt>
                <c:pt idx="173">
                  <c:v>1.6052171099173186E-4</c:v>
                </c:pt>
                <c:pt idx="174">
                  <c:v>9.1731960876768702E-5</c:v>
                </c:pt>
                <c:pt idx="175">
                  <c:v>3.8281358385704693E-4</c:v>
                </c:pt>
                <c:pt idx="176">
                  <c:v>5.5714349909391611E-6</c:v>
                </c:pt>
                <c:pt idx="177">
                  <c:v>1.8806854102407897E-4</c:v>
                </c:pt>
                <c:pt idx="178">
                  <c:v>5.0629714512212824E-4</c:v>
                </c:pt>
                <c:pt idx="179">
                  <c:v>4.3254101044937427E-3</c:v>
                </c:pt>
                <c:pt idx="180">
                  <c:v>9.3603107765154398E-4</c:v>
                </c:pt>
                <c:pt idx="181">
                  <c:v>1.7976857890474459E-3</c:v>
                </c:pt>
                <c:pt idx="182">
                  <c:v>4.931457182962035E-4</c:v>
                </c:pt>
                <c:pt idx="183">
                  <c:v>9.7659410116931783E-5</c:v>
                </c:pt>
                <c:pt idx="184">
                  <c:v>8.870060048857297E-5</c:v>
                </c:pt>
                <c:pt idx="185">
                  <c:v>2.1324903057254852E-3</c:v>
                </c:pt>
                <c:pt idx="186">
                  <c:v>5.6435892396387106E-4</c:v>
                </c:pt>
                <c:pt idx="187">
                  <c:v>8.2836039655797219E-5</c:v>
                </c:pt>
                <c:pt idx="188">
                  <c:v>9.9786410096212864E-6</c:v>
                </c:pt>
                <c:pt idx="189">
                  <c:v>7.5098489283515499E-4</c:v>
                </c:pt>
                <c:pt idx="190">
                  <c:v>1.3872122881645956E-3</c:v>
                </c:pt>
                <c:pt idx="191">
                  <c:v>1.4132422684013989E-3</c:v>
                </c:pt>
                <c:pt idx="192">
                  <c:v>4.7774766919710132E-4</c:v>
                </c:pt>
                <c:pt idx="193">
                  <c:v>1.2529702681123775E-3</c:v>
                </c:pt>
                <c:pt idx="194">
                  <c:v>7.8839270533020522E-4</c:v>
                </c:pt>
                <c:pt idx="195">
                  <c:v>2.9666174993553538E-6</c:v>
                </c:pt>
                <c:pt idx="196">
                  <c:v>2.4302122418027356E-3</c:v>
                </c:pt>
                <c:pt idx="197">
                  <c:v>9.7414680643075307E-4</c:v>
                </c:pt>
                <c:pt idx="198">
                  <c:v>1.8045795205291523E-4</c:v>
                </c:pt>
                <c:pt idx="199">
                  <c:v>8.8371472904508777E-5</c:v>
                </c:pt>
                <c:pt idx="200">
                  <c:v>1.8054730036374076E-3</c:v>
                </c:pt>
                <c:pt idx="201">
                  <c:v>7.2135723349847178E-6</c:v>
                </c:pt>
                <c:pt idx="202">
                  <c:v>2.7975061003270166E-3</c:v>
                </c:pt>
                <c:pt idx="203">
                  <c:v>3.9129992780622937E-7</c:v>
                </c:pt>
                <c:pt idx="204">
                  <c:v>1.5954016838314797E-3</c:v>
                </c:pt>
                <c:pt idx="205">
                  <c:v>1.7467117093002279E-3</c:v>
                </c:pt>
                <c:pt idx="206">
                  <c:v>1.7592596334059358E-3</c:v>
                </c:pt>
                <c:pt idx="207">
                  <c:v>3.0564674748133729E-3</c:v>
                </c:pt>
                <c:pt idx="208">
                  <c:v>6.4772014803550354E-3</c:v>
                </c:pt>
                <c:pt idx="209">
                  <c:v>1.8424991340947935E-3</c:v>
                </c:pt>
                <c:pt idx="210">
                  <c:v>3.8013662770483409E-3</c:v>
                </c:pt>
                <c:pt idx="211">
                  <c:v>1.1231914493353146E-3</c:v>
                </c:pt>
                <c:pt idx="212">
                  <c:v>2.4886122643385717E-3</c:v>
                </c:pt>
                <c:pt idx="213">
                  <c:v>3.3500178156531599E-3</c:v>
                </c:pt>
                <c:pt idx="214">
                  <c:v>6.0591474413001405E-4</c:v>
                </c:pt>
                <c:pt idx="215">
                  <c:v>2.3145490611005876E-3</c:v>
                </c:pt>
                <c:pt idx="216">
                  <c:v>7.8703278063428899E-3</c:v>
                </c:pt>
                <c:pt idx="217">
                  <c:v>2.3010283096978033E-4</c:v>
                </c:pt>
                <c:pt idx="218">
                  <c:v>2.7211822643756389E-3</c:v>
                </c:pt>
                <c:pt idx="219">
                  <c:v>4.1528067158148827E-7</c:v>
                </c:pt>
                <c:pt idx="220">
                  <c:v>1.3747217368723192E-5</c:v>
                </c:pt>
                <c:pt idx="221">
                  <c:v>1.4626070451054189E-4</c:v>
                </c:pt>
                <c:pt idx="222">
                  <c:v>1.5320306744409965E-4</c:v>
                </c:pt>
                <c:pt idx="223">
                  <c:v>1.564494834816507E-3</c:v>
                </c:pt>
                <c:pt idx="224">
                  <c:v>1.4582748947170567E-8</c:v>
                </c:pt>
                <c:pt idx="225">
                  <c:v>8.849610058980454E-5</c:v>
                </c:pt>
                <c:pt idx="226">
                  <c:v>7.6394464843268202E-4</c:v>
                </c:pt>
                <c:pt idx="227">
                  <c:v>1.9758759791664609E-4</c:v>
                </c:pt>
                <c:pt idx="228">
                  <c:v>1.146895682184735E-5</c:v>
                </c:pt>
                <c:pt idx="229">
                  <c:v>3.4758605236242949E-4</c:v>
                </c:pt>
                <c:pt idx="230">
                  <c:v>2.0485049891335523E-4</c:v>
                </c:pt>
                <c:pt idx="231">
                  <c:v>7.1073948431202999E-4</c:v>
                </c:pt>
                <c:pt idx="232">
                  <c:v>1.8745056327979374E-5</c:v>
                </c:pt>
                <c:pt idx="233">
                  <c:v>2.7688696773164622E-3</c:v>
                </c:pt>
                <c:pt idx="234">
                  <c:v>4.9552907027581444E-4</c:v>
                </c:pt>
                <c:pt idx="235">
                  <c:v>1.8657578421682436E-3</c:v>
                </c:pt>
                <c:pt idx="236">
                  <c:v>1.1643930329232614E-2</c:v>
                </c:pt>
                <c:pt idx="237">
                  <c:v>6.9675617228154749E-5</c:v>
                </c:pt>
                <c:pt idx="238">
                  <c:v>6.5438157939958148E-4</c:v>
                </c:pt>
                <c:pt idx="239">
                  <c:v>4.7914182815414971E-3</c:v>
                </c:pt>
                <c:pt idx="240">
                  <c:v>9.6043353193524476E-3</c:v>
                </c:pt>
                <c:pt idx="241">
                  <c:v>6.869085500363744E-3</c:v>
                </c:pt>
                <c:pt idx="242">
                  <c:v>4.6959959279888802E-2</c:v>
                </c:pt>
                <c:pt idx="243">
                  <c:v>1.4175460654412742E-2</c:v>
                </c:pt>
                <c:pt idx="244">
                  <c:v>1.4805288140073091E-3</c:v>
                </c:pt>
                <c:pt idx="245">
                  <c:v>2.4090286148254449E-2</c:v>
                </c:pt>
                <c:pt idx="246">
                  <c:v>6.0570846398093729E-3</c:v>
                </c:pt>
                <c:pt idx="247">
                  <c:v>8.867551643830972E-5</c:v>
                </c:pt>
                <c:pt idx="248">
                  <c:v>3.0289446441746824E-4</c:v>
                </c:pt>
                <c:pt idx="249">
                  <c:v>2.8027998610575541E-4</c:v>
                </c:pt>
                <c:pt idx="250">
                  <c:v>7.6674663450094076E-5</c:v>
                </c:pt>
                <c:pt idx="251">
                  <c:v>3.9596916404452815E-4</c:v>
                </c:pt>
                <c:pt idx="252">
                  <c:v>1.7161009038442097E-3</c:v>
                </c:pt>
                <c:pt idx="253">
                  <c:v>1.7494475780529788E-4</c:v>
                </c:pt>
                <c:pt idx="254">
                  <c:v>2.310128677981365E-6</c:v>
                </c:pt>
                <c:pt idx="255">
                  <c:v>1.1754212964191189E-3</c:v>
                </c:pt>
                <c:pt idx="256">
                  <c:v>1.8192816649835181E-7</c:v>
                </c:pt>
                <c:pt idx="257">
                  <c:v>6.3078274113855361E-4</c:v>
                </c:pt>
                <c:pt idx="258">
                  <c:v>1.0077273787285138E-4</c:v>
                </c:pt>
                <c:pt idx="259">
                  <c:v>8.5073862793208358E-4</c:v>
                </c:pt>
                <c:pt idx="260">
                  <c:v>5.8971136076674751E-5</c:v>
                </c:pt>
                <c:pt idx="261">
                  <c:v>8.3326283140427386E-4</c:v>
                </c:pt>
                <c:pt idx="262">
                  <c:v>1.9674980339092034E-3</c:v>
                </c:pt>
                <c:pt idx="263">
                  <c:v>2.4813602777607927E-4</c:v>
                </c:pt>
                <c:pt idx="264">
                  <c:v>1.7340277398246867E-3</c:v>
                </c:pt>
                <c:pt idx="265">
                  <c:v>8.1712338986331186E-5</c:v>
                </c:pt>
                <c:pt idx="266">
                  <c:v>2.8493018540552397E-4</c:v>
                </c:pt>
                <c:pt idx="267">
                  <c:v>3.9362088773436232E-3</c:v>
                </c:pt>
                <c:pt idx="268">
                  <c:v>9.7253797156011366E-3</c:v>
                </c:pt>
                <c:pt idx="269">
                  <c:v>7.4400837671903297E-5</c:v>
                </c:pt>
                <c:pt idx="270">
                  <c:v>1.3036241783375666E-5</c:v>
                </c:pt>
                <c:pt idx="271">
                  <c:v>3.82348029213929E-3</c:v>
                </c:pt>
                <c:pt idx="272">
                  <c:v>7.3600217544444024E-3</c:v>
                </c:pt>
                <c:pt idx="273">
                  <c:v>1.3507185613380117E-2</c:v>
                </c:pt>
                <c:pt idx="274">
                  <c:v>4.3542221406322667E-3</c:v>
                </c:pt>
                <c:pt idx="275">
                  <c:v>1.1369816866149575E-2</c:v>
                </c:pt>
                <c:pt idx="276">
                  <c:v>5.554571554096388E-4</c:v>
                </c:pt>
                <c:pt idx="277">
                  <c:v>3.2715896315122674E-7</c:v>
                </c:pt>
                <c:pt idx="278">
                  <c:v>9.5393026049185147E-4</c:v>
                </c:pt>
                <c:pt idx="279">
                  <c:v>7.5226280013667036E-3</c:v>
                </c:pt>
                <c:pt idx="280">
                  <c:v>2.8829331984404467E-3</c:v>
                </c:pt>
                <c:pt idx="281">
                  <c:v>3.3731143674384958E-3</c:v>
                </c:pt>
                <c:pt idx="282">
                  <c:v>1.3579036099850691E-3</c:v>
                </c:pt>
                <c:pt idx="283">
                  <c:v>2.6367413490506475E-3</c:v>
                </c:pt>
                <c:pt idx="284">
                  <c:v>2.5812756200590961E-3</c:v>
                </c:pt>
                <c:pt idx="285">
                  <c:v>2.370217265712132E-3</c:v>
                </c:pt>
                <c:pt idx="286">
                  <c:v>1.0193912173724559E-3</c:v>
                </c:pt>
                <c:pt idx="287">
                  <c:v>2.7125005284352605E-5</c:v>
                </c:pt>
                <c:pt idx="288">
                  <c:v>3.1801117960045242E-3</c:v>
                </c:pt>
                <c:pt idx="289">
                  <c:v>1.293002253566166E-3</c:v>
                </c:pt>
                <c:pt idx="290">
                  <c:v>2.2740583656844618E-4</c:v>
                </c:pt>
                <c:pt idx="291">
                  <c:v>3.1208813131613166E-4</c:v>
                </c:pt>
                <c:pt idx="292">
                  <c:v>5.8692470421661629E-4</c:v>
                </c:pt>
                <c:pt idx="293">
                  <c:v>8.5663255114177394E-3</c:v>
                </c:pt>
                <c:pt idx="294">
                  <c:v>4.4908750776936549E-5</c:v>
                </c:pt>
                <c:pt idx="295">
                  <c:v>3.3430031485072448E-4</c:v>
                </c:pt>
                <c:pt idx="296">
                  <c:v>2.2941891516981257E-3</c:v>
                </c:pt>
                <c:pt idx="297">
                  <c:v>2.7179456028937827E-4</c:v>
                </c:pt>
                <c:pt idx="298">
                  <c:v>2.1635245811846602E-4</c:v>
                </c:pt>
                <c:pt idx="299">
                  <c:v>6.2860466992159464E-3</c:v>
                </c:pt>
                <c:pt idx="300">
                  <c:v>6.5431503106133573E-3</c:v>
                </c:pt>
                <c:pt idx="301">
                  <c:v>2.0855291577570275E-4</c:v>
                </c:pt>
                <c:pt idx="302">
                  <c:v>1.0091989933447971E-2</c:v>
                </c:pt>
                <c:pt idx="303">
                  <c:v>6.3192329082867706E-4</c:v>
                </c:pt>
                <c:pt idx="304">
                  <c:v>1.321926831985778E-3</c:v>
                </c:pt>
                <c:pt idx="305">
                  <c:v>8.8993893524178522E-5</c:v>
                </c:pt>
                <c:pt idx="306">
                  <c:v>9.7910413829515892E-3</c:v>
                </c:pt>
                <c:pt idx="307">
                  <c:v>1.1625515480960864E-2</c:v>
                </c:pt>
                <c:pt idx="308">
                  <c:v>3.6644549050544086E-4</c:v>
                </c:pt>
                <c:pt idx="309">
                  <c:v>1.3116666064299926E-3</c:v>
                </c:pt>
                <c:pt idx="310">
                  <c:v>9.0854569129831378E-5</c:v>
                </c:pt>
                <c:pt idx="311">
                  <c:v>2.5929603784530324E-3</c:v>
                </c:pt>
                <c:pt idx="312">
                  <c:v>3.7943507873432476E-3</c:v>
                </c:pt>
                <c:pt idx="313">
                  <c:v>7.3712586997698006E-3</c:v>
                </c:pt>
                <c:pt idx="314">
                  <c:v>2.2225518853665149E-2</c:v>
                </c:pt>
                <c:pt idx="315">
                  <c:v>4.5938133914690595E-4</c:v>
                </c:pt>
                <c:pt idx="316">
                  <c:v>2.5924934821647699E-3</c:v>
                </c:pt>
                <c:pt idx="317">
                  <c:v>1.9409652460273964E-3</c:v>
                </c:pt>
                <c:pt idx="318">
                  <c:v>2.5080789491045388E-3</c:v>
                </c:pt>
                <c:pt idx="319">
                  <c:v>2.6537921553327934E-3</c:v>
                </c:pt>
                <c:pt idx="320">
                  <c:v>3.15093454241639E-2</c:v>
                </c:pt>
                <c:pt idx="321">
                  <c:v>1.4451526667439111E-3</c:v>
                </c:pt>
                <c:pt idx="322">
                  <c:v>6.1954015492519839E-3</c:v>
                </c:pt>
                <c:pt idx="323">
                  <c:v>2.0873683660506934E-2</c:v>
                </c:pt>
                <c:pt idx="324">
                  <c:v>2.4238765461914578E-2</c:v>
                </c:pt>
                <c:pt idx="325">
                  <c:v>8.5125792525218655E-3</c:v>
                </c:pt>
                <c:pt idx="326">
                  <c:v>3.039633152353527E-5</c:v>
                </c:pt>
                <c:pt idx="327">
                  <c:v>1.5138834664552027E-2</c:v>
                </c:pt>
                <c:pt idx="328">
                  <c:v>1.3629351933446498E-3</c:v>
                </c:pt>
                <c:pt idx="329">
                  <c:v>2.0426309022841115E-2</c:v>
                </c:pt>
                <c:pt idx="330">
                  <c:v>1.0666275308936506E-3</c:v>
                </c:pt>
                <c:pt idx="331">
                  <c:v>3.3725966329777569E-2</c:v>
                </c:pt>
                <c:pt idx="332">
                  <c:v>5.7449906899618801E-4</c:v>
                </c:pt>
                <c:pt idx="333">
                  <c:v>2.2025036410607351E-3</c:v>
                </c:pt>
                <c:pt idx="334">
                  <c:v>1.2221021344029676E-3</c:v>
                </c:pt>
                <c:pt idx="335">
                  <c:v>1.0261645662393811E-3</c:v>
                </c:pt>
                <c:pt idx="336">
                  <c:v>2.0445968935016256E-3</c:v>
                </c:pt>
                <c:pt idx="337">
                  <c:v>5.4963222423871716E-3</c:v>
                </c:pt>
                <c:pt idx="338">
                  <c:v>1.4363995595846524E-5</c:v>
                </c:pt>
                <c:pt idx="339">
                  <c:v>3.7984921914540042E-3</c:v>
                </c:pt>
                <c:pt idx="340">
                  <c:v>1.3865269089159294E-2</c:v>
                </c:pt>
                <c:pt idx="341">
                  <c:v>2.5143442298405874E-5</c:v>
                </c:pt>
                <c:pt idx="342">
                  <c:v>5.8371953236483929E-4</c:v>
                </c:pt>
                <c:pt idx="343">
                  <c:v>2.1699524290074851E-3</c:v>
                </c:pt>
                <c:pt idx="344">
                  <c:v>4.116040412638031E-3</c:v>
                </c:pt>
                <c:pt idx="345">
                  <c:v>2.0974923110871813E-7</c:v>
                </c:pt>
                <c:pt idx="346">
                  <c:v>4.2137008791074673E-3</c:v>
                </c:pt>
                <c:pt idx="347">
                  <c:v>2.1614175219013408E-3</c:v>
                </c:pt>
                <c:pt idx="348">
                  <c:v>1.3799396962002863E-5</c:v>
                </c:pt>
                <c:pt idx="349">
                  <c:v>6.139871656803071E-6</c:v>
                </c:pt>
                <c:pt idx="350">
                  <c:v>1.9321108768245843E-4</c:v>
                </c:pt>
                <c:pt idx="351">
                  <c:v>1.5831434276901405E-5</c:v>
                </c:pt>
                <c:pt idx="352">
                  <c:v>1.8833516818890638E-3</c:v>
                </c:pt>
                <c:pt idx="353">
                  <c:v>2.3559477951897646E-4</c:v>
                </c:pt>
                <c:pt idx="354">
                  <c:v>1.6001116978650619E-4</c:v>
                </c:pt>
                <c:pt idx="355">
                  <c:v>3.4755931599012601E-3</c:v>
                </c:pt>
                <c:pt idx="356">
                  <c:v>3.6816435904012163E-3</c:v>
                </c:pt>
                <c:pt idx="357">
                  <c:v>6.3685165871422587E-3</c:v>
                </c:pt>
                <c:pt idx="358">
                  <c:v>8.3750582565429374E-4</c:v>
                </c:pt>
                <c:pt idx="359">
                  <c:v>4.8578202243035259E-3</c:v>
                </c:pt>
                <c:pt idx="360">
                  <c:v>1.0279387077060673E-2</c:v>
                </c:pt>
                <c:pt idx="361">
                  <c:v>1.4946822807055435E-2</c:v>
                </c:pt>
                <c:pt idx="362">
                  <c:v>1.2464009927449355E-3</c:v>
                </c:pt>
                <c:pt idx="363">
                  <c:v>2.2981735940034421E-3</c:v>
                </c:pt>
                <c:pt idx="364">
                  <c:v>1.7811442916589129E-3</c:v>
                </c:pt>
                <c:pt idx="365">
                  <c:v>6.4192953679570602E-5</c:v>
                </c:pt>
                <c:pt idx="366">
                  <c:v>7.3928958454275065E-4</c:v>
                </c:pt>
                <c:pt idx="367">
                  <c:v>1.5930214168418636E-3</c:v>
                </c:pt>
                <c:pt idx="368">
                  <c:v>5.7133387015121549E-3</c:v>
                </c:pt>
                <c:pt idx="369">
                  <c:v>5.3534806589597182E-5</c:v>
                </c:pt>
                <c:pt idx="370">
                  <c:v>5.6798869237323054E-4</c:v>
                </c:pt>
                <c:pt idx="371">
                  <c:v>6.8871388294999497E-3</c:v>
                </c:pt>
                <c:pt idx="372">
                  <c:v>6.1900720136637459E-3</c:v>
                </c:pt>
                <c:pt idx="373">
                  <c:v>2.3252585222383799E-3</c:v>
                </c:pt>
                <c:pt idx="374">
                  <c:v>5.9691306285993917E-4</c:v>
                </c:pt>
                <c:pt idx="375">
                  <c:v>6.0027357340987581E-4</c:v>
                </c:pt>
                <c:pt idx="376">
                  <c:v>6.3705487945309484E-5</c:v>
                </c:pt>
                <c:pt idx="377">
                  <c:v>1.2473156859063533E-3</c:v>
                </c:pt>
                <c:pt idx="378">
                  <c:v>4.4510051121384583E-3</c:v>
                </c:pt>
                <c:pt idx="379">
                  <c:v>1.4421360839352399E-3</c:v>
                </c:pt>
                <c:pt idx="380">
                  <c:v>2.5357816141103485E-3</c:v>
                </c:pt>
                <c:pt idx="381">
                  <c:v>2.4396798261845754E-2</c:v>
                </c:pt>
                <c:pt idx="382">
                  <c:v>4.5320589621589561E-3</c:v>
                </c:pt>
                <c:pt idx="383">
                  <c:v>1.1725485358042674E-2</c:v>
                </c:pt>
                <c:pt idx="384">
                  <c:v>2.7494206600979796E-6</c:v>
                </c:pt>
                <c:pt idx="385">
                  <c:v>4.9770355711066484E-3</c:v>
                </c:pt>
                <c:pt idx="386">
                  <c:v>5.4855298049971441E-4</c:v>
                </c:pt>
                <c:pt idx="387">
                  <c:v>1.3562994941526377E-3</c:v>
                </c:pt>
                <c:pt idx="388">
                  <c:v>2.7739153271081122E-2</c:v>
                </c:pt>
                <c:pt idx="389">
                  <c:v>1.7970117380839021E-6</c:v>
                </c:pt>
                <c:pt idx="390">
                  <c:v>1.3108660454863956E-3</c:v>
                </c:pt>
                <c:pt idx="391">
                  <c:v>3.4972597563339894E-4</c:v>
                </c:pt>
              </c:numCache>
            </c:numRef>
          </c:val>
          <c:extLst>
            <c:ext xmlns:c16="http://schemas.microsoft.com/office/drawing/2014/chart" uri="{C3380CC4-5D6E-409C-BE32-E72D297353CC}">
              <c16:uniqueId val="{00000001-B9F9-452F-A4E7-3374B17BEC1B}"/>
            </c:ext>
          </c:extLst>
        </c:ser>
        <c:dLbls>
          <c:showLegendKey val="0"/>
          <c:showVal val="0"/>
          <c:showCatName val="0"/>
          <c:showSerName val="0"/>
          <c:showPercent val="0"/>
          <c:showBubbleSize val="0"/>
        </c:dLbls>
        <c:gapWidth val="150"/>
        <c:axId val="193258704"/>
        <c:axId val="193252944"/>
      </c:barChart>
      <c:catAx>
        <c:axId val="193258704"/>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93252944"/>
        <c:crosses val="autoZero"/>
        <c:auto val="1"/>
        <c:lblAlgn val="ctr"/>
        <c:lblOffset val="100"/>
        <c:noMultiLvlLbl val="0"/>
      </c:catAx>
      <c:valAx>
        <c:axId val="193252944"/>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crossAx val="193258704"/>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392"/>
                <c:pt idx="0">
                  <c:v>4.0149898039742712E-2</c:v>
                </c:pt>
                <c:pt idx="1">
                  <c:v>3.5578253857220465E-2</c:v>
                </c:pt>
                <c:pt idx="2">
                  <c:v>3.544727708510214E-2</c:v>
                </c:pt>
                <c:pt idx="3">
                  <c:v>3.5454383105468154E-2</c:v>
                </c:pt>
                <c:pt idx="4">
                  <c:v>3.6442373899522942E-2</c:v>
                </c:pt>
                <c:pt idx="5">
                  <c:v>4.0424192049078454E-2</c:v>
                </c:pt>
                <c:pt idx="6">
                  <c:v>5.06033843960692E-2</c:v>
                </c:pt>
                <c:pt idx="7">
                  <c:v>4.8040491817131714E-2</c:v>
                </c:pt>
                <c:pt idx="8">
                  <c:v>5.289737556784635E-2</c:v>
                </c:pt>
                <c:pt idx="9">
                  <c:v>4.1320146299641203E-2</c:v>
                </c:pt>
                <c:pt idx="10">
                  <c:v>3.7522532485470203E-2</c:v>
                </c:pt>
                <c:pt idx="11">
                  <c:v>3.5380032445534837E-2</c:v>
                </c:pt>
                <c:pt idx="12">
                  <c:v>3.6838396596956563E-2</c:v>
                </c:pt>
                <c:pt idx="13">
                  <c:v>0.11212017961465826</c:v>
                </c:pt>
                <c:pt idx="14">
                  <c:v>5.4985468923604626E-2</c:v>
                </c:pt>
                <c:pt idx="15">
                  <c:v>4.8771107501306837E-2</c:v>
                </c:pt>
                <c:pt idx="16">
                  <c:v>4.6950104277249452E-2</c:v>
                </c:pt>
                <c:pt idx="17">
                  <c:v>5.1942024882097634E-2</c:v>
                </c:pt>
                <c:pt idx="18">
                  <c:v>5.500992278908777E-2</c:v>
                </c:pt>
                <c:pt idx="19">
                  <c:v>6.8142656866106821E-2</c:v>
                </c:pt>
                <c:pt idx="20">
                  <c:v>5.7444350257130912E-2</c:v>
                </c:pt>
                <c:pt idx="21">
                  <c:v>5.1568524658183866E-2</c:v>
                </c:pt>
                <c:pt idx="22">
                  <c:v>4.9464537797579783E-2</c:v>
                </c:pt>
                <c:pt idx="23">
                  <c:v>4.9413009365655493E-2</c:v>
                </c:pt>
                <c:pt idx="24">
                  <c:v>4.9584288806374915E-2</c:v>
                </c:pt>
                <c:pt idx="25">
                  <c:v>4.555343744216208E-2</c:v>
                </c:pt>
                <c:pt idx="26">
                  <c:v>4.0933470674793832E-2</c:v>
                </c:pt>
                <c:pt idx="27">
                  <c:v>4.4587292508687537E-2</c:v>
                </c:pt>
                <c:pt idx="28">
                  <c:v>4.3597810529259637E-2</c:v>
                </c:pt>
                <c:pt idx="29">
                  <c:v>5.0482475252271307E-2</c:v>
                </c:pt>
                <c:pt idx="30">
                  <c:v>4.6906901296231492E-2</c:v>
                </c:pt>
                <c:pt idx="31">
                  <c:v>5.0935386039696225E-2</c:v>
                </c:pt>
                <c:pt idx="32">
                  <c:v>4.191736446345834E-2</c:v>
                </c:pt>
                <c:pt idx="33">
                  <c:v>4.0762584893143869E-2</c:v>
                </c:pt>
                <c:pt idx="34">
                  <c:v>4.0942536286414422E-2</c:v>
                </c:pt>
                <c:pt idx="35">
                  <c:v>4.5737615254886684E-2</c:v>
                </c:pt>
                <c:pt idx="36">
                  <c:v>4.0456485018906037E-2</c:v>
                </c:pt>
                <c:pt idx="37">
                  <c:v>4.4909693460538441E-2</c:v>
                </c:pt>
                <c:pt idx="38">
                  <c:v>4.823645439040921E-2</c:v>
                </c:pt>
                <c:pt idx="39">
                  <c:v>4.2572422246359702E-2</c:v>
                </c:pt>
                <c:pt idx="40">
                  <c:v>4.1929569462095875E-2</c:v>
                </c:pt>
                <c:pt idx="41">
                  <c:v>5.4827297260499751E-2</c:v>
                </c:pt>
                <c:pt idx="42">
                  <c:v>5.0818250261889589E-2</c:v>
                </c:pt>
                <c:pt idx="43">
                  <c:v>6.0087439699154734E-2</c:v>
                </c:pt>
                <c:pt idx="44">
                  <c:v>3.9345147076828305E-2</c:v>
                </c:pt>
                <c:pt idx="45">
                  <c:v>4.4387571078158938E-2</c:v>
                </c:pt>
                <c:pt idx="46">
                  <c:v>4.0391072118825311E-2</c:v>
                </c:pt>
                <c:pt idx="47">
                  <c:v>4.2955679782943339E-2</c:v>
                </c:pt>
                <c:pt idx="48">
                  <c:v>4.6967075740257949E-2</c:v>
                </c:pt>
                <c:pt idx="49">
                  <c:v>5.449171951299548E-2</c:v>
                </c:pt>
                <c:pt idx="50">
                  <c:v>5.0904856771056904E-2</c:v>
                </c:pt>
                <c:pt idx="51">
                  <c:v>5.1536941571397599E-2</c:v>
                </c:pt>
                <c:pt idx="52">
                  <c:v>5.1440861703403819E-2</c:v>
                </c:pt>
                <c:pt idx="53">
                  <c:v>5.3281992204502832E-2</c:v>
                </c:pt>
                <c:pt idx="54">
                  <c:v>5.2154473018058492E-2</c:v>
                </c:pt>
                <c:pt idx="55">
                  <c:v>5.020012623225277E-2</c:v>
                </c:pt>
                <c:pt idx="56">
                  <c:v>4.8126729869478052E-2</c:v>
                </c:pt>
                <c:pt idx="57">
                  <c:v>5.0955596766720637E-2</c:v>
                </c:pt>
                <c:pt idx="58">
                  <c:v>5.5489928772256683E-2</c:v>
                </c:pt>
                <c:pt idx="59">
                  <c:v>4.6183029585202262E-2</c:v>
                </c:pt>
                <c:pt idx="60">
                  <c:v>4.9361534973906149E-2</c:v>
                </c:pt>
                <c:pt idx="61">
                  <c:v>4.0564604334394565E-2</c:v>
                </c:pt>
                <c:pt idx="62">
                  <c:v>4.2648578571305454E-2</c:v>
                </c:pt>
                <c:pt idx="63">
                  <c:v>3.9159162685000984E-2</c:v>
                </c:pt>
                <c:pt idx="64">
                  <c:v>3.9029459660414455E-2</c:v>
                </c:pt>
                <c:pt idx="65">
                  <c:v>3.9309167670658687E-2</c:v>
                </c:pt>
                <c:pt idx="66">
                  <c:v>5.6427203997578348E-2</c:v>
                </c:pt>
                <c:pt idx="67">
                  <c:v>4.3819711275624805E-2</c:v>
                </c:pt>
                <c:pt idx="68">
                  <c:v>4.2181857106601744E-2</c:v>
                </c:pt>
                <c:pt idx="69">
                  <c:v>4.8030921024309267E-2</c:v>
                </c:pt>
                <c:pt idx="70">
                  <c:v>4.7965750122984194E-2</c:v>
                </c:pt>
                <c:pt idx="71">
                  <c:v>3.8154178376464482E-2</c:v>
                </c:pt>
                <c:pt idx="72">
                  <c:v>4.3315666055295014E-2</c:v>
                </c:pt>
                <c:pt idx="73">
                  <c:v>4.3819711639490888E-2</c:v>
                </c:pt>
                <c:pt idx="74">
                  <c:v>3.8701777045903135E-2</c:v>
                </c:pt>
                <c:pt idx="75">
                  <c:v>4.8872568958417628E-2</c:v>
                </c:pt>
                <c:pt idx="76">
                  <c:v>4.9964816969672178E-2</c:v>
                </c:pt>
                <c:pt idx="77">
                  <c:v>5.2861452611514759E-2</c:v>
                </c:pt>
                <c:pt idx="78">
                  <c:v>5.0003897923478334E-2</c:v>
                </c:pt>
                <c:pt idx="79">
                  <c:v>4.6305603284802689E-2</c:v>
                </c:pt>
                <c:pt idx="80">
                  <c:v>4.7941782778914838E-2</c:v>
                </c:pt>
                <c:pt idx="81">
                  <c:v>4.7582585184613557E-2</c:v>
                </c:pt>
                <c:pt idx="82">
                  <c:v>5.0180308887671457E-2</c:v>
                </c:pt>
                <c:pt idx="83">
                  <c:v>4.8924810565100035E-2</c:v>
                </c:pt>
                <c:pt idx="84">
                  <c:v>3.0545392578793702E-2</c:v>
                </c:pt>
                <c:pt idx="85">
                  <c:v>2.7011897802173286E-2</c:v>
                </c:pt>
                <c:pt idx="86">
                  <c:v>2.6908924211681864E-2</c:v>
                </c:pt>
                <c:pt idx="87">
                  <c:v>2.9356198266036936E-2</c:v>
                </c:pt>
                <c:pt idx="88">
                  <c:v>2.6400911104933651E-2</c:v>
                </c:pt>
                <c:pt idx="89">
                  <c:v>3.6900707411663854E-2</c:v>
                </c:pt>
                <c:pt idx="90">
                  <c:v>3.3433098722742464E-2</c:v>
                </c:pt>
                <c:pt idx="91">
                  <c:v>2.9386956950390283E-2</c:v>
                </c:pt>
                <c:pt idx="92">
                  <c:v>2.8992761758663662E-2</c:v>
                </c:pt>
                <c:pt idx="93">
                  <c:v>4.4576013536879955E-2</c:v>
                </c:pt>
                <c:pt idx="94">
                  <c:v>4.8930221945562402E-2</c:v>
                </c:pt>
                <c:pt idx="95">
                  <c:v>3.4602713165386392E-2</c:v>
                </c:pt>
                <c:pt idx="96">
                  <c:v>2.9715993614829329E-2</c:v>
                </c:pt>
                <c:pt idx="97">
                  <c:v>3.2731352743501085E-2</c:v>
                </c:pt>
                <c:pt idx="98">
                  <c:v>3.0762850246968274E-2</c:v>
                </c:pt>
                <c:pt idx="99">
                  <c:v>3.555927772974711E-2</c:v>
                </c:pt>
                <c:pt idx="100">
                  <c:v>3.2044006496219003E-2</c:v>
                </c:pt>
                <c:pt idx="101">
                  <c:v>4.82846795760953E-2</c:v>
                </c:pt>
                <c:pt idx="102">
                  <c:v>5.2070654020607954E-2</c:v>
                </c:pt>
                <c:pt idx="103">
                  <c:v>3.8934703793749185E-2</c:v>
                </c:pt>
                <c:pt idx="104">
                  <c:v>3.2267405941791262E-2</c:v>
                </c:pt>
                <c:pt idx="105">
                  <c:v>3.0849747810184097E-2</c:v>
                </c:pt>
                <c:pt idx="106">
                  <c:v>3.1387057487757122E-2</c:v>
                </c:pt>
                <c:pt idx="107">
                  <c:v>4.0511183142984852E-2</c:v>
                </c:pt>
                <c:pt idx="108">
                  <c:v>3.9879400767104112E-2</c:v>
                </c:pt>
                <c:pt idx="109">
                  <c:v>3.9858734662671765E-2</c:v>
                </c:pt>
                <c:pt idx="110">
                  <c:v>4.0908895826768821E-2</c:v>
                </c:pt>
                <c:pt idx="111">
                  <c:v>3.8026724320240998E-2</c:v>
                </c:pt>
                <c:pt idx="112">
                  <c:v>3.7015208274130587E-2</c:v>
                </c:pt>
                <c:pt idx="113">
                  <c:v>3.9273864426025186E-2</c:v>
                </c:pt>
                <c:pt idx="114">
                  <c:v>2.7889153949757169E-2</c:v>
                </c:pt>
                <c:pt idx="115">
                  <c:v>7.1718533906216811E-2</c:v>
                </c:pt>
                <c:pt idx="116">
                  <c:v>4.6372217608839764E-2</c:v>
                </c:pt>
                <c:pt idx="117">
                  <c:v>4.0000191815181163E-2</c:v>
                </c:pt>
                <c:pt idx="118">
                  <c:v>3.8053482923466157E-2</c:v>
                </c:pt>
                <c:pt idx="119">
                  <c:v>3.7880044790532516E-2</c:v>
                </c:pt>
                <c:pt idx="120">
                  <c:v>3.0692356983148206E-2</c:v>
                </c:pt>
                <c:pt idx="121">
                  <c:v>3.8645493093118273E-2</c:v>
                </c:pt>
                <c:pt idx="122">
                  <c:v>3.9776770121747615E-2</c:v>
                </c:pt>
                <c:pt idx="123">
                  <c:v>4.1951063219862861E-2</c:v>
                </c:pt>
                <c:pt idx="124">
                  <c:v>4.1681720845725932E-2</c:v>
                </c:pt>
                <c:pt idx="125">
                  <c:v>4.2615099595863994E-2</c:v>
                </c:pt>
                <c:pt idx="126">
                  <c:v>4.1929203309126292E-2</c:v>
                </c:pt>
                <c:pt idx="127">
                  <c:v>4.9596337656819589E-2</c:v>
                </c:pt>
                <c:pt idx="128">
                  <c:v>4.6095974662596628E-2</c:v>
                </c:pt>
                <c:pt idx="129">
                  <c:v>5.0280943298176659E-2</c:v>
                </c:pt>
                <c:pt idx="130">
                  <c:v>4.5195292486137718E-2</c:v>
                </c:pt>
                <c:pt idx="131">
                  <c:v>4.9165845778550536E-2</c:v>
                </c:pt>
                <c:pt idx="132">
                  <c:v>4.2735154312296256E-2</c:v>
                </c:pt>
                <c:pt idx="133">
                  <c:v>4.3763467871605982E-2</c:v>
                </c:pt>
                <c:pt idx="134">
                  <c:v>4.5049751282210976E-2</c:v>
                </c:pt>
                <c:pt idx="135">
                  <c:v>5.4033117323552447E-2</c:v>
                </c:pt>
                <c:pt idx="136">
                  <c:v>4.8948096978339982E-2</c:v>
                </c:pt>
                <c:pt idx="137">
                  <c:v>5.5331075663275053E-2</c:v>
                </c:pt>
                <c:pt idx="138">
                  <c:v>4.6537598510259667E-2</c:v>
                </c:pt>
                <c:pt idx="139">
                  <c:v>5.2132625039320535E-2</c:v>
                </c:pt>
                <c:pt idx="140">
                  <c:v>5.1447023247990428E-2</c:v>
                </c:pt>
                <c:pt idx="141">
                  <c:v>5.0020849802743281E-2</c:v>
                </c:pt>
                <c:pt idx="142">
                  <c:v>5.1522121063569348E-2</c:v>
                </c:pt>
                <c:pt idx="143">
                  <c:v>4.9821646072405697E-2</c:v>
                </c:pt>
                <c:pt idx="144">
                  <c:v>5.1496745076147737E-2</c:v>
                </c:pt>
                <c:pt idx="145">
                  <c:v>5.1365356097886755E-2</c:v>
                </c:pt>
                <c:pt idx="146">
                  <c:v>4.9948811373861986E-2</c:v>
                </c:pt>
                <c:pt idx="147">
                  <c:v>5.0141769981706191E-2</c:v>
                </c:pt>
                <c:pt idx="148">
                  <c:v>4.9910696077755418E-2</c:v>
                </c:pt>
                <c:pt idx="149">
                  <c:v>5.0990530009204407E-2</c:v>
                </c:pt>
                <c:pt idx="150">
                  <c:v>3.5744143139369688E-2</c:v>
                </c:pt>
                <c:pt idx="151">
                  <c:v>3.5035103649927804E-2</c:v>
                </c:pt>
                <c:pt idx="152">
                  <c:v>4.8468447253223537E-2</c:v>
                </c:pt>
                <c:pt idx="153">
                  <c:v>4.2657409017414785E-2</c:v>
                </c:pt>
                <c:pt idx="154">
                  <c:v>4.4820942448239504E-2</c:v>
                </c:pt>
                <c:pt idx="155">
                  <c:v>4.0295891210602994E-2</c:v>
                </c:pt>
                <c:pt idx="156">
                  <c:v>4.0897736141287097E-2</c:v>
                </c:pt>
                <c:pt idx="157">
                  <c:v>4.3754708256543616E-2</c:v>
                </c:pt>
                <c:pt idx="158">
                  <c:v>3.8802549304697481E-2</c:v>
                </c:pt>
                <c:pt idx="159">
                  <c:v>4.0550061485985292E-2</c:v>
                </c:pt>
                <c:pt idx="160">
                  <c:v>3.6213181908382241E-2</c:v>
                </c:pt>
                <c:pt idx="161">
                  <c:v>4.2873777663927831E-2</c:v>
                </c:pt>
                <c:pt idx="162">
                  <c:v>3.8262991290562112E-2</c:v>
                </c:pt>
                <c:pt idx="163">
                  <c:v>3.5845191221584354E-2</c:v>
                </c:pt>
                <c:pt idx="164">
                  <c:v>4.356645192543078E-2</c:v>
                </c:pt>
                <c:pt idx="165">
                  <c:v>4.7178286413457796E-2</c:v>
                </c:pt>
                <c:pt idx="166">
                  <c:v>3.954911822070889E-2</c:v>
                </c:pt>
                <c:pt idx="167">
                  <c:v>3.7843962917676083E-2</c:v>
                </c:pt>
                <c:pt idx="168">
                  <c:v>3.9967778821523789E-2</c:v>
                </c:pt>
                <c:pt idx="169">
                  <c:v>4.7066803238434395E-2</c:v>
                </c:pt>
                <c:pt idx="170">
                  <c:v>4.6422402489413622E-2</c:v>
                </c:pt>
                <c:pt idx="171">
                  <c:v>4.7916183652933153E-2</c:v>
                </c:pt>
                <c:pt idx="172">
                  <c:v>3.6582858116322642E-2</c:v>
                </c:pt>
                <c:pt idx="173">
                  <c:v>5.0674058742774086E-2</c:v>
                </c:pt>
                <c:pt idx="174">
                  <c:v>3.6491848307314473E-2</c:v>
                </c:pt>
                <c:pt idx="175">
                  <c:v>4.7178576518786153E-2</c:v>
                </c:pt>
                <c:pt idx="176">
                  <c:v>4.6145599109593816E-2</c:v>
                </c:pt>
                <c:pt idx="177">
                  <c:v>4.6614506585768878E-2</c:v>
                </c:pt>
                <c:pt idx="178">
                  <c:v>5.710316922230408E-2</c:v>
                </c:pt>
                <c:pt idx="179">
                  <c:v>4.9364660077821906E-2</c:v>
                </c:pt>
                <c:pt idx="180">
                  <c:v>4.1153887070672052E-2</c:v>
                </c:pt>
                <c:pt idx="181">
                  <c:v>4.2581826113320745E-2</c:v>
                </c:pt>
                <c:pt idx="182">
                  <c:v>3.6756720464821695E-2</c:v>
                </c:pt>
                <c:pt idx="183">
                  <c:v>4.0625422118048538E-2</c:v>
                </c:pt>
                <c:pt idx="184">
                  <c:v>4.346062388607623E-2</c:v>
                </c:pt>
                <c:pt idx="185">
                  <c:v>3.5065516812038691E-2</c:v>
                </c:pt>
                <c:pt idx="186">
                  <c:v>3.5191794672888514E-2</c:v>
                </c:pt>
                <c:pt idx="187">
                  <c:v>3.4710340110544448E-2</c:v>
                </c:pt>
                <c:pt idx="188">
                  <c:v>3.5592867582381046E-2</c:v>
                </c:pt>
                <c:pt idx="189">
                  <c:v>3.160787198798605E-2</c:v>
                </c:pt>
                <c:pt idx="190">
                  <c:v>3.1358116348539328E-2</c:v>
                </c:pt>
                <c:pt idx="191">
                  <c:v>3.4789421341587488E-2</c:v>
                </c:pt>
                <c:pt idx="192">
                  <c:v>3.2808881221181335E-2</c:v>
                </c:pt>
                <c:pt idx="193">
                  <c:v>4.3907903822605877E-2</c:v>
                </c:pt>
                <c:pt idx="194">
                  <c:v>4.1334985344032273E-2</c:v>
                </c:pt>
                <c:pt idx="195">
                  <c:v>4.3934576924847632E-2</c:v>
                </c:pt>
                <c:pt idx="196">
                  <c:v>4.5682451098333951E-2</c:v>
                </c:pt>
                <c:pt idx="197">
                  <c:v>3.6041566214087571E-2</c:v>
                </c:pt>
                <c:pt idx="198">
                  <c:v>4.7455102359536844E-2</c:v>
                </c:pt>
                <c:pt idx="199">
                  <c:v>3.2675410542189282E-2</c:v>
                </c:pt>
                <c:pt idx="200">
                  <c:v>3.2246727730245575E-2</c:v>
                </c:pt>
                <c:pt idx="201">
                  <c:v>4.6489794191789988E-2</c:v>
                </c:pt>
                <c:pt idx="202">
                  <c:v>4.4040272230168286E-2</c:v>
                </c:pt>
                <c:pt idx="203">
                  <c:v>4.3350610044236106E-2</c:v>
                </c:pt>
                <c:pt idx="204">
                  <c:v>3.6411444622850599E-2</c:v>
                </c:pt>
                <c:pt idx="205">
                  <c:v>4.3042025864849121E-2</c:v>
                </c:pt>
                <c:pt idx="206">
                  <c:v>3.5371291299942174E-2</c:v>
                </c:pt>
                <c:pt idx="207">
                  <c:v>4.7441901732412667E-2</c:v>
                </c:pt>
                <c:pt idx="208">
                  <c:v>4.5101384794468513E-2</c:v>
                </c:pt>
                <c:pt idx="209">
                  <c:v>5.2143200958480601E-2</c:v>
                </c:pt>
                <c:pt idx="210">
                  <c:v>4.5377289279871266E-2</c:v>
                </c:pt>
                <c:pt idx="211">
                  <c:v>3.4025124972775246E-2</c:v>
                </c:pt>
                <c:pt idx="212">
                  <c:v>3.2249410702291821E-2</c:v>
                </c:pt>
                <c:pt idx="213">
                  <c:v>3.7135465112778585E-2</c:v>
                </c:pt>
                <c:pt idx="214">
                  <c:v>4.7573961811810617E-2</c:v>
                </c:pt>
                <c:pt idx="215">
                  <c:v>4.7111530230497523E-2</c:v>
                </c:pt>
                <c:pt idx="216">
                  <c:v>5.1189340081255086E-2</c:v>
                </c:pt>
                <c:pt idx="217">
                  <c:v>4.785764586470026E-2</c:v>
                </c:pt>
                <c:pt idx="218">
                  <c:v>4.7431289784227629E-2</c:v>
                </c:pt>
                <c:pt idx="219">
                  <c:v>3.9585539885507781E-2</c:v>
                </c:pt>
                <c:pt idx="220">
                  <c:v>5.1387654780163793E-2</c:v>
                </c:pt>
                <c:pt idx="221">
                  <c:v>4.1156840419458635E-2</c:v>
                </c:pt>
                <c:pt idx="222">
                  <c:v>4.7817128542920896E-2</c:v>
                </c:pt>
                <c:pt idx="223">
                  <c:v>3.9112251127676537E-2</c:v>
                </c:pt>
                <c:pt idx="224">
                  <c:v>3.9342493844487063E-2</c:v>
                </c:pt>
                <c:pt idx="225">
                  <c:v>4.4967132968366137E-2</c:v>
                </c:pt>
                <c:pt idx="226">
                  <c:v>4.3655720287064423E-2</c:v>
                </c:pt>
                <c:pt idx="227">
                  <c:v>5.0579331159943092E-2</c:v>
                </c:pt>
                <c:pt idx="228">
                  <c:v>4.6052506658355107E-2</c:v>
                </c:pt>
                <c:pt idx="229">
                  <c:v>5.5585416560546566E-2</c:v>
                </c:pt>
                <c:pt idx="230">
                  <c:v>4.3566983395152976E-2</c:v>
                </c:pt>
                <c:pt idx="231">
                  <c:v>5.2926272357712405E-2</c:v>
                </c:pt>
                <c:pt idx="232">
                  <c:v>3.994693025429432E-2</c:v>
                </c:pt>
                <c:pt idx="233">
                  <c:v>4.7359583478988998E-2</c:v>
                </c:pt>
                <c:pt idx="234">
                  <c:v>3.9787848643024398E-2</c:v>
                </c:pt>
                <c:pt idx="235">
                  <c:v>4.819111750898996E-2</c:v>
                </c:pt>
                <c:pt idx="236">
                  <c:v>4.9737029725843082E-2</c:v>
                </c:pt>
                <c:pt idx="237">
                  <c:v>4.7623568685319639E-2</c:v>
                </c:pt>
                <c:pt idx="238">
                  <c:v>4.9776381999582196E-2</c:v>
                </c:pt>
                <c:pt idx="239">
                  <c:v>4.8760621712988686E-2</c:v>
                </c:pt>
                <c:pt idx="240">
                  <c:v>5.436441841056433E-2</c:v>
                </c:pt>
                <c:pt idx="241">
                  <c:v>4.8259727863398487E-2</c:v>
                </c:pt>
                <c:pt idx="242">
                  <c:v>4.328242942715247E-2</c:v>
                </c:pt>
                <c:pt idx="243">
                  <c:v>4.3604262924426519E-2</c:v>
                </c:pt>
                <c:pt idx="244">
                  <c:v>4.2998995586674166E-2</c:v>
                </c:pt>
                <c:pt idx="245">
                  <c:v>3.8875196033690357E-2</c:v>
                </c:pt>
                <c:pt idx="246">
                  <c:v>3.9773709330845904E-2</c:v>
                </c:pt>
                <c:pt idx="247">
                  <c:v>3.0148411795750247E-2</c:v>
                </c:pt>
                <c:pt idx="248">
                  <c:v>3.178470022069662E-2</c:v>
                </c:pt>
                <c:pt idx="249">
                  <c:v>3.2108495315757435E-2</c:v>
                </c:pt>
                <c:pt idx="250">
                  <c:v>3.3408847537727701E-2</c:v>
                </c:pt>
                <c:pt idx="251">
                  <c:v>3.1552376124896572E-2</c:v>
                </c:pt>
                <c:pt idx="252">
                  <c:v>3.2831438900878064E-2</c:v>
                </c:pt>
                <c:pt idx="253">
                  <c:v>3.1566385285221488E-2</c:v>
                </c:pt>
                <c:pt idx="254">
                  <c:v>3.346812475978507E-2</c:v>
                </c:pt>
                <c:pt idx="255">
                  <c:v>3.3909202683638534E-2</c:v>
                </c:pt>
                <c:pt idx="256">
                  <c:v>3.1231166756803236E-2</c:v>
                </c:pt>
                <c:pt idx="257">
                  <c:v>3.3970051110541299E-2</c:v>
                </c:pt>
                <c:pt idx="258">
                  <c:v>3.3160023066221379E-2</c:v>
                </c:pt>
                <c:pt idx="259">
                  <c:v>2.9749884328060083E-2</c:v>
                </c:pt>
                <c:pt idx="260">
                  <c:v>3.6040940985146035E-2</c:v>
                </c:pt>
                <c:pt idx="261">
                  <c:v>4.9070502455294485E-2</c:v>
                </c:pt>
                <c:pt idx="262">
                  <c:v>3.709622019708321E-2</c:v>
                </c:pt>
                <c:pt idx="263">
                  <c:v>3.4091253908339975E-2</c:v>
                </c:pt>
                <c:pt idx="264">
                  <c:v>3.7268324735451781E-2</c:v>
                </c:pt>
                <c:pt idx="265">
                  <c:v>3.9123709977541422E-2</c:v>
                </c:pt>
                <c:pt idx="266">
                  <c:v>3.9715916765860712E-2</c:v>
                </c:pt>
                <c:pt idx="267">
                  <c:v>3.6193310154119737E-2</c:v>
                </c:pt>
                <c:pt idx="268">
                  <c:v>3.8958920979371738E-2</c:v>
                </c:pt>
                <c:pt idx="269">
                  <c:v>3.2478881764690826E-2</c:v>
                </c:pt>
                <c:pt idx="270">
                  <c:v>3.2118027257318535E-2</c:v>
                </c:pt>
                <c:pt idx="271">
                  <c:v>3.9159228669036018E-2</c:v>
                </c:pt>
                <c:pt idx="272">
                  <c:v>4.2709716114289656E-2</c:v>
                </c:pt>
                <c:pt idx="273">
                  <c:v>4.7833954880443952E-2</c:v>
                </c:pt>
                <c:pt idx="274">
                  <c:v>4.6087575958202467E-2</c:v>
                </c:pt>
                <c:pt idx="275">
                  <c:v>5.043360549725516E-2</c:v>
                </c:pt>
                <c:pt idx="276">
                  <c:v>4.1544941705203252E-2</c:v>
                </c:pt>
                <c:pt idx="277">
                  <c:v>3.9538758919076308E-2</c:v>
                </c:pt>
                <c:pt idx="278">
                  <c:v>3.5500114423946384E-2</c:v>
                </c:pt>
                <c:pt idx="279">
                  <c:v>3.7172012207959147E-2</c:v>
                </c:pt>
                <c:pt idx="280">
                  <c:v>3.6285933243070397E-2</c:v>
                </c:pt>
                <c:pt idx="281">
                  <c:v>3.8402931379088082E-2</c:v>
                </c:pt>
                <c:pt idx="282">
                  <c:v>3.5147809350873319E-2</c:v>
                </c:pt>
                <c:pt idx="283">
                  <c:v>3.7166475367221098E-2</c:v>
                </c:pt>
                <c:pt idx="284">
                  <c:v>3.6470607710320332E-2</c:v>
                </c:pt>
                <c:pt idx="285">
                  <c:v>3.817082165897303E-2</c:v>
                </c:pt>
                <c:pt idx="286">
                  <c:v>3.729938476841653E-2</c:v>
                </c:pt>
                <c:pt idx="287">
                  <c:v>4.2876541042037711E-2</c:v>
                </c:pt>
                <c:pt idx="288">
                  <c:v>3.9116018286594958E-2</c:v>
                </c:pt>
                <c:pt idx="289">
                  <c:v>3.5888049414081927E-2</c:v>
                </c:pt>
                <c:pt idx="290">
                  <c:v>4.0258569851032787E-2</c:v>
                </c:pt>
                <c:pt idx="291">
                  <c:v>5.1336358751507848E-2</c:v>
                </c:pt>
                <c:pt idx="292">
                  <c:v>5.0233601015170125E-2</c:v>
                </c:pt>
                <c:pt idx="293">
                  <c:v>5.139009608550018E-2</c:v>
                </c:pt>
                <c:pt idx="294">
                  <c:v>3.7568519575838594E-2</c:v>
                </c:pt>
                <c:pt idx="295">
                  <c:v>7.3760963183425607E-2</c:v>
                </c:pt>
                <c:pt idx="296">
                  <c:v>3.8236579015270125E-2</c:v>
                </c:pt>
                <c:pt idx="297">
                  <c:v>6.425665334934326E-2</c:v>
                </c:pt>
                <c:pt idx="298">
                  <c:v>4.1029673787680868E-2</c:v>
                </c:pt>
                <c:pt idx="299">
                  <c:v>4.213889184330015E-2</c:v>
                </c:pt>
                <c:pt idx="300">
                  <c:v>4.2926586189464357E-2</c:v>
                </c:pt>
                <c:pt idx="301">
                  <c:v>5.0247251768750271E-2</c:v>
                </c:pt>
                <c:pt idx="302">
                  <c:v>4.8806752355090306E-2</c:v>
                </c:pt>
                <c:pt idx="303">
                  <c:v>3.7365772034929225E-2</c:v>
                </c:pt>
                <c:pt idx="304">
                  <c:v>4.7508372778672245E-2</c:v>
                </c:pt>
                <c:pt idx="305">
                  <c:v>4.4408542497802198E-2</c:v>
                </c:pt>
                <c:pt idx="306">
                  <c:v>3.8805517384580615E-2</c:v>
                </c:pt>
                <c:pt idx="307">
                  <c:v>4.9995549357879351E-2</c:v>
                </c:pt>
                <c:pt idx="308">
                  <c:v>4.2765216076787196E-2</c:v>
                </c:pt>
                <c:pt idx="309">
                  <c:v>5.2829218384543783E-2</c:v>
                </c:pt>
                <c:pt idx="310">
                  <c:v>4.2480429377182528E-2</c:v>
                </c:pt>
                <c:pt idx="311">
                  <c:v>4.6802528507141464E-2</c:v>
                </c:pt>
                <c:pt idx="312">
                  <c:v>4.5219370689364026E-2</c:v>
                </c:pt>
                <c:pt idx="313">
                  <c:v>4.4937923213259977E-2</c:v>
                </c:pt>
                <c:pt idx="314">
                  <c:v>4.8156061843653911E-2</c:v>
                </c:pt>
                <c:pt idx="315">
                  <c:v>5.0028783984596148E-2</c:v>
                </c:pt>
                <c:pt idx="316">
                  <c:v>4.4122580147146324E-2</c:v>
                </c:pt>
                <c:pt idx="317">
                  <c:v>4.4312786169455318E-2</c:v>
                </c:pt>
                <c:pt idx="318">
                  <c:v>4.3635560442854895E-2</c:v>
                </c:pt>
                <c:pt idx="319">
                  <c:v>4.2341728892895156E-2</c:v>
                </c:pt>
                <c:pt idx="320">
                  <c:v>4.254306533956221E-2</c:v>
                </c:pt>
                <c:pt idx="321">
                  <c:v>4.8543440672513677E-2</c:v>
                </c:pt>
                <c:pt idx="322">
                  <c:v>4.254306533956221E-2</c:v>
                </c:pt>
                <c:pt idx="323">
                  <c:v>4.9109161636258364E-2</c:v>
                </c:pt>
                <c:pt idx="324">
                  <c:v>5.1764620516722801E-2</c:v>
                </c:pt>
                <c:pt idx="325">
                  <c:v>5.6567924201591319E-2</c:v>
                </c:pt>
                <c:pt idx="326">
                  <c:v>6.64089581909732E-2</c:v>
                </c:pt>
                <c:pt idx="327">
                  <c:v>4.3492507562084864E-2</c:v>
                </c:pt>
                <c:pt idx="328">
                  <c:v>4.2462545848669549E-2</c:v>
                </c:pt>
                <c:pt idx="329">
                  <c:v>5.037136542363066E-2</c:v>
                </c:pt>
                <c:pt idx="330">
                  <c:v>5.5299275867682768E-2</c:v>
                </c:pt>
                <c:pt idx="331">
                  <c:v>4.5913395389664408E-2</c:v>
                </c:pt>
                <c:pt idx="332">
                  <c:v>4.9786115999968468E-2</c:v>
                </c:pt>
                <c:pt idx="333">
                  <c:v>4.2569726514608844E-2</c:v>
                </c:pt>
                <c:pt idx="334">
                  <c:v>4.260858027165558E-2</c:v>
                </c:pt>
                <c:pt idx="335">
                  <c:v>4.1092528424654287E-2</c:v>
                </c:pt>
                <c:pt idx="336">
                  <c:v>4.2310893601892566E-2</c:v>
                </c:pt>
                <c:pt idx="337">
                  <c:v>4.6648569894361745E-2</c:v>
                </c:pt>
                <c:pt idx="338">
                  <c:v>4.4238536928883736E-2</c:v>
                </c:pt>
                <c:pt idx="339">
                  <c:v>4.1951287323382588E-2</c:v>
                </c:pt>
                <c:pt idx="340">
                  <c:v>5.0228584078099284E-2</c:v>
                </c:pt>
                <c:pt idx="341">
                  <c:v>4.2013652542506698E-2</c:v>
                </c:pt>
                <c:pt idx="342">
                  <c:v>4.1457949061363047E-2</c:v>
                </c:pt>
                <c:pt idx="343">
                  <c:v>4.1456844028665452E-2</c:v>
                </c:pt>
                <c:pt idx="344">
                  <c:v>4.1763111862033353E-2</c:v>
                </c:pt>
                <c:pt idx="345">
                  <c:v>4.1515795674472153E-2</c:v>
                </c:pt>
                <c:pt idx="346">
                  <c:v>4.4551350782135554E-2</c:v>
                </c:pt>
                <c:pt idx="347">
                  <c:v>4.6893881316315458E-2</c:v>
                </c:pt>
                <c:pt idx="348">
                  <c:v>4.3294655821143474E-2</c:v>
                </c:pt>
                <c:pt idx="349">
                  <c:v>5.210622920395612E-2</c:v>
                </c:pt>
                <c:pt idx="350">
                  <c:v>4.1634199205982186E-2</c:v>
                </c:pt>
                <c:pt idx="351">
                  <c:v>4.2232188432905604E-2</c:v>
                </c:pt>
                <c:pt idx="352">
                  <c:v>4.4622841874438317E-2</c:v>
                </c:pt>
                <c:pt idx="353">
                  <c:v>4.6205507722799015E-2</c:v>
                </c:pt>
                <c:pt idx="354">
                  <c:v>6.3714733867296078E-2</c:v>
                </c:pt>
                <c:pt idx="355">
                  <c:v>6.3372096018761273E-2</c:v>
                </c:pt>
                <c:pt idx="356">
                  <c:v>4.8511143620971503E-2</c:v>
                </c:pt>
                <c:pt idx="357">
                  <c:v>4.978260956916386E-2</c:v>
                </c:pt>
                <c:pt idx="358">
                  <c:v>4.0505338903004014E-2</c:v>
                </c:pt>
                <c:pt idx="359">
                  <c:v>4.5514063559417436E-2</c:v>
                </c:pt>
                <c:pt idx="360">
                  <c:v>4.0669083135311528E-2</c:v>
                </c:pt>
                <c:pt idx="361">
                  <c:v>4.8271382998579776E-2</c:v>
                </c:pt>
                <c:pt idx="362">
                  <c:v>3.5610204688537782E-2</c:v>
                </c:pt>
                <c:pt idx="363">
                  <c:v>3.5478279036810889E-2</c:v>
                </c:pt>
                <c:pt idx="364">
                  <c:v>3.7444725577322466E-2</c:v>
                </c:pt>
                <c:pt idx="365">
                  <c:v>3.5635242601052039E-2</c:v>
                </c:pt>
                <c:pt idx="366">
                  <c:v>3.5820172682297001E-2</c:v>
                </c:pt>
                <c:pt idx="367">
                  <c:v>3.5317344801761921E-2</c:v>
                </c:pt>
                <c:pt idx="368">
                  <c:v>3.5405901429528673E-2</c:v>
                </c:pt>
                <c:pt idx="369">
                  <c:v>5.1105954864069533E-2</c:v>
                </c:pt>
                <c:pt idx="370">
                  <c:v>4.2669270414959437E-2</c:v>
                </c:pt>
                <c:pt idx="371">
                  <c:v>4.2387674968809783E-2</c:v>
                </c:pt>
                <c:pt idx="372">
                  <c:v>3.8409800761363647E-2</c:v>
                </c:pt>
                <c:pt idx="373">
                  <c:v>3.8327502244710661E-2</c:v>
                </c:pt>
                <c:pt idx="374">
                  <c:v>4.4176133885526631E-2</c:v>
                </c:pt>
                <c:pt idx="375">
                  <c:v>4.3448835492164599E-2</c:v>
                </c:pt>
                <c:pt idx="376">
                  <c:v>4.4582088373450929E-2</c:v>
                </c:pt>
                <c:pt idx="377">
                  <c:v>4.2412049592578785E-2</c:v>
                </c:pt>
                <c:pt idx="378">
                  <c:v>4.2412049592578785E-2</c:v>
                </c:pt>
                <c:pt idx="379">
                  <c:v>4.2566311963328593E-2</c:v>
                </c:pt>
                <c:pt idx="380">
                  <c:v>3.668409386717101E-2</c:v>
                </c:pt>
                <c:pt idx="381">
                  <c:v>3.8019752769928326E-2</c:v>
                </c:pt>
                <c:pt idx="382">
                  <c:v>3.6117187184438716E-2</c:v>
                </c:pt>
                <c:pt idx="383">
                  <c:v>3.8320594343835321E-2</c:v>
                </c:pt>
                <c:pt idx="384">
                  <c:v>4.7178806629519315E-2</c:v>
                </c:pt>
                <c:pt idx="385">
                  <c:v>3.7050510776076948E-2</c:v>
                </c:pt>
                <c:pt idx="386">
                  <c:v>3.6110009987966832E-2</c:v>
                </c:pt>
                <c:pt idx="387">
                  <c:v>3.5685808262497593E-2</c:v>
                </c:pt>
                <c:pt idx="388">
                  <c:v>5.1635563700410447E-2</c:v>
                </c:pt>
                <c:pt idx="389">
                  <c:v>3.7995518466340916E-2</c:v>
                </c:pt>
                <c:pt idx="390">
                  <c:v>3.5993037844318322E-2</c:v>
                </c:pt>
                <c:pt idx="391">
                  <c:v>3.5917225983654925E-2</c:v>
                </c:pt>
              </c:numCache>
            </c:numRef>
          </c:xVal>
          <c:yVal>
            <c:numRef>
              <c:f>Regression!RegChartStudResid</c:f>
              <c:numCache>
                <c:formatCode>0.0000</c:formatCode>
                <c:ptCount val="392"/>
                <c:pt idx="0">
                  <c:v>0.38649046111355317</c:v>
                </c:pt>
                <c:pt idx="1">
                  <c:v>-0.10402109723738548</c:v>
                </c:pt>
                <c:pt idx="2">
                  <c:v>0.37904856644532819</c:v>
                </c:pt>
                <c:pt idx="3">
                  <c:v>-0.28991504577291177</c:v>
                </c:pt>
                <c:pt idx="4">
                  <c:v>1.5048430823993902E-2</c:v>
                </c:pt>
                <c:pt idx="5">
                  <c:v>1.1660321456416016</c:v>
                </c:pt>
                <c:pt idx="6">
                  <c:v>0.97921087107924287</c:v>
                </c:pt>
                <c:pt idx="7">
                  <c:v>0.87970525767098584</c:v>
                </c:pt>
                <c:pt idx="8">
                  <c:v>1.1280247387124058</c:v>
                </c:pt>
                <c:pt idx="9">
                  <c:v>0.29552136767781362</c:v>
                </c:pt>
                <c:pt idx="10">
                  <c:v>-0.29588942339118851</c:v>
                </c:pt>
                <c:pt idx="11">
                  <c:v>-0.60409084446563566</c:v>
                </c:pt>
                <c:pt idx="12">
                  <c:v>-7.0617155228777803E-2</c:v>
                </c:pt>
                <c:pt idx="13">
                  <c:v>-1.1807393696594941</c:v>
                </c:pt>
                <c:pt idx="14">
                  <c:v>-0.40193142131393461</c:v>
                </c:pt>
                <c:pt idx="15">
                  <c:v>0.39968495672631044</c:v>
                </c:pt>
                <c:pt idx="16">
                  <c:v>-1.0254466826344879</c:v>
                </c:pt>
                <c:pt idx="17">
                  <c:v>-0.40591022394117865</c:v>
                </c:pt>
                <c:pt idx="18">
                  <c:v>0.15513508303133314</c:v>
                </c:pt>
                <c:pt idx="19">
                  <c:v>-0.87508847543410839</c:v>
                </c:pt>
                <c:pt idx="20">
                  <c:v>0.44079310612390166</c:v>
                </c:pt>
                <c:pt idx="21">
                  <c:v>-0.28923752793396956</c:v>
                </c:pt>
                <c:pt idx="22">
                  <c:v>-2.0495322425383513E-2</c:v>
                </c:pt>
                <c:pt idx="23">
                  <c:v>0.17289252435540359</c:v>
                </c:pt>
                <c:pt idx="24">
                  <c:v>-0.27496797490025326</c:v>
                </c:pt>
                <c:pt idx="25">
                  <c:v>5.5683358456536082E-2</c:v>
                </c:pt>
                <c:pt idx="26">
                  <c:v>-0.42839201056709808</c:v>
                </c:pt>
                <c:pt idx="27">
                  <c:v>-3.1377572652117845E-2</c:v>
                </c:pt>
                <c:pt idx="28">
                  <c:v>-0.19933424776621109</c:v>
                </c:pt>
                <c:pt idx="29">
                  <c:v>-0.1498383863684378</c:v>
                </c:pt>
                <c:pt idx="30">
                  <c:v>1.1097334264431649</c:v>
                </c:pt>
                <c:pt idx="31">
                  <c:v>-0.61509549983121481</c:v>
                </c:pt>
                <c:pt idx="32">
                  <c:v>-1.2127928346337915</c:v>
                </c:pt>
                <c:pt idx="33">
                  <c:v>-0.82687344310871891</c:v>
                </c:pt>
                <c:pt idx="34">
                  <c:v>-0.70648636894145744</c:v>
                </c:pt>
                <c:pt idx="35">
                  <c:v>-0.15142098901853582</c:v>
                </c:pt>
                <c:pt idx="36">
                  <c:v>-0.44257513070662241</c:v>
                </c:pt>
                <c:pt idx="37">
                  <c:v>0.12974540077510843</c:v>
                </c:pt>
                <c:pt idx="38">
                  <c:v>0.61570961852166972</c:v>
                </c:pt>
                <c:pt idx="39">
                  <c:v>-2.8119699994228455E-2</c:v>
                </c:pt>
                <c:pt idx="40">
                  <c:v>-0.14215101395795865</c:v>
                </c:pt>
                <c:pt idx="41">
                  <c:v>0.80808342930666788</c:v>
                </c:pt>
                <c:pt idx="42">
                  <c:v>0.73255545774192032</c:v>
                </c:pt>
                <c:pt idx="43">
                  <c:v>1.4343249307838957</c:v>
                </c:pt>
                <c:pt idx="44">
                  <c:v>-0.93736805879047125</c:v>
                </c:pt>
                <c:pt idx="45">
                  <c:v>-0.7470888487317634</c:v>
                </c:pt>
                <c:pt idx="46">
                  <c:v>-0.11985683096865939</c:v>
                </c:pt>
                <c:pt idx="47">
                  <c:v>-0.75950614299184971</c:v>
                </c:pt>
                <c:pt idx="48">
                  <c:v>-0.6561239243010768</c:v>
                </c:pt>
                <c:pt idx="49">
                  <c:v>0.22503211391071073</c:v>
                </c:pt>
                <c:pt idx="50">
                  <c:v>0.70221206283556703</c:v>
                </c:pt>
                <c:pt idx="51">
                  <c:v>0.71980311888979831</c:v>
                </c:pt>
                <c:pt idx="52">
                  <c:v>0.4589773839745715</c:v>
                </c:pt>
                <c:pt idx="53">
                  <c:v>1.5500221062846562</c:v>
                </c:pt>
                <c:pt idx="54">
                  <c:v>-0.76325101320992539</c:v>
                </c:pt>
                <c:pt idx="55">
                  <c:v>-0.18942202796256102</c:v>
                </c:pt>
                <c:pt idx="56">
                  <c:v>-0.44392180663234571</c:v>
                </c:pt>
                <c:pt idx="57">
                  <c:v>0.24039254577346186</c:v>
                </c:pt>
                <c:pt idx="58">
                  <c:v>-1.0042751043337586</c:v>
                </c:pt>
                <c:pt idx="59">
                  <c:v>-0.89847347465828342</c:v>
                </c:pt>
                <c:pt idx="60">
                  <c:v>-0.89544945314468438</c:v>
                </c:pt>
                <c:pt idx="61">
                  <c:v>0.32432388942401175</c:v>
                </c:pt>
                <c:pt idx="62">
                  <c:v>0.89925474334882816</c:v>
                </c:pt>
                <c:pt idx="63">
                  <c:v>0.6741998247581702</c:v>
                </c:pt>
                <c:pt idx="64">
                  <c:v>0.34767210505293616</c:v>
                </c:pt>
                <c:pt idx="65">
                  <c:v>0.55972501051096402</c:v>
                </c:pt>
                <c:pt idx="66">
                  <c:v>0.50018854209738106</c:v>
                </c:pt>
                <c:pt idx="67">
                  <c:v>0.6556418348632248</c:v>
                </c:pt>
                <c:pt idx="68">
                  <c:v>0.27141090048237276</c:v>
                </c:pt>
                <c:pt idx="69">
                  <c:v>0.71162663600436971</c:v>
                </c:pt>
                <c:pt idx="70">
                  <c:v>-2.0157358299478276</c:v>
                </c:pt>
                <c:pt idx="71">
                  <c:v>0.26483477874394606</c:v>
                </c:pt>
                <c:pt idx="72">
                  <c:v>-0.16166667853581243</c:v>
                </c:pt>
                <c:pt idx="73">
                  <c:v>0.22330383955665631</c:v>
                </c:pt>
                <c:pt idx="74">
                  <c:v>0.24386567077228774</c:v>
                </c:pt>
                <c:pt idx="75">
                  <c:v>-1.2081383307454165</c:v>
                </c:pt>
                <c:pt idx="76">
                  <c:v>-0.78110036437009633</c:v>
                </c:pt>
                <c:pt idx="77">
                  <c:v>-0.26364023528520003</c:v>
                </c:pt>
                <c:pt idx="78">
                  <c:v>-2.6512351797491639E-2</c:v>
                </c:pt>
                <c:pt idx="79">
                  <c:v>-0.27449869399565818</c:v>
                </c:pt>
                <c:pt idx="80">
                  <c:v>0.89328897781380623</c:v>
                </c:pt>
                <c:pt idx="81">
                  <c:v>-0.38135513775663676</c:v>
                </c:pt>
                <c:pt idx="82">
                  <c:v>1.3082330687569519</c:v>
                </c:pt>
                <c:pt idx="83">
                  <c:v>0.21951048018534813</c:v>
                </c:pt>
                <c:pt idx="84">
                  <c:v>0.2039871045077741</c:v>
                </c:pt>
                <c:pt idx="85">
                  <c:v>-0.31629077006853967</c:v>
                </c:pt>
                <c:pt idx="86">
                  <c:v>-0.14480257381873282</c:v>
                </c:pt>
                <c:pt idx="87">
                  <c:v>0.2334274183109091</c:v>
                </c:pt>
                <c:pt idx="88">
                  <c:v>0.18988660114211794</c:v>
                </c:pt>
                <c:pt idx="89">
                  <c:v>1.4296443982960407</c:v>
                </c:pt>
                <c:pt idx="90">
                  <c:v>0.6808652991853632</c:v>
                </c:pt>
                <c:pt idx="91">
                  <c:v>0.55319696979360056</c:v>
                </c:pt>
                <c:pt idx="92">
                  <c:v>0.6298865239351964</c:v>
                </c:pt>
                <c:pt idx="93">
                  <c:v>1.4945061059531664</c:v>
                </c:pt>
                <c:pt idx="94">
                  <c:v>1.5835184219573564</c:v>
                </c:pt>
                <c:pt idx="95">
                  <c:v>-0.26432732427601768</c:v>
                </c:pt>
                <c:pt idx="96">
                  <c:v>-0.15803478633346987</c:v>
                </c:pt>
                <c:pt idx="97">
                  <c:v>-0.58466219481199555</c:v>
                </c:pt>
                <c:pt idx="98">
                  <c:v>-0.48011210341267641</c:v>
                </c:pt>
                <c:pt idx="99">
                  <c:v>-0.41823693209923823</c:v>
                </c:pt>
                <c:pt idx="100">
                  <c:v>1.0807560254323896</c:v>
                </c:pt>
                <c:pt idx="101">
                  <c:v>-0.43529358270499124</c:v>
                </c:pt>
                <c:pt idx="102">
                  <c:v>0.92150618089199388</c:v>
                </c:pt>
                <c:pt idx="103">
                  <c:v>1.1863106075737995</c:v>
                </c:pt>
                <c:pt idx="104">
                  <c:v>1.1069048065287967</c:v>
                </c:pt>
                <c:pt idx="105">
                  <c:v>0.56878580743136131</c:v>
                </c:pt>
                <c:pt idx="106">
                  <c:v>-0.74192401686980614</c:v>
                </c:pt>
                <c:pt idx="107">
                  <c:v>-1.6897180627740656</c:v>
                </c:pt>
                <c:pt idx="108">
                  <c:v>-0.55194584126169699</c:v>
                </c:pt>
                <c:pt idx="109">
                  <c:v>-0.82281965858508455</c:v>
                </c:pt>
                <c:pt idx="110">
                  <c:v>-2.6063331092365809</c:v>
                </c:pt>
                <c:pt idx="111">
                  <c:v>-1.2992210520172569</c:v>
                </c:pt>
                <c:pt idx="112">
                  <c:v>-0.24289117425341836</c:v>
                </c:pt>
                <c:pt idx="113">
                  <c:v>0.33488821969057964</c:v>
                </c:pt>
                <c:pt idx="114">
                  <c:v>0.67383986412758412</c:v>
                </c:pt>
                <c:pt idx="115">
                  <c:v>1.830763895168803</c:v>
                </c:pt>
                <c:pt idx="116">
                  <c:v>0.44266880067425157</c:v>
                </c:pt>
                <c:pt idx="117">
                  <c:v>-0.59179023453714319</c:v>
                </c:pt>
                <c:pt idx="118">
                  <c:v>-1.1208436092324701</c:v>
                </c:pt>
                <c:pt idx="119">
                  <c:v>-0.85847137129503925</c:v>
                </c:pt>
                <c:pt idx="120">
                  <c:v>-0.44348189348087841</c:v>
                </c:pt>
                <c:pt idx="121">
                  <c:v>0.44275727569780055</c:v>
                </c:pt>
                <c:pt idx="122">
                  <c:v>-0.61593470926202398</c:v>
                </c:pt>
                <c:pt idx="123">
                  <c:v>-1.1692507528849188</c:v>
                </c:pt>
                <c:pt idx="124">
                  <c:v>-0.23318022611887829</c:v>
                </c:pt>
                <c:pt idx="125">
                  <c:v>-0.87855079557956628</c:v>
                </c:pt>
                <c:pt idx="126">
                  <c:v>-1.476936332318173</c:v>
                </c:pt>
                <c:pt idx="127">
                  <c:v>0.65290692305069276</c:v>
                </c:pt>
                <c:pt idx="128">
                  <c:v>0.58752778997756849</c:v>
                </c:pt>
                <c:pt idx="129">
                  <c:v>0.78371741325869382</c:v>
                </c:pt>
                <c:pt idx="130">
                  <c:v>0.38024696094502236</c:v>
                </c:pt>
                <c:pt idx="131">
                  <c:v>-0.39486001875875998</c:v>
                </c:pt>
                <c:pt idx="132">
                  <c:v>-0.59082143000943876</c:v>
                </c:pt>
                <c:pt idx="133">
                  <c:v>1.6521563559614698E-2</c:v>
                </c:pt>
                <c:pt idx="134">
                  <c:v>0.43079556603355051</c:v>
                </c:pt>
                <c:pt idx="135">
                  <c:v>0.42871024250542161</c:v>
                </c:pt>
                <c:pt idx="136">
                  <c:v>0.35223603151478577</c:v>
                </c:pt>
                <c:pt idx="137">
                  <c:v>0.60637414955155156</c:v>
                </c:pt>
                <c:pt idx="138">
                  <c:v>1.3677785391089624E-2</c:v>
                </c:pt>
                <c:pt idx="139">
                  <c:v>0.56798307093810541</c:v>
                </c:pt>
                <c:pt idx="140">
                  <c:v>-0.95733088971303293</c:v>
                </c:pt>
                <c:pt idx="141">
                  <c:v>-0.32610721496462935</c:v>
                </c:pt>
                <c:pt idx="142">
                  <c:v>6.1844508852539351E-2</c:v>
                </c:pt>
                <c:pt idx="143">
                  <c:v>1.0446177063052586</c:v>
                </c:pt>
                <c:pt idx="144">
                  <c:v>0.67897281388579822</c:v>
                </c:pt>
                <c:pt idx="145">
                  <c:v>-1.3375231715810603</c:v>
                </c:pt>
                <c:pt idx="146">
                  <c:v>-0.43384150629044232</c:v>
                </c:pt>
                <c:pt idx="147">
                  <c:v>-0.61264897901117887</c:v>
                </c:pt>
                <c:pt idx="148">
                  <c:v>-0.13131189884057423</c:v>
                </c:pt>
                <c:pt idx="149">
                  <c:v>0.7789342813770056</c:v>
                </c:pt>
                <c:pt idx="150">
                  <c:v>-8.6786137087073154E-2</c:v>
                </c:pt>
                <c:pt idx="151">
                  <c:v>-3.7067224491663844E-2</c:v>
                </c:pt>
                <c:pt idx="152">
                  <c:v>-1.2647682754399099</c:v>
                </c:pt>
                <c:pt idx="153">
                  <c:v>-1.7231986194513169</c:v>
                </c:pt>
                <c:pt idx="154">
                  <c:v>1.6896822821993758</c:v>
                </c:pt>
                <c:pt idx="155">
                  <c:v>0.83361742346055268</c:v>
                </c:pt>
                <c:pt idx="156">
                  <c:v>1.2915705569901506</c:v>
                </c:pt>
                <c:pt idx="157">
                  <c:v>0.8842825204929029</c:v>
                </c:pt>
                <c:pt idx="158">
                  <c:v>0.41163641314958455</c:v>
                </c:pt>
                <c:pt idx="159">
                  <c:v>3.5295875579668304E-2</c:v>
                </c:pt>
                <c:pt idx="160">
                  <c:v>-0.55072347548179312</c:v>
                </c:pt>
                <c:pt idx="161">
                  <c:v>0.45874200542910859</c:v>
                </c:pt>
                <c:pt idx="162">
                  <c:v>0.2802206101814847</c:v>
                </c:pt>
                <c:pt idx="163">
                  <c:v>0.25381221692103478</c:v>
                </c:pt>
                <c:pt idx="164">
                  <c:v>-2.0636596826638138</c:v>
                </c:pt>
                <c:pt idx="165">
                  <c:v>0.60778730846125428</c:v>
                </c:pt>
                <c:pt idx="166">
                  <c:v>0.12614744788802004</c:v>
                </c:pt>
                <c:pt idx="167">
                  <c:v>-0.31654278630410199</c:v>
                </c:pt>
                <c:pt idx="168">
                  <c:v>1.9978196923056375E-2</c:v>
                </c:pt>
                <c:pt idx="169">
                  <c:v>-5.0323917807234816E-2</c:v>
                </c:pt>
                <c:pt idx="170">
                  <c:v>-0.62096861122347158</c:v>
                </c:pt>
                <c:pt idx="171">
                  <c:v>-0.31053190188587437</c:v>
                </c:pt>
                <c:pt idx="172">
                  <c:v>-0.87909939485507749</c:v>
                </c:pt>
                <c:pt idx="173">
                  <c:v>0.22610292454868022</c:v>
                </c:pt>
                <c:pt idx="174">
                  <c:v>-0.20291519301262079</c:v>
                </c:pt>
                <c:pt idx="175">
                  <c:v>-0.36253627723479914</c:v>
                </c:pt>
                <c:pt idx="176">
                  <c:v>4.4247006473739414E-2</c:v>
                </c:pt>
                <c:pt idx="177">
                  <c:v>-0.25571503432003556</c:v>
                </c:pt>
                <c:pt idx="178">
                  <c:v>0.37698943709717597</c:v>
                </c:pt>
                <c:pt idx="179">
                  <c:v>1.1899727275032885</c:v>
                </c:pt>
                <c:pt idx="180">
                  <c:v>0.6088896894378435</c:v>
                </c:pt>
                <c:pt idx="181">
                  <c:v>-0.82893417664067559</c:v>
                </c:pt>
                <c:pt idx="182">
                  <c:v>0.46871808445674862</c:v>
                </c:pt>
                <c:pt idx="183">
                  <c:v>0.1980052332784995</c:v>
                </c:pt>
                <c:pt idx="184">
                  <c:v>-0.18217601115514115</c:v>
                </c:pt>
                <c:pt idx="185">
                  <c:v>0.99879597785625385</c:v>
                </c:pt>
                <c:pt idx="186">
                  <c:v>0.5128636816681813</c:v>
                </c:pt>
                <c:pt idx="187">
                  <c:v>-0.19789440550577952</c:v>
                </c:pt>
                <c:pt idx="188">
                  <c:v>6.7796750316842819E-2</c:v>
                </c:pt>
                <c:pt idx="189">
                  <c:v>0.62541466034937176</c:v>
                </c:pt>
                <c:pt idx="190">
                  <c:v>0.85349810780512758</c:v>
                </c:pt>
                <c:pt idx="191">
                  <c:v>0.81643234827063693</c:v>
                </c:pt>
                <c:pt idx="192">
                  <c:v>0.48931010929768809</c:v>
                </c:pt>
                <c:pt idx="193">
                  <c:v>0.68104115262367493</c:v>
                </c:pt>
                <c:pt idx="194">
                  <c:v>-0.55753264896976684</c:v>
                </c:pt>
                <c:pt idx="195">
                  <c:v>-3.3128045912270733E-2</c:v>
                </c:pt>
                <c:pt idx="196">
                  <c:v>0.92900557209987533</c:v>
                </c:pt>
                <c:pt idx="197">
                  <c:v>0.66552441488229586</c:v>
                </c:pt>
                <c:pt idx="198">
                  <c:v>-0.24814969353100777</c:v>
                </c:pt>
                <c:pt idx="199">
                  <c:v>0.21089005247032286</c:v>
                </c:pt>
                <c:pt idx="200">
                  <c:v>-0.95975295748031297</c:v>
                </c:pt>
                <c:pt idx="201">
                  <c:v>-5.015145269264281E-2</c:v>
                </c:pt>
                <c:pt idx="202">
                  <c:v>1.0160259092109298</c:v>
                </c:pt>
                <c:pt idx="203">
                  <c:v>-1.2115968549613172E-2</c:v>
                </c:pt>
                <c:pt idx="204">
                  <c:v>0.84720077695598162</c:v>
                </c:pt>
                <c:pt idx="205">
                  <c:v>-0.81252205315323123</c:v>
                </c:pt>
                <c:pt idx="206">
                  <c:v>-0.90311709621559733</c:v>
                </c:pt>
                <c:pt idx="207">
                  <c:v>-1.0214074988536554</c:v>
                </c:pt>
                <c:pt idx="208">
                  <c:v>-1.5268692799723598</c:v>
                </c:pt>
                <c:pt idx="209">
                  <c:v>-0.75457189916222867</c:v>
                </c:pt>
                <c:pt idx="210">
                  <c:v>1.1659795306247422</c:v>
                </c:pt>
                <c:pt idx="211">
                  <c:v>-0.73626542374562209</c:v>
                </c:pt>
                <c:pt idx="212">
                  <c:v>-1.1267405125615253</c:v>
                </c:pt>
                <c:pt idx="213">
                  <c:v>-1.2151675973963232</c:v>
                </c:pt>
                <c:pt idx="214">
                  <c:v>0.45411013125419464</c:v>
                </c:pt>
                <c:pt idx="215">
                  <c:v>0.89210317838710151</c:v>
                </c:pt>
                <c:pt idx="216">
                  <c:v>1.5747836013923129</c:v>
                </c:pt>
                <c:pt idx="217">
                  <c:v>-0.27897206548306047</c:v>
                </c:pt>
                <c:pt idx="218">
                  <c:v>0.96387111404314796</c:v>
                </c:pt>
                <c:pt idx="219">
                  <c:v>-1.3087490477450449E-2</c:v>
                </c:pt>
                <c:pt idx="220">
                  <c:v>-6.5682072482441053E-2</c:v>
                </c:pt>
                <c:pt idx="221">
                  <c:v>-0.24068058859416963</c:v>
                </c:pt>
                <c:pt idx="222">
                  <c:v>-0.22773334599687814</c:v>
                </c:pt>
                <c:pt idx="223">
                  <c:v>-0.80833512211099123</c:v>
                </c:pt>
                <c:pt idx="224">
                  <c:v>2.4603534850325339E-3</c:v>
                </c:pt>
                <c:pt idx="225">
                  <c:v>-0.17875083851948473</c:v>
                </c:pt>
                <c:pt idx="226">
                  <c:v>-0.53338642732774066</c:v>
                </c:pt>
                <c:pt idx="227">
                  <c:v>0.25110022474117832</c:v>
                </c:pt>
                <c:pt idx="228">
                  <c:v>-6.3550945766771158E-2</c:v>
                </c:pt>
                <c:pt idx="229">
                  <c:v>0.31685206458483878</c:v>
                </c:pt>
                <c:pt idx="230">
                  <c:v>0.27649769074526082</c:v>
                </c:pt>
                <c:pt idx="231">
                  <c:v>-0.46498176646527506</c:v>
                </c:pt>
                <c:pt idx="232">
                  <c:v>8.7513237424760415E-2</c:v>
                </c:pt>
                <c:pt idx="233">
                  <c:v>-0.97305252208919601</c:v>
                </c:pt>
                <c:pt idx="234">
                  <c:v>0.45088667377233943</c:v>
                </c:pt>
                <c:pt idx="235">
                  <c:v>0.79148643600889412</c:v>
                </c:pt>
                <c:pt idx="236">
                  <c:v>1.9447162353916576</c:v>
                </c:pt>
                <c:pt idx="237">
                  <c:v>-0.15390694742658717</c:v>
                </c:pt>
                <c:pt idx="238">
                  <c:v>0.46083052696320559</c:v>
                </c:pt>
                <c:pt idx="239">
                  <c:v>-1.2605695043801406</c:v>
                </c:pt>
                <c:pt idx="240">
                  <c:v>-1.6852434476538711</c:v>
                </c:pt>
                <c:pt idx="241">
                  <c:v>-1.5175419689962188</c:v>
                </c:pt>
                <c:pt idx="242">
                  <c:v>4.2007262122566926</c:v>
                </c:pt>
                <c:pt idx="243">
                  <c:v>2.2990445774735218</c:v>
                </c:pt>
                <c:pt idx="244">
                  <c:v>0.74844507336636368</c:v>
                </c:pt>
                <c:pt idx="245">
                  <c:v>3.1819916573400069</c:v>
                </c:pt>
                <c:pt idx="246">
                  <c:v>1.5766853430851646</c:v>
                </c:pt>
                <c:pt idx="247">
                  <c:v>-0.22021492268660475</c:v>
                </c:pt>
                <c:pt idx="248">
                  <c:v>0.39604728421942459</c:v>
                </c:pt>
                <c:pt idx="249">
                  <c:v>0.37898661019969043</c:v>
                </c:pt>
                <c:pt idx="250">
                  <c:v>-0.19419634887019871</c:v>
                </c:pt>
                <c:pt idx="251">
                  <c:v>-0.45454530660835657</c:v>
                </c:pt>
                <c:pt idx="252">
                  <c:v>-0.92704752263459855</c:v>
                </c:pt>
                <c:pt idx="253">
                  <c:v>0.30206292858297307</c:v>
                </c:pt>
                <c:pt idx="254">
                  <c:v>3.367712023155562E-2</c:v>
                </c:pt>
                <c:pt idx="255">
                  <c:v>-0.75452115641439366</c:v>
                </c:pt>
                <c:pt idx="256">
                  <c:v>9.7946834914349849E-3</c:v>
                </c:pt>
                <c:pt idx="257">
                  <c:v>-0.55221926921070585</c:v>
                </c:pt>
                <c:pt idx="258">
                  <c:v>-0.22349400460848995</c:v>
                </c:pt>
                <c:pt idx="259">
                  <c:v>-0.68678649689214288</c:v>
                </c:pt>
                <c:pt idx="260">
                  <c:v>-0.16374778792660116</c:v>
                </c:pt>
                <c:pt idx="261">
                  <c:v>-0.5239373665705841</c:v>
                </c:pt>
                <c:pt idx="262">
                  <c:v>-0.93176894037652425</c:v>
                </c:pt>
                <c:pt idx="263">
                  <c:v>0.34571317856571393</c:v>
                </c:pt>
                <c:pt idx="264">
                  <c:v>0.87264012009621639</c:v>
                </c:pt>
                <c:pt idx="265">
                  <c:v>0.18470642599231274</c:v>
                </c:pt>
                <c:pt idx="266">
                  <c:v>-0.34222462819834659</c:v>
                </c:pt>
                <c:pt idx="267">
                  <c:v>1.3348865121336073</c:v>
                </c:pt>
                <c:pt idx="268">
                  <c:v>-2.0195065214468055</c:v>
                </c:pt>
                <c:pt idx="269">
                  <c:v>-0.19410783505686552</c:v>
                </c:pt>
                <c:pt idx="270">
                  <c:v>8.1721707715660175E-2</c:v>
                </c:pt>
                <c:pt idx="271">
                  <c:v>-1.2628813097867138</c:v>
                </c:pt>
                <c:pt idx="272">
                  <c:v>-1.674643980926678</c:v>
                </c:pt>
                <c:pt idx="273">
                  <c:v>-2.1379379429147822</c:v>
                </c:pt>
                <c:pt idx="274">
                  <c:v>-1.2377760380844078</c:v>
                </c:pt>
                <c:pt idx="275">
                  <c:v>-1.9076726580567764</c:v>
                </c:pt>
                <c:pt idx="276">
                  <c:v>0.46674163527249862</c:v>
                </c:pt>
                <c:pt idx="277">
                  <c:v>-1.1623375752352078E-2</c:v>
                </c:pt>
                <c:pt idx="278">
                  <c:v>-0.66377208981313063</c:v>
                </c:pt>
                <c:pt idx="279">
                  <c:v>-1.8200175308828721</c:v>
                </c:pt>
                <c:pt idx="280">
                  <c:v>-1.1408976899843084</c:v>
                </c:pt>
                <c:pt idx="281">
                  <c:v>-1.1982691301329933</c:v>
                </c:pt>
                <c:pt idx="282">
                  <c:v>-0.79604972147693909</c:v>
                </c:pt>
                <c:pt idx="283">
                  <c:v>-1.0776013794312607</c:v>
                </c:pt>
                <c:pt idx="284">
                  <c:v>-1.0767196379396311</c:v>
                </c:pt>
                <c:pt idx="285">
                  <c:v>-1.0076315540428575</c:v>
                </c:pt>
                <c:pt idx="286">
                  <c:v>-0.66878988326603028</c:v>
                </c:pt>
                <c:pt idx="287">
                  <c:v>-0.10145734321849456</c:v>
                </c:pt>
                <c:pt idx="288">
                  <c:v>-1.1524014899843344</c:v>
                </c:pt>
                <c:pt idx="289">
                  <c:v>-0.76844520954536322</c:v>
                </c:pt>
                <c:pt idx="290">
                  <c:v>-0.30358004022532814</c:v>
                </c:pt>
                <c:pt idx="291">
                  <c:v>-0.31311702677891717</c:v>
                </c:pt>
                <c:pt idx="292">
                  <c:v>0.43433707282313844</c:v>
                </c:pt>
                <c:pt idx="293">
                  <c:v>1.6395545081768101</c:v>
                </c:pt>
                <c:pt idx="294">
                  <c:v>0.1398501115583628</c:v>
                </c:pt>
                <c:pt idx="295">
                  <c:v>0.26714134253452815</c:v>
                </c:pt>
                <c:pt idx="296">
                  <c:v>0.99045257304541956</c:v>
                </c:pt>
                <c:pt idx="297">
                  <c:v>0.25939653083974701</c:v>
                </c:pt>
                <c:pt idx="298">
                  <c:v>0.29319660015181381</c:v>
                </c:pt>
                <c:pt idx="299">
                  <c:v>1.5585580298512549</c:v>
                </c:pt>
                <c:pt idx="300">
                  <c:v>1.5748070831006031</c:v>
                </c:pt>
                <c:pt idx="301">
                  <c:v>-0.25886999570707309</c:v>
                </c:pt>
                <c:pt idx="302">
                  <c:v>1.8285518903811406</c:v>
                </c:pt>
                <c:pt idx="303">
                  <c:v>0.52607820754973034</c:v>
                </c:pt>
                <c:pt idx="304">
                  <c:v>0.6712335804008861</c:v>
                </c:pt>
                <c:pt idx="305">
                  <c:v>0.18042945365691565</c:v>
                </c:pt>
                <c:pt idx="306">
                  <c:v>2.0304757137130003</c:v>
                </c:pt>
                <c:pt idx="307">
                  <c:v>1.937883735039764</c:v>
                </c:pt>
                <c:pt idx="308">
                  <c:v>0.3734161112853604</c:v>
                </c:pt>
                <c:pt idx="309">
                  <c:v>-0.63228553332444026</c:v>
                </c:pt>
                <c:pt idx="310">
                  <c:v>0.18658521528183186</c:v>
                </c:pt>
                <c:pt idx="311">
                  <c:v>-0.94749992351059853</c:v>
                </c:pt>
                <c:pt idx="312">
                  <c:v>-1.1670319415810084</c:v>
                </c:pt>
                <c:pt idx="313">
                  <c:v>-1.6319415081566522</c:v>
                </c:pt>
                <c:pt idx="314">
                  <c:v>-2.7327997376671558</c:v>
                </c:pt>
                <c:pt idx="315">
                  <c:v>-0.38508480762603547</c:v>
                </c:pt>
                <c:pt idx="316">
                  <c:v>-0.97713360215343181</c:v>
                </c:pt>
                <c:pt idx="317">
                  <c:v>-0.84358082508022647</c:v>
                </c:pt>
                <c:pt idx="318">
                  <c:v>0.96668836786536427</c:v>
                </c:pt>
                <c:pt idx="319">
                  <c:v>-1.0101337973139433</c:v>
                </c:pt>
                <c:pt idx="320">
                  <c:v>3.4720773077781217</c:v>
                </c:pt>
                <c:pt idx="321">
                  <c:v>-0.69392179736044413</c:v>
                </c:pt>
                <c:pt idx="322">
                  <c:v>1.5395876753007918</c:v>
                </c:pt>
                <c:pt idx="323">
                  <c:v>2.6212478115325442</c:v>
                </c:pt>
                <c:pt idx="324">
                  <c:v>2.7473960479992194</c:v>
                </c:pt>
                <c:pt idx="325">
                  <c:v>1.5535500258921515</c:v>
                </c:pt>
                <c:pt idx="326">
                  <c:v>-8.5231484219194242E-2</c:v>
                </c:pt>
                <c:pt idx="327">
                  <c:v>2.3790723412149846</c:v>
                </c:pt>
                <c:pt idx="328">
                  <c:v>-0.72283127398567093</c:v>
                </c:pt>
                <c:pt idx="329">
                  <c:v>-2.5586120959927139</c:v>
                </c:pt>
                <c:pt idx="330">
                  <c:v>0.55656803120621579</c:v>
                </c:pt>
                <c:pt idx="331">
                  <c:v>-3.451682617569364</c:v>
                </c:pt>
                <c:pt idx="332">
                  <c:v>0.43174338069117302</c:v>
                </c:pt>
                <c:pt idx="333">
                  <c:v>-0.91766871471414835</c:v>
                </c:pt>
                <c:pt idx="334">
                  <c:v>-0.68324182750021967</c:v>
                </c:pt>
                <c:pt idx="335">
                  <c:v>-0.63802821850481628</c:v>
                </c:pt>
                <c:pt idx="336">
                  <c:v>-0.88698134092906744</c:v>
                </c:pt>
                <c:pt idx="337">
                  <c:v>-1.3818722583783212</c:v>
                </c:pt>
                <c:pt idx="338">
                  <c:v>7.2633416429775458E-2</c:v>
                </c:pt>
                <c:pt idx="339">
                  <c:v>1.2143705581244517</c:v>
                </c:pt>
                <c:pt idx="340">
                  <c:v>2.1111674999819705</c:v>
                </c:pt>
                <c:pt idx="341">
                  <c:v>-9.8723664725636207E-2</c:v>
                </c:pt>
                <c:pt idx="342">
                  <c:v>-0.47899199098150524</c:v>
                </c:pt>
                <c:pt idx="343">
                  <c:v>0.92354334626382917</c:v>
                </c:pt>
                <c:pt idx="344">
                  <c:v>1.2670807492508778</c:v>
                </c:pt>
                <c:pt idx="345">
                  <c:v>-9.0731992161423598E-3</c:v>
                </c:pt>
                <c:pt idx="346">
                  <c:v>1.2394515341278629</c:v>
                </c:pt>
                <c:pt idx="347">
                  <c:v>0.86418422319001653</c:v>
                </c:pt>
                <c:pt idx="348">
                  <c:v>-7.1999000729864662E-2</c:v>
                </c:pt>
                <c:pt idx="349">
                  <c:v>4.357517290963616E-2</c:v>
                </c:pt>
                <c:pt idx="350">
                  <c:v>0.27496728736359077</c:v>
                </c:pt>
                <c:pt idx="351">
                  <c:v>7.8125519301108906E-2</c:v>
                </c:pt>
                <c:pt idx="352">
                  <c:v>0.8279402322420274</c:v>
                </c:pt>
                <c:pt idx="353">
                  <c:v>0.28753308488155083</c:v>
                </c:pt>
                <c:pt idx="354">
                  <c:v>0.19993267130990333</c:v>
                </c:pt>
                <c:pt idx="355">
                  <c:v>0.93448737390407421</c:v>
                </c:pt>
                <c:pt idx="356">
                  <c:v>-1.1079659887017943</c:v>
                </c:pt>
                <c:pt idx="357">
                  <c:v>-1.4375278289347968</c:v>
                </c:pt>
                <c:pt idx="358">
                  <c:v>-0.58074238683041934</c:v>
                </c:pt>
                <c:pt idx="359">
                  <c:v>1.3160037932020459</c:v>
                </c:pt>
                <c:pt idx="360">
                  <c:v>-2.0302994659393137</c:v>
                </c:pt>
                <c:pt idx="361">
                  <c:v>-2.2382603266400936</c:v>
                </c:pt>
                <c:pt idx="362">
                  <c:v>-0.75751706682775866</c:v>
                </c:pt>
                <c:pt idx="363">
                  <c:v>-1.0306011185079671</c:v>
                </c:pt>
                <c:pt idx="364">
                  <c:v>0.88224971223868232</c:v>
                </c:pt>
                <c:pt idx="365">
                  <c:v>0.17184976624815301</c:v>
                </c:pt>
                <c:pt idx="366">
                  <c:v>-0.58163018536706346</c:v>
                </c:pt>
                <c:pt idx="367">
                  <c:v>-0.86006936817939506</c:v>
                </c:pt>
                <c:pt idx="368">
                  <c:v>-1.6266867098316846</c:v>
                </c:pt>
                <c:pt idx="369">
                  <c:v>0.12999171896584169</c:v>
                </c:pt>
                <c:pt idx="370">
                  <c:v>0.4654442793344194</c:v>
                </c:pt>
                <c:pt idx="371">
                  <c:v>-1.626368466519942</c:v>
                </c:pt>
                <c:pt idx="372">
                  <c:v>1.6231038143843963</c:v>
                </c:pt>
                <c:pt idx="373">
                  <c:v>0.99590616832095802</c:v>
                </c:pt>
                <c:pt idx="374">
                  <c:v>0.46857065274584953</c:v>
                </c:pt>
                <c:pt idx="375">
                  <c:v>0.4739844616413193</c:v>
                </c:pt>
                <c:pt idx="376">
                  <c:v>-0.15234540833318785</c:v>
                </c:pt>
                <c:pt idx="377">
                  <c:v>0.69192234930796503</c:v>
                </c:pt>
                <c:pt idx="378">
                  <c:v>-1.3070680932321534</c:v>
                </c:pt>
                <c:pt idx="379">
                  <c:v>0.74258970300151861</c:v>
                </c:pt>
                <c:pt idx="380">
                  <c:v>-1.063961351992486</c:v>
                </c:pt>
                <c:pt idx="381">
                  <c:v>3.2394353065249777</c:v>
                </c:pt>
                <c:pt idx="382">
                  <c:v>-1.4339281629923637</c:v>
                </c:pt>
                <c:pt idx="383">
                  <c:v>-2.2366030601609661</c:v>
                </c:pt>
                <c:pt idx="384">
                  <c:v>3.0723966658171176E-2</c:v>
                </c:pt>
                <c:pt idx="385">
                  <c:v>1.4829089516943319</c:v>
                </c:pt>
                <c:pt idx="386">
                  <c:v>-0.49892317917099677</c:v>
                </c:pt>
                <c:pt idx="387">
                  <c:v>-0.78933938116930435</c:v>
                </c:pt>
                <c:pt idx="388">
                  <c:v>2.9429591190884881</c:v>
                </c:pt>
                <c:pt idx="389">
                  <c:v>2.7811363264700843E-2</c:v>
                </c:pt>
                <c:pt idx="390">
                  <c:v>-0.77256397256164244</c:v>
                </c:pt>
                <c:pt idx="391">
                  <c:v>0.39947920216775701</c:v>
                </c:pt>
              </c:numCache>
            </c:numRef>
          </c:yVal>
          <c:smooth val="0"/>
          <c:extLst>
            <c:ext xmlns:c16="http://schemas.microsoft.com/office/drawing/2014/chart" uri="{C3380CC4-5D6E-409C-BE32-E72D297353CC}">
              <c16:uniqueId val="{00000001-145F-4491-9D55-8A06B74B019F}"/>
            </c:ext>
          </c:extLst>
        </c:ser>
        <c:dLbls>
          <c:showLegendKey val="0"/>
          <c:showVal val="0"/>
          <c:showCatName val="0"/>
          <c:showSerName val="0"/>
          <c:showPercent val="0"/>
          <c:showBubbleSize val="0"/>
        </c:dLbls>
        <c:axId val="193259184"/>
        <c:axId val="193249584"/>
      </c:scatterChart>
      <c:valAx>
        <c:axId val="193259184"/>
        <c:scaling>
          <c:orientation val="minMax"/>
        </c:scaling>
        <c:delete val="0"/>
        <c:axPos val="b"/>
        <c:majorGridlines/>
        <c:title>
          <c:tx>
            <c:rich>
              <a:bodyPr/>
              <a:lstStyle/>
              <a:p>
                <a:pPr>
                  <a:defRPr/>
                </a:pPr>
                <a:r>
                  <a:rPr lang="en-US"/>
                  <a:t>Leverage (Hat Diagonal)</a:t>
                </a:r>
              </a:p>
            </c:rich>
          </c:tx>
          <c:overlay val="0"/>
        </c:title>
        <c:numFmt formatCode="0.00" sourceLinked="0"/>
        <c:majorTickMark val="out"/>
        <c:minorTickMark val="none"/>
        <c:tickLblPos val="nextTo"/>
        <c:crossAx val="193249584"/>
        <c:crosses val="autoZero"/>
        <c:crossBetween val="midCat"/>
      </c:valAx>
      <c:valAx>
        <c:axId val="193249584"/>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9325918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392"/>
                <c:pt idx="0">
                  <c:v>1.2100080743820476</c:v>
                </c:pt>
                <c:pt idx="1">
                  <c:v>-0.32489208383555579</c:v>
                </c:pt>
                <c:pt idx="2">
                  <c:v>1.183812902793471</c:v>
                </c:pt>
                <c:pt idx="3">
                  <c:v>-0.90544185234695385</c:v>
                </c:pt>
                <c:pt idx="4">
                  <c:v>4.7022267319597584E-2</c:v>
                </c:pt>
                <c:pt idx="5">
                  <c:v>3.6510860999541208</c:v>
                </c:pt>
                <c:pt idx="6">
                  <c:v>3.0825035334412503</c:v>
                </c:pt>
                <c:pt idx="7">
                  <c:v>2.7655349161426117</c:v>
                </c:pt>
                <c:pt idx="8">
                  <c:v>3.5552594595502458</c:v>
                </c:pt>
                <c:pt idx="9">
                  <c:v>0.92577038537477119</c:v>
                </c:pt>
                <c:pt idx="10">
                  <c:v>-0.92509290975653957</c:v>
                </c:pt>
                <c:pt idx="11">
                  <c:v>-1.8865804352483559</c:v>
                </c:pt>
                <c:pt idx="12">
                  <c:v>-0.22070482827052071</c:v>
                </c:pt>
                <c:pt idx="13">
                  <c:v>-3.8435111730357563</c:v>
                </c:pt>
                <c:pt idx="14">
                  <c:v>-1.2681887958396396</c:v>
                </c:pt>
                <c:pt idx="15">
                  <c:v>1.2569745440661242</c:v>
                </c:pt>
                <c:pt idx="16">
                  <c:v>-3.2218584921045905</c:v>
                </c:pt>
                <c:pt idx="17">
                  <c:v>-1.2786854952117237</c:v>
                </c:pt>
                <c:pt idx="18">
                  <c:v>0.48949425015706688</c:v>
                </c:pt>
                <c:pt idx="19">
                  <c:v>-2.7805355040656621</c:v>
                </c:pt>
                <c:pt idx="20">
                  <c:v>1.3926195562011692</c:v>
                </c:pt>
                <c:pt idx="21">
                  <c:v>-0.91096744764447179</c:v>
                </c:pt>
                <c:pt idx="22">
                  <c:v>-6.4479519027643914E-2</c:v>
                </c:pt>
                <c:pt idx="23">
                  <c:v>0.5439155543941594</c:v>
                </c:pt>
                <c:pt idx="24">
                  <c:v>-0.86512031043826765</c:v>
                </c:pt>
                <c:pt idx="25">
                  <c:v>0.17482390168274572</c:v>
                </c:pt>
                <c:pt idx="26">
                  <c:v>-1.3417394580617628</c:v>
                </c:pt>
                <c:pt idx="27">
                  <c:v>-9.8463446569470328E-2</c:v>
                </c:pt>
                <c:pt idx="28">
                  <c:v>-0.62519117226832543</c:v>
                </c:pt>
                <c:pt idx="29">
                  <c:v>-0.47165320666572025</c:v>
                </c:pt>
                <c:pt idx="30">
                  <c:v>3.4866006087113477</c:v>
                </c:pt>
                <c:pt idx="31">
                  <c:v>-1.9366264344286415</c:v>
                </c:pt>
                <c:pt idx="32">
                  <c:v>-3.8004614734856772</c:v>
                </c:pt>
                <c:pt idx="33">
                  <c:v>-2.5895671975627113</c:v>
                </c:pt>
                <c:pt idx="34">
                  <c:v>-2.2127516260067122</c:v>
                </c:pt>
                <c:pt idx="35">
                  <c:v>-0.4754483804136751</c:v>
                </c:pt>
                <c:pt idx="36">
                  <c:v>-1.3858169387055854</c:v>
                </c:pt>
                <c:pt idx="37">
                  <c:v>0.40721235819675555</c:v>
                </c:pt>
                <c:pt idx="38">
                  <c:v>1.9358094307204519</c:v>
                </c:pt>
                <c:pt idx="39">
                  <c:v>-8.8147279458074768E-2</c:v>
                </c:pt>
                <c:pt idx="40">
                  <c:v>-0.44545356603365394</c:v>
                </c:pt>
                <c:pt idx="41">
                  <c:v>2.5494811913343516</c:v>
                </c:pt>
                <c:pt idx="42">
                  <c:v>2.3063064578582484</c:v>
                </c:pt>
                <c:pt idx="43">
                  <c:v>4.5379009999192856</c:v>
                </c:pt>
                <c:pt idx="44">
                  <c:v>-2.9334430184822189</c:v>
                </c:pt>
                <c:pt idx="45">
                  <c:v>-2.3441346561546186</c:v>
                </c:pt>
                <c:pt idx="46">
                  <c:v>-0.37528987456564306</c:v>
                </c:pt>
                <c:pt idx="47">
                  <c:v>-2.3813128863916209</c:v>
                </c:pt>
                <c:pt idx="48">
                  <c:v>-2.0614989501083554</c:v>
                </c:pt>
                <c:pt idx="49">
                  <c:v>0.70984418335591737</c:v>
                </c:pt>
                <c:pt idx="50">
                  <c:v>2.2108771264682914</c:v>
                </c:pt>
                <c:pt idx="51">
                  <c:v>2.267016652978127</c:v>
                </c:pt>
                <c:pt idx="52">
                  <c:v>1.4454739739280138</c:v>
                </c:pt>
                <c:pt idx="53">
                  <c:v>4.8862847209451798</c:v>
                </c:pt>
                <c:pt idx="54">
                  <c:v>-2.4046385400095285</c:v>
                </c:pt>
                <c:pt idx="55">
                  <c:v>-0.59616383164650699</c:v>
                </c:pt>
                <c:pt idx="56">
                  <c:v>-1.3956229739450778</c:v>
                </c:pt>
                <c:pt idx="57">
                  <c:v>0.75688330680052995</c:v>
                </c:pt>
                <c:pt idx="58">
                  <c:v>-3.1695718173709837</c:v>
                </c:pt>
                <c:pt idx="59">
                  <c:v>-2.8217850869349266</c:v>
                </c:pt>
                <c:pt idx="60">
                  <c:v>-2.8169852988999708</c:v>
                </c:pt>
                <c:pt idx="61">
                  <c:v>1.0155990074407362</c:v>
                </c:pt>
                <c:pt idx="62">
                  <c:v>2.8190205414092899</c:v>
                </c:pt>
                <c:pt idx="63">
                  <c:v>2.1096679502107949</c:v>
                </c:pt>
                <c:pt idx="64">
                  <c:v>1.087842461370002</c:v>
                </c:pt>
                <c:pt idx="65">
                  <c:v>1.7515965712486721</c:v>
                </c:pt>
                <c:pt idx="66">
                  <c:v>1.5794185331375945</c:v>
                </c:pt>
                <c:pt idx="67">
                  <c:v>2.0565911381379212</c:v>
                </c:pt>
                <c:pt idx="68">
                  <c:v>0.8506226696268826</c:v>
                </c:pt>
                <c:pt idx="69">
                  <c:v>2.23713385702488</c:v>
                </c:pt>
                <c:pt idx="70">
                  <c:v>-6.3366325748937484</c:v>
                </c:pt>
                <c:pt idx="71">
                  <c:v>0.82827295742581442</c:v>
                </c:pt>
                <c:pt idx="72">
                  <c:v>-0.50697597722031873</c:v>
                </c:pt>
                <c:pt idx="73">
                  <c:v>0.7004505710462734</c:v>
                </c:pt>
                <c:pt idx="74">
                  <c:v>0.76290909995306033</c:v>
                </c:pt>
                <c:pt idx="75">
                  <c:v>-3.7996929781103761</c:v>
                </c:pt>
                <c:pt idx="76">
                  <c:v>-2.4580357345029635</c:v>
                </c:pt>
                <c:pt idx="77">
                  <c:v>-0.83091410409803512</c:v>
                </c:pt>
                <c:pt idx="78">
                  <c:v>-8.3433130402048972E-2</c:v>
                </c:pt>
                <c:pt idx="79">
                  <c:v>-0.86215800200213855</c:v>
                </c:pt>
                <c:pt idx="80">
                  <c:v>2.8080925597340181</c:v>
                </c:pt>
                <c:pt idx="81">
                  <c:v>-1.1985802970076538</c:v>
                </c:pt>
                <c:pt idx="82">
                  <c:v>4.1173305504062085</c:v>
                </c:pt>
                <c:pt idx="83">
                  <c:v>0.69039721364847073</c:v>
                </c:pt>
                <c:pt idx="84">
                  <c:v>0.63546285600236851</c:v>
                </c:pt>
                <c:pt idx="85">
                  <c:v>-0.98352170838507258</c:v>
                </c:pt>
                <c:pt idx="86">
                  <c:v>-0.45024690165597714</c:v>
                </c:pt>
                <c:pt idx="87">
                  <c:v>0.72673005321321271</c:v>
                </c:pt>
                <c:pt idx="88">
                  <c:v>0.59027642448547868</c:v>
                </c:pt>
                <c:pt idx="89">
                  <c:v>4.4683140707558282</c:v>
                </c:pt>
                <c:pt idx="90">
                  <c:v>2.1242050518669191</c:v>
                </c:pt>
                <c:pt idx="91">
                  <c:v>1.7222965332401752</c:v>
                </c:pt>
                <c:pt idx="92">
                  <c:v>1.9606599591133254</c:v>
                </c:pt>
                <c:pt idx="93">
                  <c:v>4.6897621797464408</c:v>
                </c:pt>
                <c:pt idx="94">
                  <c:v>4.9804447402668073</c:v>
                </c:pt>
                <c:pt idx="95">
                  <c:v>-0.82516389872297835</c:v>
                </c:pt>
                <c:pt idx="96">
                  <c:v>-0.49210123346204415</c:v>
                </c:pt>
                <c:pt idx="97">
                  <c:v>-1.8234029517523647</c:v>
                </c:pt>
                <c:pt idx="98">
                  <c:v>-1.4958182409210292</c:v>
                </c:pt>
                <c:pt idx="99">
                  <c:v>-1.3062785840346214</c:v>
                </c:pt>
                <c:pt idx="100">
                  <c:v>3.3693882361614556</c:v>
                </c:pt>
                <c:pt idx="101">
                  <c:v>-1.3686106991324294</c:v>
                </c:pt>
                <c:pt idx="102">
                  <c:v>2.9030964503735857</c:v>
                </c:pt>
                <c:pt idx="103">
                  <c:v>3.7117025261796126</c:v>
                </c:pt>
                <c:pt idx="104">
                  <c:v>3.4513085341038012</c:v>
                </c:pt>
                <c:pt idx="105">
                  <c:v>1.7721659628268234</c:v>
                </c:pt>
                <c:pt idx="106">
                  <c:v>-2.3122537497053899</c:v>
                </c:pt>
                <c:pt idx="107">
                  <c:v>-5.2910940882228843</c:v>
                </c:pt>
                <c:pt idx="108">
                  <c:v>-1.7277653817936318</c:v>
                </c:pt>
                <c:pt idx="109">
                  <c:v>-2.5756585438355857</c:v>
                </c:pt>
                <c:pt idx="110">
                  <c:v>-8.1630261181215644</c:v>
                </c:pt>
                <c:pt idx="111">
                  <c:v>-4.0630553801187883</c:v>
                </c:pt>
                <c:pt idx="112">
                  <c:v>-0.75919478577024457</c:v>
                </c:pt>
                <c:pt idx="113">
                  <c:v>1.0479758251352937</c:v>
                </c:pt>
                <c:pt idx="114">
                  <c:v>2.0962834333121685</c:v>
                </c:pt>
                <c:pt idx="115">
                  <c:v>5.8283241238228953</c:v>
                </c:pt>
                <c:pt idx="116">
                  <c:v>1.3904028932765122</c:v>
                </c:pt>
                <c:pt idx="117">
                  <c:v>-1.8526074987725707</c:v>
                </c:pt>
                <c:pt idx="118">
                  <c:v>-3.5052641654598324</c:v>
                </c:pt>
                <c:pt idx="119">
                  <c:v>-2.6844937790394336</c:v>
                </c:pt>
                <c:pt idx="120">
                  <c:v>-1.3816443675927432</c:v>
                </c:pt>
                <c:pt idx="121">
                  <c:v>1.3850808334828952</c:v>
                </c:pt>
                <c:pt idx="122">
                  <c:v>-1.9279677743484764</c:v>
                </c:pt>
                <c:pt idx="123">
                  <c:v>-3.6640805120294742</c:v>
                </c:pt>
                <c:pt idx="124">
                  <c:v>-0.73061406659338524</c:v>
                </c:pt>
                <c:pt idx="125">
                  <c:v>-2.7540688042828116</c:v>
                </c:pt>
                <c:pt idx="126">
                  <c:v>-4.6282218606746248</c:v>
                </c:pt>
                <c:pt idx="127">
                  <c:v>2.0542269352690301</c:v>
                </c:pt>
                <c:pt idx="128">
                  <c:v>1.8451312705276124</c:v>
                </c:pt>
                <c:pt idx="129">
                  <c:v>2.4666817265611751</c:v>
                </c:pt>
                <c:pt idx="130">
                  <c:v>1.1936023696485358</c:v>
                </c:pt>
                <c:pt idx="131">
                  <c:v>-1.2420582720429392</c:v>
                </c:pt>
                <c:pt idx="132">
                  <c:v>-1.8522149305868523</c:v>
                </c:pt>
                <c:pt idx="133">
                  <c:v>5.1822657021993242E-2</c:v>
                </c:pt>
                <c:pt idx="134">
                  <c:v>1.352172340627942</c:v>
                </c:pt>
                <c:pt idx="135">
                  <c:v>1.3520012393499068</c:v>
                </c:pt>
                <c:pt idx="136">
                  <c:v>1.1078548579280603</c:v>
                </c:pt>
                <c:pt idx="137">
                  <c:v>1.9136039570416028</c:v>
                </c:pt>
                <c:pt idx="138">
                  <c:v>4.2965037548326812E-2</c:v>
                </c:pt>
                <c:pt idx="139">
                  <c:v>1.7894221143616966</c:v>
                </c:pt>
                <c:pt idx="140">
                  <c:v>-3.014966375713156</c:v>
                </c:pt>
                <c:pt idx="141">
                  <c:v>-1.0262533009321284</c:v>
                </c:pt>
                <c:pt idx="142">
                  <c:v>0.19477747790765826</c:v>
                </c:pt>
                <c:pt idx="143">
                  <c:v>3.2870477500707613</c:v>
                </c:pt>
                <c:pt idx="144">
                  <c:v>2.1383764804257543</c:v>
                </c:pt>
                <c:pt idx="145">
                  <c:v>-4.2121421627966438</c:v>
                </c:pt>
                <c:pt idx="146">
                  <c:v>-1.3652393358501145</c:v>
                </c:pt>
                <c:pt idx="147">
                  <c:v>-1.9281175847124816</c:v>
                </c:pt>
                <c:pt idx="148">
                  <c:v>-0.41321213148809649</c:v>
                </c:pt>
                <c:pt idx="149">
                  <c:v>2.4525436245562013</c:v>
                </c:pt>
                <c:pt idx="150">
                  <c:v>-0.27108495279249223</c:v>
                </c:pt>
                <c:pt idx="151">
                  <c:v>-0.11574054079709488</c:v>
                </c:pt>
                <c:pt idx="152">
                  <c:v>-3.9769539560774203</c:v>
                </c:pt>
                <c:pt idx="153">
                  <c:v>-5.4019784101142578</c:v>
                </c:pt>
                <c:pt idx="154">
                  <c:v>5.3029050445110562</c:v>
                </c:pt>
                <c:pt idx="155">
                  <c:v>2.6100528576220632</c:v>
                </c:pt>
                <c:pt idx="156">
                  <c:v>4.0451709012266592</c:v>
                </c:pt>
                <c:pt idx="157">
                  <c:v>2.7736878360180524</c:v>
                </c:pt>
                <c:pt idx="158">
                  <c:v>1.2878304114215098</c:v>
                </c:pt>
                <c:pt idx="159">
                  <c:v>0.11052588385341326</c:v>
                </c:pt>
                <c:pt idx="160">
                  <c:v>-1.7206569568704999</c:v>
                </c:pt>
                <c:pt idx="161">
                  <c:v>1.4382523683020749</c:v>
                </c:pt>
                <c:pt idx="162">
                  <c:v>0.87644184931180591</c:v>
                </c:pt>
                <c:pt idx="163">
                  <c:v>0.7928487266320664</c:v>
                </c:pt>
                <c:pt idx="164">
                  <c:v>-6.4723482283894116</c:v>
                </c:pt>
                <c:pt idx="165">
                  <c:v>1.9098400688423862</c:v>
                </c:pt>
                <c:pt idx="166">
                  <c:v>0.39481358273116995</c:v>
                </c:pt>
                <c:pt idx="167">
                  <c:v>-0.98983057035957112</c:v>
                </c:pt>
                <c:pt idx="168">
                  <c:v>6.2540965469578824E-2</c:v>
                </c:pt>
                <c:pt idx="169">
                  <c:v>-0.15812276956041815</c:v>
                </c:pt>
                <c:pt idx="170">
                  <c:v>-1.9504859422695715</c:v>
                </c:pt>
                <c:pt idx="171">
                  <c:v>-0.97615734869187087</c:v>
                </c:pt>
                <c:pt idx="172">
                  <c:v>-2.7471475923583988</c:v>
                </c:pt>
                <c:pt idx="173">
                  <c:v>0.71178642650447477</c:v>
                </c:pt>
                <c:pt idx="174">
                  <c:v>-0.63407125485400384</c:v>
                </c:pt>
                <c:pt idx="175">
                  <c:v>-1.1391919581707675</c:v>
                </c:pt>
                <c:pt idx="176">
                  <c:v>0.13896135696869541</c:v>
                </c:pt>
                <c:pt idx="177">
                  <c:v>-0.80329153237382711</c:v>
                </c:pt>
                <c:pt idx="178">
                  <c:v>1.1908259504853986</c:v>
                </c:pt>
                <c:pt idx="179">
                  <c:v>3.7435292160505722</c:v>
                </c:pt>
                <c:pt idx="180">
                  <c:v>1.9072839775669379</c:v>
                </c:pt>
                <c:pt idx="181">
                  <c:v>-2.5984861636940373</c:v>
                </c:pt>
                <c:pt idx="182">
                  <c:v>1.4648559272859194</c:v>
                </c:pt>
                <c:pt idx="183">
                  <c:v>0.62006006597621544</c:v>
                </c:pt>
                <c:pt idx="184">
                  <c:v>-0.57133516980662136</c:v>
                </c:pt>
                <c:pt idx="185">
                  <c:v>3.1187392629080852</c:v>
                </c:pt>
                <c:pt idx="186">
                  <c:v>1.6015210375266633</c:v>
                </c:pt>
                <c:pt idx="187">
                  <c:v>-0.61781135510291996</c:v>
                </c:pt>
                <c:pt idx="188">
                  <c:v>0.21175314390590697</c:v>
                </c:pt>
                <c:pt idx="189">
                  <c:v>1.9493670839118045</c:v>
                </c:pt>
                <c:pt idx="190">
                  <c:v>2.6599418172327725</c:v>
                </c:pt>
                <c:pt idx="191">
                  <c:v>2.5489444075794045</c:v>
                </c:pt>
                <c:pt idx="192">
                  <c:v>1.5260867965339306</c:v>
                </c:pt>
                <c:pt idx="193">
                  <c:v>2.1363612293758742</c:v>
                </c:pt>
                <c:pt idx="194">
                  <c:v>-1.7465783067471157</c:v>
                </c:pt>
                <c:pt idx="195">
                  <c:v>-0.10392097432115176</c:v>
                </c:pt>
                <c:pt idx="196">
                  <c:v>2.9169102071070268</c:v>
                </c:pt>
                <c:pt idx="197">
                  <c:v>2.0791510168267742</c:v>
                </c:pt>
                <c:pt idx="198">
                  <c:v>-0.77986999604669116</c:v>
                </c:pt>
                <c:pt idx="199">
                  <c:v>0.65768990736194299</c:v>
                </c:pt>
                <c:pt idx="200">
                  <c:v>-2.9924598435242706</c:v>
                </c:pt>
                <c:pt idx="201">
                  <c:v>-0.15753318035326841</c:v>
                </c:pt>
                <c:pt idx="202">
                  <c:v>3.1873971558185059</c:v>
                </c:pt>
                <c:pt idx="203">
                  <c:v>-3.7995567392891873E-2</c:v>
                </c:pt>
                <c:pt idx="204">
                  <c:v>2.6472303005616205</c:v>
                </c:pt>
                <c:pt idx="205">
                  <c:v>-2.5476509214881111</c:v>
                </c:pt>
                <c:pt idx="206">
                  <c:v>-2.8204289808416223</c:v>
                </c:pt>
                <c:pt idx="207">
                  <c:v>-3.2099960765935585</c:v>
                </c:pt>
                <c:pt idx="208">
                  <c:v>-4.7926357388214091</c:v>
                </c:pt>
                <c:pt idx="209">
                  <c:v>-2.377280671107096</c:v>
                </c:pt>
                <c:pt idx="210">
                  <c:v>3.6603805715581426</c:v>
                </c:pt>
                <c:pt idx="211">
                  <c:v>-2.2977495348791548</c:v>
                </c:pt>
                <c:pt idx="212">
                  <c:v>-3.5131232318501744</c:v>
                </c:pt>
                <c:pt idx="213">
                  <c:v>-3.7984357217959599</c:v>
                </c:pt>
                <c:pt idx="214">
                  <c:v>1.4272391744059334</c:v>
                </c:pt>
                <c:pt idx="215">
                  <c:v>2.8031429588783547</c:v>
                </c:pt>
                <c:pt idx="216">
                  <c:v>4.9588651964746262</c:v>
                </c:pt>
                <c:pt idx="217">
                  <c:v>-0.87692201307328821</c:v>
                </c:pt>
                <c:pt idx="218">
                  <c:v>3.0291585518993434</c:v>
                </c:pt>
                <c:pt idx="219">
                  <c:v>-4.0961724283079821E-2</c:v>
                </c:pt>
                <c:pt idx="220">
                  <c:v>-0.20684911065557374</c:v>
                </c:pt>
                <c:pt idx="221">
                  <c:v>-0.75390821236976391</c:v>
                </c:pt>
                <c:pt idx="222">
                  <c:v>-0.71584276694594318</c:v>
                </c:pt>
                <c:pt idx="223">
                  <c:v>-2.5293347896056892</c:v>
                </c:pt>
                <c:pt idx="224">
                  <c:v>7.6995335175618091E-3</c:v>
                </c:pt>
                <c:pt idx="225">
                  <c:v>-0.56103521930778333</c:v>
                </c:pt>
                <c:pt idx="226">
                  <c:v>-1.6729617998821742</c:v>
                </c:pt>
                <c:pt idx="227">
                  <c:v>0.79044008607670257</c:v>
                </c:pt>
                <c:pt idx="228">
                  <c:v>-0.19957722463212463</c:v>
                </c:pt>
                <c:pt idx="229">
                  <c:v>1.0000607793284439</c:v>
                </c:pt>
                <c:pt idx="230">
                  <c:v>0.8671923239578595</c:v>
                </c:pt>
                <c:pt idx="231">
                  <c:v>-1.4655317270080581</c:v>
                </c:pt>
                <c:pt idx="232">
                  <c:v>0.27395379837911998</c:v>
                </c:pt>
                <c:pt idx="233">
                  <c:v>-3.0578978784161763</c:v>
                </c:pt>
                <c:pt idx="234">
                  <c:v>1.4113508763323768</c:v>
                </c:pt>
                <c:pt idx="235">
                  <c:v>2.4883977288064218</c:v>
                </c:pt>
                <c:pt idx="236">
                  <c:v>6.1190715761600645</c:v>
                </c:pt>
                <c:pt idx="237">
                  <c:v>-0.48373231559097696</c:v>
                </c:pt>
                <c:pt idx="238">
                  <c:v>1.4500384772619079</c:v>
                </c:pt>
                <c:pt idx="239">
                  <c:v>-3.9643599743230742</c:v>
                </c:pt>
                <c:pt idx="240">
                  <c:v>-5.3155956956869144</c:v>
                </c:pt>
                <c:pt idx="241">
                  <c:v>-4.7712556127595311</c:v>
                </c:pt>
                <c:pt idx="242">
                  <c:v>13.172969859036932</c:v>
                </c:pt>
                <c:pt idx="243">
                  <c:v>7.2107389430349338</c:v>
                </c:pt>
                <c:pt idx="244">
                  <c:v>2.3466857362476961</c:v>
                </c:pt>
                <c:pt idx="245">
                  <c:v>9.9554372747366244</c:v>
                </c:pt>
                <c:pt idx="246">
                  <c:v>4.9352531059743807</c:v>
                </c:pt>
                <c:pt idx="247">
                  <c:v>-0.68587551764978061</c:v>
                </c:pt>
                <c:pt idx="248">
                  <c:v>1.2345601813654887</c:v>
                </c:pt>
                <c:pt idx="249">
                  <c:v>1.1815761705870749</c:v>
                </c:pt>
                <c:pt idx="250">
                  <c:v>-0.60585800295101544</c:v>
                </c:pt>
                <c:pt idx="251">
                  <c:v>-1.4167404873075868</c:v>
                </c:pt>
                <c:pt idx="252">
                  <c:v>-2.8913596010713207</c:v>
                </c:pt>
                <c:pt idx="253">
                  <c:v>0.94148563341357638</c:v>
                </c:pt>
                <c:pt idx="254">
                  <c:v>0.10506983571429845</c:v>
                </c:pt>
                <c:pt idx="255">
                  <c:v>-2.3545810557722127</c:v>
                </c:pt>
                <c:pt idx="256">
                  <c:v>3.0523302712988379E-2</c:v>
                </c:pt>
                <c:pt idx="257">
                  <c:v>-1.723326070081828</c:v>
                </c:pt>
                <c:pt idx="258">
                  <c:v>-0.69717173920131104</c:v>
                </c:pt>
                <c:pt idx="259">
                  <c:v>-2.1386075346668387</c:v>
                </c:pt>
                <c:pt idx="260">
                  <c:v>-0.5115609010677975</c:v>
                </c:pt>
                <c:pt idx="261">
                  <c:v>-1.6479969729567439</c:v>
                </c:pt>
                <c:pt idx="262">
                  <c:v>-2.9125137222361368</c:v>
                </c:pt>
                <c:pt idx="263">
                  <c:v>1.0789444422452303</c:v>
                </c:pt>
                <c:pt idx="264">
                  <c:v>2.7279332663852474</c:v>
                </c:pt>
                <c:pt idx="265">
                  <c:v>0.57796223623426646</c:v>
                </c:pt>
                <c:pt idx="266">
                  <c:v>-1.0711803357534211</c:v>
                </c:pt>
                <c:pt idx="267">
                  <c:v>4.1706195347204673</c:v>
                </c:pt>
                <c:pt idx="268">
                  <c:v>-6.3186671786628619</c:v>
                </c:pt>
                <c:pt idx="269">
                  <c:v>-0.60529074787668646</c:v>
                </c:pt>
                <c:pt idx="270">
                  <c:v>0.25478709625108759</c:v>
                </c:pt>
                <c:pt idx="271">
                  <c:v>-3.9517368854472457</c:v>
                </c:pt>
                <c:pt idx="272">
                  <c:v>-5.249910065539158</c:v>
                </c:pt>
                <c:pt idx="273">
                  <c:v>-6.7203198918387006</c:v>
                </c:pt>
                <c:pt idx="274">
                  <c:v>-3.8872190534951492</c:v>
                </c:pt>
                <c:pt idx="275">
                  <c:v>-6.0047147778711754</c:v>
                </c:pt>
                <c:pt idx="276">
                  <c:v>1.4623181250331558</c:v>
                </c:pt>
                <c:pt idx="277">
                  <c:v>-3.6378396493163552E-2</c:v>
                </c:pt>
                <c:pt idx="278">
                  <c:v>-2.0730944715248181</c:v>
                </c:pt>
                <c:pt idx="279">
                  <c:v>-5.689215893688961</c:v>
                </c:pt>
                <c:pt idx="280">
                  <c:v>-3.5647066647545036</c:v>
                </c:pt>
                <c:pt idx="281">
                  <c:v>-3.7480812959207248</c:v>
                </c:pt>
                <c:pt idx="282">
                  <c:v>-2.4857703157514068</c:v>
                </c:pt>
                <c:pt idx="283">
                  <c:v>-3.3684781400953385</c:v>
                </c:pt>
                <c:pt idx="284">
                  <c:v>-3.3645063076537625</c:v>
                </c:pt>
                <c:pt idx="285">
                  <c:v>-3.1514032711482001</c:v>
                </c:pt>
                <c:pt idx="286">
                  <c:v>-2.0907170773706709</c:v>
                </c:pt>
                <c:pt idx="287">
                  <c:v>-0.31809050204315797</c:v>
                </c:pt>
                <c:pt idx="288">
                  <c:v>-3.6059485901935111</c:v>
                </c:pt>
                <c:pt idx="289">
                  <c:v>-2.4004925965185984</c:v>
                </c:pt>
                <c:pt idx="290">
                  <c:v>-0.95048942458633334</c:v>
                </c:pt>
                <c:pt idx="291">
                  <c:v>-0.98605639233942755</c:v>
                </c:pt>
                <c:pt idx="292">
                  <c:v>1.3670037188506496</c:v>
                </c:pt>
                <c:pt idx="293">
                  <c:v>5.1633697821778473</c:v>
                </c:pt>
                <c:pt idx="294">
                  <c:v>0.43724928051442197</c:v>
                </c:pt>
                <c:pt idx="295">
                  <c:v>0.85139434315021811</c:v>
                </c:pt>
                <c:pt idx="296">
                  <c:v>3.0977812961657025</c:v>
                </c:pt>
                <c:pt idx="297">
                  <c:v>0.8225020442244626</c:v>
                </c:pt>
                <c:pt idx="298">
                  <c:v>0.91834854443439506</c:v>
                </c:pt>
                <c:pt idx="299">
                  <c:v>4.8845313729495441</c:v>
                </c:pt>
                <c:pt idx="300">
                  <c:v>4.9374865969260453</c:v>
                </c:pt>
                <c:pt idx="301">
                  <c:v>-0.81475612395877628</c:v>
                </c:pt>
                <c:pt idx="302">
                  <c:v>5.7507449438926201</c:v>
                </c:pt>
                <c:pt idx="303">
                  <c:v>1.6446400365817315</c:v>
                </c:pt>
                <c:pt idx="304">
                  <c:v>2.1095716877447965</c:v>
                </c:pt>
                <c:pt idx="305">
                  <c:v>0.56613825389506667</c:v>
                </c:pt>
                <c:pt idx="306">
                  <c:v>6.3524807998872328</c:v>
                </c:pt>
                <c:pt idx="307">
                  <c:v>6.0984026302550962</c:v>
                </c:pt>
                <c:pt idx="308">
                  <c:v>1.1706714109260627</c:v>
                </c:pt>
                <c:pt idx="309">
                  <c:v>-1.9927384262907488</c:v>
                </c:pt>
                <c:pt idx="310">
                  <c:v>0.58486360216876521</c:v>
                </c:pt>
                <c:pt idx="311">
                  <c:v>-2.976726537089081</c:v>
                </c:pt>
                <c:pt idx="312">
                  <c:v>-3.6633814291028064</c:v>
                </c:pt>
                <c:pt idx="313">
                  <c:v>-5.1220048439410277</c:v>
                </c:pt>
                <c:pt idx="314">
                  <c:v>-8.5916411516912579</c:v>
                </c:pt>
                <c:pt idx="315">
                  <c:v>-1.2118597417157482</c:v>
                </c:pt>
                <c:pt idx="316">
                  <c:v>-3.0655192197449512</c:v>
                </c:pt>
                <c:pt idx="317">
                  <c:v>-2.6467931870703998</c:v>
                </c:pt>
                <c:pt idx="318">
                  <c:v>3.0319775373322515</c:v>
                </c:pt>
                <c:pt idx="319">
                  <c:v>-3.1661013760358463</c:v>
                </c:pt>
                <c:pt idx="320">
                  <c:v>10.883810167287475</c:v>
                </c:pt>
                <c:pt idx="321">
                  <c:v>-2.1820627918095452</c:v>
                </c:pt>
                <c:pt idx="322">
                  <c:v>4.8260964571068961</c:v>
                </c:pt>
                <c:pt idx="323">
                  <c:v>8.2450623796628069</c:v>
                </c:pt>
                <c:pt idx="324">
                  <c:v>8.6539501266128589</c:v>
                </c:pt>
                <c:pt idx="325">
                  <c:v>4.9059274339758225</c:v>
                </c:pt>
                <c:pt idx="326">
                  <c:v>-0.27056580601217284</c:v>
                </c:pt>
                <c:pt idx="327">
                  <c:v>7.4613026459247909</c:v>
                </c:pt>
                <c:pt idx="328">
                  <c:v>-2.2657409064896892</c:v>
                </c:pt>
                <c:pt idx="329">
                  <c:v>-8.0533902446309327</c:v>
                </c:pt>
                <c:pt idx="330">
                  <c:v>1.7563955555362023</c:v>
                </c:pt>
                <c:pt idx="331">
                  <c:v>-10.838973454580945</c:v>
                </c:pt>
                <c:pt idx="332">
                  <c:v>1.3585205064989019</c:v>
                </c:pt>
                <c:pt idx="333">
                  <c:v>-2.8766269478620665</c:v>
                </c:pt>
                <c:pt idx="334">
                  <c:v>-2.1418096775819828</c:v>
                </c:pt>
                <c:pt idx="335">
                  <c:v>-1.998493463261761</c:v>
                </c:pt>
                <c:pt idx="336">
                  <c:v>-2.780055118751505</c:v>
                </c:pt>
                <c:pt idx="337">
                  <c:v>-4.3410279640583722</c:v>
                </c:pt>
                <c:pt idx="338">
                  <c:v>0.22788351573076224</c:v>
                </c:pt>
                <c:pt idx="339">
                  <c:v>3.8054728687064601</c:v>
                </c:pt>
                <c:pt idx="340">
                  <c:v>6.6445311301547934</c:v>
                </c:pt>
                <c:pt idx="341">
                  <c:v>-0.30938040590444266</c:v>
                </c:pt>
                <c:pt idx="342">
                  <c:v>-1.5006308250466205</c:v>
                </c:pt>
                <c:pt idx="343">
                  <c:v>2.893361143641016</c:v>
                </c:pt>
                <c:pt idx="344">
                  <c:v>3.9702608972363658</c:v>
                </c:pt>
                <c:pt idx="345">
                  <c:v>-2.8426223274999059E-2</c:v>
                </c:pt>
                <c:pt idx="346">
                  <c:v>3.8893503903662565</c:v>
                </c:pt>
                <c:pt idx="347">
                  <c:v>2.7151066973755023</c:v>
                </c:pt>
                <c:pt idx="348">
                  <c:v>-0.22578160987868934</c:v>
                </c:pt>
                <c:pt idx="349">
                  <c:v>0.13728101479455224</c:v>
                </c:pt>
                <c:pt idx="350">
                  <c:v>0.86152239613963622</c:v>
                </c:pt>
                <c:pt idx="351">
                  <c:v>0.24485782917570523</c:v>
                </c:pt>
                <c:pt idx="352">
                  <c:v>2.5981412397478714</c:v>
                </c:pt>
                <c:pt idx="353">
                  <c:v>0.90304962182470216</c:v>
                </c:pt>
                <c:pt idx="354">
                  <c:v>0.63376882204496587</c:v>
                </c:pt>
                <c:pt idx="355">
                  <c:v>2.9617001560079528</c:v>
                </c:pt>
                <c:pt idx="356">
                  <c:v>-3.4839809548703737</c:v>
                </c:pt>
                <c:pt idx="357">
                  <c:v>-4.523306015457635</c:v>
                </c:pt>
                <c:pt idx="358">
                  <c:v>-1.8185005649100505</c:v>
                </c:pt>
                <c:pt idx="359">
                  <c:v>4.1316504383413868</c:v>
                </c:pt>
                <c:pt idx="360">
                  <c:v>-6.3580959316020236</c:v>
                </c:pt>
                <c:pt idx="361">
                  <c:v>-7.0372864508557216</c:v>
                </c:pt>
                <c:pt idx="362">
                  <c:v>-2.3660140278767634</c:v>
                </c:pt>
                <c:pt idx="363">
                  <c:v>-3.218739277762225</c:v>
                </c:pt>
                <c:pt idx="364">
                  <c:v>2.7582262206913275</c:v>
                </c:pt>
                <c:pt idx="365">
                  <c:v>0.53675917505933879</c:v>
                </c:pt>
                <c:pt idx="366">
                  <c:v>-1.8168501678208238</c:v>
                </c:pt>
                <c:pt idx="367">
                  <c:v>-2.6859160950120042</c:v>
                </c:pt>
                <c:pt idx="368">
                  <c:v>-5.0802234469046841</c:v>
                </c:pt>
                <c:pt idx="369">
                  <c:v>0.40931534136625308</c:v>
                </c:pt>
                <c:pt idx="370">
                  <c:v>1.4591095280309649</c:v>
                </c:pt>
                <c:pt idx="371">
                  <c:v>-5.0977117902675833</c:v>
                </c:pt>
                <c:pt idx="372">
                  <c:v>5.0769452576811966</c:v>
                </c:pt>
                <c:pt idx="373">
                  <c:v>3.1149854368554237</c:v>
                </c:pt>
                <c:pt idx="374">
                  <c:v>1.4700677352177172</c:v>
                </c:pt>
                <c:pt idx="375">
                  <c:v>1.4864872849135642</c:v>
                </c:pt>
                <c:pt idx="376">
                  <c:v>-0.47806161701037769</c:v>
                </c:pt>
                <c:pt idx="377">
                  <c:v>2.1687985727788202</c:v>
                </c:pt>
                <c:pt idx="378">
                  <c:v>-4.0969444301977775</c:v>
                </c:pt>
                <c:pt idx="379">
                  <c:v>2.3278005531407135</c:v>
                </c:pt>
                <c:pt idx="380">
                  <c:v>-3.3250079143703672</c:v>
                </c:pt>
                <c:pt idx="381">
                  <c:v>10.130652776239751</c:v>
                </c:pt>
                <c:pt idx="382">
                  <c:v>-4.4798809472729442</c:v>
                </c:pt>
                <c:pt idx="383">
                  <c:v>-6.9955997457344044</c:v>
                </c:pt>
                <c:pt idx="384">
                  <c:v>9.6543441758292686E-2</c:v>
                </c:pt>
                <c:pt idx="385">
                  <c:v>4.6351514576143735</c:v>
                </c:pt>
                <c:pt idx="386">
                  <c:v>-1.5587308909671378</c:v>
                </c:pt>
                <c:pt idx="387">
                  <c:v>-2.4655038674426057</c:v>
                </c:pt>
                <c:pt idx="388">
                  <c:v>9.2693183050970411</c:v>
                </c:pt>
                <c:pt idx="389">
                  <c:v>8.69730953000762E-2</c:v>
                </c:pt>
                <c:pt idx="390">
                  <c:v>-2.4134903280417555</c:v>
                </c:pt>
                <c:pt idx="391">
                  <c:v>1.247924205674755</c:v>
                </c:pt>
              </c:numCache>
            </c:numRef>
          </c:val>
          <c:extLst>
            <c:ext xmlns:c16="http://schemas.microsoft.com/office/drawing/2014/chart" uri="{C3380CC4-5D6E-409C-BE32-E72D297353CC}">
              <c16:uniqueId val="{00000001-F581-455D-BF6C-3F76EA7E477B}"/>
            </c:ext>
          </c:extLst>
        </c:ser>
        <c:dLbls>
          <c:showLegendKey val="0"/>
          <c:showVal val="0"/>
          <c:showCatName val="0"/>
          <c:showSerName val="0"/>
          <c:showPercent val="0"/>
          <c:showBubbleSize val="0"/>
        </c:dLbls>
        <c:gapWidth val="150"/>
        <c:axId val="193256784"/>
        <c:axId val="193251984"/>
      </c:barChart>
      <c:catAx>
        <c:axId val="193256784"/>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93251984"/>
        <c:crosses val="autoZero"/>
        <c:auto val="1"/>
        <c:lblAlgn val="ctr"/>
        <c:lblOffset val="100"/>
        <c:noMultiLvlLbl val="0"/>
      </c:catAx>
      <c:valAx>
        <c:axId val="193251984"/>
        <c:scaling>
          <c:orientation val="minMax"/>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193256784"/>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Univariate!$G$14</c:f>
          <c:strCache>
            <c:ptCount val="1"/>
            <c:pt idx="0">
              <c:v>Sturges Method Histogram</c:v>
            </c:pt>
          </c:strCache>
        </c:strRef>
      </c:tx>
      <c:overlay val="0"/>
    </c:title>
    <c:autoTitleDeleted val="0"/>
    <c:plotArea>
      <c:layout/>
      <c:barChart>
        <c:barDir val="col"/>
        <c:grouping val="clustered"/>
        <c:varyColors val="0"/>
        <c:ser>
          <c:idx val="0"/>
          <c:order val="0"/>
          <c:tx>
            <c:v>Count</c:v>
          </c:tx>
          <c:invertIfNegative val="0"/>
          <c:cat>
            <c:numRef>
              <c:f>Univariate!UV_Sturges_Upper_Edges</c:f>
              <c:numCache>
                <c:formatCode>0.0</c:formatCode>
                <c:ptCount val="1"/>
                <c:pt idx="0">
                  <c:v>0</c:v>
                </c:pt>
              </c:numCache>
            </c:numRef>
          </c:cat>
          <c:val>
            <c:numRef>
              <c:f>Univariate!UV_Sturges_Counts</c:f>
              <c:numCache>
                <c:formatCode>0</c:formatCode>
                <c:ptCount val="1"/>
                <c:pt idx="0">
                  <c:v>0</c:v>
                </c:pt>
              </c:numCache>
            </c:numRef>
          </c:val>
          <c:extLst>
            <c:ext xmlns:c16="http://schemas.microsoft.com/office/drawing/2014/chart" uri="{C3380CC4-5D6E-409C-BE32-E72D297353CC}">
              <c16:uniqueId val="{00000001-3BB7-4EA1-AB13-6B06BCDD3786}"/>
            </c:ext>
          </c:extLst>
        </c:ser>
        <c:dLbls>
          <c:showLegendKey val="0"/>
          <c:showVal val="0"/>
          <c:showCatName val="0"/>
          <c:showSerName val="0"/>
          <c:showPercent val="0"/>
          <c:showBubbleSize val="0"/>
        </c:dLbls>
        <c:gapWidth val="0"/>
        <c:axId val="1488257135"/>
        <c:axId val="1488245135"/>
      </c:barChart>
      <c:lineChart>
        <c:grouping val="standard"/>
        <c:varyColors val="0"/>
        <c:ser>
          <c:idx val="1"/>
          <c:order val="1"/>
          <c:tx>
            <c:v>Normal</c:v>
          </c:tx>
          <c:marker>
            <c:symbol val="none"/>
          </c:marker>
          <c:cat>
            <c:numRef>
              <c:f>Univariate!UV_Sturges_Upper_Edges</c:f>
              <c:numCache>
                <c:formatCode>0.0</c:formatCode>
                <c:ptCount val="1"/>
                <c:pt idx="0">
                  <c:v>0</c:v>
                </c:pt>
              </c:numCache>
            </c:numRef>
          </c:cat>
          <c:val>
            <c:numRef>
              <c:f>Univariate!UV_Sturges_Normal_Expected</c:f>
              <c:numCache>
                <c:formatCode>General</c:formatCode>
                <c:ptCount val="10"/>
                <c:pt idx="0">
                  <c:v>35.378542784900617</c:v>
                </c:pt>
                <c:pt idx="1">
                  <c:v>48.050434974896113</c:v>
                </c:pt>
                <c:pt idx="2">
                  <c:v>57.047362103864138</c:v>
                </c:pt>
                <c:pt idx="3">
                  <c:v>59.20470590772927</c:v>
                </c:pt>
                <c:pt idx="4">
                  <c:v>53.710555427394418</c:v>
                </c:pt>
                <c:pt idx="5">
                  <c:v>42.593656956875172</c:v>
                </c:pt>
                <c:pt idx="6">
                  <c:v>29.526365106078405</c:v>
                </c:pt>
                <c:pt idx="7">
                  <c:v>17.891696385476688</c:v>
                </c:pt>
                <c:pt idx="8">
                  <c:v>9.4768731886211253</c:v>
                </c:pt>
                <c:pt idx="9">
                  <c:v>4.3877820085819117</c:v>
                </c:pt>
              </c:numCache>
            </c:numRef>
          </c:val>
          <c:smooth val="1"/>
          <c:extLst>
            <c:ext xmlns:c16="http://schemas.microsoft.com/office/drawing/2014/chart" uri="{C3380CC4-5D6E-409C-BE32-E72D297353CC}">
              <c16:uniqueId val="{00000002-3BB7-4EA1-AB13-6B06BCDD3786}"/>
            </c:ext>
          </c:extLst>
        </c:ser>
        <c:ser>
          <c:idx val="2"/>
          <c:order val="2"/>
          <c:tx>
            <c:v>Lognormal</c:v>
          </c:tx>
          <c:marker>
            <c:symbol val="none"/>
          </c:marker>
          <c:cat>
            <c:numRef>
              <c:f>Univariate!UV_Sturges_Upper_Edges</c:f>
              <c:numCache>
                <c:formatCode>0.0</c:formatCode>
                <c:ptCount val="1"/>
                <c:pt idx="0">
                  <c:v>0</c:v>
                </c:pt>
              </c:numCache>
            </c:numRef>
          </c:cat>
          <c:val>
            <c:numRef>
              <c:f>Univariate!UV_Sturges_Lognormal_Expected</c:f>
              <c:numCache>
                <c:formatCode>General</c:formatCode>
                <c:ptCount val="10"/>
                <c:pt idx="0">
                  <c:v>61.109402495462447</c:v>
                </c:pt>
                <c:pt idx="1">
                  <c:v>79.08653578052008</c:v>
                </c:pt>
                <c:pt idx="2">
                  <c:v>70.965283699556835</c:v>
                </c:pt>
                <c:pt idx="3">
                  <c:v>54.429866469942368</c:v>
                </c:pt>
                <c:pt idx="4">
                  <c:v>38.800771445277988</c:v>
                </c:pt>
                <c:pt idx="5">
                  <c:v>26.715901279844541</c:v>
                </c:pt>
                <c:pt idx="6">
                  <c:v>18.116377723299234</c:v>
                </c:pt>
                <c:pt idx="7">
                  <c:v>12.226128486758201</c:v>
                </c:pt>
                <c:pt idx="8">
                  <c:v>8.2597116809360429</c:v>
                </c:pt>
                <c:pt idx="9">
                  <c:v>5.6046523187645221</c:v>
                </c:pt>
              </c:numCache>
            </c:numRef>
          </c:val>
          <c:smooth val="1"/>
          <c:extLst>
            <c:ext xmlns:c16="http://schemas.microsoft.com/office/drawing/2014/chart" uri="{C3380CC4-5D6E-409C-BE32-E72D297353CC}">
              <c16:uniqueId val="{00000003-3BB7-4EA1-AB13-6B06BCDD3786}"/>
            </c:ext>
          </c:extLst>
        </c:ser>
        <c:ser>
          <c:idx val="3"/>
          <c:order val="3"/>
          <c:tx>
            <c:v>Exponential</c:v>
          </c:tx>
          <c:marker>
            <c:symbol val="none"/>
          </c:marker>
          <c:cat>
            <c:numRef>
              <c:f>Univariate!UV_Sturges_Upper_Edges</c:f>
              <c:numCache>
                <c:formatCode>0.0</c:formatCode>
                <c:ptCount val="1"/>
                <c:pt idx="0">
                  <c:v>0</c:v>
                </c:pt>
              </c:numCache>
            </c:numRef>
          </c:cat>
          <c:val>
            <c:numRef>
              <c:f>Univariate!UV_Sturges_Exponential_Expected</c:f>
              <c:numCache>
                <c:formatCode>General</c:formatCode>
                <c:ptCount val="10"/>
                <c:pt idx="0">
                  <c:v>51.59954899368627</c:v>
                </c:pt>
                <c:pt idx="1">
                  <c:v>42.30167921814094</c:v>
                </c:pt>
                <c:pt idx="2">
                  <c:v>34.679219093435329</c:v>
                </c:pt>
                <c:pt idx="3">
                  <c:v>28.430271780197746</c:v>
                </c:pt>
                <c:pt idx="4">
                  <c:v>23.30734009085322</c:v>
                </c:pt>
                <c:pt idx="5">
                  <c:v>19.107524061344581</c:v>
                </c:pt>
                <c:pt idx="6">
                  <c:v>15.664484850338695</c:v>
                </c:pt>
                <c:pt idx="7">
                  <c:v>12.841856686335261</c:v>
                </c:pt>
                <c:pt idx="8">
                  <c:v>10.527845934800007</c:v>
                </c:pt>
                <c:pt idx="9">
                  <c:v>8.6308033747816744</c:v>
                </c:pt>
              </c:numCache>
            </c:numRef>
          </c:val>
          <c:smooth val="1"/>
          <c:extLst>
            <c:ext xmlns:c16="http://schemas.microsoft.com/office/drawing/2014/chart" uri="{C3380CC4-5D6E-409C-BE32-E72D297353CC}">
              <c16:uniqueId val="{00000004-3BB7-4EA1-AB13-6B06BCDD3786}"/>
            </c:ext>
          </c:extLst>
        </c:ser>
        <c:ser>
          <c:idx val="4"/>
          <c:order val="4"/>
          <c:tx>
            <c:v>Weibull</c:v>
          </c:tx>
          <c:marker>
            <c:symbol val="none"/>
          </c:marker>
          <c:cat>
            <c:numRef>
              <c:f>Univariate!UV_Sturges_Upper_Edges</c:f>
              <c:numCache>
                <c:formatCode>0.0</c:formatCode>
                <c:ptCount val="1"/>
                <c:pt idx="0">
                  <c:v>0</c:v>
                </c:pt>
              </c:numCache>
            </c:numRef>
          </c:cat>
          <c:val>
            <c:numRef>
              <c:f>Univariate!UV_Sturges_Weibull_Expected</c:f>
              <c:numCache>
                <c:formatCode>General</c:formatCode>
                <c:ptCount val="10"/>
                <c:pt idx="0">
                  <c:v>0</c:v>
                </c:pt>
                <c:pt idx="1">
                  <c:v>0</c:v>
                </c:pt>
                <c:pt idx="2">
                  <c:v>0</c:v>
                </c:pt>
                <c:pt idx="3">
                  <c:v>0</c:v>
                </c:pt>
                <c:pt idx="4">
                  <c:v>0</c:v>
                </c:pt>
                <c:pt idx="5">
                  <c:v>0</c:v>
                </c:pt>
                <c:pt idx="6">
                  <c:v>0</c:v>
                </c:pt>
                <c:pt idx="7">
                  <c:v>0</c:v>
                </c:pt>
                <c:pt idx="8">
                  <c:v>0</c:v>
                </c:pt>
                <c:pt idx="9">
                  <c:v>0</c:v>
                </c:pt>
              </c:numCache>
            </c:numRef>
          </c:val>
          <c:smooth val="1"/>
          <c:extLst>
            <c:ext xmlns:c16="http://schemas.microsoft.com/office/drawing/2014/chart" uri="{C3380CC4-5D6E-409C-BE32-E72D297353CC}">
              <c16:uniqueId val="{00000005-3BB7-4EA1-AB13-6B06BCDD3786}"/>
            </c:ext>
          </c:extLst>
        </c:ser>
        <c:ser>
          <c:idx val="5"/>
          <c:order val="5"/>
          <c:tx>
            <c:v>Gamma</c:v>
          </c:tx>
          <c:marker>
            <c:symbol val="none"/>
          </c:marker>
          <c:cat>
            <c:numRef>
              <c:f>Univariate!UV_Sturges_Upper_Edges</c:f>
              <c:numCache>
                <c:formatCode>0.0</c:formatCode>
                <c:ptCount val="1"/>
                <c:pt idx="0">
                  <c:v>0</c:v>
                </c:pt>
              </c:numCache>
            </c:numRef>
          </c:cat>
          <c:val>
            <c:numRef>
              <c:f>Univariate!UV_Sturges_Gamma_Expected</c:f>
              <c:numCache>
                <c:formatCode>General</c:formatCode>
                <c:ptCount val="10"/>
                <c:pt idx="0">
                  <c:v>0</c:v>
                </c:pt>
                <c:pt idx="1">
                  <c:v>0</c:v>
                </c:pt>
                <c:pt idx="2">
                  <c:v>0</c:v>
                </c:pt>
                <c:pt idx="3">
                  <c:v>0</c:v>
                </c:pt>
                <c:pt idx="4">
                  <c:v>0</c:v>
                </c:pt>
                <c:pt idx="5">
                  <c:v>0</c:v>
                </c:pt>
                <c:pt idx="6">
                  <c:v>0</c:v>
                </c:pt>
                <c:pt idx="7">
                  <c:v>0</c:v>
                </c:pt>
                <c:pt idx="8">
                  <c:v>0</c:v>
                </c:pt>
                <c:pt idx="9">
                  <c:v>0</c:v>
                </c:pt>
              </c:numCache>
            </c:numRef>
          </c:val>
          <c:smooth val="1"/>
          <c:extLst>
            <c:ext xmlns:c16="http://schemas.microsoft.com/office/drawing/2014/chart" uri="{C3380CC4-5D6E-409C-BE32-E72D297353CC}">
              <c16:uniqueId val="{00000006-3BB7-4EA1-AB13-6B06BCDD3786}"/>
            </c:ext>
          </c:extLst>
        </c:ser>
        <c:ser>
          <c:idx val="6"/>
          <c:order val="6"/>
          <c:tx>
            <c:v>Triangular</c:v>
          </c:tx>
          <c:marker>
            <c:symbol val="none"/>
          </c:marker>
          <c:cat>
            <c:numRef>
              <c:f>Univariate!UV_Sturges_Upper_Edges</c:f>
              <c:numCache>
                <c:formatCode>0.0</c:formatCode>
                <c:ptCount val="1"/>
                <c:pt idx="0">
                  <c:v>0</c:v>
                </c:pt>
              </c:numCache>
            </c:numRef>
          </c:cat>
          <c:val>
            <c:numRef>
              <c:f>Univariate!UV_Sturges_Triangular_Expected</c:f>
              <c:numCache>
                <c:formatCode>General</c:formatCode>
                <c:ptCount val="1"/>
                <c:pt idx="0">
                  <c:v>0</c:v>
                </c:pt>
              </c:numCache>
            </c:numRef>
          </c:val>
          <c:smooth val="1"/>
          <c:extLst>
            <c:ext xmlns:c16="http://schemas.microsoft.com/office/drawing/2014/chart" uri="{C3380CC4-5D6E-409C-BE32-E72D297353CC}">
              <c16:uniqueId val="{00000007-3BB7-4EA1-AB13-6B06BCDD3786}"/>
            </c:ext>
          </c:extLst>
        </c:ser>
        <c:ser>
          <c:idx val="7"/>
          <c:order val="7"/>
          <c:tx>
            <c:v>Beta</c:v>
          </c:tx>
          <c:marker>
            <c:symbol val="none"/>
          </c:marker>
          <c:cat>
            <c:numRef>
              <c:f>Univariate!UV_Sturges_Upper_Edges</c:f>
              <c:numCache>
                <c:formatCode>0.0</c:formatCode>
                <c:ptCount val="1"/>
                <c:pt idx="0">
                  <c:v>0</c:v>
                </c:pt>
              </c:numCache>
            </c:numRef>
          </c:cat>
          <c:val>
            <c:numRef>
              <c:f>Univariate!UV_Sturges_Beta_Expected</c:f>
              <c:numCache>
                <c:formatCode>General</c:formatCode>
                <c:ptCount val="1"/>
                <c:pt idx="0">
                  <c:v>0</c:v>
                </c:pt>
              </c:numCache>
            </c:numRef>
          </c:val>
          <c:smooth val="1"/>
          <c:extLst>
            <c:ext xmlns:c16="http://schemas.microsoft.com/office/drawing/2014/chart" uri="{C3380CC4-5D6E-409C-BE32-E72D297353CC}">
              <c16:uniqueId val="{00000008-3BB7-4EA1-AB13-6B06BCDD3786}"/>
            </c:ext>
          </c:extLst>
        </c:ser>
        <c:ser>
          <c:idx val="8"/>
          <c:order val="8"/>
          <c:tx>
            <c:v>BetaPERT</c:v>
          </c:tx>
          <c:marker>
            <c:symbol val="none"/>
          </c:marker>
          <c:cat>
            <c:numRef>
              <c:f>Univariate!UV_Sturges_Upper_Edges</c:f>
              <c:numCache>
                <c:formatCode>0.0</c:formatCode>
                <c:ptCount val="1"/>
                <c:pt idx="0">
                  <c:v>0</c:v>
                </c:pt>
              </c:numCache>
            </c:numRef>
          </c:cat>
          <c:val>
            <c:numRef>
              <c:f>Univariate!UV_Sturges_BetaPERT_Expected</c:f>
              <c:numCache>
                <c:formatCode>General</c:formatCode>
                <c:ptCount val="10"/>
                <c:pt idx="0">
                  <c:v>109.92335884313678</c:v>
                </c:pt>
                <c:pt idx="1">
                  <c:v>108.08062859786389</c:v>
                </c:pt>
                <c:pt idx="2">
                  <c:v>79.949871469731576</c:v>
                </c:pt>
                <c:pt idx="3">
                  <c:v>52.393813642113344</c:v>
                </c:pt>
                <c:pt idx="4">
                  <c:v>30.65214489733393</c:v>
                </c:pt>
                <c:pt idx="5">
                  <c:v>15.64025959517549</c:v>
                </c:pt>
                <c:pt idx="6">
                  <c:v>6.5958050402524488</c:v>
                </c:pt>
                <c:pt idx="7">
                  <c:v>2.0547881725476422</c:v>
                </c:pt>
                <c:pt idx="8">
                  <c:v>0.36134873434146342</c:v>
                </c:pt>
                <c:pt idx="9">
                  <c:v>1.5296096715049057E-2</c:v>
                </c:pt>
              </c:numCache>
            </c:numRef>
          </c:val>
          <c:smooth val="1"/>
          <c:extLst>
            <c:ext xmlns:c16="http://schemas.microsoft.com/office/drawing/2014/chart" uri="{C3380CC4-5D6E-409C-BE32-E72D297353CC}">
              <c16:uniqueId val="{00000009-3BB7-4EA1-AB13-6B06BCDD3786}"/>
            </c:ext>
          </c:extLst>
        </c:ser>
        <c:dLbls>
          <c:showLegendKey val="0"/>
          <c:showVal val="0"/>
          <c:showCatName val="0"/>
          <c:showSerName val="0"/>
          <c:showPercent val="0"/>
          <c:showBubbleSize val="0"/>
        </c:dLbls>
        <c:marker val="1"/>
        <c:smooth val="0"/>
        <c:axId val="1488257135"/>
        <c:axId val="1488245135"/>
      </c:lineChart>
      <c:catAx>
        <c:axId val="1488257135"/>
        <c:scaling>
          <c:orientation val="minMax"/>
        </c:scaling>
        <c:delete val="0"/>
        <c:axPos val="b"/>
        <c:title>
          <c:tx>
            <c:rich>
              <a:bodyPr/>
              <a:lstStyle/>
              <a:p>
                <a:pPr>
                  <a:defRPr/>
                </a:pPr>
                <a:r>
                  <a:rPr lang="en-US"/>
                  <a:t>Upper Edges</a:t>
                </a:r>
              </a:p>
            </c:rich>
          </c:tx>
          <c:overlay val="0"/>
        </c:title>
        <c:numFmt formatCode="0" sourceLinked="0"/>
        <c:majorTickMark val="out"/>
        <c:minorTickMark val="none"/>
        <c:tickLblPos val="nextTo"/>
        <c:crossAx val="1488245135"/>
        <c:crosses val="autoZero"/>
        <c:auto val="1"/>
        <c:lblAlgn val="ctr"/>
        <c:lblOffset val="100"/>
        <c:noMultiLvlLbl val="0"/>
      </c:catAx>
      <c:valAx>
        <c:axId val="1488245135"/>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488257135"/>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Univariate!$G$34</c:f>
          <c:strCache>
            <c:ptCount val="1"/>
            <c:pt idx="0">
              <c:v>Scott Method Histogram</c:v>
            </c:pt>
          </c:strCache>
        </c:strRef>
      </c:tx>
      <c:overlay val="0"/>
    </c:title>
    <c:autoTitleDeleted val="0"/>
    <c:plotArea>
      <c:layout/>
      <c:barChart>
        <c:barDir val="col"/>
        <c:grouping val="clustered"/>
        <c:varyColors val="0"/>
        <c:ser>
          <c:idx val="0"/>
          <c:order val="0"/>
          <c:tx>
            <c:v>Count</c:v>
          </c:tx>
          <c:invertIfNegative val="0"/>
          <c:cat>
            <c:numRef>
              <c:f>Univariate!UV_Scott_Upper_Edges</c:f>
              <c:numCache>
                <c:formatCode>0.0</c:formatCode>
                <c:ptCount val="1"/>
                <c:pt idx="0">
                  <c:v>0</c:v>
                </c:pt>
              </c:numCache>
            </c:numRef>
          </c:cat>
          <c:val>
            <c:numRef>
              <c:f>Univariate!UV_Scott_Counts</c:f>
              <c:numCache>
                <c:formatCode>0</c:formatCode>
                <c:ptCount val="1"/>
                <c:pt idx="0">
                  <c:v>0</c:v>
                </c:pt>
              </c:numCache>
            </c:numRef>
          </c:val>
          <c:extLst>
            <c:ext xmlns:c16="http://schemas.microsoft.com/office/drawing/2014/chart" uri="{C3380CC4-5D6E-409C-BE32-E72D297353CC}">
              <c16:uniqueId val="{00000001-0A8D-46FA-B343-F23CCA79A900}"/>
            </c:ext>
          </c:extLst>
        </c:ser>
        <c:dLbls>
          <c:showLegendKey val="0"/>
          <c:showVal val="0"/>
          <c:showCatName val="0"/>
          <c:showSerName val="0"/>
          <c:showPercent val="0"/>
          <c:showBubbleSize val="0"/>
        </c:dLbls>
        <c:gapWidth val="0"/>
        <c:axId val="1488261935"/>
        <c:axId val="1488267695"/>
      </c:barChart>
      <c:lineChart>
        <c:grouping val="standard"/>
        <c:varyColors val="0"/>
        <c:ser>
          <c:idx val="1"/>
          <c:order val="1"/>
          <c:tx>
            <c:v>Normal</c:v>
          </c:tx>
          <c:marker>
            <c:symbol val="none"/>
          </c:marker>
          <c:cat>
            <c:numRef>
              <c:f>Univariate!UV_Scott_Upper_Edges</c:f>
              <c:numCache>
                <c:formatCode>0.0</c:formatCode>
                <c:ptCount val="1"/>
                <c:pt idx="0">
                  <c:v>0</c:v>
                </c:pt>
              </c:numCache>
            </c:numRef>
          </c:cat>
          <c:val>
            <c:numRef>
              <c:f>Univariate!UV_Scott_Normal_Expected</c:f>
              <c:numCache>
                <c:formatCode>General</c:formatCode>
                <c:ptCount val="8"/>
                <c:pt idx="0">
                  <c:v>46.279941071353925</c:v>
                </c:pt>
                <c:pt idx="1">
                  <c:v>64.922241226017093</c:v>
                </c:pt>
                <c:pt idx="2">
                  <c:v>73.908476241815933</c:v>
                </c:pt>
                <c:pt idx="3">
                  <c:v>68.280942659597599</c:v>
                </c:pt>
                <c:pt idx="4">
                  <c:v>51.19252432268194</c:v>
                </c:pt>
                <c:pt idx="5">
                  <c:v>31.146228524272146</c:v>
                </c:pt>
                <c:pt idx="6">
                  <c:v>15.377276581812991</c:v>
                </c:pt>
                <c:pt idx="7">
                  <c:v>6.1603442168662292</c:v>
                </c:pt>
              </c:numCache>
            </c:numRef>
          </c:val>
          <c:smooth val="1"/>
          <c:extLst>
            <c:ext xmlns:c16="http://schemas.microsoft.com/office/drawing/2014/chart" uri="{C3380CC4-5D6E-409C-BE32-E72D297353CC}">
              <c16:uniqueId val="{00000002-0A8D-46FA-B343-F23CCA79A900}"/>
            </c:ext>
          </c:extLst>
        </c:ser>
        <c:ser>
          <c:idx val="2"/>
          <c:order val="2"/>
          <c:tx>
            <c:v>Lognormal</c:v>
          </c:tx>
          <c:marker>
            <c:symbol val="none"/>
          </c:marker>
          <c:cat>
            <c:numRef>
              <c:f>Univariate!UV_Scott_Upper_Edges</c:f>
              <c:numCache>
                <c:formatCode>0.0</c:formatCode>
                <c:ptCount val="1"/>
                <c:pt idx="0">
                  <c:v>0</c:v>
                </c:pt>
              </c:numCache>
            </c:numRef>
          </c:cat>
          <c:val>
            <c:numRef>
              <c:f>Univariate!UV_Scott_Lognormal_Expected</c:f>
              <c:numCache>
                <c:formatCode>General</c:formatCode>
                <c:ptCount val="8"/>
                <c:pt idx="0">
                  <c:v>80.546874635509425</c:v>
                </c:pt>
                <c:pt idx="1">
                  <c:v>97.003871277039522</c:v>
                </c:pt>
                <c:pt idx="2">
                  <c:v>76.012548619937647</c:v>
                </c:pt>
                <c:pt idx="3">
                  <c:v>50.828565358273138</c:v>
                </c:pt>
                <c:pt idx="4">
                  <c:v>31.930798858680824</c:v>
                </c:pt>
                <c:pt idx="5">
                  <c:v>19.613960152494126</c:v>
                </c:pt>
                <c:pt idx="6">
                  <c:v>11.999896317862703</c:v>
                </c:pt>
                <c:pt idx="7">
                  <c:v>7.3781161605648879</c:v>
                </c:pt>
              </c:numCache>
            </c:numRef>
          </c:val>
          <c:smooth val="1"/>
          <c:extLst>
            <c:ext xmlns:c16="http://schemas.microsoft.com/office/drawing/2014/chart" uri="{C3380CC4-5D6E-409C-BE32-E72D297353CC}">
              <c16:uniqueId val="{00000003-0A8D-46FA-B343-F23CCA79A900}"/>
            </c:ext>
          </c:extLst>
        </c:ser>
        <c:ser>
          <c:idx val="3"/>
          <c:order val="3"/>
          <c:tx>
            <c:v>Exponential</c:v>
          </c:tx>
          <c:marker>
            <c:symbol val="none"/>
          </c:marker>
          <c:cat>
            <c:numRef>
              <c:f>Univariate!UV_Scott_Upper_Edges</c:f>
              <c:numCache>
                <c:formatCode>0.0</c:formatCode>
                <c:ptCount val="1"/>
                <c:pt idx="0">
                  <c:v>0</c:v>
                </c:pt>
              </c:numCache>
            </c:numRef>
          </c:cat>
          <c:val>
            <c:numRef>
              <c:f>Univariate!UV_Scott_Exponential_Expected</c:f>
              <c:numCache>
                <c:formatCode>General</c:formatCode>
                <c:ptCount val="8"/>
                <c:pt idx="0">
                  <c:v>62.975462023357807</c:v>
                </c:pt>
                <c:pt idx="1">
                  <c:v>49.125953156201376</c:v>
                </c:pt>
                <c:pt idx="2">
                  <c:v>38.322216240512326</c:v>
                </c:pt>
                <c:pt idx="3">
                  <c:v>29.894427756241988</c:v>
                </c:pt>
                <c:pt idx="4">
                  <c:v>23.32007118963071</c:v>
                </c:pt>
                <c:pt idx="5">
                  <c:v>18.191541404430886</c:v>
                </c:pt>
                <c:pt idx="6">
                  <c:v>14.190873431650258</c:v>
                </c:pt>
                <c:pt idx="7">
                  <c:v>11.070028881888366</c:v>
                </c:pt>
              </c:numCache>
            </c:numRef>
          </c:val>
          <c:smooth val="1"/>
          <c:extLst>
            <c:ext xmlns:c16="http://schemas.microsoft.com/office/drawing/2014/chart" uri="{C3380CC4-5D6E-409C-BE32-E72D297353CC}">
              <c16:uniqueId val="{00000004-0A8D-46FA-B343-F23CCA79A900}"/>
            </c:ext>
          </c:extLst>
        </c:ser>
        <c:ser>
          <c:idx val="4"/>
          <c:order val="4"/>
          <c:tx>
            <c:v>Weibull</c:v>
          </c:tx>
          <c:marker>
            <c:symbol val="none"/>
          </c:marker>
          <c:cat>
            <c:numRef>
              <c:f>Univariate!UV_Scott_Upper_Edges</c:f>
              <c:numCache>
                <c:formatCode>0.0</c:formatCode>
                <c:ptCount val="1"/>
                <c:pt idx="0">
                  <c:v>0</c:v>
                </c:pt>
              </c:numCache>
            </c:numRef>
          </c:cat>
          <c:val>
            <c:numRef>
              <c:f>Univariate!UV_Scott_Weibull_Expected</c:f>
              <c:numCache>
                <c:formatCode>General</c:formatCode>
                <c:ptCount val="8"/>
                <c:pt idx="0">
                  <c:v>0</c:v>
                </c:pt>
                <c:pt idx="1">
                  <c:v>0</c:v>
                </c:pt>
                <c:pt idx="2">
                  <c:v>0</c:v>
                </c:pt>
                <c:pt idx="3">
                  <c:v>0</c:v>
                </c:pt>
                <c:pt idx="4">
                  <c:v>0</c:v>
                </c:pt>
                <c:pt idx="5">
                  <c:v>0</c:v>
                </c:pt>
                <c:pt idx="6">
                  <c:v>0</c:v>
                </c:pt>
                <c:pt idx="7">
                  <c:v>0</c:v>
                </c:pt>
              </c:numCache>
            </c:numRef>
          </c:val>
          <c:smooth val="1"/>
          <c:extLst>
            <c:ext xmlns:c16="http://schemas.microsoft.com/office/drawing/2014/chart" uri="{C3380CC4-5D6E-409C-BE32-E72D297353CC}">
              <c16:uniqueId val="{00000005-0A8D-46FA-B343-F23CCA79A900}"/>
            </c:ext>
          </c:extLst>
        </c:ser>
        <c:ser>
          <c:idx val="5"/>
          <c:order val="5"/>
          <c:tx>
            <c:v>Gamma</c:v>
          </c:tx>
          <c:marker>
            <c:symbol val="none"/>
          </c:marker>
          <c:cat>
            <c:numRef>
              <c:f>Univariate!UV_Scott_Upper_Edges</c:f>
              <c:numCache>
                <c:formatCode>0.0</c:formatCode>
                <c:ptCount val="1"/>
                <c:pt idx="0">
                  <c:v>0</c:v>
                </c:pt>
              </c:numCache>
            </c:numRef>
          </c:cat>
          <c:val>
            <c:numRef>
              <c:f>Univariate!UV_Scott_Gamma_Expected</c:f>
              <c:numCache>
                <c:formatCode>General</c:formatCode>
                <c:ptCount val="8"/>
                <c:pt idx="0">
                  <c:v>0</c:v>
                </c:pt>
                <c:pt idx="1">
                  <c:v>0</c:v>
                </c:pt>
                <c:pt idx="2">
                  <c:v>0</c:v>
                </c:pt>
                <c:pt idx="3">
                  <c:v>0</c:v>
                </c:pt>
                <c:pt idx="4">
                  <c:v>0</c:v>
                </c:pt>
                <c:pt idx="5">
                  <c:v>0</c:v>
                </c:pt>
                <c:pt idx="6">
                  <c:v>0</c:v>
                </c:pt>
                <c:pt idx="7">
                  <c:v>0</c:v>
                </c:pt>
              </c:numCache>
            </c:numRef>
          </c:val>
          <c:smooth val="1"/>
          <c:extLst>
            <c:ext xmlns:c16="http://schemas.microsoft.com/office/drawing/2014/chart" uri="{C3380CC4-5D6E-409C-BE32-E72D297353CC}">
              <c16:uniqueId val="{00000006-0A8D-46FA-B343-F23CCA79A900}"/>
            </c:ext>
          </c:extLst>
        </c:ser>
        <c:ser>
          <c:idx val="6"/>
          <c:order val="6"/>
          <c:tx>
            <c:v>Triangular</c:v>
          </c:tx>
          <c:marker>
            <c:symbol val="none"/>
          </c:marker>
          <c:cat>
            <c:numRef>
              <c:f>Univariate!UV_Scott_Upper_Edges</c:f>
              <c:numCache>
                <c:formatCode>0.0</c:formatCode>
                <c:ptCount val="1"/>
                <c:pt idx="0">
                  <c:v>0</c:v>
                </c:pt>
              </c:numCache>
            </c:numRef>
          </c:cat>
          <c:val>
            <c:numRef>
              <c:f>Univariate!UV_Scott_Triangular_Expected</c:f>
              <c:numCache>
                <c:formatCode>General</c:formatCode>
                <c:ptCount val="1"/>
                <c:pt idx="0">
                  <c:v>0</c:v>
                </c:pt>
              </c:numCache>
            </c:numRef>
          </c:val>
          <c:smooth val="1"/>
          <c:extLst>
            <c:ext xmlns:c16="http://schemas.microsoft.com/office/drawing/2014/chart" uri="{C3380CC4-5D6E-409C-BE32-E72D297353CC}">
              <c16:uniqueId val="{00000007-0A8D-46FA-B343-F23CCA79A900}"/>
            </c:ext>
          </c:extLst>
        </c:ser>
        <c:ser>
          <c:idx val="7"/>
          <c:order val="7"/>
          <c:tx>
            <c:v>Beta</c:v>
          </c:tx>
          <c:marker>
            <c:symbol val="none"/>
          </c:marker>
          <c:cat>
            <c:numRef>
              <c:f>Univariate!UV_Scott_Upper_Edges</c:f>
              <c:numCache>
                <c:formatCode>0.0</c:formatCode>
                <c:ptCount val="1"/>
                <c:pt idx="0">
                  <c:v>0</c:v>
                </c:pt>
              </c:numCache>
            </c:numRef>
          </c:cat>
          <c:val>
            <c:numRef>
              <c:f>Univariate!UV_Scott_Beta_Expected</c:f>
              <c:numCache>
                <c:formatCode>General</c:formatCode>
                <c:ptCount val="1"/>
                <c:pt idx="0">
                  <c:v>0</c:v>
                </c:pt>
              </c:numCache>
            </c:numRef>
          </c:val>
          <c:smooth val="1"/>
          <c:extLst>
            <c:ext xmlns:c16="http://schemas.microsoft.com/office/drawing/2014/chart" uri="{C3380CC4-5D6E-409C-BE32-E72D297353CC}">
              <c16:uniqueId val="{00000008-0A8D-46FA-B343-F23CCA79A900}"/>
            </c:ext>
          </c:extLst>
        </c:ser>
        <c:ser>
          <c:idx val="8"/>
          <c:order val="8"/>
          <c:tx>
            <c:v>BetaPERT</c:v>
          </c:tx>
          <c:marker>
            <c:symbol val="none"/>
          </c:marker>
          <c:cat>
            <c:numRef>
              <c:f>Univariate!UV_Scott_Upper_Edges</c:f>
              <c:numCache>
                <c:formatCode>0.0</c:formatCode>
                <c:ptCount val="1"/>
                <c:pt idx="0">
                  <c:v>0</c:v>
                </c:pt>
              </c:numCache>
            </c:numRef>
          </c:cat>
          <c:val>
            <c:numRef>
              <c:f>Univariate!UV_Scott_BetaPERT_Expected</c:f>
              <c:numCache>
                <c:formatCode>General</c:formatCode>
                <c:ptCount val="8"/>
                <c:pt idx="0">
                  <c:v>139.13135189134559</c:v>
                </c:pt>
                <c:pt idx="1">
                  <c:v>122.53629984173921</c:v>
                </c:pt>
                <c:pt idx="2">
                  <c:v>77.881758360345856</c:v>
                </c:pt>
                <c:pt idx="3">
                  <c:v>41.450407356748876</c:v>
                </c:pt>
                <c:pt idx="4">
                  <c:v>17.933315497364184</c:v>
                </c:pt>
                <c:pt idx="5">
                  <c:v>5.6813004319030957</c:v>
                </c:pt>
                <c:pt idx="6">
                  <c:v>1.0099561484049646</c:v>
                </c:pt>
                <c:pt idx="7">
                  <c:v>4.2925561359846931E-2</c:v>
                </c:pt>
              </c:numCache>
            </c:numRef>
          </c:val>
          <c:smooth val="1"/>
          <c:extLst>
            <c:ext xmlns:c16="http://schemas.microsoft.com/office/drawing/2014/chart" uri="{C3380CC4-5D6E-409C-BE32-E72D297353CC}">
              <c16:uniqueId val="{00000009-0A8D-46FA-B343-F23CCA79A900}"/>
            </c:ext>
          </c:extLst>
        </c:ser>
        <c:dLbls>
          <c:showLegendKey val="0"/>
          <c:showVal val="0"/>
          <c:showCatName val="0"/>
          <c:showSerName val="0"/>
          <c:showPercent val="0"/>
          <c:showBubbleSize val="0"/>
        </c:dLbls>
        <c:marker val="1"/>
        <c:smooth val="0"/>
        <c:axId val="1488261935"/>
        <c:axId val="1488267695"/>
      </c:lineChart>
      <c:catAx>
        <c:axId val="1488261935"/>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488267695"/>
        <c:crosses val="autoZero"/>
        <c:auto val="1"/>
        <c:lblAlgn val="ctr"/>
        <c:lblOffset val="100"/>
        <c:noMultiLvlLbl val="0"/>
      </c:catAx>
      <c:valAx>
        <c:axId val="1488267695"/>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488261935"/>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Univariate!$G$54</c:f>
          <c:strCache>
            <c:ptCount val="1"/>
            <c:pt idx="0">
              <c:v>FD Method Histogram</c:v>
            </c:pt>
          </c:strCache>
        </c:strRef>
      </c:tx>
      <c:overlay val="0"/>
    </c:title>
    <c:autoTitleDeleted val="0"/>
    <c:plotArea>
      <c:layout/>
      <c:barChart>
        <c:barDir val="col"/>
        <c:grouping val="clustered"/>
        <c:varyColors val="0"/>
        <c:ser>
          <c:idx val="0"/>
          <c:order val="0"/>
          <c:tx>
            <c:v>Count</c:v>
          </c:tx>
          <c:invertIfNegative val="0"/>
          <c:cat>
            <c:numRef>
              <c:f>Univariate!UV_FD_Upper_Edges</c:f>
              <c:numCache>
                <c:formatCode>0.0</c:formatCode>
                <c:ptCount val="1"/>
                <c:pt idx="0">
                  <c:v>0</c:v>
                </c:pt>
              </c:numCache>
            </c:numRef>
          </c:cat>
          <c:val>
            <c:numRef>
              <c:f>Univariate!UV_FD_Counts</c:f>
              <c:numCache>
                <c:formatCode>0</c:formatCode>
                <c:ptCount val="1"/>
                <c:pt idx="0">
                  <c:v>0</c:v>
                </c:pt>
              </c:numCache>
            </c:numRef>
          </c:val>
          <c:extLst>
            <c:ext xmlns:c16="http://schemas.microsoft.com/office/drawing/2014/chart" uri="{C3380CC4-5D6E-409C-BE32-E72D297353CC}">
              <c16:uniqueId val="{00000001-2924-44F8-ABE3-984208DE61B7}"/>
            </c:ext>
          </c:extLst>
        </c:ser>
        <c:dLbls>
          <c:showLegendKey val="0"/>
          <c:showVal val="0"/>
          <c:showCatName val="0"/>
          <c:showSerName val="0"/>
          <c:showPercent val="0"/>
          <c:showBubbleSize val="0"/>
        </c:dLbls>
        <c:gapWidth val="0"/>
        <c:axId val="1488271055"/>
        <c:axId val="1488271535"/>
      </c:barChart>
      <c:lineChart>
        <c:grouping val="standard"/>
        <c:varyColors val="0"/>
        <c:ser>
          <c:idx val="1"/>
          <c:order val="1"/>
          <c:tx>
            <c:v>Normal</c:v>
          </c:tx>
          <c:marker>
            <c:symbol val="none"/>
          </c:marker>
          <c:cat>
            <c:numRef>
              <c:f>Univariate!UV_FD_Upper_Edges</c:f>
              <c:numCache>
                <c:formatCode>0.0</c:formatCode>
                <c:ptCount val="1"/>
                <c:pt idx="0">
                  <c:v>0</c:v>
                </c:pt>
              </c:numCache>
            </c:numRef>
          </c:cat>
          <c:val>
            <c:numRef>
              <c:f>Univariate!UV_FD_Normal_Expected</c:f>
              <c:numCache>
                <c:formatCode>General</c:formatCode>
                <c:ptCount val="8"/>
                <c:pt idx="0">
                  <c:v>46.279941071353925</c:v>
                </c:pt>
                <c:pt idx="1">
                  <c:v>64.922241226017093</c:v>
                </c:pt>
                <c:pt idx="2">
                  <c:v>73.908476241815933</c:v>
                </c:pt>
                <c:pt idx="3">
                  <c:v>68.280942659597599</c:v>
                </c:pt>
                <c:pt idx="4">
                  <c:v>51.19252432268194</c:v>
                </c:pt>
                <c:pt idx="5">
                  <c:v>31.146228524272146</c:v>
                </c:pt>
                <c:pt idx="6">
                  <c:v>15.377276581812991</c:v>
                </c:pt>
                <c:pt idx="7">
                  <c:v>6.1603442168662292</c:v>
                </c:pt>
              </c:numCache>
            </c:numRef>
          </c:val>
          <c:smooth val="1"/>
          <c:extLst>
            <c:ext xmlns:c16="http://schemas.microsoft.com/office/drawing/2014/chart" uri="{C3380CC4-5D6E-409C-BE32-E72D297353CC}">
              <c16:uniqueId val="{00000002-2924-44F8-ABE3-984208DE61B7}"/>
            </c:ext>
          </c:extLst>
        </c:ser>
        <c:ser>
          <c:idx val="2"/>
          <c:order val="2"/>
          <c:tx>
            <c:v>Lognormal</c:v>
          </c:tx>
          <c:marker>
            <c:symbol val="none"/>
          </c:marker>
          <c:cat>
            <c:numRef>
              <c:f>Univariate!UV_FD_Upper_Edges</c:f>
              <c:numCache>
                <c:formatCode>0.0</c:formatCode>
                <c:ptCount val="1"/>
                <c:pt idx="0">
                  <c:v>0</c:v>
                </c:pt>
              </c:numCache>
            </c:numRef>
          </c:cat>
          <c:val>
            <c:numRef>
              <c:f>Univariate!UV_FD_Lognormal_Expected</c:f>
              <c:numCache>
                <c:formatCode>General</c:formatCode>
                <c:ptCount val="8"/>
                <c:pt idx="0">
                  <c:v>80.546874635509425</c:v>
                </c:pt>
                <c:pt idx="1">
                  <c:v>97.003871277039522</c:v>
                </c:pt>
                <c:pt idx="2">
                  <c:v>76.012548619937647</c:v>
                </c:pt>
                <c:pt idx="3">
                  <c:v>50.828565358273138</c:v>
                </c:pt>
                <c:pt idx="4">
                  <c:v>31.930798858680824</c:v>
                </c:pt>
                <c:pt idx="5">
                  <c:v>19.613960152494126</c:v>
                </c:pt>
                <c:pt idx="6">
                  <c:v>11.999896317862703</c:v>
                </c:pt>
                <c:pt idx="7">
                  <c:v>7.3781161605648879</c:v>
                </c:pt>
              </c:numCache>
            </c:numRef>
          </c:val>
          <c:smooth val="1"/>
          <c:extLst>
            <c:ext xmlns:c16="http://schemas.microsoft.com/office/drawing/2014/chart" uri="{C3380CC4-5D6E-409C-BE32-E72D297353CC}">
              <c16:uniqueId val="{00000003-2924-44F8-ABE3-984208DE61B7}"/>
            </c:ext>
          </c:extLst>
        </c:ser>
        <c:ser>
          <c:idx val="3"/>
          <c:order val="3"/>
          <c:tx>
            <c:v>Exponential</c:v>
          </c:tx>
          <c:marker>
            <c:symbol val="none"/>
          </c:marker>
          <c:cat>
            <c:numRef>
              <c:f>Univariate!UV_FD_Upper_Edges</c:f>
              <c:numCache>
                <c:formatCode>0.0</c:formatCode>
                <c:ptCount val="1"/>
                <c:pt idx="0">
                  <c:v>0</c:v>
                </c:pt>
              </c:numCache>
            </c:numRef>
          </c:cat>
          <c:val>
            <c:numRef>
              <c:f>Univariate!UV_FD_Exponential_Expected</c:f>
              <c:numCache>
                <c:formatCode>General</c:formatCode>
                <c:ptCount val="8"/>
                <c:pt idx="0">
                  <c:v>62.975462023357807</c:v>
                </c:pt>
                <c:pt idx="1">
                  <c:v>49.125953156201376</c:v>
                </c:pt>
                <c:pt idx="2">
                  <c:v>38.322216240512326</c:v>
                </c:pt>
                <c:pt idx="3">
                  <c:v>29.894427756241988</c:v>
                </c:pt>
                <c:pt idx="4">
                  <c:v>23.32007118963071</c:v>
                </c:pt>
                <c:pt idx="5">
                  <c:v>18.191541404430886</c:v>
                </c:pt>
                <c:pt idx="6">
                  <c:v>14.190873431650258</c:v>
                </c:pt>
                <c:pt idx="7">
                  <c:v>11.070028881888366</c:v>
                </c:pt>
              </c:numCache>
            </c:numRef>
          </c:val>
          <c:smooth val="1"/>
          <c:extLst>
            <c:ext xmlns:c16="http://schemas.microsoft.com/office/drawing/2014/chart" uri="{C3380CC4-5D6E-409C-BE32-E72D297353CC}">
              <c16:uniqueId val="{00000004-2924-44F8-ABE3-984208DE61B7}"/>
            </c:ext>
          </c:extLst>
        </c:ser>
        <c:ser>
          <c:idx val="4"/>
          <c:order val="4"/>
          <c:tx>
            <c:v>Weibull</c:v>
          </c:tx>
          <c:marker>
            <c:symbol val="none"/>
          </c:marker>
          <c:cat>
            <c:numRef>
              <c:f>Univariate!UV_FD_Upper_Edges</c:f>
              <c:numCache>
                <c:formatCode>0.0</c:formatCode>
                <c:ptCount val="1"/>
                <c:pt idx="0">
                  <c:v>0</c:v>
                </c:pt>
              </c:numCache>
            </c:numRef>
          </c:cat>
          <c:val>
            <c:numRef>
              <c:f>Univariate!UV_FD_Weibull_Expected</c:f>
              <c:numCache>
                <c:formatCode>General</c:formatCode>
                <c:ptCount val="8"/>
                <c:pt idx="0">
                  <c:v>0</c:v>
                </c:pt>
                <c:pt idx="1">
                  <c:v>0</c:v>
                </c:pt>
                <c:pt idx="2">
                  <c:v>0</c:v>
                </c:pt>
                <c:pt idx="3">
                  <c:v>0</c:v>
                </c:pt>
                <c:pt idx="4">
                  <c:v>0</c:v>
                </c:pt>
                <c:pt idx="5">
                  <c:v>0</c:v>
                </c:pt>
                <c:pt idx="6">
                  <c:v>0</c:v>
                </c:pt>
                <c:pt idx="7">
                  <c:v>0</c:v>
                </c:pt>
              </c:numCache>
            </c:numRef>
          </c:val>
          <c:smooth val="1"/>
          <c:extLst>
            <c:ext xmlns:c16="http://schemas.microsoft.com/office/drawing/2014/chart" uri="{C3380CC4-5D6E-409C-BE32-E72D297353CC}">
              <c16:uniqueId val="{00000005-2924-44F8-ABE3-984208DE61B7}"/>
            </c:ext>
          </c:extLst>
        </c:ser>
        <c:ser>
          <c:idx val="5"/>
          <c:order val="5"/>
          <c:tx>
            <c:v>Gamma</c:v>
          </c:tx>
          <c:marker>
            <c:symbol val="none"/>
          </c:marker>
          <c:cat>
            <c:numRef>
              <c:f>Univariate!UV_FD_Upper_Edges</c:f>
              <c:numCache>
                <c:formatCode>0.0</c:formatCode>
                <c:ptCount val="1"/>
                <c:pt idx="0">
                  <c:v>0</c:v>
                </c:pt>
              </c:numCache>
            </c:numRef>
          </c:cat>
          <c:val>
            <c:numRef>
              <c:f>Univariate!UV_FD_Gamma_Expected</c:f>
              <c:numCache>
                <c:formatCode>General</c:formatCode>
                <c:ptCount val="8"/>
                <c:pt idx="0">
                  <c:v>0</c:v>
                </c:pt>
                <c:pt idx="1">
                  <c:v>0</c:v>
                </c:pt>
                <c:pt idx="2">
                  <c:v>0</c:v>
                </c:pt>
                <c:pt idx="3">
                  <c:v>0</c:v>
                </c:pt>
                <c:pt idx="4">
                  <c:v>0</c:v>
                </c:pt>
                <c:pt idx="5">
                  <c:v>0</c:v>
                </c:pt>
                <c:pt idx="6">
                  <c:v>0</c:v>
                </c:pt>
                <c:pt idx="7">
                  <c:v>0</c:v>
                </c:pt>
              </c:numCache>
            </c:numRef>
          </c:val>
          <c:smooth val="1"/>
          <c:extLst>
            <c:ext xmlns:c16="http://schemas.microsoft.com/office/drawing/2014/chart" uri="{C3380CC4-5D6E-409C-BE32-E72D297353CC}">
              <c16:uniqueId val="{00000006-2924-44F8-ABE3-984208DE61B7}"/>
            </c:ext>
          </c:extLst>
        </c:ser>
        <c:ser>
          <c:idx val="6"/>
          <c:order val="6"/>
          <c:tx>
            <c:v>Triangular</c:v>
          </c:tx>
          <c:marker>
            <c:symbol val="none"/>
          </c:marker>
          <c:cat>
            <c:numRef>
              <c:f>Univariate!UV_FD_Upper_Edges</c:f>
              <c:numCache>
                <c:formatCode>0.0</c:formatCode>
                <c:ptCount val="1"/>
                <c:pt idx="0">
                  <c:v>0</c:v>
                </c:pt>
              </c:numCache>
            </c:numRef>
          </c:cat>
          <c:val>
            <c:numRef>
              <c:f>Univariate!UV_FD_Triangular_Expected</c:f>
              <c:numCache>
                <c:formatCode>General</c:formatCode>
                <c:ptCount val="1"/>
                <c:pt idx="0">
                  <c:v>0</c:v>
                </c:pt>
              </c:numCache>
            </c:numRef>
          </c:val>
          <c:smooth val="1"/>
          <c:extLst>
            <c:ext xmlns:c16="http://schemas.microsoft.com/office/drawing/2014/chart" uri="{C3380CC4-5D6E-409C-BE32-E72D297353CC}">
              <c16:uniqueId val="{00000007-2924-44F8-ABE3-984208DE61B7}"/>
            </c:ext>
          </c:extLst>
        </c:ser>
        <c:ser>
          <c:idx val="7"/>
          <c:order val="7"/>
          <c:tx>
            <c:v>Beta</c:v>
          </c:tx>
          <c:marker>
            <c:symbol val="none"/>
          </c:marker>
          <c:cat>
            <c:numRef>
              <c:f>Univariate!UV_FD_Upper_Edges</c:f>
              <c:numCache>
                <c:formatCode>0.0</c:formatCode>
                <c:ptCount val="1"/>
                <c:pt idx="0">
                  <c:v>0</c:v>
                </c:pt>
              </c:numCache>
            </c:numRef>
          </c:cat>
          <c:val>
            <c:numRef>
              <c:f>Univariate!UV_FD_Beta_Expected</c:f>
              <c:numCache>
                <c:formatCode>General</c:formatCode>
                <c:ptCount val="1"/>
                <c:pt idx="0">
                  <c:v>0</c:v>
                </c:pt>
              </c:numCache>
            </c:numRef>
          </c:val>
          <c:smooth val="1"/>
          <c:extLst>
            <c:ext xmlns:c16="http://schemas.microsoft.com/office/drawing/2014/chart" uri="{C3380CC4-5D6E-409C-BE32-E72D297353CC}">
              <c16:uniqueId val="{00000008-2924-44F8-ABE3-984208DE61B7}"/>
            </c:ext>
          </c:extLst>
        </c:ser>
        <c:ser>
          <c:idx val="8"/>
          <c:order val="8"/>
          <c:tx>
            <c:v>BetaPERT</c:v>
          </c:tx>
          <c:marker>
            <c:symbol val="none"/>
          </c:marker>
          <c:cat>
            <c:numRef>
              <c:f>Univariate!UV_FD_Upper_Edges</c:f>
              <c:numCache>
                <c:formatCode>0.0</c:formatCode>
                <c:ptCount val="1"/>
                <c:pt idx="0">
                  <c:v>0</c:v>
                </c:pt>
              </c:numCache>
            </c:numRef>
          </c:cat>
          <c:val>
            <c:numRef>
              <c:f>Univariate!UV_FD_BetaPERT_Expected</c:f>
              <c:numCache>
                <c:formatCode>General</c:formatCode>
                <c:ptCount val="8"/>
                <c:pt idx="0">
                  <c:v>139.13135189134559</c:v>
                </c:pt>
                <c:pt idx="1">
                  <c:v>122.53629984173921</c:v>
                </c:pt>
                <c:pt idx="2">
                  <c:v>77.881758360345856</c:v>
                </c:pt>
                <c:pt idx="3">
                  <c:v>41.450407356748876</c:v>
                </c:pt>
                <c:pt idx="4">
                  <c:v>17.933315497364184</c:v>
                </c:pt>
                <c:pt idx="5">
                  <c:v>5.6813004319030957</c:v>
                </c:pt>
                <c:pt idx="6">
                  <c:v>1.0099561484049646</c:v>
                </c:pt>
                <c:pt idx="7">
                  <c:v>4.2925561359846931E-2</c:v>
                </c:pt>
              </c:numCache>
            </c:numRef>
          </c:val>
          <c:smooth val="1"/>
          <c:extLst>
            <c:ext xmlns:c16="http://schemas.microsoft.com/office/drawing/2014/chart" uri="{C3380CC4-5D6E-409C-BE32-E72D297353CC}">
              <c16:uniqueId val="{00000009-2924-44F8-ABE3-984208DE61B7}"/>
            </c:ext>
          </c:extLst>
        </c:ser>
        <c:dLbls>
          <c:showLegendKey val="0"/>
          <c:showVal val="0"/>
          <c:showCatName val="0"/>
          <c:showSerName val="0"/>
          <c:showPercent val="0"/>
          <c:showBubbleSize val="0"/>
        </c:dLbls>
        <c:marker val="1"/>
        <c:smooth val="0"/>
        <c:axId val="1488271055"/>
        <c:axId val="1488271535"/>
      </c:lineChart>
      <c:catAx>
        <c:axId val="1488271055"/>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488271535"/>
        <c:crosses val="autoZero"/>
        <c:auto val="1"/>
        <c:lblAlgn val="ctr"/>
        <c:lblOffset val="100"/>
        <c:noMultiLvlLbl val="0"/>
      </c:catAx>
      <c:valAx>
        <c:axId val="1488271535"/>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488271055"/>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Normal Q-Q Plot</a:t>
            </a:r>
          </a:p>
        </c:rich>
      </c:tx>
      <c:overlay val="0"/>
    </c:title>
    <c:autoTitleDeleted val="0"/>
    <c:plotArea>
      <c:layout/>
      <c:scatterChart>
        <c:scatterStyle val="lineMarker"/>
        <c:varyColors val="0"/>
        <c:ser>
          <c:idx val="0"/>
          <c:order val="0"/>
          <c:tx>
            <c:v>Normal</c:v>
          </c:tx>
          <c:spPr>
            <a:ln w="38100">
              <a:noFill/>
            </a:ln>
          </c:spPr>
          <c:marker>
            <c:symbol val="diamond"/>
            <c:size val="4"/>
          </c:marker>
          <c:xVal>
            <c:numRef>
              <c:f>Univariate!UV_QQ_Normal</c:f>
              <c:numCache>
                <c:formatCode>0.0</c:formatCode>
                <c:ptCount val="1"/>
                <c:pt idx="0">
                  <c:v>#N/A</c:v>
                </c:pt>
              </c:numCache>
            </c:numRef>
          </c:xVal>
          <c:yVal>
            <c:numRef>
              <c:f>Univariate!UV_QQ_Sample</c:f>
              <c:numCache>
                <c:formatCode>0.0</c:formatCode>
                <c:ptCount val="1"/>
                <c:pt idx="0">
                  <c:v>0</c:v>
                </c:pt>
              </c:numCache>
            </c:numRef>
          </c:yVal>
          <c:smooth val="0"/>
          <c:extLst>
            <c:ext xmlns:c16="http://schemas.microsoft.com/office/drawing/2014/chart" uri="{C3380CC4-5D6E-409C-BE32-E72D297353CC}">
              <c16:uniqueId val="{00000001-B741-4F85-8380-395B8E4541C6}"/>
            </c:ext>
          </c:extLst>
        </c:ser>
        <c:ser>
          <c:idx val="1"/>
          <c:order val="1"/>
          <c:tx>
            <c:v>Identity</c:v>
          </c:tx>
          <c:spPr>
            <a:ln w="15875" cap="rnd">
              <a:solidFill>
                <a:srgbClr val="787878"/>
              </a:solidFill>
              <a:prstDash val="dot"/>
            </a:ln>
          </c:spPr>
          <c:marker>
            <c:symbol val="none"/>
          </c:marker>
          <c:xVal>
            <c:numRef>
              <c:f>Univariate!UV_QQ_Normal</c:f>
              <c:numCache>
                <c:formatCode>0.0</c:formatCode>
                <c:ptCount val="1"/>
                <c:pt idx="0">
                  <c:v>#N/A</c:v>
                </c:pt>
              </c:numCache>
            </c:numRef>
          </c:xVal>
          <c:yVal>
            <c:numRef>
              <c:f>Univariate!UV_QQ_Normal</c:f>
              <c:numCache>
                <c:formatCode>0.0</c:formatCode>
                <c:ptCount val="1"/>
                <c:pt idx="0">
                  <c:v>#N/A</c:v>
                </c:pt>
              </c:numCache>
            </c:numRef>
          </c:yVal>
          <c:smooth val="0"/>
          <c:extLst>
            <c:ext xmlns:c16="http://schemas.microsoft.com/office/drawing/2014/chart" uri="{C3380CC4-5D6E-409C-BE32-E72D297353CC}">
              <c16:uniqueId val="{00000002-B741-4F85-8380-395B8E4541C6}"/>
            </c:ext>
          </c:extLst>
        </c:ser>
        <c:dLbls>
          <c:showLegendKey val="0"/>
          <c:showVal val="0"/>
          <c:showCatName val="0"/>
          <c:showSerName val="0"/>
          <c:showPercent val="0"/>
          <c:showBubbleSize val="0"/>
        </c:dLbls>
        <c:axId val="1444400671"/>
        <c:axId val="1444396831"/>
      </c:scatterChart>
      <c:valAx>
        <c:axId val="1444400671"/>
        <c:scaling>
          <c:orientation val="minMax"/>
          <c:max val="103.3353701585884"/>
          <c:min val="35.114493229390149"/>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444396831"/>
        <c:crosses val="autoZero"/>
        <c:crossBetween val="midCat"/>
      </c:valAx>
      <c:valAx>
        <c:axId val="1444396831"/>
        <c:scaling>
          <c:orientation val="minMax"/>
          <c:max val="103.3353701585884"/>
          <c:min val="35.114493229390149"/>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44440067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Lognormal Q-Q Plot</a:t>
            </a:r>
          </a:p>
        </c:rich>
      </c:tx>
      <c:overlay val="0"/>
    </c:title>
    <c:autoTitleDeleted val="0"/>
    <c:plotArea>
      <c:layout/>
      <c:scatterChart>
        <c:scatterStyle val="lineMarker"/>
        <c:varyColors val="0"/>
        <c:ser>
          <c:idx val="0"/>
          <c:order val="0"/>
          <c:tx>
            <c:v>Lognormal</c:v>
          </c:tx>
          <c:spPr>
            <a:ln w="38100">
              <a:noFill/>
            </a:ln>
          </c:spPr>
          <c:marker>
            <c:symbol val="diamond"/>
            <c:size val="4"/>
          </c:marker>
          <c:xVal>
            <c:numRef>
              <c:f>Univariate!UV_QQ_Lognormal</c:f>
              <c:numCache>
                <c:formatCode>0.0</c:formatCode>
                <c:ptCount val="1"/>
                <c:pt idx="0">
                  <c:v>#N/A</c:v>
                </c:pt>
              </c:numCache>
            </c:numRef>
          </c:xVal>
          <c:yVal>
            <c:numRef>
              <c:f>Univariate!UV_QQ_Sample</c:f>
              <c:numCache>
                <c:formatCode>0.0</c:formatCode>
                <c:ptCount val="1"/>
                <c:pt idx="0">
                  <c:v>0</c:v>
                </c:pt>
              </c:numCache>
            </c:numRef>
          </c:yVal>
          <c:smooth val="0"/>
          <c:extLst>
            <c:ext xmlns:c16="http://schemas.microsoft.com/office/drawing/2014/chart" uri="{C3380CC4-5D6E-409C-BE32-E72D297353CC}">
              <c16:uniqueId val="{00000001-5633-4468-B68D-1E7A0EFE136B}"/>
            </c:ext>
          </c:extLst>
        </c:ser>
        <c:ser>
          <c:idx val="1"/>
          <c:order val="1"/>
          <c:tx>
            <c:v>Identity</c:v>
          </c:tx>
          <c:spPr>
            <a:ln w="15875" cap="rnd">
              <a:solidFill>
                <a:srgbClr val="787878"/>
              </a:solidFill>
              <a:prstDash val="dot"/>
            </a:ln>
          </c:spPr>
          <c:marker>
            <c:symbol val="none"/>
          </c:marker>
          <c:xVal>
            <c:numRef>
              <c:f>Univariate!UV_QQ_Lognormal</c:f>
              <c:numCache>
                <c:formatCode>0.0</c:formatCode>
                <c:ptCount val="1"/>
                <c:pt idx="0">
                  <c:v>#N/A</c:v>
                </c:pt>
              </c:numCache>
            </c:numRef>
          </c:xVal>
          <c:yVal>
            <c:numRef>
              <c:f>Univariate!UV_QQ_Lognormal</c:f>
              <c:numCache>
                <c:formatCode>0.0</c:formatCode>
                <c:ptCount val="1"/>
                <c:pt idx="0">
                  <c:v>#N/A</c:v>
                </c:pt>
              </c:numCache>
            </c:numRef>
          </c:yVal>
          <c:smooth val="0"/>
          <c:extLst>
            <c:ext xmlns:c16="http://schemas.microsoft.com/office/drawing/2014/chart" uri="{C3380CC4-5D6E-409C-BE32-E72D297353CC}">
              <c16:uniqueId val="{00000002-5633-4468-B68D-1E7A0EFE136B}"/>
            </c:ext>
          </c:extLst>
        </c:ser>
        <c:dLbls>
          <c:showLegendKey val="0"/>
          <c:showVal val="0"/>
          <c:showCatName val="0"/>
          <c:showSerName val="0"/>
          <c:showPercent val="0"/>
          <c:showBubbleSize val="0"/>
        </c:dLbls>
        <c:axId val="1444393951"/>
        <c:axId val="1444397791"/>
      </c:scatterChart>
      <c:valAx>
        <c:axId val="1444393951"/>
        <c:scaling>
          <c:orientation val="minMax"/>
          <c:max val="116.01904493442143"/>
          <c:min val="36.299999999999997"/>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444397791"/>
        <c:crosses val="autoZero"/>
        <c:crossBetween val="midCat"/>
      </c:valAx>
      <c:valAx>
        <c:axId val="1444397791"/>
        <c:scaling>
          <c:orientation val="minMax"/>
          <c:max val="116.01904493442143"/>
          <c:min val="36.299999999999997"/>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44439395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Exponential Q-Q Plot</a:t>
            </a:r>
          </a:p>
        </c:rich>
      </c:tx>
      <c:overlay val="0"/>
    </c:title>
    <c:autoTitleDeleted val="0"/>
    <c:plotArea>
      <c:layout/>
      <c:scatterChart>
        <c:scatterStyle val="lineMarker"/>
        <c:varyColors val="0"/>
        <c:ser>
          <c:idx val="0"/>
          <c:order val="0"/>
          <c:tx>
            <c:v>Exponential</c:v>
          </c:tx>
          <c:spPr>
            <a:ln w="38100">
              <a:noFill/>
            </a:ln>
          </c:spPr>
          <c:marker>
            <c:symbol val="diamond"/>
            <c:size val="4"/>
          </c:marker>
          <c:xVal>
            <c:numRef>
              <c:f>Univariate!UV_QQ_Exponential</c:f>
              <c:numCache>
                <c:formatCode>0.0</c:formatCode>
                <c:ptCount val="1"/>
                <c:pt idx="0">
                  <c:v>#N/A</c:v>
                </c:pt>
              </c:numCache>
            </c:numRef>
          </c:xVal>
          <c:yVal>
            <c:numRef>
              <c:f>Univariate!UV_QQ_Sample</c:f>
              <c:numCache>
                <c:formatCode>0.0</c:formatCode>
                <c:ptCount val="1"/>
                <c:pt idx="0">
                  <c:v>0</c:v>
                </c:pt>
              </c:numCache>
            </c:numRef>
          </c:yVal>
          <c:smooth val="0"/>
          <c:extLst>
            <c:ext xmlns:c16="http://schemas.microsoft.com/office/drawing/2014/chart" uri="{C3380CC4-5D6E-409C-BE32-E72D297353CC}">
              <c16:uniqueId val="{00000001-17FE-42BC-BD9F-746CD76C1355}"/>
            </c:ext>
          </c:extLst>
        </c:ser>
        <c:ser>
          <c:idx val="1"/>
          <c:order val="1"/>
          <c:tx>
            <c:v>Identity</c:v>
          </c:tx>
          <c:spPr>
            <a:ln w="15875" cap="rnd">
              <a:solidFill>
                <a:srgbClr val="787878"/>
              </a:solidFill>
              <a:prstDash val="dot"/>
            </a:ln>
          </c:spPr>
          <c:marker>
            <c:symbol val="none"/>
          </c:marker>
          <c:xVal>
            <c:numRef>
              <c:f>Univariate!UV_QQ_Exponential</c:f>
              <c:numCache>
                <c:formatCode>0.0</c:formatCode>
                <c:ptCount val="1"/>
                <c:pt idx="0">
                  <c:v>#N/A</c:v>
                </c:pt>
              </c:numCache>
            </c:numRef>
          </c:xVal>
          <c:yVal>
            <c:numRef>
              <c:f>Univariate!UV_QQ_Exponential</c:f>
              <c:numCache>
                <c:formatCode>0.0</c:formatCode>
                <c:ptCount val="1"/>
                <c:pt idx="0">
                  <c:v>#N/A</c:v>
                </c:pt>
              </c:numCache>
            </c:numRef>
          </c:yVal>
          <c:smooth val="0"/>
          <c:extLst>
            <c:ext xmlns:c16="http://schemas.microsoft.com/office/drawing/2014/chart" uri="{C3380CC4-5D6E-409C-BE32-E72D297353CC}">
              <c16:uniqueId val="{00000002-17FE-42BC-BD9F-746CD76C1355}"/>
            </c:ext>
          </c:extLst>
        </c:ser>
        <c:dLbls>
          <c:showLegendKey val="0"/>
          <c:showVal val="0"/>
          <c:showCatName val="0"/>
          <c:showSerName val="0"/>
          <c:showPercent val="0"/>
          <c:showBubbleSize val="0"/>
        </c:dLbls>
        <c:axId val="1444405471"/>
        <c:axId val="1444398751"/>
      </c:scatterChart>
      <c:valAx>
        <c:axId val="1444405471"/>
        <c:scaling>
          <c:orientation val="minMax"/>
          <c:max val="600.54165423195468"/>
          <c:min val="1.1822206790578103E-2"/>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444398751"/>
        <c:crosses val="autoZero"/>
        <c:crossBetween val="midCat"/>
      </c:valAx>
      <c:valAx>
        <c:axId val="1444398751"/>
        <c:scaling>
          <c:orientation val="minMax"/>
          <c:max val="600.54165423195468"/>
          <c:min val="1.1822206790578103E-2"/>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44440547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Weibull Q-Q Plot</a:t>
            </a:r>
          </a:p>
        </c:rich>
      </c:tx>
      <c:overlay val="0"/>
    </c:title>
    <c:autoTitleDeleted val="0"/>
    <c:plotArea>
      <c:layout/>
      <c:scatterChart>
        <c:scatterStyle val="lineMarker"/>
        <c:varyColors val="0"/>
        <c:ser>
          <c:idx val="0"/>
          <c:order val="0"/>
          <c:tx>
            <c:v>Weibull</c:v>
          </c:tx>
          <c:spPr>
            <a:ln w="38100">
              <a:noFill/>
            </a:ln>
          </c:spPr>
          <c:marker>
            <c:symbol val="diamond"/>
            <c:size val="4"/>
          </c:marker>
          <c:xVal>
            <c:numRef>
              <c:f>Univariate!UV_QQ_Weibull</c:f>
              <c:numCache>
                <c:formatCode>0.0</c:formatCode>
                <c:ptCount val="1"/>
                <c:pt idx="0">
                  <c:v>0</c:v>
                </c:pt>
              </c:numCache>
            </c:numRef>
          </c:xVal>
          <c:yVal>
            <c:numRef>
              <c:f>Univariate!UV_QQ_Sample</c:f>
              <c:numCache>
                <c:formatCode>0.0</c:formatCode>
                <c:ptCount val="1"/>
                <c:pt idx="0">
                  <c:v>0</c:v>
                </c:pt>
              </c:numCache>
            </c:numRef>
          </c:yVal>
          <c:smooth val="0"/>
          <c:extLst>
            <c:ext xmlns:c16="http://schemas.microsoft.com/office/drawing/2014/chart" uri="{C3380CC4-5D6E-409C-BE32-E72D297353CC}">
              <c16:uniqueId val="{00000001-385D-4779-A29F-A5898F2E22C2}"/>
            </c:ext>
          </c:extLst>
        </c:ser>
        <c:ser>
          <c:idx val="1"/>
          <c:order val="1"/>
          <c:tx>
            <c:v>Identity</c:v>
          </c:tx>
          <c:spPr>
            <a:ln w="15875" cap="rnd">
              <a:solidFill>
                <a:srgbClr val="787878"/>
              </a:solidFill>
              <a:prstDash val="dot"/>
            </a:ln>
          </c:spPr>
          <c:marker>
            <c:symbol val="none"/>
          </c:marker>
          <c:xVal>
            <c:numRef>
              <c:f>Univariate!UV_QQ_Weibull</c:f>
              <c:numCache>
                <c:formatCode>0.0</c:formatCode>
                <c:ptCount val="1"/>
                <c:pt idx="0">
                  <c:v>0</c:v>
                </c:pt>
              </c:numCache>
            </c:numRef>
          </c:xVal>
          <c:yVal>
            <c:numRef>
              <c:f>Univariate!UV_QQ_Weibull</c:f>
              <c:numCache>
                <c:formatCode>0.0</c:formatCode>
                <c:ptCount val="1"/>
                <c:pt idx="0">
                  <c:v>0</c:v>
                </c:pt>
              </c:numCache>
            </c:numRef>
          </c:yVal>
          <c:smooth val="0"/>
          <c:extLst>
            <c:ext xmlns:c16="http://schemas.microsoft.com/office/drawing/2014/chart" uri="{C3380CC4-5D6E-409C-BE32-E72D297353CC}">
              <c16:uniqueId val="{00000002-385D-4779-A29F-A5898F2E22C2}"/>
            </c:ext>
          </c:extLst>
        </c:ser>
        <c:dLbls>
          <c:showLegendKey val="0"/>
          <c:showVal val="0"/>
          <c:showCatName val="0"/>
          <c:showSerName val="0"/>
          <c:showPercent val="0"/>
          <c:showBubbleSize val="0"/>
        </c:dLbls>
        <c:axId val="1444407391"/>
        <c:axId val="1444407871"/>
      </c:scatterChart>
      <c:valAx>
        <c:axId val="1444407391"/>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444407871"/>
        <c:crosses val="autoZero"/>
        <c:crossBetween val="midCat"/>
      </c:valAx>
      <c:valAx>
        <c:axId val="1444407871"/>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44440739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Gamma Q-Q Plot</a:t>
            </a:r>
          </a:p>
        </c:rich>
      </c:tx>
      <c:overlay val="0"/>
    </c:title>
    <c:autoTitleDeleted val="0"/>
    <c:plotArea>
      <c:layout/>
      <c:scatterChart>
        <c:scatterStyle val="lineMarker"/>
        <c:varyColors val="0"/>
        <c:ser>
          <c:idx val="0"/>
          <c:order val="0"/>
          <c:tx>
            <c:v>Gamma</c:v>
          </c:tx>
          <c:spPr>
            <a:ln w="38100">
              <a:noFill/>
            </a:ln>
          </c:spPr>
          <c:marker>
            <c:symbol val="diamond"/>
            <c:size val="4"/>
          </c:marker>
          <c:xVal>
            <c:numRef>
              <c:f>Univariate!UV_QQ_Gamma</c:f>
              <c:numCache>
                <c:formatCode>0.0</c:formatCode>
                <c:ptCount val="1"/>
                <c:pt idx="0">
                  <c:v>#N/A</c:v>
                </c:pt>
              </c:numCache>
            </c:numRef>
          </c:xVal>
          <c:yVal>
            <c:numRef>
              <c:f>Univariate!UV_QQ_Sample</c:f>
              <c:numCache>
                <c:formatCode>0.0</c:formatCode>
                <c:ptCount val="1"/>
                <c:pt idx="0">
                  <c:v>0</c:v>
                </c:pt>
              </c:numCache>
            </c:numRef>
          </c:yVal>
          <c:smooth val="0"/>
          <c:extLst>
            <c:ext xmlns:c16="http://schemas.microsoft.com/office/drawing/2014/chart" uri="{C3380CC4-5D6E-409C-BE32-E72D297353CC}">
              <c16:uniqueId val="{00000001-8802-479D-BF2D-96E9BE0C034E}"/>
            </c:ext>
          </c:extLst>
        </c:ser>
        <c:ser>
          <c:idx val="1"/>
          <c:order val="1"/>
          <c:tx>
            <c:v>Identity</c:v>
          </c:tx>
          <c:spPr>
            <a:ln w="15875" cap="rnd">
              <a:solidFill>
                <a:srgbClr val="787878"/>
              </a:solidFill>
              <a:prstDash val="dot"/>
            </a:ln>
          </c:spPr>
          <c:marker>
            <c:symbol val="none"/>
          </c:marker>
          <c:xVal>
            <c:numRef>
              <c:f>Univariate!UV_QQ_Gamma</c:f>
              <c:numCache>
                <c:formatCode>0.0</c:formatCode>
                <c:ptCount val="1"/>
                <c:pt idx="0">
                  <c:v>#N/A</c:v>
                </c:pt>
              </c:numCache>
            </c:numRef>
          </c:xVal>
          <c:yVal>
            <c:numRef>
              <c:f>Univariate!UV_QQ_Gamma</c:f>
              <c:numCache>
                <c:formatCode>0.0</c:formatCode>
                <c:ptCount val="1"/>
                <c:pt idx="0">
                  <c:v>#N/A</c:v>
                </c:pt>
              </c:numCache>
            </c:numRef>
          </c:yVal>
          <c:smooth val="0"/>
          <c:extLst>
            <c:ext xmlns:c16="http://schemas.microsoft.com/office/drawing/2014/chart" uri="{C3380CC4-5D6E-409C-BE32-E72D297353CC}">
              <c16:uniqueId val="{00000002-8802-479D-BF2D-96E9BE0C034E}"/>
            </c:ext>
          </c:extLst>
        </c:ser>
        <c:dLbls>
          <c:showLegendKey val="0"/>
          <c:showVal val="0"/>
          <c:showCatName val="0"/>
          <c:showSerName val="0"/>
          <c:showPercent val="0"/>
          <c:showBubbleSize val="0"/>
        </c:dLbls>
        <c:axId val="1444408831"/>
        <c:axId val="1444401631"/>
      </c:scatterChart>
      <c:valAx>
        <c:axId val="1444408831"/>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444401631"/>
        <c:crosses val="autoZero"/>
        <c:crossBetween val="midCat"/>
      </c:valAx>
      <c:valAx>
        <c:axId val="1444401631"/>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44440883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Triangular Q-Q Plot</a:t>
            </a:r>
          </a:p>
        </c:rich>
      </c:tx>
      <c:overlay val="0"/>
    </c:title>
    <c:autoTitleDeleted val="0"/>
    <c:plotArea>
      <c:layout/>
      <c:scatterChart>
        <c:scatterStyle val="lineMarker"/>
        <c:varyColors val="0"/>
        <c:ser>
          <c:idx val="0"/>
          <c:order val="0"/>
          <c:tx>
            <c:v>Triangular</c:v>
          </c:tx>
          <c:spPr>
            <a:ln w="38100">
              <a:noFill/>
            </a:ln>
          </c:spPr>
          <c:marker>
            <c:symbol val="diamond"/>
            <c:size val="4"/>
          </c:marker>
          <c:xVal>
            <c:numRef>
              <c:f>Univariate!UV_QQ_Triangular</c:f>
              <c:numCache>
                <c:formatCode>0.0</c:formatCode>
                <c:ptCount val="1"/>
                <c:pt idx="0">
                  <c:v>#N/A</c:v>
                </c:pt>
              </c:numCache>
            </c:numRef>
          </c:xVal>
          <c:yVal>
            <c:numRef>
              <c:f>Univariate!UV_QQ_Sample</c:f>
              <c:numCache>
                <c:formatCode>0.0</c:formatCode>
                <c:ptCount val="1"/>
                <c:pt idx="0">
                  <c:v>0</c:v>
                </c:pt>
              </c:numCache>
            </c:numRef>
          </c:yVal>
          <c:smooth val="0"/>
          <c:extLst>
            <c:ext xmlns:c16="http://schemas.microsoft.com/office/drawing/2014/chart" uri="{C3380CC4-5D6E-409C-BE32-E72D297353CC}">
              <c16:uniqueId val="{00000001-2AB5-4DFD-A0EA-6C3E0F9818D1}"/>
            </c:ext>
          </c:extLst>
        </c:ser>
        <c:ser>
          <c:idx val="1"/>
          <c:order val="1"/>
          <c:tx>
            <c:v>Identity</c:v>
          </c:tx>
          <c:spPr>
            <a:ln w="15875" cap="rnd">
              <a:solidFill>
                <a:srgbClr val="787878"/>
              </a:solidFill>
              <a:prstDash val="dot"/>
            </a:ln>
          </c:spPr>
          <c:marker>
            <c:symbol val="none"/>
          </c:marker>
          <c:xVal>
            <c:numRef>
              <c:f>Univariate!UV_QQ_Triangular</c:f>
              <c:numCache>
                <c:formatCode>0.0</c:formatCode>
                <c:ptCount val="1"/>
                <c:pt idx="0">
                  <c:v>#N/A</c:v>
                </c:pt>
              </c:numCache>
            </c:numRef>
          </c:xVal>
          <c:yVal>
            <c:numRef>
              <c:f>Univariate!UV_QQ_Triangular</c:f>
              <c:numCache>
                <c:formatCode>0.0</c:formatCode>
                <c:ptCount val="1"/>
                <c:pt idx="0">
                  <c:v>#N/A</c:v>
                </c:pt>
              </c:numCache>
            </c:numRef>
          </c:yVal>
          <c:smooth val="0"/>
          <c:extLst>
            <c:ext xmlns:c16="http://schemas.microsoft.com/office/drawing/2014/chart" uri="{C3380CC4-5D6E-409C-BE32-E72D297353CC}">
              <c16:uniqueId val="{00000002-2AB5-4DFD-A0EA-6C3E0F9818D1}"/>
            </c:ext>
          </c:extLst>
        </c:ser>
        <c:dLbls>
          <c:showLegendKey val="0"/>
          <c:showVal val="0"/>
          <c:showCatName val="0"/>
          <c:showSerName val="0"/>
          <c:showPercent val="0"/>
          <c:showBubbleSize val="0"/>
        </c:dLbls>
        <c:axId val="1444411711"/>
        <c:axId val="1444410271"/>
      </c:scatterChart>
      <c:valAx>
        <c:axId val="1444411711"/>
        <c:scaling>
          <c:orientation val="minMax"/>
          <c:max val="89"/>
          <c:min val="36.299999999999997"/>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444410271"/>
        <c:crosses val="autoZero"/>
        <c:crossBetween val="midCat"/>
      </c:valAx>
      <c:valAx>
        <c:axId val="1444410271"/>
        <c:scaling>
          <c:orientation val="minMax"/>
          <c:max val="89"/>
          <c:min val="36.299999999999997"/>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44441171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 Q-Q Plot</a:t>
            </a:r>
          </a:p>
        </c:rich>
      </c:tx>
      <c:overlay val="0"/>
    </c:title>
    <c:autoTitleDeleted val="0"/>
    <c:plotArea>
      <c:layout/>
      <c:scatterChart>
        <c:scatterStyle val="lineMarker"/>
        <c:varyColors val="0"/>
        <c:ser>
          <c:idx val="0"/>
          <c:order val="0"/>
          <c:tx>
            <c:v>Beta</c:v>
          </c:tx>
          <c:spPr>
            <a:ln w="38100">
              <a:noFill/>
            </a:ln>
          </c:spPr>
          <c:marker>
            <c:symbol val="diamond"/>
            <c:size val="4"/>
          </c:marker>
          <c:xVal>
            <c:numRef>
              <c:f>Univariate!UV_QQ_Beta</c:f>
              <c:numCache>
                <c:formatCode>0.0</c:formatCode>
                <c:ptCount val="1"/>
                <c:pt idx="0">
                  <c:v>#N/A</c:v>
                </c:pt>
              </c:numCache>
            </c:numRef>
          </c:xVal>
          <c:yVal>
            <c:numRef>
              <c:f>Univariate!UV_QQ_Sample</c:f>
              <c:numCache>
                <c:formatCode>0.0</c:formatCode>
                <c:ptCount val="1"/>
                <c:pt idx="0">
                  <c:v>0</c:v>
                </c:pt>
              </c:numCache>
            </c:numRef>
          </c:yVal>
          <c:smooth val="0"/>
          <c:extLst>
            <c:ext xmlns:c16="http://schemas.microsoft.com/office/drawing/2014/chart" uri="{C3380CC4-5D6E-409C-BE32-E72D297353CC}">
              <c16:uniqueId val="{00000001-CE49-436A-B03F-57F6A8DC28EA}"/>
            </c:ext>
          </c:extLst>
        </c:ser>
        <c:ser>
          <c:idx val="1"/>
          <c:order val="1"/>
          <c:tx>
            <c:v>Identity</c:v>
          </c:tx>
          <c:spPr>
            <a:ln w="15875" cap="rnd">
              <a:solidFill>
                <a:srgbClr val="787878"/>
              </a:solidFill>
              <a:prstDash val="dot"/>
            </a:ln>
          </c:spPr>
          <c:marker>
            <c:symbol val="none"/>
          </c:marker>
          <c:xVal>
            <c:numRef>
              <c:f>Univariate!UV_QQ_Beta</c:f>
              <c:numCache>
                <c:formatCode>0.0</c:formatCode>
                <c:ptCount val="1"/>
                <c:pt idx="0">
                  <c:v>#N/A</c:v>
                </c:pt>
              </c:numCache>
            </c:numRef>
          </c:xVal>
          <c:yVal>
            <c:numRef>
              <c:f>Univariate!UV_QQ_Beta</c:f>
              <c:numCache>
                <c:formatCode>0.0</c:formatCode>
                <c:ptCount val="1"/>
                <c:pt idx="0">
                  <c:v>#N/A</c:v>
                </c:pt>
              </c:numCache>
            </c:numRef>
          </c:yVal>
          <c:smooth val="0"/>
          <c:extLst>
            <c:ext xmlns:c16="http://schemas.microsoft.com/office/drawing/2014/chart" uri="{C3380CC4-5D6E-409C-BE32-E72D297353CC}">
              <c16:uniqueId val="{00000002-CE49-436A-B03F-57F6A8DC28EA}"/>
            </c:ext>
          </c:extLst>
        </c:ser>
        <c:dLbls>
          <c:showLegendKey val="0"/>
          <c:showVal val="0"/>
          <c:showCatName val="0"/>
          <c:showSerName val="0"/>
          <c:showPercent val="0"/>
          <c:showBubbleSize val="0"/>
        </c:dLbls>
        <c:axId val="1444410751"/>
        <c:axId val="1444411231"/>
      </c:scatterChart>
      <c:valAx>
        <c:axId val="1444410751"/>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444411231"/>
        <c:crosses val="autoZero"/>
        <c:crossBetween val="midCat"/>
      </c:valAx>
      <c:valAx>
        <c:axId val="1444411231"/>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44441075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BetaPERT Q-Q Plot</a:t>
            </a:r>
          </a:p>
        </c:rich>
      </c:tx>
      <c:overlay val="0"/>
    </c:title>
    <c:autoTitleDeleted val="0"/>
    <c:plotArea>
      <c:layout/>
      <c:scatterChart>
        <c:scatterStyle val="lineMarker"/>
        <c:varyColors val="0"/>
        <c:ser>
          <c:idx val="0"/>
          <c:order val="0"/>
          <c:tx>
            <c:v>BetaPERT</c:v>
          </c:tx>
          <c:spPr>
            <a:ln w="38100">
              <a:noFill/>
            </a:ln>
          </c:spPr>
          <c:marker>
            <c:symbol val="diamond"/>
            <c:size val="4"/>
          </c:marker>
          <c:xVal>
            <c:numRef>
              <c:f>Univariate!UV_QQ_BetaPERT</c:f>
              <c:numCache>
                <c:formatCode>0.0</c:formatCode>
                <c:ptCount val="1"/>
                <c:pt idx="0">
                  <c:v>#N/A</c:v>
                </c:pt>
              </c:numCache>
            </c:numRef>
          </c:xVal>
          <c:yVal>
            <c:numRef>
              <c:f>Univariate!UV_QQ_Sample</c:f>
              <c:numCache>
                <c:formatCode>0.0</c:formatCode>
                <c:ptCount val="1"/>
                <c:pt idx="0">
                  <c:v>0</c:v>
                </c:pt>
              </c:numCache>
            </c:numRef>
          </c:yVal>
          <c:smooth val="0"/>
          <c:extLst>
            <c:ext xmlns:c16="http://schemas.microsoft.com/office/drawing/2014/chart" uri="{C3380CC4-5D6E-409C-BE32-E72D297353CC}">
              <c16:uniqueId val="{00000001-34BE-4456-A54E-7AF68E2D6D43}"/>
            </c:ext>
          </c:extLst>
        </c:ser>
        <c:ser>
          <c:idx val="1"/>
          <c:order val="1"/>
          <c:tx>
            <c:v>Identity</c:v>
          </c:tx>
          <c:spPr>
            <a:ln w="15875" cap="rnd">
              <a:solidFill>
                <a:srgbClr val="787878"/>
              </a:solidFill>
              <a:prstDash val="dot"/>
            </a:ln>
          </c:spPr>
          <c:marker>
            <c:symbol val="none"/>
          </c:marker>
          <c:xVal>
            <c:numRef>
              <c:f>Univariate!UV_QQ_BetaPERT</c:f>
              <c:numCache>
                <c:formatCode>0.0</c:formatCode>
                <c:ptCount val="1"/>
                <c:pt idx="0">
                  <c:v>#N/A</c:v>
                </c:pt>
              </c:numCache>
            </c:numRef>
          </c:xVal>
          <c:yVal>
            <c:numRef>
              <c:f>Univariate!UV_QQ_BetaPERT</c:f>
              <c:numCache>
                <c:formatCode>0.0</c:formatCode>
                <c:ptCount val="1"/>
                <c:pt idx="0">
                  <c:v>#N/A</c:v>
                </c:pt>
              </c:numCache>
            </c:numRef>
          </c:yVal>
          <c:smooth val="0"/>
          <c:extLst>
            <c:ext xmlns:c16="http://schemas.microsoft.com/office/drawing/2014/chart" uri="{C3380CC4-5D6E-409C-BE32-E72D297353CC}">
              <c16:uniqueId val="{00000002-34BE-4456-A54E-7AF68E2D6D43}"/>
            </c:ext>
          </c:extLst>
        </c:ser>
        <c:dLbls>
          <c:showLegendKey val="0"/>
          <c:showVal val="0"/>
          <c:showCatName val="0"/>
          <c:showSerName val="0"/>
          <c:showPercent val="0"/>
          <c:showBubbleSize val="0"/>
        </c:dLbls>
        <c:axId val="1444414591"/>
        <c:axId val="1444415071"/>
      </c:scatterChart>
      <c:valAx>
        <c:axId val="1444414591"/>
        <c:scaling>
          <c:orientation val="minMax"/>
          <c:max val="89"/>
          <c:min val="36.299999999999997"/>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444415071"/>
        <c:crosses val="autoZero"/>
        <c:crossBetween val="midCat"/>
      </c:valAx>
      <c:valAx>
        <c:axId val="1444415071"/>
        <c:scaling>
          <c:orientation val="minMax"/>
          <c:max val="89"/>
          <c:min val="36.299999999999997"/>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44441459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5.xml"/><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11" Type="http://schemas.openxmlformats.org/officeDocument/2006/relationships/chart" Target="../charts/chart18.xml"/><Relationship Id="rId5" Type="http://schemas.openxmlformats.org/officeDocument/2006/relationships/chart" Target="../charts/chart12.xml"/><Relationship Id="rId10" Type="http://schemas.openxmlformats.org/officeDocument/2006/relationships/chart" Target="../charts/chart17.xml"/><Relationship Id="rId4" Type="http://schemas.openxmlformats.org/officeDocument/2006/relationships/chart" Target="../charts/chart11.xml"/><Relationship Id="rId9"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xdr:from>
      <xdr:col>47</xdr:col>
      <xdr:colOff>0</xdr:colOff>
      <xdr:row>2</xdr:row>
      <xdr:rowOff>0</xdr:rowOff>
    </xdr:from>
    <xdr:to>
      <xdr:col>51</xdr:col>
      <xdr:colOff>184150</xdr:colOff>
      <xdr:row>22</xdr:row>
      <xdr:rowOff>127000</xdr:rowOff>
    </xdr:to>
    <xdr:graphicFrame macro="">
      <xdr:nvGraphicFramePr>
        <xdr:cNvPr id="2" name="Chart 1">
          <a:extLst>
            <a:ext uri="{FF2B5EF4-FFF2-40B4-BE49-F238E27FC236}">
              <a16:creationId xmlns:a16="http://schemas.microsoft.com/office/drawing/2014/main" id="{A3B5BD0F-2734-2C78-5ED2-A1CCC9AF1F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51</xdr:col>
      <xdr:colOff>311150</xdr:colOff>
      <xdr:row>2</xdr:row>
      <xdr:rowOff>0</xdr:rowOff>
    </xdr:from>
    <xdr:to>
      <xdr:col>57</xdr:col>
      <xdr:colOff>590550</xdr:colOff>
      <xdr:row>22</xdr:row>
      <xdr:rowOff>127000</xdr:rowOff>
    </xdr:to>
    <xdr:graphicFrame macro="">
      <xdr:nvGraphicFramePr>
        <xdr:cNvPr id="3" name="Chart 2">
          <a:extLst>
            <a:ext uri="{FF2B5EF4-FFF2-40B4-BE49-F238E27FC236}">
              <a16:creationId xmlns:a16="http://schemas.microsoft.com/office/drawing/2014/main" id="{6D595B00-C6E8-881C-870C-885120EDB76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47</xdr:col>
      <xdr:colOff>0</xdr:colOff>
      <xdr:row>23</xdr:row>
      <xdr:rowOff>63500</xdr:rowOff>
    </xdr:from>
    <xdr:to>
      <xdr:col>51</xdr:col>
      <xdr:colOff>184150</xdr:colOff>
      <xdr:row>44</xdr:row>
      <xdr:rowOff>0</xdr:rowOff>
    </xdr:to>
    <xdr:graphicFrame macro="">
      <xdr:nvGraphicFramePr>
        <xdr:cNvPr id="4" name="Chart 3">
          <a:extLst>
            <a:ext uri="{FF2B5EF4-FFF2-40B4-BE49-F238E27FC236}">
              <a16:creationId xmlns:a16="http://schemas.microsoft.com/office/drawing/2014/main" id="{33C371FF-513D-1C4D-5D76-92C66979AA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51</xdr:col>
      <xdr:colOff>311150</xdr:colOff>
      <xdr:row>23</xdr:row>
      <xdr:rowOff>63500</xdr:rowOff>
    </xdr:from>
    <xdr:to>
      <xdr:col>57</xdr:col>
      <xdr:colOff>590550</xdr:colOff>
      <xdr:row>44</xdr:row>
      <xdr:rowOff>0</xdr:rowOff>
    </xdr:to>
    <xdr:graphicFrame macro="">
      <xdr:nvGraphicFramePr>
        <xdr:cNvPr id="5" name="Chart 4">
          <a:extLst>
            <a:ext uri="{FF2B5EF4-FFF2-40B4-BE49-F238E27FC236}">
              <a16:creationId xmlns:a16="http://schemas.microsoft.com/office/drawing/2014/main" id="{3468C249-5116-6CC1-9CE4-E738DBA908F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47</xdr:col>
      <xdr:colOff>0</xdr:colOff>
      <xdr:row>44</xdr:row>
      <xdr:rowOff>127000</xdr:rowOff>
    </xdr:from>
    <xdr:to>
      <xdr:col>51</xdr:col>
      <xdr:colOff>184150</xdr:colOff>
      <xdr:row>65</xdr:row>
      <xdr:rowOff>63500</xdr:rowOff>
    </xdr:to>
    <xdr:graphicFrame macro="">
      <xdr:nvGraphicFramePr>
        <xdr:cNvPr id="6" name="Chart 5">
          <a:extLst>
            <a:ext uri="{FF2B5EF4-FFF2-40B4-BE49-F238E27FC236}">
              <a16:creationId xmlns:a16="http://schemas.microsoft.com/office/drawing/2014/main" id="{97CB25C5-CF0B-38CF-ACA6-2FEAD1B770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51</xdr:col>
      <xdr:colOff>311150</xdr:colOff>
      <xdr:row>44</xdr:row>
      <xdr:rowOff>127000</xdr:rowOff>
    </xdr:from>
    <xdr:to>
      <xdr:col>57</xdr:col>
      <xdr:colOff>590550</xdr:colOff>
      <xdr:row>65</xdr:row>
      <xdr:rowOff>63500</xdr:rowOff>
    </xdr:to>
    <xdr:graphicFrame macro="">
      <xdr:nvGraphicFramePr>
        <xdr:cNvPr id="7" name="Chart 6">
          <a:extLst>
            <a:ext uri="{FF2B5EF4-FFF2-40B4-BE49-F238E27FC236}">
              <a16:creationId xmlns:a16="http://schemas.microsoft.com/office/drawing/2014/main" id="{B8719860-D54E-BA05-13CF-7C05431510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47</xdr:col>
      <xdr:colOff>0</xdr:colOff>
      <xdr:row>66</xdr:row>
      <xdr:rowOff>0</xdr:rowOff>
    </xdr:from>
    <xdr:to>
      <xdr:col>51</xdr:col>
      <xdr:colOff>184150</xdr:colOff>
      <xdr:row>86</xdr:row>
      <xdr:rowOff>127000</xdr:rowOff>
    </xdr:to>
    <xdr:graphicFrame macro="">
      <xdr:nvGraphicFramePr>
        <xdr:cNvPr id="8" name="Chart 7">
          <a:extLst>
            <a:ext uri="{FF2B5EF4-FFF2-40B4-BE49-F238E27FC236}">
              <a16:creationId xmlns:a16="http://schemas.microsoft.com/office/drawing/2014/main" id="{C1FE3A50-3729-6BEB-6D71-82F700AE6A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0</xdr:colOff>
      <xdr:row>13</xdr:row>
      <xdr:rowOff>0</xdr:rowOff>
    </xdr:from>
    <xdr:to>
      <xdr:col>19</xdr:col>
      <xdr:colOff>0</xdr:colOff>
      <xdr:row>33</xdr:row>
      <xdr:rowOff>0</xdr:rowOff>
    </xdr:to>
    <xdr:graphicFrame macro="">
      <xdr:nvGraphicFramePr>
        <xdr:cNvPr id="2" name="Chart 1">
          <a:extLst>
            <a:ext uri="{FF2B5EF4-FFF2-40B4-BE49-F238E27FC236}">
              <a16:creationId xmlns:a16="http://schemas.microsoft.com/office/drawing/2014/main" id="{AC7A4939-E186-ECBD-1A2C-7E1BE7AB21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33</xdr:row>
      <xdr:rowOff>0</xdr:rowOff>
    </xdr:from>
    <xdr:to>
      <xdr:col>19</xdr:col>
      <xdr:colOff>0</xdr:colOff>
      <xdr:row>53</xdr:row>
      <xdr:rowOff>0</xdr:rowOff>
    </xdr:to>
    <xdr:graphicFrame macro="">
      <xdr:nvGraphicFramePr>
        <xdr:cNvPr id="3" name="Chart 2">
          <a:extLst>
            <a:ext uri="{FF2B5EF4-FFF2-40B4-BE49-F238E27FC236}">
              <a16:creationId xmlns:a16="http://schemas.microsoft.com/office/drawing/2014/main" id="{66E62F33-581F-7C97-CF27-54539846674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0</xdr:colOff>
      <xdr:row>53</xdr:row>
      <xdr:rowOff>0</xdr:rowOff>
    </xdr:from>
    <xdr:to>
      <xdr:col>19</xdr:col>
      <xdr:colOff>0</xdr:colOff>
      <xdr:row>73</xdr:row>
      <xdr:rowOff>0</xdr:rowOff>
    </xdr:to>
    <xdr:graphicFrame macro="">
      <xdr:nvGraphicFramePr>
        <xdr:cNvPr id="4" name="Chart 3">
          <a:extLst>
            <a:ext uri="{FF2B5EF4-FFF2-40B4-BE49-F238E27FC236}">
              <a16:creationId xmlns:a16="http://schemas.microsoft.com/office/drawing/2014/main" id="{41338EFE-247B-F895-691D-830E0DD38B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0</xdr:colOff>
      <xdr:row>73</xdr:row>
      <xdr:rowOff>0</xdr:rowOff>
    </xdr:from>
    <xdr:to>
      <xdr:col>15</xdr:col>
      <xdr:colOff>0</xdr:colOff>
      <xdr:row>93</xdr:row>
      <xdr:rowOff>0</xdr:rowOff>
    </xdr:to>
    <xdr:graphicFrame macro="">
      <xdr:nvGraphicFramePr>
        <xdr:cNvPr id="5" name="Chart 4">
          <a:extLst>
            <a:ext uri="{FF2B5EF4-FFF2-40B4-BE49-F238E27FC236}">
              <a16:creationId xmlns:a16="http://schemas.microsoft.com/office/drawing/2014/main" id="{E2E36277-85EF-FB66-F7AF-9B99366A3A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0</xdr:colOff>
      <xdr:row>73</xdr:row>
      <xdr:rowOff>0</xdr:rowOff>
    </xdr:from>
    <xdr:to>
      <xdr:col>20</xdr:col>
      <xdr:colOff>0</xdr:colOff>
      <xdr:row>93</xdr:row>
      <xdr:rowOff>0</xdr:rowOff>
    </xdr:to>
    <xdr:graphicFrame macro="">
      <xdr:nvGraphicFramePr>
        <xdr:cNvPr id="6" name="Chart 5">
          <a:extLst>
            <a:ext uri="{FF2B5EF4-FFF2-40B4-BE49-F238E27FC236}">
              <a16:creationId xmlns:a16="http://schemas.microsoft.com/office/drawing/2014/main" id="{11924892-986C-BF16-7F8A-91160F85F6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0</xdr:colOff>
      <xdr:row>93</xdr:row>
      <xdr:rowOff>0</xdr:rowOff>
    </xdr:from>
    <xdr:to>
      <xdr:col>15</xdr:col>
      <xdr:colOff>0</xdr:colOff>
      <xdr:row>113</xdr:row>
      <xdr:rowOff>0</xdr:rowOff>
    </xdr:to>
    <xdr:graphicFrame macro="">
      <xdr:nvGraphicFramePr>
        <xdr:cNvPr id="7" name="Chart 6">
          <a:extLst>
            <a:ext uri="{FF2B5EF4-FFF2-40B4-BE49-F238E27FC236}">
              <a16:creationId xmlns:a16="http://schemas.microsoft.com/office/drawing/2014/main" id="{D599D044-B74D-92A9-20E9-15FA0A9753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0</xdr:colOff>
      <xdr:row>93</xdr:row>
      <xdr:rowOff>0</xdr:rowOff>
    </xdr:from>
    <xdr:to>
      <xdr:col>20</xdr:col>
      <xdr:colOff>0</xdr:colOff>
      <xdr:row>113</xdr:row>
      <xdr:rowOff>0</xdr:rowOff>
    </xdr:to>
    <xdr:graphicFrame macro="">
      <xdr:nvGraphicFramePr>
        <xdr:cNvPr id="8" name="Chart 7">
          <a:extLst>
            <a:ext uri="{FF2B5EF4-FFF2-40B4-BE49-F238E27FC236}">
              <a16:creationId xmlns:a16="http://schemas.microsoft.com/office/drawing/2014/main" id="{B5AE709B-1BB9-2B58-0C9E-E158A53EDA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0</xdr:colOff>
      <xdr:row>113</xdr:row>
      <xdr:rowOff>0</xdr:rowOff>
    </xdr:from>
    <xdr:to>
      <xdr:col>15</xdr:col>
      <xdr:colOff>0</xdr:colOff>
      <xdr:row>133</xdr:row>
      <xdr:rowOff>0</xdr:rowOff>
    </xdr:to>
    <xdr:graphicFrame macro="">
      <xdr:nvGraphicFramePr>
        <xdr:cNvPr id="9" name="Chart 8">
          <a:extLst>
            <a:ext uri="{FF2B5EF4-FFF2-40B4-BE49-F238E27FC236}">
              <a16:creationId xmlns:a16="http://schemas.microsoft.com/office/drawing/2014/main" id="{10B492BE-B117-392F-C53E-B69144E5CC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15</xdr:col>
      <xdr:colOff>0</xdr:colOff>
      <xdr:row>113</xdr:row>
      <xdr:rowOff>0</xdr:rowOff>
    </xdr:from>
    <xdr:to>
      <xdr:col>20</xdr:col>
      <xdr:colOff>0</xdr:colOff>
      <xdr:row>133</xdr:row>
      <xdr:rowOff>0</xdr:rowOff>
    </xdr:to>
    <xdr:graphicFrame macro="">
      <xdr:nvGraphicFramePr>
        <xdr:cNvPr id="10" name="Chart 9">
          <a:extLst>
            <a:ext uri="{FF2B5EF4-FFF2-40B4-BE49-F238E27FC236}">
              <a16:creationId xmlns:a16="http://schemas.microsoft.com/office/drawing/2014/main" id="{690D8050-4C79-C5A4-2133-752EE16AEE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6</xdr:col>
      <xdr:colOff>0</xdr:colOff>
      <xdr:row>133</xdr:row>
      <xdr:rowOff>0</xdr:rowOff>
    </xdr:from>
    <xdr:to>
      <xdr:col>15</xdr:col>
      <xdr:colOff>0</xdr:colOff>
      <xdr:row>153</xdr:row>
      <xdr:rowOff>0</xdr:rowOff>
    </xdr:to>
    <xdr:graphicFrame macro="">
      <xdr:nvGraphicFramePr>
        <xdr:cNvPr id="11" name="Chart 10">
          <a:extLst>
            <a:ext uri="{FF2B5EF4-FFF2-40B4-BE49-F238E27FC236}">
              <a16:creationId xmlns:a16="http://schemas.microsoft.com/office/drawing/2014/main" id="{8E4A2095-043B-8CC1-1327-4A00187C7EA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15</xdr:col>
      <xdr:colOff>0</xdr:colOff>
      <xdr:row>133</xdr:row>
      <xdr:rowOff>0</xdr:rowOff>
    </xdr:from>
    <xdr:to>
      <xdr:col>20</xdr:col>
      <xdr:colOff>0</xdr:colOff>
      <xdr:row>153</xdr:row>
      <xdr:rowOff>0</xdr:rowOff>
    </xdr:to>
    <xdr:graphicFrame macro="">
      <xdr:nvGraphicFramePr>
        <xdr:cNvPr id="12" name="Chart 11">
          <a:extLst>
            <a:ext uri="{FF2B5EF4-FFF2-40B4-BE49-F238E27FC236}">
              <a16:creationId xmlns:a16="http://schemas.microsoft.com/office/drawing/2014/main" id="{21E955F6-E640-2763-1D9E-546D29FE16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13</v>
    <v>3</v>
  </rv>
  <rv s="1">
    <v>13</v>
    <v>1</v>
  </rv>
</rvData>
</file>

<file path=xl/richData/rdrichvaluestructure.xml><?xml version="1.0" encoding="utf-8"?>
<rvStructures xmlns="http://schemas.microsoft.com/office/spreadsheetml/2017/richdata" count="2">
  <s t="_error">
    <k n="errorType" t="i"/>
    <k n="subType" t="i"/>
  </s>
  <s t="_error">
    <k n="errorType" t="i"/>
    <k n="propagated" t="b"/>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6D6F2C5-7D2B-4766-8B0A-C0E74E7117C9}" name="LAMBDAFunctionsCatalog" displayName="LAMBDAFunctionsCatalog" ref="A1:G115" totalsRowShown="0" headerRowDxfId="35" dataDxfId="34">
  <autoFilter ref="A1:G115" xr:uid="{96D6F2C5-7D2B-4766-8B0A-C0E74E7117C9}"/>
  <tableColumns count="7">
    <tableColumn id="1" xr3:uid="{72944A56-31B0-4095-8747-578DB7065EA9}" name="Function Name" dataDxfId="42"/>
    <tableColumn id="2" xr3:uid="{618C64B7-5875-433F-8082-D5F0A52610A9}" name="Scope" dataDxfId="41"/>
    <tableColumn id="3" xr3:uid="{6A6379B7-F543-4771-BA02-879CE564DE97}" name="Definition" dataDxfId="40"/>
    <tableColumn id="4" xr3:uid="{821F07A8-303E-41D5-A74A-0DD17C3BC403}" name="Arguments" dataDxfId="39"/>
    <tableColumn id="5" xr3:uid="{8C67D2FC-560D-4054-A571-A5F709833DDB}" name="Yields" dataDxfId="38"/>
    <tableColumn id="6" xr3:uid="{21E0EC6C-566A-48ED-AB7A-E42ECD9390FA}" name="Plain-Language Summary" dataDxfId="37"/>
    <tableColumn id="7" xr3:uid="{B319D159-33E0-4876-A69E-18199D012435}" name="Description" dataDxfId="3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F5EB54B-C586-42CD-AA75-02F3BB50D7F3}" name="LifeExpectancyData" displayName="LifeExpectancyData" ref="A1:W2939" totalsRowShown="0">
  <autoFilter ref="A1:W2939" xr:uid="{DF5EB54B-C586-42CD-AA75-02F3BB50D7F3}"/>
  <tableColumns count="23">
    <tableColumn id="1" xr3:uid="{63AAF628-F901-4F05-AD32-1A68C94A6702}" name="Country"/>
    <tableColumn id="2" xr3:uid="{D7B676E8-8845-4ED9-8C1E-9FF59441DEA3}" name="Year"/>
    <tableColumn id="3" xr3:uid="{EBCB3315-A77E-4FA3-AB26-7989B781049D}" name="Status"/>
    <tableColumn id="4" xr3:uid="{4A6E19CF-7EE2-46B9-B253-D80166269359}" name="Life expectancy"/>
    <tableColumn id="5" xr3:uid="{FEAE73CC-04F5-4845-97BE-EC96A32D127D}" name="Adult Mortality"/>
    <tableColumn id="6" xr3:uid="{9D9720C3-AEA4-4528-942D-E4F579AE4B42}" name="infant deaths"/>
    <tableColumn id="7" xr3:uid="{44F35358-9E27-442E-8EDD-D9549DA09E0A}" name="Alcohol"/>
    <tableColumn id="8" xr3:uid="{8E724AF3-D7BD-43B9-96FD-FAB306D16DEF}" name="percentage expenditure"/>
    <tableColumn id="9" xr3:uid="{48F0F483-E2FE-429C-8A53-6403690861CB}" name="Hepatitis B"/>
    <tableColumn id="10" xr3:uid="{282852D5-71C0-4CD9-91BD-7B82B39889DF}" name="Measles"/>
    <tableColumn id="11" xr3:uid="{6D272A73-A318-47A1-A898-B0D0818ABDE9}" name="BMI"/>
    <tableColumn id="12" xr3:uid="{4E9FF301-4660-459B-918F-8A700B8BA2F0}" name="under-five deaths"/>
    <tableColumn id="13" xr3:uid="{6ABBBE73-CEF2-407E-BD8C-58D2C68C19C1}" name="Polio"/>
    <tableColumn id="14" xr3:uid="{971DAC4E-554F-4673-AAA5-78803449C907}" name="Total expenditure"/>
    <tableColumn id="15" xr3:uid="{237F1542-2443-498C-80D1-9C6A5CE35551}" name="Diphtheria"/>
    <tableColumn id="16" xr3:uid="{FF1B5244-69BB-422D-80AF-656CC88FCFA5}" name="HIV/AIDS"/>
    <tableColumn id="17" xr3:uid="{9C3B89E4-6A64-4275-B0E9-4C2CC3FAA29D}" name="GDP"/>
    <tableColumn id="18" xr3:uid="{7F029AD5-0CDE-438B-BC51-5EAE21642DCB}" name="Population"/>
    <tableColumn id="19" xr3:uid="{8BDE92E6-D8E2-46E8-9D84-7F65A515FF15}" name="thinness 1-19 years"/>
    <tableColumn id="20" xr3:uid="{1C859304-E7D1-40A3-A31E-37D07D98F9AB}" name="thinness 5-9 years"/>
    <tableColumn id="21" xr3:uid="{6697C350-2CF5-4CA6-9780-89666191139A}" name="Income composition of resources"/>
    <tableColumn id="22" xr3:uid="{38D657E1-4C5C-447C-8D1F-2A876CFFE760}" name="Schooling"/>
    <tableColumn id="23" xr3:uid="{6855E57A-B1D1-4AF1-A593-18A0A5718848}"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5662565-A4D7-4780-A7E6-F711BAF0BBC0}" name="SpecTable" displayName="SpecTable" ref="B3:L15" totalsRowShown="0" headerRowDxfId="33">
  <autoFilter ref="B3:L15" xr:uid="{45662565-A4D7-4780-A7E6-F711BAF0BBC0}"/>
  <tableColumns count="11">
    <tableColumn id="1" xr3:uid="{8F4CF23B-E10F-4706-9BBE-2E3242DB3D5C}" name="Role"/>
    <tableColumn id="2" xr3:uid="{4C380CBF-E0F7-4475-A60A-104B2F097C2D}" name="Include"/>
    <tableColumn id="3" xr3:uid="{92D1C574-8156-426E-B41B-74EA0354E3F3}" name="Type"/>
    <tableColumn id="4" xr3:uid="{CB90F651-91A2-424F-8206-B8CBFBAEA56B}" name="Reference Level"/>
    <tableColumn id="5" xr3:uid="{15BB1EE1-7A9A-4DE2-9ABD-29936BBFAA32}" name="Order"/>
    <tableColumn id="6" xr3:uid="{D46DA216-8434-403A-94B4-7AFA97B26053}" name="Transform"/>
    <tableColumn id="7" xr3:uid="{67CB7377-C00E-40D7-87CB-1837AE0929E0}" name="Sequence"/>
    <tableColumn id="8" xr3:uid="{4A8EDEEF-26AD-4F8A-A800-653F29D60060}" name="Sequence Period"/>
    <tableColumn id="9" xr3:uid="{A2DF9BF4-0CB4-4DC8-BC2E-52CAD568FF21}" name="Period In Use" dataDxfId="32">
      <calculatedColumnFormula>IF(SpecTable[[#This Row],[Sequence]]&lt;&gt;TRUE,"",IF(N(SpecTable[[#This Row],[Sequence Period]])&lt;&gt;0,SpecTable[[#This Row],[Sequence Period]],IFERROR(Base_Period_Delta_Candidate(),"")))</calculatedColumnFormula>
    </tableColumn>
    <tableColumn id="10" xr3:uid="{32C266F4-F005-4E6F-A2F5-0856653371B8}" name="Levels" dataDxfId="31">
      <calculatedColumnFormula>IF(OR(SpecTable[[#This Row],[Role]]&lt;&gt;"Predictor (x)",SpecTable[[#This Row],[Type]]&lt;&gt;"Categorical"),"",_xlfn.LET(_xlpm.col,INDEX(Source_Data,0,ROW()-3),_xlpm.x,IF(_xlpm.col="","",_xlpm.col),IFERROR(ROWS(_xlfn.UNIQUE(_xlfn._xlws.FILTER(_xlpm.x,(_xlpm.x&lt;&gt;"")*Sample_Include()))),0)))</calculatedColumnFormula>
    </tableColumn>
    <tableColumn id="11" xr3:uid="{8ED23CCB-DB3B-4E5E-8D94-679DF7785567}" name="Reference In Use" dataDxfId="30">
      <calculatedColumnFormula>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E417FAB-2EFC-4DC9-8E94-FA2B5BE884F8}" name="MileageData" displayName="MileageData" ref="A1:L407" totalsRowShown="0">
  <autoFilter ref="A1:L407" xr:uid="{3E417FAB-2EFC-4DC9-8E94-FA2B5BE884F8}"/>
  <tableColumns count="12">
    <tableColumn id="1" xr3:uid="{17B5861E-1F57-4E18-B433-772A48986617}" name="MPG"/>
    <tableColumn id="2" xr3:uid="{682D5D20-5F55-4B07-875A-831F7C8C36DD}" name="Cylinders"/>
    <tableColumn id="3" xr3:uid="{737AE97E-C05A-4275-870C-6F2D04BADEB3}" name="Displacement"/>
    <tableColumn id="4" xr3:uid="{FE23F663-5A80-4F75-8E5A-58F1086F8267}" name="Horsepower"/>
    <tableColumn id="5" xr3:uid="{6F763F3A-37F7-4378-AD4D-02F46232BBE2}" name="Weight"/>
    <tableColumn id="6" xr3:uid="{C3F8F990-78C1-47C5-A03F-3B7DF622E844}" name="Acceleration"/>
    <tableColumn id="7" xr3:uid="{F7DFC529-1F59-4DD9-B32C-96267067867F}" name="Model Year"/>
    <tableColumn id="8" xr3:uid="{F2500D9A-4ADD-45E0-BD87-1D7F14087DC3}" name="Origin"/>
    <tableColumn id="9" xr3:uid="{3D7ECC63-74A6-47CB-B836-064B951B2487}" name="Car Name"/>
    <tableColumn id="10" xr3:uid="{D1E93B37-F958-4948-9DF0-706EF5A479D6}" name="Make"/>
    <tableColumn id="11" xr3:uid="{A00644A8-F356-44D2-B4A5-80A6A4BB78A8}" name="Model?"/>
    <tableColumn id="12" xr3:uid="{7DD5263B-1D46-48CA-AE7B-C9FE5480CC95}" name="Full_Data">
      <calculatedColumnFormula>Data_Completeness(MileageData[[#This Row],[MPG]:[Acceleration]])</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vmlDrawing" Target="../drawings/vmlDrawing1.vml"/><Relationship Id="rId1" Type="http://schemas.openxmlformats.org/officeDocument/2006/relationships/drawing" Target="../drawings/drawing1.xml"/><Relationship Id="rId4" Type="http://schemas.openxmlformats.org/officeDocument/2006/relationships/comments" Target="../comments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G115"/>
  <sheetViews>
    <sheetView workbookViewId="0">
      <pane ySplit="1" topLeftCell="A2" activePane="bottomLeft" state="frozenSplit"/>
      <selection pane="bottomLeft" activeCell="B4" sqref="B4"/>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890</v>
      </c>
      <c r="C1" s="2" t="s">
        <v>1</v>
      </c>
      <c r="D1" s="2" t="s">
        <v>2</v>
      </c>
      <c r="E1" s="2" t="s">
        <v>3</v>
      </c>
      <c r="F1" s="2" t="s">
        <v>4</v>
      </c>
      <c r="G1" s="2" t="s">
        <v>5</v>
      </c>
    </row>
    <row r="2" spans="1:7" ht="90" x14ac:dyDescent="0.25">
      <c r="A2" s="2" t="s">
        <v>6</v>
      </c>
      <c r="B2" s="2" t="s">
        <v>891</v>
      </c>
      <c r="C2" s="1" t="s">
        <v>7</v>
      </c>
      <c r="D2" s="2" t="s">
        <v>8</v>
      </c>
      <c r="E2" s="2" t="s">
        <v>9</v>
      </c>
      <c r="F2" s="2" t="s">
        <v>10</v>
      </c>
      <c r="G2" s="2" t="s">
        <v>11</v>
      </c>
    </row>
    <row r="3" spans="1:7" ht="105" x14ac:dyDescent="0.25">
      <c r="A3" s="2" t="s">
        <v>786</v>
      </c>
      <c r="B3" s="2" t="s">
        <v>891</v>
      </c>
      <c r="C3" s="1" t="s">
        <v>12</v>
      </c>
      <c r="D3" s="2" t="s">
        <v>13</v>
      </c>
      <c r="E3" s="2" t="s">
        <v>14</v>
      </c>
      <c r="F3" s="2" t="s">
        <v>15</v>
      </c>
      <c r="G3" s="2" t="s">
        <v>16</v>
      </c>
    </row>
    <row r="4" spans="1:7" ht="105" x14ac:dyDescent="0.25">
      <c r="A4" s="2" t="s">
        <v>787</v>
      </c>
      <c r="B4" s="2" t="s">
        <v>891</v>
      </c>
      <c r="C4" s="1" t="s">
        <v>17</v>
      </c>
      <c r="D4" s="2" t="s">
        <v>18</v>
      </c>
      <c r="E4" s="2" t="s">
        <v>19</v>
      </c>
      <c r="F4" s="2" t="s">
        <v>20</v>
      </c>
      <c r="G4" s="2" t="s">
        <v>21</v>
      </c>
    </row>
    <row r="5" spans="1:7" ht="120" x14ac:dyDescent="0.25">
      <c r="A5" s="2" t="s">
        <v>788</v>
      </c>
      <c r="B5" s="2" t="s">
        <v>891</v>
      </c>
      <c r="C5" s="1" t="s">
        <v>22</v>
      </c>
      <c r="D5" s="2" t="s">
        <v>23</v>
      </c>
      <c r="E5" s="2" t="s">
        <v>24</v>
      </c>
      <c r="F5" s="2" t="s">
        <v>25</v>
      </c>
      <c r="G5" s="2" t="s">
        <v>789</v>
      </c>
    </row>
    <row r="6" spans="1:7" ht="120" x14ac:dyDescent="0.25">
      <c r="A6" s="2" t="s">
        <v>790</v>
      </c>
      <c r="B6" s="2" t="s">
        <v>891</v>
      </c>
      <c r="C6" s="1" t="s">
        <v>791</v>
      </c>
      <c r="D6" s="2" t="s">
        <v>23</v>
      </c>
      <c r="E6" s="2" t="s">
        <v>26</v>
      </c>
      <c r="F6" s="2" t="s">
        <v>27</v>
      </c>
      <c r="G6" s="2" t="s">
        <v>792</v>
      </c>
    </row>
    <row r="7" spans="1:7" ht="120" x14ac:dyDescent="0.25">
      <c r="A7" s="2" t="s">
        <v>28</v>
      </c>
      <c r="B7" s="2" t="s">
        <v>891</v>
      </c>
      <c r="C7" s="1" t="s">
        <v>793</v>
      </c>
      <c r="D7" s="2" t="s">
        <v>23</v>
      </c>
      <c r="E7" s="2" t="s">
        <v>29</v>
      </c>
      <c r="F7" s="2" t="s">
        <v>30</v>
      </c>
      <c r="G7" s="2" t="s">
        <v>794</v>
      </c>
    </row>
    <row r="8" spans="1:7" ht="165" x14ac:dyDescent="0.25">
      <c r="A8" s="2" t="s">
        <v>795</v>
      </c>
      <c r="B8" s="2" t="s">
        <v>891</v>
      </c>
      <c r="C8" s="1" t="s">
        <v>796</v>
      </c>
      <c r="D8" s="2" t="s">
        <v>23</v>
      </c>
      <c r="E8" s="2" t="s">
        <v>31</v>
      </c>
      <c r="F8" s="2" t="s">
        <v>32</v>
      </c>
      <c r="G8" s="2" t="s">
        <v>797</v>
      </c>
    </row>
    <row r="9" spans="1:7" ht="120" x14ac:dyDescent="0.25">
      <c r="A9" s="2" t="s">
        <v>33</v>
      </c>
      <c r="B9" s="2" t="s">
        <v>891</v>
      </c>
      <c r="C9" s="1" t="s">
        <v>34</v>
      </c>
      <c r="D9" s="2" t="s">
        <v>18</v>
      </c>
      <c r="E9" s="2" t="s">
        <v>35</v>
      </c>
      <c r="F9" s="2" t="s">
        <v>36</v>
      </c>
      <c r="G9" s="2" t="s">
        <v>37</v>
      </c>
    </row>
    <row r="10" spans="1:7" ht="120" x14ac:dyDescent="0.25">
      <c r="A10" s="2" t="s">
        <v>38</v>
      </c>
      <c r="B10" s="2" t="s">
        <v>891</v>
      </c>
      <c r="C10" s="1" t="s">
        <v>798</v>
      </c>
      <c r="D10" s="2" t="s">
        <v>23</v>
      </c>
      <c r="E10" s="2" t="s">
        <v>39</v>
      </c>
      <c r="F10" s="2" t="s">
        <v>40</v>
      </c>
      <c r="G10" s="2" t="s">
        <v>799</v>
      </c>
    </row>
    <row r="11" spans="1:7" ht="120" x14ac:dyDescent="0.25">
      <c r="A11" s="2" t="s">
        <v>41</v>
      </c>
      <c r="B11" s="2" t="s">
        <v>891</v>
      </c>
      <c r="C11" s="1" t="s">
        <v>800</v>
      </c>
      <c r="D11" s="2" t="s">
        <v>23</v>
      </c>
      <c r="E11" s="2" t="s">
        <v>42</v>
      </c>
      <c r="F11" s="2" t="s">
        <v>43</v>
      </c>
      <c r="G11" s="2" t="s">
        <v>801</v>
      </c>
    </row>
    <row r="12" spans="1:7" ht="120" x14ac:dyDescent="0.25">
      <c r="A12" s="2" t="s">
        <v>44</v>
      </c>
      <c r="B12" s="2" t="s">
        <v>891</v>
      </c>
      <c r="C12" s="1" t="s">
        <v>802</v>
      </c>
      <c r="D12" s="2" t="s">
        <v>23</v>
      </c>
      <c r="E12" s="2" t="s">
        <v>45</v>
      </c>
      <c r="F12" s="2" t="s">
        <v>46</v>
      </c>
      <c r="G12" s="2" t="s">
        <v>47</v>
      </c>
    </row>
    <row r="13" spans="1:7" ht="120" x14ac:dyDescent="0.25">
      <c r="A13" s="2" t="s">
        <v>48</v>
      </c>
      <c r="B13" s="2" t="s">
        <v>891</v>
      </c>
      <c r="C13" s="1" t="s">
        <v>803</v>
      </c>
      <c r="D13" s="2" t="s">
        <v>23</v>
      </c>
      <c r="E13" s="2" t="s">
        <v>49</v>
      </c>
      <c r="F13" s="2" t="s">
        <v>50</v>
      </c>
      <c r="G13" s="2" t="s">
        <v>51</v>
      </c>
    </row>
    <row r="14" spans="1:7" ht="120" x14ac:dyDescent="0.25">
      <c r="A14" s="2" t="s">
        <v>52</v>
      </c>
      <c r="B14" s="2" t="s">
        <v>891</v>
      </c>
      <c r="C14" s="1" t="s">
        <v>804</v>
      </c>
      <c r="D14" s="2" t="s">
        <v>23</v>
      </c>
      <c r="E14" s="2" t="s">
        <v>53</v>
      </c>
      <c r="F14" s="2" t="s">
        <v>54</v>
      </c>
      <c r="G14" s="2" t="s">
        <v>805</v>
      </c>
    </row>
    <row r="15" spans="1:7" ht="120" x14ac:dyDescent="0.25">
      <c r="A15" s="2" t="s">
        <v>55</v>
      </c>
      <c r="B15" s="2" t="s">
        <v>891</v>
      </c>
      <c r="C15" s="1" t="s">
        <v>859</v>
      </c>
      <c r="D15" s="2" t="s">
        <v>23</v>
      </c>
      <c r="E15" s="2" t="s">
        <v>56</v>
      </c>
      <c r="F15" s="2" t="s">
        <v>57</v>
      </c>
      <c r="G15" s="2" t="s">
        <v>864</v>
      </c>
    </row>
    <row r="16" spans="1:7" ht="135" x14ac:dyDescent="0.25">
      <c r="A16" s="2" t="s">
        <v>58</v>
      </c>
      <c r="B16" s="2" t="s">
        <v>891</v>
      </c>
      <c r="C16" s="1" t="s">
        <v>806</v>
      </c>
      <c r="D16" s="2" t="s">
        <v>23</v>
      </c>
      <c r="E16" s="2" t="s">
        <v>59</v>
      </c>
      <c r="F16" s="2" t="s">
        <v>60</v>
      </c>
      <c r="G16" s="2" t="s">
        <v>61</v>
      </c>
    </row>
    <row r="17" spans="1:7" ht="135" x14ac:dyDescent="0.25">
      <c r="A17" s="2" t="s">
        <v>62</v>
      </c>
      <c r="B17" s="2" t="s">
        <v>891</v>
      </c>
      <c r="C17" s="1" t="s">
        <v>807</v>
      </c>
      <c r="D17" s="2" t="s">
        <v>23</v>
      </c>
      <c r="E17" s="2" t="s">
        <v>63</v>
      </c>
      <c r="F17" s="2" t="s">
        <v>64</v>
      </c>
      <c r="G17" s="2" t="s">
        <v>65</v>
      </c>
    </row>
    <row r="18" spans="1:7" ht="150" x14ac:dyDescent="0.25">
      <c r="A18" s="2" t="s">
        <v>66</v>
      </c>
      <c r="B18" s="2" t="s">
        <v>891</v>
      </c>
      <c r="C18" s="1" t="s">
        <v>808</v>
      </c>
      <c r="D18" s="2" t="s">
        <v>23</v>
      </c>
      <c r="E18" s="2" t="s">
        <v>67</v>
      </c>
      <c r="F18" s="2" t="s">
        <v>68</v>
      </c>
      <c r="G18" s="2" t="s">
        <v>69</v>
      </c>
    </row>
    <row r="19" spans="1:7" ht="135" x14ac:dyDescent="0.25">
      <c r="A19" s="2" t="s">
        <v>70</v>
      </c>
      <c r="B19" s="2" t="s">
        <v>891</v>
      </c>
      <c r="C19" s="1" t="s">
        <v>71</v>
      </c>
      <c r="D19" s="2" t="s">
        <v>23</v>
      </c>
      <c r="E19" s="2" t="s">
        <v>72</v>
      </c>
      <c r="F19" s="2" t="s">
        <v>73</v>
      </c>
      <c r="G19" s="2" t="s">
        <v>74</v>
      </c>
    </row>
    <row r="20" spans="1:7" ht="375" x14ac:dyDescent="0.25">
      <c r="A20" s="2" t="s">
        <v>942</v>
      </c>
      <c r="B20" s="2" t="s">
        <v>891</v>
      </c>
      <c r="C20" s="1" t="s">
        <v>943</v>
      </c>
      <c r="D20" s="2" t="s">
        <v>944</v>
      </c>
      <c r="E20" s="2" t="s">
        <v>945</v>
      </c>
      <c r="F20" s="2" t="s">
        <v>946</v>
      </c>
      <c r="G20" s="2" t="s">
        <v>947</v>
      </c>
    </row>
    <row r="21" spans="1:7" ht="409.5" x14ac:dyDescent="0.25">
      <c r="A21" s="2" t="s">
        <v>948</v>
      </c>
      <c r="B21" s="2" t="s">
        <v>891</v>
      </c>
      <c r="C21" s="1" t="s">
        <v>949</v>
      </c>
      <c r="D21" s="2" t="s">
        <v>950</v>
      </c>
      <c r="E21" s="2" t="s">
        <v>951</v>
      </c>
      <c r="F21" s="2" t="s">
        <v>952</v>
      </c>
      <c r="G21" s="2" t="s">
        <v>953</v>
      </c>
    </row>
    <row r="22" spans="1:7" ht="135" x14ac:dyDescent="0.25">
      <c r="A22" s="2" t="s">
        <v>75</v>
      </c>
      <c r="B22" s="2" t="s">
        <v>891</v>
      </c>
      <c r="C22" s="1" t="s">
        <v>76</v>
      </c>
      <c r="D22" s="2" t="s">
        <v>23</v>
      </c>
      <c r="E22" s="2" t="s">
        <v>77</v>
      </c>
      <c r="F22" s="2" t="s">
        <v>78</v>
      </c>
      <c r="G22" s="2" t="s">
        <v>79</v>
      </c>
    </row>
    <row r="23" spans="1:7" ht="165" x14ac:dyDescent="0.25">
      <c r="A23" s="2" t="s">
        <v>80</v>
      </c>
      <c r="B23" s="2" t="s">
        <v>891</v>
      </c>
      <c r="C23" s="1" t="s">
        <v>81</v>
      </c>
      <c r="D23" s="2" t="s">
        <v>23</v>
      </c>
      <c r="E23" s="2" t="s">
        <v>82</v>
      </c>
      <c r="F23" s="2" t="s">
        <v>83</v>
      </c>
      <c r="G23" s="2" t="s">
        <v>84</v>
      </c>
    </row>
    <row r="24" spans="1:7" ht="180" x14ac:dyDescent="0.25">
      <c r="A24" s="2" t="s">
        <v>85</v>
      </c>
      <c r="B24" s="2" t="s">
        <v>891</v>
      </c>
      <c r="C24" s="1" t="s">
        <v>86</v>
      </c>
      <c r="D24" s="2" t="s">
        <v>23</v>
      </c>
      <c r="E24" s="2" t="s">
        <v>87</v>
      </c>
      <c r="F24" s="2" t="s">
        <v>88</v>
      </c>
      <c r="G24" s="2" t="s">
        <v>89</v>
      </c>
    </row>
    <row r="25" spans="1:7" ht="120" x14ac:dyDescent="0.25">
      <c r="A25" s="2" t="s">
        <v>809</v>
      </c>
      <c r="B25" s="2" t="s">
        <v>891</v>
      </c>
      <c r="C25" s="1" t="s">
        <v>90</v>
      </c>
      <c r="D25" s="2" t="s">
        <v>23</v>
      </c>
      <c r="E25" s="2" t="s">
        <v>91</v>
      </c>
      <c r="F25" s="2" t="s">
        <v>92</v>
      </c>
      <c r="G25" s="2" t="s">
        <v>93</v>
      </c>
    </row>
    <row r="26" spans="1:7" ht="120" x14ac:dyDescent="0.25">
      <c r="A26" s="2" t="s">
        <v>94</v>
      </c>
      <c r="B26" s="2" t="s">
        <v>891</v>
      </c>
      <c r="C26" s="1" t="s">
        <v>810</v>
      </c>
      <c r="D26" s="2" t="s">
        <v>23</v>
      </c>
      <c r="E26" s="2" t="s">
        <v>95</v>
      </c>
      <c r="F26" s="2" t="s">
        <v>96</v>
      </c>
      <c r="G26" s="2" t="s">
        <v>811</v>
      </c>
    </row>
    <row r="27" spans="1:7" ht="150" x14ac:dyDescent="0.25">
      <c r="A27" s="2" t="s">
        <v>812</v>
      </c>
      <c r="B27" s="2" t="s">
        <v>891</v>
      </c>
      <c r="C27" s="1" t="s">
        <v>813</v>
      </c>
      <c r="D27" s="2" t="s">
        <v>97</v>
      </c>
      <c r="E27" s="2" t="s">
        <v>98</v>
      </c>
      <c r="F27" s="2" t="s">
        <v>99</v>
      </c>
      <c r="G27" s="2" t="s">
        <v>814</v>
      </c>
    </row>
    <row r="28" spans="1:7" ht="150" x14ac:dyDescent="0.25">
      <c r="A28" s="2" t="s">
        <v>815</v>
      </c>
      <c r="B28" s="2" t="s">
        <v>891</v>
      </c>
      <c r="C28" s="1" t="s">
        <v>816</v>
      </c>
      <c r="D28" s="2" t="s">
        <v>97</v>
      </c>
      <c r="E28" s="2" t="s">
        <v>100</v>
      </c>
      <c r="F28" s="2" t="s">
        <v>101</v>
      </c>
      <c r="G28" s="2" t="s">
        <v>817</v>
      </c>
    </row>
    <row r="29" spans="1:7" ht="120" x14ac:dyDescent="0.25">
      <c r="A29" s="2" t="s">
        <v>818</v>
      </c>
      <c r="B29" s="2" t="s">
        <v>891</v>
      </c>
      <c r="C29" s="1" t="s">
        <v>819</v>
      </c>
      <c r="D29" s="2" t="s">
        <v>23</v>
      </c>
      <c r="E29" s="2" t="s">
        <v>102</v>
      </c>
      <c r="F29" s="2" t="s">
        <v>103</v>
      </c>
      <c r="G29" s="2" t="s">
        <v>820</v>
      </c>
    </row>
    <row r="30" spans="1:7" ht="120" x14ac:dyDescent="0.25">
      <c r="A30" s="2" t="s">
        <v>104</v>
      </c>
      <c r="B30" s="2" t="s">
        <v>891</v>
      </c>
      <c r="C30" s="1" t="s">
        <v>821</v>
      </c>
      <c r="D30" s="2" t="s">
        <v>23</v>
      </c>
      <c r="E30" s="2" t="s">
        <v>105</v>
      </c>
      <c r="F30" s="2" t="s">
        <v>106</v>
      </c>
      <c r="G30" s="2" t="s">
        <v>822</v>
      </c>
    </row>
    <row r="31" spans="1:7" ht="180" x14ac:dyDescent="0.25">
      <c r="A31" s="2" t="s">
        <v>107</v>
      </c>
      <c r="B31" s="2" t="s">
        <v>891</v>
      </c>
      <c r="C31" s="1" t="s">
        <v>108</v>
      </c>
      <c r="D31" s="2" t="s">
        <v>23</v>
      </c>
      <c r="E31" s="2" t="s">
        <v>109</v>
      </c>
      <c r="F31" s="2" t="s">
        <v>110</v>
      </c>
      <c r="G31" s="2" t="s">
        <v>111</v>
      </c>
    </row>
    <row r="32" spans="1:7" ht="300" x14ac:dyDescent="0.25">
      <c r="A32" s="2" t="s">
        <v>112</v>
      </c>
      <c r="B32" s="2" t="s">
        <v>891</v>
      </c>
      <c r="C32" s="1" t="s">
        <v>823</v>
      </c>
      <c r="D32" s="2" t="s">
        <v>113</v>
      </c>
      <c r="E32" s="2" t="s">
        <v>114</v>
      </c>
      <c r="F32" s="2" t="s">
        <v>115</v>
      </c>
      <c r="G32" s="2" t="s">
        <v>116</v>
      </c>
    </row>
    <row r="33" spans="1:7" ht="120" x14ac:dyDescent="0.25">
      <c r="A33" s="2" t="s">
        <v>117</v>
      </c>
      <c r="B33" s="2" t="s">
        <v>891</v>
      </c>
      <c r="C33" s="1" t="s">
        <v>118</v>
      </c>
      <c r="D33" s="2" t="s">
        <v>119</v>
      </c>
      <c r="E33" s="2" t="s">
        <v>120</v>
      </c>
      <c r="F33" s="2" t="s">
        <v>121</v>
      </c>
      <c r="G33" s="2" t="s">
        <v>122</v>
      </c>
    </row>
    <row r="34" spans="1:7" ht="345" x14ac:dyDescent="0.25">
      <c r="A34" s="2" t="s">
        <v>1715</v>
      </c>
      <c r="B34" s="2" t="s">
        <v>891</v>
      </c>
      <c r="C34" s="1" t="s">
        <v>1716</v>
      </c>
      <c r="D34" s="2" t="s">
        <v>1717</v>
      </c>
      <c r="E34" s="2" t="s">
        <v>1718</v>
      </c>
      <c r="F34" s="2" t="s">
        <v>1719</v>
      </c>
      <c r="G34" s="2" t="s">
        <v>1720</v>
      </c>
    </row>
    <row r="35" spans="1:7" ht="240" x14ac:dyDescent="0.25">
      <c r="A35" s="2" t="s">
        <v>1721</v>
      </c>
      <c r="B35" s="2" t="s">
        <v>891</v>
      </c>
      <c r="C35" s="1" t="s">
        <v>1722</v>
      </c>
      <c r="D35" s="2" t="s">
        <v>1723</v>
      </c>
      <c r="E35" s="2" t="s">
        <v>1724</v>
      </c>
      <c r="F35" s="2" t="s">
        <v>1725</v>
      </c>
      <c r="G35" s="2" t="s">
        <v>1726</v>
      </c>
    </row>
    <row r="36" spans="1:7" ht="405" x14ac:dyDescent="0.25">
      <c r="A36" s="2" t="s">
        <v>123</v>
      </c>
      <c r="B36" s="2" t="s">
        <v>891</v>
      </c>
      <c r="C36" s="1" t="s">
        <v>824</v>
      </c>
      <c r="D36" s="2" t="s">
        <v>124</v>
      </c>
      <c r="E36" s="2" t="s">
        <v>125</v>
      </c>
      <c r="F36" s="2" t="s">
        <v>126</v>
      </c>
      <c r="G36" s="2" t="s">
        <v>127</v>
      </c>
    </row>
    <row r="37" spans="1:7" ht="60" x14ac:dyDescent="0.25">
      <c r="A37" s="2" t="s">
        <v>825</v>
      </c>
      <c r="B37" s="2" t="s">
        <v>891</v>
      </c>
      <c r="C37" s="1" t="s">
        <v>128</v>
      </c>
      <c r="D37" s="2" t="s">
        <v>8</v>
      </c>
      <c r="E37" s="2" t="s">
        <v>129</v>
      </c>
      <c r="F37" s="2" t="s">
        <v>130</v>
      </c>
      <c r="G37" s="2" t="s">
        <v>131</v>
      </c>
    </row>
    <row r="38" spans="1:7" ht="90" x14ac:dyDescent="0.25">
      <c r="A38" s="2" t="s">
        <v>132</v>
      </c>
      <c r="B38" s="2" t="s">
        <v>891</v>
      </c>
      <c r="C38" s="1" t="s">
        <v>133</v>
      </c>
      <c r="D38" s="2" t="s">
        <v>8</v>
      </c>
      <c r="E38" s="2" t="s">
        <v>134</v>
      </c>
      <c r="F38" s="2" t="s">
        <v>135</v>
      </c>
      <c r="G38" s="2" t="s">
        <v>136</v>
      </c>
    </row>
    <row r="39" spans="1:7" ht="60" x14ac:dyDescent="0.25">
      <c r="A39" s="2" t="s">
        <v>137</v>
      </c>
      <c r="B39" s="2" t="s">
        <v>891</v>
      </c>
      <c r="C39" s="1" t="s">
        <v>138</v>
      </c>
      <c r="D39" s="2" t="s">
        <v>8</v>
      </c>
      <c r="E39" s="2" t="s">
        <v>139</v>
      </c>
      <c r="F39" s="2" t="s">
        <v>140</v>
      </c>
      <c r="G39" s="2" t="s">
        <v>141</v>
      </c>
    </row>
    <row r="40" spans="1:7" ht="90" x14ac:dyDescent="0.25">
      <c r="A40" s="2" t="s">
        <v>826</v>
      </c>
      <c r="B40" s="2" t="s">
        <v>891</v>
      </c>
      <c r="C40" s="1" t="s">
        <v>142</v>
      </c>
      <c r="D40" s="2" t="s">
        <v>8</v>
      </c>
      <c r="E40" s="2" t="s">
        <v>143</v>
      </c>
      <c r="F40" s="2" t="s">
        <v>144</v>
      </c>
      <c r="G40" s="2" t="s">
        <v>145</v>
      </c>
    </row>
    <row r="41" spans="1:7" ht="120" x14ac:dyDescent="0.25">
      <c r="A41" s="2" t="s">
        <v>146</v>
      </c>
      <c r="B41" s="2" t="s">
        <v>891</v>
      </c>
      <c r="C41" s="1" t="s">
        <v>147</v>
      </c>
      <c r="D41" s="2" t="s">
        <v>8</v>
      </c>
      <c r="E41" s="2" t="s">
        <v>148</v>
      </c>
      <c r="F41" s="2" t="s">
        <v>149</v>
      </c>
      <c r="G41" s="2" t="s">
        <v>150</v>
      </c>
    </row>
    <row r="42" spans="1:7" ht="165" x14ac:dyDescent="0.25">
      <c r="A42" s="2" t="s">
        <v>151</v>
      </c>
      <c r="B42" s="2" t="s">
        <v>891</v>
      </c>
      <c r="C42" s="1" t="s">
        <v>152</v>
      </c>
      <c r="D42" s="2" t="s">
        <v>153</v>
      </c>
      <c r="E42" s="2" t="s">
        <v>154</v>
      </c>
      <c r="F42" s="2" t="s">
        <v>155</v>
      </c>
      <c r="G42" s="2" t="s">
        <v>156</v>
      </c>
    </row>
    <row r="43" spans="1:7" ht="105" x14ac:dyDescent="0.25">
      <c r="A43" s="2" t="s">
        <v>157</v>
      </c>
      <c r="B43" s="2" t="s">
        <v>891</v>
      </c>
      <c r="C43" s="1" t="s">
        <v>158</v>
      </c>
      <c r="D43" s="2" t="s">
        <v>159</v>
      </c>
      <c r="E43" s="2" t="s">
        <v>160</v>
      </c>
      <c r="F43" s="2" t="s">
        <v>161</v>
      </c>
      <c r="G43" s="2" t="s">
        <v>827</v>
      </c>
    </row>
    <row r="44" spans="1:7" ht="135" x14ac:dyDescent="0.25">
      <c r="A44" s="2" t="s">
        <v>162</v>
      </c>
      <c r="B44" s="2" t="s">
        <v>891</v>
      </c>
      <c r="C44" s="1" t="s">
        <v>163</v>
      </c>
      <c r="D44" s="2" t="s">
        <v>23</v>
      </c>
      <c r="E44" s="2" t="s">
        <v>164</v>
      </c>
      <c r="F44" s="2" t="s">
        <v>165</v>
      </c>
      <c r="G44" s="2" t="s">
        <v>166</v>
      </c>
    </row>
    <row r="45" spans="1:7" ht="120" x14ac:dyDescent="0.25">
      <c r="A45" s="2" t="s">
        <v>167</v>
      </c>
      <c r="B45" s="2" t="s">
        <v>891</v>
      </c>
      <c r="C45" s="1" t="s">
        <v>168</v>
      </c>
      <c r="D45" s="2" t="s">
        <v>23</v>
      </c>
      <c r="E45" s="2" t="s">
        <v>169</v>
      </c>
      <c r="F45" s="2" t="s">
        <v>170</v>
      </c>
      <c r="G45" s="2" t="s">
        <v>171</v>
      </c>
    </row>
    <row r="46" spans="1:7" ht="120" x14ac:dyDescent="0.25">
      <c r="A46" s="2" t="s">
        <v>172</v>
      </c>
      <c r="B46" s="2" t="s">
        <v>891</v>
      </c>
      <c r="C46" s="1" t="s">
        <v>173</v>
      </c>
      <c r="D46" s="2" t="s">
        <v>23</v>
      </c>
      <c r="E46" s="2" t="s">
        <v>174</v>
      </c>
      <c r="F46" s="2" t="s">
        <v>175</v>
      </c>
      <c r="G46" s="2" t="s">
        <v>176</v>
      </c>
    </row>
    <row r="47" spans="1:7" ht="105" x14ac:dyDescent="0.25">
      <c r="A47" s="2" t="s">
        <v>828</v>
      </c>
      <c r="B47" s="2" t="s">
        <v>891</v>
      </c>
      <c r="C47" s="1" t="s">
        <v>177</v>
      </c>
      <c r="D47" s="2" t="s">
        <v>178</v>
      </c>
      <c r="E47" s="2" t="s">
        <v>179</v>
      </c>
      <c r="F47" s="2" t="s">
        <v>180</v>
      </c>
      <c r="G47" s="2" t="s">
        <v>829</v>
      </c>
    </row>
    <row r="48" spans="1:7" ht="210" x14ac:dyDescent="0.25">
      <c r="A48" s="2" t="s">
        <v>830</v>
      </c>
      <c r="B48" s="2" t="s">
        <v>891</v>
      </c>
      <c r="C48" s="1" t="s">
        <v>181</v>
      </c>
      <c r="D48" s="2" t="s">
        <v>182</v>
      </c>
      <c r="E48" s="2" t="s">
        <v>183</v>
      </c>
      <c r="F48" s="2" t="s">
        <v>184</v>
      </c>
      <c r="G48" s="2" t="s">
        <v>185</v>
      </c>
    </row>
    <row r="49" spans="1:7" ht="195" x14ac:dyDescent="0.25">
      <c r="A49" s="2" t="s">
        <v>831</v>
      </c>
      <c r="B49" s="2" t="s">
        <v>891</v>
      </c>
      <c r="C49" s="1" t="s">
        <v>832</v>
      </c>
      <c r="D49" s="2" t="s">
        <v>186</v>
      </c>
      <c r="E49" s="2" t="s">
        <v>187</v>
      </c>
      <c r="F49" s="2" t="s">
        <v>188</v>
      </c>
      <c r="G49" s="2" t="s">
        <v>833</v>
      </c>
    </row>
    <row r="50" spans="1:7" ht="150" x14ac:dyDescent="0.25">
      <c r="A50" s="2" t="s">
        <v>834</v>
      </c>
      <c r="B50" s="2" t="s">
        <v>891</v>
      </c>
      <c r="C50" s="1" t="s">
        <v>835</v>
      </c>
      <c r="D50" s="2" t="s">
        <v>23</v>
      </c>
      <c r="E50" s="2" t="s">
        <v>189</v>
      </c>
      <c r="F50" s="2" t="s">
        <v>190</v>
      </c>
      <c r="G50" s="2" t="s">
        <v>860</v>
      </c>
    </row>
    <row r="51" spans="1:7" ht="135" x14ac:dyDescent="0.25">
      <c r="A51" s="2" t="s">
        <v>861</v>
      </c>
      <c r="B51" s="2" t="s">
        <v>891</v>
      </c>
      <c r="C51" s="1" t="s">
        <v>1012</v>
      </c>
      <c r="D51" s="2" t="s">
        <v>23</v>
      </c>
      <c r="E51" s="2" t="s">
        <v>862</v>
      </c>
      <c r="F51" s="2" t="s">
        <v>863</v>
      </c>
      <c r="G51" s="2" t="s">
        <v>1013</v>
      </c>
    </row>
    <row r="52" spans="1:7" ht="150" x14ac:dyDescent="0.25">
      <c r="A52" s="2" t="s">
        <v>836</v>
      </c>
      <c r="B52" s="2" t="s">
        <v>891</v>
      </c>
      <c r="C52" s="1" t="s">
        <v>191</v>
      </c>
      <c r="D52" s="2" t="s">
        <v>153</v>
      </c>
      <c r="E52" s="2" t="s">
        <v>192</v>
      </c>
      <c r="F52" s="2" t="s">
        <v>193</v>
      </c>
      <c r="G52" s="2" t="s">
        <v>837</v>
      </c>
    </row>
    <row r="53" spans="1:7" ht="135" x14ac:dyDescent="0.25">
      <c r="A53" s="2" t="s">
        <v>194</v>
      </c>
      <c r="B53" s="2" t="s">
        <v>891</v>
      </c>
      <c r="C53" s="1" t="s">
        <v>1014</v>
      </c>
      <c r="D53" s="2" t="s">
        <v>23</v>
      </c>
      <c r="E53" s="2" t="s">
        <v>195</v>
      </c>
      <c r="F53" s="2" t="s">
        <v>196</v>
      </c>
      <c r="G53" s="2" t="s">
        <v>1015</v>
      </c>
    </row>
    <row r="54" spans="1:7" ht="120" x14ac:dyDescent="0.25">
      <c r="A54" s="2" t="s">
        <v>197</v>
      </c>
      <c r="B54" s="2" t="s">
        <v>891</v>
      </c>
      <c r="C54" s="1" t="s">
        <v>198</v>
      </c>
      <c r="D54" s="2" t="s">
        <v>23</v>
      </c>
      <c r="E54" s="2" t="s">
        <v>199</v>
      </c>
      <c r="F54" s="2" t="s">
        <v>200</v>
      </c>
      <c r="G54" s="2" t="s">
        <v>201</v>
      </c>
    </row>
    <row r="55" spans="1:7" ht="135" x14ac:dyDescent="0.25">
      <c r="A55" s="2" t="s">
        <v>202</v>
      </c>
      <c r="B55" s="2" t="s">
        <v>891</v>
      </c>
      <c r="C55" s="1" t="s">
        <v>838</v>
      </c>
      <c r="D55" s="2" t="s">
        <v>23</v>
      </c>
      <c r="E55" s="2" t="s">
        <v>203</v>
      </c>
      <c r="F55" s="2" t="s">
        <v>204</v>
      </c>
      <c r="G55" s="2" t="s">
        <v>205</v>
      </c>
    </row>
    <row r="56" spans="1:7" ht="120" x14ac:dyDescent="0.25">
      <c r="A56" s="2" t="s">
        <v>206</v>
      </c>
      <c r="B56" s="2" t="s">
        <v>891</v>
      </c>
      <c r="C56" s="1" t="s">
        <v>207</v>
      </c>
      <c r="D56" s="2" t="s">
        <v>23</v>
      </c>
      <c r="E56" s="2" t="s">
        <v>208</v>
      </c>
      <c r="F56" s="2" t="s">
        <v>209</v>
      </c>
      <c r="G56" s="2" t="s">
        <v>210</v>
      </c>
    </row>
    <row r="57" spans="1:7" ht="135" x14ac:dyDescent="0.25">
      <c r="A57" s="2" t="s">
        <v>839</v>
      </c>
      <c r="B57" s="2" t="s">
        <v>891</v>
      </c>
      <c r="C57" s="1" t="s">
        <v>211</v>
      </c>
      <c r="D57" s="2" t="s">
        <v>212</v>
      </c>
      <c r="E57" s="2" t="s">
        <v>213</v>
      </c>
      <c r="F57" s="2" t="s">
        <v>214</v>
      </c>
      <c r="G57" s="2" t="s">
        <v>840</v>
      </c>
    </row>
    <row r="58" spans="1:7" ht="150" x14ac:dyDescent="0.25">
      <c r="A58" s="2" t="s">
        <v>215</v>
      </c>
      <c r="B58" s="2" t="s">
        <v>891</v>
      </c>
      <c r="C58" s="1" t="s">
        <v>216</v>
      </c>
      <c r="D58" s="2" t="s">
        <v>841</v>
      </c>
      <c r="E58" s="2" t="s">
        <v>217</v>
      </c>
      <c r="F58" s="2" t="s">
        <v>218</v>
      </c>
      <c r="G58" s="2" t="s">
        <v>842</v>
      </c>
    </row>
    <row r="59" spans="1:7" ht="210" x14ac:dyDescent="0.25">
      <c r="A59" s="2" t="s">
        <v>219</v>
      </c>
      <c r="B59" s="2" t="s">
        <v>891</v>
      </c>
      <c r="C59" s="1" t="s">
        <v>220</v>
      </c>
      <c r="D59" s="2" t="s">
        <v>221</v>
      </c>
      <c r="E59" s="2" t="s">
        <v>222</v>
      </c>
      <c r="F59" s="2" t="s">
        <v>223</v>
      </c>
      <c r="G59" s="2" t="s">
        <v>224</v>
      </c>
    </row>
    <row r="60" spans="1:7" ht="150" x14ac:dyDescent="0.25">
      <c r="A60" s="2" t="s">
        <v>225</v>
      </c>
      <c r="B60" s="2" t="s">
        <v>891</v>
      </c>
      <c r="C60" s="1" t="s">
        <v>226</v>
      </c>
      <c r="D60" s="2" t="s">
        <v>227</v>
      </c>
      <c r="E60" s="2" t="s">
        <v>228</v>
      </c>
      <c r="F60" s="2" t="s">
        <v>229</v>
      </c>
      <c r="G60" s="2" t="s">
        <v>230</v>
      </c>
    </row>
    <row r="61" spans="1:7" ht="315" x14ac:dyDescent="0.25">
      <c r="A61" s="2" t="s">
        <v>231</v>
      </c>
      <c r="B61" s="2" t="s">
        <v>891</v>
      </c>
      <c r="C61" s="1" t="s">
        <v>232</v>
      </c>
      <c r="D61" s="2" t="s">
        <v>233</v>
      </c>
      <c r="E61" s="2" t="s">
        <v>234</v>
      </c>
      <c r="F61" s="2" t="s">
        <v>235</v>
      </c>
      <c r="G61" s="2" t="s">
        <v>236</v>
      </c>
    </row>
    <row r="62" spans="1:7" ht="135" x14ac:dyDescent="0.25">
      <c r="A62" s="2" t="s">
        <v>237</v>
      </c>
      <c r="B62" s="2" t="s">
        <v>891</v>
      </c>
      <c r="C62" s="1" t="s">
        <v>238</v>
      </c>
      <c r="D62" s="2" t="s">
        <v>239</v>
      </c>
      <c r="E62" s="2" t="s">
        <v>240</v>
      </c>
      <c r="F62" s="2" t="s">
        <v>241</v>
      </c>
      <c r="G62" s="2" t="s">
        <v>242</v>
      </c>
    </row>
    <row r="63" spans="1:7" ht="150" x14ac:dyDescent="0.25">
      <c r="A63" s="2" t="s">
        <v>243</v>
      </c>
      <c r="B63" s="2" t="s">
        <v>891</v>
      </c>
      <c r="C63" s="1" t="s">
        <v>244</v>
      </c>
      <c r="D63" s="2" t="s">
        <v>239</v>
      </c>
      <c r="E63" s="2" t="s">
        <v>245</v>
      </c>
      <c r="F63" s="2" t="s">
        <v>246</v>
      </c>
      <c r="G63" s="2" t="s">
        <v>247</v>
      </c>
    </row>
    <row r="64" spans="1:7" ht="180" x14ac:dyDescent="0.25">
      <c r="A64" s="2" t="s">
        <v>843</v>
      </c>
      <c r="B64" s="2" t="s">
        <v>891</v>
      </c>
      <c r="C64" s="1" t="s">
        <v>844</v>
      </c>
      <c r="D64" s="2" t="s">
        <v>23</v>
      </c>
      <c r="E64" s="2" t="s">
        <v>248</v>
      </c>
      <c r="F64" s="2" t="s">
        <v>249</v>
      </c>
      <c r="G64" s="2" t="s">
        <v>845</v>
      </c>
    </row>
    <row r="65" spans="1:7" ht="150" x14ac:dyDescent="0.25">
      <c r="A65" s="2" t="s">
        <v>846</v>
      </c>
      <c r="B65" s="2" t="s">
        <v>891</v>
      </c>
      <c r="C65" s="1" t="s">
        <v>847</v>
      </c>
      <c r="D65" s="2" t="s">
        <v>23</v>
      </c>
      <c r="E65" s="2" t="s">
        <v>250</v>
      </c>
      <c r="F65" s="2" t="s">
        <v>251</v>
      </c>
      <c r="G65" s="2" t="s">
        <v>848</v>
      </c>
    </row>
    <row r="66" spans="1:7" ht="150" x14ac:dyDescent="0.25">
      <c r="A66" s="2" t="s">
        <v>252</v>
      </c>
      <c r="B66" s="2" t="s">
        <v>891</v>
      </c>
      <c r="C66" s="1" t="s">
        <v>253</v>
      </c>
      <c r="D66" s="2" t="s">
        <v>254</v>
      </c>
      <c r="E66" s="2" t="s">
        <v>255</v>
      </c>
      <c r="F66" s="2" t="s">
        <v>256</v>
      </c>
      <c r="G66" s="2" t="s">
        <v>257</v>
      </c>
    </row>
    <row r="67" spans="1:7" ht="120" x14ac:dyDescent="0.25">
      <c r="A67" s="2" t="s">
        <v>258</v>
      </c>
      <c r="B67" s="2" t="s">
        <v>891</v>
      </c>
      <c r="C67" s="1" t="s">
        <v>259</v>
      </c>
      <c r="D67" s="2" t="s">
        <v>260</v>
      </c>
      <c r="E67" s="2" t="s">
        <v>261</v>
      </c>
      <c r="F67" s="2" t="s">
        <v>262</v>
      </c>
      <c r="G67" s="2" t="s">
        <v>263</v>
      </c>
    </row>
    <row r="68" spans="1:7" ht="330" x14ac:dyDescent="0.25">
      <c r="A68" s="2" t="s">
        <v>849</v>
      </c>
      <c r="B68" s="2" t="s">
        <v>891</v>
      </c>
      <c r="C68" s="1" t="s">
        <v>264</v>
      </c>
      <c r="D68" s="2" t="s">
        <v>265</v>
      </c>
      <c r="E68" s="2" t="s">
        <v>266</v>
      </c>
      <c r="F68" s="2" t="s">
        <v>267</v>
      </c>
      <c r="G68" s="2" t="s">
        <v>850</v>
      </c>
    </row>
    <row r="69" spans="1:7" ht="120" x14ac:dyDescent="0.25">
      <c r="A69" s="2" t="s">
        <v>268</v>
      </c>
      <c r="B69" s="2" t="s">
        <v>891</v>
      </c>
      <c r="C69" s="1" t="s">
        <v>269</v>
      </c>
      <c r="D69" s="2" t="s">
        <v>270</v>
      </c>
      <c r="E69" s="2" t="s">
        <v>271</v>
      </c>
      <c r="F69" s="2" t="s">
        <v>272</v>
      </c>
      <c r="G69" s="2" t="s">
        <v>273</v>
      </c>
    </row>
    <row r="70" spans="1:7" ht="150" x14ac:dyDescent="0.25">
      <c r="A70" s="2" t="s">
        <v>274</v>
      </c>
      <c r="B70" s="2" t="s">
        <v>891</v>
      </c>
      <c r="C70" s="1" t="s">
        <v>275</v>
      </c>
      <c r="D70" s="2" t="s">
        <v>270</v>
      </c>
      <c r="E70" s="2" t="s">
        <v>276</v>
      </c>
      <c r="F70" s="2" t="s">
        <v>277</v>
      </c>
      <c r="G70" s="2" t="s">
        <v>278</v>
      </c>
    </row>
    <row r="71" spans="1:7" ht="150" x14ac:dyDescent="0.25">
      <c r="A71" s="2" t="s">
        <v>851</v>
      </c>
      <c r="B71" s="2" t="s">
        <v>891</v>
      </c>
      <c r="C71" s="1" t="s">
        <v>279</v>
      </c>
      <c r="D71" s="2" t="s">
        <v>270</v>
      </c>
      <c r="E71" s="2" t="s">
        <v>280</v>
      </c>
      <c r="F71" s="2" t="s">
        <v>281</v>
      </c>
      <c r="G71" s="2" t="s">
        <v>852</v>
      </c>
    </row>
    <row r="72" spans="1:7" ht="330" x14ac:dyDescent="0.25">
      <c r="A72" s="2" t="s">
        <v>853</v>
      </c>
      <c r="B72" s="2" t="s">
        <v>891</v>
      </c>
      <c r="C72" s="1" t="s">
        <v>282</v>
      </c>
      <c r="D72" s="2" t="s">
        <v>283</v>
      </c>
      <c r="E72" s="2" t="s">
        <v>284</v>
      </c>
      <c r="F72" s="2" t="s">
        <v>285</v>
      </c>
      <c r="G72" s="2" t="s">
        <v>854</v>
      </c>
    </row>
    <row r="73" spans="1:7" ht="165" x14ac:dyDescent="0.25">
      <c r="A73" s="2" t="s">
        <v>286</v>
      </c>
      <c r="B73" s="2" t="s">
        <v>891</v>
      </c>
      <c r="C73" s="1" t="s">
        <v>888</v>
      </c>
      <c r="D73" s="2" t="s">
        <v>283</v>
      </c>
      <c r="E73" s="2" t="s">
        <v>763</v>
      </c>
      <c r="F73" s="2" t="s">
        <v>764</v>
      </c>
      <c r="G73" s="2" t="s">
        <v>889</v>
      </c>
    </row>
    <row r="74" spans="1:7" ht="105" x14ac:dyDescent="0.25">
      <c r="A74" s="2" t="s">
        <v>765</v>
      </c>
      <c r="B74" s="2" t="s">
        <v>891</v>
      </c>
      <c r="C74" s="1" t="s">
        <v>766</v>
      </c>
      <c r="D74" s="2" t="s">
        <v>283</v>
      </c>
      <c r="E74" s="2" t="s">
        <v>767</v>
      </c>
      <c r="F74" s="2" t="s">
        <v>768</v>
      </c>
      <c r="G74" s="2" t="s">
        <v>769</v>
      </c>
    </row>
    <row r="75" spans="1:7" ht="105" x14ac:dyDescent="0.25">
      <c r="A75" s="2" t="s">
        <v>287</v>
      </c>
      <c r="B75" s="2" t="s">
        <v>891</v>
      </c>
      <c r="C75" s="1" t="s">
        <v>770</v>
      </c>
      <c r="D75" s="2" t="s">
        <v>283</v>
      </c>
      <c r="E75" s="2" t="s">
        <v>771</v>
      </c>
      <c r="F75" s="2" t="s">
        <v>288</v>
      </c>
      <c r="G75" s="2" t="s">
        <v>772</v>
      </c>
    </row>
    <row r="76" spans="1:7" ht="90" x14ac:dyDescent="0.25">
      <c r="A76" s="2" t="s">
        <v>708</v>
      </c>
      <c r="B76" s="2" t="s">
        <v>891</v>
      </c>
      <c r="C76" s="1" t="s">
        <v>773</v>
      </c>
      <c r="D76" s="2" t="s">
        <v>283</v>
      </c>
      <c r="E76" s="2" t="s">
        <v>774</v>
      </c>
      <c r="F76" s="2" t="s">
        <v>709</v>
      </c>
      <c r="G76" s="2" t="s">
        <v>775</v>
      </c>
    </row>
    <row r="77" spans="1:7" ht="105" x14ac:dyDescent="0.25">
      <c r="A77" s="2" t="s">
        <v>710</v>
      </c>
      <c r="B77" s="2" t="s">
        <v>891</v>
      </c>
      <c r="C77" s="1" t="s">
        <v>776</v>
      </c>
      <c r="D77" s="2" t="s">
        <v>283</v>
      </c>
      <c r="E77" s="2" t="s">
        <v>777</v>
      </c>
      <c r="F77" s="2" t="s">
        <v>711</v>
      </c>
      <c r="G77" s="2" t="s">
        <v>778</v>
      </c>
    </row>
    <row r="78" spans="1:7" ht="120" x14ac:dyDescent="0.25">
      <c r="A78" s="2" t="s">
        <v>712</v>
      </c>
      <c r="B78" s="2" t="s">
        <v>891</v>
      </c>
      <c r="C78" s="1" t="s">
        <v>713</v>
      </c>
      <c r="D78" s="2" t="s">
        <v>714</v>
      </c>
      <c r="E78" s="2" t="s">
        <v>715</v>
      </c>
      <c r="F78" s="2" t="s">
        <v>716</v>
      </c>
      <c r="G78" s="2" t="s">
        <v>717</v>
      </c>
    </row>
    <row r="79" spans="1:7" ht="120" x14ac:dyDescent="0.25">
      <c r="A79" s="2" t="s">
        <v>718</v>
      </c>
      <c r="B79" s="2" t="s">
        <v>891</v>
      </c>
      <c r="C79" s="1" t="s">
        <v>719</v>
      </c>
      <c r="D79" s="2" t="s">
        <v>720</v>
      </c>
      <c r="E79" s="2" t="s">
        <v>721</v>
      </c>
      <c r="F79" s="2" t="s">
        <v>722</v>
      </c>
      <c r="G79" s="2" t="s">
        <v>723</v>
      </c>
    </row>
    <row r="80" spans="1:7" ht="105" x14ac:dyDescent="0.25">
      <c r="A80" s="2" t="s">
        <v>724</v>
      </c>
      <c r="B80" s="2" t="s">
        <v>891</v>
      </c>
      <c r="C80" s="1" t="s">
        <v>725</v>
      </c>
      <c r="D80" s="2" t="s">
        <v>726</v>
      </c>
      <c r="E80" s="2" t="s">
        <v>727</v>
      </c>
      <c r="F80" s="2" t="s">
        <v>728</v>
      </c>
      <c r="G80" s="2" t="s">
        <v>729</v>
      </c>
    </row>
    <row r="81" spans="1:7" ht="135" x14ac:dyDescent="0.25">
      <c r="A81" s="2" t="s">
        <v>730</v>
      </c>
      <c r="B81" s="2" t="s">
        <v>891</v>
      </c>
      <c r="C81" s="1" t="s">
        <v>731</v>
      </c>
      <c r="D81" s="2" t="s">
        <v>732</v>
      </c>
      <c r="E81" s="2" t="s">
        <v>733</v>
      </c>
      <c r="F81" s="2" t="s">
        <v>734</v>
      </c>
      <c r="G81" s="2" t="s">
        <v>735</v>
      </c>
    </row>
    <row r="82" spans="1:7" ht="135" x14ac:dyDescent="0.25">
      <c r="A82" s="2" t="s">
        <v>736</v>
      </c>
      <c r="B82" s="2" t="s">
        <v>891</v>
      </c>
      <c r="C82" s="1" t="s">
        <v>737</v>
      </c>
      <c r="D82" s="2" t="s">
        <v>738</v>
      </c>
      <c r="E82" s="2" t="s">
        <v>739</v>
      </c>
      <c r="F82" s="2" t="s">
        <v>740</v>
      </c>
      <c r="G82" s="2" t="s">
        <v>741</v>
      </c>
    </row>
    <row r="83" spans="1:7" ht="195" x14ac:dyDescent="0.25">
      <c r="A83" s="2" t="s">
        <v>742</v>
      </c>
      <c r="B83" s="2" t="s">
        <v>891</v>
      </c>
      <c r="C83" s="1" t="s">
        <v>743</v>
      </c>
      <c r="D83" s="2" t="s">
        <v>744</v>
      </c>
      <c r="E83" s="2" t="s">
        <v>745</v>
      </c>
      <c r="F83" s="2" t="s">
        <v>746</v>
      </c>
      <c r="G83" s="2" t="s">
        <v>747</v>
      </c>
    </row>
    <row r="84" spans="1:7" ht="255" x14ac:dyDescent="0.25">
      <c r="A84" s="2" t="s">
        <v>748</v>
      </c>
      <c r="B84" s="2" t="s">
        <v>891</v>
      </c>
      <c r="C84" s="1" t="s">
        <v>749</v>
      </c>
      <c r="D84" s="2" t="s">
        <v>750</v>
      </c>
      <c r="E84" s="2" t="s">
        <v>751</v>
      </c>
      <c r="F84" s="2" t="s">
        <v>752</v>
      </c>
      <c r="G84" s="2" t="s">
        <v>753</v>
      </c>
    </row>
    <row r="85" spans="1:7" ht="180" x14ac:dyDescent="0.25">
      <c r="A85" s="2" t="s">
        <v>754</v>
      </c>
      <c r="B85" s="2" t="s">
        <v>891</v>
      </c>
      <c r="C85" s="1" t="s">
        <v>938</v>
      </c>
      <c r="D85" s="2" t="s">
        <v>755</v>
      </c>
      <c r="E85" s="2" t="s">
        <v>756</v>
      </c>
      <c r="F85" s="2" t="s">
        <v>757</v>
      </c>
      <c r="G85" s="2" t="s">
        <v>939</v>
      </c>
    </row>
    <row r="86" spans="1:7" ht="240" x14ac:dyDescent="0.25">
      <c r="A86" s="2" t="s">
        <v>855</v>
      </c>
      <c r="B86" s="2" t="s">
        <v>891</v>
      </c>
      <c r="C86" s="1" t="s">
        <v>289</v>
      </c>
      <c r="D86" s="2" t="s">
        <v>290</v>
      </c>
      <c r="E86" s="2" t="s">
        <v>291</v>
      </c>
      <c r="F86" s="2" t="s">
        <v>292</v>
      </c>
      <c r="G86" s="2" t="s">
        <v>856</v>
      </c>
    </row>
    <row r="87" spans="1:7" ht="180" x14ac:dyDescent="0.25">
      <c r="A87" s="2" t="s">
        <v>293</v>
      </c>
      <c r="B87" s="2" t="s">
        <v>891</v>
      </c>
      <c r="C87" s="1" t="s">
        <v>857</v>
      </c>
      <c r="D87" s="2" t="s">
        <v>294</v>
      </c>
      <c r="E87" s="2" t="s">
        <v>295</v>
      </c>
      <c r="F87" s="2" t="s">
        <v>296</v>
      </c>
      <c r="G87" s="2" t="s">
        <v>858</v>
      </c>
    </row>
    <row r="88" spans="1:7" ht="150" x14ac:dyDescent="0.25">
      <c r="A88" s="2" t="s">
        <v>297</v>
      </c>
      <c r="B88" s="2" t="s">
        <v>891</v>
      </c>
      <c r="C88" s="1" t="s">
        <v>298</v>
      </c>
      <c r="D88" s="2" t="s">
        <v>299</v>
      </c>
      <c r="E88" s="2" t="s">
        <v>300</v>
      </c>
      <c r="F88" s="2" t="s">
        <v>301</v>
      </c>
      <c r="G88" s="2" t="s">
        <v>302</v>
      </c>
    </row>
    <row r="89" spans="1:7" ht="135" x14ac:dyDescent="0.25">
      <c r="A89" s="2" t="s">
        <v>303</v>
      </c>
      <c r="B89" s="2" t="s">
        <v>891</v>
      </c>
      <c r="C89" s="1" t="s">
        <v>304</v>
      </c>
      <c r="D89" s="2" t="s">
        <v>305</v>
      </c>
      <c r="E89" s="2" t="s">
        <v>306</v>
      </c>
      <c r="F89" s="2" t="s">
        <v>307</v>
      </c>
      <c r="G89" s="2" t="s">
        <v>308</v>
      </c>
    </row>
    <row r="90" spans="1:7" ht="120" x14ac:dyDescent="0.25">
      <c r="A90" s="2" t="s">
        <v>309</v>
      </c>
      <c r="B90" s="2" t="s">
        <v>891</v>
      </c>
      <c r="C90" s="1" t="s">
        <v>310</v>
      </c>
      <c r="D90" s="2" t="s">
        <v>311</v>
      </c>
      <c r="E90" s="2" t="s">
        <v>312</v>
      </c>
      <c r="F90" s="2" t="s">
        <v>313</v>
      </c>
      <c r="G90" s="2" t="s">
        <v>314</v>
      </c>
    </row>
    <row r="91" spans="1:7" ht="120" x14ac:dyDescent="0.25">
      <c r="A91" s="2" t="s">
        <v>315</v>
      </c>
      <c r="B91" s="2" t="s">
        <v>891</v>
      </c>
      <c r="C91" s="1" t="s">
        <v>316</v>
      </c>
      <c r="D91" s="2" t="s">
        <v>317</v>
      </c>
      <c r="E91" s="2" t="s">
        <v>318</v>
      </c>
      <c r="F91" s="2" t="s">
        <v>319</v>
      </c>
      <c r="G91" s="2" t="s">
        <v>320</v>
      </c>
    </row>
    <row r="92" spans="1:7" ht="120" x14ac:dyDescent="0.25">
      <c r="A92" s="2" t="s">
        <v>321</v>
      </c>
      <c r="B92" s="2" t="s">
        <v>891</v>
      </c>
      <c r="C92" s="1" t="s">
        <v>322</v>
      </c>
      <c r="D92" s="2" t="s">
        <v>323</v>
      </c>
      <c r="E92" s="2" t="s">
        <v>324</v>
      </c>
      <c r="F92" s="2" t="s">
        <v>325</v>
      </c>
      <c r="G92" s="2" t="s">
        <v>326</v>
      </c>
    </row>
    <row r="93" spans="1:7" ht="180" x14ac:dyDescent="0.25">
      <c r="A93" s="2" t="s">
        <v>327</v>
      </c>
      <c r="B93" s="2" t="s">
        <v>891</v>
      </c>
      <c r="C93" s="1" t="s">
        <v>328</v>
      </c>
      <c r="D93" s="2" t="s">
        <v>329</v>
      </c>
      <c r="E93" s="2" t="s">
        <v>330</v>
      </c>
      <c r="F93" s="2" t="s">
        <v>331</v>
      </c>
      <c r="G93" s="2" t="s">
        <v>332</v>
      </c>
    </row>
    <row r="94" spans="1:7" ht="135" x14ac:dyDescent="0.25">
      <c r="A94" s="2" t="s">
        <v>333</v>
      </c>
      <c r="B94" s="2" t="s">
        <v>891</v>
      </c>
      <c r="C94" s="1" t="s">
        <v>334</v>
      </c>
      <c r="D94" s="2" t="s">
        <v>335</v>
      </c>
      <c r="E94" s="2" t="s">
        <v>336</v>
      </c>
      <c r="F94" s="2" t="s">
        <v>337</v>
      </c>
      <c r="G94" s="2" t="s">
        <v>338</v>
      </c>
    </row>
    <row r="95" spans="1:7" ht="180" x14ac:dyDescent="0.25">
      <c r="A95" s="2" t="s">
        <v>339</v>
      </c>
      <c r="B95" s="2" t="s">
        <v>891</v>
      </c>
      <c r="C95" s="1" t="s">
        <v>340</v>
      </c>
      <c r="D95" s="2" t="s">
        <v>341</v>
      </c>
      <c r="E95" s="2" t="s">
        <v>342</v>
      </c>
      <c r="F95" s="2" t="s">
        <v>343</v>
      </c>
      <c r="G95" s="2" t="s">
        <v>344</v>
      </c>
    </row>
    <row r="96" spans="1:7" ht="150" x14ac:dyDescent="0.25">
      <c r="A96" s="2" t="s">
        <v>345</v>
      </c>
      <c r="B96" s="2" t="s">
        <v>891</v>
      </c>
      <c r="C96" s="1" t="s">
        <v>346</v>
      </c>
      <c r="D96" s="2" t="s">
        <v>347</v>
      </c>
      <c r="E96" s="2" t="s">
        <v>348</v>
      </c>
      <c r="F96" s="2" t="s">
        <v>349</v>
      </c>
      <c r="G96" s="2" t="s">
        <v>350</v>
      </c>
    </row>
    <row r="97" spans="1:7" ht="135" x14ac:dyDescent="0.25">
      <c r="A97" s="2" t="s">
        <v>351</v>
      </c>
      <c r="B97" s="2" t="s">
        <v>891</v>
      </c>
      <c r="C97" s="1" t="s">
        <v>352</v>
      </c>
      <c r="D97" s="2" t="s">
        <v>353</v>
      </c>
      <c r="E97" s="2" t="s">
        <v>354</v>
      </c>
      <c r="F97" s="2" t="s">
        <v>355</v>
      </c>
      <c r="G97" s="2" t="s">
        <v>356</v>
      </c>
    </row>
    <row r="98" spans="1:7" ht="240" x14ac:dyDescent="0.25">
      <c r="A98" s="2" t="s">
        <v>779</v>
      </c>
      <c r="B98" s="2" t="s">
        <v>891</v>
      </c>
      <c r="C98" s="1" t="s">
        <v>758</v>
      </c>
      <c r="D98" s="2" t="s">
        <v>759</v>
      </c>
      <c r="E98" s="2" t="s">
        <v>760</v>
      </c>
      <c r="F98" s="2" t="s">
        <v>780</v>
      </c>
      <c r="G98" s="2" t="s">
        <v>781</v>
      </c>
    </row>
    <row r="99" spans="1:7" ht="225" x14ac:dyDescent="0.25">
      <c r="A99" s="2" t="s">
        <v>782</v>
      </c>
      <c r="B99" s="2" t="s">
        <v>891</v>
      </c>
      <c r="C99" s="1" t="s">
        <v>761</v>
      </c>
      <c r="D99" s="2" t="s">
        <v>759</v>
      </c>
      <c r="E99" s="2" t="s">
        <v>762</v>
      </c>
      <c r="F99" s="2" t="s">
        <v>783</v>
      </c>
      <c r="G99" s="2" t="s">
        <v>784</v>
      </c>
    </row>
    <row r="100" spans="1:7" ht="409.5" x14ac:dyDescent="0.25">
      <c r="A100" s="2" t="s">
        <v>865</v>
      </c>
      <c r="B100" s="2" t="s">
        <v>891</v>
      </c>
      <c r="C100" s="1" t="s">
        <v>866</v>
      </c>
      <c r="D100" s="2" t="s">
        <v>867</v>
      </c>
      <c r="E100" s="2" t="s">
        <v>868</v>
      </c>
      <c r="F100" s="2" t="s">
        <v>869</v>
      </c>
      <c r="G100" s="2" t="s">
        <v>870</v>
      </c>
    </row>
    <row r="101" spans="1:7" ht="390" x14ac:dyDescent="0.25">
      <c r="A101" s="2" t="s">
        <v>871</v>
      </c>
      <c r="B101" s="2" t="s">
        <v>891</v>
      </c>
      <c r="C101" s="1" t="s">
        <v>872</v>
      </c>
      <c r="D101" s="2" t="s">
        <v>867</v>
      </c>
      <c r="E101" s="2" t="s">
        <v>873</v>
      </c>
      <c r="F101" s="2" t="s">
        <v>874</v>
      </c>
      <c r="G101" s="2" t="s">
        <v>875</v>
      </c>
    </row>
    <row r="102" spans="1:7" ht="375" x14ac:dyDescent="0.25">
      <c r="A102" s="2" t="s">
        <v>954</v>
      </c>
      <c r="B102" s="2" t="s">
        <v>891</v>
      </c>
      <c r="C102" s="1" t="s">
        <v>1001</v>
      </c>
      <c r="D102" s="2"/>
      <c r="E102" s="2" t="s">
        <v>1002</v>
      </c>
      <c r="F102" s="2" t="s">
        <v>955</v>
      </c>
      <c r="G102" s="2" t="s">
        <v>1003</v>
      </c>
    </row>
    <row r="103" spans="1:7" ht="409.5" x14ac:dyDescent="0.25">
      <c r="A103" s="2" t="s">
        <v>956</v>
      </c>
      <c r="B103" s="2" t="s">
        <v>891</v>
      </c>
      <c r="C103" s="1" t="s">
        <v>957</v>
      </c>
      <c r="D103" s="2" t="s">
        <v>958</v>
      </c>
      <c r="E103" s="2" t="s">
        <v>959</v>
      </c>
      <c r="F103" s="2" t="s">
        <v>960</v>
      </c>
      <c r="G103" s="2" t="s">
        <v>961</v>
      </c>
    </row>
    <row r="104" spans="1:7" ht="409.5" x14ac:dyDescent="0.25">
      <c r="A104" s="2" t="s">
        <v>962</v>
      </c>
      <c r="B104" s="2" t="s">
        <v>891</v>
      </c>
      <c r="C104" s="1" t="s">
        <v>963</v>
      </c>
      <c r="D104" s="2" t="s">
        <v>964</v>
      </c>
      <c r="E104" s="2" t="s">
        <v>965</v>
      </c>
      <c r="F104" s="2" t="s">
        <v>966</v>
      </c>
      <c r="G104" s="2" t="s">
        <v>967</v>
      </c>
    </row>
    <row r="105" spans="1:7" ht="165" x14ac:dyDescent="0.25">
      <c r="A105" s="2" t="s">
        <v>892</v>
      </c>
      <c r="B105" s="2" t="s">
        <v>685</v>
      </c>
      <c r="C105" s="1" t="s">
        <v>912</v>
      </c>
      <c r="D105" s="2"/>
      <c r="E105" s="2" t="s">
        <v>893</v>
      </c>
      <c r="F105" s="2" t="s">
        <v>894</v>
      </c>
      <c r="G105" s="2" t="s">
        <v>895</v>
      </c>
    </row>
    <row r="106" spans="1:7" ht="105" x14ac:dyDescent="0.25">
      <c r="A106" s="2" t="s">
        <v>896</v>
      </c>
      <c r="B106" s="2" t="s">
        <v>685</v>
      </c>
      <c r="C106" s="1" t="s">
        <v>913</v>
      </c>
      <c r="D106" s="2"/>
      <c r="E106" s="2" t="s">
        <v>897</v>
      </c>
      <c r="F106" s="2" t="s">
        <v>898</v>
      </c>
      <c r="G106" s="2" t="s">
        <v>899</v>
      </c>
    </row>
    <row r="107" spans="1:7" ht="135" x14ac:dyDescent="0.25">
      <c r="A107" s="2" t="s">
        <v>900</v>
      </c>
      <c r="B107" s="2" t="s">
        <v>685</v>
      </c>
      <c r="C107" s="1" t="s">
        <v>914</v>
      </c>
      <c r="D107" s="2"/>
      <c r="E107" s="2" t="s">
        <v>901</v>
      </c>
      <c r="F107" s="2" t="s">
        <v>902</v>
      </c>
      <c r="G107" s="2" t="s">
        <v>903</v>
      </c>
    </row>
    <row r="108" spans="1:7" ht="210" x14ac:dyDescent="0.25">
      <c r="A108" s="2" t="s">
        <v>904</v>
      </c>
      <c r="B108" s="2" t="s">
        <v>685</v>
      </c>
      <c r="C108" s="1" t="s">
        <v>915</v>
      </c>
      <c r="D108" s="2"/>
      <c r="E108" s="2" t="s">
        <v>905</v>
      </c>
      <c r="F108" s="2" t="s">
        <v>906</v>
      </c>
      <c r="G108" s="2" t="s">
        <v>910</v>
      </c>
    </row>
    <row r="109" spans="1:7" ht="135" x14ac:dyDescent="0.25">
      <c r="A109" s="2" t="s">
        <v>907</v>
      </c>
      <c r="B109" s="2" t="s">
        <v>685</v>
      </c>
      <c r="C109" s="1" t="s">
        <v>916</v>
      </c>
      <c r="D109" s="2"/>
      <c r="E109" s="2" t="s">
        <v>908</v>
      </c>
      <c r="F109" s="2" t="s">
        <v>909</v>
      </c>
      <c r="G109" s="2" t="s">
        <v>911</v>
      </c>
    </row>
    <row r="110" spans="1:7" ht="255" x14ac:dyDescent="0.25">
      <c r="A110" s="2" t="s">
        <v>968</v>
      </c>
      <c r="B110" s="2" t="s">
        <v>685</v>
      </c>
      <c r="C110" s="1" t="s">
        <v>969</v>
      </c>
      <c r="D110" s="2"/>
      <c r="E110" s="2" t="s">
        <v>970</v>
      </c>
      <c r="F110" s="2" t="s">
        <v>971</v>
      </c>
      <c r="G110" s="2" t="s">
        <v>972</v>
      </c>
    </row>
    <row r="111" spans="1:7" ht="345" x14ac:dyDescent="0.25">
      <c r="A111" s="2" t="s">
        <v>973</v>
      </c>
      <c r="B111" s="2" t="s">
        <v>685</v>
      </c>
      <c r="C111" s="1" t="s">
        <v>974</v>
      </c>
      <c r="D111" s="2"/>
      <c r="E111" s="2" t="s">
        <v>975</v>
      </c>
      <c r="F111" s="2" t="s">
        <v>976</v>
      </c>
      <c r="G111" s="2" t="s">
        <v>977</v>
      </c>
    </row>
    <row r="112" spans="1:7" ht="409.5" x14ac:dyDescent="0.25">
      <c r="A112" s="2" t="s">
        <v>978</v>
      </c>
      <c r="B112" s="2" t="s">
        <v>685</v>
      </c>
      <c r="C112" s="1" t="s">
        <v>979</v>
      </c>
      <c r="D112" s="2"/>
      <c r="E112" s="2" t="s">
        <v>980</v>
      </c>
      <c r="F112" s="2" t="s">
        <v>981</v>
      </c>
      <c r="G112" s="2" t="s">
        <v>982</v>
      </c>
    </row>
    <row r="113" spans="1:7" ht="409.5" x14ac:dyDescent="0.25">
      <c r="A113" s="2" t="s">
        <v>983</v>
      </c>
      <c r="B113" s="2" t="s">
        <v>685</v>
      </c>
      <c r="C113" s="1" t="s">
        <v>984</v>
      </c>
      <c r="D113" s="2"/>
      <c r="E113" s="2" t="s">
        <v>985</v>
      </c>
      <c r="F113" s="2" t="s">
        <v>986</v>
      </c>
      <c r="G113" s="2" t="s">
        <v>987</v>
      </c>
    </row>
    <row r="114" spans="1:7" ht="315" x14ac:dyDescent="0.25">
      <c r="A114" s="2" t="s">
        <v>988</v>
      </c>
      <c r="B114" s="2" t="s">
        <v>685</v>
      </c>
      <c r="C114" s="1" t="s">
        <v>989</v>
      </c>
      <c r="D114" s="2"/>
      <c r="E114" s="2" t="s">
        <v>990</v>
      </c>
      <c r="F114" s="2" t="s">
        <v>991</v>
      </c>
      <c r="G114" s="2" t="s">
        <v>1004</v>
      </c>
    </row>
    <row r="115" spans="1:7" ht="255" x14ac:dyDescent="0.25">
      <c r="A115" s="2" t="s">
        <v>992</v>
      </c>
      <c r="B115" s="2" t="s">
        <v>685</v>
      </c>
      <c r="C115" s="1" t="s">
        <v>993</v>
      </c>
      <c r="D115" s="2"/>
      <c r="E115" s="2" t="s">
        <v>994</v>
      </c>
      <c r="F115" s="2" t="s">
        <v>995</v>
      </c>
      <c r="G115" s="2" t="s">
        <v>996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dimension ref="A1:W2939"/>
  <sheetViews>
    <sheetView workbookViewId="0">
      <pane ySplit="1" topLeftCell="A2" activePane="bottomLeft" state="frozenSplit"/>
      <selection pane="bottomLeft" activeCell="X3" sqref="X3"/>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 min="24" max="24" width="9.42578125" bestFit="1" customWidth="1"/>
  </cols>
  <sheetData>
    <row r="1" spans="1:23" x14ac:dyDescent="0.25">
      <c r="A1" t="s">
        <v>357</v>
      </c>
      <c r="B1" t="s">
        <v>358</v>
      </c>
      <c r="C1" t="s">
        <v>359</v>
      </c>
      <c r="D1" t="s">
        <v>360</v>
      </c>
      <c r="E1" t="s">
        <v>361</v>
      </c>
      <c r="F1" t="s">
        <v>362</v>
      </c>
      <c r="G1" t="s">
        <v>363</v>
      </c>
      <c r="H1" t="s">
        <v>364</v>
      </c>
      <c r="I1" t="s">
        <v>365</v>
      </c>
      <c r="J1" t="s">
        <v>366</v>
      </c>
      <c r="K1" t="s">
        <v>367</v>
      </c>
      <c r="L1" t="s">
        <v>368</v>
      </c>
      <c r="M1" t="s">
        <v>369</v>
      </c>
      <c r="N1" t="s">
        <v>370</v>
      </c>
      <c r="O1" t="s">
        <v>371</v>
      </c>
      <c r="P1" t="s">
        <v>372</v>
      </c>
      <c r="Q1" t="s">
        <v>373</v>
      </c>
      <c r="R1" t="s">
        <v>374</v>
      </c>
      <c r="S1" t="s">
        <v>375</v>
      </c>
      <c r="T1" t="s">
        <v>376</v>
      </c>
      <c r="U1" t="s">
        <v>377</v>
      </c>
      <c r="V1" t="s">
        <v>378</v>
      </c>
      <c r="W1" t="s">
        <v>379</v>
      </c>
    </row>
    <row r="2" spans="1:23" x14ac:dyDescent="0.25">
      <c r="A2" t="s">
        <v>380</v>
      </c>
      <c r="B2">
        <v>2015</v>
      </c>
      <c r="C2" t="s">
        <v>381</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380</v>
      </c>
      <c r="B3">
        <v>2014</v>
      </c>
      <c r="C3" t="s">
        <v>381</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380</v>
      </c>
      <c r="B4">
        <v>2013</v>
      </c>
      <c r="C4" t="s">
        <v>381</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380</v>
      </c>
      <c r="B5">
        <v>2012</v>
      </c>
      <c r="C5" t="s">
        <v>381</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380</v>
      </c>
      <c r="B6">
        <v>2011</v>
      </c>
      <c r="C6" t="s">
        <v>381</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380</v>
      </c>
      <c r="B7">
        <v>2010</v>
      </c>
      <c r="C7" t="s">
        <v>381</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380</v>
      </c>
      <c r="B8">
        <v>2009</v>
      </c>
      <c r="C8" t="s">
        <v>381</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380</v>
      </c>
      <c r="B9">
        <v>2008</v>
      </c>
      <c r="C9" t="s">
        <v>381</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380</v>
      </c>
      <c r="B10">
        <v>2007</v>
      </c>
      <c r="C10" t="s">
        <v>381</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380</v>
      </c>
      <c r="B11">
        <v>2006</v>
      </c>
      <c r="C11" t="s">
        <v>381</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380</v>
      </c>
      <c r="B12">
        <v>2005</v>
      </c>
      <c r="C12" t="s">
        <v>381</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380</v>
      </c>
      <c r="B13">
        <v>2004</v>
      </c>
      <c r="C13" t="s">
        <v>381</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380</v>
      </c>
      <c r="B14">
        <v>2003</v>
      </c>
      <c r="C14" t="s">
        <v>381</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380</v>
      </c>
      <c r="B15">
        <v>2002</v>
      </c>
      <c r="C15" t="s">
        <v>381</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380</v>
      </c>
      <c r="B16">
        <v>2001</v>
      </c>
      <c r="C16" t="s">
        <v>381</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380</v>
      </c>
      <c r="B17">
        <v>2000</v>
      </c>
      <c r="C17" t="s">
        <v>381</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382</v>
      </c>
      <c r="B18">
        <v>2015</v>
      </c>
      <c r="C18" t="s">
        <v>381</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382</v>
      </c>
      <c r="B19">
        <v>2014</v>
      </c>
      <c r="C19" t="s">
        <v>381</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382</v>
      </c>
      <c r="B20">
        <v>2013</v>
      </c>
      <c r="C20" t="s">
        <v>381</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382</v>
      </c>
      <c r="B21">
        <v>2012</v>
      </c>
      <c r="C21" t="s">
        <v>381</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382</v>
      </c>
      <c r="B22">
        <v>2011</v>
      </c>
      <c r="C22" t="s">
        <v>381</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382</v>
      </c>
      <c r="B23">
        <v>2010</v>
      </c>
      <c r="C23" t="s">
        <v>381</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382</v>
      </c>
      <c r="B24">
        <v>2009</v>
      </c>
      <c r="C24" t="s">
        <v>381</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382</v>
      </c>
      <c r="B25">
        <v>2008</v>
      </c>
      <c r="C25" t="s">
        <v>381</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382</v>
      </c>
      <c r="B26">
        <v>2007</v>
      </c>
      <c r="C26" t="s">
        <v>381</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382</v>
      </c>
      <c r="B27">
        <v>2006</v>
      </c>
      <c r="C27" t="s">
        <v>381</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382</v>
      </c>
      <c r="B28">
        <v>2005</v>
      </c>
      <c r="C28" t="s">
        <v>381</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382</v>
      </c>
      <c r="B29">
        <v>2004</v>
      </c>
      <c r="C29" t="s">
        <v>381</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382</v>
      </c>
      <c r="B30">
        <v>2003</v>
      </c>
      <c r="C30" t="s">
        <v>381</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382</v>
      </c>
      <c r="B31">
        <v>2002</v>
      </c>
      <c r="C31" t="s">
        <v>381</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382</v>
      </c>
      <c r="B32">
        <v>2001</v>
      </c>
      <c r="C32" t="s">
        <v>381</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382</v>
      </c>
      <c r="B33">
        <v>2000</v>
      </c>
      <c r="C33" t="s">
        <v>381</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383</v>
      </c>
      <c r="B34">
        <v>2015</v>
      </c>
      <c r="C34" t="s">
        <v>381</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383</v>
      </c>
      <c r="B35">
        <v>2014</v>
      </c>
      <c r="C35" t="s">
        <v>381</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383</v>
      </c>
      <c r="B36">
        <v>2013</v>
      </c>
      <c r="C36" t="s">
        <v>381</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383</v>
      </c>
      <c r="B37">
        <v>2012</v>
      </c>
      <c r="C37" t="s">
        <v>381</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383</v>
      </c>
      <c r="B38">
        <v>2011</v>
      </c>
      <c r="C38" t="s">
        <v>381</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383</v>
      </c>
      <c r="B39">
        <v>2010</v>
      </c>
      <c r="C39" t="s">
        <v>381</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383</v>
      </c>
      <c r="B40">
        <v>2009</v>
      </c>
      <c r="C40" t="s">
        <v>381</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383</v>
      </c>
      <c r="B41">
        <v>2008</v>
      </c>
      <c r="C41" t="s">
        <v>381</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383</v>
      </c>
      <c r="B42">
        <v>2007</v>
      </c>
      <c r="C42" t="s">
        <v>381</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383</v>
      </c>
      <c r="B43">
        <v>2006</v>
      </c>
      <c r="C43" t="s">
        <v>381</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383</v>
      </c>
      <c r="B44">
        <v>2005</v>
      </c>
      <c r="C44" t="s">
        <v>381</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383</v>
      </c>
      <c r="B45">
        <v>2004</v>
      </c>
      <c r="C45" t="s">
        <v>381</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383</v>
      </c>
      <c r="B46">
        <v>2003</v>
      </c>
      <c r="C46" t="s">
        <v>381</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383</v>
      </c>
      <c r="B47">
        <v>2002</v>
      </c>
      <c r="C47" t="s">
        <v>381</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383</v>
      </c>
      <c r="B48">
        <v>2001</v>
      </c>
      <c r="C48" t="s">
        <v>381</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383</v>
      </c>
      <c r="B49">
        <v>2000</v>
      </c>
      <c r="C49" t="s">
        <v>381</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384</v>
      </c>
      <c r="B50">
        <v>2015</v>
      </c>
      <c r="C50" t="s">
        <v>381</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384</v>
      </c>
      <c r="B51">
        <v>2014</v>
      </c>
      <c r="C51" t="s">
        <v>381</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384</v>
      </c>
      <c r="B52">
        <v>2013</v>
      </c>
      <c r="C52" t="s">
        <v>381</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384</v>
      </c>
      <c r="B53">
        <v>2012</v>
      </c>
      <c r="C53" t="s">
        <v>381</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384</v>
      </c>
      <c r="B54">
        <v>2011</v>
      </c>
      <c r="C54" t="s">
        <v>381</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384</v>
      </c>
      <c r="B55">
        <v>2010</v>
      </c>
      <c r="C55" t="s">
        <v>381</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384</v>
      </c>
      <c r="B56">
        <v>2009</v>
      </c>
      <c r="C56" t="s">
        <v>381</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384</v>
      </c>
      <c r="B57">
        <v>2008</v>
      </c>
      <c r="C57" t="s">
        <v>381</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384</v>
      </c>
      <c r="B58">
        <v>2007</v>
      </c>
      <c r="C58" t="s">
        <v>381</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384</v>
      </c>
      <c r="B59">
        <v>2006</v>
      </c>
      <c r="C59" t="s">
        <v>381</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384</v>
      </c>
      <c r="B60">
        <v>2005</v>
      </c>
      <c r="C60" t="s">
        <v>381</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384</v>
      </c>
      <c r="B61">
        <v>2004</v>
      </c>
      <c r="C61" t="s">
        <v>381</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384</v>
      </c>
      <c r="B62">
        <v>2003</v>
      </c>
      <c r="C62" t="s">
        <v>381</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384</v>
      </c>
      <c r="B63">
        <v>2002</v>
      </c>
      <c r="C63" t="s">
        <v>381</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384</v>
      </c>
      <c r="B64">
        <v>2001</v>
      </c>
      <c r="C64" t="s">
        <v>381</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384</v>
      </c>
      <c r="B65">
        <v>2000</v>
      </c>
      <c r="C65" t="s">
        <v>381</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385</v>
      </c>
      <c r="B66">
        <v>2015</v>
      </c>
      <c r="C66" t="s">
        <v>381</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385</v>
      </c>
      <c r="B67">
        <v>2014</v>
      </c>
      <c r="C67" t="s">
        <v>381</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385</v>
      </c>
      <c r="B68">
        <v>2013</v>
      </c>
      <c r="C68" t="s">
        <v>381</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385</v>
      </c>
      <c r="B69">
        <v>2012</v>
      </c>
      <c r="C69" t="s">
        <v>381</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385</v>
      </c>
      <c r="B70">
        <v>2011</v>
      </c>
      <c r="C70" t="s">
        <v>381</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385</v>
      </c>
      <c r="B71">
        <v>2010</v>
      </c>
      <c r="C71" t="s">
        <v>381</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385</v>
      </c>
      <c r="B72">
        <v>2009</v>
      </c>
      <c r="C72" t="s">
        <v>381</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385</v>
      </c>
      <c r="B73">
        <v>2008</v>
      </c>
      <c r="C73" t="s">
        <v>381</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385</v>
      </c>
      <c r="B74">
        <v>2007</v>
      </c>
      <c r="C74" t="s">
        <v>381</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385</v>
      </c>
      <c r="B75">
        <v>2006</v>
      </c>
      <c r="C75" t="s">
        <v>381</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385</v>
      </c>
      <c r="B76">
        <v>2005</v>
      </c>
      <c r="C76" t="s">
        <v>381</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385</v>
      </c>
      <c r="B77">
        <v>2004</v>
      </c>
      <c r="C77" t="s">
        <v>381</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385</v>
      </c>
      <c r="B78">
        <v>2003</v>
      </c>
      <c r="C78" t="s">
        <v>381</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385</v>
      </c>
      <c r="B79">
        <v>2002</v>
      </c>
      <c r="C79" t="s">
        <v>381</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385</v>
      </c>
      <c r="B80">
        <v>2001</v>
      </c>
      <c r="C80" t="s">
        <v>381</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385</v>
      </c>
      <c r="B81">
        <v>2000</v>
      </c>
      <c r="C81" t="s">
        <v>381</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386</v>
      </c>
      <c r="B82">
        <v>2015</v>
      </c>
      <c r="C82" t="s">
        <v>381</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386</v>
      </c>
      <c r="B83">
        <v>2014</v>
      </c>
      <c r="C83" t="s">
        <v>381</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386</v>
      </c>
      <c r="B84">
        <v>2013</v>
      </c>
      <c r="C84" t="s">
        <v>381</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386</v>
      </c>
      <c r="B85">
        <v>2012</v>
      </c>
      <c r="C85" t="s">
        <v>381</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386</v>
      </c>
      <c r="B86">
        <v>2011</v>
      </c>
      <c r="C86" t="s">
        <v>381</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386</v>
      </c>
      <c r="B87">
        <v>2010</v>
      </c>
      <c r="C87" t="s">
        <v>381</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386</v>
      </c>
      <c r="B88">
        <v>2009</v>
      </c>
      <c r="C88" t="s">
        <v>381</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386</v>
      </c>
      <c r="B89">
        <v>2008</v>
      </c>
      <c r="C89" t="s">
        <v>381</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386</v>
      </c>
      <c r="B90">
        <v>2007</v>
      </c>
      <c r="C90" t="s">
        <v>381</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386</v>
      </c>
      <c r="B91">
        <v>2006</v>
      </c>
      <c r="C91" t="s">
        <v>381</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386</v>
      </c>
      <c r="B92">
        <v>2005</v>
      </c>
      <c r="C92" t="s">
        <v>381</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386</v>
      </c>
      <c r="B93">
        <v>2004</v>
      </c>
      <c r="C93" t="s">
        <v>381</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386</v>
      </c>
      <c r="B94">
        <v>2003</v>
      </c>
      <c r="C94" t="s">
        <v>381</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386</v>
      </c>
      <c r="B95">
        <v>2002</v>
      </c>
      <c r="C95" t="s">
        <v>381</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386</v>
      </c>
      <c r="B96">
        <v>2001</v>
      </c>
      <c r="C96" t="s">
        <v>381</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386</v>
      </c>
      <c r="B97">
        <v>2000</v>
      </c>
      <c r="C97" t="s">
        <v>381</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387</v>
      </c>
      <c r="B98">
        <v>2015</v>
      </c>
      <c r="C98" t="s">
        <v>381</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387</v>
      </c>
      <c r="B99">
        <v>2014</v>
      </c>
      <c r="C99" t="s">
        <v>381</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387</v>
      </c>
      <c r="B100">
        <v>2013</v>
      </c>
      <c r="C100" t="s">
        <v>381</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387</v>
      </c>
      <c r="B101">
        <v>2012</v>
      </c>
      <c r="C101" t="s">
        <v>381</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387</v>
      </c>
      <c r="B102">
        <v>2011</v>
      </c>
      <c r="C102" t="s">
        <v>381</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387</v>
      </c>
      <c r="B103">
        <v>2010</v>
      </c>
      <c r="C103" t="s">
        <v>381</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387</v>
      </c>
      <c r="B104">
        <v>2009</v>
      </c>
      <c r="C104" t="s">
        <v>381</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387</v>
      </c>
      <c r="B105">
        <v>2008</v>
      </c>
      <c r="C105" t="s">
        <v>381</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387</v>
      </c>
      <c r="B106">
        <v>2007</v>
      </c>
      <c r="C106" t="s">
        <v>381</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387</v>
      </c>
      <c r="B107">
        <v>2006</v>
      </c>
      <c r="C107" t="s">
        <v>381</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387</v>
      </c>
      <c r="B108">
        <v>2005</v>
      </c>
      <c r="C108" t="s">
        <v>381</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387</v>
      </c>
      <c r="B109">
        <v>2004</v>
      </c>
      <c r="C109" t="s">
        <v>381</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387</v>
      </c>
      <c r="B110">
        <v>2003</v>
      </c>
      <c r="C110" t="s">
        <v>381</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387</v>
      </c>
      <c r="B111">
        <v>2002</v>
      </c>
      <c r="C111" t="s">
        <v>381</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387</v>
      </c>
      <c r="B112">
        <v>2001</v>
      </c>
      <c r="C112" t="s">
        <v>381</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387</v>
      </c>
      <c r="B113">
        <v>2000</v>
      </c>
      <c r="C113" t="s">
        <v>381</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388</v>
      </c>
      <c r="B114">
        <v>2015</v>
      </c>
      <c r="C114" t="s">
        <v>389</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388</v>
      </c>
      <c r="B115">
        <v>2014</v>
      </c>
      <c r="C115" t="s">
        <v>389</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388</v>
      </c>
      <c r="B116">
        <v>2013</v>
      </c>
      <c r="C116" t="s">
        <v>389</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388</v>
      </c>
      <c r="B117">
        <v>2012</v>
      </c>
      <c r="C117" t="s">
        <v>389</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388</v>
      </c>
      <c r="B118">
        <v>2011</v>
      </c>
      <c r="C118" t="s">
        <v>389</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388</v>
      </c>
      <c r="B119">
        <v>2010</v>
      </c>
      <c r="C119" t="s">
        <v>389</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388</v>
      </c>
      <c r="B120">
        <v>2009</v>
      </c>
      <c r="C120" t="s">
        <v>389</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388</v>
      </c>
      <c r="B121">
        <v>2008</v>
      </c>
      <c r="C121" t="s">
        <v>389</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388</v>
      </c>
      <c r="B122">
        <v>2007</v>
      </c>
      <c r="C122" t="s">
        <v>389</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388</v>
      </c>
      <c r="B123">
        <v>2006</v>
      </c>
      <c r="C123" t="s">
        <v>389</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388</v>
      </c>
      <c r="B124">
        <v>2005</v>
      </c>
      <c r="C124" t="s">
        <v>389</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388</v>
      </c>
      <c r="B125">
        <v>2004</v>
      </c>
      <c r="C125" t="s">
        <v>389</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388</v>
      </c>
      <c r="B126">
        <v>2003</v>
      </c>
      <c r="C126" t="s">
        <v>389</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388</v>
      </c>
      <c r="B127">
        <v>2002</v>
      </c>
      <c r="C127" t="s">
        <v>389</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388</v>
      </c>
      <c r="B128">
        <v>2001</v>
      </c>
      <c r="C128" t="s">
        <v>389</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388</v>
      </c>
      <c r="B129">
        <v>2000</v>
      </c>
      <c r="C129" t="s">
        <v>389</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390</v>
      </c>
      <c r="B130">
        <v>2015</v>
      </c>
      <c r="C130" t="s">
        <v>389</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390</v>
      </c>
      <c r="B131">
        <v>2014</v>
      </c>
      <c r="C131" t="s">
        <v>389</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390</v>
      </c>
      <c r="B132">
        <v>2013</v>
      </c>
      <c r="C132" t="s">
        <v>389</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390</v>
      </c>
      <c r="B133">
        <v>2012</v>
      </c>
      <c r="C133" t="s">
        <v>389</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390</v>
      </c>
      <c r="B134">
        <v>2011</v>
      </c>
      <c r="C134" t="s">
        <v>389</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390</v>
      </c>
      <c r="B135">
        <v>2010</v>
      </c>
      <c r="C135" t="s">
        <v>389</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390</v>
      </c>
      <c r="B136">
        <v>2009</v>
      </c>
      <c r="C136" t="s">
        <v>389</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390</v>
      </c>
      <c r="B137">
        <v>2008</v>
      </c>
      <c r="C137" t="s">
        <v>389</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390</v>
      </c>
      <c r="B138">
        <v>2007</v>
      </c>
      <c r="C138" t="s">
        <v>389</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390</v>
      </c>
      <c r="B139">
        <v>2006</v>
      </c>
      <c r="C139" t="s">
        <v>389</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390</v>
      </c>
      <c r="B140">
        <v>2005</v>
      </c>
      <c r="C140" t="s">
        <v>389</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390</v>
      </c>
      <c r="B141">
        <v>2004</v>
      </c>
      <c r="C141" t="s">
        <v>389</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390</v>
      </c>
      <c r="B142">
        <v>2003</v>
      </c>
      <c r="C142" t="s">
        <v>389</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390</v>
      </c>
      <c r="B143">
        <v>2002</v>
      </c>
      <c r="C143" t="s">
        <v>389</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390</v>
      </c>
      <c r="B144">
        <v>2001</v>
      </c>
      <c r="C144" t="s">
        <v>389</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390</v>
      </c>
      <c r="B145">
        <v>2000</v>
      </c>
      <c r="C145" t="s">
        <v>389</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391</v>
      </c>
      <c r="B146">
        <v>2015</v>
      </c>
      <c r="C146" t="s">
        <v>381</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391</v>
      </c>
      <c r="B147">
        <v>2014</v>
      </c>
      <c r="C147" t="s">
        <v>381</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391</v>
      </c>
      <c r="B148">
        <v>2013</v>
      </c>
      <c r="C148" t="s">
        <v>381</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391</v>
      </c>
      <c r="B149">
        <v>2012</v>
      </c>
      <c r="C149" t="s">
        <v>381</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391</v>
      </c>
      <c r="B150">
        <v>2011</v>
      </c>
      <c r="C150" t="s">
        <v>381</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391</v>
      </c>
      <c r="B151">
        <v>2010</v>
      </c>
      <c r="C151" t="s">
        <v>381</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391</v>
      </c>
      <c r="B152">
        <v>2009</v>
      </c>
      <c r="C152" t="s">
        <v>381</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391</v>
      </c>
      <c r="B153">
        <v>2008</v>
      </c>
      <c r="C153" t="s">
        <v>381</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391</v>
      </c>
      <c r="B154">
        <v>2007</v>
      </c>
      <c r="C154" t="s">
        <v>381</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391</v>
      </c>
      <c r="B155">
        <v>2006</v>
      </c>
      <c r="C155" t="s">
        <v>381</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391</v>
      </c>
      <c r="B156">
        <v>2005</v>
      </c>
      <c r="C156" t="s">
        <v>381</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391</v>
      </c>
      <c r="B157">
        <v>2004</v>
      </c>
      <c r="C157" t="s">
        <v>381</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391</v>
      </c>
      <c r="B158">
        <v>2003</v>
      </c>
      <c r="C158" t="s">
        <v>381</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391</v>
      </c>
      <c r="B159">
        <v>2002</v>
      </c>
      <c r="C159" t="s">
        <v>381</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391</v>
      </c>
      <c r="B160">
        <v>2001</v>
      </c>
      <c r="C160" t="s">
        <v>381</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391</v>
      </c>
      <c r="B161">
        <v>2000</v>
      </c>
      <c r="C161" t="s">
        <v>381</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392</v>
      </c>
      <c r="B162">
        <v>2015</v>
      </c>
      <c r="C162" t="s">
        <v>381</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392</v>
      </c>
      <c r="B163">
        <v>2014</v>
      </c>
      <c r="C163" t="s">
        <v>381</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392</v>
      </c>
      <c r="B164">
        <v>2013</v>
      </c>
      <c r="C164" t="s">
        <v>381</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392</v>
      </c>
      <c r="B165">
        <v>2012</v>
      </c>
      <c r="C165" t="s">
        <v>381</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392</v>
      </c>
      <c r="B166">
        <v>2011</v>
      </c>
      <c r="C166" t="s">
        <v>381</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392</v>
      </c>
      <c r="B167">
        <v>2010</v>
      </c>
      <c r="C167" t="s">
        <v>381</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392</v>
      </c>
      <c r="B168">
        <v>2009</v>
      </c>
      <c r="C168" t="s">
        <v>381</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392</v>
      </c>
      <c r="B169">
        <v>2008</v>
      </c>
      <c r="C169" t="s">
        <v>381</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392</v>
      </c>
      <c r="B170">
        <v>2007</v>
      </c>
      <c r="C170" t="s">
        <v>381</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392</v>
      </c>
      <c r="B171">
        <v>2006</v>
      </c>
      <c r="C171" t="s">
        <v>381</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392</v>
      </c>
      <c r="B172">
        <v>2005</v>
      </c>
      <c r="C172" t="s">
        <v>381</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392</v>
      </c>
      <c r="B173">
        <v>2004</v>
      </c>
      <c r="C173" t="s">
        <v>381</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392</v>
      </c>
      <c r="B174">
        <v>2003</v>
      </c>
      <c r="C174" t="s">
        <v>381</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392</v>
      </c>
      <c r="B175">
        <v>2002</v>
      </c>
      <c r="C175" t="s">
        <v>381</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392</v>
      </c>
      <c r="B176">
        <v>2001</v>
      </c>
      <c r="C176" t="s">
        <v>381</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392</v>
      </c>
      <c r="B177">
        <v>2000</v>
      </c>
      <c r="C177" t="s">
        <v>381</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393</v>
      </c>
      <c r="B178">
        <v>2015</v>
      </c>
      <c r="C178" t="s">
        <v>381</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393</v>
      </c>
      <c r="B179">
        <v>2014</v>
      </c>
      <c r="C179" t="s">
        <v>381</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393</v>
      </c>
      <c r="B180">
        <v>2013</v>
      </c>
      <c r="C180" t="s">
        <v>381</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393</v>
      </c>
      <c r="B181">
        <v>2012</v>
      </c>
      <c r="C181" t="s">
        <v>381</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393</v>
      </c>
      <c r="B182">
        <v>2011</v>
      </c>
      <c r="C182" t="s">
        <v>381</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393</v>
      </c>
      <c r="B183">
        <v>2010</v>
      </c>
      <c r="C183" t="s">
        <v>381</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393</v>
      </c>
      <c r="B184">
        <v>2009</v>
      </c>
      <c r="C184" t="s">
        <v>381</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393</v>
      </c>
      <c r="B185">
        <v>2008</v>
      </c>
      <c r="C185" t="s">
        <v>381</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393</v>
      </c>
      <c r="B186">
        <v>2007</v>
      </c>
      <c r="C186" t="s">
        <v>381</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393</v>
      </c>
      <c r="B187">
        <v>2006</v>
      </c>
      <c r="C187" t="s">
        <v>381</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393</v>
      </c>
      <c r="B188">
        <v>2005</v>
      </c>
      <c r="C188" t="s">
        <v>381</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393</v>
      </c>
      <c r="B189">
        <v>2004</v>
      </c>
      <c r="C189" t="s">
        <v>381</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393</v>
      </c>
      <c r="B190">
        <v>2003</v>
      </c>
      <c r="C190" t="s">
        <v>381</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393</v>
      </c>
      <c r="B191">
        <v>2002</v>
      </c>
      <c r="C191" t="s">
        <v>381</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393</v>
      </c>
      <c r="B192">
        <v>2001</v>
      </c>
      <c r="C192" t="s">
        <v>381</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393</v>
      </c>
      <c r="B193">
        <v>2000</v>
      </c>
      <c r="C193" t="s">
        <v>381</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394</v>
      </c>
      <c r="B194">
        <v>2015</v>
      </c>
      <c r="C194" t="s">
        <v>381</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394</v>
      </c>
      <c r="B195">
        <v>2014</v>
      </c>
      <c r="C195" t="s">
        <v>381</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394</v>
      </c>
      <c r="B196">
        <v>2013</v>
      </c>
      <c r="C196" t="s">
        <v>381</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394</v>
      </c>
      <c r="B197">
        <v>2012</v>
      </c>
      <c r="C197" t="s">
        <v>381</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394</v>
      </c>
      <c r="B198">
        <v>2011</v>
      </c>
      <c r="C198" t="s">
        <v>381</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394</v>
      </c>
      <c r="B199">
        <v>2010</v>
      </c>
      <c r="C199" t="s">
        <v>381</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394</v>
      </c>
      <c r="B200">
        <v>2009</v>
      </c>
      <c r="C200" t="s">
        <v>381</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394</v>
      </c>
      <c r="B201">
        <v>2008</v>
      </c>
      <c r="C201" t="s">
        <v>381</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394</v>
      </c>
      <c r="B202">
        <v>2007</v>
      </c>
      <c r="C202" t="s">
        <v>381</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394</v>
      </c>
      <c r="B203">
        <v>2006</v>
      </c>
      <c r="C203" t="s">
        <v>381</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394</v>
      </c>
      <c r="B204">
        <v>2005</v>
      </c>
      <c r="C204" t="s">
        <v>381</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394</v>
      </c>
      <c r="B205">
        <v>2004</v>
      </c>
      <c r="C205" t="s">
        <v>381</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394</v>
      </c>
      <c r="B206">
        <v>2003</v>
      </c>
      <c r="C206" t="s">
        <v>381</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394</v>
      </c>
      <c r="B207">
        <v>2002</v>
      </c>
      <c r="C207" t="s">
        <v>381</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394</v>
      </c>
      <c r="B208">
        <v>2001</v>
      </c>
      <c r="C208" t="s">
        <v>381</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394</v>
      </c>
      <c r="B209">
        <v>2000</v>
      </c>
      <c r="C209" t="s">
        <v>381</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395</v>
      </c>
      <c r="B210">
        <v>2015</v>
      </c>
      <c r="C210" t="s">
        <v>381</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395</v>
      </c>
      <c r="B211">
        <v>2014</v>
      </c>
      <c r="C211" t="s">
        <v>381</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395</v>
      </c>
      <c r="B212">
        <v>2013</v>
      </c>
      <c r="C212" t="s">
        <v>381</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395</v>
      </c>
      <c r="B213">
        <v>2012</v>
      </c>
      <c r="C213" t="s">
        <v>381</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395</v>
      </c>
      <c r="B214">
        <v>2011</v>
      </c>
      <c r="C214" t="s">
        <v>381</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395</v>
      </c>
      <c r="B215">
        <v>2010</v>
      </c>
      <c r="C215" t="s">
        <v>381</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395</v>
      </c>
      <c r="B216">
        <v>2009</v>
      </c>
      <c r="C216" t="s">
        <v>381</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395</v>
      </c>
      <c r="B217">
        <v>2008</v>
      </c>
      <c r="C217" t="s">
        <v>381</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395</v>
      </c>
      <c r="B218">
        <v>2007</v>
      </c>
      <c r="C218" t="s">
        <v>381</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395</v>
      </c>
      <c r="B219">
        <v>2006</v>
      </c>
      <c r="C219" t="s">
        <v>381</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395</v>
      </c>
      <c r="B220">
        <v>2005</v>
      </c>
      <c r="C220" t="s">
        <v>381</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395</v>
      </c>
      <c r="B221">
        <v>2004</v>
      </c>
      <c r="C221" t="s">
        <v>381</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395</v>
      </c>
      <c r="B222">
        <v>2003</v>
      </c>
      <c r="C222" t="s">
        <v>381</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395</v>
      </c>
      <c r="B223">
        <v>2002</v>
      </c>
      <c r="C223" t="s">
        <v>381</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395</v>
      </c>
      <c r="B224">
        <v>2001</v>
      </c>
      <c r="C224" t="s">
        <v>381</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395</v>
      </c>
      <c r="B225">
        <v>2000</v>
      </c>
      <c r="C225" t="s">
        <v>381</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396</v>
      </c>
      <c r="B226">
        <v>2015</v>
      </c>
      <c r="C226" t="s">
        <v>381</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396</v>
      </c>
      <c r="B227">
        <v>2014</v>
      </c>
      <c r="C227" t="s">
        <v>381</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396</v>
      </c>
      <c r="B228">
        <v>2013</v>
      </c>
      <c r="C228" t="s">
        <v>381</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396</v>
      </c>
      <c r="B229">
        <v>2012</v>
      </c>
      <c r="C229" t="s">
        <v>381</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396</v>
      </c>
      <c r="B230">
        <v>2011</v>
      </c>
      <c r="C230" t="s">
        <v>381</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396</v>
      </c>
      <c r="B231">
        <v>2010</v>
      </c>
      <c r="C231" t="s">
        <v>381</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396</v>
      </c>
      <c r="B232">
        <v>2009</v>
      </c>
      <c r="C232" t="s">
        <v>381</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396</v>
      </c>
      <c r="B233">
        <v>2008</v>
      </c>
      <c r="C233" t="s">
        <v>381</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396</v>
      </c>
      <c r="B234">
        <v>2007</v>
      </c>
      <c r="C234" t="s">
        <v>381</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396</v>
      </c>
      <c r="B235">
        <v>2006</v>
      </c>
      <c r="C235" t="s">
        <v>381</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396</v>
      </c>
      <c r="B236">
        <v>2005</v>
      </c>
      <c r="C236" t="s">
        <v>381</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396</v>
      </c>
      <c r="B237">
        <v>2004</v>
      </c>
      <c r="C237" t="s">
        <v>381</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396</v>
      </c>
      <c r="B238">
        <v>2003</v>
      </c>
      <c r="C238" t="s">
        <v>381</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396</v>
      </c>
      <c r="B239">
        <v>2002</v>
      </c>
      <c r="C239" t="s">
        <v>381</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396</v>
      </c>
      <c r="B240">
        <v>2001</v>
      </c>
      <c r="C240" t="s">
        <v>381</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396</v>
      </c>
      <c r="B241">
        <v>2000</v>
      </c>
      <c r="C241" t="s">
        <v>381</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397</v>
      </c>
      <c r="B242">
        <v>2015</v>
      </c>
      <c r="C242" t="s">
        <v>389</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397</v>
      </c>
      <c r="B243">
        <v>2014</v>
      </c>
      <c r="C243" t="s">
        <v>389</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397</v>
      </c>
      <c r="B244">
        <v>2013</v>
      </c>
      <c r="C244" t="s">
        <v>389</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397</v>
      </c>
      <c r="B245">
        <v>2012</v>
      </c>
      <c r="C245" t="s">
        <v>389</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397</v>
      </c>
      <c r="B246">
        <v>2011</v>
      </c>
      <c r="C246" t="s">
        <v>389</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397</v>
      </c>
      <c r="B247">
        <v>2010</v>
      </c>
      <c r="C247" t="s">
        <v>389</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397</v>
      </c>
      <c r="B248">
        <v>2009</v>
      </c>
      <c r="C248" t="s">
        <v>389</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397</v>
      </c>
      <c r="B249">
        <v>2008</v>
      </c>
      <c r="C249" t="s">
        <v>389</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397</v>
      </c>
      <c r="B250">
        <v>2007</v>
      </c>
      <c r="C250" t="s">
        <v>389</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397</v>
      </c>
      <c r="B251">
        <v>2006</v>
      </c>
      <c r="C251" t="s">
        <v>389</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397</v>
      </c>
      <c r="B252">
        <v>2005</v>
      </c>
      <c r="C252" t="s">
        <v>389</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397</v>
      </c>
      <c r="B253">
        <v>2004</v>
      </c>
      <c r="C253" t="s">
        <v>389</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397</v>
      </c>
      <c r="B254">
        <v>2003</v>
      </c>
      <c r="C254" t="s">
        <v>389</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397</v>
      </c>
      <c r="B255">
        <v>2002</v>
      </c>
      <c r="C255" t="s">
        <v>389</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397</v>
      </c>
      <c r="B256">
        <v>2001</v>
      </c>
      <c r="C256" t="s">
        <v>389</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397</v>
      </c>
      <c r="B257">
        <v>2000</v>
      </c>
      <c r="C257" t="s">
        <v>389</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398</v>
      </c>
      <c r="B258">
        <v>2015</v>
      </c>
      <c r="C258" t="s">
        <v>381</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398</v>
      </c>
      <c r="B259">
        <v>2014</v>
      </c>
      <c r="C259" t="s">
        <v>381</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398</v>
      </c>
      <c r="B260">
        <v>2013</v>
      </c>
      <c r="C260" t="s">
        <v>381</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398</v>
      </c>
      <c r="B261">
        <v>2012</v>
      </c>
      <c r="C261" t="s">
        <v>381</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398</v>
      </c>
      <c r="B262">
        <v>2011</v>
      </c>
      <c r="C262" t="s">
        <v>381</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398</v>
      </c>
      <c r="B263">
        <v>2010</v>
      </c>
      <c r="C263" t="s">
        <v>381</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398</v>
      </c>
      <c r="B264">
        <v>2009</v>
      </c>
      <c r="C264" t="s">
        <v>381</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398</v>
      </c>
      <c r="B265">
        <v>2008</v>
      </c>
      <c r="C265" t="s">
        <v>381</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398</v>
      </c>
      <c r="B266">
        <v>2007</v>
      </c>
      <c r="C266" t="s">
        <v>381</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398</v>
      </c>
      <c r="B267">
        <v>2006</v>
      </c>
      <c r="C267" t="s">
        <v>381</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398</v>
      </c>
      <c r="B268">
        <v>2005</v>
      </c>
      <c r="C268" t="s">
        <v>381</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398</v>
      </c>
      <c r="B269">
        <v>2004</v>
      </c>
      <c r="C269" t="s">
        <v>381</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398</v>
      </c>
      <c r="B270">
        <v>2003</v>
      </c>
      <c r="C270" t="s">
        <v>381</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398</v>
      </c>
      <c r="B271">
        <v>2002</v>
      </c>
      <c r="C271" t="s">
        <v>381</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398</v>
      </c>
      <c r="B272">
        <v>2001</v>
      </c>
      <c r="C272" t="s">
        <v>381</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398</v>
      </c>
      <c r="B273">
        <v>2000</v>
      </c>
      <c r="C273" t="s">
        <v>381</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399</v>
      </c>
      <c r="B274">
        <v>2015</v>
      </c>
      <c r="C274" t="s">
        <v>381</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399</v>
      </c>
      <c r="B275">
        <v>2014</v>
      </c>
      <c r="C275" t="s">
        <v>381</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399</v>
      </c>
      <c r="B276">
        <v>2013</v>
      </c>
      <c r="C276" t="s">
        <v>381</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399</v>
      </c>
      <c r="B277">
        <v>2012</v>
      </c>
      <c r="C277" t="s">
        <v>381</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399</v>
      </c>
      <c r="B278">
        <v>2011</v>
      </c>
      <c r="C278" t="s">
        <v>381</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399</v>
      </c>
      <c r="B279">
        <v>2010</v>
      </c>
      <c r="C279" t="s">
        <v>381</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399</v>
      </c>
      <c r="B280">
        <v>2009</v>
      </c>
      <c r="C280" t="s">
        <v>381</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399</v>
      </c>
      <c r="B281">
        <v>2008</v>
      </c>
      <c r="C281" t="s">
        <v>381</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399</v>
      </c>
      <c r="B282">
        <v>2007</v>
      </c>
      <c r="C282" t="s">
        <v>381</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399</v>
      </c>
      <c r="B283">
        <v>2006</v>
      </c>
      <c r="C283" t="s">
        <v>381</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399</v>
      </c>
      <c r="B284">
        <v>2005</v>
      </c>
      <c r="C284" t="s">
        <v>381</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399</v>
      </c>
      <c r="B285">
        <v>2004</v>
      </c>
      <c r="C285" t="s">
        <v>381</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399</v>
      </c>
      <c r="B286">
        <v>2003</v>
      </c>
      <c r="C286" t="s">
        <v>381</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399</v>
      </c>
      <c r="B287">
        <v>2002</v>
      </c>
      <c r="C287" t="s">
        <v>381</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399</v>
      </c>
      <c r="B288">
        <v>2001</v>
      </c>
      <c r="C288" t="s">
        <v>381</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399</v>
      </c>
      <c r="B289">
        <v>2000</v>
      </c>
      <c r="C289" t="s">
        <v>381</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400</v>
      </c>
      <c r="B290">
        <v>2015</v>
      </c>
      <c r="C290" t="s">
        <v>381</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400</v>
      </c>
      <c r="B291">
        <v>2014</v>
      </c>
      <c r="C291" t="s">
        <v>381</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400</v>
      </c>
      <c r="B292">
        <v>2013</v>
      </c>
      <c r="C292" t="s">
        <v>381</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400</v>
      </c>
      <c r="B293">
        <v>2012</v>
      </c>
      <c r="C293" t="s">
        <v>381</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400</v>
      </c>
      <c r="B294">
        <v>2011</v>
      </c>
      <c r="C294" t="s">
        <v>381</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400</v>
      </c>
      <c r="B295">
        <v>2010</v>
      </c>
      <c r="C295" t="s">
        <v>381</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400</v>
      </c>
      <c r="B296">
        <v>2009</v>
      </c>
      <c r="C296" t="s">
        <v>381</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400</v>
      </c>
      <c r="B297">
        <v>2008</v>
      </c>
      <c r="C297" t="s">
        <v>381</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400</v>
      </c>
      <c r="B298">
        <v>2007</v>
      </c>
      <c r="C298" t="s">
        <v>381</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400</v>
      </c>
      <c r="B299">
        <v>2006</v>
      </c>
      <c r="C299" t="s">
        <v>381</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400</v>
      </c>
      <c r="B300">
        <v>2005</v>
      </c>
      <c r="C300" t="s">
        <v>381</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400</v>
      </c>
      <c r="B301">
        <v>2004</v>
      </c>
      <c r="C301" t="s">
        <v>381</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400</v>
      </c>
      <c r="B302">
        <v>2003</v>
      </c>
      <c r="C302" t="s">
        <v>381</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400</v>
      </c>
      <c r="B303">
        <v>2002</v>
      </c>
      <c r="C303" t="s">
        <v>381</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400</v>
      </c>
      <c r="B304">
        <v>2001</v>
      </c>
      <c r="C304" t="s">
        <v>381</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400</v>
      </c>
      <c r="B305">
        <v>2000</v>
      </c>
      <c r="C305" t="s">
        <v>381</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401</v>
      </c>
      <c r="B306">
        <v>2015</v>
      </c>
      <c r="C306" t="s">
        <v>381</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401</v>
      </c>
      <c r="B307">
        <v>2014</v>
      </c>
      <c r="C307" t="s">
        <v>381</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401</v>
      </c>
      <c r="B308">
        <v>2013</v>
      </c>
      <c r="C308" t="s">
        <v>381</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401</v>
      </c>
      <c r="B309">
        <v>2012</v>
      </c>
      <c r="C309" t="s">
        <v>381</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401</v>
      </c>
      <c r="B310">
        <v>2011</v>
      </c>
      <c r="C310" t="s">
        <v>381</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401</v>
      </c>
      <c r="B311">
        <v>2010</v>
      </c>
      <c r="C311" t="s">
        <v>381</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401</v>
      </c>
      <c r="B312">
        <v>2009</v>
      </c>
      <c r="C312" t="s">
        <v>381</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401</v>
      </c>
      <c r="B313">
        <v>2008</v>
      </c>
      <c r="C313" t="s">
        <v>381</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401</v>
      </c>
      <c r="B314">
        <v>2007</v>
      </c>
      <c r="C314" t="s">
        <v>381</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401</v>
      </c>
      <c r="B315">
        <v>2006</v>
      </c>
      <c r="C315" t="s">
        <v>381</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401</v>
      </c>
      <c r="B316">
        <v>2005</v>
      </c>
      <c r="C316" t="s">
        <v>381</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401</v>
      </c>
      <c r="B317">
        <v>2004</v>
      </c>
      <c r="C317" t="s">
        <v>381</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401</v>
      </c>
      <c r="B318">
        <v>2003</v>
      </c>
      <c r="C318" t="s">
        <v>381</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401</v>
      </c>
      <c r="B319">
        <v>2002</v>
      </c>
      <c r="C319" t="s">
        <v>381</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401</v>
      </c>
      <c r="B320">
        <v>2001</v>
      </c>
      <c r="C320" t="s">
        <v>381</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401</v>
      </c>
      <c r="B321">
        <v>2000</v>
      </c>
      <c r="C321" t="s">
        <v>381</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402</v>
      </c>
      <c r="B322">
        <v>2015</v>
      </c>
      <c r="C322" t="s">
        <v>381</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402</v>
      </c>
      <c r="B323">
        <v>2014</v>
      </c>
      <c r="C323" t="s">
        <v>381</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402</v>
      </c>
      <c r="B324">
        <v>2013</v>
      </c>
      <c r="C324" t="s">
        <v>381</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402</v>
      </c>
      <c r="B325">
        <v>2012</v>
      </c>
      <c r="C325" t="s">
        <v>381</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402</v>
      </c>
      <c r="B326">
        <v>2011</v>
      </c>
      <c r="C326" t="s">
        <v>381</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402</v>
      </c>
      <c r="B327">
        <v>2010</v>
      </c>
      <c r="C327" t="s">
        <v>381</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402</v>
      </c>
      <c r="B328">
        <v>2009</v>
      </c>
      <c r="C328" t="s">
        <v>381</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402</v>
      </c>
      <c r="B329">
        <v>2008</v>
      </c>
      <c r="C329" t="s">
        <v>381</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402</v>
      </c>
      <c r="B330">
        <v>2007</v>
      </c>
      <c r="C330" t="s">
        <v>381</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402</v>
      </c>
      <c r="B331">
        <v>2006</v>
      </c>
      <c r="C331" t="s">
        <v>381</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402</v>
      </c>
      <c r="B332">
        <v>2005</v>
      </c>
      <c r="C332" t="s">
        <v>381</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402</v>
      </c>
      <c r="B333">
        <v>2004</v>
      </c>
      <c r="C333" t="s">
        <v>381</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402</v>
      </c>
      <c r="B334">
        <v>2003</v>
      </c>
      <c r="C334" t="s">
        <v>381</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402</v>
      </c>
      <c r="B335">
        <v>2002</v>
      </c>
      <c r="C335" t="s">
        <v>381</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402</v>
      </c>
      <c r="B336">
        <v>2001</v>
      </c>
      <c r="C336" t="s">
        <v>381</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402</v>
      </c>
      <c r="B337">
        <v>2000</v>
      </c>
      <c r="C337" t="s">
        <v>381</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403</v>
      </c>
      <c r="B338">
        <v>2015</v>
      </c>
      <c r="C338" t="s">
        <v>381</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403</v>
      </c>
      <c r="B339">
        <v>2014</v>
      </c>
      <c r="C339" t="s">
        <v>381</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403</v>
      </c>
      <c r="B340">
        <v>2013</v>
      </c>
      <c r="C340" t="s">
        <v>381</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403</v>
      </c>
      <c r="B341">
        <v>2012</v>
      </c>
      <c r="C341" t="s">
        <v>381</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403</v>
      </c>
      <c r="B342">
        <v>2011</v>
      </c>
      <c r="C342" t="s">
        <v>381</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403</v>
      </c>
      <c r="B343">
        <v>2010</v>
      </c>
      <c r="C343" t="s">
        <v>381</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403</v>
      </c>
      <c r="B344">
        <v>2009</v>
      </c>
      <c r="C344" t="s">
        <v>381</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403</v>
      </c>
      <c r="B345">
        <v>2008</v>
      </c>
      <c r="C345" t="s">
        <v>381</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403</v>
      </c>
      <c r="B346">
        <v>2007</v>
      </c>
      <c r="C346" t="s">
        <v>381</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403</v>
      </c>
      <c r="B347">
        <v>2006</v>
      </c>
      <c r="C347" t="s">
        <v>381</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403</v>
      </c>
      <c r="B348">
        <v>2005</v>
      </c>
      <c r="C348" t="s">
        <v>381</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403</v>
      </c>
      <c r="B349">
        <v>2004</v>
      </c>
      <c r="C349" t="s">
        <v>381</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403</v>
      </c>
      <c r="B350">
        <v>2003</v>
      </c>
      <c r="C350" t="s">
        <v>381</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403</v>
      </c>
      <c r="B351">
        <v>2002</v>
      </c>
      <c r="C351" t="s">
        <v>381</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403</v>
      </c>
      <c r="B352">
        <v>2001</v>
      </c>
      <c r="C352" t="s">
        <v>381</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403</v>
      </c>
      <c r="B353">
        <v>2000</v>
      </c>
      <c r="C353" t="s">
        <v>381</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404</v>
      </c>
      <c r="B354">
        <v>2015</v>
      </c>
      <c r="C354" t="s">
        <v>381</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404</v>
      </c>
      <c r="B355">
        <v>2014</v>
      </c>
      <c r="C355" t="s">
        <v>381</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404</v>
      </c>
      <c r="B356">
        <v>2013</v>
      </c>
      <c r="C356" t="s">
        <v>381</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404</v>
      </c>
      <c r="B357">
        <v>2012</v>
      </c>
      <c r="C357" t="s">
        <v>381</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404</v>
      </c>
      <c r="B358">
        <v>2011</v>
      </c>
      <c r="C358" t="s">
        <v>381</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404</v>
      </c>
      <c r="B359">
        <v>2010</v>
      </c>
      <c r="C359" t="s">
        <v>381</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404</v>
      </c>
      <c r="B360">
        <v>2009</v>
      </c>
      <c r="C360" t="s">
        <v>381</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404</v>
      </c>
      <c r="B361">
        <v>2008</v>
      </c>
      <c r="C361" t="s">
        <v>381</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404</v>
      </c>
      <c r="B362">
        <v>2007</v>
      </c>
      <c r="C362" t="s">
        <v>381</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404</v>
      </c>
      <c r="B363">
        <v>2006</v>
      </c>
      <c r="C363" t="s">
        <v>381</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404</v>
      </c>
      <c r="B364">
        <v>2005</v>
      </c>
      <c r="C364" t="s">
        <v>381</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404</v>
      </c>
      <c r="B365">
        <v>2004</v>
      </c>
      <c r="C365" t="s">
        <v>381</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404</v>
      </c>
      <c r="B366">
        <v>2003</v>
      </c>
      <c r="C366" t="s">
        <v>381</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404</v>
      </c>
      <c r="B367">
        <v>2002</v>
      </c>
      <c r="C367" t="s">
        <v>381</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404</v>
      </c>
      <c r="B368">
        <v>2001</v>
      </c>
      <c r="C368" t="s">
        <v>381</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404</v>
      </c>
      <c r="B369">
        <v>2000</v>
      </c>
      <c r="C369" t="s">
        <v>381</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405</v>
      </c>
      <c r="B370">
        <v>2015</v>
      </c>
      <c r="C370" t="s">
        <v>381</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405</v>
      </c>
      <c r="B371">
        <v>2014</v>
      </c>
      <c r="C371" t="s">
        <v>381</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405</v>
      </c>
      <c r="B372">
        <v>2013</v>
      </c>
      <c r="C372" t="s">
        <v>381</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405</v>
      </c>
      <c r="B373">
        <v>2012</v>
      </c>
      <c r="C373" t="s">
        <v>381</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405</v>
      </c>
      <c r="B374">
        <v>2011</v>
      </c>
      <c r="C374" t="s">
        <v>381</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405</v>
      </c>
      <c r="B375">
        <v>2010</v>
      </c>
      <c r="C375" t="s">
        <v>381</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405</v>
      </c>
      <c r="B376">
        <v>2009</v>
      </c>
      <c r="C376" t="s">
        <v>381</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405</v>
      </c>
      <c r="B377">
        <v>2008</v>
      </c>
      <c r="C377" t="s">
        <v>381</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405</v>
      </c>
      <c r="B378">
        <v>2007</v>
      </c>
      <c r="C378" t="s">
        <v>381</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405</v>
      </c>
      <c r="B379">
        <v>2006</v>
      </c>
      <c r="C379" t="s">
        <v>381</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405</v>
      </c>
      <c r="B380">
        <v>2005</v>
      </c>
      <c r="C380" t="s">
        <v>381</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405</v>
      </c>
      <c r="B381">
        <v>2004</v>
      </c>
      <c r="C381" t="s">
        <v>381</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405</v>
      </c>
      <c r="B382">
        <v>2003</v>
      </c>
      <c r="C382" t="s">
        <v>381</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405</v>
      </c>
      <c r="B383">
        <v>2002</v>
      </c>
      <c r="C383" t="s">
        <v>381</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405</v>
      </c>
      <c r="B384">
        <v>2001</v>
      </c>
      <c r="C384" t="s">
        <v>381</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405</v>
      </c>
      <c r="B385">
        <v>2000</v>
      </c>
      <c r="C385" t="s">
        <v>381</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406</v>
      </c>
      <c r="B386">
        <v>2015</v>
      </c>
      <c r="C386" t="s">
        <v>389</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406</v>
      </c>
      <c r="B387">
        <v>2014</v>
      </c>
      <c r="C387" t="s">
        <v>389</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406</v>
      </c>
      <c r="B388">
        <v>2013</v>
      </c>
      <c r="C388" t="s">
        <v>389</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406</v>
      </c>
      <c r="B389">
        <v>2012</v>
      </c>
      <c r="C389" t="s">
        <v>389</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406</v>
      </c>
      <c r="B390">
        <v>2011</v>
      </c>
      <c r="C390" t="s">
        <v>389</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406</v>
      </c>
      <c r="B391">
        <v>2010</v>
      </c>
      <c r="C391" t="s">
        <v>389</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406</v>
      </c>
      <c r="B392">
        <v>2009</v>
      </c>
      <c r="C392" t="s">
        <v>389</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406</v>
      </c>
      <c r="B393">
        <v>2008</v>
      </c>
      <c r="C393" t="s">
        <v>389</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406</v>
      </c>
      <c r="B394">
        <v>2007</v>
      </c>
      <c r="C394" t="s">
        <v>389</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406</v>
      </c>
      <c r="B395">
        <v>2006</v>
      </c>
      <c r="C395" t="s">
        <v>389</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406</v>
      </c>
      <c r="B396">
        <v>2005</v>
      </c>
      <c r="C396" t="s">
        <v>389</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406</v>
      </c>
      <c r="B397">
        <v>2004</v>
      </c>
      <c r="C397" t="s">
        <v>389</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406</v>
      </c>
      <c r="B398">
        <v>2003</v>
      </c>
      <c r="C398" t="s">
        <v>389</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406</v>
      </c>
      <c r="B399">
        <v>2002</v>
      </c>
      <c r="C399" t="s">
        <v>389</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406</v>
      </c>
      <c r="B400">
        <v>2001</v>
      </c>
      <c r="C400" t="s">
        <v>389</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406</v>
      </c>
      <c r="B401">
        <v>2000</v>
      </c>
      <c r="C401" t="s">
        <v>389</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407</v>
      </c>
      <c r="B402">
        <v>2015</v>
      </c>
      <c r="C402" t="s">
        <v>381</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407</v>
      </c>
      <c r="B403">
        <v>2014</v>
      </c>
      <c r="C403" t="s">
        <v>381</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407</v>
      </c>
      <c r="B404">
        <v>2013</v>
      </c>
      <c r="C404" t="s">
        <v>381</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407</v>
      </c>
      <c r="B405">
        <v>2012</v>
      </c>
      <c r="C405" t="s">
        <v>381</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407</v>
      </c>
      <c r="B406">
        <v>2011</v>
      </c>
      <c r="C406" t="s">
        <v>381</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407</v>
      </c>
      <c r="B407">
        <v>2010</v>
      </c>
      <c r="C407" t="s">
        <v>381</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407</v>
      </c>
      <c r="B408">
        <v>2009</v>
      </c>
      <c r="C408" t="s">
        <v>381</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407</v>
      </c>
      <c r="B409">
        <v>2008</v>
      </c>
      <c r="C409" t="s">
        <v>381</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407</v>
      </c>
      <c r="B410">
        <v>2007</v>
      </c>
      <c r="C410" t="s">
        <v>381</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407</v>
      </c>
      <c r="B411">
        <v>2006</v>
      </c>
      <c r="C411" t="s">
        <v>381</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407</v>
      </c>
      <c r="B412">
        <v>2005</v>
      </c>
      <c r="C412" t="s">
        <v>381</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407</v>
      </c>
      <c r="B413">
        <v>2004</v>
      </c>
      <c r="C413" t="s">
        <v>381</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407</v>
      </c>
      <c r="B414">
        <v>2003</v>
      </c>
      <c r="C414" t="s">
        <v>381</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407</v>
      </c>
      <c r="B415">
        <v>2002</v>
      </c>
      <c r="C415" t="s">
        <v>381</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407</v>
      </c>
      <c r="B416">
        <v>2001</v>
      </c>
      <c r="C416" t="s">
        <v>381</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407</v>
      </c>
      <c r="B417">
        <v>2000</v>
      </c>
      <c r="C417" t="s">
        <v>381</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408</v>
      </c>
      <c r="B418">
        <v>2015</v>
      </c>
      <c r="C418" t="s">
        <v>381</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408</v>
      </c>
      <c r="B419">
        <v>2014</v>
      </c>
      <c r="C419" t="s">
        <v>381</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408</v>
      </c>
      <c r="B420">
        <v>2013</v>
      </c>
      <c r="C420" t="s">
        <v>381</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408</v>
      </c>
      <c r="B421">
        <v>2012</v>
      </c>
      <c r="C421" t="s">
        <v>381</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408</v>
      </c>
      <c r="B422">
        <v>2011</v>
      </c>
      <c r="C422" t="s">
        <v>381</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408</v>
      </c>
      <c r="B423">
        <v>2010</v>
      </c>
      <c r="C423" t="s">
        <v>381</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408</v>
      </c>
      <c r="B424">
        <v>2009</v>
      </c>
      <c r="C424" t="s">
        <v>381</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408</v>
      </c>
      <c r="B425">
        <v>2008</v>
      </c>
      <c r="C425" t="s">
        <v>381</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408</v>
      </c>
      <c r="B426">
        <v>2007</v>
      </c>
      <c r="C426" t="s">
        <v>381</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408</v>
      </c>
      <c r="B427">
        <v>2006</v>
      </c>
      <c r="C427" t="s">
        <v>381</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408</v>
      </c>
      <c r="B428">
        <v>2005</v>
      </c>
      <c r="C428" t="s">
        <v>381</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408</v>
      </c>
      <c r="B429">
        <v>2004</v>
      </c>
      <c r="C429" t="s">
        <v>381</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408</v>
      </c>
      <c r="B430">
        <v>2003</v>
      </c>
      <c r="C430" t="s">
        <v>381</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408</v>
      </c>
      <c r="B431">
        <v>2002</v>
      </c>
      <c r="C431" t="s">
        <v>381</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408</v>
      </c>
      <c r="B432">
        <v>2001</v>
      </c>
      <c r="C432" t="s">
        <v>381</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408</v>
      </c>
      <c r="B433">
        <v>2000</v>
      </c>
      <c r="C433" t="s">
        <v>381</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409</v>
      </c>
      <c r="B434">
        <v>2015</v>
      </c>
      <c r="C434" t="s">
        <v>381</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409</v>
      </c>
      <c r="B435">
        <v>2014</v>
      </c>
      <c r="C435" t="s">
        <v>381</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409</v>
      </c>
      <c r="B436">
        <v>2013</v>
      </c>
      <c r="C436" t="s">
        <v>381</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409</v>
      </c>
      <c r="B437">
        <v>2012</v>
      </c>
      <c r="C437" t="s">
        <v>381</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409</v>
      </c>
      <c r="B438">
        <v>2011</v>
      </c>
      <c r="C438" t="s">
        <v>381</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409</v>
      </c>
      <c r="B439">
        <v>2010</v>
      </c>
      <c r="C439" t="s">
        <v>381</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409</v>
      </c>
      <c r="B440">
        <v>2009</v>
      </c>
      <c r="C440" t="s">
        <v>381</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409</v>
      </c>
      <c r="B441">
        <v>2008</v>
      </c>
      <c r="C441" t="s">
        <v>381</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409</v>
      </c>
      <c r="B442">
        <v>2007</v>
      </c>
      <c r="C442" t="s">
        <v>381</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409</v>
      </c>
      <c r="B443">
        <v>2006</v>
      </c>
      <c r="C443" t="s">
        <v>381</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409</v>
      </c>
      <c r="B444">
        <v>2005</v>
      </c>
      <c r="C444" t="s">
        <v>381</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409</v>
      </c>
      <c r="B445">
        <v>2004</v>
      </c>
      <c r="C445" t="s">
        <v>381</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409</v>
      </c>
      <c r="B446">
        <v>2003</v>
      </c>
      <c r="C446" t="s">
        <v>381</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409</v>
      </c>
      <c r="B447">
        <v>2002</v>
      </c>
      <c r="C447" t="s">
        <v>381</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409</v>
      </c>
      <c r="B448">
        <v>2001</v>
      </c>
      <c r="C448" t="s">
        <v>381</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409</v>
      </c>
      <c r="B449">
        <v>2000</v>
      </c>
      <c r="C449" t="s">
        <v>381</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410</v>
      </c>
      <c r="B450">
        <v>2015</v>
      </c>
      <c r="C450" t="s">
        <v>381</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410</v>
      </c>
      <c r="B451">
        <v>2014</v>
      </c>
      <c r="C451" t="s">
        <v>381</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410</v>
      </c>
      <c r="B452">
        <v>2013</v>
      </c>
      <c r="C452" t="s">
        <v>381</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410</v>
      </c>
      <c r="B453">
        <v>2012</v>
      </c>
      <c r="C453" t="s">
        <v>381</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410</v>
      </c>
      <c r="B454">
        <v>2011</v>
      </c>
      <c r="C454" t="s">
        <v>381</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410</v>
      </c>
      <c r="B455">
        <v>2010</v>
      </c>
      <c r="C455" t="s">
        <v>381</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410</v>
      </c>
      <c r="B456">
        <v>2009</v>
      </c>
      <c r="C456" t="s">
        <v>381</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410</v>
      </c>
      <c r="B457">
        <v>2008</v>
      </c>
      <c r="C457" t="s">
        <v>381</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410</v>
      </c>
      <c r="B458">
        <v>2007</v>
      </c>
      <c r="C458" t="s">
        <v>381</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410</v>
      </c>
      <c r="B459">
        <v>2006</v>
      </c>
      <c r="C459" t="s">
        <v>381</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410</v>
      </c>
      <c r="B460">
        <v>2005</v>
      </c>
      <c r="C460" t="s">
        <v>381</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410</v>
      </c>
      <c r="B461">
        <v>2004</v>
      </c>
      <c r="C461" t="s">
        <v>381</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410</v>
      </c>
      <c r="B462">
        <v>2003</v>
      </c>
      <c r="C462" t="s">
        <v>381</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410</v>
      </c>
      <c r="B463">
        <v>2002</v>
      </c>
      <c r="C463" t="s">
        <v>381</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410</v>
      </c>
      <c r="B464">
        <v>2001</v>
      </c>
      <c r="C464" t="s">
        <v>381</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410</v>
      </c>
      <c r="B465">
        <v>2000</v>
      </c>
      <c r="C465" t="s">
        <v>381</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411</v>
      </c>
      <c r="B466">
        <v>2015</v>
      </c>
      <c r="C466" t="s">
        <v>381</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411</v>
      </c>
      <c r="B467">
        <v>2014</v>
      </c>
      <c r="C467" t="s">
        <v>381</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411</v>
      </c>
      <c r="B468">
        <v>2013</v>
      </c>
      <c r="C468" t="s">
        <v>381</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411</v>
      </c>
      <c r="B469">
        <v>2012</v>
      </c>
      <c r="C469" t="s">
        <v>381</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411</v>
      </c>
      <c r="B470">
        <v>2011</v>
      </c>
      <c r="C470" t="s">
        <v>381</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411</v>
      </c>
      <c r="B471">
        <v>2010</v>
      </c>
      <c r="C471" t="s">
        <v>381</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411</v>
      </c>
      <c r="B472">
        <v>2009</v>
      </c>
      <c r="C472" t="s">
        <v>381</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411</v>
      </c>
      <c r="B473">
        <v>2008</v>
      </c>
      <c r="C473" t="s">
        <v>381</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411</v>
      </c>
      <c r="B474">
        <v>2007</v>
      </c>
      <c r="C474" t="s">
        <v>381</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411</v>
      </c>
      <c r="B475">
        <v>2006</v>
      </c>
      <c r="C475" t="s">
        <v>381</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411</v>
      </c>
      <c r="B476">
        <v>2005</v>
      </c>
      <c r="C476" t="s">
        <v>381</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411</v>
      </c>
      <c r="B477">
        <v>2004</v>
      </c>
      <c r="C477" t="s">
        <v>381</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411</v>
      </c>
      <c r="B478">
        <v>2003</v>
      </c>
      <c r="C478" t="s">
        <v>381</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411</v>
      </c>
      <c r="B479">
        <v>2002</v>
      </c>
      <c r="C479" t="s">
        <v>381</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411</v>
      </c>
      <c r="B480">
        <v>2001</v>
      </c>
      <c r="C480" t="s">
        <v>381</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411</v>
      </c>
      <c r="B481">
        <v>2000</v>
      </c>
      <c r="C481" t="s">
        <v>381</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412</v>
      </c>
      <c r="B482">
        <v>2015</v>
      </c>
      <c r="C482" t="s">
        <v>381</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412</v>
      </c>
      <c r="B483">
        <v>2014</v>
      </c>
      <c r="C483" t="s">
        <v>381</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412</v>
      </c>
      <c r="B484">
        <v>2013</v>
      </c>
      <c r="C484" t="s">
        <v>381</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412</v>
      </c>
      <c r="B485">
        <v>2012</v>
      </c>
      <c r="C485" t="s">
        <v>381</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412</v>
      </c>
      <c r="B486">
        <v>2011</v>
      </c>
      <c r="C486" t="s">
        <v>381</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412</v>
      </c>
      <c r="B487">
        <v>2010</v>
      </c>
      <c r="C487" t="s">
        <v>381</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412</v>
      </c>
      <c r="B488">
        <v>2009</v>
      </c>
      <c r="C488" t="s">
        <v>381</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412</v>
      </c>
      <c r="B489">
        <v>2008</v>
      </c>
      <c r="C489" t="s">
        <v>381</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412</v>
      </c>
      <c r="B490">
        <v>2007</v>
      </c>
      <c r="C490" t="s">
        <v>381</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412</v>
      </c>
      <c r="B491">
        <v>2006</v>
      </c>
      <c r="C491" t="s">
        <v>381</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412</v>
      </c>
      <c r="B492">
        <v>2005</v>
      </c>
      <c r="C492" t="s">
        <v>381</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412</v>
      </c>
      <c r="B493">
        <v>2004</v>
      </c>
      <c r="C493" t="s">
        <v>381</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412</v>
      </c>
      <c r="B494">
        <v>2003</v>
      </c>
      <c r="C494" t="s">
        <v>381</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412</v>
      </c>
      <c r="B495">
        <v>2002</v>
      </c>
      <c r="C495" t="s">
        <v>381</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412</v>
      </c>
      <c r="B496">
        <v>2001</v>
      </c>
      <c r="C496" t="s">
        <v>381</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412</v>
      </c>
      <c r="B497">
        <v>2000</v>
      </c>
      <c r="C497" t="s">
        <v>381</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413</v>
      </c>
      <c r="B498">
        <v>2015</v>
      </c>
      <c r="C498" t="s">
        <v>381</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413</v>
      </c>
      <c r="B499">
        <v>2014</v>
      </c>
      <c r="C499" t="s">
        <v>381</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413</v>
      </c>
      <c r="B500">
        <v>2013</v>
      </c>
      <c r="C500" t="s">
        <v>381</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413</v>
      </c>
      <c r="B501">
        <v>2012</v>
      </c>
      <c r="C501" t="s">
        <v>381</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413</v>
      </c>
      <c r="B502">
        <v>2011</v>
      </c>
      <c r="C502" t="s">
        <v>381</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413</v>
      </c>
      <c r="B503">
        <v>2010</v>
      </c>
      <c r="C503" t="s">
        <v>381</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413</v>
      </c>
      <c r="B504">
        <v>2009</v>
      </c>
      <c r="C504" t="s">
        <v>381</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413</v>
      </c>
      <c r="B505">
        <v>2008</v>
      </c>
      <c r="C505" t="s">
        <v>381</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413</v>
      </c>
      <c r="B506">
        <v>2007</v>
      </c>
      <c r="C506" t="s">
        <v>381</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413</v>
      </c>
      <c r="B507">
        <v>2006</v>
      </c>
      <c r="C507" t="s">
        <v>381</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413</v>
      </c>
      <c r="B508">
        <v>2005</v>
      </c>
      <c r="C508" t="s">
        <v>381</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413</v>
      </c>
      <c r="B509">
        <v>2004</v>
      </c>
      <c r="C509" t="s">
        <v>381</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413</v>
      </c>
      <c r="B510">
        <v>2003</v>
      </c>
      <c r="C510" t="s">
        <v>381</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413</v>
      </c>
      <c r="B511">
        <v>2002</v>
      </c>
      <c r="C511" t="s">
        <v>381</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413</v>
      </c>
      <c r="B512">
        <v>2001</v>
      </c>
      <c r="C512" t="s">
        <v>381</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413</v>
      </c>
      <c r="B513">
        <v>2000</v>
      </c>
      <c r="C513" t="s">
        <v>381</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414</v>
      </c>
      <c r="B514">
        <v>2015</v>
      </c>
      <c r="C514" t="s">
        <v>381</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414</v>
      </c>
      <c r="B515">
        <v>2014</v>
      </c>
      <c r="C515" t="s">
        <v>381</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414</v>
      </c>
      <c r="B516">
        <v>2013</v>
      </c>
      <c r="C516" t="s">
        <v>381</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414</v>
      </c>
      <c r="B517">
        <v>2012</v>
      </c>
      <c r="C517" t="s">
        <v>381</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414</v>
      </c>
      <c r="B518">
        <v>2011</v>
      </c>
      <c r="C518" t="s">
        <v>381</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414</v>
      </c>
      <c r="B519">
        <v>2010</v>
      </c>
      <c r="C519" t="s">
        <v>381</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414</v>
      </c>
      <c r="B520">
        <v>2009</v>
      </c>
      <c r="C520" t="s">
        <v>381</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414</v>
      </c>
      <c r="B521">
        <v>2008</v>
      </c>
      <c r="C521" t="s">
        <v>381</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414</v>
      </c>
      <c r="B522">
        <v>2007</v>
      </c>
      <c r="C522" t="s">
        <v>381</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414</v>
      </c>
      <c r="B523">
        <v>2006</v>
      </c>
      <c r="C523" t="s">
        <v>381</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414</v>
      </c>
      <c r="B524">
        <v>2005</v>
      </c>
      <c r="C524" t="s">
        <v>381</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414</v>
      </c>
      <c r="B525">
        <v>2004</v>
      </c>
      <c r="C525" t="s">
        <v>381</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414</v>
      </c>
      <c r="B526">
        <v>2003</v>
      </c>
      <c r="C526" t="s">
        <v>381</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414</v>
      </c>
      <c r="B527">
        <v>2002</v>
      </c>
      <c r="C527" t="s">
        <v>381</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414</v>
      </c>
      <c r="B528">
        <v>2001</v>
      </c>
      <c r="C528" t="s">
        <v>381</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414</v>
      </c>
      <c r="B529">
        <v>2000</v>
      </c>
      <c r="C529" t="s">
        <v>381</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415</v>
      </c>
      <c r="B530">
        <v>2015</v>
      </c>
      <c r="C530" t="s">
        <v>381</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415</v>
      </c>
      <c r="B531">
        <v>2014</v>
      </c>
      <c r="C531" t="s">
        <v>381</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415</v>
      </c>
      <c r="B532">
        <v>2013</v>
      </c>
      <c r="C532" t="s">
        <v>381</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415</v>
      </c>
      <c r="B533">
        <v>2012</v>
      </c>
      <c r="C533" t="s">
        <v>381</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415</v>
      </c>
      <c r="B534">
        <v>2011</v>
      </c>
      <c r="C534" t="s">
        <v>381</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415</v>
      </c>
      <c r="B535">
        <v>2010</v>
      </c>
      <c r="C535" t="s">
        <v>381</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415</v>
      </c>
      <c r="B536">
        <v>2009</v>
      </c>
      <c r="C536" t="s">
        <v>381</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415</v>
      </c>
      <c r="B537">
        <v>2008</v>
      </c>
      <c r="C537" t="s">
        <v>381</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415</v>
      </c>
      <c r="B538">
        <v>2007</v>
      </c>
      <c r="C538" t="s">
        <v>381</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415</v>
      </c>
      <c r="B539">
        <v>2006</v>
      </c>
      <c r="C539" t="s">
        <v>381</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415</v>
      </c>
      <c r="B540">
        <v>2005</v>
      </c>
      <c r="C540" t="s">
        <v>381</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415</v>
      </c>
      <c r="B541">
        <v>2004</v>
      </c>
      <c r="C541" t="s">
        <v>381</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415</v>
      </c>
      <c r="B542">
        <v>2003</v>
      </c>
      <c r="C542" t="s">
        <v>381</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415</v>
      </c>
      <c r="B543">
        <v>2002</v>
      </c>
      <c r="C543" t="s">
        <v>381</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415</v>
      </c>
      <c r="B544">
        <v>2001</v>
      </c>
      <c r="C544" t="s">
        <v>381</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415</v>
      </c>
      <c r="B545">
        <v>2000</v>
      </c>
      <c r="C545" t="s">
        <v>381</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416</v>
      </c>
      <c r="B546">
        <v>2015</v>
      </c>
      <c r="C546" t="s">
        <v>381</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416</v>
      </c>
      <c r="B547">
        <v>2014</v>
      </c>
      <c r="C547" t="s">
        <v>381</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416</v>
      </c>
      <c r="B548">
        <v>2013</v>
      </c>
      <c r="C548" t="s">
        <v>381</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416</v>
      </c>
      <c r="B549">
        <v>2012</v>
      </c>
      <c r="C549" t="s">
        <v>381</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416</v>
      </c>
      <c r="B550">
        <v>2011</v>
      </c>
      <c r="C550" t="s">
        <v>381</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416</v>
      </c>
      <c r="B551">
        <v>2010</v>
      </c>
      <c r="C551" t="s">
        <v>381</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416</v>
      </c>
      <c r="B552">
        <v>2009</v>
      </c>
      <c r="C552" t="s">
        <v>381</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416</v>
      </c>
      <c r="B553">
        <v>2008</v>
      </c>
      <c r="C553" t="s">
        <v>381</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416</v>
      </c>
      <c r="B554">
        <v>2007</v>
      </c>
      <c r="C554" t="s">
        <v>381</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416</v>
      </c>
      <c r="B555">
        <v>2006</v>
      </c>
      <c r="C555" t="s">
        <v>381</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416</v>
      </c>
      <c r="B556">
        <v>2005</v>
      </c>
      <c r="C556" t="s">
        <v>381</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416</v>
      </c>
      <c r="B557">
        <v>2004</v>
      </c>
      <c r="C557" t="s">
        <v>381</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416</v>
      </c>
      <c r="B558">
        <v>2003</v>
      </c>
      <c r="C558" t="s">
        <v>381</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416</v>
      </c>
      <c r="B559">
        <v>2002</v>
      </c>
      <c r="C559" t="s">
        <v>381</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416</v>
      </c>
      <c r="B560">
        <v>2001</v>
      </c>
      <c r="C560" t="s">
        <v>381</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416</v>
      </c>
      <c r="B561">
        <v>2000</v>
      </c>
      <c r="C561" t="s">
        <v>381</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417</v>
      </c>
      <c r="B562">
        <v>2015</v>
      </c>
      <c r="C562" t="s">
        <v>381</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417</v>
      </c>
      <c r="B563">
        <v>2014</v>
      </c>
      <c r="C563" t="s">
        <v>381</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417</v>
      </c>
      <c r="B564">
        <v>2013</v>
      </c>
      <c r="C564" t="s">
        <v>381</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417</v>
      </c>
      <c r="B565">
        <v>2012</v>
      </c>
      <c r="C565" t="s">
        <v>381</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417</v>
      </c>
      <c r="B566">
        <v>2011</v>
      </c>
      <c r="C566" t="s">
        <v>381</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417</v>
      </c>
      <c r="B567">
        <v>2010</v>
      </c>
      <c r="C567" t="s">
        <v>381</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417</v>
      </c>
      <c r="B568">
        <v>2009</v>
      </c>
      <c r="C568" t="s">
        <v>381</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417</v>
      </c>
      <c r="B569">
        <v>2008</v>
      </c>
      <c r="C569" t="s">
        <v>381</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417</v>
      </c>
      <c r="B570">
        <v>2007</v>
      </c>
      <c r="C570" t="s">
        <v>381</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417</v>
      </c>
      <c r="B571">
        <v>2006</v>
      </c>
      <c r="C571" t="s">
        <v>381</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417</v>
      </c>
      <c r="B572">
        <v>2005</v>
      </c>
      <c r="C572" t="s">
        <v>381</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417</v>
      </c>
      <c r="B573">
        <v>2004</v>
      </c>
      <c r="C573" t="s">
        <v>381</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417</v>
      </c>
      <c r="B574">
        <v>2003</v>
      </c>
      <c r="C574" t="s">
        <v>381</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417</v>
      </c>
      <c r="B575">
        <v>2002</v>
      </c>
      <c r="C575" t="s">
        <v>381</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417</v>
      </c>
      <c r="B576">
        <v>2001</v>
      </c>
      <c r="C576" t="s">
        <v>381</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417</v>
      </c>
      <c r="B577">
        <v>2000</v>
      </c>
      <c r="C577" t="s">
        <v>381</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418</v>
      </c>
      <c r="B578">
        <v>2015</v>
      </c>
      <c r="C578" t="s">
        <v>381</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418</v>
      </c>
      <c r="B579">
        <v>2014</v>
      </c>
      <c r="C579" t="s">
        <v>381</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418</v>
      </c>
      <c r="B580">
        <v>2013</v>
      </c>
      <c r="C580" t="s">
        <v>381</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418</v>
      </c>
      <c r="B581">
        <v>2012</v>
      </c>
      <c r="C581" t="s">
        <v>381</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418</v>
      </c>
      <c r="B582">
        <v>2011</v>
      </c>
      <c r="C582" t="s">
        <v>381</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418</v>
      </c>
      <c r="B583">
        <v>2010</v>
      </c>
      <c r="C583" t="s">
        <v>381</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418</v>
      </c>
      <c r="B584">
        <v>2009</v>
      </c>
      <c r="C584" t="s">
        <v>381</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418</v>
      </c>
      <c r="B585">
        <v>2008</v>
      </c>
      <c r="C585" t="s">
        <v>381</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418</v>
      </c>
      <c r="B586">
        <v>2007</v>
      </c>
      <c r="C586" t="s">
        <v>381</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418</v>
      </c>
      <c r="B587">
        <v>2006</v>
      </c>
      <c r="C587" t="s">
        <v>381</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418</v>
      </c>
      <c r="B588">
        <v>2005</v>
      </c>
      <c r="C588" t="s">
        <v>381</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418</v>
      </c>
      <c r="B589">
        <v>2004</v>
      </c>
      <c r="C589" t="s">
        <v>381</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418</v>
      </c>
      <c r="B590">
        <v>2003</v>
      </c>
      <c r="C590" t="s">
        <v>381</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418</v>
      </c>
      <c r="B591">
        <v>2002</v>
      </c>
      <c r="C591" t="s">
        <v>381</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418</v>
      </c>
      <c r="B592">
        <v>2001</v>
      </c>
      <c r="C592" t="s">
        <v>381</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418</v>
      </c>
      <c r="B593">
        <v>2000</v>
      </c>
      <c r="C593" t="s">
        <v>381</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419</v>
      </c>
      <c r="B594">
        <v>2015</v>
      </c>
      <c r="C594" t="s">
        <v>381</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419</v>
      </c>
      <c r="B595">
        <v>2014</v>
      </c>
      <c r="C595" t="s">
        <v>381</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419</v>
      </c>
      <c r="B596">
        <v>2013</v>
      </c>
      <c r="C596" t="s">
        <v>381</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419</v>
      </c>
      <c r="B597">
        <v>2012</v>
      </c>
      <c r="C597" t="s">
        <v>381</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419</v>
      </c>
      <c r="B598">
        <v>2011</v>
      </c>
      <c r="C598" t="s">
        <v>381</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419</v>
      </c>
      <c r="B599">
        <v>2010</v>
      </c>
      <c r="C599" t="s">
        <v>381</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419</v>
      </c>
      <c r="B600">
        <v>2009</v>
      </c>
      <c r="C600" t="s">
        <v>381</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419</v>
      </c>
      <c r="B601">
        <v>2008</v>
      </c>
      <c r="C601" t="s">
        <v>381</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419</v>
      </c>
      <c r="B602">
        <v>2007</v>
      </c>
      <c r="C602" t="s">
        <v>381</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419</v>
      </c>
      <c r="B603">
        <v>2006</v>
      </c>
      <c r="C603" t="s">
        <v>381</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419</v>
      </c>
      <c r="B604">
        <v>2005</v>
      </c>
      <c r="C604" t="s">
        <v>381</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419</v>
      </c>
      <c r="B605">
        <v>2004</v>
      </c>
      <c r="C605" t="s">
        <v>381</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419</v>
      </c>
      <c r="B606">
        <v>2003</v>
      </c>
      <c r="C606" t="s">
        <v>381</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419</v>
      </c>
      <c r="B607">
        <v>2002</v>
      </c>
      <c r="C607" t="s">
        <v>381</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419</v>
      </c>
      <c r="B608">
        <v>2001</v>
      </c>
      <c r="C608" t="s">
        <v>381</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419</v>
      </c>
      <c r="B609">
        <v>2000</v>
      </c>
      <c r="C609" t="s">
        <v>381</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420</v>
      </c>
      <c r="B610">
        <v>2015</v>
      </c>
      <c r="C610" t="s">
        <v>381</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420</v>
      </c>
      <c r="B611">
        <v>2014</v>
      </c>
      <c r="C611" t="s">
        <v>381</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420</v>
      </c>
      <c r="B612">
        <v>2013</v>
      </c>
      <c r="C612" t="s">
        <v>381</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420</v>
      </c>
      <c r="B613">
        <v>2012</v>
      </c>
      <c r="C613" t="s">
        <v>381</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420</v>
      </c>
      <c r="B614">
        <v>2011</v>
      </c>
      <c r="C614" t="s">
        <v>381</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420</v>
      </c>
      <c r="B615">
        <v>2010</v>
      </c>
      <c r="C615" t="s">
        <v>381</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420</v>
      </c>
      <c r="B616">
        <v>2009</v>
      </c>
      <c r="C616" t="s">
        <v>381</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420</v>
      </c>
      <c r="B617">
        <v>2008</v>
      </c>
      <c r="C617" t="s">
        <v>381</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420</v>
      </c>
      <c r="B618">
        <v>2007</v>
      </c>
      <c r="C618" t="s">
        <v>381</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420</v>
      </c>
      <c r="B619">
        <v>2006</v>
      </c>
      <c r="C619" t="s">
        <v>381</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420</v>
      </c>
      <c r="B620">
        <v>2005</v>
      </c>
      <c r="C620" t="s">
        <v>381</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420</v>
      </c>
      <c r="B621">
        <v>2004</v>
      </c>
      <c r="C621" t="s">
        <v>381</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420</v>
      </c>
      <c r="B622">
        <v>2003</v>
      </c>
      <c r="C622" t="s">
        <v>381</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420</v>
      </c>
      <c r="B623">
        <v>2002</v>
      </c>
      <c r="C623" t="s">
        <v>381</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420</v>
      </c>
      <c r="B624">
        <v>2001</v>
      </c>
      <c r="C624" t="s">
        <v>381</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420</v>
      </c>
      <c r="B625">
        <v>2000</v>
      </c>
      <c r="C625" t="s">
        <v>381</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421</v>
      </c>
      <c r="B626">
        <v>2013</v>
      </c>
      <c r="C626" t="s">
        <v>381</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422</v>
      </c>
      <c r="B627">
        <v>2015</v>
      </c>
      <c r="C627" t="s">
        <v>381</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422</v>
      </c>
      <c r="B628">
        <v>2014</v>
      </c>
      <c r="C628" t="s">
        <v>381</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422</v>
      </c>
      <c r="B629">
        <v>2013</v>
      </c>
      <c r="C629" t="s">
        <v>381</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422</v>
      </c>
      <c r="B630">
        <v>2012</v>
      </c>
      <c r="C630" t="s">
        <v>381</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422</v>
      </c>
      <c r="B631">
        <v>2011</v>
      </c>
      <c r="C631" t="s">
        <v>381</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422</v>
      </c>
      <c r="B632">
        <v>2010</v>
      </c>
      <c r="C632" t="s">
        <v>381</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422</v>
      </c>
      <c r="B633">
        <v>2009</v>
      </c>
      <c r="C633" t="s">
        <v>381</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422</v>
      </c>
      <c r="B634">
        <v>2008</v>
      </c>
      <c r="C634" t="s">
        <v>381</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422</v>
      </c>
      <c r="B635">
        <v>2007</v>
      </c>
      <c r="C635" t="s">
        <v>381</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422</v>
      </c>
      <c r="B636">
        <v>2006</v>
      </c>
      <c r="C636" t="s">
        <v>381</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422</v>
      </c>
      <c r="B637">
        <v>2005</v>
      </c>
      <c r="C637" t="s">
        <v>381</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422</v>
      </c>
      <c r="B638">
        <v>2004</v>
      </c>
      <c r="C638" t="s">
        <v>381</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422</v>
      </c>
      <c r="B639">
        <v>2003</v>
      </c>
      <c r="C639" t="s">
        <v>381</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422</v>
      </c>
      <c r="B640">
        <v>2002</v>
      </c>
      <c r="C640" t="s">
        <v>381</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422</v>
      </c>
      <c r="B641">
        <v>2001</v>
      </c>
      <c r="C641" t="s">
        <v>381</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422</v>
      </c>
      <c r="B642">
        <v>2000</v>
      </c>
      <c r="C642" t="s">
        <v>381</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423</v>
      </c>
      <c r="B643">
        <v>2015</v>
      </c>
      <c r="C643" t="s">
        <v>389</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423</v>
      </c>
      <c r="B644">
        <v>2014</v>
      </c>
      <c r="C644" t="s">
        <v>389</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423</v>
      </c>
      <c r="B645">
        <v>2013</v>
      </c>
      <c r="C645" t="s">
        <v>389</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423</v>
      </c>
      <c r="B646">
        <v>2012</v>
      </c>
      <c r="C646" t="s">
        <v>389</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423</v>
      </c>
      <c r="B647">
        <v>2011</v>
      </c>
      <c r="C647" t="s">
        <v>389</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423</v>
      </c>
      <c r="B648">
        <v>2010</v>
      </c>
      <c r="C648" t="s">
        <v>389</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423</v>
      </c>
      <c r="B649">
        <v>2009</v>
      </c>
      <c r="C649" t="s">
        <v>389</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423</v>
      </c>
      <c r="B650">
        <v>2008</v>
      </c>
      <c r="C650" t="s">
        <v>389</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423</v>
      </c>
      <c r="B651">
        <v>2007</v>
      </c>
      <c r="C651" t="s">
        <v>389</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423</v>
      </c>
      <c r="B652">
        <v>2006</v>
      </c>
      <c r="C652" t="s">
        <v>389</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423</v>
      </c>
      <c r="B653">
        <v>2005</v>
      </c>
      <c r="C653" t="s">
        <v>389</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423</v>
      </c>
      <c r="B654">
        <v>2004</v>
      </c>
      <c r="C654" t="s">
        <v>389</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423</v>
      </c>
      <c r="B655">
        <v>2003</v>
      </c>
      <c r="C655" t="s">
        <v>389</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423</v>
      </c>
      <c r="B656">
        <v>2002</v>
      </c>
      <c r="C656" t="s">
        <v>389</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423</v>
      </c>
      <c r="B657">
        <v>2001</v>
      </c>
      <c r="C657" t="s">
        <v>389</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423</v>
      </c>
      <c r="B658">
        <v>2000</v>
      </c>
      <c r="C658" t="s">
        <v>389</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424</v>
      </c>
      <c r="B659">
        <v>2015</v>
      </c>
      <c r="C659" t="s">
        <v>381</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424</v>
      </c>
      <c r="B660">
        <v>2014</v>
      </c>
      <c r="C660" t="s">
        <v>381</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424</v>
      </c>
      <c r="B661">
        <v>2013</v>
      </c>
      <c r="C661" t="s">
        <v>381</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424</v>
      </c>
      <c r="B662">
        <v>2012</v>
      </c>
      <c r="C662" t="s">
        <v>381</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424</v>
      </c>
      <c r="B663">
        <v>2011</v>
      </c>
      <c r="C663" t="s">
        <v>381</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424</v>
      </c>
      <c r="B664">
        <v>2010</v>
      </c>
      <c r="C664" t="s">
        <v>381</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424</v>
      </c>
      <c r="B665">
        <v>2009</v>
      </c>
      <c r="C665" t="s">
        <v>381</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424</v>
      </c>
      <c r="B666">
        <v>2008</v>
      </c>
      <c r="C666" t="s">
        <v>381</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424</v>
      </c>
      <c r="B667">
        <v>2007</v>
      </c>
      <c r="C667" t="s">
        <v>381</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424</v>
      </c>
      <c r="B668">
        <v>2006</v>
      </c>
      <c r="C668" t="s">
        <v>381</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424</v>
      </c>
      <c r="B669">
        <v>2005</v>
      </c>
      <c r="C669" t="s">
        <v>381</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424</v>
      </c>
      <c r="B670">
        <v>2004</v>
      </c>
      <c r="C670" t="s">
        <v>381</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424</v>
      </c>
      <c r="B671">
        <v>2003</v>
      </c>
      <c r="C671" t="s">
        <v>381</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424</v>
      </c>
      <c r="B672">
        <v>2002</v>
      </c>
      <c r="C672" t="s">
        <v>381</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424</v>
      </c>
      <c r="B673">
        <v>2001</v>
      </c>
      <c r="C673" t="s">
        <v>381</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424</v>
      </c>
      <c r="B674">
        <v>2000</v>
      </c>
      <c r="C674" t="s">
        <v>381</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425</v>
      </c>
      <c r="B675">
        <v>2015</v>
      </c>
      <c r="C675" t="s">
        <v>389</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425</v>
      </c>
      <c r="B676">
        <v>2014</v>
      </c>
      <c r="C676" t="s">
        <v>389</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425</v>
      </c>
      <c r="B677">
        <v>2013</v>
      </c>
      <c r="C677" t="s">
        <v>389</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425</v>
      </c>
      <c r="B678">
        <v>2012</v>
      </c>
      <c r="C678" t="s">
        <v>389</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425</v>
      </c>
      <c r="B679">
        <v>2011</v>
      </c>
      <c r="C679" t="s">
        <v>389</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425</v>
      </c>
      <c r="B680">
        <v>2010</v>
      </c>
      <c r="C680" t="s">
        <v>389</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425</v>
      </c>
      <c r="B681">
        <v>2009</v>
      </c>
      <c r="C681" t="s">
        <v>389</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425</v>
      </c>
      <c r="B682">
        <v>2008</v>
      </c>
      <c r="C682" t="s">
        <v>389</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425</v>
      </c>
      <c r="B683">
        <v>2007</v>
      </c>
      <c r="C683" t="s">
        <v>389</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425</v>
      </c>
      <c r="B684">
        <v>2006</v>
      </c>
      <c r="C684" t="s">
        <v>389</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425</v>
      </c>
      <c r="B685">
        <v>2005</v>
      </c>
      <c r="C685" t="s">
        <v>389</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425</v>
      </c>
      <c r="B686">
        <v>2004</v>
      </c>
      <c r="C686" t="s">
        <v>389</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425</v>
      </c>
      <c r="B687">
        <v>2003</v>
      </c>
      <c r="C687" t="s">
        <v>389</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425</v>
      </c>
      <c r="B688">
        <v>2002</v>
      </c>
      <c r="C688" t="s">
        <v>389</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425</v>
      </c>
      <c r="B689">
        <v>2001</v>
      </c>
      <c r="C689" t="s">
        <v>389</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425</v>
      </c>
      <c r="B690">
        <v>2000</v>
      </c>
      <c r="C690" t="s">
        <v>389</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426</v>
      </c>
      <c r="B691">
        <v>2015</v>
      </c>
      <c r="C691" t="s">
        <v>389</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426</v>
      </c>
      <c r="B692">
        <v>2014</v>
      </c>
      <c r="C692" t="s">
        <v>389</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426</v>
      </c>
      <c r="B693">
        <v>2013</v>
      </c>
      <c r="C693" t="s">
        <v>389</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426</v>
      </c>
      <c r="B694">
        <v>2012</v>
      </c>
      <c r="C694" t="s">
        <v>389</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426</v>
      </c>
      <c r="B695">
        <v>2011</v>
      </c>
      <c r="C695" t="s">
        <v>389</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426</v>
      </c>
      <c r="B696">
        <v>2010</v>
      </c>
      <c r="C696" t="s">
        <v>389</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426</v>
      </c>
      <c r="B697">
        <v>2009</v>
      </c>
      <c r="C697" t="s">
        <v>389</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426</v>
      </c>
      <c r="B698">
        <v>2008</v>
      </c>
      <c r="C698" t="s">
        <v>389</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426</v>
      </c>
      <c r="B699">
        <v>2007</v>
      </c>
      <c r="C699" t="s">
        <v>389</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426</v>
      </c>
      <c r="B700">
        <v>2006</v>
      </c>
      <c r="C700" t="s">
        <v>389</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426</v>
      </c>
      <c r="B701">
        <v>2005</v>
      </c>
      <c r="C701" t="s">
        <v>389</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426</v>
      </c>
      <c r="B702">
        <v>2004</v>
      </c>
      <c r="C702" t="s">
        <v>389</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426</v>
      </c>
      <c r="B703">
        <v>2003</v>
      </c>
      <c r="C703" t="s">
        <v>389</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426</v>
      </c>
      <c r="B704">
        <v>2002</v>
      </c>
      <c r="C704" t="s">
        <v>389</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426</v>
      </c>
      <c r="B705">
        <v>2001</v>
      </c>
      <c r="C705" t="s">
        <v>389</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426</v>
      </c>
      <c r="B706">
        <v>2000</v>
      </c>
      <c r="C706" t="s">
        <v>389</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427</v>
      </c>
      <c r="B707">
        <v>2015</v>
      </c>
      <c r="C707" t="s">
        <v>381</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427</v>
      </c>
      <c r="B708">
        <v>2014</v>
      </c>
      <c r="C708" t="s">
        <v>381</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427</v>
      </c>
      <c r="B709">
        <v>2013</v>
      </c>
      <c r="C709" t="s">
        <v>381</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427</v>
      </c>
      <c r="B710">
        <v>2012</v>
      </c>
      <c r="C710" t="s">
        <v>381</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427</v>
      </c>
      <c r="B711">
        <v>2011</v>
      </c>
      <c r="C711" t="s">
        <v>381</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427</v>
      </c>
      <c r="B712">
        <v>2010</v>
      </c>
      <c r="C712" t="s">
        <v>381</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427</v>
      </c>
      <c r="B713">
        <v>2009</v>
      </c>
      <c r="C713" t="s">
        <v>381</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427</v>
      </c>
      <c r="B714">
        <v>2008</v>
      </c>
      <c r="C714" t="s">
        <v>381</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427</v>
      </c>
      <c r="B715">
        <v>2007</v>
      </c>
      <c r="C715" t="s">
        <v>381</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427</v>
      </c>
      <c r="B716">
        <v>2006</v>
      </c>
      <c r="C716" t="s">
        <v>381</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427</v>
      </c>
      <c r="B717">
        <v>2005</v>
      </c>
      <c r="C717" t="s">
        <v>381</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427</v>
      </c>
      <c r="B718">
        <v>2004</v>
      </c>
      <c r="C718" t="s">
        <v>381</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427</v>
      </c>
      <c r="B719">
        <v>2003</v>
      </c>
      <c r="C719" t="s">
        <v>381</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427</v>
      </c>
      <c r="B720">
        <v>2002</v>
      </c>
      <c r="C720" t="s">
        <v>381</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427</v>
      </c>
      <c r="B721">
        <v>2001</v>
      </c>
      <c r="C721" t="s">
        <v>381</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427</v>
      </c>
      <c r="B722">
        <v>2000</v>
      </c>
      <c r="C722" t="s">
        <v>381</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428</v>
      </c>
      <c r="B723">
        <v>2015</v>
      </c>
      <c r="C723" t="s">
        <v>381</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428</v>
      </c>
      <c r="B724">
        <v>2014</v>
      </c>
      <c r="C724" t="s">
        <v>381</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428</v>
      </c>
      <c r="B725">
        <v>2013</v>
      </c>
      <c r="C725" t="s">
        <v>381</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428</v>
      </c>
      <c r="B726">
        <v>2012</v>
      </c>
      <c r="C726" t="s">
        <v>381</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428</v>
      </c>
      <c r="B727">
        <v>2011</v>
      </c>
      <c r="C727" t="s">
        <v>381</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428</v>
      </c>
      <c r="B728">
        <v>2010</v>
      </c>
      <c r="C728" t="s">
        <v>381</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428</v>
      </c>
      <c r="B729">
        <v>2009</v>
      </c>
      <c r="C729" t="s">
        <v>381</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428</v>
      </c>
      <c r="B730">
        <v>2008</v>
      </c>
      <c r="C730" t="s">
        <v>381</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428</v>
      </c>
      <c r="B731">
        <v>2007</v>
      </c>
      <c r="C731" t="s">
        <v>381</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428</v>
      </c>
      <c r="B732">
        <v>2006</v>
      </c>
      <c r="C732" t="s">
        <v>381</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428</v>
      </c>
      <c r="B733">
        <v>2005</v>
      </c>
      <c r="C733" t="s">
        <v>381</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428</v>
      </c>
      <c r="B734">
        <v>2004</v>
      </c>
      <c r="C734" t="s">
        <v>381</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428</v>
      </c>
      <c r="B735">
        <v>2003</v>
      </c>
      <c r="C735" t="s">
        <v>381</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428</v>
      </c>
      <c r="B736">
        <v>2002</v>
      </c>
      <c r="C736" t="s">
        <v>381</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428</v>
      </c>
      <c r="B737">
        <v>2001</v>
      </c>
      <c r="C737" t="s">
        <v>381</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428</v>
      </c>
      <c r="B738">
        <v>2000</v>
      </c>
      <c r="C738" t="s">
        <v>381</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429</v>
      </c>
      <c r="B739">
        <v>2015</v>
      </c>
      <c r="C739" t="s">
        <v>389</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429</v>
      </c>
      <c r="B740">
        <v>2014</v>
      </c>
      <c r="C740" t="s">
        <v>389</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429</v>
      </c>
      <c r="B741">
        <v>2013</v>
      </c>
      <c r="C741" t="s">
        <v>389</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429</v>
      </c>
      <c r="B742">
        <v>2012</v>
      </c>
      <c r="C742" t="s">
        <v>389</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429</v>
      </c>
      <c r="B743">
        <v>2011</v>
      </c>
      <c r="C743" t="s">
        <v>389</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429</v>
      </c>
      <c r="B744">
        <v>2010</v>
      </c>
      <c r="C744" t="s">
        <v>389</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429</v>
      </c>
      <c r="B745">
        <v>2009</v>
      </c>
      <c r="C745" t="s">
        <v>389</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429</v>
      </c>
      <c r="B746">
        <v>2008</v>
      </c>
      <c r="C746" t="s">
        <v>389</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429</v>
      </c>
      <c r="B747">
        <v>2007</v>
      </c>
      <c r="C747" t="s">
        <v>389</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429</v>
      </c>
      <c r="B748">
        <v>2006</v>
      </c>
      <c r="C748" t="s">
        <v>389</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429</v>
      </c>
      <c r="B749">
        <v>2005</v>
      </c>
      <c r="C749" t="s">
        <v>389</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429</v>
      </c>
      <c r="B750">
        <v>2004</v>
      </c>
      <c r="C750" t="s">
        <v>389</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429</v>
      </c>
      <c r="B751">
        <v>2003</v>
      </c>
      <c r="C751" t="s">
        <v>389</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429</v>
      </c>
      <c r="B752">
        <v>2002</v>
      </c>
      <c r="C752" t="s">
        <v>389</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429</v>
      </c>
      <c r="B753">
        <v>2001</v>
      </c>
      <c r="C753" t="s">
        <v>389</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429</v>
      </c>
      <c r="B754">
        <v>2000</v>
      </c>
      <c r="C754" t="s">
        <v>389</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430</v>
      </c>
      <c r="B755">
        <v>2015</v>
      </c>
      <c r="C755" t="s">
        <v>381</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430</v>
      </c>
      <c r="B756">
        <v>2014</v>
      </c>
      <c r="C756" t="s">
        <v>381</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430</v>
      </c>
      <c r="B757">
        <v>2013</v>
      </c>
      <c r="C757" t="s">
        <v>381</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430</v>
      </c>
      <c r="B758">
        <v>2012</v>
      </c>
      <c r="C758" t="s">
        <v>381</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430</v>
      </c>
      <c r="B759">
        <v>2011</v>
      </c>
      <c r="C759" t="s">
        <v>381</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430</v>
      </c>
      <c r="B760">
        <v>2010</v>
      </c>
      <c r="C760" t="s">
        <v>381</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430</v>
      </c>
      <c r="B761">
        <v>2009</v>
      </c>
      <c r="C761" t="s">
        <v>381</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430</v>
      </c>
      <c r="B762">
        <v>2008</v>
      </c>
      <c r="C762" t="s">
        <v>381</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430</v>
      </c>
      <c r="B763">
        <v>2007</v>
      </c>
      <c r="C763" t="s">
        <v>381</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430</v>
      </c>
      <c r="B764">
        <v>2006</v>
      </c>
      <c r="C764" t="s">
        <v>381</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430</v>
      </c>
      <c r="B765">
        <v>2005</v>
      </c>
      <c r="C765" t="s">
        <v>381</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430</v>
      </c>
      <c r="B766">
        <v>2004</v>
      </c>
      <c r="C766" t="s">
        <v>381</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430</v>
      </c>
      <c r="B767">
        <v>2003</v>
      </c>
      <c r="C767" t="s">
        <v>381</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430</v>
      </c>
      <c r="B768">
        <v>2002</v>
      </c>
      <c r="C768" t="s">
        <v>381</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430</v>
      </c>
      <c r="B769">
        <v>2001</v>
      </c>
      <c r="C769" t="s">
        <v>381</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430</v>
      </c>
      <c r="B770">
        <v>2000</v>
      </c>
      <c r="C770" t="s">
        <v>381</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431</v>
      </c>
      <c r="B771">
        <v>2013</v>
      </c>
      <c r="C771" t="s">
        <v>381</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432</v>
      </c>
      <c r="B772">
        <v>2015</v>
      </c>
      <c r="C772" t="s">
        <v>381</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432</v>
      </c>
      <c r="B773">
        <v>2014</v>
      </c>
      <c r="C773" t="s">
        <v>381</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432</v>
      </c>
      <c r="B774">
        <v>2013</v>
      </c>
      <c r="C774" t="s">
        <v>381</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432</v>
      </c>
      <c r="B775">
        <v>2012</v>
      </c>
      <c r="C775" t="s">
        <v>381</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432</v>
      </c>
      <c r="B776">
        <v>2011</v>
      </c>
      <c r="C776" t="s">
        <v>381</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432</v>
      </c>
      <c r="B777">
        <v>2010</v>
      </c>
      <c r="C777" t="s">
        <v>381</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432</v>
      </c>
      <c r="B778">
        <v>2009</v>
      </c>
      <c r="C778" t="s">
        <v>381</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432</v>
      </c>
      <c r="B779">
        <v>2008</v>
      </c>
      <c r="C779" t="s">
        <v>381</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432</v>
      </c>
      <c r="B780">
        <v>2007</v>
      </c>
      <c r="C780" t="s">
        <v>381</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432</v>
      </c>
      <c r="B781">
        <v>2006</v>
      </c>
      <c r="C781" t="s">
        <v>381</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432</v>
      </c>
      <c r="B782">
        <v>2005</v>
      </c>
      <c r="C782" t="s">
        <v>381</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432</v>
      </c>
      <c r="B783">
        <v>2004</v>
      </c>
      <c r="C783" t="s">
        <v>381</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432</v>
      </c>
      <c r="B784">
        <v>2003</v>
      </c>
      <c r="C784" t="s">
        <v>381</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432</v>
      </c>
      <c r="B785">
        <v>2002</v>
      </c>
      <c r="C785" t="s">
        <v>381</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432</v>
      </c>
      <c r="B786">
        <v>2001</v>
      </c>
      <c r="C786" t="s">
        <v>381</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432</v>
      </c>
      <c r="B787">
        <v>2000</v>
      </c>
      <c r="C787" t="s">
        <v>381</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433</v>
      </c>
      <c r="B788">
        <v>2015</v>
      </c>
      <c r="C788" t="s">
        <v>381</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433</v>
      </c>
      <c r="B789">
        <v>2014</v>
      </c>
      <c r="C789" t="s">
        <v>381</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433</v>
      </c>
      <c r="B790">
        <v>2013</v>
      </c>
      <c r="C790" t="s">
        <v>381</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433</v>
      </c>
      <c r="B791">
        <v>2012</v>
      </c>
      <c r="C791" t="s">
        <v>381</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433</v>
      </c>
      <c r="B792">
        <v>2011</v>
      </c>
      <c r="C792" t="s">
        <v>381</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433</v>
      </c>
      <c r="B793">
        <v>2010</v>
      </c>
      <c r="C793" t="s">
        <v>381</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433</v>
      </c>
      <c r="B794">
        <v>2009</v>
      </c>
      <c r="C794" t="s">
        <v>381</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433</v>
      </c>
      <c r="B795">
        <v>2008</v>
      </c>
      <c r="C795" t="s">
        <v>381</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433</v>
      </c>
      <c r="B796">
        <v>2007</v>
      </c>
      <c r="C796" t="s">
        <v>381</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433</v>
      </c>
      <c r="B797">
        <v>2006</v>
      </c>
      <c r="C797" t="s">
        <v>381</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433</v>
      </c>
      <c r="B798">
        <v>2005</v>
      </c>
      <c r="C798" t="s">
        <v>381</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433</v>
      </c>
      <c r="B799">
        <v>2004</v>
      </c>
      <c r="C799" t="s">
        <v>381</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433</v>
      </c>
      <c r="B800">
        <v>2003</v>
      </c>
      <c r="C800" t="s">
        <v>381</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433</v>
      </c>
      <c r="B801">
        <v>2002</v>
      </c>
      <c r="C801" t="s">
        <v>381</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433</v>
      </c>
      <c r="B802">
        <v>2001</v>
      </c>
      <c r="C802" t="s">
        <v>381</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433</v>
      </c>
      <c r="B803">
        <v>2000</v>
      </c>
      <c r="C803" t="s">
        <v>381</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434</v>
      </c>
      <c r="B804">
        <v>2015</v>
      </c>
      <c r="C804" t="s">
        <v>381</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434</v>
      </c>
      <c r="B805">
        <v>2014</v>
      </c>
      <c r="C805" t="s">
        <v>381</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434</v>
      </c>
      <c r="B806">
        <v>2013</v>
      </c>
      <c r="C806" t="s">
        <v>381</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434</v>
      </c>
      <c r="B807">
        <v>2012</v>
      </c>
      <c r="C807" t="s">
        <v>381</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434</v>
      </c>
      <c r="B808">
        <v>2011</v>
      </c>
      <c r="C808" t="s">
        <v>381</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434</v>
      </c>
      <c r="B809">
        <v>2010</v>
      </c>
      <c r="C809" t="s">
        <v>381</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434</v>
      </c>
      <c r="B810">
        <v>2009</v>
      </c>
      <c r="C810" t="s">
        <v>381</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434</v>
      </c>
      <c r="B811">
        <v>2008</v>
      </c>
      <c r="C811" t="s">
        <v>381</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434</v>
      </c>
      <c r="B812">
        <v>2007</v>
      </c>
      <c r="C812" t="s">
        <v>381</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434</v>
      </c>
      <c r="B813">
        <v>2006</v>
      </c>
      <c r="C813" t="s">
        <v>381</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434</v>
      </c>
      <c r="B814">
        <v>2005</v>
      </c>
      <c r="C814" t="s">
        <v>381</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434</v>
      </c>
      <c r="B815">
        <v>2004</v>
      </c>
      <c r="C815" t="s">
        <v>381</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434</v>
      </c>
      <c r="B816">
        <v>2003</v>
      </c>
      <c r="C816" t="s">
        <v>381</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434</v>
      </c>
      <c r="B817">
        <v>2002</v>
      </c>
      <c r="C817" t="s">
        <v>381</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434</v>
      </c>
      <c r="B818">
        <v>2001</v>
      </c>
      <c r="C818" t="s">
        <v>381</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434</v>
      </c>
      <c r="B819">
        <v>2000</v>
      </c>
      <c r="C819" t="s">
        <v>381</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435</v>
      </c>
      <c r="B820">
        <v>2015</v>
      </c>
      <c r="C820" t="s">
        <v>381</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435</v>
      </c>
      <c r="B821">
        <v>2014</v>
      </c>
      <c r="C821" t="s">
        <v>381</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435</v>
      </c>
      <c r="B822">
        <v>2013</v>
      </c>
      <c r="C822" t="s">
        <v>381</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435</v>
      </c>
      <c r="B823">
        <v>2012</v>
      </c>
      <c r="C823" t="s">
        <v>381</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435</v>
      </c>
      <c r="B824">
        <v>2011</v>
      </c>
      <c r="C824" t="s">
        <v>381</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435</v>
      </c>
      <c r="B825">
        <v>2010</v>
      </c>
      <c r="C825" t="s">
        <v>381</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435</v>
      </c>
      <c r="B826">
        <v>2009</v>
      </c>
      <c r="C826" t="s">
        <v>381</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435</v>
      </c>
      <c r="B827">
        <v>2008</v>
      </c>
      <c r="C827" t="s">
        <v>381</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435</v>
      </c>
      <c r="B828">
        <v>2007</v>
      </c>
      <c r="C828" t="s">
        <v>381</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435</v>
      </c>
      <c r="B829">
        <v>2006</v>
      </c>
      <c r="C829" t="s">
        <v>381</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435</v>
      </c>
      <c r="B830">
        <v>2005</v>
      </c>
      <c r="C830" t="s">
        <v>381</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435</v>
      </c>
      <c r="B831">
        <v>2004</v>
      </c>
      <c r="C831" t="s">
        <v>381</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435</v>
      </c>
      <c r="B832">
        <v>2003</v>
      </c>
      <c r="C832" t="s">
        <v>381</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435</v>
      </c>
      <c r="B833">
        <v>2002</v>
      </c>
      <c r="C833" t="s">
        <v>381</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435</v>
      </c>
      <c r="B834">
        <v>2001</v>
      </c>
      <c r="C834" t="s">
        <v>381</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435</v>
      </c>
      <c r="B835">
        <v>2000</v>
      </c>
      <c r="C835" t="s">
        <v>381</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436</v>
      </c>
      <c r="B836">
        <v>2015</v>
      </c>
      <c r="C836" t="s">
        <v>381</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436</v>
      </c>
      <c r="B837">
        <v>2014</v>
      </c>
      <c r="C837" t="s">
        <v>381</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436</v>
      </c>
      <c r="B838">
        <v>2013</v>
      </c>
      <c r="C838" t="s">
        <v>381</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436</v>
      </c>
      <c r="B839">
        <v>2012</v>
      </c>
      <c r="C839" t="s">
        <v>381</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436</v>
      </c>
      <c r="B840">
        <v>2011</v>
      </c>
      <c r="C840" t="s">
        <v>381</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436</v>
      </c>
      <c r="B841">
        <v>2010</v>
      </c>
      <c r="C841" t="s">
        <v>381</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436</v>
      </c>
      <c r="B842">
        <v>2009</v>
      </c>
      <c r="C842" t="s">
        <v>381</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436</v>
      </c>
      <c r="B843">
        <v>2008</v>
      </c>
      <c r="C843" t="s">
        <v>381</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436</v>
      </c>
      <c r="B844">
        <v>2007</v>
      </c>
      <c r="C844" t="s">
        <v>381</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436</v>
      </c>
      <c r="B845">
        <v>2006</v>
      </c>
      <c r="C845" t="s">
        <v>381</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436</v>
      </c>
      <c r="B846">
        <v>2005</v>
      </c>
      <c r="C846" t="s">
        <v>381</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436</v>
      </c>
      <c r="B847">
        <v>2004</v>
      </c>
      <c r="C847" t="s">
        <v>381</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436</v>
      </c>
      <c r="B848">
        <v>2003</v>
      </c>
      <c r="C848" t="s">
        <v>381</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436</v>
      </c>
      <c r="B849">
        <v>2002</v>
      </c>
      <c r="C849" t="s">
        <v>381</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436</v>
      </c>
      <c r="B850">
        <v>2001</v>
      </c>
      <c r="C850" t="s">
        <v>381</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436</v>
      </c>
      <c r="B851">
        <v>2000</v>
      </c>
      <c r="C851" t="s">
        <v>381</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437</v>
      </c>
      <c r="B852">
        <v>2015</v>
      </c>
      <c r="C852" t="s">
        <v>381</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437</v>
      </c>
      <c r="B853">
        <v>2014</v>
      </c>
      <c r="C853" t="s">
        <v>381</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437</v>
      </c>
      <c r="B854">
        <v>2013</v>
      </c>
      <c r="C854" t="s">
        <v>381</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437</v>
      </c>
      <c r="B855">
        <v>2012</v>
      </c>
      <c r="C855" t="s">
        <v>381</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437</v>
      </c>
      <c r="B856">
        <v>2011</v>
      </c>
      <c r="C856" t="s">
        <v>381</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437</v>
      </c>
      <c r="B857">
        <v>2010</v>
      </c>
      <c r="C857" t="s">
        <v>381</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437</v>
      </c>
      <c r="B858">
        <v>2009</v>
      </c>
      <c r="C858" t="s">
        <v>381</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437</v>
      </c>
      <c r="B859">
        <v>2008</v>
      </c>
      <c r="C859" t="s">
        <v>381</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437</v>
      </c>
      <c r="B860">
        <v>2007</v>
      </c>
      <c r="C860" t="s">
        <v>381</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437</v>
      </c>
      <c r="B861">
        <v>2006</v>
      </c>
      <c r="C861" t="s">
        <v>381</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437</v>
      </c>
      <c r="B862">
        <v>2005</v>
      </c>
      <c r="C862" t="s">
        <v>381</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437</v>
      </c>
      <c r="B863">
        <v>2004</v>
      </c>
      <c r="C863" t="s">
        <v>381</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437</v>
      </c>
      <c r="B864">
        <v>2003</v>
      </c>
      <c r="C864" t="s">
        <v>381</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437</v>
      </c>
      <c r="B865">
        <v>2002</v>
      </c>
      <c r="C865" t="s">
        <v>381</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437</v>
      </c>
      <c r="B866">
        <v>2001</v>
      </c>
      <c r="C866" t="s">
        <v>381</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437</v>
      </c>
      <c r="B867">
        <v>2000</v>
      </c>
      <c r="C867" t="s">
        <v>381</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438</v>
      </c>
      <c r="B868">
        <v>2015</v>
      </c>
      <c r="C868" t="s">
        <v>381</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438</v>
      </c>
      <c r="B869">
        <v>2014</v>
      </c>
      <c r="C869" t="s">
        <v>381</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438</v>
      </c>
      <c r="B870">
        <v>2013</v>
      </c>
      <c r="C870" t="s">
        <v>381</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438</v>
      </c>
      <c r="B871">
        <v>2012</v>
      </c>
      <c r="C871" t="s">
        <v>381</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438</v>
      </c>
      <c r="B872">
        <v>2011</v>
      </c>
      <c r="C872" t="s">
        <v>381</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438</v>
      </c>
      <c r="B873">
        <v>2010</v>
      </c>
      <c r="C873" t="s">
        <v>381</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438</v>
      </c>
      <c r="B874">
        <v>2009</v>
      </c>
      <c r="C874" t="s">
        <v>381</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438</v>
      </c>
      <c r="B875">
        <v>2008</v>
      </c>
      <c r="C875" t="s">
        <v>381</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438</v>
      </c>
      <c r="B876">
        <v>2007</v>
      </c>
      <c r="C876" t="s">
        <v>381</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438</v>
      </c>
      <c r="B877">
        <v>2006</v>
      </c>
      <c r="C877" t="s">
        <v>381</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438</v>
      </c>
      <c r="B878">
        <v>2005</v>
      </c>
      <c r="C878" t="s">
        <v>381</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438</v>
      </c>
      <c r="B879">
        <v>2004</v>
      </c>
      <c r="C879" t="s">
        <v>381</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438</v>
      </c>
      <c r="B880">
        <v>2003</v>
      </c>
      <c r="C880" t="s">
        <v>381</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438</v>
      </c>
      <c r="B881">
        <v>2002</v>
      </c>
      <c r="C881" t="s">
        <v>381</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438</v>
      </c>
      <c r="B882">
        <v>2001</v>
      </c>
      <c r="C882" t="s">
        <v>381</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438</v>
      </c>
      <c r="B883">
        <v>2000</v>
      </c>
      <c r="C883" t="s">
        <v>381</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439</v>
      </c>
      <c r="B884">
        <v>2015</v>
      </c>
      <c r="C884" t="s">
        <v>381</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439</v>
      </c>
      <c r="B885">
        <v>2014</v>
      </c>
      <c r="C885" t="s">
        <v>381</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439</v>
      </c>
      <c r="B886">
        <v>2013</v>
      </c>
      <c r="C886" t="s">
        <v>381</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439</v>
      </c>
      <c r="B887">
        <v>2012</v>
      </c>
      <c r="C887" t="s">
        <v>381</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439</v>
      </c>
      <c r="B888">
        <v>2011</v>
      </c>
      <c r="C888" t="s">
        <v>381</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439</v>
      </c>
      <c r="B889">
        <v>2010</v>
      </c>
      <c r="C889" t="s">
        <v>381</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439</v>
      </c>
      <c r="B890">
        <v>2009</v>
      </c>
      <c r="C890" t="s">
        <v>381</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439</v>
      </c>
      <c r="B891">
        <v>2008</v>
      </c>
      <c r="C891" t="s">
        <v>381</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439</v>
      </c>
      <c r="B892">
        <v>2007</v>
      </c>
      <c r="C892" t="s">
        <v>381</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439</v>
      </c>
      <c r="B893">
        <v>2006</v>
      </c>
      <c r="C893" t="s">
        <v>381</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439</v>
      </c>
      <c r="B894">
        <v>2005</v>
      </c>
      <c r="C894" t="s">
        <v>381</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439</v>
      </c>
      <c r="B895">
        <v>2004</v>
      </c>
      <c r="C895" t="s">
        <v>381</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439</v>
      </c>
      <c r="B896">
        <v>2003</v>
      </c>
      <c r="C896" t="s">
        <v>381</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439</v>
      </c>
      <c r="B897">
        <v>2002</v>
      </c>
      <c r="C897" t="s">
        <v>381</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439</v>
      </c>
      <c r="B898">
        <v>2001</v>
      </c>
      <c r="C898" t="s">
        <v>381</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439</v>
      </c>
      <c r="B899">
        <v>2000</v>
      </c>
      <c r="C899" t="s">
        <v>381</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440</v>
      </c>
      <c r="B900">
        <v>2015</v>
      </c>
      <c r="C900" t="s">
        <v>381</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440</v>
      </c>
      <c r="B901">
        <v>2014</v>
      </c>
      <c r="C901" t="s">
        <v>381</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440</v>
      </c>
      <c r="B902">
        <v>2013</v>
      </c>
      <c r="C902" t="s">
        <v>381</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440</v>
      </c>
      <c r="B903">
        <v>2012</v>
      </c>
      <c r="C903" t="s">
        <v>381</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440</v>
      </c>
      <c r="B904">
        <v>2011</v>
      </c>
      <c r="C904" t="s">
        <v>381</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440</v>
      </c>
      <c r="B905">
        <v>2010</v>
      </c>
      <c r="C905" t="s">
        <v>381</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440</v>
      </c>
      <c r="B906">
        <v>2009</v>
      </c>
      <c r="C906" t="s">
        <v>381</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440</v>
      </c>
      <c r="B907">
        <v>2008</v>
      </c>
      <c r="C907" t="s">
        <v>381</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440</v>
      </c>
      <c r="B908">
        <v>2007</v>
      </c>
      <c r="C908" t="s">
        <v>381</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440</v>
      </c>
      <c r="B909">
        <v>2006</v>
      </c>
      <c r="C909" t="s">
        <v>381</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440</v>
      </c>
      <c r="B910">
        <v>2005</v>
      </c>
      <c r="C910" t="s">
        <v>381</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440</v>
      </c>
      <c r="B911">
        <v>2004</v>
      </c>
      <c r="C911" t="s">
        <v>381</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440</v>
      </c>
      <c r="B912">
        <v>2003</v>
      </c>
      <c r="C912" t="s">
        <v>381</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440</v>
      </c>
      <c r="B913">
        <v>2002</v>
      </c>
      <c r="C913" t="s">
        <v>381</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440</v>
      </c>
      <c r="B914">
        <v>2001</v>
      </c>
      <c r="C914" t="s">
        <v>381</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440</v>
      </c>
      <c r="B915">
        <v>2000</v>
      </c>
      <c r="C915" t="s">
        <v>381</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441</v>
      </c>
      <c r="B916">
        <v>2015</v>
      </c>
      <c r="C916" t="s">
        <v>381</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441</v>
      </c>
      <c r="B917">
        <v>2014</v>
      </c>
      <c r="C917" t="s">
        <v>381</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441</v>
      </c>
      <c r="B918">
        <v>2013</v>
      </c>
      <c r="C918" t="s">
        <v>381</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441</v>
      </c>
      <c r="B919">
        <v>2012</v>
      </c>
      <c r="C919" t="s">
        <v>381</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441</v>
      </c>
      <c r="B920">
        <v>2011</v>
      </c>
      <c r="C920" t="s">
        <v>381</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441</v>
      </c>
      <c r="B921">
        <v>2010</v>
      </c>
      <c r="C921" t="s">
        <v>381</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441</v>
      </c>
      <c r="B922">
        <v>2009</v>
      </c>
      <c r="C922" t="s">
        <v>381</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441</v>
      </c>
      <c r="B923">
        <v>2008</v>
      </c>
      <c r="C923" t="s">
        <v>381</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441</v>
      </c>
      <c r="B924">
        <v>2007</v>
      </c>
      <c r="C924" t="s">
        <v>381</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441</v>
      </c>
      <c r="B925">
        <v>2006</v>
      </c>
      <c r="C925" t="s">
        <v>381</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441</v>
      </c>
      <c r="B926">
        <v>2005</v>
      </c>
      <c r="C926" t="s">
        <v>381</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441</v>
      </c>
      <c r="B927">
        <v>2004</v>
      </c>
      <c r="C927" t="s">
        <v>381</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441</v>
      </c>
      <c r="B928">
        <v>2003</v>
      </c>
      <c r="C928" t="s">
        <v>381</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441</v>
      </c>
      <c r="B929">
        <v>2002</v>
      </c>
      <c r="C929" t="s">
        <v>381</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441</v>
      </c>
      <c r="B930">
        <v>2001</v>
      </c>
      <c r="C930" t="s">
        <v>381</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441</v>
      </c>
      <c r="B931">
        <v>2000</v>
      </c>
      <c r="C931" t="s">
        <v>381</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442</v>
      </c>
      <c r="B932">
        <v>2015</v>
      </c>
      <c r="C932" t="s">
        <v>381</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442</v>
      </c>
      <c r="B933">
        <v>2014</v>
      </c>
      <c r="C933" t="s">
        <v>381</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442</v>
      </c>
      <c r="B934">
        <v>2013</v>
      </c>
      <c r="C934" t="s">
        <v>381</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442</v>
      </c>
      <c r="B935">
        <v>2012</v>
      </c>
      <c r="C935" t="s">
        <v>381</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442</v>
      </c>
      <c r="B936">
        <v>2011</v>
      </c>
      <c r="C936" t="s">
        <v>381</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442</v>
      </c>
      <c r="B937">
        <v>2010</v>
      </c>
      <c r="C937" t="s">
        <v>381</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442</v>
      </c>
      <c r="B938">
        <v>2009</v>
      </c>
      <c r="C938" t="s">
        <v>381</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442</v>
      </c>
      <c r="B939">
        <v>2008</v>
      </c>
      <c r="C939" t="s">
        <v>381</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442</v>
      </c>
      <c r="B940">
        <v>2007</v>
      </c>
      <c r="C940" t="s">
        <v>381</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442</v>
      </c>
      <c r="B941">
        <v>2006</v>
      </c>
      <c r="C941" t="s">
        <v>381</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442</v>
      </c>
      <c r="B942">
        <v>2005</v>
      </c>
      <c r="C942" t="s">
        <v>381</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442</v>
      </c>
      <c r="B943">
        <v>2004</v>
      </c>
      <c r="C943" t="s">
        <v>381</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442</v>
      </c>
      <c r="B944">
        <v>2003</v>
      </c>
      <c r="C944" t="s">
        <v>381</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442</v>
      </c>
      <c r="B945">
        <v>2002</v>
      </c>
      <c r="C945" t="s">
        <v>381</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442</v>
      </c>
      <c r="B946">
        <v>2001</v>
      </c>
      <c r="C946" t="s">
        <v>381</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442</v>
      </c>
      <c r="B947">
        <v>2000</v>
      </c>
      <c r="C947" t="s">
        <v>381</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443</v>
      </c>
      <c r="B948">
        <v>2015</v>
      </c>
      <c r="C948" t="s">
        <v>381</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443</v>
      </c>
      <c r="B949">
        <v>2014</v>
      </c>
      <c r="C949" t="s">
        <v>381</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443</v>
      </c>
      <c r="B950">
        <v>2013</v>
      </c>
      <c r="C950" t="s">
        <v>381</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443</v>
      </c>
      <c r="B951">
        <v>2012</v>
      </c>
      <c r="C951" t="s">
        <v>381</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443</v>
      </c>
      <c r="B952">
        <v>2011</v>
      </c>
      <c r="C952" t="s">
        <v>381</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443</v>
      </c>
      <c r="B953">
        <v>2010</v>
      </c>
      <c r="C953" t="s">
        <v>381</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443</v>
      </c>
      <c r="B954">
        <v>2009</v>
      </c>
      <c r="C954" t="s">
        <v>381</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443</v>
      </c>
      <c r="B955">
        <v>2008</v>
      </c>
      <c r="C955" t="s">
        <v>381</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443</v>
      </c>
      <c r="B956">
        <v>2007</v>
      </c>
      <c r="C956" t="s">
        <v>381</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443</v>
      </c>
      <c r="B957">
        <v>2006</v>
      </c>
      <c r="C957" t="s">
        <v>381</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443</v>
      </c>
      <c r="B958">
        <v>2005</v>
      </c>
      <c r="C958" t="s">
        <v>381</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443</v>
      </c>
      <c r="B959">
        <v>2004</v>
      </c>
      <c r="C959" t="s">
        <v>381</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443</v>
      </c>
      <c r="B960">
        <v>2003</v>
      </c>
      <c r="C960" t="s">
        <v>381</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443</v>
      </c>
      <c r="B961">
        <v>2002</v>
      </c>
      <c r="C961" t="s">
        <v>381</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443</v>
      </c>
      <c r="B962">
        <v>2001</v>
      </c>
      <c r="C962" t="s">
        <v>381</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443</v>
      </c>
      <c r="B963">
        <v>2000</v>
      </c>
      <c r="C963" t="s">
        <v>381</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444</v>
      </c>
      <c r="B964">
        <v>2015</v>
      </c>
      <c r="C964" t="s">
        <v>381</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444</v>
      </c>
      <c r="B965">
        <v>2014</v>
      </c>
      <c r="C965" t="s">
        <v>381</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444</v>
      </c>
      <c r="B966">
        <v>2013</v>
      </c>
      <c r="C966" t="s">
        <v>381</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444</v>
      </c>
      <c r="B967">
        <v>2012</v>
      </c>
      <c r="C967" t="s">
        <v>381</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444</v>
      </c>
      <c r="B968">
        <v>2011</v>
      </c>
      <c r="C968" t="s">
        <v>381</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444</v>
      </c>
      <c r="B969">
        <v>2010</v>
      </c>
      <c r="C969" t="s">
        <v>381</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444</v>
      </c>
      <c r="B970">
        <v>2009</v>
      </c>
      <c r="C970" t="s">
        <v>381</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444</v>
      </c>
      <c r="B971">
        <v>2008</v>
      </c>
      <c r="C971" t="s">
        <v>381</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444</v>
      </c>
      <c r="B972">
        <v>2007</v>
      </c>
      <c r="C972" t="s">
        <v>381</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444</v>
      </c>
      <c r="B973">
        <v>2006</v>
      </c>
      <c r="C973" t="s">
        <v>381</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444</v>
      </c>
      <c r="B974">
        <v>2005</v>
      </c>
      <c r="C974" t="s">
        <v>381</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444</v>
      </c>
      <c r="B975">
        <v>2004</v>
      </c>
      <c r="C975" t="s">
        <v>381</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444</v>
      </c>
      <c r="B976">
        <v>2003</v>
      </c>
      <c r="C976" t="s">
        <v>381</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444</v>
      </c>
      <c r="B977">
        <v>2002</v>
      </c>
      <c r="C977" t="s">
        <v>381</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444</v>
      </c>
      <c r="B978">
        <v>2001</v>
      </c>
      <c r="C978" t="s">
        <v>381</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444</v>
      </c>
      <c r="B979">
        <v>2000</v>
      </c>
      <c r="C979" t="s">
        <v>381</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445</v>
      </c>
      <c r="B980">
        <v>2015</v>
      </c>
      <c r="C980" t="s">
        <v>381</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445</v>
      </c>
      <c r="B981">
        <v>2014</v>
      </c>
      <c r="C981" t="s">
        <v>381</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445</v>
      </c>
      <c r="B982">
        <v>2013</v>
      </c>
      <c r="C982" t="s">
        <v>381</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445</v>
      </c>
      <c r="B983">
        <v>2012</v>
      </c>
      <c r="C983" t="s">
        <v>381</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445</v>
      </c>
      <c r="B984">
        <v>2011</v>
      </c>
      <c r="C984" t="s">
        <v>381</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445</v>
      </c>
      <c r="B985">
        <v>2010</v>
      </c>
      <c r="C985" t="s">
        <v>381</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445</v>
      </c>
      <c r="B986">
        <v>2009</v>
      </c>
      <c r="C986" t="s">
        <v>381</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445</v>
      </c>
      <c r="B987">
        <v>2008</v>
      </c>
      <c r="C987" t="s">
        <v>381</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445</v>
      </c>
      <c r="B988">
        <v>2007</v>
      </c>
      <c r="C988" t="s">
        <v>381</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445</v>
      </c>
      <c r="B989">
        <v>2006</v>
      </c>
      <c r="C989" t="s">
        <v>381</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445</v>
      </c>
      <c r="B990">
        <v>2005</v>
      </c>
      <c r="C990" t="s">
        <v>381</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445</v>
      </c>
      <c r="B991">
        <v>2004</v>
      </c>
      <c r="C991" t="s">
        <v>381</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445</v>
      </c>
      <c r="B992">
        <v>2003</v>
      </c>
      <c r="C992" t="s">
        <v>381</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445</v>
      </c>
      <c r="B993">
        <v>2002</v>
      </c>
      <c r="C993" t="s">
        <v>381</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445</v>
      </c>
      <c r="B994">
        <v>2001</v>
      </c>
      <c r="C994" t="s">
        <v>381</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445</v>
      </c>
      <c r="B995">
        <v>2000</v>
      </c>
      <c r="C995" t="s">
        <v>381</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446</v>
      </c>
      <c r="B996">
        <v>2015</v>
      </c>
      <c r="C996" t="s">
        <v>389</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446</v>
      </c>
      <c r="B997">
        <v>2014</v>
      </c>
      <c r="C997" t="s">
        <v>389</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446</v>
      </c>
      <c r="B998">
        <v>2013</v>
      </c>
      <c r="C998" t="s">
        <v>389</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446</v>
      </c>
      <c r="B999">
        <v>2012</v>
      </c>
      <c r="C999" t="s">
        <v>389</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446</v>
      </c>
      <c r="B1000">
        <v>2011</v>
      </c>
      <c r="C1000" t="s">
        <v>389</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446</v>
      </c>
      <c r="B1001">
        <v>2010</v>
      </c>
      <c r="C1001" t="s">
        <v>389</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446</v>
      </c>
      <c r="B1002">
        <v>2009</v>
      </c>
      <c r="C1002" t="s">
        <v>389</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446</v>
      </c>
      <c r="B1003">
        <v>2008</v>
      </c>
      <c r="C1003" t="s">
        <v>389</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446</v>
      </c>
      <c r="B1004">
        <v>2007</v>
      </c>
      <c r="C1004" t="s">
        <v>389</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446</v>
      </c>
      <c r="B1005">
        <v>2006</v>
      </c>
      <c r="C1005" t="s">
        <v>389</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446</v>
      </c>
      <c r="B1006">
        <v>2005</v>
      </c>
      <c r="C1006" t="s">
        <v>389</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446</v>
      </c>
      <c r="B1007">
        <v>2004</v>
      </c>
      <c r="C1007" t="s">
        <v>389</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446</v>
      </c>
      <c r="B1008">
        <v>2003</v>
      </c>
      <c r="C1008" t="s">
        <v>389</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446</v>
      </c>
      <c r="B1009">
        <v>2002</v>
      </c>
      <c r="C1009" t="s">
        <v>389</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446</v>
      </c>
      <c r="B1010">
        <v>2001</v>
      </c>
      <c r="C1010" t="s">
        <v>389</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446</v>
      </c>
      <c r="B1011">
        <v>2000</v>
      </c>
      <c r="C1011" t="s">
        <v>389</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447</v>
      </c>
      <c r="B1012">
        <v>2015</v>
      </c>
      <c r="C1012" t="s">
        <v>381</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447</v>
      </c>
      <c r="B1013">
        <v>2014</v>
      </c>
      <c r="C1013" t="s">
        <v>381</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447</v>
      </c>
      <c r="B1014">
        <v>2013</v>
      </c>
      <c r="C1014" t="s">
        <v>381</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447</v>
      </c>
      <c r="B1015">
        <v>2012</v>
      </c>
      <c r="C1015" t="s">
        <v>381</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447</v>
      </c>
      <c r="B1016">
        <v>2011</v>
      </c>
      <c r="C1016" t="s">
        <v>381</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447</v>
      </c>
      <c r="B1017">
        <v>2010</v>
      </c>
      <c r="C1017" t="s">
        <v>381</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447</v>
      </c>
      <c r="B1018">
        <v>2009</v>
      </c>
      <c r="C1018" t="s">
        <v>381</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447</v>
      </c>
      <c r="B1019">
        <v>2008</v>
      </c>
      <c r="C1019" t="s">
        <v>381</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447</v>
      </c>
      <c r="B1020">
        <v>2007</v>
      </c>
      <c r="C1020" t="s">
        <v>381</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447</v>
      </c>
      <c r="B1021">
        <v>2006</v>
      </c>
      <c r="C1021" t="s">
        <v>381</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447</v>
      </c>
      <c r="B1022">
        <v>2005</v>
      </c>
      <c r="C1022" t="s">
        <v>381</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447</v>
      </c>
      <c r="B1023">
        <v>2004</v>
      </c>
      <c r="C1023" t="s">
        <v>381</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447</v>
      </c>
      <c r="B1024">
        <v>2003</v>
      </c>
      <c r="C1024" t="s">
        <v>381</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447</v>
      </c>
      <c r="B1025">
        <v>2002</v>
      </c>
      <c r="C1025" t="s">
        <v>381</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447</v>
      </c>
      <c r="B1026">
        <v>2001</v>
      </c>
      <c r="C1026" t="s">
        <v>381</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447</v>
      </c>
      <c r="B1027">
        <v>2000</v>
      </c>
      <c r="C1027" t="s">
        <v>381</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448</v>
      </c>
      <c r="B1028">
        <v>2015</v>
      </c>
      <c r="C1028" t="s">
        <v>381</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448</v>
      </c>
      <c r="B1029">
        <v>2014</v>
      </c>
      <c r="C1029" t="s">
        <v>381</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448</v>
      </c>
      <c r="B1030">
        <v>2013</v>
      </c>
      <c r="C1030" t="s">
        <v>381</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448</v>
      </c>
      <c r="B1031">
        <v>2012</v>
      </c>
      <c r="C1031" t="s">
        <v>381</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448</v>
      </c>
      <c r="B1032">
        <v>2011</v>
      </c>
      <c r="C1032" t="s">
        <v>381</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448</v>
      </c>
      <c r="B1033">
        <v>2010</v>
      </c>
      <c r="C1033" t="s">
        <v>381</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448</v>
      </c>
      <c r="B1034">
        <v>2009</v>
      </c>
      <c r="C1034" t="s">
        <v>381</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448</v>
      </c>
      <c r="B1035">
        <v>2008</v>
      </c>
      <c r="C1035" t="s">
        <v>381</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448</v>
      </c>
      <c r="B1036">
        <v>2007</v>
      </c>
      <c r="C1036" t="s">
        <v>381</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448</v>
      </c>
      <c r="B1037">
        <v>2006</v>
      </c>
      <c r="C1037" t="s">
        <v>381</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448</v>
      </c>
      <c r="B1038">
        <v>2005</v>
      </c>
      <c r="C1038" t="s">
        <v>381</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448</v>
      </c>
      <c r="B1039">
        <v>2004</v>
      </c>
      <c r="C1039" t="s">
        <v>381</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448</v>
      </c>
      <c r="B1040">
        <v>2003</v>
      </c>
      <c r="C1040" t="s">
        <v>381</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448</v>
      </c>
      <c r="B1041">
        <v>2002</v>
      </c>
      <c r="C1041" t="s">
        <v>381</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448</v>
      </c>
      <c r="B1042">
        <v>2001</v>
      </c>
      <c r="C1042" t="s">
        <v>381</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448</v>
      </c>
      <c r="B1043">
        <v>2000</v>
      </c>
      <c r="C1043" t="s">
        <v>381</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449</v>
      </c>
      <c r="B1044">
        <v>2015</v>
      </c>
      <c r="C1044" t="s">
        <v>381</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449</v>
      </c>
      <c r="B1045">
        <v>2014</v>
      </c>
      <c r="C1045" t="s">
        <v>381</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449</v>
      </c>
      <c r="B1046">
        <v>2013</v>
      </c>
      <c r="C1046" t="s">
        <v>381</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449</v>
      </c>
      <c r="B1047">
        <v>2012</v>
      </c>
      <c r="C1047" t="s">
        <v>381</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449</v>
      </c>
      <c r="B1048">
        <v>2011</v>
      </c>
      <c r="C1048" t="s">
        <v>381</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449</v>
      </c>
      <c r="B1049">
        <v>2010</v>
      </c>
      <c r="C1049" t="s">
        <v>381</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449</v>
      </c>
      <c r="B1050">
        <v>2009</v>
      </c>
      <c r="C1050" t="s">
        <v>381</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449</v>
      </c>
      <c r="B1051">
        <v>2008</v>
      </c>
      <c r="C1051" t="s">
        <v>381</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449</v>
      </c>
      <c r="B1052">
        <v>2007</v>
      </c>
      <c r="C1052" t="s">
        <v>381</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449</v>
      </c>
      <c r="B1053">
        <v>2006</v>
      </c>
      <c r="C1053" t="s">
        <v>381</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449</v>
      </c>
      <c r="B1054">
        <v>2005</v>
      </c>
      <c r="C1054" t="s">
        <v>381</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449</v>
      </c>
      <c r="B1055">
        <v>2004</v>
      </c>
      <c r="C1055" t="s">
        <v>381</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449</v>
      </c>
      <c r="B1056">
        <v>2003</v>
      </c>
      <c r="C1056" t="s">
        <v>381</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449</v>
      </c>
      <c r="B1057">
        <v>2002</v>
      </c>
      <c r="C1057" t="s">
        <v>381</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449</v>
      </c>
      <c r="B1058">
        <v>2001</v>
      </c>
      <c r="C1058" t="s">
        <v>381</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449</v>
      </c>
      <c r="B1059">
        <v>2000</v>
      </c>
      <c r="C1059" t="s">
        <v>381</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450</v>
      </c>
      <c r="B1060">
        <v>2015</v>
      </c>
      <c r="C1060" t="s">
        <v>381</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450</v>
      </c>
      <c r="B1061">
        <v>2014</v>
      </c>
      <c r="C1061" t="s">
        <v>381</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450</v>
      </c>
      <c r="B1062">
        <v>2013</v>
      </c>
      <c r="C1062" t="s">
        <v>381</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450</v>
      </c>
      <c r="B1063">
        <v>2012</v>
      </c>
      <c r="C1063" t="s">
        <v>381</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450</v>
      </c>
      <c r="B1064">
        <v>2011</v>
      </c>
      <c r="C1064" t="s">
        <v>381</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450</v>
      </c>
      <c r="B1065">
        <v>2010</v>
      </c>
      <c r="C1065" t="s">
        <v>381</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450</v>
      </c>
      <c r="B1066">
        <v>2009</v>
      </c>
      <c r="C1066" t="s">
        <v>381</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450</v>
      </c>
      <c r="B1067">
        <v>2008</v>
      </c>
      <c r="C1067" t="s">
        <v>381</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450</v>
      </c>
      <c r="B1068">
        <v>2007</v>
      </c>
      <c r="C1068" t="s">
        <v>381</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450</v>
      </c>
      <c r="B1069">
        <v>2006</v>
      </c>
      <c r="C1069" t="s">
        <v>381</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450</v>
      </c>
      <c r="B1070">
        <v>2005</v>
      </c>
      <c r="C1070" t="s">
        <v>381</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450</v>
      </c>
      <c r="B1071">
        <v>2004</v>
      </c>
      <c r="C1071" t="s">
        <v>381</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450</v>
      </c>
      <c r="B1072">
        <v>2003</v>
      </c>
      <c r="C1072" t="s">
        <v>381</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450</v>
      </c>
      <c r="B1073">
        <v>2002</v>
      </c>
      <c r="C1073" t="s">
        <v>381</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450</v>
      </c>
      <c r="B1074">
        <v>2001</v>
      </c>
      <c r="C1074" t="s">
        <v>381</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450</v>
      </c>
      <c r="B1075">
        <v>2000</v>
      </c>
      <c r="C1075" t="s">
        <v>381</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451</v>
      </c>
      <c r="B1076">
        <v>2015</v>
      </c>
      <c r="C1076" t="s">
        <v>381</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451</v>
      </c>
      <c r="B1077">
        <v>2014</v>
      </c>
      <c r="C1077" t="s">
        <v>381</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451</v>
      </c>
      <c r="B1078">
        <v>2013</v>
      </c>
      <c r="C1078" t="s">
        <v>381</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451</v>
      </c>
      <c r="B1079">
        <v>2012</v>
      </c>
      <c r="C1079" t="s">
        <v>381</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451</v>
      </c>
      <c r="B1080">
        <v>2011</v>
      </c>
      <c r="C1080" t="s">
        <v>381</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451</v>
      </c>
      <c r="B1081">
        <v>2010</v>
      </c>
      <c r="C1081" t="s">
        <v>381</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451</v>
      </c>
      <c r="B1082">
        <v>2009</v>
      </c>
      <c r="C1082" t="s">
        <v>381</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451</v>
      </c>
      <c r="B1083">
        <v>2008</v>
      </c>
      <c r="C1083" t="s">
        <v>381</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451</v>
      </c>
      <c r="B1084">
        <v>2007</v>
      </c>
      <c r="C1084" t="s">
        <v>381</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451</v>
      </c>
      <c r="B1085">
        <v>2006</v>
      </c>
      <c r="C1085" t="s">
        <v>381</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451</v>
      </c>
      <c r="B1086">
        <v>2005</v>
      </c>
      <c r="C1086" t="s">
        <v>381</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451</v>
      </c>
      <c r="B1087">
        <v>2004</v>
      </c>
      <c r="C1087" t="s">
        <v>381</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451</v>
      </c>
      <c r="B1088">
        <v>2003</v>
      </c>
      <c r="C1088" t="s">
        <v>381</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451</v>
      </c>
      <c r="B1089">
        <v>2002</v>
      </c>
      <c r="C1089" t="s">
        <v>381</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451</v>
      </c>
      <c r="B1090">
        <v>2001</v>
      </c>
      <c r="C1090" t="s">
        <v>381</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451</v>
      </c>
      <c r="B1091">
        <v>2000</v>
      </c>
      <c r="C1091" t="s">
        <v>381</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452</v>
      </c>
      <c r="B1092">
        <v>2015</v>
      </c>
      <c r="C1092" t="s">
        <v>381</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452</v>
      </c>
      <c r="B1093">
        <v>2014</v>
      </c>
      <c r="C1093" t="s">
        <v>381</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452</v>
      </c>
      <c r="B1094">
        <v>2013</v>
      </c>
      <c r="C1094" t="s">
        <v>381</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452</v>
      </c>
      <c r="B1095">
        <v>2012</v>
      </c>
      <c r="C1095" t="s">
        <v>381</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452</v>
      </c>
      <c r="B1096">
        <v>2011</v>
      </c>
      <c r="C1096" t="s">
        <v>381</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452</v>
      </c>
      <c r="B1097">
        <v>2010</v>
      </c>
      <c r="C1097" t="s">
        <v>381</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452</v>
      </c>
      <c r="B1098">
        <v>2009</v>
      </c>
      <c r="C1098" t="s">
        <v>381</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452</v>
      </c>
      <c r="B1099">
        <v>2008</v>
      </c>
      <c r="C1099" t="s">
        <v>381</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452</v>
      </c>
      <c r="B1100">
        <v>2007</v>
      </c>
      <c r="C1100" t="s">
        <v>381</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452</v>
      </c>
      <c r="B1101">
        <v>2006</v>
      </c>
      <c r="C1101" t="s">
        <v>381</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452</v>
      </c>
      <c r="B1102">
        <v>2005</v>
      </c>
      <c r="C1102" t="s">
        <v>381</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452</v>
      </c>
      <c r="B1103">
        <v>2004</v>
      </c>
      <c r="C1103" t="s">
        <v>381</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452</v>
      </c>
      <c r="B1104">
        <v>2003</v>
      </c>
      <c r="C1104" t="s">
        <v>381</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452</v>
      </c>
      <c r="B1105">
        <v>2002</v>
      </c>
      <c r="C1105" t="s">
        <v>381</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452</v>
      </c>
      <c r="B1106">
        <v>2001</v>
      </c>
      <c r="C1106" t="s">
        <v>381</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452</v>
      </c>
      <c r="B1107">
        <v>2000</v>
      </c>
      <c r="C1107" t="s">
        <v>381</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453</v>
      </c>
      <c r="B1108">
        <v>2015</v>
      </c>
      <c r="C1108" t="s">
        <v>381</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453</v>
      </c>
      <c r="B1109">
        <v>2014</v>
      </c>
      <c r="C1109" t="s">
        <v>381</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453</v>
      </c>
      <c r="B1110">
        <v>2013</v>
      </c>
      <c r="C1110" t="s">
        <v>381</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453</v>
      </c>
      <c r="B1111">
        <v>2012</v>
      </c>
      <c r="C1111" t="s">
        <v>381</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453</v>
      </c>
      <c r="B1112">
        <v>2011</v>
      </c>
      <c r="C1112" t="s">
        <v>381</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453</v>
      </c>
      <c r="B1113">
        <v>2010</v>
      </c>
      <c r="C1113" t="s">
        <v>381</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453</v>
      </c>
      <c r="B1114">
        <v>2009</v>
      </c>
      <c r="C1114" t="s">
        <v>381</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453</v>
      </c>
      <c r="B1115">
        <v>2008</v>
      </c>
      <c r="C1115" t="s">
        <v>381</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453</v>
      </c>
      <c r="B1116">
        <v>2007</v>
      </c>
      <c r="C1116" t="s">
        <v>381</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453</v>
      </c>
      <c r="B1117">
        <v>2006</v>
      </c>
      <c r="C1117" t="s">
        <v>381</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453</v>
      </c>
      <c r="B1118">
        <v>2005</v>
      </c>
      <c r="C1118" t="s">
        <v>381</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453</v>
      </c>
      <c r="B1119">
        <v>2004</v>
      </c>
      <c r="C1119" t="s">
        <v>381</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453</v>
      </c>
      <c r="B1120">
        <v>2003</v>
      </c>
      <c r="C1120" t="s">
        <v>381</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453</v>
      </c>
      <c r="B1121">
        <v>2002</v>
      </c>
      <c r="C1121" t="s">
        <v>381</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453</v>
      </c>
      <c r="B1122">
        <v>2001</v>
      </c>
      <c r="C1122" t="s">
        <v>381</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453</v>
      </c>
      <c r="B1123">
        <v>2000</v>
      </c>
      <c r="C1123" t="s">
        <v>381</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454</v>
      </c>
      <c r="B1124">
        <v>2015</v>
      </c>
      <c r="C1124" t="s">
        <v>381</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454</v>
      </c>
      <c r="B1125">
        <v>2014</v>
      </c>
      <c r="C1125" t="s">
        <v>381</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454</v>
      </c>
      <c r="B1126">
        <v>2013</v>
      </c>
      <c r="C1126" t="s">
        <v>381</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454</v>
      </c>
      <c r="B1127">
        <v>2012</v>
      </c>
      <c r="C1127" t="s">
        <v>381</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454</v>
      </c>
      <c r="B1128">
        <v>2011</v>
      </c>
      <c r="C1128" t="s">
        <v>381</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454</v>
      </c>
      <c r="B1129">
        <v>2010</v>
      </c>
      <c r="C1129" t="s">
        <v>381</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454</v>
      </c>
      <c r="B1130">
        <v>2009</v>
      </c>
      <c r="C1130" t="s">
        <v>381</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454</v>
      </c>
      <c r="B1131">
        <v>2008</v>
      </c>
      <c r="C1131" t="s">
        <v>381</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454</v>
      </c>
      <c r="B1132">
        <v>2007</v>
      </c>
      <c r="C1132" t="s">
        <v>381</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454</v>
      </c>
      <c r="B1133">
        <v>2006</v>
      </c>
      <c r="C1133" t="s">
        <v>381</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454</v>
      </c>
      <c r="B1134">
        <v>2005</v>
      </c>
      <c r="C1134" t="s">
        <v>381</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454</v>
      </c>
      <c r="B1135">
        <v>2004</v>
      </c>
      <c r="C1135" t="s">
        <v>381</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454</v>
      </c>
      <c r="B1136">
        <v>2003</v>
      </c>
      <c r="C1136" t="s">
        <v>381</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454</v>
      </c>
      <c r="B1137">
        <v>2002</v>
      </c>
      <c r="C1137" t="s">
        <v>381</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454</v>
      </c>
      <c r="B1138">
        <v>2001</v>
      </c>
      <c r="C1138" t="s">
        <v>381</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454</v>
      </c>
      <c r="B1139">
        <v>2000</v>
      </c>
      <c r="C1139" t="s">
        <v>381</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455</v>
      </c>
      <c r="B1140">
        <v>2015</v>
      </c>
      <c r="C1140" t="s">
        <v>381</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455</v>
      </c>
      <c r="B1141">
        <v>2014</v>
      </c>
      <c r="C1141" t="s">
        <v>381</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455</v>
      </c>
      <c r="B1142">
        <v>2013</v>
      </c>
      <c r="C1142" t="s">
        <v>381</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455</v>
      </c>
      <c r="B1143">
        <v>2012</v>
      </c>
      <c r="C1143" t="s">
        <v>381</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455</v>
      </c>
      <c r="B1144">
        <v>2011</v>
      </c>
      <c r="C1144" t="s">
        <v>381</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455</v>
      </c>
      <c r="B1145">
        <v>2010</v>
      </c>
      <c r="C1145" t="s">
        <v>381</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455</v>
      </c>
      <c r="B1146">
        <v>2009</v>
      </c>
      <c r="C1146" t="s">
        <v>381</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455</v>
      </c>
      <c r="B1147">
        <v>2008</v>
      </c>
      <c r="C1147" t="s">
        <v>381</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455</v>
      </c>
      <c r="B1148">
        <v>2007</v>
      </c>
      <c r="C1148" t="s">
        <v>381</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455</v>
      </c>
      <c r="B1149">
        <v>2006</v>
      </c>
      <c r="C1149" t="s">
        <v>381</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455</v>
      </c>
      <c r="B1150">
        <v>2005</v>
      </c>
      <c r="C1150" t="s">
        <v>381</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455</v>
      </c>
      <c r="B1151">
        <v>2004</v>
      </c>
      <c r="C1151" t="s">
        <v>381</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455</v>
      </c>
      <c r="B1152">
        <v>2003</v>
      </c>
      <c r="C1152" t="s">
        <v>381</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455</v>
      </c>
      <c r="B1153">
        <v>2002</v>
      </c>
      <c r="C1153" t="s">
        <v>381</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455</v>
      </c>
      <c r="B1154">
        <v>2001</v>
      </c>
      <c r="C1154" t="s">
        <v>381</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455</v>
      </c>
      <c r="B1155">
        <v>2000</v>
      </c>
      <c r="C1155" t="s">
        <v>381</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456</v>
      </c>
      <c r="B1156">
        <v>2015</v>
      </c>
      <c r="C1156" t="s">
        <v>389</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456</v>
      </c>
      <c r="B1157">
        <v>2014</v>
      </c>
      <c r="C1157" t="s">
        <v>389</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456</v>
      </c>
      <c r="B1158">
        <v>2013</v>
      </c>
      <c r="C1158" t="s">
        <v>389</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456</v>
      </c>
      <c r="B1159">
        <v>2012</v>
      </c>
      <c r="C1159" t="s">
        <v>389</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456</v>
      </c>
      <c r="B1160">
        <v>2011</v>
      </c>
      <c r="C1160" t="s">
        <v>389</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456</v>
      </c>
      <c r="B1161">
        <v>2010</v>
      </c>
      <c r="C1161" t="s">
        <v>389</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456</v>
      </c>
      <c r="B1162">
        <v>2009</v>
      </c>
      <c r="C1162" t="s">
        <v>389</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456</v>
      </c>
      <c r="B1163">
        <v>2008</v>
      </c>
      <c r="C1163" t="s">
        <v>389</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456</v>
      </c>
      <c r="B1164">
        <v>2007</v>
      </c>
      <c r="C1164" t="s">
        <v>389</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456</v>
      </c>
      <c r="B1165">
        <v>2006</v>
      </c>
      <c r="C1165" t="s">
        <v>389</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456</v>
      </c>
      <c r="B1166">
        <v>2005</v>
      </c>
      <c r="C1166" t="s">
        <v>389</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456</v>
      </c>
      <c r="B1167">
        <v>2004</v>
      </c>
      <c r="C1167" t="s">
        <v>389</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456</v>
      </c>
      <c r="B1168">
        <v>2003</v>
      </c>
      <c r="C1168" t="s">
        <v>389</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456</v>
      </c>
      <c r="B1169">
        <v>2002</v>
      </c>
      <c r="C1169" t="s">
        <v>389</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456</v>
      </c>
      <c r="B1170">
        <v>2001</v>
      </c>
      <c r="C1170" t="s">
        <v>389</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456</v>
      </c>
      <c r="B1171">
        <v>2000</v>
      </c>
      <c r="C1171" t="s">
        <v>389</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457</v>
      </c>
      <c r="B1172">
        <v>2015</v>
      </c>
      <c r="C1172" t="s">
        <v>389</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457</v>
      </c>
      <c r="B1173">
        <v>2014</v>
      </c>
      <c r="C1173" t="s">
        <v>389</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457</v>
      </c>
      <c r="B1174">
        <v>2013</v>
      </c>
      <c r="C1174" t="s">
        <v>389</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457</v>
      </c>
      <c r="B1175">
        <v>2012</v>
      </c>
      <c r="C1175" t="s">
        <v>389</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457</v>
      </c>
      <c r="B1176">
        <v>2011</v>
      </c>
      <c r="C1176" t="s">
        <v>389</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457</v>
      </c>
      <c r="B1177">
        <v>2010</v>
      </c>
      <c r="C1177" t="s">
        <v>389</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457</v>
      </c>
      <c r="B1178">
        <v>2009</v>
      </c>
      <c r="C1178" t="s">
        <v>389</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457</v>
      </c>
      <c r="B1179">
        <v>2008</v>
      </c>
      <c r="C1179" t="s">
        <v>389</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457</v>
      </c>
      <c r="B1180">
        <v>2007</v>
      </c>
      <c r="C1180" t="s">
        <v>389</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457</v>
      </c>
      <c r="B1181">
        <v>2006</v>
      </c>
      <c r="C1181" t="s">
        <v>389</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457</v>
      </c>
      <c r="B1182">
        <v>2005</v>
      </c>
      <c r="C1182" t="s">
        <v>389</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457</v>
      </c>
      <c r="B1183">
        <v>2004</v>
      </c>
      <c r="C1183" t="s">
        <v>389</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457</v>
      </c>
      <c r="B1184">
        <v>2003</v>
      </c>
      <c r="C1184" t="s">
        <v>389</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457</v>
      </c>
      <c r="B1185">
        <v>2002</v>
      </c>
      <c r="C1185" t="s">
        <v>389</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457</v>
      </c>
      <c r="B1186">
        <v>2001</v>
      </c>
      <c r="C1186" t="s">
        <v>389</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457</v>
      </c>
      <c r="B1187">
        <v>2000</v>
      </c>
      <c r="C1187" t="s">
        <v>389</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458</v>
      </c>
      <c r="B1188">
        <v>2015</v>
      </c>
      <c r="C1188" t="s">
        <v>381</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458</v>
      </c>
      <c r="B1189">
        <v>2014</v>
      </c>
      <c r="C1189" t="s">
        <v>381</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458</v>
      </c>
      <c r="B1190">
        <v>2013</v>
      </c>
      <c r="C1190" t="s">
        <v>381</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458</v>
      </c>
      <c r="B1191">
        <v>2012</v>
      </c>
      <c r="C1191" t="s">
        <v>381</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458</v>
      </c>
      <c r="B1192">
        <v>2011</v>
      </c>
      <c r="C1192" t="s">
        <v>381</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458</v>
      </c>
      <c r="B1193">
        <v>2010</v>
      </c>
      <c r="C1193" t="s">
        <v>381</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458</v>
      </c>
      <c r="B1194">
        <v>2009</v>
      </c>
      <c r="C1194" t="s">
        <v>381</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458</v>
      </c>
      <c r="B1195">
        <v>2008</v>
      </c>
      <c r="C1195" t="s">
        <v>381</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458</v>
      </c>
      <c r="B1196">
        <v>2007</v>
      </c>
      <c r="C1196" t="s">
        <v>381</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458</v>
      </c>
      <c r="B1197">
        <v>2006</v>
      </c>
      <c r="C1197" t="s">
        <v>381</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458</v>
      </c>
      <c r="B1198">
        <v>2005</v>
      </c>
      <c r="C1198" t="s">
        <v>381</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458</v>
      </c>
      <c r="B1199">
        <v>2004</v>
      </c>
      <c r="C1199" t="s">
        <v>381</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458</v>
      </c>
      <c r="B1200">
        <v>2003</v>
      </c>
      <c r="C1200" t="s">
        <v>381</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458</v>
      </c>
      <c r="B1201">
        <v>2002</v>
      </c>
      <c r="C1201" t="s">
        <v>381</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458</v>
      </c>
      <c r="B1202">
        <v>2001</v>
      </c>
      <c r="C1202" t="s">
        <v>381</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458</v>
      </c>
      <c r="B1203">
        <v>2000</v>
      </c>
      <c r="C1203" t="s">
        <v>381</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459</v>
      </c>
      <c r="B1204">
        <v>2015</v>
      </c>
      <c r="C1204" t="s">
        <v>381</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459</v>
      </c>
      <c r="B1205">
        <v>2014</v>
      </c>
      <c r="C1205" t="s">
        <v>381</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459</v>
      </c>
      <c r="B1206">
        <v>2013</v>
      </c>
      <c r="C1206" t="s">
        <v>381</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459</v>
      </c>
      <c r="B1207">
        <v>2012</v>
      </c>
      <c r="C1207" t="s">
        <v>381</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459</v>
      </c>
      <c r="B1208">
        <v>2011</v>
      </c>
      <c r="C1208" t="s">
        <v>381</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459</v>
      </c>
      <c r="B1209">
        <v>2010</v>
      </c>
      <c r="C1209" t="s">
        <v>381</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459</v>
      </c>
      <c r="B1210">
        <v>2009</v>
      </c>
      <c r="C1210" t="s">
        <v>381</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459</v>
      </c>
      <c r="B1211">
        <v>2008</v>
      </c>
      <c r="C1211" t="s">
        <v>381</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459</v>
      </c>
      <c r="B1212">
        <v>2007</v>
      </c>
      <c r="C1212" t="s">
        <v>381</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459</v>
      </c>
      <c r="B1213">
        <v>2006</v>
      </c>
      <c r="C1213" t="s">
        <v>381</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459</v>
      </c>
      <c r="B1214">
        <v>2005</v>
      </c>
      <c r="C1214" t="s">
        <v>381</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459</v>
      </c>
      <c r="B1215">
        <v>2004</v>
      </c>
      <c r="C1215" t="s">
        <v>381</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459</v>
      </c>
      <c r="B1216">
        <v>2003</v>
      </c>
      <c r="C1216" t="s">
        <v>381</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459</v>
      </c>
      <c r="B1217">
        <v>2002</v>
      </c>
      <c r="C1217" t="s">
        <v>381</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459</v>
      </c>
      <c r="B1218">
        <v>2001</v>
      </c>
      <c r="C1218" t="s">
        <v>381</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459</v>
      </c>
      <c r="B1219">
        <v>2000</v>
      </c>
      <c r="C1219" t="s">
        <v>381</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460</v>
      </c>
      <c r="B1220">
        <v>2015</v>
      </c>
      <c r="C1220" t="s">
        <v>381</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460</v>
      </c>
      <c r="B1221">
        <v>2014</v>
      </c>
      <c r="C1221" t="s">
        <v>381</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460</v>
      </c>
      <c r="B1222">
        <v>2013</v>
      </c>
      <c r="C1222" t="s">
        <v>381</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460</v>
      </c>
      <c r="B1223">
        <v>2012</v>
      </c>
      <c r="C1223" t="s">
        <v>381</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460</v>
      </c>
      <c r="B1224">
        <v>2011</v>
      </c>
      <c r="C1224" t="s">
        <v>381</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460</v>
      </c>
      <c r="B1225">
        <v>2010</v>
      </c>
      <c r="C1225" t="s">
        <v>381</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460</v>
      </c>
      <c r="B1226">
        <v>2009</v>
      </c>
      <c r="C1226" t="s">
        <v>381</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460</v>
      </c>
      <c r="B1227">
        <v>2008</v>
      </c>
      <c r="C1227" t="s">
        <v>381</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460</v>
      </c>
      <c r="B1228">
        <v>2007</v>
      </c>
      <c r="C1228" t="s">
        <v>381</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460</v>
      </c>
      <c r="B1229">
        <v>2006</v>
      </c>
      <c r="C1229" t="s">
        <v>381</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460</v>
      </c>
      <c r="B1230">
        <v>2005</v>
      </c>
      <c r="C1230" t="s">
        <v>381</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460</v>
      </c>
      <c r="B1231">
        <v>2004</v>
      </c>
      <c r="C1231" t="s">
        <v>381</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460</v>
      </c>
      <c r="B1232">
        <v>2003</v>
      </c>
      <c r="C1232" t="s">
        <v>381</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460</v>
      </c>
      <c r="B1233">
        <v>2002</v>
      </c>
      <c r="C1233" t="s">
        <v>381</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460</v>
      </c>
      <c r="B1234">
        <v>2001</v>
      </c>
      <c r="C1234" t="s">
        <v>381</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460</v>
      </c>
      <c r="B1235">
        <v>2000</v>
      </c>
      <c r="C1235" t="s">
        <v>381</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461</v>
      </c>
      <c r="B1236">
        <v>2015</v>
      </c>
      <c r="C1236" t="s">
        <v>381</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461</v>
      </c>
      <c r="B1237">
        <v>2014</v>
      </c>
      <c r="C1237" t="s">
        <v>381</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461</v>
      </c>
      <c r="B1238">
        <v>2013</v>
      </c>
      <c r="C1238" t="s">
        <v>381</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461</v>
      </c>
      <c r="B1239">
        <v>2012</v>
      </c>
      <c r="C1239" t="s">
        <v>381</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461</v>
      </c>
      <c r="B1240">
        <v>2011</v>
      </c>
      <c r="C1240" t="s">
        <v>381</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461</v>
      </c>
      <c r="B1241">
        <v>2010</v>
      </c>
      <c r="C1241" t="s">
        <v>381</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461</v>
      </c>
      <c r="B1242">
        <v>2009</v>
      </c>
      <c r="C1242" t="s">
        <v>381</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461</v>
      </c>
      <c r="B1243">
        <v>2008</v>
      </c>
      <c r="C1243" t="s">
        <v>381</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461</v>
      </c>
      <c r="B1244">
        <v>2007</v>
      </c>
      <c r="C1244" t="s">
        <v>381</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461</v>
      </c>
      <c r="B1245">
        <v>2006</v>
      </c>
      <c r="C1245" t="s">
        <v>381</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461</v>
      </c>
      <c r="B1246">
        <v>2005</v>
      </c>
      <c r="C1246" t="s">
        <v>381</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461</v>
      </c>
      <c r="B1247">
        <v>2004</v>
      </c>
      <c r="C1247" t="s">
        <v>381</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461</v>
      </c>
      <c r="B1248">
        <v>2003</v>
      </c>
      <c r="C1248" t="s">
        <v>381</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461</v>
      </c>
      <c r="B1249">
        <v>2002</v>
      </c>
      <c r="C1249" t="s">
        <v>381</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461</v>
      </c>
      <c r="B1250">
        <v>2001</v>
      </c>
      <c r="C1250" t="s">
        <v>381</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461</v>
      </c>
      <c r="B1251">
        <v>2000</v>
      </c>
      <c r="C1251" t="s">
        <v>381</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462</v>
      </c>
      <c r="B1252">
        <v>2015</v>
      </c>
      <c r="C1252" t="s">
        <v>389</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462</v>
      </c>
      <c r="B1253">
        <v>2014</v>
      </c>
      <c r="C1253" t="s">
        <v>389</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462</v>
      </c>
      <c r="B1254">
        <v>2013</v>
      </c>
      <c r="C1254" t="s">
        <v>389</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462</v>
      </c>
      <c r="B1255">
        <v>2012</v>
      </c>
      <c r="C1255" t="s">
        <v>389</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462</v>
      </c>
      <c r="B1256">
        <v>2011</v>
      </c>
      <c r="C1256" t="s">
        <v>389</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462</v>
      </c>
      <c r="B1257">
        <v>2010</v>
      </c>
      <c r="C1257" t="s">
        <v>389</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462</v>
      </c>
      <c r="B1258">
        <v>2009</v>
      </c>
      <c r="C1258" t="s">
        <v>389</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462</v>
      </c>
      <c r="B1259">
        <v>2008</v>
      </c>
      <c r="C1259" t="s">
        <v>389</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462</v>
      </c>
      <c r="B1260">
        <v>2007</v>
      </c>
      <c r="C1260" t="s">
        <v>389</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462</v>
      </c>
      <c r="B1261">
        <v>2006</v>
      </c>
      <c r="C1261" t="s">
        <v>389</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462</v>
      </c>
      <c r="B1262">
        <v>2005</v>
      </c>
      <c r="C1262" t="s">
        <v>389</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462</v>
      </c>
      <c r="B1263">
        <v>2004</v>
      </c>
      <c r="C1263" t="s">
        <v>389</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462</v>
      </c>
      <c r="B1264">
        <v>2003</v>
      </c>
      <c r="C1264" t="s">
        <v>389</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462</v>
      </c>
      <c r="B1265">
        <v>2002</v>
      </c>
      <c r="C1265" t="s">
        <v>389</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462</v>
      </c>
      <c r="B1266">
        <v>2001</v>
      </c>
      <c r="C1266" t="s">
        <v>389</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462</v>
      </c>
      <c r="B1267">
        <v>2000</v>
      </c>
      <c r="C1267" t="s">
        <v>389</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463</v>
      </c>
      <c r="B1268">
        <v>2015</v>
      </c>
      <c r="C1268" t="s">
        <v>381</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463</v>
      </c>
      <c r="B1269">
        <v>2014</v>
      </c>
      <c r="C1269" t="s">
        <v>381</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463</v>
      </c>
      <c r="B1270">
        <v>2013</v>
      </c>
      <c r="C1270" t="s">
        <v>381</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463</v>
      </c>
      <c r="B1271">
        <v>2012</v>
      </c>
      <c r="C1271" t="s">
        <v>381</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463</v>
      </c>
      <c r="B1272">
        <v>2011</v>
      </c>
      <c r="C1272" t="s">
        <v>381</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463</v>
      </c>
      <c r="B1273">
        <v>2010</v>
      </c>
      <c r="C1273" t="s">
        <v>381</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463</v>
      </c>
      <c r="B1274">
        <v>2009</v>
      </c>
      <c r="C1274" t="s">
        <v>381</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463</v>
      </c>
      <c r="B1275">
        <v>2008</v>
      </c>
      <c r="C1275" t="s">
        <v>381</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463</v>
      </c>
      <c r="B1276">
        <v>2007</v>
      </c>
      <c r="C1276" t="s">
        <v>381</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463</v>
      </c>
      <c r="B1277">
        <v>2006</v>
      </c>
      <c r="C1277" t="s">
        <v>381</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463</v>
      </c>
      <c r="B1278">
        <v>2005</v>
      </c>
      <c r="C1278" t="s">
        <v>381</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463</v>
      </c>
      <c r="B1279">
        <v>2004</v>
      </c>
      <c r="C1279" t="s">
        <v>381</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463</v>
      </c>
      <c r="B1280">
        <v>2003</v>
      </c>
      <c r="C1280" t="s">
        <v>381</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463</v>
      </c>
      <c r="B1281">
        <v>2002</v>
      </c>
      <c r="C1281" t="s">
        <v>381</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463</v>
      </c>
      <c r="B1282">
        <v>2001</v>
      </c>
      <c r="C1282" t="s">
        <v>381</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463</v>
      </c>
      <c r="B1283">
        <v>2000</v>
      </c>
      <c r="C1283" t="s">
        <v>381</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464</v>
      </c>
      <c r="B1284">
        <v>2015</v>
      </c>
      <c r="C1284" t="s">
        <v>389</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464</v>
      </c>
      <c r="B1285">
        <v>2014</v>
      </c>
      <c r="C1285" t="s">
        <v>389</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464</v>
      </c>
      <c r="B1286">
        <v>2013</v>
      </c>
      <c r="C1286" t="s">
        <v>389</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464</v>
      </c>
      <c r="B1287">
        <v>2012</v>
      </c>
      <c r="C1287" t="s">
        <v>389</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464</v>
      </c>
      <c r="B1288">
        <v>2011</v>
      </c>
      <c r="C1288" t="s">
        <v>389</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464</v>
      </c>
      <c r="B1289">
        <v>2010</v>
      </c>
      <c r="C1289" t="s">
        <v>389</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464</v>
      </c>
      <c r="B1290">
        <v>2009</v>
      </c>
      <c r="C1290" t="s">
        <v>389</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464</v>
      </c>
      <c r="B1291">
        <v>2008</v>
      </c>
      <c r="C1291" t="s">
        <v>389</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464</v>
      </c>
      <c r="B1292">
        <v>2007</v>
      </c>
      <c r="C1292" t="s">
        <v>389</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464</v>
      </c>
      <c r="B1293">
        <v>2006</v>
      </c>
      <c r="C1293" t="s">
        <v>389</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464</v>
      </c>
      <c r="B1294">
        <v>2005</v>
      </c>
      <c r="C1294" t="s">
        <v>389</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464</v>
      </c>
      <c r="B1295">
        <v>2004</v>
      </c>
      <c r="C1295" t="s">
        <v>389</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464</v>
      </c>
      <c r="B1296">
        <v>2003</v>
      </c>
      <c r="C1296" t="s">
        <v>389</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464</v>
      </c>
      <c r="B1297">
        <v>2002</v>
      </c>
      <c r="C1297" t="s">
        <v>389</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464</v>
      </c>
      <c r="B1298">
        <v>2001</v>
      </c>
      <c r="C1298" t="s">
        <v>389</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464</v>
      </c>
      <c r="B1299">
        <v>2000</v>
      </c>
      <c r="C1299" t="s">
        <v>389</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465</v>
      </c>
      <c r="B1300">
        <v>2015</v>
      </c>
      <c r="C1300" t="s">
        <v>381</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465</v>
      </c>
      <c r="B1301">
        <v>2014</v>
      </c>
      <c r="C1301" t="s">
        <v>381</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465</v>
      </c>
      <c r="B1302">
        <v>2013</v>
      </c>
      <c r="C1302" t="s">
        <v>381</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465</v>
      </c>
      <c r="B1303">
        <v>2012</v>
      </c>
      <c r="C1303" t="s">
        <v>381</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465</v>
      </c>
      <c r="B1304">
        <v>2011</v>
      </c>
      <c r="C1304" t="s">
        <v>381</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465</v>
      </c>
      <c r="B1305">
        <v>2010</v>
      </c>
      <c r="C1305" t="s">
        <v>381</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465</v>
      </c>
      <c r="B1306">
        <v>2009</v>
      </c>
      <c r="C1306" t="s">
        <v>381</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465</v>
      </c>
      <c r="B1307">
        <v>2008</v>
      </c>
      <c r="C1307" t="s">
        <v>381</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465</v>
      </c>
      <c r="B1308">
        <v>2007</v>
      </c>
      <c r="C1308" t="s">
        <v>381</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465</v>
      </c>
      <c r="B1309">
        <v>2006</v>
      </c>
      <c r="C1309" t="s">
        <v>381</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465</v>
      </c>
      <c r="B1310">
        <v>2005</v>
      </c>
      <c r="C1310" t="s">
        <v>381</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465</v>
      </c>
      <c r="B1311">
        <v>2004</v>
      </c>
      <c r="C1311" t="s">
        <v>381</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465</v>
      </c>
      <c r="B1312">
        <v>2003</v>
      </c>
      <c r="C1312" t="s">
        <v>381</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465</v>
      </c>
      <c r="B1313">
        <v>2002</v>
      </c>
      <c r="C1313" t="s">
        <v>381</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465</v>
      </c>
      <c r="B1314">
        <v>2001</v>
      </c>
      <c r="C1314" t="s">
        <v>381</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465</v>
      </c>
      <c r="B1315">
        <v>2000</v>
      </c>
      <c r="C1315" t="s">
        <v>381</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466</v>
      </c>
      <c r="B1316">
        <v>2015</v>
      </c>
      <c r="C1316" t="s">
        <v>389</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466</v>
      </c>
      <c r="B1317">
        <v>2014</v>
      </c>
      <c r="C1317" t="s">
        <v>389</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466</v>
      </c>
      <c r="B1318">
        <v>2013</v>
      </c>
      <c r="C1318" t="s">
        <v>389</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466</v>
      </c>
      <c r="B1319">
        <v>2012</v>
      </c>
      <c r="C1319" t="s">
        <v>389</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466</v>
      </c>
      <c r="B1320">
        <v>2011</v>
      </c>
      <c r="C1320" t="s">
        <v>389</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466</v>
      </c>
      <c r="B1321">
        <v>2010</v>
      </c>
      <c r="C1321" t="s">
        <v>389</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466</v>
      </c>
      <c r="B1322">
        <v>2009</v>
      </c>
      <c r="C1322" t="s">
        <v>389</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466</v>
      </c>
      <c r="B1323">
        <v>2008</v>
      </c>
      <c r="C1323" t="s">
        <v>389</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466</v>
      </c>
      <c r="B1324">
        <v>2007</v>
      </c>
      <c r="C1324" t="s">
        <v>389</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466</v>
      </c>
      <c r="B1325">
        <v>2006</v>
      </c>
      <c r="C1325" t="s">
        <v>389</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466</v>
      </c>
      <c r="B1326">
        <v>2005</v>
      </c>
      <c r="C1326" t="s">
        <v>389</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466</v>
      </c>
      <c r="B1327">
        <v>2004</v>
      </c>
      <c r="C1327" t="s">
        <v>389</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466</v>
      </c>
      <c r="B1328">
        <v>2003</v>
      </c>
      <c r="C1328" t="s">
        <v>389</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466</v>
      </c>
      <c r="B1329">
        <v>2002</v>
      </c>
      <c r="C1329" t="s">
        <v>389</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466</v>
      </c>
      <c r="B1330">
        <v>2001</v>
      </c>
      <c r="C1330" t="s">
        <v>389</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466</v>
      </c>
      <c r="B1331">
        <v>2000</v>
      </c>
      <c r="C1331" t="s">
        <v>389</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467</v>
      </c>
      <c r="B1332">
        <v>2015</v>
      </c>
      <c r="C1332" t="s">
        <v>381</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467</v>
      </c>
      <c r="B1333">
        <v>2014</v>
      </c>
      <c r="C1333" t="s">
        <v>381</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467</v>
      </c>
      <c r="B1334">
        <v>2013</v>
      </c>
      <c r="C1334" t="s">
        <v>381</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467</v>
      </c>
      <c r="B1335">
        <v>2012</v>
      </c>
      <c r="C1335" t="s">
        <v>381</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467</v>
      </c>
      <c r="B1336">
        <v>2011</v>
      </c>
      <c r="C1336" t="s">
        <v>381</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467</v>
      </c>
      <c r="B1337">
        <v>2010</v>
      </c>
      <c r="C1337" t="s">
        <v>381</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467</v>
      </c>
      <c r="B1338">
        <v>2009</v>
      </c>
      <c r="C1338" t="s">
        <v>381</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467</v>
      </c>
      <c r="B1339">
        <v>2008</v>
      </c>
      <c r="C1339" t="s">
        <v>381</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467</v>
      </c>
      <c r="B1340">
        <v>2007</v>
      </c>
      <c r="C1340" t="s">
        <v>381</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467</v>
      </c>
      <c r="B1341">
        <v>2006</v>
      </c>
      <c r="C1341" t="s">
        <v>381</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467</v>
      </c>
      <c r="B1342">
        <v>2005</v>
      </c>
      <c r="C1342" t="s">
        <v>381</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467</v>
      </c>
      <c r="B1343">
        <v>2004</v>
      </c>
      <c r="C1343" t="s">
        <v>381</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467</v>
      </c>
      <c r="B1344">
        <v>2003</v>
      </c>
      <c r="C1344" t="s">
        <v>381</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467</v>
      </c>
      <c r="B1345">
        <v>2002</v>
      </c>
      <c r="C1345" t="s">
        <v>381</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467</v>
      </c>
      <c r="B1346">
        <v>2001</v>
      </c>
      <c r="C1346" t="s">
        <v>381</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467</v>
      </c>
      <c r="B1347">
        <v>2000</v>
      </c>
      <c r="C1347" t="s">
        <v>381</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468</v>
      </c>
      <c r="B1348">
        <v>2015</v>
      </c>
      <c r="C1348" t="s">
        <v>381</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468</v>
      </c>
      <c r="B1349">
        <v>2014</v>
      </c>
      <c r="C1349" t="s">
        <v>381</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468</v>
      </c>
      <c r="B1350">
        <v>2013</v>
      </c>
      <c r="C1350" t="s">
        <v>381</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468</v>
      </c>
      <c r="B1351">
        <v>2012</v>
      </c>
      <c r="C1351" t="s">
        <v>381</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468</v>
      </c>
      <c r="B1352">
        <v>2011</v>
      </c>
      <c r="C1352" t="s">
        <v>381</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468</v>
      </c>
      <c r="B1353">
        <v>2010</v>
      </c>
      <c r="C1353" t="s">
        <v>381</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468</v>
      </c>
      <c r="B1354">
        <v>2009</v>
      </c>
      <c r="C1354" t="s">
        <v>381</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468</v>
      </c>
      <c r="B1355">
        <v>2008</v>
      </c>
      <c r="C1355" t="s">
        <v>381</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468</v>
      </c>
      <c r="B1356">
        <v>2007</v>
      </c>
      <c r="C1356" t="s">
        <v>381</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468</v>
      </c>
      <c r="B1357">
        <v>2006</v>
      </c>
      <c r="C1357" t="s">
        <v>381</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468</v>
      </c>
      <c r="B1358">
        <v>2005</v>
      </c>
      <c r="C1358" t="s">
        <v>381</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468</v>
      </c>
      <c r="B1359">
        <v>2004</v>
      </c>
      <c r="C1359" t="s">
        <v>381</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468</v>
      </c>
      <c r="B1360">
        <v>2003</v>
      </c>
      <c r="C1360" t="s">
        <v>381</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468</v>
      </c>
      <c r="B1361">
        <v>2002</v>
      </c>
      <c r="C1361" t="s">
        <v>381</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468</v>
      </c>
      <c r="B1362">
        <v>2001</v>
      </c>
      <c r="C1362" t="s">
        <v>381</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468</v>
      </c>
      <c r="B1363">
        <v>2000</v>
      </c>
      <c r="C1363" t="s">
        <v>381</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469</v>
      </c>
      <c r="B1364">
        <v>2015</v>
      </c>
      <c r="C1364" t="s">
        <v>381</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469</v>
      </c>
      <c r="B1365">
        <v>2014</v>
      </c>
      <c r="C1365" t="s">
        <v>381</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469</v>
      </c>
      <c r="B1366">
        <v>2013</v>
      </c>
      <c r="C1366" t="s">
        <v>381</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469</v>
      </c>
      <c r="B1367">
        <v>2012</v>
      </c>
      <c r="C1367" t="s">
        <v>381</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469</v>
      </c>
      <c r="B1368">
        <v>2011</v>
      </c>
      <c r="C1368" t="s">
        <v>381</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469</v>
      </c>
      <c r="B1369">
        <v>2010</v>
      </c>
      <c r="C1369" t="s">
        <v>381</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469</v>
      </c>
      <c r="B1370">
        <v>2009</v>
      </c>
      <c r="C1370" t="s">
        <v>381</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469</v>
      </c>
      <c r="B1371">
        <v>2008</v>
      </c>
      <c r="C1371" t="s">
        <v>381</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469</v>
      </c>
      <c r="B1372">
        <v>2007</v>
      </c>
      <c r="C1372" t="s">
        <v>381</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469</v>
      </c>
      <c r="B1373">
        <v>2006</v>
      </c>
      <c r="C1373" t="s">
        <v>381</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469</v>
      </c>
      <c r="B1374">
        <v>2005</v>
      </c>
      <c r="C1374" t="s">
        <v>381</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469</v>
      </c>
      <c r="B1375">
        <v>2004</v>
      </c>
      <c r="C1375" t="s">
        <v>381</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469</v>
      </c>
      <c r="B1376">
        <v>2003</v>
      </c>
      <c r="C1376" t="s">
        <v>381</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469</v>
      </c>
      <c r="B1377">
        <v>2002</v>
      </c>
      <c r="C1377" t="s">
        <v>381</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469</v>
      </c>
      <c r="B1378">
        <v>2001</v>
      </c>
      <c r="C1378" t="s">
        <v>381</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469</v>
      </c>
      <c r="B1379">
        <v>2000</v>
      </c>
      <c r="C1379" t="s">
        <v>381</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470</v>
      </c>
      <c r="B1380">
        <v>2015</v>
      </c>
      <c r="C1380" t="s">
        <v>381</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470</v>
      </c>
      <c r="B1381">
        <v>2014</v>
      </c>
      <c r="C1381" t="s">
        <v>381</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470</v>
      </c>
      <c r="B1382">
        <v>2013</v>
      </c>
      <c r="C1382" t="s">
        <v>381</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470</v>
      </c>
      <c r="B1383">
        <v>2012</v>
      </c>
      <c r="C1383" t="s">
        <v>381</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470</v>
      </c>
      <c r="B1384">
        <v>2011</v>
      </c>
      <c r="C1384" t="s">
        <v>381</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470</v>
      </c>
      <c r="B1385">
        <v>2010</v>
      </c>
      <c r="C1385" t="s">
        <v>381</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470</v>
      </c>
      <c r="B1386">
        <v>2009</v>
      </c>
      <c r="C1386" t="s">
        <v>381</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470</v>
      </c>
      <c r="B1387">
        <v>2008</v>
      </c>
      <c r="C1387" t="s">
        <v>381</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470</v>
      </c>
      <c r="B1388">
        <v>2007</v>
      </c>
      <c r="C1388" t="s">
        <v>381</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470</v>
      </c>
      <c r="B1389">
        <v>2006</v>
      </c>
      <c r="C1389" t="s">
        <v>381</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470</v>
      </c>
      <c r="B1390">
        <v>2005</v>
      </c>
      <c r="C1390" t="s">
        <v>381</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470</v>
      </c>
      <c r="B1391">
        <v>2004</v>
      </c>
      <c r="C1391" t="s">
        <v>381</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470</v>
      </c>
      <c r="B1392">
        <v>2003</v>
      </c>
      <c r="C1392" t="s">
        <v>381</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470</v>
      </c>
      <c r="B1393">
        <v>2002</v>
      </c>
      <c r="C1393" t="s">
        <v>381</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470</v>
      </c>
      <c r="B1394">
        <v>2001</v>
      </c>
      <c r="C1394" t="s">
        <v>381</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470</v>
      </c>
      <c r="B1395">
        <v>2000</v>
      </c>
      <c r="C1395" t="s">
        <v>381</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471</v>
      </c>
      <c r="B1396">
        <v>2015</v>
      </c>
      <c r="C1396" t="s">
        <v>381</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471</v>
      </c>
      <c r="B1397">
        <v>2014</v>
      </c>
      <c r="C1397" t="s">
        <v>381</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471</v>
      </c>
      <c r="B1398">
        <v>2013</v>
      </c>
      <c r="C1398" t="s">
        <v>381</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471</v>
      </c>
      <c r="B1399">
        <v>2012</v>
      </c>
      <c r="C1399" t="s">
        <v>381</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471</v>
      </c>
      <c r="B1400">
        <v>2011</v>
      </c>
      <c r="C1400" t="s">
        <v>381</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471</v>
      </c>
      <c r="B1401">
        <v>2010</v>
      </c>
      <c r="C1401" t="s">
        <v>381</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471</v>
      </c>
      <c r="B1402">
        <v>2009</v>
      </c>
      <c r="C1402" t="s">
        <v>381</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471</v>
      </c>
      <c r="B1403">
        <v>2008</v>
      </c>
      <c r="C1403" t="s">
        <v>381</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471</v>
      </c>
      <c r="B1404">
        <v>2007</v>
      </c>
      <c r="C1404" t="s">
        <v>381</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471</v>
      </c>
      <c r="B1405">
        <v>2006</v>
      </c>
      <c r="C1405" t="s">
        <v>381</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471</v>
      </c>
      <c r="B1406">
        <v>2005</v>
      </c>
      <c r="C1406" t="s">
        <v>381</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471</v>
      </c>
      <c r="B1407">
        <v>2004</v>
      </c>
      <c r="C1407" t="s">
        <v>381</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471</v>
      </c>
      <c r="B1408">
        <v>2003</v>
      </c>
      <c r="C1408" t="s">
        <v>381</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471</v>
      </c>
      <c r="B1409">
        <v>2002</v>
      </c>
      <c r="C1409" t="s">
        <v>381</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471</v>
      </c>
      <c r="B1410">
        <v>2001</v>
      </c>
      <c r="C1410" t="s">
        <v>381</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471</v>
      </c>
      <c r="B1411">
        <v>2000</v>
      </c>
      <c r="C1411" t="s">
        <v>381</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472</v>
      </c>
      <c r="B1412">
        <v>2015</v>
      </c>
      <c r="C1412" t="s">
        <v>381</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472</v>
      </c>
      <c r="B1413">
        <v>2014</v>
      </c>
      <c r="C1413" t="s">
        <v>381</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472</v>
      </c>
      <c r="B1414">
        <v>2013</v>
      </c>
      <c r="C1414" t="s">
        <v>381</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472</v>
      </c>
      <c r="B1415">
        <v>2012</v>
      </c>
      <c r="C1415" t="s">
        <v>381</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472</v>
      </c>
      <c r="B1416">
        <v>2011</v>
      </c>
      <c r="C1416" t="s">
        <v>381</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472</v>
      </c>
      <c r="B1417">
        <v>2010</v>
      </c>
      <c r="C1417" t="s">
        <v>381</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472</v>
      </c>
      <c r="B1418">
        <v>2009</v>
      </c>
      <c r="C1418" t="s">
        <v>381</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472</v>
      </c>
      <c r="B1419">
        <v>2008</v>
      </c>
      <c r="C1419" t="s">
        <v>381</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472</v>
      </c>
      <c r="B1420">
        <v>2007</v>
      </c>
      <c r="C1420" t="s">
        <v>381</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472</v>
      </c>
      <c r="B1421">
        <v>2006</v>
      </c>
      <c r="C1421" t="s">
        <v>381</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472</v>
      </c>
      <c r="B1422">
        <v>2005</v>
      </c>
      <c r="C1422" t="s">
        <v>381</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472</v>
      </c>
      <c r="B1423">
        <v>2004</v>
      </c>
      <c r="C1423" t="s">
        <v>381</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472</v>
      </c>
      <c r="B1424">
        <v>2003</v>
      </c>
      <c r="C1424" t="s">
        <v>381</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472</v>
      </c>
      <c r="B1425">
        <v>2002</v>
      </c>
      <c r="C1425" t="s">
        <v>381</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472</v>
      </c>
      <c r="B1426">
        <v>2001</v>
      </c>
      <c r="C1426" t="s">
        <v>381</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472</v>
      </c>
      <c r="B1427">
        <v>2000</v>
      </c>
      <c r="C1427" t="s">
        <v>381</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473</v>
      </c>
      <c r="B1428">
        <v>2015</v>
      </c>
      <c r="C1428" t="s">
        <v>381</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473</v>
      </c>
      <c r="B1429">
        <v>2014</v>
      </c>
      <c r="C1429" t="s">
        <v>381</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473</v>
      </c>
      <c r="B1430">
        <v>2013</v>
      </c>
      <c r="C1430" t="s">
        <v>381</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473</v>
      </c>
      <c r="B1431">
        <v>2012</v>
      </c>
      <c r="C1431" t="s">
        <v>381</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473</v>
      </c>
      <c r="B1432">
        <v>2011</v>
      </c>
      <c r="C1432" t="s">
        <v>381</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473</v>
      </c>
      <c r="B1433">
        <v>2010</v>
      </c>
      <c r="C1433" t="s">
        <v>381</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473</v>
      </c>
      <c r="B1434">
        <v>2009</v>
      </c>
      <c r="C1434" t="s">
        <v>381</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473</v>
      </c>
      <c r="B1435">
        <v>2008</v>
      </c>
      <c r="C1435" t="s">
        <v>381</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473</v>
      </c>
      <c r="B1436">
        <v>2007</v>
      </c>
      <c r="C1436" t="s">
        <v>381</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473</v>
      </c>
      <c r="B1437">
        <v>2006</v>
      </c>
      <c r="C1437" t="s">
        <v>381</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473</v>
      </c>
      <c r="B1438">
        <v>2005</v>
      </c>
      <c r="C1438" t="s">
        <v>381</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473</v>
      </c>
      <c r="B1439">
        <v>2004</v>
      </c>
      <c r="C1439" t="s">
        <v>381</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473</v>
      </c>
      <c r="B1440">
        <v>2003</v>
      </c>
      <c r="C1440" t="s">
        <v>381</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473</v>
      </c>
      <c r="B1441">
        <v>2002</v>
      </c>
      <c r="C1441" t="s">
        <v>381</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473</v>
      </c>
      <c r="B1442">
        <v>2001</v>
      </c>
      <c r="C1442" t="s">
        <v>381</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473</v>
      </c>
      <c r="B1443">
        <v>2000</v>
      </c>
      <c r="C1443" t="s">
        <v>381</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474</v>
      </c>
      <c r="B1444">
        <v>2015</v>
      </c>
      <c r="C1444" t="s">
        <v>389</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474</v>
      </c>
      <c r="B1445">
        <v>2014</v>
      </c>
      <c r="C1445" t="s">
        <v>389</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474</v>
      </c>
      <c r="B1446">
        <v>2013</v>
      </c>
      <c r="C1446" t="s">
        <v>389</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474</v>
      </c>
      <c r="B1447">
        <v>2012</v>
      </c>
      <c r="C1447" t="s">
        <v>389</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474</v>
      </c>
      <c r="B1448">
        <v>2011</v>
      </c>
      <c r="C1448" t="s">
        <v>389</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474</v>
      </c>
      <c r="B1449">
        <v>2010</v>
      </c>
      <c r="C1449" t="s">
        <v>389</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474</v>
      </c>
      <c r="B1450">
        <v>2009</v>
      </c>
      <c r="C1450" t="s">
        <v>389</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474</v>
      </c>
      <c r="B1451">
        <v>2008</v>
      </c>
      <c r="C1451" t="s">
        <v>389</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474</v>
      </c>
      <c r="B1452">
        <v>2007</v>
      </c>
      <c r="C1452" t="s">
        <v>389</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474</v>
      </c>
      <c r="B1453">
        <v>2006</v>
      </c>
      <c r="C1453" t="s">
        <v>389</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474</v>
      </c>
      <c r="B1454">
        <v>2005</v>
      </c>
      <c r="C1454" t="s">
        <v>389</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474</v>
      </c>
      <c r="B1455">
        <v>2004</v>
      </c>
      <c r="C1455" t="s">
        <v>389</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474</v>
      </c>
      <c r="B1456">
        <v>2003</v>
      </c>
      <c r="C1456" t="s">
        <v>389</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474</v>
      </c>
      <c r="B1457">
        <v>2002</v>
      </c>
      <c r="C1457" t="s">
        <v>389</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474</v>
      </c>
      <c r="B1458">
        <v>2001</v>
      </c>
      <c r="C1458" t="s">
        <v>389</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474</v>
      </c>
      <c r="B1459">
        <v>2000</v>
      </c>
      <c r="C1459" t="s">
        <v>389</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475</v>
      </c>
      <c r="B1460">
        <v>2015</v>
      </c>
      <c r="C1460" t="s">
        <v>381</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475</v>
      </c>
      <c r="B1461">
        <v>2014</v>
      </c>
      <c r="C1461" t="s">
        <v>381</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475</v>
      </c>
      <c r="B1462">
        <v>2013</v>
      </c>
      <c r="C1462" t="s">
        <v>381</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475</v>
      </c>
      <c r="B1463">
        <v>2012</v>
      </c>
      <c r="C1463" t="s">
        <v>381</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475</v>
      </c>
      <c r="B1464">
        <v>2011</v>
      </c>
      <c r="C1464" t="s">
        <v>381</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475</v>
      </c>
      <c r="B1465">
        <v>2010</v>
      </c>
      <c r="C1465" t="s">
        <v>381</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475</v>
      </c>
      <c r="B1466">
        <v>2009</v>
      </c>
      <c r="C1466" t="s">
        <v>381</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475</v>
      </c>
      <c r="B1467">
        <v>2008</v>
      </c>
      <c r="C1467" t="s">
        <v>381</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475</v>
      </c>
      <c r="B1468">
        <v>2007</v>
      </c>
      <c r="C1468" t="s">
        <v>381</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475</v>
      </c>
      <c r="B1469">
        <v>2006</v>
      </c>
      <c r="C1469" t="s">
        <v>381</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475</v>
      </c>
      <c r="B1470">
        <v>2005</v>
      </c>
      <c r="C1470" t="s">
        <v>381</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475</v>
      </c>
      <c r="B1471">
        <v>2004</v>
      </c>
      <c r="C1471" t="s">
        <v>381</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475</v>
      </c>
      <c r="B1472">
        <v>2003</v>
      </c>
      <c r="C1472" t="s">
        <v>381</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475</v>
      </c>
      <c r="B1473">
        <v>2002</v>
      </c>
      <c r="C1473" t="s">
        <v>381</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475</v>
      </c>
      <c r="B1474">
        <v>2001</v>
      </c>
      <c r="C1474" t="s">
        <v>381</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475</v>
      </c>
      <c r="B1475">
        <v>2000</v>
      </c>
      <c r="C1475" t="s">
        <v>381</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476</v>
      </c>
      <c r="B1476">
        <v>2015</v>
      </c>
      <c r="C1476" t="s">
        <v>381</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476</v>
      </c>
      <c r="B1477">
        <v>2014</v>
      </c>
      <c r="C1477" t="s">
        <v>381</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476</v>
      </c>
      <c r="B1478">
        <v>2013</v>
      </c>
      <c r="C1478" t="s">
        <v>381</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476</v>
      </c>
      <c r="B1479">
        <v>2012</v>
      </c>
      <c r="C1479" t="s">
        <v>381</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476</v>
      </c>
      <c r="B1480">
        <v>2011</v>
      </c>
      <c r="C1480" t="s">
        <v>381</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476</v>
      </c>
      <c r="B1481">
        <v>2010</v>
      </c>
      <c r="C1481" t="s">
        <v>381</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476</v>
      </c>
      <c r="B1482">
        <v>2009</v>
      </c>
      <c r="C1482" t="s">
        <v>381</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476</v>
      </c>
      <c r="B1483">
        <v>2008</v>
      </c>
      <c r="C1483" t="s">
        <v>381</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476</v>
      </c>
      <c r="B1484">
        <v>2007</v>
      </c>
      <c r="C1484" t="s">
        <v>381</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476</v>
      </c>
      <c r="B1485">
        <v>2006</v>
      </c>
      <c r="C1485" t="s">
        <v>381</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476</v>
      </c>
      <c r="B1486">
        <v>2005</v>
      </c>
      <c r="C1486" t="s">
        <v>381</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476</v>
      </c>
      <c r="B1487">
        <v>2004</v>
      </c>
      <c r="C1487" t="s">
        <v>381</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476</v>
      </c>
      <c r="B1488">
        <v>2003</v>
      </c>
      <c r="C1488" t="s">
        <v>381</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476</v>
      </c>
      <c r="B1489">
        <v>2002</v>
      </c>
      <c r="C1489" t="s">
        <v>381</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476</v>
      </c>
      <c r="B1490">
        <v>2001</v>
      </c>
      <c r="C1490" t="s">
        <v>381</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476</v>
      </c>
      <c r="B1491">
        <v>2000</v>
      </c>
      <c r="C1491" t="s">
        <v>381</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477</v>
      </c>
      <c r="B1492">
        <v>2015</v>
      </c>
      <c r="C1492" t="s">
        <v>381</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477</v>
      </c>
      <c r="B1493">
        <v>2014</v>
      </c>
      <c r="C1493" t="s">
        <v>381</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477</v>
      </c>
      <c r="B1494">
        <v>2013</v>
      </c>
      <c r="C1494" t="s">
        <v>381</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477</v>
      </c>
      <c r="B1495">
        <v>2012</v>
      </c>
      <c r="C1495" t="s">
        <v>381</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477</v>
      </c>
      <c r="B1496">
        <v>2011</v>
      </c>
      <c r="C1496" t="s">
        <v>381</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477</v>
      </c>
      <c r="B1497">
        <v>2010</v>
      </c>
      <c r="C1497" t="s">
        <v>381</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477</v>
      </c>
      <c r="B1498">
        <v>2009</v>
      </c>
      <c r="C1498" t="s">
        <v>381</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477</v>
      </c>
      <c r="B1499">
        <v>2008</v>
      </c>
      <c r="C1499" t="s">
        <v>381</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477</v>
      </c>
      <c r="B1500">
        <v>2007</v>
      </c>
      <c r="C1500" t="s">
        <v>381</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477</v>
      </c>
      <c r="B1501">
        <v>2006</v>
      </c>
      <c r="C1501" t="s">
        <v>381</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477</v>
      </c>
      <c r="B1502">
        <v>2005</v>
      </c>
      <c r="C1502" t="s">
        <v>381</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477</v>
      </c>
      <c r="B1503">
        <v>2004</v>
      </c>
      <c r="C1503" t="s">
        <v>381</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477</v>
      </c>
      <c r="B1504">
        <v>2003</v>
      </c>
      <c r="C1504" t="s">
        <v>381</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477</v>
      </c>
      <c r="B1505">
        <v>2002</v>
      </c>
      <c r="C1505" t="s">
        <v>381</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477</v>
      </c>
      <c r="B1506">
        <v>2001</v>
      </c>
      <c r="C1506" t="s">
        <v>381</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477</v>
      </c>
      <c r="B1507">
        <v>2000</v>
      </c>
      <c r="C1507" t="s">
        <v>381</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478</v>
      </c>
      <c r="B1508">
        <v>2015</v>
      </c>
      <c r="C1508" t="s">
        <v>381</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478</v>
      </c>
      <c r="B1509">
        <v>2014</v>
      </c>
      <c r="C1509" t="s">
        <v>381</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478</v>
      </c>
      <c r="B1510">
        <v>2013</v>
      </c>
      <c r="C1510" t="s">
        <v>381</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478</v>
      </c>
      <c r="B1511">
        <v>2012</v>
      </c>
      <c r="C1511" t="s">
        <v>381</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478</v>
      </c>
      <c r="B1512">
        <v>2011</v>
      </c>
      <c r="C1512" t="s">
        <v>381</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478</v>
      </c>
      <c r="B1513">
        <v>2010</v>
      </c>
      <c r="C1513" t="s">
        <v>381</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478</v>
      </c>
      <c r="B1514">
        <v>2009</v>
      </c>
      <c r="C1514" t="s">
        <v>381</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478</v>
      </c>
      <c r="B1515">
        <v>2008</v>
      </c>
      <c r="C1515" t="s">
        <v>381</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478</v>
      </c>
      <c r="B1516">
        <v>2007</v>
      </c>
      <c r="C1516" t="s">
        <v>381</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478</v>
      </c>
      <c r="B1517">
        <v>2006</v>
      </c>
      <c r="C1517" t="s">
        <v>381</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478</v>
      </c>
      <c r="B1518">
        <v>2005</v>
      </c>
      <c r="C1518" t="s">
        <v>381</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478</v>
      </c>
      <c r="B1519">
        <v>2004</v>
      </c>
      <c r="C1519" t="s">
        <v>381</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478</v>
      </c>
      <c r="B1520">
        <v>2003</v>
      </c>
      <c r="C1520" t="s">
        <v>381</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478</v>
      </c>
      <c r="B1521">
        <v>2002</v>
      </c>
      <c r="C1521" t="s">
        <v>381</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478</v>
      </c>
      <c r="B1522">
        <v>2001</v>
      </c>
      <c r="C1522" t="s">
        <v>381</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478</v>
      </c>
      <c r="B1523">
        <v>2000</v>
      </c>
      <c r="C1523" t="s">
        <v>381</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479</v>
      </c>
      <c r="B1524">
        <v>2015</v>
      </c>
      <c r="C1524" t="s">
        <v>389</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479</v>
      </c>
      <c r="B1525">
        <v>2014</v>
      </c>
      <c r="C1525" t="s">
        <v>389</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479</v>
      </c>
      <c r="B1526">
        <v>2013</v>
      </c>
      <c r="C1526" t="s">
        <v>389</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479</v>
      </c>
      <c r="B1527">
        <v>2012</v>
      </c>
      <c r="C1527" t="s">
        <v>389</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479</v>
      </c>
      <c r="B1528">
        <v>2011</v>
      </c>
      <c r="C1528" t="s">
        <v>389</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479</v>
      </c>
      <c r="B1529">
        <v>2010</v>
      </c>
      <c r="C1529" t="s">
        <v>389</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479</v>
      </c>
      <c r="B1530">
        <v>2009</v>
      </c>
      <c r="C1530" t="s">
        <v>389</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479</v>
      </c>
      <c r="B1531">
        <v>2008</v>
      </c>
      <c r="C1531" t="s">
        <v>389</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479</v>
      </c>
      <c r="B1532">
        <v>2007</v>
      </c>
      <c r="C1532" t="s">
        <v>389</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479</v>
      </c>
      <c r="B1533">
        <v>2006</v>
      </c>
      <c r="C1533" t="s">
        <v>389</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479</v>
      </c>
      <c r="B1534">
        <v>2005</v>
      </c>
      <c r="C1534" t="s">
        <v>389</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479</v>
      </c>
      <c r="B1535">
        <v>2004</v>
      </c>
      <c r="C1535" t="s">
        <v>389</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479</v>
      </c>
      <c r="B1536">
        <v>2003</v>
      </c>
      <c r="C1536" t="s">
        <v>389</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479</v>
      </c>
      <c r="B1537">
        <v>2002</v>
      </c>
      <c r="C1537" t="s">
        <v>389</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479</v>
      </c>
      <c r="B1538">
        <v>2001</v>
      </c>
      <c r="C1538" t="s">
        <v>389</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479</v>
      </c>
      <c r="B1539">
        <v>2000</v>
      </c>
      <c r="C1539" t="s">
        <v>389</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480</v>
      </c>
      <c r="B1540">
        <v>2015</v>
      </c>
      <c r="C1540" t="s">
        <v>389</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480</v>
      </c>
      <c r="B1541">
        <v>2014</v>
      </c>
      <c r="C1541" t="s">
        <v>389</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480</v>
      </c>
      <c r="B1542">
        <v>2013</v>
      </c>
      <c r="C1542" t="s">
        <v>389</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480</v>
      </c>
      <c r="B1543">
        <v>2012</v>
      </c>
      <c r="C1543" t="s">
        <v>389</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480</v>
      </c>
      <c r="B1544">
        <v>2011</v>
      </c>
      <c r="C1544" t="s">
        <v>389</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480</v>
      </c>
      <c r="B1545">
        <v>2010</v>
      </c>
      <c r="C1545" t="s">
        <v>389</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480</v>
      </c>
      <c r="B1546">
        <v>2009</v>
      </c>
      <c r="C1546" t="s">
        <v>389</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480</v>
      </c>
      <c r="B1547">
        <v>2008</v>
      </c>
      <c r="C1547" t="s">
        <v>389</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480</v>
      </c>
      <c r="B1548">
        <v>2007</v>
      </c>
      <c r="C1548" t="s">
        <v>389</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480</v>
      </c>
      <c r="B1549">
        <v>2006</v>
      </c>
      <c r="C1549" t="s">
        <v>389</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480</v>
      </c>
      <c r="B1550">
        <v>2005</v>
      </c>
      <c r="C1550" t="s">
        <v>389</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480</v>
      </c>
      <c r="B1551">
        <v>2004</v>
      </c>
      <c r="C1551" t="s">
        <v>389</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480</v>
      </c>
      <c r="B1552">
        <v>2003</v>
      </c>
      <c r="C1552" t="s">
        <v>389</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480</v>
      </c>
      <c r="B1553">
        <v>2002</v>
      </c>
      <c r="C1553" t="s">
        <v>389</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480</v>
      </c>
      <c r="B1554">
        <v>2001</v>
      </c>
      <c r="C1554" t="s">
        <v>389</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480</v>
      </c>
      <c r="B1555">
        <v>2000</v>
      </c>
      <c r="C1555" t="s">
        <v>389</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481</v>
      </c>
      <c r="B1556">
        <v>2015</v>
      </c>
      <c r="C1556" t="s">
        <v>381</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481</v>
      </c>
      <c r="B1557">
        <v>2014</v>
      </c>
      <c r="C1557" t="s">
        <v>381</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481</v>
      </c>
      <c r="B1558">
        <v>2013</v>
      </c>
      <c r="C1558" t="s">
        <v>381</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481</v>
      </c>
      <c r="B1559">
        <v>2012</v>
      </c>
      <c r="C1559" t="s">
        <v>381</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481</v>
      </c>
      <c r="B1560">
        <v>2011</v>
      </c>
      <c r="C1560" t="s">
        <v>381</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481</v>
      </c>
      <c r="B1561">
        <v>2010</v>
      </c>
      <c r="C1561" t="s">
        <v>381</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481</v>
      </c>
      <c r="B1562">
        <v>2009</v>
      </c>
      <c r="C1562" t="s">
        <v>381</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481</v>
      </c>
      <c r="B1563">
        <v>2008</v>
      </c>
      <c r="C1563" t="s">
        <v>381</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481</v>
      </c>
      <c r="B1564">
        <v>2007</v>
      </c>
      <c r="C1564" t="s">
        <v>381</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481</v>
      </c>
      <c r="B1565">
        <v>2006</v>
      </c>
      <c r="C1565" t="s">
        <v>381</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481</v>
      </c>
      <c r="B1566">
        <v>2005</v>
      </c>
      <c r="C1566" t="s">
        <v>381</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481</v>
      </c>
      <c r="B1567">
        <v>2004</v>
      </c>
      <c r="C1567" t="s">
        <v>381</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481</v>
      </c>
      <c r="B1568">
        <v>2003</v>
      </c>
      <c r="C1568" t="s">
        <v>381</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481</v>
      </c>
      <c r="B1569">
        <v>2002</v>
      </c>
      <c r="C1569" t="s">
        <v>381</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481</v>
      </c>
      <c r="B1570">
        <v>2001</v>
      </c>
      <c r="C1570" t="s">
        <v>381</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481</v>
      </c>
      <c r="B1571">
        <v>2000</v>
      </c>
      <c r="C1571" t="s">
        <v>381</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482</v>
      </c>
      <c r="B1572">
        <v>2015</v>
      </c>
      <c r="C1572" t="s">
        <v>381</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482</v>
      </c>
      <c r="B1573">
        <v>2014</v>
      </c>
      <c r="C1573" t="s">
        <v>381</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482</v>
      </c>
      <c r="B1574">
        <v>2013</v>
      </c>
      <c r="C1574" t="s">
        <v>381</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482</v>
      </c>
      <c r="B1575">
        <v>2012</v>
      </c>
      <c r="C1575" t="s">
        <v>381</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482</v>
      </c>
      <c r="B1576">
        <v>2011</v>
      </c>
      <c r="C1576" t="s">
        <v>381</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482</v>
      </c>
      <c r="B1577">
        <v>2010</v>
      </c>
      <c r="C1577" t="s">
        <v>381</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482</v>
      </c>
      <c r="B1578">
        <v>2009</v>
      </c>
      <c r="C1578" t="s">
        <v>381</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482</v>
      </c>
      <c r="B1579">
        <v>2008</v>
      </c>
      <c r="C1579" t="s">
        <v>381</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482</v>
      </c>
      <c r="B1580">
        <v>2007</v>
      </c>
      <c r="C1580" t="s">
        <v>381</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482</v>
      </c>
      <c r="B1581">
        <v>2006</v>
      </c>
      <c r="C1581" t="s">
        <v>381</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482</v>
      </c>
      <c r="B1582">
        <v>2005</v>
      </c>
      <c r="C1582" t="s">
        <v>381</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482</v>
      </c>
      <c r="B1583">
        <v>2004</v>
      </c>
      <c r="C1583" t="s">
        <v>381</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482</v>
      </c>
      <c r="B1584">
        <v>2003</v>
      </c>
      <c r="C1584" t="s">
        <v>381</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482</v>
      </c>
      <c r="B1585">
        <v>2002</v>
      </c>
      <c r="C1585" t="s">
        <v>381</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482</v>
      </c>
      <c r="B1586">
        <v>2001</v>
      </c>
      <c r="C1586" t="s">
        <v>381</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482</v>
      </c>
      <c r="B1587">
        <v>2000</v>
      </c>
      <c r="C1587" t="s">
        <v>381</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483</v>
      </c>
      <c r="B1588">
        <v>2015</v>
      </c>
      <c r="C1588" t="s">
        <v>381</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483</v>
      </c>
      <c r="B1589">
        <v>2014</v>
      </c>
      <c r="C1589" t="s">
        <v>381</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483</v>
      </c>
      <c r="B1590">
        <v>2013</v>
      </c>
      <c r="C1590" t="s">
        <v>381</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483</v>
      </c>
      <c r="B1591">
        <v>2012</v>
      </c>
      <c r="C1591" t="s">
        <v>381</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483</v>
      </c>
      <c r="B1592">
        <v>2011</v>
      </c>
      <c r="C1592" t="s">
        <v>381</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483</v>
      </c>
      <c r="B1593">
        <v>2010</v>
      </c>
      <c r="C1593" t="s">
        <v>381</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483</v>
      </c>
      <c r="B1594">
        <v>2009</v>
      </c>
      <c r="C1594" t="s">
        <v>381</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483</v>
      </c>
      <c r="B1595">
        <v>2008</v>
      </c>
      <c r="C1595" t="s">
        <v>381</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483</v>
      </c>
      <c r="B1596">
        <v>2007</v>
      </c>
      <c r="C1596" t="s">
        <v>381</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483</v>
      </c>
      <c r="B1597">
        <v>2006</v>
      </c>
      <c r="C1597" t="s">
        <v>381</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483</v>
      </c>
      <c r="B1598">
        <v>2005</v>
      </c>
      <c r="C1598" t="s">
        <v>381</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483</v>
      </c>
      <c r="B1599">
        <v>2004</v>
      </c>
      <c r="C1599" t="s">
        <v>381</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483</v>
      </c>
      <c r="B1600">
        <v>2003</v>
      </c>
      <c r="C1600" t="s">
        <v>381</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483</v>
      </c>
      <c r="B1601">
        <v>2002</v>
      </c>
      <c r="C1601" t="s">
        <v>381</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483</v>
      </c>
      <c r="B1602">
        <v>2001</v>
      </c>
      <c r="C1602" t="s">
        <v>381</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483</v>
      </c>
      <c r="B1603">
        <v>2000</v>
      </c>
      <c r="C1603" t="s">
        <v>381</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484</v>
      </c>
      <c r="B1604">
        <v>2015</v>
      </c>
      <c r="C1604" t="s">
        <v>381</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484</v>
      </c>
      <c r="B1605">
        <v>2014</v>
      </c>
      <c r="C1605" t="s">
        <v>381</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484</v>
      </c>
      <c r="B1606">
        <v>2013</v>
      </c>
      <c r="C1606" t="s">
        <v>381</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484</v>
      </c>
      <c r="B1607">
        <v>2012</v>
      </c>
      <c r="C1607" t="s">
        <v>381</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484</v>
      </c>
      <c r="B1608">
        <v>2011</v>
      </c>
      <c r="C1608" t="s">
        <v>381</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484</v>
      </c>
      <c r="B1609">
        <v>2010</v>
      </c>
      <c r="C1609" t="s">
        <v>381</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484</v>
      </c>
      <c r="B1610">
        <v>2009</v>
      </c>
      <c r="C1610" t="s">
        <v>381</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484</v>
      </c>
      <c r="B1611">
        <v>2008</v>
      </c>
      <c r="C1611" t="s">
        <v>381</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484</v>
      </c>
      <c r="B1612">
        <v>2007</v>
      </c>
      <c r="C1612" t="s">
        <v>381</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484</v>
      </c>
      <c r="B1613">
        <v>2006</v>
      </c>
      <c r="C1613" t="s">
        <v>381</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484</v>
      </c>
      <c r="B1614">
        <v>2005</v>
      </c>
      <c r="C1614" t="s">
        <v>381</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484</v>
      </c>
      <c r="B1615">
        <v>2004</v>
      </c>
      <c r="C1615" t="s">
        <v>381</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484</v>
      </c>
      <c r="B1616">
        <v>2003</v>
      </c>
      <c r="C1616" t="s">
        <v>381</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484</v>
      </c>
      <c r="B1617">
        <v>2002</v>
      </c>
      <c r="C1617" t="s">
        <v>381</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484</v>
      </c>
      <c r="B1618">
        <v>2001</v>
      </c>
      <c r="C1618" t="s">
        <v>381</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484</v>
      </c>
      <c r="B1619">
        <v>2000</v>
      </c>
      <c r="C1619" t="s">
        <v>381</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485</v>
      </c>
      <c r="B1620">
        <v>2015</v>
      </c>
      <c r="C1620" t="s">
        <v>381</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485</v>
      </c>
      <c r="B1621">
        <v>2014</v>
      </c>
      <c r="C1621" t="s">
        <v>381</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485</v>
      </c>
      <c r="B1622">
        <v>2013</v>
      </c>
      <c r="C1622" t="s">
        <v>381</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485</v>
      </c>
      <c r="B1623">
        <v>2012</v>
      </c>
      <c r="C1623" t="s">
        <v>381</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485</v>
      </c>
      <c r="B1624">
        <v>2011</v>
      </c>
      <c r="C1624" t="s">
        <v>381</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485</v>
      </c>
      <c r="B1625">
        <v>2010</v>
      </c>
      <c r="C1625" t="s">
        <v>381</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485</v>
      </c>
      <c r="B1626">
        <v>2009</v>
      </c>
      <c r="C1626" t="s">
        <v>381</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485</v>
      </c>
      <c r="B1627">
        <v>2008</v>
      </c>
      <c r="C1627" t="s">
        <v>381</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485</v>
      </c>
      <c r="B1628">
        <v>2007</v>
      </c>
      <c r="C1628" t="s">
        <v>381</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485</v>
      </c>
      <c r="B1629">
        <v>2006</v>
      </c>
      <c r="C1629" t="s">
        <v>381</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485</v>
      </c>
      <c r="B1630">
        <v>2005</v>
      </c>
      <c r="C1630" t="s">
        <v>381</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485</v>
      </c>
      <c r="B1631">
        <v>2004</v>
      </c>
      <c r="C1631" t="s">
        <v>381</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485</v>
      </c>
      <c r="B1632">
        <v>2003</v>
      </c>
      <c r="C1632" t="s">
        <v>381</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485</v>
      </c>
      <c r="B1633">
        <v>2002</v>
      </c>
      <c r="C1633" t="s">
        <v>381</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485</v>
      </c>
      <c r="B1634">
        <v>2001</v>
      </c>
      <c r="C1634" t="s">
        <v>381</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485</v>
      </c>
      <c r="B1635">
        <v>2000</v>
      </c>
      <c r="C1635" t="s">
        <v>381</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486</v>
      </c>
      <c r="B1636">
        <v>2015</v>
      </c>
      <c r="C1636" t="s">
        <v>389</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486</v>
      </c>
      <c r="B1637">
        <v>2014</v>
      </c>
      <c r="C1637" t="s">
        <v>389</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486</v>
      </c>
      <c r="B1638">
        <v>2013</v>
      </c>
      <c r="C1638" t="s">
        <v>389</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486</v>
      </c>
      <c r="B1639">
        <v>2012</v>
      </c>
      <c r="C1639" t="s">
        <v>389</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486</v>
      </c>
      <c r="B1640">
        <v>2011</v>
      </c>
      <c r="C1640" t="s">
        <v>389</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486</v>
      </c>
      <c r="B1641">
        <v>2010</v>
      </c>
      <c r="C1641" t="s">
        <v>389</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486</v>
      </c>
      <c r="B1642">
        <v>2009</v>
      </c>
      <c r="C1642" t="s">
        <v>389</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486</v>
      </c>
      <c r="B1643">
        <v>2008</v>
      </c>
      <c r="C1643" t="s">
        <v>389</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486</v>
      </c>
      <c r="B1644">
        <v>2007</v>
      </c>
      <c r="C1644" t="s">
        <v>389</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486</v>
      </c>
      <c r="B1645">
        <v>2006</v>
      </c>
      <c r="C1645" t="s">
        <v>389</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486</v>
      </c>
      <c r="B1646">
        <v>2005</v>
      </c>
      <c r="C1646" t="s">
        <v>389</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486</v>
      </c>
      <c r="B1647">
        <v>2004</v>
      </c>
      <c r="C1647" t="s">
        <v>389</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486</v>
      </c>
      <c r="B1648">
        <v>2003</v>
      </c>
      <c r="C1648" t="s">
        <v>389</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486</v>
      </c>
      <c r="B1649">
        <v>2002</v>
      </c>
      <c r="C1649" t="s">
        <v>389</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486</v>
      </c>
      <c r="B1650">
        <v>2001</v>
      </c>
      <c r="C1650" t="s">
        <v>389</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486</v>
      </c>
      <c r="B1651">
        <v>2000</v>
      </c>
      <c r="C1651" t="s">
        <v>389</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487</v>
      </c>
      <c r="B1652">
        <v>2013</v>
      </c>
      <c r="C1652" t="s">
        <v>381</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488</v>
      </c>
      <c r="B1653">
        <v>2015</v>
      </c>
      <c r="C1653" t="s">
        <v>381</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488</v>
      </c>
      <c r="B1654">
        <v>2014</v>
      </c>
      <c r="C1654" t="s">
        <v>381</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488</v>
      </c>
      <c r="B1655">
        <v>2013</v>
      </c>
      <c r="C1655" t="s">
        <v>381</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488</v>
      </c>
      <c r="B1656">
        <v>2012</v>
      </c>
      <c r="C1656" t="s">
        <v>381</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488</v>
      </c>
      <c r="B1657">
        <v>2011</v>
      </c>
      <c r="C1657" t="s">
        <v>381</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488</v>
      </c>
      <c r="B1658">
        <v>2010</v>
      </c>
      <c r="C1658" t="s">
        <v>381</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488</v>
      </c>
      <c r="B1659">
        <v>2009</v>
      </c>
      <c r="C1659" t="s">
        <v>381</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488</v>
      </c>
      <c r="B1660">
        <v>2008</v>
      </c>
      <c r="C1660" t="s">
        <v>381</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488</v>
      </c>
      <c r="B1661">
        <v>2007</v>
      </c>
      <c r="C1661" t="s">
        <v>381</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488</v>
      </c>
      <c r="B1662">
        <v>2006</v>
      </c>
      <c r="C1662" t="s">
        <v>381</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488</v>
      </c>
      <c r="B1663">
        <v>2005</v>
      </c>
      <c r="C1663" t="s">
        <v>381</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488</v>
      </c>
      <c r="B1664">
        <v>2004</v>
      </c>
      <c r="C1664" t="s">
        <v>381</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488</v>
      </c>
      <c r="B1665">
        <v>2003</v>
      </c>
      <c r="C1665" t="s">
        <v>381</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488</v>
      </c>
      <c r="B1666">
        <v>2002</v>
      </c>
      <c r="C1666" t="s">
        <v>381</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488</v>
      </c>
      <c r="B1667">
        <v>2001</v>
      </c>
      <c r="C1667" t="s">
        <v>381</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488</v>
      </c>
      <c r="B1668">
        <v>2000</v>
      </c>
      <c r="C1668" t="s">
        <v>381</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489</v>
      </c>
      <c r="B1669">
        <v>2015</v>
      </c>
      <c r="C1669" t="s">
        <v>381</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489</v>
      </c>
      <c r="B1670">
        <v>2014</v>
      </c>
      <c r="C1670" t="s">
        <v>381</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489</v>
      </c>
      <c r="B1671">
        <v>2013</v>
      </c>
      <c r="C1671" t="s">
        <v>381</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489</v>
      </c>
      <c r="B1672">
        <v>2012</v>
      </c>
      <c r="C1672" t="s">
        <v>381</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489</v>
      </c>
      <c r="B1673">
        <v>2011</v>
      </c>
      <c r="C1673" t="s">
        <v>381</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489</v>
      </c>
      <c r="B1674">
        <v>2010</v>
      </c>
      <c r="C1674" t="s">
        <v>381</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489</v>
      </c>
      <c r="B1675">
        <v>2009</v>
      </c>
      <c r="C1675" t="s">
        <v>381</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489</v>
      </c>
      <c r="B1676">
        <v>2008</v>
      </c>
      <c r="C1676" t="s">
        <v>381</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489</v>
      </c>
      <c r="B1677">
        <v>2007</v>
      </c>
      <c r="C1677" t="s">
        <v>381</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489</v>
      </c>
      <c r="B1678">
        <v>2006</v>
      </c>
      <c r="C1678" t="s">
        <v>381</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489</v>
      </c>
      <c r="B1679">
        <v>2005</v>
      </c>
      <c r="C1679" t="s">
        <v>381</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489</v>
      </c>
      <c r="B1680">
        <v>2004</v>
      </c>
      <c r="C1680" t="s">
        <v>381</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489</v>
      </c>
      <c r="B1681">
        <v>2003</v>
      </c>
      <c r="C1681" t="s">
        <v>381</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489</v>
      </c>
      <c r="B1682">
        <v>2002</v>
      </c>
      <c r="C1682" t="s">
        <v>381</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489</v>
      </c>
      <c r="B1683">
        <v>2001</v>
      </c>
      <c r="C1683" t="s">
        <v>381</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489</v>
      </c>
      <c r="B1684">
        <v>2000</v>
      </c>
      <c r="C1684" t="s">
        <v>381</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490</v>
      </c>
      <c r="B1685">
        <v>2015</v>
      </c>
      <c r="C1685" t="s">
        <v>381</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490</v>
      </c>
      <c r="B1686">
        <v>2014</v>
      </c>
      <c r="C1686" t="s">
        <v>381</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490</v>
      </c>
      <c r="B1687">
        <v>2013</v>
      </c>
      <c r="C1687" t="s">
        <v>381</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490</v>
      </c>
      <c r="B1688">
        <v>2012</v>
      </c>
      <c r="C1688" t="s">
        <v>381</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490</v>
      </c>
      <c r="B1689">
        <v>2011</v>
      </c>
      <c r="C1689" t="s">
        <v>381</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490</v>
      </c>
      <c r="B1690">
        <v>2010</v>
      </c>
      <c r="C1690" t="s">
        <v>381</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490</v>
      </c>
      <c r="B1691">
        <v>2009</v>
      </c>
      <c r="C1691" t="s">
        <v>381</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490</v>
      </c>
      <c r="B1692">
        <v>2008</v>
      </c>
      <c r="C1692" t="s">
        <v>381</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490</v>
      </c>
      <c r="B1693">
        <v>2007</v>
      </c>
      <c r="C1693" t="s">
        <v>381</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490</v>
      </c>
      <c r="B1694">
        <v>2006</v>
      </c>
      <c r="C1694" t="s">
        <v>381</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490</v>
      </c>
      <c r="B1695">
        <v>2005</v>
      </c>
      <c r="C1695" t="s">
        <v>381</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490</v>
      </c>
      <c r="B1696">
        <v>2004</v>
      </c>
      <c r="C1696" t="s">
        <v>381</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490</v>
      </c>
      <c r="B1697">
        <v>2003</v>
      </c>
      <c r="C1697" t="s">
        <v>381</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490</v>
      </c>
      <c r="B1698">
        <v>2002</v>
      </c>
      <c r="C1698" t="s">
        <v>381</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490</v>
      </c>
      <c r="B1699">
        <v>2001</v>
      </c>
      <c r="C1699" t="s">
        <v>381</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490</v>
      </c>
      <c r="B1700">
        <v>2000</v>
      </c>
      <c r="C1700" t="s">
        <v>381</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491</v>
      </c>
      <c r="B1701">
        <v>2015</v>
      </c>
      <c r="C1701" t="s">
        <v>381</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491</v>
      </c>
      <c r="B1702">
        <v>2014</v>
      </c>
      <c r="C1702" t="s">
        <v>381</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491</v>
      </c>
      <c r="B1703">
        <v>2013</v>
      </c>
      <c r="C1703" t="s">
        <v>381</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491</v>
      </c>
      <c r="B1704">
        <v>2012</v>
      </c>
      <c r="C1704" t="s">
        <v>381</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491</v>
      </c>
      <c r="B1705">
        <v>2011</v>
      </c>
      <c r="C1705" t="s">
        <v>381</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491</v>
      </c>
      <c r="B1706">
        <v>2010</v>
      </c>
      <c r="C1706" t="s">
        <v>381</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491</v>
      </c>
      <c r="B1707">
        <v>2009</v>
      </c>
      <c r="C1707" t="s">
        <v>381</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491</v>
      </c>
      <c r="B1708">
        <v>2008</v>
      </c>
      <c r="C1708" t="s">
        <v>381</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491</v>
      </c>
      <c r="B1709">
        <v>2007</v>
      </c>
      <c r="C1709" t="s">
        <v>381</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491</v>
      </c>
      <c r="B1710">
        <v>2006</v>
      </c>
      <c r="C1710" t="s">
        <v>381</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491</v>
      </c>
      <c r="B1711">
        <v>2005</v>
      </c>
      <c r="C1711" t="s">
        <v>381</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491</v>
      </c>
      <c r="B1712">
        <v>2004</v>
      </c>
      <c r="C1712" t="s">
        <v>381</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491</v>
      </c>
      <c r="B1713">
        <v>2003</v>
      </c>
      <c r="C1713" t="s">
        <v>381</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491</v>
      </c>
      <c r="B1714">
        <v>2002</v>
      </c>
      <c r="C1714" t="s">
        <v>381</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491</v>
      </c>
      <c r="B1715">
        <v>2001</v>
      </c>
      <c r="C1715" t="s">
        <v>381</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491</v>
      </c>
      <c r="B1716">
        <v>2000</v>
      </c>
      <c r="C1716" t="s">
        <v>381</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492</v>
      </c>
      <c r="B1717">
        <v>2013</v>
      </c>
      <c r="C1717" t="s">
        <v>381</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493</v>
      </c>
      <c r="B1718">
        <v>2015</v>
      </c>
      <c r="C1718" t="s">
        <v>381</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493</v>
      </c>
      <c r="B1719">
        <v>2014</v>
      </c>
      <c r="C1719" t="s">
        <v>381</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493</v>
      </c>
      <c r="B1720">
        <v>2013</v>
      </c>
      <c r="C1720" t="s">
        <v>381</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493</v>
      </c>
      <c r="B1721">
        <v>2012</v>
      </c>
      <c r="C1721" t="s">
        <v>381</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493</v>
      </c>
      <c r="B1722">
        <v>2011</v>
      </c>
      <c r="C1722" t="s">
        <v>381</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493</v>
      </c>
      <c r="B1723">
        <v>2010</v>
      </c>
      <c r="C1723" t="s">
        <v>381</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493</v>
      </c>
      <c r="B1724">
        <v>2009</v>
      </c>
      <c r="C1724" t="s">
        <v>381</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493</v>
      </c>
      <c r="B1725">
        <v>2008</v>
      </c>
      <c r="C1725" t="s">
        <v>381</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493</v>
      </c>
      <c r="B1726">
        <v>2007</v>
      </c>
      <c r="C1726" t="s">
        <v>381</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493</v>
      </c>
      <c r="B1727">
        <v>2006</v>
      </c>
      <c r="C1727" t="s">
        <v>381</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493</v>
      </c>
      <c r="B1728">
        <v>2005</v>
      </c>
      <c r="C1728" t="s">
        <v>381</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493</v>
      </c>
      <c r="B1729">
        <v>2004</v>
      </c>
      <c r="C1729" t="s">
        <v>381</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493</v>
      </c>
      <c r="B1730">
        <v>2003</v>
      </c>
      <c r="C1730" t="s">
        <v>381</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493</v>
      </c>
      <c r="B1731">
        <v>2002</v>
      </c>
      <c r="C1731" t="s">
        <v>381</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493</v>
      </c>
      <c r="B1732">
        <v>2001</v>
      </c>
      <c r="C1732" t="s">
        <v>381</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493</v>
      </c>
      <c r="B1733">
        <v>2000</v>
      </c>
      <c r="C1733" t="s">
        <v>381</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494</v>
      </c>
      <c r="B1734">
        <v>2015</v>
      </c>
      <c r="C1734" t="s">
        <v>381</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494</v>
      </c>
      <c r="B1735">
        <v>2014</v>
      </c>
      <c r="C1735" t="s">
        <v>381</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494</v>
      </c>
      <c r="B1736">
        <v>2013</v>
      </c>
      <c r="C1736" t="s">
        <v>381</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494</v>
      </c>
      <c r="B1737">
        <v>2012</v>
      </c>
      <c r="C1737" t="s">
        <v>381</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494</v>
      </c>
      <c r="B1738">
        <v>2011</v>
      </c>
      <c r="C1738" t="s">
        <v>381</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494</v>
      </c>
      <c r="B1739">
        <v>2010</v>
      </c>
      <c r="C1739" t="s">
        <v>381</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494</v>
      </c>
      <c r="B1740">
        <v>2009</v>
      </c>
      <c r="C1740" t="s">
        <v>381</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494</v>
      </c>
      <c r="B1741">
        <v>2008</v>
      </c>
      <c r="C1741" t="s">
        <v>381</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494</v>
      </c>
      <c r="B1742">
        <v>2007</v>
      </c>
      <c r="C1742" t="s">
        <v>381</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494</v>
      </c>
      <c r="B1743">
        <v>2006</v>
      </c>
      <c r="C1743" t="s">
        <v>381</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494</v>
      </c>
      <c r="B1744">
        <v>2005</v>
      </c>
      <c r="C1744" t="s">
        <v>381</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494</v>
      </c>
      <c r="B1745">
        <v>2004</v>
      </c>
      <c r="C1745" t="s">
        <v>381</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494</v>
      </c>
      <c r="B1746">
        <v>2003</v>
      </c>
      <c r="C1746" t="s">
        <v>381</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494</v>
      </c>
      <c r="B1747">
        <v>2002</v>
      </c>
      <c r="C1747" t="s">
        <v>381</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494</v>
      </c>
      <c r="B1748">
        <v>2001</v>
      </c>
      <c r="C1748" t="s">
        <v>381</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494</v>
      </c>
      <c r="B1749">
        <v>2000</v>
      </c>
      <c r="C1749" t="s">
        <v>381</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495</v>
      </c>
      <c r="B1750">
        <v>2015</v>
      </c>
      <c r="C1750" t="s">
        <v>381</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495</v>
      </c>
      <c r="B1751">
        <v>2014</v>
      </c>
      <c r="C1751" t="s">
        <v>381</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495</v>
      </c>
      <c r="B1752">
        <v>2013</v>
      </c>
      <c r="C1752" t="s">
        <v>381</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495</v>
      </c>
      <c r="B1753">
        <v>2012</v>
      </c>
      <c r="C1753" t="s">
        <v>381</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495</v>
      </c>
      <c r="B1754">
        <v>2011</v>
      </c>
      <c r="C1754" t="s">
        <v>381</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495</v>
      </c>
      <c r="B1755">
        <v>2010</v>
      </c>
      <c r="C1755" t="s">
        <v>381</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495</v>
      </c>
      <c r="B1756">
        <v>2009</v>
      </c>
      <c r="C1756" t="s">
        <v>381</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495</v>
      </c>
      <c r="B1757">
        <v>2008</v>
      </c>
      <c r="C1757" t="s">
        <v>381</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495</v>
      </c>
      <c r="B1758">
        <v>2007</v>
      </c>
      <c r="C1758" t="s">
        <v>381</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495</v>
      </c>
      <c r="B1759">
        <v>2006</v>
      </c>
      <c r="C1759" t="s">
        <v>381</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495</v>
      </c>
      <c r="B1760">
        <v>2005</v>
      </c>
      <c r="C1760" t="s">
        <v>381</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495</v>
      </c>
      <c r="B1761">
        <v>2004</v>
      </c>
      <c r="C1761" t="s">
        <v>381</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495</v>
      </c>
      <c r="B1762">
        <v>2003</v>
      </c>
      <c r="C1762" t="s">
        <v>381</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495</v>
      </c>
      <c r="B1763">
        <v>2002</v>
      </c>
      <c r="C1763" t="s">
        <v>381</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495</v>
      </c>
      <c r="B1764">
        <v>2001</v>
      </c>
      <c r="C1764" t="s">
        <v>381</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495</v>
      </c>
      <c r="B1765">
        <v>2000</v>
      </c>
      <c r="C1765" t="s">
        <v>381</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496</v>
      </c>
      <c r="B1766">
        <v>2015</v>
      </c>
      <c r="C1766" t="s">
        <v>381</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496</v>
      </c>
      <c r="B1767">
        <v>2014</v>
      </c>
      <c r="C1767" t="s">
        <v>381</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496</v>
      </c>
      <c r="B1768">
        <v>2013</v>
      </c>
      <c r="C1768" t="s">
        <v>381</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496</v>
      </c>
      <c r="B1769">
        <v>2012</v>
      </c>
      <c r="C1769" t="s">
        <v>381</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496</v>
      </c>
      <c r="B1770">
        <v>2011</v>
      </c>
      <c r="C1770" t="s">
        <v>381</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496</v>
      </c>
      <c r="B1771">
        <v>2010</v>
      </c>
      <c r="C1771" t="s">
        <v>381</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496</v>
      </c>
      <c r="B1772">
        <v>2009</v>
      </c>
      <c r="C1772" t="s">
        <v>381</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496</v>
      </c>
      <c r="B1773">
        <v>2008</v>
      </c>
      <c r="C1773" t="s">
        <v>381</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496</v>
      </c>
      <c r="B1774">
        <v>2007</v>
      </c>
      <c r="C1774" t="s">
        <v>381</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496</v>
      </c>
      <c r="B1775">
        <v>2006</v>
      </c>
      <c r="C1775" t="s">
        <v>381</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496</v>
      </c>
      <c r="B1776">
        <v>2005</v>
      </c>
      <c r="C1776" t="s">
        <v>381</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496</v>
      </c>
      <c r="B1777">
        <v>2004</v>
      </c>
      <c r="C1777" t="s">
        <v>381</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496</v>
      </c>
      <c r="B1778">
        <v>2003</v>
      </c>
      <c r="C1778" t="s">
        <v>381</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496</v>
      </c>
      <c r="B1779">
        <v>2002</v>
      </c>
      <c r="C1779" t="s">
        <v>381</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496</v>
      </c>
      <c r="B1780">
        <v>2001</v>
      </c>
      <c r="C1780" t="s">
        <v>381</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496</v>
      </c>
      <c r="B1781">
        <v>2000</v>
      </c>
      <c r="C1781" t="s">
        <v>381</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497</v>
      </c>
      <c r="B1782">
        <v>2015</v>
      </c>
      <c r="C1782" t="s">
        <v>381</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497</v>
      </c>
      <c r="B1783">
        <v>2014</v>
      </c>
      <c r="C1783" t="s">
        <v>381</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497</v>
      </c>
      <c r="B1784">
        <v>2013</v>
      </c>
      <c r="C1784" t="s">
        <v>381</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497</v>
      </c>
      <c r="B1785">
        <v>2012</v>
      </c>
      <c r="C1785" t="s">
        <v>381</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497</v>
      </c>
      <c r="B1786">
        <v>2011</v>
      </c>
      <c r="C1786" t="s">
        <v>381</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497</v>
      </c>
      <c r="B1787">
        <v>2010</v>
      </c>
      <c r="C1787" t="s">
        <v>381</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497</v>
      </c>
      <c r="B1788">
        <v>2009</v>
      </c>
      <c r="C1788" t="s">
        <v>381</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497</v>
      </c>
      <c r="B1789">
        <v>2008</v>
      </c>
      <c r="C1789" t="s">
        <v>381</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497</v>
      </c>
      <c r="B1790">
        <v>2007</v>
      </c>
      <c r="C1790" t="s">
        <v>381</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497</v>
      </c>
      <c r="B1791">
        <v>2006</v>
      </c>
      <c r="C1791" t="s">
        <v>381</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497</v>
      </c>
      <c r="B1792">
        <v>2005</v>
      </c>
      <c r="C1792" t="s">
        <v>381</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497</v>
      </c>
      <c r="B1793">
        <v>2004</v>
      </c>
      <c r="C1793" t="s">
        <v>381</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497</v>
      </c>
      <c r="B1794">
        <v>2003</v>
      </c>
      <c r="C1794" t="s">
        <v>381</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497</v>
      </c>
      <c r="B1795">
        <v>2002</v>
      </c>
      <c r="C1795" t="s">
        <v>381</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497</v>
      </c>
      <c r="B1796">
        <v>2001</v>
      </c>
      <c r="C1796" t="s">
        <v>381</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497</v>
      </c>
      <c r="B1797">
        <v>2000</v>
      </c>
      <c r="C1797" t="s">
        <v>381</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498</v>
      </c>
      <c r="B1798">
        <v>2015</v>
      </c>
      <c r="C1798" t="s">
        <v>381</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498</v>
      </c>
      <c r="B1799">
        <v>2014</v>
      </c>
      <c r="C1799" t="s">
        <v>381</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498</v>
      </c>
      <c r="B1800">
        <v>2013</v>
      </c>
      <c r="C1800" t="s">
        <v>381</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498</v>
      </c>
      <c r="B1801">
        <v>2012</v>
      </c>
      <c r="C1801" t="s">
        <v>381</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498</v>
      </c>
      <c r="B1802">
        <v>2011</v>
      </c>
      <c r="C1802" t="s">
        <v>381</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498</v>
      </c>
      <c r="B1803">
        <v>2010</v>
      </c>
      <c r="C1803" t="s">
        <v>381</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498</v>
      </c>
      <c r="B1804">
        <v>2009</v>
      </c>
      <c r="C1804" t="s">
        <v>381</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498</v>
      </c>
      <c r="B1805">
        <v>2008</v>
      </c>
      <c r="C1805" t="s">
        <v>381</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498</v>
      </c>
      <c r="B1806">
        <v>2007</v>
      </c>
      <c r="C1806" t="s">
        <v>381</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498</v>
      </c>
      <c r="B1807">
        <v>2006</v>
      </c>
      <c r="C1807" t="s">
        <v>381</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498</v>
      </c>
      <c r="B1808">
        <v>2005</v>
      </c>
      <c r="C1808" t="s">
        <v>381</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498</v>
      </c>
      <c r="B1809">
        <v>2004</v>
      </c>
      <c r="C1809" t="s">
        <v>381</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498</v>
      </c>
      <c r="B1810">
        <v>2003</v>
      </c>
      <c r="C1810" t="s">
        <v>381</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498</v>
      </c>
      <c r="B1811">
        <v>2002</v>
      </c>
      <c r="C1811" t="s">
        <v>381</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498</v>
      </c>
      <c r="B1812">
        <v>2001</v>
      </c>
      <c r="C1812" t="s">
        <v>381</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498</v>
      </c>
      <c r="B1813">
        <v>2000</v>
      </c>
      <c r="C1813" t="s">
        <v>381</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499</v>
      </c>
      <c r="B1814">
        <v>2013</v>
      </c>
      <c r="C1814" t="s">
        <v>381</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500</v>
      </c>
      <c r="B1815">
        <v>2015</v>
      </c>
      <c r="C1815" t="s">
        <v>381</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500</v>
      </c>
      <c r="B1816">
        <v>2014</v>
      </c>
      <c r="C1816" t="s">
        <v>381</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500</v>
      </c>
      <c r="B1817">
        <v>2013</v>
      </c>
      <c r="C1817" t="s">
        <v>381</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500</v>
      </c>
      <c r="B1818">
        <v>2012</v>
      </c>
      <c r="C1818" t="s">
        <v>381</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500</v>
      </c>
      <c r="B1819">
        <v>2011</v>
      </c>
      <c r="C1819" t="s">
        <v>381</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500</v>
      </c>
      <c r="B1820">
        <v>2010</v>
      </c>
      <c r="C1820" t="s">
        <v>381</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500</v>
      </c>
      <c r="B1821">
        <v>2009</v>
      </c>
      <c r="C1821" t="s">
        <v>381</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500</v>
      </c>
      <c r="B1822">
        <v>2008</v>
      </c>
      <c r="C1822" t="s">
        <v>381</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500</v>
      </c>
      <c r="B1823">
        <v>2007</v>
      </c>
      <c r="C1823" t="s">
        <v>381</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500</v>
      </c>
      <c r="B1824">
        <v>2006</v>
      </c>
      <c r="C1824" t="s">
        <v>381</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500</v>
      </c>
      <c r="B1825">
        <v>2005</v>
      </c>
      <c r="C1825" t="s">
        <v>381</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500</v>
      </c>
      <c r="B1826">
        <v>2004</v>
      </c>
      <c r="C1826" t="s">
        <v>381</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500</v>
      </c>
      <c r="B1827">
        <v>2003</v>
      </c>
      <c r="C1827" t="s">
        <v>381</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500</v>
      </c>
      <c r="B1828">
        <v>2002</v>
      </c>
      <c r="C1828" t="s">
        <v>381</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500</v>
      </c>
      <c r="B1829">
        <v>2001</v>
      </c>
      <c r="C1829" t="s">
        <v>381</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500</v>
      </c>
      <c r="B1830">
        <v>2000</v>
      </c>
      <c r="C1830" t="s">
        <v>381</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501</v>
      </c>
      <c r="B1831">
        <v>2015</v>
      </c>
      <c r="C1831" t="s">
        <v>389</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501</v>
      </c>
      <c r="B1832">
        <v>2014</v>
      </c>
      <c r="C1832" t="s">
        <v>389</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501</v>
      </c>
      <c r="B1833">
        <v>2013</v>
      </c>
      <c r="C1833" t="s">
        <v>389</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501</v>
      </c>
      <c r="B1834">
        <v>2012</v>
      </c>
      <c r="C1834" t="s">
        <v>389</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501</v>
      </c>
      <c r="B1835">
        <v>2011</v>
      </c>
      <c r="C1835" t="s">
        <v>389</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501</v>
      </c>
      <c r="B1836">
        <v>2010</v>
      </c>
      <c r="C1836" t="s">
        <v>389</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501</v>
      </c>
      <c r="B1837">
        <v>2009</v>
      </c>
      <c r="C1837" t="s">
        <v>389</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501</v>
      </c>
      <c r="B1838">
        <v>2008</v>
      </c>
      <c r="C1838" t="s">
        <v>389</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501</v>
      </c>
      <c r="B1839">
        <v>2007</v>
      </c>
      <c r="C1839" t="s">
        <v>389</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501</v>
      </c>
      <c r="B1840">
        <v>2006</v>
      </c>
      <c r="C1840" t="s">
        <v>389</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501</v>
      </c>
      <c r="B1841">
        <v>2005</v>
      </c>
      <c r="C1841" t="s">
        <v>389</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501</v>
      </c>
      <c r="B1842">
        <v>2004</v>
      </c>
      <c r="C1842" t="s">
        <v>389</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501</v>
      </c>
      <c r="B1843">
        <v>2003</v>
      </c>
      <c r="C1843" t="s">
        <v>389</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501</v>
      </c>
      <c r="B1844">
        <v>2002</v>
      </c>
      <c r="C1844" t="s">
        <v>389</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501</v>
      </c>
      <c r="B1845">
        <v>2001</v>
      </c>
      <c r="C1845" t="s">
        <v>389</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501</v>
      </c>
      <c r="B1846">
        <v>2000</v>
      </c>
      <c r="C1846" t="s">
        <v>389</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502</v>
      </c>
      <c r="B1847">
        <v>2015</v>
      </c>
      <c r="C1847" t="s">
        <v>389</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502</v>
      </c>
      <c r="B1848">
        <v>2014</v>
      </c>
      <c r="C1848" t="s">
        <v>389</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502</v>
      </c>
      <c r="B1849">
        <v>2013</v>
      </c>
      <c r="C1849" t="s">
        <v>389</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502</v>
      </c>
      <c r="B1850">
        <v>2012</v>
      </c>
      <c r="C1850" t="s">
        <v>389</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502</v>
      </c>
      <c r="B1851">
        <v>2011</v>
      </c>
      <c r="C1851" t="s">
        <v>389</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502</v>
      </c>
      <c r="B1852">
        <v>2010</v>
      </c>
      <c r="C1852" t="s">
        <v>389</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502</v>
      </c>
      <c r="B1853">
        <v>2009</v>
      </c>
      <c r="C1853" t="s">
        <v>389</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502</v>
      </c>
      <c r="B1854">
        <v>2008</v>
      </c>
      <c r="C1854" t="s">
        <v>389</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502</v>
      </c>
      <c r="B1855">
        <v>2007</v>
      </c>
      <c r="C1855" t="s">
        <v>389</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502</v>
      </c>
      <c r="B1856">
        <v>2006</v>
      </c>
      <c r="C1856" t="s">
        <v>389</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502</v>
      </c>
      <c r="B1857">
        <v>2005</v>
      </c>
      <c r="C1857" t="s">
        <v>389</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502</v>
      </c>
      <c r="B1858">
        <v>2004</v>
      </c>
      <c r="C1858" t="s">
        <v>389</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502</v>
      </c>
      <c r="B1859">
        <v>2003</v>
      </c>
      <c r="C1859" t="s">
        <v>389</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502</v>
      </c>
      <c r="B1860">
        <v>2002</v>
      </c>
      <c r="C1860" t="s">
        <v>389</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502</v>
      </c>
      <c r="B1861">
        <v>2001</v>
      </c>
      <c r="C1861" t="s">
        <v>389</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502</v>
      </c>
      <c r="B1862">
        <v>2000</v>
      </c>
      <c r="C1862" t="s">
        <v>389</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503</v>
      </c>
      <c r="B1863">
        <v>2015</v>
      </c>
      <c r="C1863" t="s">
        <v>381</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503</v>
      </c>
      <c r="B1864">
        <v>2014</v>
      </c>
      <c r="C1864" t="s">
        <v>381</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503</v>
      </c>
      <c r="B1865">
        <v>2013</v>
      </c>
      <c r="C1865" t="s">
        <v>381</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503</v>
      </c>
      <c r="B1866">
        <v>2012</v>
      </c>
      <c r="C1866" t="s">
        <v>381</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503</v>
      </c>
      <c r="B1867">
        <v>2011</v>
      </c>
      <c r="C1867" t="s">
        <v>381</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503</v>
      </c>
      <c r="B1868">
        <v>2010</v>
      </c>
      <c r="C1868" t="s">
        <v>381</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503</v>
      </c>
      <c r="B1869">
        <v>2009</v>
      </c>
      <c r="C1869" t="s">
        <v>381</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503</v>
      </c>
      <c r="B1870">
        <v>2008</v>
      </c>
      <c r="C1870" t="s">
        <v>381</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503</v>
      </c>
      <c r="B1871">
        <v>2007</v>
      </c>
      <c r="C1871" t="s">
        <v>381</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503</v>
      </c>
      <c r="B1872">
        <v>2006</v>
      </c>
      <c r="C1872" t="s">
        <v>381</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503</v>
      </c>
      <c r="B1873">
        <v>2005</v>
      </c>
      <c r="C1873" t="s">
        <v>381</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503</v>
      </c>
      <c r="B1874">
        <v>2004</v>
      </c>
      <c r="C1874" t="s">
        <v>381</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503</v>
      </c>
      <c r="B1875">
        <v>2003</v>
      </c>
      <c r="C1875" t="s">
        <v>381</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503</v>
      </c>
      <c r="B1876">
        <v>2002</v>
      </c>
      <c r="C1876" t="s">
        <v>381</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503</v>
      </c>
      <c r="B1877">
        <v>2001</v>
      </c>
      <c r="C1877" t="s">
        <v>381</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503</v>
      </c>
      <c r="B1878">
        <v>2000</v>
      </c>
      <c r="C1878" t="s">
        <v>381</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504</v>
      </c>
      <c r="B1879">
        <v>2015</v>
      </c>
      <c r="C1879" t="s">
        <v>381</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504</v>
      </c>
      <c r="B1880">
        <v>2014</v>
      </c>
      <c r="C1880" t="s">
        <v>381</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504</v>
      </c>
      <c r="B1881">
        <v>2013</v>
      </c>
      <c r="C1881" t="s">
        <v>381</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504</v>
      </c>
      <c r="B1882">
        <v>2012</v>
      </c>
      <c r="C1882" t="s">
        <v>381</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504</v>
      </c>
      <c r="B1883">
        <v>2011</v>
      </c>
      <c r="C1883" t="s">
        <v>381</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504</v>
      </c>
      <c r="B1884">
        <v>2010</v>
      </c>
      <c r="C1884" t="s">
        <v>381</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504</v>
      </c>
      <c r="B1885">
        <v>2009</v>
      </c>
      <c r="C1885" t="s">
        <v>381</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504</v>
      </c>
      <c r="B1886">
        <v>2008</v>
      </c>
      <c r="C1886" t="s">
        <v>381</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504</v>
      </c>
      <c r="B1887">
        <v>2007</v>
      </c>
      <c r="C1887" t="s">
        <v>381</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504</v>
      </c>
      <c r="B1888">
        <v>2006</v>
      </c>
      <c r="C1888" t="s">
        <v>381</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504</v>
      </c>
      <c r="B1889">
        <v>2005</v>
      </c>
      <c r="C1889" t="s">
        <v>381</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504</v>
      </c>
      <c r="B1890">
        <v>2004</v>
      </c>
      <c r="C1890" t="s">
        <v>381</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504</v>
      </c>
      <c r="B1891">
        <v>2003</v>
      </c>
      <c r="C1891" t="s">
        <v>381</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504</v>
      </c>
      <c r="B1892">
        <v>2002</v>
      </c>
      <c r="C1892" t="s">
        <v>381</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504</v>
      </c>
      <c r="B1893">
        <v>2001</v>
      </c>
      <c r="C1893" t="s">
        <v>381</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504</v>
      </c>
      <c r="B1894">
        <v>2000</v>
      </c>
      <c r="C1894" t="s">
        <v>381</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505</v>
      </c>
      <c r="B1895">
        <v>2015</v>
      </c>
      <c r="C1895" t="s">
        <v>381</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505</v>
      </c>
      <c r="B1896">
        <v>2014</v>
      </c>
      <c r="C1896" t="s">
        <v>381</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505</v>
      </c>
      <c r="B1897">
        <v>2013</v>
      </c>
      <c r="C1897" t="s">
        <v>381</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505</v>
      </c>
      <c r="B1898">
        <v>2012</v>
      </c>
      <c r="C1898" t="s">
        <v>381</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505</v>
      </c>
      <c r="B1899">
        <v>2011</v>
      </c>
      <c r="C1899" t="s">
        <v>381</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505</v>
      </c>
      <c r="B1900">
        <v>2010</v>
      </c>
      <c r="C1900" t="s">
        <v>381</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505</v>
      </c>
      <c r="B1901">
        <v>2009</v>
      </c>
      <c r="C1901" t="s">
        <v>381</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505</v>
      </c>
      <c r="B1902">
        <v>2008</v>
      </c>
      <c r="C1902" t="s">
        <v>381</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505</v>
      </c>
      <c r="B1903">
        <v>2007</v>
      </c>
      <c r="C1903" t="s">
        <v>381</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505</v>
      </c>
      <c r="B1904">
        <v>2006</v>
      </c>
      <c r="C1904" t="s">
        <v>381</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505</v>
      </c>
      <c r="B1905">
        <v>2005</v>
      </c>
      <c r="C1905" t="s">
        <v>381</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505</v>
      </c>
      <c r="B1906">
        <v>2004</v>
      </c>
      <c r="C1906" t="s">
        <v>381</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505</v>
      </c>
      <c r="B1907">
        <v>2003</v>
      </c>
      <c r="C1907" t="s">
        <v>381</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505</v>
      </c>
      <c r="B1908">
        <v>2002</v>
      </c>
      <c r="C1908" t="s">
        <v>381</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505</v>
      </c>
      <c r="B1909">
        <v>2001</v>
      </c>
      <c r="C1909" t="s">
        <v>381</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505</v>
      </c>
      <c r="B1910">
        <v>2000</v>
      </c>
      <c r="C1910" t="s">
        <v>381</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506</v>
      </c>
      <c r="B1911">
        <v>2013</v>
      </c>
      <c r="C1911" t="s">
        <v>381</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507</v>
      </c>
      <c r="B1912">
        <v>2015</v>
      </c>
      <c r="C1912" t="s">
        <v>389</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507</v>
      </c>
      <c r="B1913">
        <v>2014</v>
      </c>
      <c r="C1913" t="s">
        <v>389</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507</v>
      </c>
      <c r="B1914">
        <v>2013</v>
      </c>
      <c r="C1914" t="s">
        <v>389</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507</v>
      </c>
      <c r="B1915">
        <v>2012</v>
      </c>
      <c r="C1915" t="s">
        <v>389</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507</v>
      </c>
      <c r="B1916">
        <v>2011</v>
      </c>
      <c r="C1916" t="s">
        <v>389</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507</v>
      </c>
      <c r="B1917">
        <v>2010</v>
      </c>
      <c r="C1917" t="s">
        <v>389</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507</v>
      </c>
      <c r="B1918">
        <v>2009</v>
      </c>
      <c r="C1918" t="s">
        <v>389</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507</v>
      </c>
      <c r="B1919">
        <v>2008</v>
      </c>
      <c r="C1919" t="s">
        <v>389</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507</v>
      </c>
      <c r="B1920">
        <v>2007</v>
      </c>
      <c r="C1920" t="s">
        <v>389</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507</v>
      </c>
      <c r="B1921">
        <v>2006</v>
      </c>
      <c r="C1921" t="s">
        <v>389</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507</v>
      </c>
      <c r="B1922">
        <v>2005</v>
      </c>
      <c r="C1922" t="s">
        <v>389</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507</v>
      </c>
      <c r="B1923">
        <v>2004</v>
      </c>
      <c r="C1923" t="s">
        <v>389</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507</v>
      </c>
      <c r="B1924">
        <v>2003</v>
      </c>
      <c r="C1924" t="s">
        <v>389</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507</v>
      </c>
      <c r="B1925">
        <v>2002</v>
      </c>
      <c r="C1925" t="s">
        <v>389</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507</v>
      </c>
      <c r="B1926">
        <v>2001</v>
      </c>
      <c r="C1926" t="s">
        <v>389</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507</v>
      </c>
      <c r="B1927">
        <v>2000</v>
      </c>
      <c r="C1927" t="s">
        <v>389</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508</v>
      </c>
      <c r="B1928">
        <v>2015</v>
      </c>
      <c r="C1928" t="s">
        <v>381</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508</v>
      </c>
      <c r="B1929">
        <v>2014</v>
      </c>
      <c r="C1929" t="s">
        <v>381</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508</v>
      </c>
      <c r="B1930">
        <v>2013</v>
      </c>
      <c r="C1930" t="s">
        <v>381</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508</v>
      </c>
      <c r="B1931">
        <v>2012</v>
      </c>
      <c r="C1931" t="s">
        <v>381</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508</v>
      </c>
      <c r="B1932">
        <v>2011</v>
      </c>
      <c r="C1932" t="s">
        <v>381</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508</v>
      </c>
      <c r="B1933">
        <v>2010</v>
      </c>
      <c r="C1933" t="s">
        <v>381</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508</v>
      </c>
      <c r="B1934">
        <v>2009</v>
      </c>
      <c r="C1934" t="s">
        <v>381</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508</v>
      </c>
      <c r="B1935">
        <v>2008</v>
      </c>
      <c r="C1935" t="s">
        <v>381</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508</v>
      </c>
      <c r="B1936">
        <v>2007</v>
      </c>
      <c r="C1936" t="s">
        <v>381</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508</v>
      </c>
      <c r="B1937">
        <v>2006</v>
      </c>
      <c r="C1937" t="s">
        <v>381</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508</v>
      </c>
      <c r="B1938">
        <v>2005</v>
      </c>
      <c r="C1938" t="s">
        <v>381</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508</v>
      </c>
      <c r="B1939">
        <v>2004</v>
      </c>
      <c r="C1939" t="s">
        <v>381</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508</v>
      </c>
      <c r="B1940">
        <v>2003</v>
      </c>
      <c r="C1940" t="s">
        <v>381</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508</v>
      </c>
      <c r="B1941">
        <v>2002</v>
      </c>
      <c r="C1941" t="s">
        <v>381</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508</v>
      </c>
      <c r="B1942">
        <v>2001</v>
      </c>
      <c r="C1942" t="s">
        <v>381</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508</v>
      </c>
      <c r="B1943">
        <v>2000</v>
      </c>
      <c r="C1943" t="s">
        <v>381</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509</v>
      </c>
      <c r="B1944">
        <v>2015</v>
      </c>
      <c r="C1944" t="s">
        <v>381</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509</v>
      </c>
      <c r="B1945">
        <v>2014</v>
      </c>
      <c r="C1945" t="s">
        <v>381</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509</v>
      </c>
      <c r="B1946">
        <v>2013</v>
      </c>
      <c r="C1946" t="s">
        <v>381</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509</v>
      </c>
      <c r="B1947">
        <v>2012</v>
      </c>
      <c r="C1947" t="s">
        <v>381</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509</v>
      </c>
      <c r="B1948">
        <v>2011</v>
      </c>
      <c r="C1948" t="s">
        <v>381</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509</v>
      </c>
      <c r="B1949">
        <v>2010</v>
      </c>
      <c r="C1949" t="s">
        <v>381</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509</v>
      </c>
      <c r="B1950">
        <v>2009</v>
      </c>
      <c r="C1950" t="s">
        <v>381</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509</v>
      </c>
      <c r="B1951">
        <v>2008</v>
      </c>
      <c r="C1951" t="s">
        <v>381</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509</v>
      </c>
      <c r="B1952">
        <v>2007</v>
      </c>
      <c r="C1952" t="s">
        <v>381</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509</v>
      </c>
      <c r="B1953">
        <v>2006</v>
      </c>
      <c r="C1953" t="s">
        <v>381</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509</v>
      </c>
      <c r="B1954">
        <v>2005</v>
      </c>
      <c r="C1954" t="s">
        <v>381</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509</v>
      </c>
      <c r="B1955">
        <v>2004</v>
      </c>
      <c r="C1955" t="s">
        <v>381</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509</v>
      </c>
      <c r="B1956">
        <v>2003</v>
      </c>
      <c r="C1956" t="s">
        <v>381</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509</v>
      </c>
      <c r="B1957">
        <v>2002</v>
      </c>
      <c r="C1957" t="s">
        <v>381</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509</v>
      </c>
      <c r="B1958">
        <v>2001</v>
      </c>
      <c r="C1958" t="s">
        <v>381</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509</v>
      </c>
      <c r="B1959">
        <v>2000</v>
      </c>
      <c r="C1959" t="s">
        <v>381</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510</v>
      </c>
      <c r="B1960">
        <v>2013</v>
      </c>
      <c r="C1960" t="s">
        <v>381</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511</v>
      </c>
      <c r="B1961">
        <v>2015</v>
      </c>
      <c r="C1961" t="s">
        <v>381</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511</v>
      </c>
      <c r="B1962">
        <v>2014</v>
      </c>
      <c r="C1962" t="s">
        <v>381</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511</v>
      </c>
      <c r="B1963">
        <v>2013</v>
      </c>
      <c r="C1963" t="s">
        <v>381</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511</v>
      </c>
      <c r="B1964">
        <v>2012</v>
      </c>
      <c r="C1964" t="s">
        <v>381</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511</v>
      </c>
      <c r="B1965">
        <v>2011</v>
      </c>
      <c r="C1965" t="s">
        <v>381</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511</v>
      </c>
      <c r="B1966">
        <v>2010</v>
      </c>
      <c r="C1966" t="s">
        <v>381</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511</v>
      </c>
      <c r="B1967">
        <v>2009</v>
      </c>
      <c r="C1967" t="s">
        <v>381</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511</v>
      </c>
      <c r="B1968">
        <v>2008</v>
      </c>
      <c r="C1968" t="s">
        <v>381</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511</v>
      </c>
      <c r="B1969">
        <v>2007</v>
      </c>
      <c r="C1969" t="s">
        <v>381</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511</v>
      </c>
      <c r="B1970">
        <v>2006</v>
      </c>
      <c r="C1970" t="s">
        <v>381</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511</v>
      </c>
      <c r="B1971">
        <v>2005</v>
      </c>
      <c r="C1971" t="s">
        <v>381</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511</v>
      </c>
      <c r="B1972">
        <v>2004</v>
      </c>
      <c r="C1972" t="s">
        <v>381</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511</v>
      </c>
      <c r="B1973">
        <v>2003</v>
      </c>
      <c r="C1973" t="s">
        <v>381</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511</v>
      </c>
      <c r="B1974">
        <v>2002</v>
      </c>
      <c r="C1974" t="s">
        <v>381</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511</v>
      </c>
      <c r="B1975">
        <v>2001</v>
      </c>
      <c r="C1975" t="s">
        <v>381</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511</v>
      </c>
      <c r="B1976">
        <v>2000</v>
      </c>
      <c r="C1976" t="s">
        <v>381</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512</v>
      </c>
      <c r="B1977">
        <v>2015</v>
      </c>
      <c r="C1977" t="s">
        <v>381</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512</v>
      </c>
      <c r="B1978">
        <v>2014</v>
      </c>
      <c r="C1978" t="s">
        <v>381</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512</v>
      </c>
      <c r="B1979">
        <v>2013</v>
      </c>
      <c r="C1979" t="s">
        <v>381</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512</v>
      </c>
      <c r="B1980">
        <v>2012</v>
      </c>
      <c r="C1980" t="s">
        <v>381</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512</v>
      </c>
      <c r="B1981">
        <v>2011</v>
      </c>
      <c r="C1981" t="s">
        <v>381</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512</v>
      </c>
      <c r="B1982">
        <v>2010</v>
      </c>
      <c r="C1982" t="s">
        <v>381</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512</v>
      </c>
      <c r="B1983">
        <v>2009</v>
      </c>
      <c r="C1983" t="s">
        <v>381</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512</v>
      </c>
      <c r="B1984">
        <v>2008</v>
      </c>
      <c r="C1984" t="s">
        <v>381</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512</v>
      </c>
      <c r="B1985">
        <v>2007</v>
      </c>
      <c r="C1985" t="s">
        <v>381</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512</v>
      </c>
      <c r="B1986">
        <v>2006</v>
      </c>
      <c r="C1986" t="s">
        <v>381</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512</v>
      </c>
      <c r="B1987">
        <v>2005</v>
      </c>
      <c r="C1987" t="s">
        <v>381</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512</v>
      </c>
      <c r="B1988">
        <v>2004</v>
      </c>
      <c r="C1988" t="s">
        <v>381</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512</v>
      </c>
      <c r="B1989">
        <v>2003</v>
      </c>
      <c r="C1989" t="s">
        <v>381</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512</v>
      </c>
      <c r="B1990">
        <v>2002</v>
      </c>
      <c r="C1990" t="s">
        <v>381</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512</v>
      </c>
      <c r="B1991">
        <v>2001</v>
      </c>
      <c r="C1991" t="s">
        <v>381</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512</v>
      </c>
      <c r="B1992">
        <v>2000</v>
      </c>
      <c r="C1992" t="s">
        <v>381</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513</v>
      </c>
      <c r="B1993">
        <v>2015</v>
      </c>
      <c r="C1993" t="s">
        <v>381</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513</v>
      </c>
      <c r="B1994">
        <v>2014</v>
      </c>
      <c r="C1994" t="s">
        <v>381</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513</v>
      </c>
      <c r="B1995">
        <v>2013</v>
      </c>
      <c r="C1995" t="s">
        <v>381</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513</v>
      </c>
      <c r="B1996">
        <v>2012</v>
      </c>
      <c r="C1996" t="s">
        <v>381</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513</v>
      </c>
      <c r="B1997">
        <v>2011</v>
      </c>
      <c r="C1997" t="s">
        <v>381</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513</v>
      </c>
      <c r="B1998">
        <v>2010</v>
      </c>
      <c r="C1998" t="s">
        <v>381</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513</v>
      </c>
      <c r="B1999">
        <v>2009</v>
      </c>
      <c r="C1999" t="s">
        <v>381</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513</v>
      </c>
      <c r="B2000">
        <v>2008</v>
      </c>
      <c r="C2000" t="s">
        <v>381</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513</v>
      </c>
      <c r="B2001">
        <v>2007</v>
      </c>
      <c r="C2001" t="s">
        <v>381</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513</v>
      </c>
      <c r="B2002">
        <v>2006</v>
      </c>
      <c r="C2002" t="s">
        <v>381</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513</v>
      </c>
      <c r="B2003">
        <v>2005</v>
      </c>
      <c r="C2003" t="s">
        <v>381</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513</v>
      </c>
      <c r="B2004">
        <v>2004</v>
      </c>
      <c r="C2004" t="s">
        <v>381</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513</v>
      </c>
      <c r="B2005">
        <v>2003</v>
      </c>
      <c r="C2005" t="s">
        <v>381</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513</v>
      </c>
      <c r="B2006">
        <v>2002</v>
      </c>
      <c r="C2006" t="s">
        <v>381</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513</v>
      </c>
      <c r="B2007">
        <v>2001</v>
      </c>
      <c r="C2007" t="s">
        <v>381</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513</v>
      </c>
      <c r="B2008">
        <v>2000</v>
      </c>
      <c r="C2008" t="s">
        <v>381</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514</v>
      </c>
      <c r="B2009">
        <v>2015</v>
      </c>
      <c r="C2009" t="s">
        <v>381</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514</v>
      </c>
      <c r="B2010">
        <v>2014</v>
      </c>
      <c r="C2010" t="s">
        <v>381</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514</v>
      </c>
      <c r="B2011">
        <v>2013</v>
      </c>
      <c r="C2011" t="s">
        <v>381</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514</v>
      </c>
      <c r="B2012">
        <v>2012</v>
      </c>
      <c r="C2012" t="s">
        <v>381</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514</v>
      </c>
      <c r="B2013">
        <v>2011</v>
      </c>
      <c r="C2013" t="s">
        <v>381</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514</v>
      </c>
      <c r="B2014">
        <v>2010</v>
      </c>
      <c r="C2014" t="s">
        <v>381</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514</v>
      </c>
      <c r="B2015">
        <v>2009</v>
      </c>
      <c r="C2015" t="s">
        <v>381</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514</v>
      </c>
      <c r="B2016">
        <v>2008</v>
      </c>
      <c r="C2016" t="s">
        <v>381</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514</v>
      </c>
      <c r="B2017">
        <v>2007</v>
      </c>
      <c r="C2017" t="s">
        <v>381</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514</v>
      </c>
      <c r="B2018">
        <v>2006</v>
      </c>
      <c r="C2018" t="s">
        <v>381</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514</v>
      </c>
      <c r="B2019">
        <v>2005</v>
      </c>
      <c r="C2019" t="s">
        <v>381</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514</v>
      </c>
      <c r="B2020">
        <v>2004</v>
      </c>
      <c r="C2020" t="s">
        <v>381</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514</v>
      </c>
      <c r="B2021">
        <v>2003</v>
      </c>
      <c r="C2021" t="s">
        <v>381</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514</v>
      </c>
      <c r="B2022">
        <v>2002</v>
      </c>
      <c r="C2022" t="s">
        <v>381</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514</v>
      </c>
      <c r="B2023">
        <v>2001</v>
      </c>
      <c r="C2023" t="s">
        <v>381</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514</v>
      </c>
      <c r="B2024">
        <v>2000</v>
      </c>
      <c r="C2024" t="s">
        <v>381</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515</v>
      </c>
      <c r="B2025">
        <v>2015</v>
      </c>
      <c r="C2025" t="s">
        <v>381</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515</v>
      </c>
      <c r="B2026">
        <v>2014</v>
      </c>
      <c r="C2026" t="s">
        <v>381</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515</v>
      </c>
      <c r="B2027">
        <v>2013</v>
      </c>
      <c r="C2027" t="s">
        <v>381</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515</v>
      </c>
      <c r="B2028">
        <v>2012</v>
      </c>
      <c r="C2028" t="s">
        <v>381</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515</v>
      </c>
      <c r="B2029">
        <v>2011</v>
      </c>
      <c r="C2029" t="s">
        <v>381</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515</v>
      </c>
      <c r="B2030">
        <v>2010</v>
      </c>
      <c r="C2030" t="s">
        <v>381</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515</v>
      </c>
      <c r="B2031">
        <v>2009</v>
      </c>
      <c r="C2031" t="s">
        <v>381</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515</v>
      </c>
      <c r="B2032">
        <v>2008</v>
      </c>
      <c r="C2032" t="s">
        <v>381</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515</v>
      </c>
      <c r="B2033">
        <v>2007</v>
      </c>
      <c r="C2033" t="s">
        <v>381</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515</v>
      </c>
      <c r="B2034">
        <v>2006</v>
      </c>
      <c r="C2034" t="s">
        <v>381</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515</v>
      </c>
      <c r="B2035">
        <v>2005</v>
      </c>
      <c r="C2035" t="s">
        <v>381</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515</v>
      </c>
      <c r="B2036">
        <v>2004</v>
      </c>
      <c r="C2036" t="s">
        <v>381</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515</v>
      </c>
      <c r="B2037">
        <v>2003</v>
      </c>
      <c r="C2037" t="s">
        <v>381</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515</v>
      </c>
      <c r="B2038">
        <v>2002</v>
      </c>
      <c r="C2038" t="s">
        <v>381</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515</v>
      </c>
      <c r="B2039">
        <v>2001</v>
      </c>
      <c r="C2039" t="s">
        <v>381</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515</v>
      </c>
      <c r="B2040">
        <v>2000</v>
      </c>
      <c r="C2040" t="s">
        <v>381</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516</v>
      </c>
      <c r="B2041">
        <v>2015</v>
      </c>
      <c r="C2041" t="s">
        <v>389</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516</v>
      </c>
      <c r="B2042">
        <v>2014</v>
      </c>
      <c r="C2042" t="s">
        <v>389</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516</v>
      </c>
      <c r="B2043">
        <v>2013</v>
      </c>
      <c r="C2043" t="s">
        <v>389</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516</v>
      </c>
      <c r="B2044">
        <v>2012</v>
      </c>
      <c r="C2044" t="s">
        <v>389</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516</v>
      </c>
      <c r="B2045">
        <v>2011</v>
      </c>
      <c r="C2045" t="s">
        <v>389</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516</v>
      </c>
      <c r="B2046">
        <v>2010</v>
      </c>
      <c r="C2046" t="s">
        <v>389</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516</v>
      </c>
      <c r="B2047">
        <v>2009</v>
      </c>
      <c r="C2047" t="s">
        <v>389</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516</v>
      </c>
      <c r="B2048">
        <v>2008</v>
      </c>
      <c r="C2048" t="s">
        <v>389</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516</v>
      </c>
      <c r="B2049">
        <v>2007</v>
      </c>
      <c r="C2049" t="s">
        <v>389</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516</v>
      </c>
      <c r="B2050">
        <v>2006</v>
      </c>
      <c r="C2050" t="s">
        <v>389</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516</v>
      </c>
      <c r="B2051">
        <v>2005</v>
      </c>
      <c r="C2051" t="s">
        <v>389</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516</v>
      </c>
      <c r="B2052">
        <v>2004</v>
      </c>
      <c r="C2052" t="s">
        <v>389</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516</v>
      </c>
      <c r="B2053">
        <v>2003</v>
      </c>
      <c r="C2053" t="s">
        <v>389</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516</v>
      </c>
      <c r="B2054">
        <v>2002</v>
      </c>
      <c r="C2054" t="s">
        <v>389</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516</v>
      </c>
      <c r="B2055">
        <v>2001</v>
      </c>
      <c r="C2055" t="s">
        <v>389</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516</v>
      </c>
      <c r="B2056">
        <v>2000</v>
      </c>
      <c r="C2056" t="s">
        <v>389</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517</v>
      </c>
      <c r="B2057">
        <v>2015</v>
      </c>
      <c r="C2057" t="s">
        <v>389</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517</v>
      </c>
      <c r="B2058">
        <v>2014</v>
      </c>
      <c r="C2058" t="s">
        <v>389</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517</v>
      </c>
      <c r="B2059">
        <v>2013</v>
      </c>
      <c r="C2059" t="s">
        <v>389</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517</v>
      </c>
      <c r="B2060">
        <v>2012</v>
      </c>
      <c r="C2060" t="s">
        <v>389</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517</v>
      </c>
      <c r="B2061">
        <v>2011</v>
      </c>
      <c r="C2061" t="s">
        <v>389</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517</v>
      </c>
      <c r="B2062">
        <v>2010</v>
      </c>
      <c r="C2062" t="s">
        <v>389</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517</v>
      </c>
      <c r="B2063">
        <v>2009</v>
      </c>
      <c r="C2063" t="s">
        <v>389</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517</v>
      </c>
      <c r="B2064">
        <v>2008</v>
      </c>
      <c r="C2064" t="s">
        <v>389</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517</v>
      </c>
      <c r="B2065">
        <v>2007</v>
      </c>
      <c r="C2065" t="s">
        <v>389</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517</v>
      </c>
      <c r="B2066">
        <v>2006</v>
      </c>
      <c r="C2066" t="s">
        <v>389</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517</v>
      </c>
      <c r="B2067">
        <v>2005</v>
      </c>
      <c r="C2067" t="s">
        <v>389</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517</v>
      </c>
      <c r="B2068">
        <v>2004</v>
      </c>
      <c r="C2068" t="s">
        <v>389</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517</v>
      </c>
      <c r="B2069">
        <v>2003</v>
      </c>
      <c r="C2069" t="s">
        <v>389</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517</v>
      </c>
      <c r="B2070">
        <v>2002</v>
      </c>
      <c r="C2070" t="s">
        <v>389</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517</v>
      </c>
      <c r="B2071">
        <v>2001</v>
      </c>
      <c r="C2071" t="s">
        <v>389</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517</v>
      </c>
      <c r="B2072">
        <v>2000</v>
      </c>
      <c r="C2072" t="s">
        <v>389</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518</v>
      </c>
      <c r="B2073">
        <v>2015</v>
      </c>
      <c r="C2073" t="s">
        <v>381</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518</v>
      </c>
      <c r="B2074">
        <v>2014</v>
      </c>
      <c r="C2074" t="s">
        <v>381</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518</v>
      </c>
      <c r="B2075">
        <v>2013</v>
      </c>
      <c r="C2075" t="s">
        <v>381</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518</v>
      </c>
      <c r="B2076">
        <v>2012</v>
      </c>
      <c r="C2076" t="s">
        <v>381</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518</v>
      </c>
      <c r="B2077">
        <v>2011</v>
      </c>
      <c r="C2077" t="s">
        <v>381</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518</v>
      </c>
      <c r="B2078">
        <v>2010</v>
      </c>
      <c r="C2078" t="s">
        <v>381</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518</v>
      </c>
      <c r="B2079">
        <v>2009</v>
      </c>
      <c r="C2079" t="s">
        <v>381</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518</v>
      </c>
      <c r="B2080">
        <v>2008</v>
      </c>
      <c r="C2080" t="s">
        <v>381</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518</v>
      </c>
      <c r="B2081">
        <v>2007</v>
      </c>
      <c r="C2081" t="s">
        <v>381</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518</v>
      </c>
      <c r="B2082">
        <v>2006</v>
      </c>
      <c r="C2082" t="s">
        <v>381</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518</v>
      </c>
      <c r="B2083">
        <v>2005</v>
      </c>
      <c r="C2083" t="s">
        <v>381</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518</v>
      </c>
      <c r="B2084">
        <v>2004</v>
      </c>
      <c r="C2084" t="s">
        <v>381</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518</v>
      </c>
      <c r="B2085">
        <v>2003</v>
      </c>
      <c r="C2085" t="s">
        <v>381</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518</v>
      </c>
      <c r="B2086">
        <v>2002</v>
      </c>
      <c r="C2086" t="s">
        <v>381</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518</v>
      </c>
      <c r="B2087">
        <v>2001</v>
      </c>
      <c r="C2087" t="s">
        <v>381</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518</v>
      </c>
      <c r="B2088">
        <v>2000</v>
      </c>
      <c r="C2088" t="s">
        <v>381</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519</v>
      </c>
      <c r="B2089">
        <v>2015</v>
      </c>
      <c r="C2089" t="s">
        <v>381</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519</v>
      </c>
      <c r="B2090">
        <v>2014</v>
      </c>
      <c r="C2090" t="s">
        <v>381</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519</v>
      </c>
      <c r="B2091">
        <v>2013</v>
      </c>
      <c r="C2091" t="s">
        <v>381</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519</v>
      </c>
      <c r="B2092">
        <v>2012</v>
      </c>
      <c r="C2092" t="s">
        <v>381</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519</v>
      </c>
      <c r="B2093">
        <v>2011</v>
      </c>
      <c r="C2093" t="s">
        <v>381</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519</v>
      </c>
      <c r="B2094">
        <v>2010</v>
      </c>
      <c r="C2094" t="s">
        <v>381</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519</v>
      </c>
      <c r="B2095">
        <v>2009</v>
      </c>
      <c r="C2095" t="s">
        <v>381</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519</v>
      </c>
      <c r="B2096">
        <v>2008</v>
      </c>
      <c r="C2096" t="s">
        <v>381</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519</v>
      </c>
      <c r="B2097">
        <v>2007</v>
      </c>
      <c r="C2097" t="s">
        <v>381</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519</v>
      </c>
      <c r="B2098">
        <v>2006</v>
      </c>
      <c r="C2098" t="s">
        <v>381</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519</v>
      </c>
      <c r="B2099">
        <v>2005</v>
      </c>
      <c r="C2099" t="s">
        <v>381</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519</v>
      </c>
      <c r="B2100">
        <v>2004</v>
      </c>
      <c r="C2100" t="s">
        <v>381</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519</v>
      </c>
      <c r="B2101">
        <v>2003</v>
      </c>
      <c r="C2101" t="s">
        <v>381</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519</v>
      </c>
      <c r="B2102">
        <v>2002</v>
      </c>
      <c r="C2102" t="s">
        <v>381</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519</v>
      </c>
      <c r="B2103">
        <v>2001</v>
      </c>
      <c r="C2103" t="s">
        <v>381</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519</v>
      </c>
      <c r="B2104">
        <v>2000</v>
      </c>
      <c r="C2104" t="s">
        <v>381</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520</v>
      </c>
      <c r="B2105">
        <v>2015</v>
      </c>
      <c r="C2105" t="s">
        <v>381</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520</v>
      </c>
      <c r="B2106">
        <v>2014</v>
      </c>
      <c r="C2106" t="s">
        <v>381</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520</v>
      </c>
      <c r="B2107">
        <v>2013</v>
      </c>
      <c r="C2107" t="s">
        <v>381</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520</v>
      </c>
      <c r="B2108">
        <v>2012</v>
      </c>
      <c r="C2108" t="s">
        <v>381</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520</v>
      </c>
      <c r="B2109">
        <v>2011</v>
      </c>
      <c r="C2109" t="s">
        <v>381</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520</v>
      </c>
      <c r="B2110">
        <v>2010</v>
      </c>
      <c r="C2110" t="s">
        <v>381</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520</v>
      </c>
      <c r="B2111">
        <v>2009</v>
      </c>
      <c r="C2111" t="s">
        <v>381</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520</v>
      </c>
      <c r="B2112">
        <v>2008</v>
      </c>
      <c r="C2112" t="s">
        <v>381</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520</v>
      </c>
      <c r="B2113">
        <v>2007</v>
      </c>
      <c r="C2113" t="s">
        <v>381</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520</v>
      </c>
      <c r="B2114">
        <v>2006</v>
      </c>
      <c r="C2114" t="s">
        <v>381</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520</v>
      </c>
      <c r="B2115">
        <v>2005</v>
      </c>
      <c r="C2115" t="s">
        <v>381</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520</v>
      </c>
      <c r="B2116">
        <v>2004</v>
      </c>
      <c r="C2116" t="s">
        <v>381</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520</v>
      </c>
      <c r="B2117">
        <v>2003</v>
      </c>
      <c r="C2117" t="s">
        <v>381</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520</v>
      </c>
      <c r="B2118">
        <v>2002</v>
      </c>
      <c r="C2118" t="s">
        <v>381</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520</v>
      </c>
      <c r="B2119">
        <v>2001</v>
      </c>
      <c r="C2119" t="s">
        <v>381</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520</v>
      </c>
      <c r="B2120">
        <v>2000</v>
      </c>
      <c r="C2120" t="s">
        <v>381</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521</v>
      </c>
      <c r="B2121">
        <v>2015</v>
      </c>
      <c r="C2121" t="s">
        <v>389</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521</v>
      </c>
      <c r="B2122">
        <v>2014</v>
      </c>
      <c r="C2122" t="s">
        <v>389</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521</v>
      </c>
      <c r="B2123">
        <v>2013</v>
      </c>
      <c r="C2123" t="s">
        <v>389</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521</v>
      </c>
      <c r="B2124">
        <v>2012</v>
      </c>
      <c r="C2124" t="s">
        <v>389</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521</v>
      </c>
      <c r="B2125">
        <v>2011</v>
      </c>
      <c r="C2125" t="s">
        <v>389</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521</v>
      </c>
      <c r="B2126">
        <v>2010</v>
      </c>
      <c r="C2126" t="s">
        <v>389</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521</v>
      </c>
      <c r="B2127">
        <v>2009</v>
      </c>
      <c r="C2127" t="s">
        <v>389</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521</v>
      </c>
      <c r="B2128">
        <v>2008</v>
      </c>
      <c r="C2128" t="s">
        <v>389</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521</v>
      </c>
      <c r="B2129">
        <v>2007</v>
      </c>
      <c r="C2129" t="s">
        <v>389</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521</v>
      </c>
      <c r="B2130">
        <v>2006</v>
      </c>
      <c r="C2130" t="s">
        <v>389</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521</v>
      </c>
      <c r="B2131">
        <v>2005</v>
      </c>
      <c r="C2131" t="s">
        <v>389</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521</v>
      </c>
      <c r="B2132">
        <v>2004</v>
      </c>
      <c r="C2132" t="s">
        <v>389</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521</v>
      </c>
      <c r="B2133">
        <v>2003</v>
      </c>
      <c r="C2133" t="s">
        <v>389</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521</v>
      </c>
      <c r="B2134">
        <v>2002</v>
      </c>
      <c r="C2134" t="s">
        <v>389</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521</v>
      </c>
      <c r="B2135">
        <v>2001</v>
      </c>
      <c r="C2135" t="s">
        <v>389</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521</v>
      </c>
      <c r="B2136">
        <v>2000</v>
      </c>
      <c r="C2136" t="s">
        <v>389</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522</v>
      </c>
      <c r="B2137">
        <v>2015</v>
      </c>
      <c r="C2137" t="s">
        <v>381</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522</v>
      </c>
      <c r="B2138">
        <v>2014</v>
      </c>
      <c r="C2138" t="s">
        <v>381</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522</v>
      </c>
      <c r="B2139">
        <v>2013</v>
      </c>
      <c r="C2139" t="s">
        <v>381</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522</v>
      </c>
      <c r="B2140">
        <v>2012</v>
      </c>
      <c r="C2140" t="s">
        <v>381</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522</v>
      </c>
      <c r="B2141">
        <v>2011</v>
      </c>
      <c r="C2141" t="s">
        <v>381</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522</v>
      </c>
      <c r="B2142">
        <v>2010</v>
      </c>
      <c r="C2142" t="s">
        <v>381</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522</v>
      </c>
      <c r="B2143">
        <v>2009</v>
      </c>
      <c r="C2143" t="s">
        <v>381</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522</v>
      </c>
      <c r="B2144">
        <v>2008</v>
      </c>
      <c r="C2144" t="s">
        <v>381</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522</v>
      </c>
      <c r="B2145">
        <v>2007</v>
      </c>
      <c r="C2145" t="s">
        <v>381</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522</v>
      </c>
      <c r="B2146">
        <v>2006</v>
      </c>
      <c r="C2146" t="s">
        <v>381</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522</v>
      </c>
      <c r="B2147">
        <v>2005</v>
      </c>
      <c r="C2147" t="s">
        <v>381</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522</v>
      </c>
      <c r="B2148">
        <v>2004</v>
      </c>
      <c r="C2148" t="s">
        <v>381</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522</v>
      </c>
      <c r="B2149">
        <v>2003</v>
      </c>
      <c r="C2149" t="s">
        <v>381</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522</v>
      </c>
      <c r="B2150">
        <v>2002</v>
      </c>
      <c r="C2150" t="s">
        <v>381</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522</v>
      </c>
      <c r="B2151">
        <v>2001</v>
      </c>
      <c r="C2151" t="s">
        <v>381</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522</v>
      </c>
      <c r="B2152">
        <v>2000</v>
      </c>
      <c r="C2152" t="s">
        <v>381</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523</v>
      </c>
      <c r="B2153">
        <v>2015</v>
      </c>
      <c r="C2153" t="s">
        <v>381</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523</v>
      </c>
      <c r="B2154">
        <v>2014</v>
      </c>
      <c r="C2154" t="s">
        <v>381</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523</v>
      </c>
      <c r="B2155">
        <v>2013</v>
      </c>
      <c r="C2155" t="s">
        <v>381</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523</v>
      </c>
      <c r="B2156">
        <v>2012</v>
      </c>
      <c r="C2156" t="s">
        <v>381</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523</v>
      </c>
      <c r="B2157">
        <v>2011</v>
      </c>
      <c r="C2157" t="s">
        <v>381</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523</v>
      </c>
      <c r="B2158">
        <v>2010</v>
      </c>
      <c r="C2158" t="s">
        <v>381</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523</v>
      </c>
      <c r="B2159">
        <v>2009</v>
      </c>
      <c r="C2159" t="s">
        <v>381</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523</v>
      </c>
      <c r="B2160">
        <v>2008</v>
      </c>
      <c r="C2160" t="s">
        <v>381</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523</v>
      </c>
      <c r="B2161">
        <v>2007</v>
      </c>
      <c r="C2161" t="s">
        <v>381</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523</v>
      </c>
      <c r="B2162">
        <v>2006</v>
      </c>
      <c r="C2162" t="s">
        <v>381</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523</v>
      </c>
      <c r="B2163">
        <v>2005</v>
      </c>
      <c r="C2163" t="s">
        <v>381</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523</v>
      </c>
      <c r="B2164">
        <v>2004</v>
      </c>
      <c r="C2164" t="s">
        <v>381</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523</v>
      </c>
      <c r="B2165">
        <v>2003</v>
      </c>
      <c r="C2165" t="s">
        <v>381</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523</v>
      </c>
      <c r="B2166">
        <v>2002</v>
      </c>
      <c r="C2166" t="s">
        <v>381</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523</v>
      </c>
      <c r="B2167">
        <v>2001</v>
      </c>
      <c r="C2167" t="s">
        <v>381</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523</v>
      </c>
      <c r="B2168">
        <v>2000</v>
      </c>
      <c r="C2168" t="s">
        <v>381</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524</v>
      </c>
      <c r="B2169">
        <v>2013</v>
      </c>
      <c r="C2169" t="s">
        <v>381</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525</v>
      </c>
      <c r="B2170">
        <v>2015</v>
      </c>
      <c r="C2170" t="s">
        <v>381</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525</v>
      </c>
      <c r="B2171">
        <v>2014</v>
      </c>
      <c r="C2171" t="s">
        <v>381</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525</v>
      </c>
      <c r="B2172">
        <v>2013</v>
      </c>
      <c r="C2172" t="s">
        <v>381</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525</v>
      </c>
      <c r="B2173">
        <v>2012</v>
      </c>
      <c r="C2173" t="s">
        <v>381</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525</v>
      </c>
      <c r="B2174">
        <v>2011</v>
      </c>
      <c r="C2174" t="s">
        <v>381</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525</v>
      </c>
      <c r="B2175">
        <v>2010</v>
      </c>
      <c r="C2175" t="s">
        <v>381</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525</v>
      </c>
      <c r="B2176">
        <v>2009</v>
      </c>
      <c r="C2176" t="s">
        <v>381</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525</v>
      </c>
      <c r="B2177">
        <v>2008</v>
      </c>
      <c r="C2177" t="s">
        <v>381</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525</v>
      </c>
      <c r="B2178">
        <v>2007</v>
      </c>
      <c r="C2178" t="s">
        <v>381</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525</v>
      </c>
      <c r="B2179">
        <v>2006</v>
      </c>
      <c r="C2179" t="s">
        <v>381</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525</v>
      </c>
      <c r="B2180">
        <v>2005</v>
      </c>
      <c r="C2180" t="s">
        <v>381</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525</v>
      </c>
      <c r="B2181">
        <v>2004</v>
      </c>
      <c r="C2181" t="s">
        <v>381</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525</v>
      </c>
      <c r="B2182">
        <v>2003</v>
      </c>
      <c r="C2182" t="s">
        <v>381</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525</v>
      </c>
      <c r="B2183">
        <v>2002</v>
      </c>
      <c r="C2183" t="s">
        <v>381</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525</v>
      </c>
      <c r="B2184">
        <v>2001</v>
      </c>
      <c r="C2184" t="s">
        <v>381</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525</v>
      </c>
      <c r="B2185">
        <v>2000</v>
      </c>
      <c r="C2185" t="s">
        <v>381</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526</v>
      </c>
      <c r="B2186">
        <v>2015</v>
      </c>
      <c r="C2186" t="s">
        <v>381</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526</v>
      </c>
      <c r="B2187">
        <v>2014</v>
      </c>
      <c r="C2187" t="s">
        <v>381</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526</v>
      </c>
      <c r="B2188">
        <v>2013</v>
      </c>
      <c r="C2188" t="s">
        <v>381</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526</v>
      </c>
      <c r="B2189">
        <v>2012</v>
      </c>
      <c r="C2189" t="s">
        <v>381</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526</v>
      </c>
      <c r="B2190">
        <v>2011</v>
      </c>
      <c r="C2190" t="s">
        <v>381</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526</v>
      </c>
      <c r="B2191">
        <v>2010</v>
      </c>
      <c r="C2191" t="s">
        <v>381</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526</v>
      </c>
      <c r="B2192">
        <v>2009</v>
      </c>
      <c r="C2192" t="s">
        <v>381</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526</v>
      </c>
      <c r="B2193">
        <v>2008</v>
      </c>
      <c r="C2193" t="s">
        <v>381</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526</v>
      </c>
      <c r="B2194">
        <v>2007</v>
      </c>
      <c r="C2194" t="s">
        <v>381</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526</v>
      </c>
      <c r="B2195">
        <v>2006</v>
      </c>
      <c r="C2195" t="s">
        <v>381</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526</v>
      </c>
      <c r="B2196">
        <v>2005</v>
      </c>
      <c r="C2196" t="s">
        <v>381</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526</v>
      </c>
      <c r="B2197">
        <v>2004</v>
      </c>
      <c r="C2197" t="s">
        <v>381</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526</v>
      </c>
      <c r="B2198">
        <v>2003</v>
      </c>
      <c r="C2198" t="s">
        <v>381</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526</v>
      </c>
      <c r="B2199">
        <v>2002</v>
      </c>
      <c r="C2199" t="s">
        <v>381</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526</v>
      </c>
      <c r="B2200">
        <v>2001</v>
      </c>
      <c r="C2200" t="s">
        <v>381</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526</v>
      </c>
      <c r="B2201">
        <v>2000</v>
      </c>
      <c r="C2201" t="s">
        <v>381</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527</v>
      </c>
      <c r="B2202">
        <v>2015</v>
      </c>
      <c r="C2202" t="s">
        <v>381</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527</v>
      </c>
      <c r="B2203">
        <v>2014</v>
      </c>
      <c r="C2203" t="s">
        <v>381</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527</v>
      </c>
      <c r="B2204">
        <v>2013</v>
      </c>
      <c r="C2204" t="s">
        <v>381</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527</v>
      </c>
      <c r="B2205">
        <v>2012</v>
      </c>
      <c r="C2205" t="s">
        <v>381</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527</v>
      </c>
      <c r="B2206">
        <v>2011</v>
      </c>
      <c r="C2206" t="s">
        <v>381</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527</v>
      </c>
      <c r="B2207">
        <v>2010</v>
      </c>
      <c r="C2207" t="s">
        <v>381</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527</v>
      </c>
      <c r="B2208">
        <v>2009</v>
      </c>
      <c r="C2208" t="s">
        <v>381</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527</v>
      </c>
      <c r="B2209">
        <v>2008</v>
      </c>
      <c r="C2209" t="s">
        <v>381</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527</v>
      </c>
      <c r="B2210">
        <v>2007</v>
      </c>
      <c r="C2210" t="s">
        <v>381</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527</v>
      </c>
      <c r="B2211">
        <v>2006</v>
      </c>
      <c r="C2211" t="s">
        <v>381</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527</v>
      </c>
      <c r="B2212">
        <v>2005</v>
      </c>
      <c r="C2212" t="s">
        <v>381</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527</v>
      </c>
      <c r="B2213">
        <v>2004</v>
      </c>
      <c r="C2213" t="s">
        <v>381</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527</v>
      </c>
      <c r="B2214">
        <v>2003</v>
      </c>
      <c r="C2214" t="s">
        <v>381</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527</v>
      </c>
      <c r="B2215">
        <v>2002</v>
      </c>
      <c r="C2215" t="s">
        <v>381</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527</v>
      </c>
      <c r="B2216">
        <v>2001</v>
      </c>
      <c r="C2216" t="s">
        <v>381</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527</v>
      </c>
      <c r="B2217">
        <v>2000</v>
      </c>
      <c r="C2217" t="s">
        <v>381</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528</v>
      </c>
      <c r="B2218">
        <v>2013</v>
      </c>
      <c r="C2218" t="s">
        <v>381</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529</v>
      </c>
      <c r="B2219">
        <v>2015</v>
      </c>
      <c r="C2219" t="s">
        <v>381</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529</v>
      </c>
      <c r="B2220">
        <v>2014</v>
      </c>
      <c r="C2220" t="s">
        <v>381</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529</v>
      </c>
      <c r="B2221">
        <v>2013</v>
      </c>
      <c r="C2221" t="s">
        <v>381</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529</v>
      </c>
      <c r="B2222">
        <v>2012</v>
      </c>
      <c r="C2222" t="s">
        <v>381</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529</v>
      </c>
      <c r="B2223">
        <v>2011</v>
      </c>
      <c r="C2223" t="s">
        <v>381</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529</v>
      </c>
      <c r="B2224">
        <v>2010</v>
      </c>
      <c r="C2224" t="s">
        <v>381</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529</v>
      </c>
      <c r="B2225">
        <v>2009</v>
      </c>
      <c r="C2225" t="s">
        <v>381</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529</v>
      </c>
      <c r="B2226">
        <v>2008</v>
      </c>
      <c r="C2226" t="s">
        <v>381</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529</v>
      </c>
      <c r="B2227">
        <v>2007</v>
      </c>
      <c r="C2227" t="s">
        <v>381</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529</v>
      </c>
      <c r="B2228">
        <v>2006</v>
      </c>
      <c r="C2228" t="s">
        <v>381</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529</v>
      </c>
      <c r="B2229">
        <v>2005</v>
      </c>
      <c r="C2229" t="s">
        <v>381</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529</v>
      </c>
      <c r="B2230">
        <v>2004</v>
      </c>
      <c r="C2230" t="s">
        <v>381</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529</v>
      </c>
      <c r="B2231">
        <v>2003</v>
      </c>
      <c r="C2231" t="s">
        <v>381</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529</v>
      </c>
      <c r="B2232">
        <v>2002</v>
      </c>
      <c r="C2232" t="s">
        <v>381</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529</v>
      </c>
      <c r="B2233">
        <v>2001</v>
      </c>
      <c r="C2233" t="s">
        <v>381</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529</v>
      </c>
      <c r="B2234">
        <v>2000</v>
      </c>
      <c r="C2234" t="s">
        <v>381</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530</v>
      </c>
      <c r="B2235">
        <v>2015</v>
      </c>
      <c r="C2235" t="s">
        <v>381</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530</v>
      </c>
      <c r="B2236">
        <v>2014</v>
      </c>
      <c r="C2236" t="s">
        <v>381</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530</v>
      </c>
      <c r="B2237">
        <v>2013</v>
      </c>
      <c r="C2237" t="s">
        <v>381</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530</v>
      </c>
      <c r="B2238">
        <v>2012</v>
      </c>
      <c r="C2238" t="s">
        <v>381</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530</v>
      </c>
      <c r="B2239">
        <v>2011</v>
      </c>
      <c r="C2239" t="s">
        <v>381</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530</v>
      </c>
      <c r="B2240">
        <v>2010</v>
      </c>
      <c r="C2240" t="s">
        <v>381</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530</v>
      </c>
      <c r="B2241">
        <v>2009</v>
      </c>
      <c r="C2241" t="s">
        <v>381</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530</v>
      </c>
      <c r="B2242">
        <v>2008</v>
      </c>
      <c r="C2242" t="s">
        <v>381</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530</v>
      </c>
      <c r="B2243">
        <v>2007</v>
      </c>
      <c r="C2243" t="s">
        <v>381</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530</v>
      </c>
      <c r="B2244">
        <v>2006</v>
      </c>
      <c r="C2244" t="s">
        <v>381</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530</v>
      </c>
      <c r="B2245">
        <v>2005</v>
      </c>
      <c r="C2245" t="s">
        <v>381</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530</v>
      </c>
      <c r="B2246">
        <v>2004</v>
      </c>
      <c r="C2246" t="s">
        <v>381</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530</v>
      </c>
      <c r="B2247">
        <v>2003</v>
      </c>
      <c r="C2247" t="s">
        <v>381</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530</v>
      </c>
      <c r="B2248">
        <v>2002</v>
      </c>
      <c r="C2248" t="s">
        <v>381</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530</v>
      </c>
      <c r="B2249">
        <v>2001</v>
      </c>
      <c r="C2249" t="s">
        <v>381</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530</v>
      </c>
      <c r="B2250">
        <v>2000</v>
      </c>
      <c r="C2250" t="s">
        <v>381</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531</v>
      </c>
      <c r="B2251">
        <v>2015</v>
      </c>
      <c r="C2251" t="s">
        <v>381</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531</v>
      </c>
      <c r="B2252">
        <v>2014</v>
      </c>
      <c r="C2252" t="s">
        <v>381</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531</v>
      </c>
      <c r="B2253">
        <v>2013</v>
      </c>
      <c r="C2253" t="s">
        <v>381</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531</v>
      </c>
      <c r="B2254">
        <v>2012</v>
      </c>
      <c r="C2254" t="s">
        <v>381</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531</v>
      </c>
      <c r="B2255">
        <v>2011</v>
      </c>
      <c r="C2255" t="s">
        <v>381</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531</v>
      </c>
      <c r="B2256">
        <v>2010</v>
      </c>
      <c r="C2256" t="s">
        <v>381</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531</v>
      </c>
      <c r="B2257">
        <v>2009</v>
      </c>
      <c r="C2257" t="s">
        <v>381</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531</v>
      </c>
      <c r="B2258">
        <v>2008</v>
      </c>
      <c r="C2258" t="s">
        <v>381</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531</v>
      </c>
      <c r="B2259">
        <v>2007</v>
      </c>
      <c r="C2259" t="s">
        <v>381</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531</v>
      </c>
      <c r="B2260">
        <v>2006</v>
      </c>
      <c r="C2260" t="s">
        <v>381</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531</v>
      </c>
      <c r="B2261">
        <v>2005</v>
      </c>
      <c r="C2261" t="s">
        <v>381</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531</v>
      </c>
      <c r="B2262">
        <v>2004</v>
      </c>
      <c r="C2262" t="s">
        <v>381</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531</v>
      </c>
      <c r="B2263">
        <v>2003</v>
      </c>
      <c r="C2263" t="s">
        <v>381</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531</v>
      </c>
      <c r="B2264">
        <v>2002</v>
      </c>
      <c r="C2264" t="s">
        <v>381</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531</v>
      </c>
      <c r="B2265">
        <v>2001</v>
      </c>
      <c r="C2265" t="s">
        <v>381</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531</v>
      </c>
      <c r="B2266">
        <v>2000</v>
      </c>
      <c r="C2266" t="s">
        <v>381</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532</v>
      </c>
      <c r="B2267">
        <v>2015</v>
      </c>
      <c r="C2267" t="s">
        <v>381</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532</v>
      </c>
      <c r="B2268">
        <v>2014</v>
      </c>
      <c r="C2268" t="s">
        <v>381</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532</v>
      </c>
      <c r="B2269">
        <v>2013</v>
      </c>
      <c r="C2269" t="s">
        <v>381</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532</v>
      </c>
      <c r="B2270">
        <v>2012</v>
      </c>
      <c r="C2270" t="s">
        <v>381</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532</v>
      </c>
      <c r="B2271">
        <v>2011</v>
      </c>
      <c r="C2271" t="s">
        <v>381</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532</v>
      </c>
      <c r="B2272">
        <v>2010</v>
      </c>
      <c r="C2272" t="s">
        <v>381</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532</v>
      </c>
      <c r="B2273">
        <v>2009</v>
      </c>
      <c r="C2273" t="s">
        <v>381</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532</v>
      </c>
      <c r="B2274">
        <v>2008</v>
      </c>
      <c r="C2274" t="s">
        <v>381</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532</v>
      </c>
      <c r="B2275">
        <v>2007</v>
      </c>
      <c r="C2275" t="s">
        <v>381</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532</v>
      </c>
      <c r="B2276">
        <v>2006</v>
      </c>
      <c r="C2276" t="s">
        <v>381</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532</v>
      </c>
      <c r="B2277">
        <v>2005</v>
      </c>
      <c r="C2277" t="s">
        <v>381</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532</v>
      </c>
      <c r="B2278">
        <v>2004</v>
      </c>
      <c r="C2278" t="s">
        <v>381</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532</v>
      </c>
      <c r="B2279">
        <v>2003</v>
      </c>
      <c r="C2279" t="s">
        <v>381</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532</v>
      </c>
      <c r="B2280">
        <v>2002</v>
      </c>
      <c r="C2280" t="s">
        <v>381</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532</v>
      </c>
      <c r="B2281">
        <v>2001</v>
      </c>
      <c r="C2281" t="s">
        <v>381</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532</v>
      </c>
      <c r="B2282">
        <v>2000</v>
      </c>
      <c r="C2282" t="s">
        <v>381</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533</v>
      </c>
      <c r="B2283">
        <v>2015</v>
      </c>
      <c r="C2283" t="s">
        <v>381</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533</v>
      </c>
      <c r="B2284">
        <v>2014</v>
      </c>
      <c r="C2284" t="s">
        <v>381</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533</v>
      </c>
      <c r="B2285">
        <v>2013</v>
      </c>
      <c r="C2285" t="s">
        <v>381</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533</v>
      </c>
      <c r="B2286">
        <v>2012</v>
      </c>
      <c r="C2286" t="s">
        <v>381</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533</v>
      </c>
      <c r="B2287">
        <v>2011</v>
      </c>
      <c r="C2287" t="s">
        <v>381</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533</v>
      </c>
      <c r="B2288">
        <v>2010</v>
      </c>
      <c r="C2288" t="s">
        <v>381</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533</v>
      </c>
      <c r="B2289">
        <v>2009</v>
      </c>
      <c r="C2289" t="s">
        <v>381</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533</v>
      </c>
      <c r="B2290">
        <v>2008</v>
      </c>
      <c r="C2290" t="s">
        <v>381</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533</v>
      </c>
      <c r="B2291">
        <v>2007</v>
      </c>
      <c r="C2291" t="s">
        <v>381</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533</v>
      </c>
      <c r="B2292">
        <v>2006</v>
      </c>
      <c r="C2292" t="s">
        <v>381</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533</v>
      </c>
      <c r="B2293">
        <v>2005</v>
      </c>
      <c r="C2293" t="s">
        <v>381</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533</v>
      </c>
      <c r="B2294">
        <v>2004</v>
      </c>
      <c r="C2294" t="s">
        <v>381</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533</v>
      </c>
      <c r="B2295">
        <v>2003</v>
      </c>
      <c r="C2295" t="s">
        <v>381</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533</v>
      </c>
      <c r="B2296">
        <v>2002</v>
      </c>
      <c r="C2296" t="s">
        <v>381</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533</v>
      </c>
      <c r="B2297">
        <v>2001</v>
      </c>
      <c r="C2297" t="s">
        <v>381</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533</v>
      </c>
      <c r="B2298">
        <v>2000</v>
      </c>
      <c r="C2298" t="s">
        <v>381</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534</v>
      </c>
      <c r="B2299">
        <v>2015</v>
      </c>
      <c r="C2299" t="s">
        <v>381</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534</v>
      </c>
      <c r="B2300">
        <v>2014</v>
      </c>
      <c r="C2300" t="s">
        <v>381</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534</v>
      </c>
      <c r="B2301">
        <v>2013</v>
      </c>
      <c r="C2301" t="s">
        <v>381</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534</v>
      </c>
      <c r="B2302">
        <v>2012</v>
      </c>
      <c r="C2302" t="s">
        <v>381</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534</v>
      </c>
      <c r="B2303">
        <v>2011</v>
      </c>
      <c r="C2303" t="s">
        <v>381</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534</v>
      </c>
      <c r="B2304">
        <v>2010</v>
      </c>
      <c r="C2304" t="s">
        <v>381</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534</v>
      </c>
      <c r="B2305">
        <v>2009</v>
      </c>
      <c r="C2305" t="s">
        <v>381</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534</v>
      </c>
      <c r="B2306">
        <v>2008</v>
      </c>
      <c r="C2306" t="s">
        <v>381</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534</v>
      </c>
      <c r="B2307">
        <v>2007</v>
      </c>
      <c r="C2307" t="s">
        <v>381</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534</v>
      </c>
      <c r="B2308">
        <v>2006</v>
      </c>
      <c r="C2308" t="s">
        <v>381</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534</v>
      </c>
      <c r="B2309">
        <v>2005</v>
      </c>
      <c r="C2309" t="s">
        <v>381</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534</v>
      </c>
      <c r="B2310">
        <v>2004</v>
      </c>
      <c r="C2310" t="s">
        <v>381</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534</v>
      </c>
      <c r="B2311">
        <v>2003</v>
      </c>
      <c r="C2311" t="s">
        <v>381</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534</v>
      </c>
      <c r="B2312">
        <v>2002</v>
      </c>
      <c r="C2312" t="s">
        <v>381</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534</v>
      </c>
      <c r="B2313">
        <v>2001</v>
      </c>
      <c r="C2313" t="s">
        <v>381</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534</v>
      </c>
      <c r="B2314">
        <v>2000</v>
      </c>
      <c r="C2314" t="s">
        <v>381</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535</v>
      </c>
      <c r="B2315">
        <v>2015</v>
      </c>
      <c r="C2315" t="s">
        <v>389</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535</v>
      </c>
      <c r="B2316">
        <v>2014</v>
      </c>
      <c r="C2316" t="s">
        <v>389</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535</v>
      </c>
      <c r="B2317">
        <v>2013</v>
      </c>
      <c r="C2317" t="s">
        <v>389</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535</v>
      </c>
      <c r="B2318">
        <v>2012</v>
      </c>
      <c r="C2318" t="s">
        <v>389</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535</v>
      </c>
      <c r="B2319">
        <v>2011</v>
      </c>
      <c r="C2319" t="s">
        <v>389</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535</v>
      </c>
      <c r="B2320">
        <v>2010</v>
      </c>
      <c r="C2320" t="s">
        <v>389</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535</v>
      </c>
      <c r="B2321">
        <v>2009</v>
      </c>
      <c r="C2321" t="s">
        <v>389</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535</v>
      </c>
      <c r="B2322">
        <v>2008</v>
      </c>
      <c r="C2322" t="s">
        <v>389</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535</v>
      </c>
      <c r="B2323">
        <v>2007</v>
      </c>
      <c r="C2323" t="s">
        <v>389</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535</v>
      </c>
      <c r="B2324">
        <v>2006</v>
      </c>
      <c r="C2324" t="s">
        <v>389</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535</v>
      </c>
      <c r="B2325">
        <v>2005</v>
      </c>
      <c r="C2325" t="s">
        <v>389</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535</v>
      </c>
      <c r="B2326">
        <v>2004</v>
      </c>
      <c r="C2326" t="s">
        <v>389</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535</v>
      </c>
      <c r="B2327">
        <v>2003</v>
      </c>
      <c r="C2327" t="s">
        <v>389</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535</v>
      </c>
      <c r="B2328">
        <v>2002</v>
      </c>
      <c r="C2328" t="s">
        <v>389</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535</v>
      </c>
      <c r="B2329">
        <v>2001</v>
      </c>
      <c r="C2329" t="s">
        <v>389</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535</v>
      </c>
      <c r="B2330">
        <v>2000</v>
      </c>
      <c r="C2330" t="s">
        <v>389</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536</v>
      </c>
      <c r="B2331">
        <v>2015</v>
      </c>
      <c r="C2331" t="s">
        <v>389</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536</v>
      </c>
      <c r="B2332">
        <v>2014</v>
      </c>
      <c r="C2332" t="s">
        <v>389</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536</v>
      </c>
      <c r="B2333">
        <v>2013</v>
      </c>
      <c r="C2333" t="s">
        <v>389</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536</v>
      </c>
      <c r="B2334">
        <v>2012</v>
      </c>
      <c r="C2334" t="s">
        <v>389</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536</v>
      </c>
      <c r="B2335">
        <v>2011</v>
      </c>
      <c r="C2335" t="s">
        <v>389</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536</v>
      </c>
      <c r="B2336">
        <v>2010</v>
      </c>
      <c r="C2336" t="s">
        <v>389</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536</v>
      </c>
      <c r="B2337">
        <v>2009</v>
      </c>
      <c r="C2337" t="s">
        <v>389</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536</v>
      </c>
      <c r="B2338">
        <v>2008</v>
      </c>
      <c r="C2338" t="s">
        <v>389</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536</v>
      </c>
      <c r="B2339">
        <v>2007</v>
      </c>
      <c r="C2339" t="s">
        <v>389</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536</v>
      </c>
      <c r="B2340">
        <v>2006</v>
      </c>
      <c r="C2340" t="s">
        <v>389</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536</v>
      </c>
      <c r="B2341">
        <v>2005</v>
      </c>
      <c r="C2341" t="s">
        <v>389</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536</v>
      </c>
      <c r="B2342">
        <v>2004</v>
      </c>
      <c r="C2342" t="s">
        <v>389</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536</v>
      </c>
      <c r="B2343">
        <v>2003</v>
      </c>
      <c r="C2343" t="s">
        <v>389</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536</v>
      </c>
      <c r="B2344">
        <v>2002</v>
      </c>
      <c r="C2344" t="s">
        <v>389</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536</v>
      </c>
      <c r="B2345">
        <v>2001</v>
      </c>
      <c r="C2345" t="s">
        <v>389</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536</v>
      </c>
      <c r="B2346">
        <v>2000</v>
      </c>
      <c r="C2346" t="s">
        <v>389</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537</v>
      </c>
      <c r="B2347">
        <v>2015</v>
      </c>
      <c r="C2347" t="s">
        <v>389</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537</v>
      </c>
      <c r="B2348">
        <v>2014</v>
      </c>
      <c r="C2348" t="s">
        <v>389</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537</v>
      </c>
      <c r="B2349">
        <v>2013</v>
      </c>
      <c r="C2349" t="s">
        <v>389</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537</v>
      </c>
      <c r="B2350">
        <v>2012</v>
      </c>
      <c r="C2350" t="s">
        <v>389</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537</v>
      </c>
      <c r="B2351">
        <v>2011</v>
      </c>
      <c r="C2351" t="s">
        <v>389</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537</v>
      </c>
      <c r="B2352">
        <v>2010</v>
      </c>
      <c r="C2352" t="s">
        <v>389</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537</v>
      </c>
      <c r="B2353">
        <v>2009</v>
      </c>
      <c r="C2353" t="s">
        <v>389</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537</v>
      </c>
      <c r="B2354">
        <v>2008</v>
      </c>
      <c r="C2354" t="s">
        <v>389</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537</v>
      </c>
      <c r="B2355">
        <v>2007</v>
      </c>
      <c r="C2355" t="s">
        <v>389</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537</v>
      </c>
      <c r="B2356">
        <v>2006</v>
      </c>
      <c r="C2356" t="s">
        <v>389</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537</v>
      </c>
      <c r="B2357">
        <v>2005</v>
      </c>
      <c r="C2357" t="s">
        <v>389</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537</v>
      </c>
      <c r="B2358">
        <v>2004</v>
      </c>
      <c r="C2358" t="s">
        <v>389</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537</v>
      </c>
      <c r="B2359">
        <v>2003</v>
      </c>
      <c r="C2359" t="s">
        <v>389</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537</v>
      </c>
      <c r="B2360">
        <v>2002</v>
      </c>
      <c r="C2360" t="s">
        <v>389</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537</v>
      </c>
      <c r="B2361">
        <v>2001</v>
      </c>
      <c r="C2361" t="s">
        <v>389</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537</v>
      </c>
      <c r="B2362">
        <v>2000</v>
      </c>
      <c r="C2362" t="s">
        <v>389</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538</v>
      </c>
      <c r="B2363">
        <v>2015</v>
      </c>
      <c r="C2363" t="s">
        <v>381</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538</v>
      </c>
      <c r="B2364">
        <v>2014</v>
      </c>
      <c r="C2364" t="s">
        <v>381</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538</v>
      </c>
      <c r="B2365">
        <v>2013</v>
      </c>
      <c r="C2365" t="s">
        <v>381</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538</v>
      </c>
      <c r="B2366">
        <v>2012</v>
      </c>
      <c r="C2366" t="s">
        <v>381</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538</v>
      </c>
      <c r="B2367">
        <v>2011</v>
      </c>
      <c r="C2367" t="s">
        <v>381</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538</v>
      </c>
      <c r="B2368">
        <v>2010</v>
      </c>
      <c r="C2368" t="s">
        <v>381</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538</v>
      </c>
      <c r="B2369">
        <v>2009</v>
      </c>
      <c r="C2369" t="s">
        <v>381</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538</v>
      </c>
      <c r="B2370">
        <v>2008</v>
      </c>
      <c r="C2370" t="s">
        <v>381</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538</v>
      </c>
      <c r="B2371">
        <v>2007</v>
      </c>
      <c r="C2371" t="s">
        <v>381</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538</v>
      </c>
      <c r="B2372">
        <v>2006</v>
      </c>
      <c r="C2372" t="s">
        <v>381</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538</v>
      </c>
      <c r="B2373">
        <v>2005</v>
      </c>
      <c r="C2373" t="s">
        <v>381</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538</v>
      </c>
      <c r="B2374">
        <v>2004</v>
      </c>
      <c r="C2374" t="s">
        <v>381</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538</v>
      </c>
      <c r="B2375">
        <v>2003</v>
      </c>
      <c r="C2375" t="s">
        <v>381</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538</v>
      </c>
      <c r="B2376">
        <v>2002</v>
      </c>
      <c r="C2376" t="s">
        <v>381</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538</v>
      </c>
      <c r="B2377">
        <v>2001</v>
      </c>
      <c r="C2377" t="s">
        <v>381</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538</v>
      </c>
      <c r="B2378">
        <v>2000</v>
      </c>
      <c r="C2378" t="s">
        <v>381</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539</v>
      </c>
      <c r="B2379">
        <v>2015</v>
      </c>
      <c r="C2379" t="s">
        <v>381</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539</v>
      </c>
      <c r="B2380">
        <v>2014</v>
      </c>
      <c r="C2380" t="s">
        <v>381</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539</v>
      </c>
      <c r="B2381">
        <v>2013</v>
      </c>
      <c r="C2381" t="s">
        <v>381</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539</v>
      </c>
      <c r="B2382">
        <v>2012</v>
      </c>
      <c r="C2382" t="s">
        <v>381</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539</v>
      </c>
      <c r="B2383">
        <v>2011</v>
      </c>
      <c r="C2383" t="s">
        <v>381</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539</v>
      </c>
      <c r="B2384">
        <v>2010</v>
      </c>
      <c r="C2384" t="s">
        <v>381</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539</v>
      </c>
      <c r="B2385">
        <v>2009</v>
      </c>
      <c r="C2385" t="s">
        <v>381</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539</v>
      </c>
      <c r="B2386">
        <v>2008</v>
      </c>
      <c r="C2386" t="s">
        <v>381</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539</v>
      </c>
      <c r="B2387">
        <v>2007</v>
      </c>
      <c r="C2387" t="s">
        <v>381</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539</v>
      </c>
      <c r="B2388">
        <v>2006</v>
      </c>
      <c r="C2388" t="s">
        <v>381</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539</v>
      </c>
      <c r="B2389">
        <v>2005</v>
      </c>
      <c r="C2389" t="s">
        <v>381</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539</v>
      </c>
      <c r="B2390">
        <v>2004</v>
      </c>
      <c r="C2390" t="s">
        <v>381</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539</v>
      </c>
      <c r="B2391">
        <v>2003</v>
      </c>
      <c r="C2391" t="s">
        <v>381</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539</v>
      </c>
      <c r="B2392">
        <v>2002</v>
      </c>
      <c r="C2392" t="s">
        <v>381</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539</v>
      </c>
      <c r="B2393">
        <v>2001</v>
      </c>
      <c r="C2393" t="s">
        <v>381</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539</v>
      </c>
      <c r="B2394">
        <v>2000</v>
      </c>
      <c r="C2394" t="s">
        <v>381</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540</v>
      </c>
      <c r="B2395">
        <v>2015</v>
      </c>
      <c r="C2395" t="s">
        <v>381</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540</v>
      </c>
      <c r="B2396">
        <v>2014</v>
      </c>
      <c r="C2396" t="s">
        <v>381</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540</v>
      </c>
      <c r="B2397">
        <v>2013</v>
      </c>
      <c r="C2397" t="s">
        <v>381</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540</v>
      </c>
      <c r="B2398">
        <v>2012</v>
      </c>
      <c r="C2398" t="s">
        <v>381</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540</v>
      </c>
      <c r="B2399">
        <v>2011</v>
      </c>
      <c r="C2399" t="s">
        <v>381</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540</v>
      </c>
      <c r="B2400">
        <v>2010</v>
      </c>
      <c r="C2400" t="s">
        <v>381</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540</v>
      </c>
      <c r="B2401">
        <v>2009</v>
      </c>
      <c r="C2401" t="s">
        <v>381</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540</v>
      </c>
      <c r="B2402">
        <v>2008</v>
      </c>
      <c r="C2402" t="s">
        <v>381</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540</v>
      </c>
      <c r="B2403">
        <v>2007</v>
      </c>
      <c r="C2403" t="s">
        <v>381</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540</v>
      </c>
      <c r="B2404">
        <v>2006</v>
      </c>
      <c r="C2404" t="s">
        <v>381</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540</v>
      </c>
      <c r="B2405">
        <v>2005</v>
      </c>
      <c r="C2405" t="s">
        <v>381</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540</v>
      </c>
      <c r="B2406">
        <v>2004</v>
      </c>
      <c r="C2406" t="s">
        <v>381</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540</v>
      </c>
      <c r="B2407">
        <v>2003</v>
      </c>
      <c r="C2407" t="s">
        <v>381</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540</v>
      </c>
      <c r="B2408">
        <v>2002</v>
      </c>
      <c r="C2408" t="s">
        <v>381</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540</v>
      </c>
      <c r="B2409">
        <v>2001</v>
      </c>
      <c r="C2409" t="s">
        <v>381</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540</v>
      </c>
      <c r="B2410">
        <v>2000</v>
      </c>
      <c r="C2410" t="s">
        <v>381</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541</v>
      </c>
      <c r="B2411">
        <v>2015</v>
      </c>
      <c r="C2411" t="s">
        <v>381</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541</v>
      </c>
      <c r="B2412">
        <v>2014</v>
      </c>
      <c r="C2412" t="s">
        <v>381</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541</v>
      </c>
      <c r="B2413">
        <v>2013</v>
      </c>
      <c r="C2413" t="s">
        <v>381</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541</v>
      </c>
      <c r="B2414">
        <v>2012</v>
      </c>
      <c r="C2414" t="s">
        <v>381</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541</v>
      </c>
      <c r="B2415">
        <v>2011</v>
      </c>
      <c r="C2415" t="s">
        <v>381</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541</v>
      </c>
      <c r="B2416">
        <v>2010</v>
      </c>
      <c r="C2416" t="s">
        <v>381</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541</v>
      </c>
      <c r="B2417">
        <v>2009</v>
      </c>
      <c r="C2417" t="s">
        <v>381</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541</v>
      </c>
      <c r="B2418">
        <v>2008</v>
      </c>
      <c r="C2418" t="s">
        <v>381</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541</v>
      </c>
      <c r="B2419">
        <v>2007</v>
      </c>
      <c r="C2419" t="s">
        <v>381</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541</v>
      </c>
      <c r="B2420">
        <v>2006</v>
      </c>
      <c r="C2420" t="s">
        <v>381</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541</v>
      </c>
      <c r="B2421">
        <v>2005</v>
      </c>
      <c r="C2421" t="s">
        <v>381</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541</v>
      </c>
      <c r="B2422">
        <v>2004</v>
      </c>
      <c r="C2422" t="s">
        <v>381</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541</v>
      </c>
      <c r="B2423">
        <v>2003</v>
      </c>
      <c r="C2423" t="s">
        <v>381</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541</v>
      </c>
      <c r="B2424">
        <v>2002</v>
      </c>
      <c r="C2424" t="s">
        <v>381</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541</v>
      </c>
      <c r="B2425">
        <v>2001</v>
      </c>
      <c r="C2425" t="s">
        <v>381</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541</v>
      </c>
      <c r="B2426">
        <v>2000</v>
      </c>
      <c r="C2426" t="s">
        <v>381</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542</v>
      </c>
      <c r="B2427">
        <v>2015</v>
      </c>
      <c r="C2427" t="s">
        <v>389</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542</v>
      </c>
      <c r="B2428">
        <v>2014</v>
      </c>
      <c r="C2428" t="s">
        <v>389</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542</v>
      </c>
      <c r="B2429">
        <v>2013</v>
      </c>
      <c r="C2429" t="s">
        <v>389</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542</v>
      </c>
      <c r="B2430">
        <v>2012</v>
      </c>
      <c r="C2430" t="s">
        <v>389</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542</v>
      </c>
      <c r="B2431">
        <v>2011</v>
      </c>
      <c r="C2431" t="s">
        <v>389</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542</v>
      </c>
      <c r="B2432">
        <v>2010</v>
      </c>
      <c r="C2432" t="s">
        <v>389</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542</v>
      </c>
      <c r="B2433">
        <v>2009</v>
      </c>
      <c r="C2433" t="s">
        <v>389</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542</v>
      </c>
      <c r="B2434">
        <v>2008</v>
      </c>
      <c r="C2434" t="s">
        <v>389</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542</v>
      </c>
      <c r="B2435">
        <v>2007</v>
      </c>
      <c r="C2435" t="s">
        <v>389</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542</v>
      </c>
      <c r="B2436">
        <v>2006</v>
      </c>
      <c r="C2436" t="s">
        <v>389</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542</v>
      </c>
      <c r="B2437">
        <v>2005</v>
      </c>
      <c r="C2437" t="s">
        <v>389</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542</v>
      </c>
      <c r="B2438">
        <v>2004</v>
      </c>
      <c r="C2438" t="s">
        <v>389</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542</v>
      </c>
      <c r="B2439">
        <v>2003</v>
      </c>
      <c r="C2439" t="s">
        <v>389</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542</v>
      </c>
      <c r="B2440">
        <v>2002</v>
      </c>
      <c r="C2440" t="s">
        <v>389</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542</v>
      </c>
      <c r="B2441">
        <v>2001</v>
      </c>
      <c r="C2441" t="s">
        <v>389</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542</v>
      </c>
      <c r="B2442">
        <v>2000</v>
      </c>
      <c r="C2442" t="s">
        <v>389</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543</v>
      </c>
      <c r="B2443">
        <v>2015</v>
      </c>
      <c r="C2443" t="s">
        <v>381</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543</v>
      </c>
      <c r="B2444">
        <v>2014</v>
      </c>
      <c r="C2444" t="s">
        <v>381</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543</v>
      </c>
      <c r="B2445">
        <v>2013</v>
      </c>
      <c r="C2445" t="s">
        <v>381</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543</v>
      </c>
      <c r="B2446">
        <v>2012</v>
      </c>
      <c r="C2446" t="s">
        <v>381</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543</v>
      </c>
      <c r="B2447">
        <v>2011</v>
      </c>
      <c r="C2447" t="s">
        <v>381</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543</v>
      </c>
      <c r="B2448">
        <v>2010</v>
      </c>
      <c r="C2448" t="s">
        <v>381</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543</v>
      </c>
      <c r="B2449">
        <v>2009</v>
      </c>
      <c r="C2449" t="s">
        <v>381</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543</v>
      </c>
      <c r="B2450">
        <v>2008</v>
      </c>
      <c r="C2450" t="s">
        <v>381</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543</v>
      </c>
      <c r="B2451">
        <v>2007</v>
      </c>
      <c r="C2451" t="s">
        <v>381</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543</v>
      </c>
      <c r="B2452">
        <v>2006</v>
      </c>
      <c r="C2452" t="s">
        <v>381</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543</v>
      </c>
      <c r="B2453">
        <v>2005</v>
      </c>
      <c r="C2453" t="s">
        <v>381</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543</v>
      </c>
      <c r="B2454">
        <v>2004</v>
      </c>
      <c r="C2454" t="s">
        <v>381</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543</v>
      </c>
      <c r="B2455">
        <v>2003</v>
      </c>
      <c r="C2455" t="s">
        <v>381</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543</v>
      </c>
      <c r="B2456">
        <v>2002</v>
      </c>
      <c r="C2456" t="s">
        <v>381</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543</v>
      </c>
      <c r="B2457">
        <v>2001</v>
      </c>
      <c r="C2457" t="s">
        <v>381</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543</v>
      </c>
      <c r="B2458">
        <v>2000</v>
      </c>
      <c r="C2458" t="s">
        <v>381</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544</v>
      </c>
      <c r="B2459">
        <v>2015</v>
      </c>
      <c r="C2459" t="s">
        <v>381</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544</v>
      </c>
      <c r="B2460">
        <v>2014</v>
      </c>
      <c r="C2460" t="s">
        <v>381</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544</v>
      </c>
      <c r="B2461">
        <v>2013</v>
      </c>
      <c r="C2461" t="s">
        <v>381</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544</v>
      </c>
      <c r="B2462">
        <v>2012</v>
      </c>
      <c r="C2462" t="s">
        <v>381</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544</v>
      </c>
      <c r="B2463">
        <v>2011</v>
      </c>
      <c r="C2463" t="s">
        <v>381</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544</v>
      </c>
      <c r="B2464">
        <v>2010</v>
      </c>
      <c r="C2464" t="s">
        <v>381</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544</v>
      </c>
      <c r="B2465">
        <v>2009</v>
      </c>
      <c r="C2465" t="s">
        <v>381</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544</v>
      </c>
      <c r="B2466">
        <v>2008</v>
      </c>
      <c r="C2466" t="s">
        <v>381</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544</v>
      </c>
      <c r="B2467">
        <v>2007</v>
      </c>
      <c r="C2467" t="s">
        <v>381</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544</v>
      </c>
      <c r="B2468">
        <v>2006</v>
      </c>
      <c r="C2468" t="s">
        <v>381</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544</v>
      </c>
      <c r="B2469">
        <v>2005</v>
      </c>
      <c r="C2469" t="s">
        <v>381</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544</v>
      </c>
      <c r="B2470">
        <v>2004</v>
      </c>
      <c r="C2470" t="s">
        <v>381</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544</v>
      </c>
      <c r="B2471">
        <v>2003</v>
      </c>
      <c r="C2471" t="s">
        <v>381</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544</v>
      </c>
      <c r="B2472">
        <v>2002</v>
      </c>
      <c r="C2472" t="s">
        <v>381</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544</v>
      </c>
      <c r="B2473">
        <v>2001</v>
      </c>
      <c r="C2473" t="s">
        <v>381</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544</v>
      </c>
      <c r="B2474">
        <v>2000</v>
      </c>
      <c r="C2474" t="s">
        <v>381</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545</v>
      </c>
      <c r="B2475">
        <v>2015</v>
      </c>
      <c r="C2475" t="s">
        <v>381</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545</v>
      </c>
      <c r="B2476">
        <v>2014</v>
      </c>
      <c r="C2476" t="s">
        <v>381</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545</v>
      </c>
      <c r="B2477">
        <v>2013</v>
      </c>
      <c r="C2477" t="s">
        <v>381</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545</v>
      </c>
      <c r="B2478">
        <v>2012</v>
      </c>
      <c r="C2478" t="s">
        <v>381</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545</v>
      </c>
      <c r="B2479">
        <v>2011</v>
      </c>
      <c r="C2479" t="s">
        <v>381</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545</v>
      </c>
      <c r="B2480">
        <v>2010</v>
      </c>
      <c r="C2480" t="s">
        <v>381</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545</v>
      </c>
      <c r="B2481">
        <v>2009</v>
      </c>
      <c r="C2481" t="s">
        <v>381</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545</v>
      </c>
      <c r="B2482">
        <v>2008</v>
      </c>
      <c r="C2482" t="s">
        <v>381</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545</v>
      </c>
      <c r="B2483">
        <v>2007</v>
      </c>
      <c r="C2483" t="s">
        <v>381</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545</v>
      </c>
      <c r="B2484">
        <v>2006</v>
      </c>
      <c r="C2484" t="s">
        <v>381</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545</v>
      </c>
      <c r="B2485">
        <v>2005</v>
      </c>
      <c r="C2485" t="s">
        <v>381</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545</v>
      </c>
      <c r="B2486">
        <v>2004</v>
      </c>
      <c r="C2486" t="s">
        <v>381</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545</v>
      </c>
      <c r="B2487">
        <v>2003</v>
      </c>
      <c r="C2487" t="s">
        <v>381</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545</v>
      </c>
      <c r="B2488">
        <v>2002</v>
      </c>
      <c r="C2488" t="s">
        <v>381</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545</v>
      </c>
      <c r="B2489">
        <v>2001</v>
      </c>
      <c r="C2489" t="s">
        <v>381</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545</v>
      </c>
      <c r="B2490">
        <v>2000</v>
      </c>
      <c r="C2490" t="s">
        <v>381</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546</v>
      </c>
      <c r="B2491">
        <v>2015</v>
      </c>
      <c r="C2491" t="s">
        <v>381</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546</v>
      </c>
      <c r="B2492">
        <v>2014</v>
      </c>
      <c r="C2492" t="s">
        <v>381</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546</v>
      </c>
      <c r="B2493">
        <v>2013</v>
      </c>
      <c r="C2493" t="s">
        <v>381</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546</v>
      </c>
      <c r="B2494">
        <v>2012</v>
      </c>
      <c r="C2494" t="s">
        <v>381</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546</v>
      </c>
      <c r="B2495">
        <v>2011</v>
      </c>
      <c r="C2495" t="s">
        <v>381</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546</v>
      </c>
      <c r="B2496">
        <v>2010</v>
      </c>
      <c r="C2496" t="s">
        <v>381</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546</v>
      </c>
      <c r="B2497">
        <v>2009</v>
      </c>
      <c r="C2497" t="s">
        <v>381</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546</v>
      </c>
      <c r="B2498">
        <v>2008</v>
      </c>
      <c r="C2498" t="s">
        <v>381</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546</v>
      </c>
      <c r="B2499">
        <v>2007</v>
      </c>
      <c r="C2499" t="s">
        <v>381</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546</v>
      </c>
      <c r="B2500">
        <v>2006</v>
      </c>
      <c r="C2500" t="s">
        <v>381</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546</v>
      </c>
      <c r="B2501">
        <v>2005</v>
      </c>
      <c r="C2501" t="s">
        <v>381</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546</v>
      </c>
      <c r="B2502">
        <v>2004</v>
      </c>
      <c r="C2502" t="s">
        <v>381</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546</v>
      </c>
      <c r="B2503">
        <v>2003</v>
      </c>
      <c r="C2503" t="s">
        <v>381</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546</v>
      </c>
      <c r="B2504">
        <v>2002</v>
      </c>
      <c r="C2504" t="s">
        <v>381</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546</v>
      </c>
      <c r="B2505">
        <v>2001</v>
      </c>
      <c r="C2505" t="s">
        <v>381</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546</v>
      </c>
      <c r="B2506">
        <v>2000</v>
      </c>
      <c r="C2506" t="s">
        <v>381</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547</v>
      </c>
      <c r="B2507">
        <v>2015</v>
      </c>
      <c r="C2507" t="s">
        <v>389</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547</v>
      </c>
      <c r="B2508">
        <v>2014</v>
      </c>
      <c r="C2508" t="s">
        <v>389</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547</v>
      </c>
      <c r="B2509">
        <v>2013</v>
      </c>
      <c r="C2509" t="s">
        <v>389</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547</v>
      </c>
      <c r="B2510">
        <v>2012</v>
      </c>
      <c r="C2510" t="s">
        <v>389</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547</v>
      </c>
      <c r="B2511">
        <v>2011</v>
      </c>
      <c r="C2511" t="s">
        <v>389</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547</v>
      </c>
      <c r="B2512">
        <v>2010</v>
      </c>
      <c r="C2512" t="s">
        <v>389</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547</v>
      </c>
      <c r="B2513">
        <v>2009</v>
      </c>
      <c r="C2513" t="s">
        <v>389</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547</v>
      </c>
      <c r="B2514">
        <v>2008</v>
      </c>
      <c r="C2514" t="s">
        <v>389</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547</v>
      </c>
      <c r="B2515">
        <v>2007</v>
      </c>
      <c r="C2515" t="s">
        <v>389</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547</v>
      </c>
      <c r="B2516">
        <v>2006</v>
      </c>
      <c r="C2516" t="s">
        <v>389</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547</v>
      </c>
      <c r="B2517">
        <v>2005</v>
      </c>
      <c r="C2517" t="s">
        <v>389</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547</v>
      </c>
      <c r="B2518">
        <v>2004</v>
      </c>
      <c r="C2518" t="s">
        <v>389</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547</v>
      </c>
      <c r="B2519">
        <v>2003</v>
      </c>
      <c r="C2519" t="s">
        <v>389</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547</v>
      </c>
      <c r="B2520">
        <v>2002</v>
      </c>
      <c r="C2520" t="s">
        <v>389</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547</v>
      </c>
      <c r="B2521">
        <v>2001</v>
      </c>
      <c r="C2521" t="s">
        <v>389</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547</v>
      </c>
      <c r="B2522">
        <v>2000</v>
      </c>
      <c r="C2522" t="s">
        <v>389</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548</v>
      </c>
      <c r="B2523">
        <v>2015</v>
      </c>
      <c r="C2523" t="s">
        <v>389</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548</v>
      </c>
      <c r="B2524">
        <v>2014</v>
      </c>
      <c r="C2524" t="s">
        <v>389</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548</v>
      </c>
      <c r="B2525">
        <v>2013</v>
      </c>
      <c r="C2525" t="s">
        <v>389</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548</v>
      </c>
      <c r="B2526">
        <v>2012</v>
      </c>
      <c r="C2526" t="s">
        <v>389</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548</v>
      </c>
      <c r="B2527">
        <v>2011</v>
      </c>
      <c r="C2527" t="s">
        <v>389</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548</v>
      </c>
      <c r="B2528">
        <v>2010</v>
      </c>
      <c r="C2528" t="s">
        <v>389</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548</v>
      </c>
      <c r="B2529">
        <v>2009</v>
      </c>
      <c r="C2529" t="s">
        <v>389</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548</v>
      </c>
      <c r="B2530">
        <v>2008</v>
      </c>
      <c r="C2530" t="s">
        <v>389</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548</v>
      </c>
      <c r="B2531">
        <v>2007</v>
      </c>
      <c r="C2531" t="s">
        <v>389</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548</v>
      </c>
      <c r="B2532">
        <v>2006</v>
      </c>
      <c r="C2532" t="s">
        <v>389</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548</v>
      </c>
      <c r="B2533">
        <v>2005</v>
      </c>
      <c r="C2533" t="s">
        <v>389</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548</v>
      </c>
      <c r="B2534">
        <v>2004</v>
      </c>
      <c r="C2534" t="s">
        <v>389</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548</v>
      </c>
      <c r="B2535">
        <v>2003</v>
      </c>
      <c r="C2535" t="s">
        <v>389</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548</v>
      </c>
      <c r="B2536">
        <v>2002</v>
      </c>
      <c r="C2536" t="s">
        <v>389</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548</v>
      </c>
      <c r="B2537">
        <v>2001</v>
      </c>
      <c r="C2537" t="s">
        <v>389</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548</v>
      </c>
      <c r="B2538">
        <v>2000</v>
      </c>
      <c r="C2538" t="s">
        <v>389</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549</v>
      </c>
      <c r="B2539">
        <v>2015</v>
      </c>
      <c r="C2539" t="s">
        <v>381</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549</v>
      </c>
      <c r="B2540">
        <v>2014</v>
      </c>
      <c r="C2540" t="s">
        <v>381</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549</v>
      </c>
      <c r="B2541">
        <v>2013</v>
      </c>
      <c r="C2541" t="s">
        <v>381</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549</v>
      </c>
      <c r="B2542">
        <v>2012</v>
      </c>
      <c r="C2542" t="s">
        <v>381</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549</v>
      </c>
      <c r="B2543">
        <v>2011</v>
      </c>
      <c r="C2543" t="s">
        <v>381</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549</v>
      </c>
      <c r="B2544">
        <v>2010</v>
      </c>
      <c r="C2544" t="s">
        <v>381</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549</v>
      </c>
      <c r="B2545">
        <v>2009</v>
      </c>
      <c r="C2545" t="s">
        <v>381</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549</v>
      </c>
      <c r="B2546">
        <v>2008</v>
      </c>
      <c r="C2546" t="s">
        <v>381</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549</v>
      </c>
      <c r="B2547">
        <v>2007</v>
      </c>
      <c r="C2547" t="s">
        <v>381</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549</v>
      </c>
      <c r="B2548">
        <v>2006</v>
      </c>
      <c r="C2548" t="s">
        <v>381</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549</v>
      </c>
      <c r="B2549">
        <v>2005</v>
      </c>
      <c r="C2549" t="s">
        <v>381</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549</v>
      </c>
      <c r="B2550">
        <v>2004</v>
      </c>
      <c r="C2550" t="s">
        <v>381</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549</v>
      </c>
      <c r="B2551">
        <v>2003</v>
      </c>
      <c r="C2551" t="s">
        <v>381</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549</v>
      </c>
      <c r="B2552">
        <v>2002</v>
      </c>
      <c r="C2552" t="s">
        <v>381</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549</v>
      </c>
      <c r="B2553">
        <v>2001</v>
      </c>
      <c r="C2553" t="s">
        <v>381</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549</v>
      </c>
      <c r="B2554">
        <v>2000</v>
      </c>
      <c r="C2554" t="s">
        <v>381</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550</v>
      </c>
      <c r="B2555">
        <v>2015</v>
      </c>
      <c r="C2555" t="s">
        <v>381</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550</v>
      </c>
      <c r="B2556">
        <v>2014</v>
      </c>
      <c r="C2556" t="s">
        <v>381</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550</v>
      </c>
      <c r="B2557">
        <v>2013</v>
      </c>
      <c r="C2557" t="s">
        <v>381</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550</v>
      </c>
      <c r="B2558">
        <v>2012</v>
      </c>
      <c r="C2558" t="s">
        <v>381</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550</v>
      </c>
      <c r="B2559">
        <v>2011</v>
      </c>
      <c r="C2559" t="s">
        <v>381</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550</v>
      </c>
      <c r="B2560">
        <v>2010</v>
      </c>
      <c r="C2560" t="s">
        <v>381</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550</v>
      </c>
      <c r="B2561">
        <v>2009</v>
      </c>
      <c r="C2561" t="s">
        <v>381</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550</v>
      </c>
      <c r="B2562">
        <v>2008</v>
      </c>
      <c r="C2562" t="s">
        <v>381</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550</v>
      </c>
      <c r="B2563">
        <v>2007</v>
      </c>
      <c r="C2563" t="s">
        <v>381</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550</v>
      </c>
      <c r="B2564">
        <v>2006</v>
      </c>
      <c r="C2564" t="s">
        <v>381</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550</v>
      </c>
      <c r="B2565">
        <v>2005</v>
      </c>
      <c r="C2565" t="s">
        <v>381</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550</v>
      </c>
      <c r="B2566">
        <v>2004</v>
      </c>
      <c r="C2566" t="s">
        <v>381</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550</v>
      </c>
      <c r="B2567">
        <v>2003</v>
      </c>
      <c r="C2567" t="s">
        <v>381</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550</v>
      </c>
      <c r="B2568">
        <v>2002</v>
      </c>
      <c r="C2568" t="s">
        <v>381</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550</v>
      </c>
      <c r="B2569">
        <v>2001</v>
      </c>
      <c r="C2569" t="s">
        <v>381</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550</v>
      </c>
      <c r="B2570">
        <v>2000</v>
      </c>
      <c r="C2570" t="s">
        <v>381</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551</v>
      </c>
      <c r="B2571">
        <v>2015</v>
      </c>
      <c r="C2571" t="s">
        <v>381</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551</v>
      </c>
      <c r="B2572">
        <v>2014</v>
      </c>
      <c r="C2572" t="s">
        <v>381</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551</v>
      </c>
      <c r="B2573">
        <v>2013</v>
      </c>
      <c r="C2573" t="s">
        <v>381</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551</v>
      </c>
      <c r="B2574">
        <v>2012</v>
      </c>
      <c r="C2574" t="s">
        <v>381</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551</v>
      </c>
      <c r="B2575">
        <v>2011</v>
      </c>
      <c r="C2575" t="s">
        <v>381</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551</v>
      </c>
      <c r="B2576">
        <v>2010</v>
      </c>
      <c r="C2576" t="s">
        <v>381</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551</v>
      </c>
      <c r="B2577">
        <v>2009</v>
      </c>
      <c r="C2577" t="s">
        <v>381</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551</v>
      </c>
      <c r="B2578">
        <v>2008</v>
      </c>
      <c r="C2578" t="s">
        <v>381</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551</v>
      </c>
      <c r="B2579">
        <v>2007</v>
      </c>
      <c r="C2579" t="s">
        <v>381</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551</v>
      </c>
      <c r="B2580">
        <v>2006</v>
      </c>
      <c r="C2580" t="s">
        <v>381</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551</v>
      </c>
      <c r="B2581">
        <v>2005</v>
      </c>
      <c r="C2581" t="s">
        <v>381</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551</v>
      </c>
      <c r="B2582">
        <v>2004</v>
      </c>
      <c r="C2582" t="s">
        <v>381</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551</v>
      </c>
      <c r="B2583">
        <v>2003</v>
      </c>
      <c r="C2583" t="s">
        <v>381</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551</v>
      </c>
      <c r="B2584">
        <v>2002</v>
      </c>
      <c r="C2584" t="s">
        <v>381</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551</v>
      </c>
      <c r="B2585">
        <v>2001</v>
      </c>
      <c r="C2585" t="s">
        <v>381</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551</v>
      </c>
      <c r="B2586">
        <v>2000</v>
      </c>
      <c r="C2586" t="s">
        <v>381</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552</v>
      </c>
      <c r="B2587">
        <v>2015</v>
      </c>
      <c r="C2587" t="s">
        <v>381</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552</v>
      </c>
      <c r="B2588">
        <v>2014</v>
      </c>
      <c r="C2588" t="s">
        <v>381</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552</v>
      </c>
      <c r="B2589">
        <v>2013</v>
      </c>
      <c r="C2589" t="s">
        <v>381</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552</v>
      </c>
      <c r="B2590">
        <v>2012</v>
      </c>
      <c r="C2590" t="s">
        <v>381</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552</v>
      </c>
      <c r="B2591">
        <v>2011</v>
      </c>
      <c r="C2591" t="s">
        <v>381</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552</v>
      </c>
      <c r="B2592">
        <v>2010</v>
      </c>
      <c r="C2592" t="s">
        <v>381</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552</v>
      </c>
      <c r="B2593">
        <v>2009</v>
      </c>
      <c r="C2593" t="s">
        <v>381</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552</v>
      </c>
      <c r="B2594">
        <v>2008</v>
      </c>
      <c r="C2594" t="s">
        <v>381</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552</v>
      </c>
      <c r="B2595">
        <v>2007</v>
      </c>
      <c r="C2595" t="s">
        <v>381</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552</v>
      </c>
      <c r="B2596">
        <v>2006</v>
      </c>
      <c r="C2596" t="s">
        <v>381</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552</v>
      </c>
      <c r="B2597">
        <v>2005</v>
      </c>
      <c r="C2597" t="s">
        <v>381</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552</v>
      </c>
      <c r="B2598">
        <v>2004</v>
      </c>
      <c r="C2598" t="s">
        <v>381</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552</v>
      </c>
      <c r="B2599">
        <v>2003</v>
      </c>
      <c r="C2599" t="s">
        <v>381</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552</v>
      </c>
      <c r="B2600">
        <v>2002</v>
      </c>
      <c r="C2600" t="s">
        <v>381</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552</v>
      </c>
      <c r="B2601">
        <v>2001</v>
      </c>
      <c r="C2601" t="s">
        <v>381</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552</v>
      </c>
      <c r="B2602">
        <v>2000</v>
      </c>
      <c r="C2602" t="s">
        <v>381</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553</v>
      </c>
      <c r="B2603">
        <v>2015</v>
      </c>
      <c r="C2603" t="s">
        <v>381</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553</v>
      </c>
      <c r="B2604">
        <v>2014</v>
      </c>
      <c r="C2604" t="s">
        <v>381</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553</v>
      </c>
      <c r="B2605">
        <v>2013</v>
      </c>
      <c r="C2605" t="s">
        <v>381</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553</v>
      </c>
      <c r="B2606">
        <v>2012</v>
      </c>
      <c r="C2606" t="s">
        <v>381</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553</v>
      </c>
      <c r="B2607">
        <v>2011</v>
      </c>
      <c r="C2607" t="s">
        <v>381</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553</v>
      </c>
      <c r="B2608">
        <v>2010</v>
      </c>
      <c r="C2608" t="s">
        <v>381</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553</v>
      </c>
      <c r="B2609">
        <v>2009</v>
      </c>
      <c r="C2609" t="s">
        <v>381</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553</v>
      </c>
      <c r="B2610">
        <v>2008</v>
      </c>
      <c r="C2610" t="s">
        <v>381</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553</v>
      </c>
      <c r="B2611">
        <v>2007</v>
      </c>
      <c r="C2611" t="s">
        <v>381</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553</v>
      </c>
      <c r="B2612">
        <v>2006</v>
      </c>
      <c r="C2612" t="s">
        <v>381</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553</v>
      </c>
      <c r="B2613">
        <v>2005</v>
      </c>
      <c r="C2613" t="s">
        <v>381</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553</v>
      </c>
      <c r="B2614">
        <v>2004</v>
      </c>
      <c r="C2614" t="s">
        <v>381</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553</v>
      </c>
      <c r="B2615">
        <v>2003</v>
      </c>
      <c r="C2615" t="s">
        <v>381</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553</v>
      </c>
      <c r="B2616">
        <v>2002</v>
      </c>
      <c r="C2616" t="s">
        <v>381</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553</v>
      </c>
      <c r="B2617">
        <v>2001</v>
      </c>
      <c r="C2617" t="s">
        <v>381</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553</v>
      </c>
      <c r="B2618">
        <v>2000</v>
      </c>
      <c r="C2618" t="s">
        <v>381</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554</v>
      </c>
      <c r="B2619">
        <v>2015</v>
      </c>
      <c r="C2619" t="s">
        <v>381</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554</v>
      </c>
      <c r="B2620">
        <v>2014</v>
      </c>
      <c r="C2620" t="s">
        <v>381</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554</v>
      </c>
      <c r="B2621">
        <v>2013</v>
      </c>
      <c r="C2621" t="s">
        <v>381</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554</v>
      </c>
      <c r="B2622">
        <v>2012</v>
      </c>
      <c r="C2622" t="s">
        <v>381</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554</v>
      </c>
      <c r="B2623">
        <v>2011</v>
      </c>
      <c r="C2623" t="s">
        <v>381</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554</v>
      </c>
      <c r="B2624">
        <v>2010</v>
      </c>
      <c r="C2624" t="s">
        <v>381</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554</v>
      </c>
      <c r="B2625">
        <v>2009</v>
      </c>
      <c r="C2625" t="s">
        <v>381</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554</v>
      </c>
      <c r="B2626">
        <v>2008</v>
      </c>
      <c r="C2626" t="s">
        <v>381</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554</v>
      </c>
      <c r="B2627">
        <v>2007</v>
      </c>
      <c r="C2627" t="s">
        <v>381</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554</v>
      </c>
      <c r="B2628">
        <v>2006</v>
      </c>
      <c r="C2628" t="s">
        <v>381</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554</v>
      </c>
      <c r="B2629">
        <v>2005</v>
      </c>
      <c r="C2629" t="s">
        <v>381</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554</v>
      </c>
      <c r="B2630">
        <v>2004</v>
      </c>
      <c r="C2630" t="s">
        <v>381</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554</v>
      </c>
      <c r="B2631">
        <v>2003</v>
      </c>
      <c r="C2631" t="s">
        <v>381</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554</v>
      </c>
      <c r="B2632">
        <v>2002</v>
      </c>
      <c r="C2632" t="s">
        <v>381</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554</v>
      </c>
      <c r="B2633">
        <v>2001</v>
      </c>
      <c r="C2633" t="s">
        <v>381</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554</v>
      </c>
      <c r="B2634">
        <v>2000</v>
      </c>
      <c r="C2634" t="s">
        <v>381</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555</v>
      </c>
      <c r="B2635">
        <v>2015</v>
      </c>
      <c r="C2635" t="s">
        <v>381</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555</v>
      </c>
      <c r="B2636">
        <v>2014</v>
      </c>
      <c r="C2636" t="s">
        <v>381</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555</v>
      </c>
      <c r="B2637">
        <v>2013</v>
      </c>
      <c r="C2637" t="s">
        <v>381</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555</v>
      </c>
      <c r="B2638">
        <v>2012</v>
      </c>
      <c r="C2638" t="s">
        <v>381</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555</v>
      </c>
      <c r="B2639">
        <v>2011</v>
      </c>
      <c r="C2639" t="s">
        <v>381</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555</v>
      </c>
      <c r="B2640">
        <v>2010</v>
      </c>
      <c r="C2640" t="s">
        <v>381</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555</v>
      </c>
      <c r="B2641">
        <v>2009</v>
      </c>
      <c r="C2641" t="s">
        <v>381</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555</v>
      </c>
      <c r="B2642">
        <v>2008</v>
      </c>
      <c r="C2642" t="s">
        <v>381</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555</v>
      </c>
      <c r="B2643">
        <v>2007</v>
      </c>
      <c r="C2643" t="s">
        <v>381</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555</v>
      </c>
      <c r="B2644">
        <v>2006</v>
      </c>
      <c r="C2644" t="s">
        <v>381</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555</v>
      </c>
      <c r="B2645">
        <v>2005</v>
      </c>
      <c r="C2645" t="s">
        <v>381</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555</v>
      </c>
      <c r="B2646">
        <v>2004</v>
      </c>
      <c r="C2646" t="s">
        <v>381</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555</v>
      </c>
      <c r="B2647">
        <v>2003</v>
      </c>
      <c r="C2647" t="s">
        <v>381</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555</v>
      </c>
      <c r="B2648">
        <v>2002</v>
      </c>
      <c r="C2648" t="s">
        <v>381</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555</v>
      </c>
      <c r="B2649">
        <v>2001</v>
      </c>
      <c r="C2649" t="s">
        <v>381</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555</v>
      </c>
      <c r="B2650">
        <v>2000</v>
      </c>
      <c r="C2650" t="s">
        <v>381</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556</v>
      </c>
      <c r="B2651">
        <v>2015</v>
      </c>
      <c r="C2651" t="s">
        <v>381</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556</v>
      </c>
      <c r="B2652">
        <v>2014</v>
      </c>
      <c r="C2652" t="s">
        <v>381</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556</v>
      </c>
      <c r="B2653">
        <v>2013</v>
      </c>
      <c r="C2653" t="s">
        <v>381</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556</v>
      </c>
      <c r="B2654">
        <v>2012</v>
      </c>
      <c r="C2654" t="s">
        <v>381</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556</v>
      </c>
      <c r="B2655">
        <v>2011</v>
      </c>
      <c r="C2655" t="s">
        <v>381</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556</v>
      </c>
      <c r="B2656">
        <v>2010</v>
      </c>
      <c r="C2656" t="s">
        <v>381</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556</v>
      </c>
      <c r="B2657">
        <v>2009</v>
      </c>
      <c r="C2657" t="s">
        <v>381</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556</v>
      </c>
      <c r="B2658">
        <v>2008</v>
      </c>
      <c r="C2658" t="s">
        <v>381</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556</v>
      </c>
      <c r="B2659">
        <v>2007</v>
      </c>
      <c r="C2659" t="s">
        <v>381</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556</v>
      </c>
      <c r="B2660">
        <v>2006</v>
      </c>
      <c r="C2660" t="s">
        <v>381</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556</v>
      </c>
      <c r="B2661">
        <v>2005</v>
      </c>
      <c r="C2661" t="s">
        <v>381</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556</v>
      </c>
      <c r="B2662">
        <v>2004</v>
      </c>
      <c r="C2662" t="s">
        <v>381</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556</v>
      </c>
      <c r="B2663">
        <v>2003</v>
      </c>
      <c r="C2663" t="s">
        <v>381</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556</v>
      </c>
      <c r="B2664">
        <v>2002</v>
      </c>
      <c r="C2664" t="s">
        <v>381</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556</v>
      </c>
      <c r="B2665">
        <v>2001</v>
      </c>
      <c r="C2665" t="s">
        <v>381</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556</v>
      </c>
      <c r="B2666">
        <v>2000</v>
      </c>
      <c r="C2666" t="s">
        <v>381</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557</v>
      </c>
      <c r="B2667">
        <v>2015</v>
      </c>
      <c r="C2667" t="s">
        <v>381</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557</v>
      </c>
      <c r="B2668">
        <v>2014</v>
      </c>
      <c r="C2668" t="s">
        <v>381</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557</v>
      </c>
      <c r="B2669">
        <v>2013</v>
      </c>
      <c r="C2669" t="s">
        <v>381</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557</v>
      </c>
      <c r="B2670">
        <v>2012</v>
      </c>
      <c r="C2670" t="s">
        <v>381</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557</v>
      </c>
      <c r="B2671">
        <v>2011</v>
      </c>
      <c r="C2671" t="s">
        <v>381</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557</v>
      </c>
      <c r="B2672">
        <v>2010</v>
      </c>
      <c r="C2672" t="s">
        <v>381</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557</v>
      </c>
      <c r="B2673">
        <v>2009</v>
      </c>
      <c r="C2673" t="s">
        <v>381</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557</v>
      </c>
      <c r="B2674">
        <v>2008</v>
      </c>
      <c r="C2674" t="s">
        <v>381</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557</v>
      </c>
      <c r="B2675">
        <v>2007</v>
      </c>
      <c r="C2675" t="s">
        <v>381</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557</v>
      </c>
      <c r="B2676">
        <v>2006</v>
      </c>
      <c r="C2676" t="s">
        <v>381</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557</v>
      </c>
      <c r="B2677">
        <v>2005</v>
      </c>
      <c r="C2677" t="s">
        <v>381</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557</v>
      </c>
      <c r="B2678">
        <v>2004</v>
      </c>
      <c r="C2678" t="s">
        <v>381</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557</v>
      </c>
      <c r="B2679">
        <v>2003</v>
      </c>
      <c r="C2679" t="s">
        <v>381</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557</v>
      </c>
      <c r="B2680">
        <v>2002</v>
      </c>
      <c r="C2680" t="s">
        <v>381</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557</v>
      </c>
      <c r="B2681">
        <v>2001</v>
      </c>
      <c r="C2681" t="s">
        <v>381</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557</v>
      </c>
      <c r="B2682">
        <v>2000</v>
      </c>
      <c r="C2682" t="s">
        <v>381</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558</v>
      </c>
      <c r="B2683">
        <v>2015</v>
      </c>
      <c r="C2683" t="s">
        <v>381</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558</v>
      </c>
      <c r="B2684">
        <v>2014</v>
      </c>
      <c r="C2684" t="s">
        <v>381</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558</v>
      </c>
      <c r="B2685">
        <v>2013</v>
      </c>
      <c r="C2685" t="s">
        <v>381</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558</v>
      </c>
      <c r="B2686">
        <v>2012</v>
      </c>
      <c r="C2686" t="s">
        <v>381</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558</v>
      </c>
      <c r="B2687">
        <v>2011</v>
      </c>
      <c r="C2687" t="s">
        <v>381</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558</v>
      </c>
      <c r="B2688">
        <v>2010</v>
      </c>
      <c r="C2688" t="s">
        <v>381</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558</v>
      </c>
      <c r="B2689">
        <v>2009</v>
      </c>
      <c r="C2689" t="s">
        <v>381</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558</v>
      </c>
      <c r="B2690">
        <v>2008</v>
      </c>
      <c r="C2690" t="s">
        <v>381</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558</v>
      </c>
      <c r="B2691">
        <v>2007</v>
      </c>
      <c r="C2691" t="s">
        <v>381</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558</v>
      </c>
      <c r="B2692">
        <v>2006</v>
      </c>
      <c r="C2692" t="s">
        <v>381</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558</v>
      </c>
      <c r="B2693">
        <v>2005</v>
      </c>
      <c r="C2693" t="s">
        <v>381</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558</v>
      </c>
      <c r="B2694">
        <v>2004</v>
      </c>
      <c r="C2694" t="s">
        <v>381</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558</v>
      </c>
      <c r="B2695">
        <v>2003</v>
      </c>
      <c r="C2695" t="s">
        <v>381</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558</v>
      </c>
      <c r="B2696">
        <v>2002</v>
      </c>
      <c r="C2696" t="s">
        <v>381</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558</v>
      </c>
      <c r="B2697">
        <v>2001</v>
      </c>
      <c r="C2697" t="s">
        <v>381</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558</v>
      </c>
      <c r="B2698">
        <v>2000</v>
      </c>
      <c r="C2698" t="s">
        <v>381</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559</v>
      </c>
      <c r="B2699">
        <v>2015</v>
      </c>
      <c r="C2699" t="s">
        <v>381</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559</v>
      </c>
      <c r="B2700">
        <v>2014</v>
      </c>
      <c r="C2700" t="s">
        <v>381</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559</v>
      </c>
      <c r="B2701">
        <v>2013</v>
      </c>
      <c r="C2701" t="s">
        <v>381</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559</v>
      </c>
      <c r="B2702">
        <v>2012</v>
      </c>
      <c r="C2702" t="s">
        <v>381</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559</v>
      </c>
      <c r="B2703">
        <v>2011</v>
      </c>
      <c r="C2703" t="s">
        <v>381</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559</v>
      </c>
      <c r="B2704">
        <v>2010</v>
      </c>
      <c r="C2704" t="s">
        <v>381</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559</v>
      </c>
      <c r="B2705">
        <v>2009</v>
      </c>
      <c r="C2705" t="s">
        <v>381</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559</v>
      </c>
      <c r="B2706">
        <v>2008</v>
      </c>
      <c r="C2706" t="s">
        <v>381</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559</v>
      </c>
      <c r="B2707">
        <v>2007</v>
      </c>
      <c r="C2707" t="s">
        <v>381</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559</v>
      </c>
      <c r="B2708">
        <v>2006</v>
      </c>
      <c r="C2708" t="s">
        <v>381</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559</v>
      </c>
      <c r="B2709">
        <v>2005</v>
      </c>
      <c r="C2709" t="s">
        <v>381</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559</v>
      </c>
      <c r="B2710">
        <v>2004</v>
      </c>
      <c r="C2710" t="s">
        <v>381</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559</v>
      </c>
      <c r="B2711">
        <v>2003</v>
      </c>
      <c r="C2711" t="s">
        <v>381</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559</v>
      </c>
      <c r="B2712">
        <v>2002</v>
      </c>
      <c r="C2712" t="s">
        <v>381</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559</v>
      </c>
      <c r="B2713">
        <v>2001</v>
      </c>
      <c r="C2713" t="s">
        <v>381</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559</v>
      </c>
      <c r="B2714">
        <v>2000</v>
      </c>
      <c r="C2714" t="s">
        <v>381</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560</v>
      </c>
      <c r="B2715">
        <v>2013</v>
      </c>
      <c r="C2715" t="s">
        <v>381</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561</v>
      </c>
      <c r="B2716">
        <v>2015</v>
      </c>
      <c r="C2716" t="s">
        <v>381</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561</v>
      </c>
      <c r="B2717">
        <v>2014</v>
      </c>
      <c r="C2717" t="s">
        <v>381</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561</v>
      </c>
      <c r="B2718">
        <v>2013</v>
      </c>
      <c r="C2718" t="s">
        <v>381</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561</v>
      </c>
      <c r="B2719">
        <v>2012</v>
      </c>
      <c r="C2719" t="s">
        <v>381</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561</v>
      </c>
      <c r="B2720">
        <v>2011</v>
      </c>
      <c r="C2720" t="s">
        <v>381</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561</v>
      </c>
      <c r="B2721">
        <v>2010</v>
      </c>
      <c r="C2721" t="s">
        <v>381</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561</v>
      </c>
      <c r="B2722">
        <v>2009</v>
      </c>
      <c r="C2722" t="s">
        <v>381</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561</v>
      </c>
      <c r="B2723">
        <v>2008</v>
      </c>
      <c r="C2723" t="s">
        <v>381</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561</v>
      </c>
      <c r="B2724">
        <v>2007</v>
      </c>
      <c r="C2724" t="s">
        <v>381</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561</v>
      </c>
      <c r="B2725">
        <v>2006</v>
      </c>
      <c r="C2725" t="s">
        <v>381</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561</v>
      </c>
      <c r="B2726">
        <v>2005</v>
      </c>
      <c r="C2726" t="s">
        <v>381</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561</v>
      </c>
      <c r="B2727">
        <v>2004</v>
      </c>
      <c r="C2727" t="s">
        <v>381</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561</v>
      </c>
      <c r="B2728">
        <v>2003</v>
      </c>
      <c r="C2728" t="s">
        <v>381</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561</v>
      </c>
      <c r="B2729">
        <v>2002</v>
      </c>
      <c r="C2729" t="s">
        <v>381</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561</v>
      </c>
      <c r="B2730">
        <v>2001</v>
      </c>
      <c r="C2730" t="s">
        <v>381</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561</v>
      </c>
      <c r="B2731">
        <v>2000</v>
      </c>
      <c r="C2731" t="s">
        <v>381</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562</v>
      </c>
      <c r="B2732">
        <v>2015</v>
      </c>
      <c r="C2732" t="s">
        <v>381</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562</v>
      </c>
      <c r="B2733">
        <v>2014</v>
      </c>
      <c r="C2733" t="s">
        <v>381</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562</v>
      </c>
      <c r="B2734">
        <v>2013</v>
      </c>
      <c r="C2734" t="s">
        <v>381</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562</v>
      </c>
      <c r="B2735">
        <v>2012</v>
      </c>
      <c r="C2735" t="s">
        <v>381</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562</v>
      </c>
      <c r="B2736">
        <v>2011</v>
      </c>
      <c r="C2736" t="s">
        <v>381</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562</v>
      </c>
      <c r="B2737">
        <v>2010</v>
      </c>
      <c r="C2737" t="s">
        <v>381</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562</v>
      </c>
      <c r="B2738">
        <v>2009</v>
      </c>
      <c r="C2738" t="s">
        <v>381</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562</v>
      </c>
      <c r="B2739">
        <v>2008</v>
      </c>
      <c r="C2739" t="s">
        <v>381</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562</v>
      </c>
      <c r="B2740">
        <v>2007</v>
      </c>
      <c r="C2740" t="s">
        <v>381</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562</v>
      </c>
      <c r="B2741">
        <v>2006</v>
      </c>
      <c r="C2741" t="s">
        <v>381</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562</v>
      </c>
      <c r="B2742">
        <v>2005</v>
      </c>
      <c r="C2742" t="s">
        <v>381</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562</v>
      </c>
      <c r="B2743">
        <v>2004</v>
      </c>
      <c r="C2743" t="s">
        <v>381</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562</v>
      </c>
      <c r="B2744">
        <v>2003</v>
      </c>
      <c r="C2744" t="s">
        <v>381</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562</v>
      </c>
      <c r="B2745">
        <v>2002</v>
      </c>
      <c r="C2745" t="s">
        <v>381</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562</v>
      </c>
      <c r="B2746">
        <v>2001</v>
      </c>
      <c r="C2746" t="s">
        <v>381</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562</v>
      </c>
      <c r="B2747">
        <v>2000</v>
      </c>
      <c r="C2747" t="s">
        <v>381</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563</v>
      </c>
      <c r="B2748">
        <v>2015</v>
      </c>
      <c r="C2748" t="s">
        <v>381</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563</v>
      </c>
      <c r="B2749">
        <v>2014</v>
      </c>
      <c r="C2749" t="s">
        <v>381</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563</v>
      </c>
      <c r="B2750">
        <v>2013</v>
      </c>
      <c r="C2750" t="s">
        <v>381</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563</v>
      </c>
      <c r="B2751">
        <v>2012</v>
      </c>
      <c r="C2751" t="s">
        <v>381</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563</v>
      </c>
      <c r="B2752">
        <v>2011</v>
      </c>
      <c r="C2752" t="s">
        <v>381</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563</v>
      </c>
      <c r="B2753">
        <v>2010</v>
      </c>
      <c r="C2753" t="s">
        <v>381</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563</v>
      </c>
      <c r="B2754">
        <v>2009</v>
      </c>
      <c r="C2754" t="s">
        <v>381</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563</v>
      </c>
      <c r="B2755">
        <v>2008</v>
      </c>
      <c r="C2755" t="s">
        <v>381</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563</v>
      </c>
      <c r="B2756">
        <v>2007</v>
      </c>
      <c r="C2756" t="s">
        <v>381</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563</v>
      </c>
      <c r="B2757">
        <v>2006</v>
      </c>
      <c r="C2757" t="s">
        <v>381</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563</v>
      </c>
      <c r="B2758">
        <v>2005</v>
      </c>
      <c r="C2758" t="s">
        <v>381</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563</v>
      </c>
      <c r="B2759">
        <v>2004</v>
      </c>
      <c r="C2759" t="s">
        <v>381</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563</v>
      </c>
      <c r="B2760">
        <v>2003</v>
      </c>
      <c r="C2760" t="s">
        <v>381</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563</v>
      </c>
      <c r="B2761">
        <v>2002</v>
      </c>
      <c r="C2761" t="s">
        <v>381</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563</v>
      </c>
      <c r="B2762">
        <v>2001</v>
      </c>
      <c r="C2762" t="s">
        <v>381</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563</v>
      </c>
      <c r="B2763">
        <v>2000</v>
      </c>
      <c r="C2763" t="s">
        <v>381</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564</v>
      </c>
      <c r="B2764">
        <v>2015</v>
      </c>
      <c r="C2764" t="s">
        <v>389</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564</v>
      </c>
      <c r="B2765">
        <v>2014</v>
      </c>
      <c r="C2765" t="s">
        <v>389</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564</v>
      </c>
      <c r="B2766">
        <v>2013</v>
      </c>
      <c r="C2766" t="s">
        <v>389</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564</v>
      </c>
      <c r="B2767">
        <v>2012</v>
      </c>
      <c r="C2767" t="s">
        <v>389</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564</v>
      </c>
      <c r="B2768">
        <v>2011</v>
      </c>
      <c r="C2768" t="s">
        <v>389</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564</v>
      </c>
      <c r="B2769">
        <v>2010</v>
      </c>
      <c r="C2769" t="s">
        <v>389</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564</v>
      </c>
      <c r="B2770">
        <v>2009</v>
      </c>
      <c r="C2770" t="s">
        <v>389</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564</v>
      </c>
      <c r="B2771">
        <v>2008</v>
      </c>
      <c r="C2771" t="s">
        <v>389</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564</v>
      </c>
      <c r="B2772">
        <v>2007</v>
      </c>
      <c r="C2772" t="s">
        <v>389</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564</v>
      </c>
      <c r="B2773">
        <v>2006</v>
      </c>
      <c r="C2773" t="s">
        <v>389</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564</v>
      </c>
      <c r="B2774">
        <v>2005</v>
      </c>
      <c r="C2774" t="s">
        <v>389</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564</v>
      </c>
      <c r="B2775">
        <v>2004</v>
      </c>
      <c r="C2775" t="s">
        <v>389</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564</v>
      </c>
      <c r="B2776">
        <v>2003</v>
      </c>
      <c r="C2776" t="s">
        <v>389</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564</v>
      </c>
      <c r="B2777">
        <v>2002</v>
      </c>
      <c r="C2777" t="s">
        <v>389</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564</v>
      </c>
      <c r="B2778">
        <v>2001</v>
      </c>
      <c r="C2778" t="s">
        <v>389</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564</v>
      </c>
      <c r="B2779">
        <v>2000</v>
      </c>
      <c r="C2779" t="s">
        <v>389</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565</v>
      </c>
      <c r="B2780">
        <v>2015</v>
      </c>
      <c r="C2780" t="s">
        <v>381</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565</v>
      </c>
      <c r="B2781">
        <v>2014</v>
      </c>
      <c r="C2781" t="s">
        <v>381</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565</v>
      </c>
      <c r="B2782">
        <v>2013</v>
      </c>
      <c r="C2782" t="s">
        <v>381</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565</v>
      </c>
      <c r="B2783">
        <v>2012</v>
      </c>
      <c r="C2783" t="s">
        <v>381</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565</v>
      </c>
      <c r="B2784">
        <v>2011</v>
      </c>
      <c r="C2784" t="s">
        <v>381</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565</v>
      </c>
      <c r="B2785">
        <v>2010</v>
      </c>
      <c r="C2785" t="s">
        <v>381</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565</v>
      </c>
      <c r="B2786">
        <v>2009</v>
      </c>
      <c r="C2786" t="s">
        <v>381</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565</v>
      </c>
      <c r="B2787">
        <v>2008</v>
      </c>
      <c r="C2787" t="s">
        <v>381</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565</v>
      </c>
      <c r="B2788">
        <v>2007</v>
      </c>
      <c r="C2788" t="s">
        <v>381</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565</v>
      </c>
      <c r="B2789">
        <v>2006</v>
      </c>
      <c r="C2789" t="s">
        <v>381</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565</v>
      </c>
      <c r="B2790">
        <v>2005</v>
      </c>
      <c r="C2790" t="s">
        <v>381</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565</v>
      </c>
      <c r="B2791">
        <v>2004</v>
      </c>
      <c r="C2791" t="s">
        <v>381</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565</v>
      </c>
      <c r="B2792">
        <v>2003</v>
      </c>
      <c r="C2792" t="s">
        <v>381</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565</v>
      </c>
      <c r="B2793">
        <v>2002</v>
      </c>
      <c r="C2793" t="s">
        <v>381</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565</v>
      </c>
      <c r="B2794">
        <v>2001</v>
      </c>
      <c r="C2794" t="s">
        <v>381</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565</v>
      </c>
      <c r="B2795">
        <v>2000</v>
      </c>
      <c r="C2795" t="s">
        <v>381</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566</v>
      </c>
      <c r="B2796">
        <v>2015</v>
      </c>
      <c r="C2796" t="s">
        <v>389</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566</v>
      </c>
      <c r="B2797">
        <v>2014</v>
      </c>
      <c r="C2797" t="s">
        <v>389</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566</v>
      </c>
      <c r="B2798">
        <v>2013</v>
      </c>
      <c r="C2798" t="s">
        <v>389</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566</v>
      </c>
      <c r="B2799">
        <v>2012</v>
      </c>
      <c r="C2799" t="s">
        <v>389</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566</v>
      </c>
      <c r="B2800">
        <v>2011</v>
      </c>
      <c r="C2800" t="s">
        <v>389</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566</v>
      </c>
      <c r="B2801">
        <v>2010</v>
      </c>
      <c r="C2801" t="s">
        <v>389</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566</v>
      </c>
      <c r="B2802">
        <v>2009</v>
      </c>
      <c r="C2802" t="s">
        <v>389</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566</v>
      </c>
      <c r="B2803">
        <v>2008</v>
      </c>
      <c r="C2803" t="s">
        <v>389</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566</v>
      </c>
      <c r="B2804">
        <v>2007</v>
      </c>
      <c r="C2804" t="s">
        <v>389</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566</v>
      </c>
      <c r="B2805">
        <v>2006</v>
      </c>
      <c r="C2805" t="s">
        <v>389</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566</v>
      </c>
      <c r="B2806">
        <v>2005</v>
      </c>
      <c r="C2806" t="s">
        <v>389</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566</v>
      </c>
      <c r="B2807">
        <v>2004</v>
      </c>
      <c r="C2807" t="s">
        <v>389</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566</v>
      </c>
      <c r="B2808">
        <v>2003</v>
      </c>
      <c r="C2808" t="s">
        <v>389</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566</v>
      </c>
      <c r="B2809">
        <v>2002</v>
      </c>
      <c r="C2809" t="s">
        <v>389</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566</v>
      </c>
      <c r="B2810">
        <v>2001</v>
      </c>
      <c r="C2810" t="s">
        <v>389</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566</v>
      </c>
      <c r="B2811">
        <v>2000</v>
      </c>
      <c r="C2811" t="s">
        <v>389</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567</v>
      </c>
      <c r="B2812">
        <v>2015</v>
      </c>
      <c r="C2812" t="s">
        <v>381</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567</v>
      </c>
      <c r="B2813">
        <v>2014</v>
      </c>
      <c r="C2813" t="s">
        <v>381</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567</v>
      </c>
      <c r="B2814">
        <v>2013</v>
      </c>
      <c r="C2814" t="s">
        <v>381</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567</v>
      </c>
      <c r="B2815">
        <v>2012</v>
      </c>
      <c r="C2815" t="s">
        <v>381</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567</v>
      </c>
      <c r="B2816">
        <v>2011</v>
      </c>
      <c r="C2816" t="s">
        <v>381</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567</v>
      </c>
      <c r="B2817">
        <v>2010</v>
      </c>
      <c r="C2817" t="s">
        <v>381</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567</v>
      </c>
      <c r="B2818">
        <v>2009</v>
      </c>
      <c r="C2818" t="s">
        <v>381</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567</v>
      </c>
      <c r="B2819">
        <v>2008</v>
      </c>
      <c r="C2819" t="s">
        <v>381</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567</v>
      </c>
      <c r="B2820">
        <v>2007</v>
      </c>
      <c r="C2820" t="s">
        <v>381</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567</v>
      </c>
      <c r="B2821">
        <v>2006</v>
      </c>
      <c r="C2821" t="s">
        <v>381</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567</v>
      </c>
      <c r="B2822">
        <v>2005</v>
      </c>
      <c r="C2822" t="s">
        <v>381</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567</v>
      </c>
      <c r="B2823">
        <v>2004</v>
      </c>
      <c r="C2823" t="s">
        <v>381</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567</v>
      </c>
      <c r="B2824">
        <v>2003</v>
      </c>
      <c r="C2824" t="s">
        <v>381</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567</v>
      </c>
      <c r="B2825">
        <v>2002</v>
      </c>
      <c r="C2825" t="s">
        <v>381</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567</v>
      </c>
      <c r="B2826">
        <v>2001</v>
      </c>
      <c r="C2826" t="s">
        <v>381</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567</v>
      </c>
      <c r="B2827">
        <v>2000</v>
      </c>
      <c r="C2827" t="s">
        <v>381</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568</v>
      </c>
      <c r="B2828">
        <v>2015</v>
      </c>
      <c r="C2828" t="s">
        <v>381</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568</v>
      </c>
      <c r="B2829">
        <v>2014</v>
      </c>
      <c r="C2829" t="s">
        <v>381</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568</v>
      </c>
      <c r="B2830">
        <v>2013</v>
      </c>
      <c r="C2830" t="s">
        <v>381</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568</v>
      </c>
      <c r="B2831">
        <v>2012</v>
      </c>
      <c r="C2831" t="s">
        <v>381</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568</v>
      </c>
      <c r="B2832">
        <v>2011</v>
      </c>
      <c r="C2832" t="s">
        <v>381</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568</v>
      </c>
      <c r="B2833">
        <v>2010</v>
      </c>
      <c r="C2833" t="s">
        <v>381</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568</v>
      </c>
      <c r="B2834">
        <v>2009</v>
      </c>
      <c r="C2834" t="s">
        <v>381</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568</v>
      </c>
      <c r="B2835">
        <v>2008</v>
      </c>
      <c r="C2835" t="s">
        <v>381</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568</v>
      </c>
      <c r="B2836">
        <v>2007</v>
      </c>
      <c r="C2836" t="s">
        <v>381</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568</v>
      </c>
      <c r="B2837">
        <v>2006</v>
      </c>
      <c r="C2837" t="s">
        <v>381</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568</v>
      </c>
      <c r="B2838">
        <v>2005</v>
      </c>
      <c r="C2838" t="s">
        <v>381</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568</v>
      </c>
      <c r="B2839">
        <v>2004</v>
      </c>
      <c r="C2839" t="s">
        <v>381</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568</v>
      </c>
      <c r="B2840">
        <v>2003</v>
      </c>
      <c r="C2840" t="s">
        <v>381</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568</v>
      </c>
      <c r="B2841">
        <v>2002</v>
      </c>
      <c r="C2841" t="s">
        <v>381</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568</v>
      </c>
      <c r="B2842">
        <v>2001</v>
      </c>
      <c r="C2842" t="s">
        <v>381</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568</v>
      </c>
      <c r="B2843">
        <v>2000</v>
      </c>
      <c r="C2843" t="s">
        <v>381</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569</v>
      </c>
      <c r="B2844">
        <v>2015</v>
      </c>
      <c r="C2844" t="s">
        <v>381</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569</v>
      </c>
      <c r="B2845">
        <v>2014</v>
      </c>
      <c r="C2845" t="s">
        <v>381</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569</v>
      </c>
      <c r="B2846">
        <v>2013</v>
      </c>
      <c r="C2846" t="s">
        <v>381</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569</v>
      </c>
      <c r="B2847">
        <v>2012</v>
      </c>
      <c r="C2847" t="s">
        <v>381</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569</v>
      </c>
      <c r="B2848">
        <v>2011</v>
      </c>
      <c r="C2848" t="s">
        <v>381</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569</v>
      </c>
      <c r="B2849">
        <v>2010</v>
      </c>
      <c r="C2849" t="s">
        <v>381</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569</v>
      </c>
      <c r="B2850">
        <v>2009</v>
      </c>
      <c r="C2850" t="s">
        <v>381</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569</v>
      </c>
      <c r="B2851">
        <v>2008</v>
      </c>
      <c r="C2851" t="s">
        <v>381</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569</v>
      </c>
      <c r="B2852">
        <v>2007</v>
      </c>
      <c r="C2852" t="s">
        <v>381</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569</v>
      </c>
      <c r="B2853">
        <v>2006</v>
      </c>
      <c r="C2853" t="s">
        <v>381</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569</v>
      </c>
      <c r="B2854">
        <v>2005</v>
      </c>
      <c r="C2854" t="s">
        <v>381</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569</v>
      </c>
      <c r="B2855">
        <v>2004</v>
      </c>
      <c r="C2855" t="s">
        <v>381</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569</v>
      </c>
      <c r="B2856">
        <v>2003</v>
      </c>
      <c r="C2856" t="s">
        <v>381</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569</v>
      </c>
      <c r="B2857">
        <v>2002</v>
      </c>
      <c r="C2857" t="s">
        <v>381</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569</v>
      </c>
      <c r="B2858">
        <v>2001</v>
      </c>
      <c r="C2858" t="s">
        <v>381</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569</v>
      </c>
      <c r="B2859">
        <v>2000</v>
      </c>
      <c r="C2859" t="s">
        <v>381</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570</v>
      </c>
      <c r="B2860">
        <v>2015</v>
      </c>
      <c r="C2860" t="s">
        <v>381</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570</v>
      </c>
      <c r="B2861">
        <v>2014</v>
      </c>
      <c r="C2861" t="s">
        <v>381</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570</v>
      </c>
      <c r="B2862">
        <v>2013</v>
      </c>
      <c r="C2862" t="s">
        <v>381</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570</v>
      </c>
      <c r="B2863">
        <v>2012</v>
      </c>
      <c r="C2863" t="s">
        <v>381</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570</v>
      </c>
      <c r="B2864">
        <v>2011</v>
      </c>
      <c r="C2864" t="s">
        <v>381</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570</v>
      </c>
      <c r="B2865">
        <v>2010</v>
      </c>
      <c r="C2865" t="s">
        <v>381</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570</v>
      </c>
      <c r="B2866">
        <v>2009</v>
      </c>
      <c r="C2866" t="s">
        <v>381</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570</v>
      </c>
      <c r="B2867">
        <v>2008</v>
      </c>
      <c r="C2867" t="s">
        <v>381</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570</v>
      </c>
      <c r="B2868">
        <v>2007</v>
      </c>
      <c r="C2868" t="s">
        <v>381</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570</v>
      </c>
      <c r="B2869">
        <v>2006</v>
      </c>
      <c r="C2869" t="s">
        <v>381</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570</v>
      </c>
      <c r="B2870">
        <v>2005</v>
      </c>
      <c r="C2870" t="s">
        <v>381</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570</v>
      </c>
      <c r="B2871">
        <v>2004</v>
      </c>
      <c r="C2871" t="s">
        <v>381</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570</v>
      </c>
      <c r="B2872">
        <v>2003</v>
      </c>
      <c r="C2872" t="s">
        <v>381</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570</v>
      </c>
      <c r="B2873">
        <v>2002</v>
      </c>
      <c r="C2873" t="s">
        <v>381</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570</v>
      </c>
      <c r="B2874">
        <v>2001</v>
      </c>
      <c r="C2874" t="s">
        <v>381</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570</v>
      </c>
      <c r="B2875">
        <v>2000</v>
      </c>
      <c r="C2875" t="s">
        <v>381</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571</v>
      </c>
      <c r="B2876">
        <v>2015</v>
      </c>
      <c r="C2876" t="s">
        <v>381</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571</v>
      </c>
      <c r="B2877">
        <v>2014</v>
      </c>
      <c r="C2877" t="s">
        <v>381</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571</v>
      </c>
      <c r="B2878">
        <v>2013</v>
      </c>
      <c r="C2878" t="s">
        <v>381</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571</v>
      </c>
      <c r="B2879">
        <v>2012</v>
      </c>
      <c r="C2879" t="s">
        <v>381</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571</v>
      </c>
      <c r="B2880">
        <v>2011</v>
      </c>
      <c r="C2880" t="s">
        <v>381</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571</v>
      </c>
      <c r="B2881">
        <v>2010</v>
      </c>
      <c r="C2881" t="s">
        <v>381</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571</v>
      </c>
      <c r="B2882">
        <v>2009</v>
      </c>
      <c r="C2882" t="s">
        <v>381</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571</v>
      </c>
      <c r="B2883">
        <v>2008</v>
      </c>
      <c r="C2883" t="s">
        <v>381</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571</v>
      </c>
      <c r="B2884">
        <v>2007</v>
      </c>
      <c r="C2884" t="s">
        <v>381</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571</v>
      </c>
      <c r="B2885">
        <v>2006</v>
      </c>
      <c r="C2885" t="s">
        <v>381</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571</v>
      </c>
      <c r="B2886">
        <v>2005</v>
      </c>
      <c r="C2886" t="s">
        <v>381</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571</v>
      </c>
      <c r="B2887">
        <v>2004</v>
      </c>
      <c r="C2887" t="s">
        <v>381</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571</v>
      </c>
      <c r="B2888">
        <v>2003</v>
      </c>
      <c r="C2888" t="s">
        <v>381</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571</v>
      </c>
      <c r="B2889">
        <v>2002</v>
      </c>
      <c r="C2889" t="s">
        <v>381</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571</v>
      </c>
      <c r="B2890">
        <v>2001</v>
      </c>
      <c r="C2890" t="s">
        <v>381</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571</v>
      </c>
      <c r="B2891">
        <v>2000</v>
      </c>
      <c r="C2891" t="s">
        <v>381</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572</v>
      </c>
      <c r="B2892">
        <v>2015</v>
      </c>
      <c r="C2892" t="s">
        <v>381</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572</v>
      </c>
      <c r="B2893">
        <v>2014</v>
      </c>
      <c r="C2893" t="s">
        <v>381</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572</v>
      </c>
      <c r="B2894">
        <v>2013</v>
      </c>
      <c r="C2894" t="s">
        <v>381</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572</v>
      </c>
      <c r="B2895">
        <v>2012</v>
      </c>
      <c r="C2895" t="s">
        <v>381</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572</v>
      </c>
      <c r="B2896">
        <v>2011</v>
      </c>
      <c r="C2896" t="s">
        <v>381</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572</v>
      </c>
      <c r="B2897">
        <v>2010</v>
      </c>
      <c r="C2897" t="s">
        <v>381</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572</v>
      </c>
      <c r="B2898">
        <v>2009</v>
      </c>
      <c r="C2898" t="s">
        <v>381</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572</v>
      </c>
      <c r="B2899">
        <v>2008</v>
      </c>
      <c r="C2899" t="s">
        <v>381</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572</v>
      </c>
      <c r="B2900">
        <v>2007</v>
      </c>
      <c r="C2900" t="s">
        <v>381</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572</v>
      </c>
      <c r="B2901">
        <v>2006</v>
      </c>
      <c r="C2901" t="s">
        <v>381</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572</v>
      </c>
      <c r="B2902">
        <v>2005</v>
      </c>
      <c r="C2902" t="s">
        <v>381</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572</v>
      </c>
      <c r="B2903">
        <v>2004</v>
      </c>
      <c r="C2903" t="s">
        <v>381</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572</v>
      </c>
      <c r="B2904">
        <v>2003</v>
      </c>
      <c r="C2904" t="s">
        <v>381</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572</v>
      </c>
      <c r="B2905">
        <v>2002</v>
      </c>
      <c r="C2905" t="s">
        <v>381</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572</v>
      </c>
      <c r="B2906">
        <v>2001</v>
      </c>
      <c r="C2906" t="s">
        <v>381</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572</v>
      </c>
      <c r="B2907">
        <v>2000</v>
      </c>
      <c r="C2907" t="s">
        <v>381</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573</v>
      </c>
      <c r="B2908">
        <v>2015</v>
      </c>
      <c r="C2908" t="s">
        <v>381</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573</v>
      </c>
      <c r="B2909">
        <v>2014</v>
      </c>
      <c r="C2909" t="s">
        <v>381</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573</v>
      </c>
      <c r="B2910">
        <v>2013</v>
      </c>
      <c r="C2910" t="s">
        <v>381</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573</v>
      </c>
      <c r="B2911">
        <v>2012</v>
      </c>
      <c r="C2911" t="s">
        <v>381</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573</v>
      </c>
      <c r="B2912">
        <v>2011</v>
      </c>
      <c r="C2912" t="s">
        <v>381</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573</v>
      </c>
      <c r="B2913">
        <v>2010</v>
      </c>
      <c r="C2913" t="s">
        <v>381</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573</v>
      </c>
      <c r="B2914">
        <v>2009</v>
      </c>
      <c r="C2914" t="s">
        <v>381</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573</v>
      </c>
      <c r="B2915">
        <v>2008</v>
      </c>
      <c r="C2915" t="s">
        <v>381</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573</v>
      </c>
      <c r="B2916">
        <v>2007</v>
      </c>
      <c r="C2916" t="s">
        <v>381</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573</v>
      </c>
      <c r="B2917">
        <v>2006</v>
      </c>
      <c r="C2917" t="s">
        <v>381</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573</v>
      </c>
      <c r="B2918">
        <v>2005</v>
      </c>
      <c r="C2918" t="s">
        <v>381</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573</v>
      </c>
      <c r="B2919">
        <v>2004</v>
      </c>
      <c r="C2919" t="s">
        <v>381</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573</v>
      </c>
      <c r="B2920">
        <v>2003</v>
      </c>
      <c r="C2920" t="s">
        <v>381</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573</v>
      </c>
      <c r="B2921">
        <v>2002</v>
      </c>
      <c r="C2921" t="s">
        <v>381</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573</v>
      </c>
      <c r="B2922">
        <v>2001</v>
      </c>
      <c r="C2922" t="s">
        <v>381</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573</v>
      </c>
      <c r="B2923">
        <v>2000</v>
      </c>
      <c r="C2923" t="s">
        <v>381</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574</v>
      </c>
      <c r="B2924">
        <v>2015</v>
      </c>
      <c r="C2924" t="s">
        <v>381</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574</v>
      </c>
      <c r="B2925">
        <v>2014</v>
      </c>
      <c r="C2925" t="s">
        <v>381</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574</v>
      </c>
      <c r="B2926">
        <v>2013</v>
      </c>
      <c r="C2926" t="s">
        <v>381</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574</v>
      </c>
      <c r="B2927">
        <v>2012</v>
      </c>
      <c r="C2927" t="s">
        <v>381</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574</v>
      </c>
      <c r="B2928">
        <v>2011</v>
      </c>
      <c r="C2928" t="s">
        <v>381</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574</v>
      </c>
      <c r="B2929">
        <v>2010</v>
      </c>
      <c r="C2929" t="s">
        <v>381</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574</v>
      </c>
      <c r="B2930">
        <v>2009</v>
      </c>
      <c r="C2930" t="s">
        <v>381</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574</v>
      </c>
      <c r="B2931">
        <v>2008</v>
      </c>
      <c r="C2931" t="s">
        <v>381</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574</v>
      </c>
      <c r="B2932">
        <v>2007</v>
      </c>
      <c r="C2932" t="s">
        <v>381</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574</v>
      </c>
      <c r="B2933">
        <v>2006</v>
      </c>
      <c r="C2933" t="s">
        <v>381</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574</v>
      </c>
      <c r="B2934">
        <v>2005</v>
      </c>
      <c r="C2934" t="s">
        <v>381</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574</v>
      </c>
      <c r="B2935">
        <v>2004</v>
      </c>
      <c r="C2935" t="s">
        <v>381</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574</v>
      </c>
      <c r="B2936">
        <v>2003</v>
      </c>
      <c r="C2936" t="s">
        <v>381</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574</v>
      </c>
      <c r="B2937">
        <v>2002</v>
      </c>
      <c r="C2937" t="s">
        <v>381</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574</v>
      </c>
      <c r="B2938">
        <v>2001</v>
      </c>
      <c r="C2938" t="s">
        <v>381</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574</v>
      </c>
      <c r="B2939">
        <v>2000</v>
      </c>
      <c r="C2939" t="s">
        <v>381</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19919E-5478-41FC-8F14-30B8E199C022}">
  <dimension ref="A1:A20"/>
  <sheetViews>
    <sheetView workbookViewId="0"/>
  </sheetViews>
  <sheetFormatPr defaultRowHeight="15" x14ac:dyDescent="0.25"/>
  <cols>
    <col min="1" max="1" width="110.7109375" customWidth="1"/>
  </cols>
  <sheetData>
    <row r="1" spans="1:1" x14ac:dyDescent="0.25">
      <c r="A1" s="4" t="s">
        <v>575</v>
      </c>
    </row>
    <row r="2" spans="1:1" ht="30" x14ac:dyDescent="0.25">
      <c r="A2" s="2" t="s">
        <v>923</v>
      </c>
    </row>
    <row r="3" spans="1:1" ht="30" x14ac:dyDescent="0.25">
      <c r="A3" s="2" t="s">
        <v>576</v>
      </c>
    </row>
    <row r="5" spans="1:1" x14ac:dyDescent="0.25">
      <c r="A5" s="4" t="s">
        <v>924</v>
      </c>
    </row>
    <row r="6" spans="1:1" ht="75" x14ac:dyDescent="0.25">
      <c r="A6" s="2" t="s">
        <v>1728</v>
      </c>
    </row>
    <row r="8" spans="1:1" x14ac:dyDescent="0.25">
      <c r="A8" s="4" t="s">
        <v>940</v>
      </c>
    </row>
    <row r="9" spans="1:1" ht="135" x14ac:dyDescent="0.25">
      <c r="A9" s="2" t="s">
        <v>925</v>
      </c>
    </row>
    <row r="10" spans="1:1" ht="90" x14ac:dyDescent="0.25">
      <c r="A10" s="2" t="s">
        <v>926</v>
      </c>
    </row>
    <row r="11" spans="1:1" ht="150" x14ac:dyDescent="0.25">
      <c r="A11" s="2" t="s">
        <v>1065</v>
      </c>
    </row>
    <row r="13" spans="1:1" x14ac:dyDescent="0.25">
      <c r="A13" s="4" t="s">
        <v>927</v>
      </c>
    </row>
    <row r="14" spans="1:1" ht="45" x14ac:dyDescent="0.25">
      <c r="A14" s="2" t="s">
        <v>928</v>
      </c>
    </row>
    <row r="16" spans="1:1" x14ac:dyDescent="0.25">
      <c r="A16" s="4" t="s">
        <v>929</v>
      </c>
    </row>
    <row r="17" spans="1:1" ht="60" x14ac:dyDescent="0.25">
      <c r="A17" s="2" t="s">
        <v>930</v>
      </c>
    </row>
    <row r="19" spans="1:1" x14ac:dyDescent="0.25">
      <c r="A19" s="4" t="s">
        <v>577</v>
      </c>
    </row>
    <row r="20" spans="1:1" ht="75" x14ac:dyDescent="0.25">
      <c r="A20" s="2" t="s">
        <v>931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A30DB-7A98-4539-AB3F-E39540D8A9F3}">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4" t="s">
        <v>578</v>
      </c>
      <c r="B1" s="13"/>
      <c r="C1" s="13"/>
      <c r="D1" s="13"/>
    </row>
    <row r="2" spans="1:4" ht="90" x14ac:dyDescent="0.25">
      <c r="A2" s="2" t="s">
        <v>579</v>
      </c>
    </row>
    <row r="4" spans="1:4" x14ac:dyDescent="0.25">
      <c r="A4" s="6" t="s">
        <v>580</v>
      </c>
      <c r="B4" s="5"/>
      <c r="C4" s="5"/>
      <c r="D4" s="5"/>
    </row>
    <row r="5" spans="1:4" x14ac:dyDescent="0.25">
      <c r="A5" s="6" t="s">
        <v>581</v>
      </c>
      <c r="B5" s="6" t="s">
        <v>582</v>
      </c>
      <c r="C5" s="6" t="s">
        <v>583</v>
      </c>
      <c r="D5" s="6" t="s">
        <v>584</v>
      </c>
    </row>
    <row r="6" spans="1:4" ht="45" x14ac:dyDescent="0.25">
      <c r="A6" s="2" t="s">
        <v>585</v>
      </c>
      <c r="B6" s="2" t="s">
        <v>586</v>
      </c>
      <c r="C6" s="2" t="s">
        <v>167</v>
      </c>
      <c r="D6" s="2" t="s">
        <v>587</v>
      </c>
    </row>
    <row r="7" spans="1:4" ht="60" x14ac:dyDescent="0.25">
      <c r="A7" s="2" t="s">
        <v>588</v>
      </c>
      <c r="B7" s="2" t="s">
        <v>589</v>
      </c>
      <c r="C7" s="2" t="s">
        <v>590</v>
      </c>
      <c r="D7" s="2" t="s">
        <v>591</v>
      </c>
    </row>
    <row r="8" spans="1:4" ht="45" x14ac:dyDescent="0.25">
      <c r="A8" s="2" t="s">
        <v>592</v>
      </c>
      <c r="B8" s="2" t="s">
        <v>586</v>
      </c>
      <c r="C8" s="2" t="s">
        <v>593</v>
      </c>
      <c r="D8" s="2" t="s">
        <v>594</v>
      </c>
    </row>
    <row r="10" spans="1:4" x14ac:dyDescent="0.25">
      <c r="A10" s="6" t="s">
        <v>595</v>
      </c>
      <c r="B10" s="5"/>
      <c r="C10" s="5"/>
      <c r="D10" s="5"/>
    </row>
    <row r="11" spans="1:4" x14ac:dyDescent="0.25">
      <c r="A11" s="6" t="s">
        <v>581</v>
      </c>
      <c r="B11" s="6" t="s">
        <v>582</v>
      </c>
      <c r="C11" s="6" t="s">
        <v>583</v>
      </c>
      <c r="D11" s="6" t="s">
        <v>584</v>
      </c>
    </row>
    <row r="12" spans="1:4" ht="60" x14ac:dyDescent="0.25">
      <c r="A12" s="2" t="s">
        <v>596</v>
      </c>
      <c r="B12" s="2" t="s">
        <v>586</v>
      </c>
      <c r="C12" s="2" t="s">
        <v>597</v>
      </c>
      <c r="D12" s="2" t="s">
        <v>598</v>
      </c>
    </row>
    <row r="13" spans="1:4" ht="180" x14ac:dyDescent="0.25">
      <c r="A13" s="2" t="s">
        <v>599</v>
      </c>
      <c r="B13" s="2" t="s">
        <v>600</v>
      </c>
      <c r="C13" s="2" t="s">
        <v>599</v>
      </c>
      <c r="D13" s="2" t="s">
        <v>601</v>
      </c>
    </row>
    <row r="14" spans="1:4" ht="60" x14ac:dyDescent="0.25">
      <c r="A14" s="2" t="s">
        <v>602</v>
      </c>
      <c r="B14" s="2" t="s">
        <v>603</v>
      </c>
      <c r="C14" s="2" t="s">
        <v>604</v>
      </c>
      <c r="D14" s="2" t="s">
        <v>605</v>
      </c>
    </row>
    <row r="15" spans="1:4" ht="75" x14ac:dyDescent="0.25">
      <c r="A15" s="2" t="s">
        <v>606</v>
      </c>
      <c r="B15" s="2" t="s">
        <v>600</v>
      </c>
      <c r="C15" s="2" t="s">
        <v>607</v>
      </c>
      <c r="D15" s="2" t="s">
        <v>608</v>
      </c>
    </row>
    <row r="17" spans="1:4" x14ac:dyDescent="0.25">
      <c r="A17" s="6" t="s">
        <v>609</v>
      </c>
      <c r="B17" s="5"/>
      <c r="C17" s="5"/>
      <c r="D17" s="5"/>
    </row>
    <row r="18" spans="1:4" x14ac:dyDescent="0.25">
      <c r="A18" s="6" t="s">
        <v>610</v>
      </c>
      <c r="B18" s="6" t="s">
        <v>611</v>
      </c>
      <c r="C18" s="6" t="s">
        <v>612</v>
      </c>
      <c r="D18" s="6" t="s">
        <v>613</v>
      </c>
    </row>
    <row r="19" spans="1:4" ht="30" x14ac:dyDescent="0.25">
      <c r="A19" s="2" t="s">
        <v>1729</v>
      </c>
      <c r="B19" s="2" t="s">
        <v>1730</v>
      </c>
      <c r="C19" s="2" t="s">
        <v>1731</v>
      </c>
      <c r="D19" s="2" t="s">
        <v>1732</v>
      </c>
    </row>
    <row r="20" spans="1:4" ht="30" x14ac:dyDescent="0.25">
      <c r="A20" s="2" t="s">
        <v>117</v>
      </c>
      <c r="B20" s="2" t="s">
        <v>1733</v>
      </c>
      <c r="C20" s="2" t="s">
        <v>614</v>
      </c>
      <c r="D20" s="2" t="s">
        <v>615</v>
      </c>
    </row>
    <row r="21" spans="1:4" x14ac:dyDescent="0.25">
      <c r="A21" s="2" t="s">
        <v>616</v>
      </c>
      <c r="B21" s="2" t="s">
        <v>617</v>
      </c>
      <c r="C21" s="2" t="s">
        <v>618</v>
      </c>
      <c r="D21" s="2" t="s">
        <v>619</v>
      </c>
    </row>
    <row r="22" spans="1:4" ht="30" x14ac:dyDescent="0.25">
      <c r="A22" s="2" t="s">
        <v>620</v>
      </c>
      <c r="B22" s="2" t="s">
        <v>621</v>
      </c>
      <c r="C22" s="2" t="s">
        <v>622</v>
      </c>
      <c r="D22" s="2" t="s">
        <v>623</v>
      </c>
    </row>
    <row r="23" spans="1:4" x14ac:dyDescent="0.25">
      <c r="A23" s="2" t="s">
        <v>624</v>
      </c>
      <c r="B23" s="2" t="s">
        <v>625</v>
      </c>
      <c r="C23" s="2" t="s">
        <v>618</v>
      </c>
      <c r="D23" s="2" t="s">
        <v>626</v>
      </c>
    </row>
    <row r="24" spans="1:4" x14ac:dyDescent="0.25">
      <c r="A24" s="2" t="s">
        <v>627</v>
      </c>
      <c r="B24" s="2" t="s">
        <v>628</v>
      </c>
      <c r="C24" s="2" t="s">
        <v>618</v>
      </c>
      <c r="D24" s="2" t="s">
        <v>629</v>
      </c>
    </row>
    <row r="25" spans="1:4" x14ac:dyDescent="0.25">
      <c r="A25" s="2" t="s">
        <v>603</v>
      </c>
      <c r="B25" s="2" t="s">
        <v>630</v>
      </c>
      <c r="C25" s="2" t="s">
        <v>618</v>
      </c>
      <c r="D25" s="2" t="s">
        <v>631</v>
      </c>
    </row>
    <row r="26" spans="1:4" ht="30" x14ac:dyDescent="0.25">
      <c r="A26" s="2" t="s">
        <v>604</v>
      </c>
      <c r="B26" s="2" t="s">
        <v>632</v>
      </c>
      <c r="C26" s="2" t="s">
        <v>633</v>
      </c>
      <c r="D26" s="2" t="s">
        <v>634</v>
      </c>
    </row>
    <row r="27" spans="1:4" x14ac:dyDescent="0.25">
      <c r="A27" s="2" t="s">
        <v>599</v>
      </c>
      <c r="B27" s="2" t="s">
        <v>635</v>
      </c>
      <c r="C27" s="2" t="s">
        <v>636</v>
      </c>
      <c r="D27" s="2" t="s">
        <v>637</v>
      </c>
    </row>
    <row r="28" spans="1:4" ht="30" x14ac:dyDescent="0.25">
      <c r="A28" s="2" t="s">
        <v>596</v>
      </c>
      <c r="B28" s="2" t="s">
        <v>638</v>
      </c>
      <c r="C28" s="2" t="s">
        <v>639</v>
      </c>
      <c r="D28" s="2" t="s">
        <v>640</v>
      </c>
    </row>
    <row r="29" spans="1:4" x14ac:dyDescent="0.25">
      <c r="A29" s="2" t="s">
        <v>641</v>
      </c>
      <c r="B29" s="2" t="s">
        <v>642</v>
      </c>
      <c r="C29" s="2" t="s">
        <v>643</v>
      </c>
      <c r="D29" s="2" t="s">
        <v>644</v>
      </c>
    </row>
    <row r="31" spans="1:4" x14ac:dyDescent="0.25">
      <c r="A31" s="6" t="s">
        <v>645</v>
      </c>
      <c r="B31" s="5"/>
      <c r="C31" s="5"/>
    </row>
    <row r="32" spans="1:4" x14ac:dyDescent="0.25">
      <c r="A32" s="6" t="s">
        <v>646</v>
      </c>
      <c r="B32" s="6" t="s">
        <v>647</v>
      </c>
      <c r="C32" s="6" t="s">
        <v>648</v>
      </c>
    </row>
    <row r="33" spans="1:3" ht="120" x14ac:dyDescent="0.25">
      <c r="A33" s="2" t="s">
        <v>649</v>
      </c>
      <c r="B33" s="2" t="s">
        <v>650</v>
      </c>
      <c r="C33" s="2" t="s">
        <v>651</v>
      </c>
    </row>
    <row r="34" spans="1:3" ht="105" x14ac:dyDescent="0.25">
      <c r="A34" s="2" t="s">
        <v>652</v>
      </c>
      <c r="B34" s="2" t="s">
        <v>653</v>
      </c>
      <c r="C34" s="2" t="s">
        <v>654</v>
      </c>
    </row>
    <row r="35" spans="1:3" ht="120" x14ac:dyDescent="0.25">
      <c r="A35" s="2" t="s">
        <v>655</v>
      </c>
      <c r="B35" s="2" t="s">
        <v>656</v>
      </c>
      <c r="C35" s="2" t="s">
        <v>657</v>
      </c>
    </row>
    <row r="36" spans="1:3" ht="240" x14ac:dyDescent="0.25">
      <c r="A36" s="2" t="s">
        <v>658</v>
      </c>
      <c r="B36" s="2" t="s">
        <v>659</v>
      </c>
      <c r="C36" s="2" t="s">
        <v>660</v>
      </c>
    </row>
    <row r="37" spans="1:3" ht="150" x14ac:dyDescent="0.25">
      <c r="A37" s="2" t="s">
        <v>1734</v>
      </c>
      <c r="B37" s="2" t="s">
        <v>1735</v>
      </c>
      <c r="C37" s="2" t="s">
        <v>661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dimension ref="A1:D6"/>
  <sheetViews>
    <sheetView workbookViewId="0"/>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662</v>
      </c>
      <c r="B1" s="13"/>
      <c r="C1" s="13"/>
      <c r="D1" s="13"/>
    </row>
    <row r="2" spans="1:4" x14ac:dyDescent="0.25">
      <c r="A2" s="6" t="s">
        <v>663</v>
      </c>
      <c r="B2" s="6" t="s">
        <v>664</v>
      </c>
      <c r="C2" s="6" t="s">
        <v>932</v>
      </c>
      <c r="D2" s="6" t="s">
        <v>665</v>
      </c>
    </row>
    <row r="3" spans="1:4" ht="105" x14ac:dyDescent="0.25">
      <c r="A3" t="s">
        <v>666</v>
      </c>
      <c r="B3" s="19">
        <v>46189</v>
      </c>
      <c r="C3" t="s">
        <v>934</v>
      </c>
      <c r="D3" s="2" t="s">
        <v>667</v>
      </c>
    </row>
    <row r="4" spans="1:4" ht="105" x14ac:dyDescent="0.25">
      <c r="A4" t="s">
        <v>933</v>
      </c>
      <c r="B4" s="19">
        <v>46202</v>
      </c>
      <c r="C4" t="s">
        <v>934</v>
      </c>
      <c r="D4" s="2" t="s">
        <v>878</v>
      </c>
    </row>
    <row r="5" spans="1:4" ht="105" x14ac:dyDescent="0.25">
      <c r="A5" t="s">
        <v>935</v>
      </c>
      <c r="B5" s="19">
        <v>46206</v>
      </c>
      <c r="C5" t="s">
        <v>934</v>
      </c>
      <c r="D5" s="2" t="s">
        <v>936</v>
      </c>
    </row>
    <row r="6" spans="1:4" ht="150" x14ac:dyDescent="0.25">
      <c r="A6" t="s">
        <v>877</v>
      </c>
      <c r="B6" s="19">
        <v>46208</v>
      </c>
      <c r="C6" t="s">
        <v>937</v>
      </c>
      <c r="D6" s="2"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dimension ref="A1:AV394"/>
  <sheetViews>
    <sheetView tabSelected="1" zoomScaleNormal="100" workbookViewId="0">
      <pane ySplit="2" topLeftCell="A3" activePane="bottomLeft" state="frozenSplit"/>
      <selection pane="bottomLeft" activeCell="A3" sqref="A3"/>
    </sheetView>
  </sheetViews>
  <sheetFormatPr defaultRowHeight="15" outlineLevelCol="1" x14ac:dyDescent="0.25"/>
  <cols>
    <col min="1" max="1" width="28.7109375" customWidth="1" outlineLevel="1"/>
    <col min="2" max="2" width="20.7109375" customWidth="1" outlineLevel="1"/>
    <col min="3" max="3" width="9.7109375" customWidth="1" outlineLevel="1"/>
    <col min="4" max="4" width="11.7109375" customWidth="1" outlineLevel="1"/>
    <col min="5" max="5" width="15.7109375" customWidth="1" outlineLevel="1"/>
    <col min="6" max="6" width="8.42578125" hidden="1" customWidth="1" outlineLevel="1"/>
    <col min="7" max="7" width="12.42578125" hidden="1" customWidth="1" outlineLevel="1"/>
    <col min="8" max="8" width="10.7109375" customWidth="1" outlineLevel="1"/>
    <col min="9" max="9" width="38.7109375" customWidth="1" outlineLevel="1"/>
    <col min="10" max="10" width="14.7109375" customWidth="1" outlineLevel="1"/>
    <col min="11" max="11" width="7.7109375" customWidth="1" outlineLevel="1"/>
    <col min="12" max="12" width="16.7109375" customWidth="1" outlineLevel="1"/>
    <col min="13" max="13" width="10.7109375" customWidth="1" outlineLevel="1"/>
    <col min="14" max="14" width="8.7109375" customWidth="1" outlineLevel="1"/>
    <col min="15" max="15" width="2.7109375" customWidth="1"/>
    <col min="16" max="16" width="24.7109375" customWidth="1" outlineLevel="1"/>
    <col min="17" max="22" width="9.7109375" customWidth="1" outlineLevel="1"/>
    <col min="23" max="23" width="2.7109375" customWidth="1"/>
    <col min="24" max="24" width="22.7109375" customWidth="1" outlineLevel="1"/>
    <col min="25" max="26" width="12.7109375" customWidth="1" outlineLevel="1"/>
    <col min="27" max="27" width="24.7109375" customWidth="1" outlineLevel="1"/>
    <col min="28" max="28" width="16.7109375" customWidth="1" outlineLevel="1"/>
    <col min="29" max="29" width="14.7109375" customWidth="1" outlineLevel="1"/>
    <col min="30" max="31" width="10.7109375" customWidth="1" outlineLevel="1"/>
    <col min="32" max="32" width="2.7109375" customWidth="1"/>
    <col min="33" max="33" width="24.7109375" customWidth="1" outlineLevel="1"/>
    <col min="34" max="34" width="16.7109375" customWidth="1" outlineLevel="1"/>
    <col min="35" max="35" width="14.7109375" style="7" customWidth="1" outlineLevel="1"/>
    <col min="36" max="36" width="2.7109375" customWidth="1"/>
    <col min="37" max="37" width="16.7109375" customWidth="1" outlineLevel="1"/>
    <col min="38" max="39" width="10.7109375" style="7" customWidth="1" outlineLevel="1"/>
    <col min="40" max="42" width="9.7109375" style="7" customWidth="1" outlineLevel="1"/>
    <col min="43" max="43" width="12.7109375" style="7" customWidth="1" outlineLevel="1"/>
    <col min="44" max="44" width="9.7109375" style="7" customWidth="1" outlineLevel="1"/>
    <col min="45" max="45" width="14.7109375" style="7" customWidth="1" outlineLevel="1"/>
    <col min="46" max="46" width="17.7109375" style="7" customWidth="1" outlineLevel="1"/>
    <col min="47" max="47" width="14.7109375" style="7" customWidth="1" outlineLevel="1"/>
    <col min="48" max="50" width="15.7109375" customWidth="1"/>
  </cols>
  <sheetData>
    <row r="1" spans="1:48" x14ac:dyDescent="0.25">
      <c r="A1" s="4" t="s">
        <v>920</v>
      </c>
      <c r="E1" s="3" t="str" cm="1">
        <f t="array" ref="E1">IF(SUMPRODUCT(N(_xlfn.TAKE(Spec_Sequence,COLUMNS(Source_Data))=TRUE))&gt;1,"ERROR: multiple Sequence flags (mark at most one variable)","")</f>
        <v/>
      </c>
      <c r="I1" s="3" t="s">
        <v>1010</v>
      </c>
      <c r="M1" s="3" t="s">
        <v>1008</v>
      </c>
      <c r="N1" s="3" t="s">
        <v>1009</v>
      </c>
      <c r="P1" s="4" t="s">
        <v>668</v>
      </c>
      <c r="X1" s="4" t="s">
        <v>671</v>
      </c>
      <c r="AG1" s="53" t="s">
        <v>695</v>
      </c>
      <c r="AH1" s="54"/>
      <c r="AK1" s="4" t="s">
        <v>705</v>
      </c>
    </row>
    <row r="2" spans="1:48" ht="60" x14ac:dyDescent="0.25">
      <c r="A2" s="3" t="s">
        <v>704</v>
      </c>
      <c r="C2" s="16" t="b">
        <v>1</v>
      </c>
      <c r="I2" t="str" cm="1">
        <f t="array" ref="I2">_xlfn.LET(_xlpm.d,Sequence_Deltas(),_xlpm.v,INDEX(Spec_Period_In_Use,_xlfn.XMATCH(TRUE,Spec_Sequence,0)),IF(OR(COUNT(_xlpm.d)=0,NOT(ISNUMBER(_xlpm.v))),"",IF(SUM(--(MOD(_xlpm.d,_xlpm.v)&lt;&gt;0))&gt;0,"Off-grid spacings: some gaps are not whole multiples of Δ — those observations never align with the Δ grid.",IF(SUM(--(_xlpm.d&lt;&gt;_xlpm.v))&gt;0,"Sequence is not evenly spaced: spacings besides Δ exist — Difference_By / Lag_By return #N/A at gap rows.",IF(ISNA(_xlfn.MODE.SNGL(_xlpm.d)),"No repeated spacing — no natural base period (candidate falls back to the minimum). Review the spectrum and set Δ in spec column I (Sequence Period).",IF(SUM(--((((_xlpm.d&gt;=28)*(_xlpm.d&lt;=31))+((_xlpm.d&gt;=90)*(_xlpm.d&lt;=92))+((_xlpm.d&gt;=365)*(_xlpm.d&lt;=366)))&gt;0))*2&gt;COUNT(_xlpm.d),"Calendar-day spacing (~28–31 / 90–92 / 365–366): do not set a day-count Δ — build an integer period index upstream (YEAR, or YEAR*12+MONTH) and flag that as the Sequence axis.",""))))))</f>
        <v>Sequence is not evenly spaced: spacings besides Δ exist — Difference_By / Lag_By return #N/A at gap rows.</v>
      </c>
      <c r="M2" cm="1">
        <f t="array" ref="M2:N10">IFERROR(Sequence_Delta_Spectrum(),"")</f>
        <v>1</v>
      </c>
      <c r="N2">
        <v>44</v>
      </c>
      <c r="P2" s="27"/>
      <c r="Q2" s="27" t="s">
        <v>669</v>
      </c>
      <c r="R2" s="27" t="s">
        <v>670</v>
      </c>
      <c r="S2" s="27" t="s">
        <v>237</v>
      </c>
      <c r="T2" s="27" t="s">
        <v>243</v>
      </c>
      <c r="U2" s="27" t="s">
        <v>1715</v>
      </c>
      <c r="V2" s="27" t="s">
        <v>117</v>
      </c>
      <c r="W2" s="2"/>
      <c r="X2" s="2"/>
      <c r="Y2" s="2"/>
      <c r="Z2" s="2"/>
      <c r="AA2" s="2"/>
      <c r="AB2" s="31" t="s">
        <v>785</v>
      </c>
      <c r="AC2" s="31" t="str" cm="1">
        <f t="array" ref="AC2">IFERROR(INDEX(_xlfn.TOROW(Header_Names),_xlfn.XMATCH("Response (y)",_xlfn.TAKE(Spec_Role,COLUMNS(Source_Data)))),"(none)")</f>
        <v>MPG</v>
      </c>
      <c r="AD2" s="2"/>
      <c r="AE2" s="2"/>
      <c r="AF2" s="2"/>
      <c r="AG2" s="28" t="s">
        <v>696</v>
      </c>
      <c r="AH2" s="29"/>
      <c r="AI2" s="33"/>
      <c r="AJ2" s="2"/>
      <c r="AK2" s="27" t="s">
        <v>921</v>
      </c>
      <c r="AL2" s="30" t="s">
        <v>593</v>
      </c>
      <c r="AM2" s="30" t="s">
        <v>586</v>
      </c>
      <c r="AN2" s="30" t="s">
        <v>167</v>
      </c>
      <c r="AO2" s="30" t="s">
        <v>706</v>
      </c>
      <c r="AP2" s="30" t="s">
        <v>604</v>
      </c>
      <c r="AQ2" s="30" t="s">
        <v>599</v>
      </c>
      <c r="AR2" s="30" t="s">
        <v>707</v>
      </c>
      <c r="AS2" s="30" t="s">
        <v>590</v>
      </c>
      <c r="AT2" s="30" t="s">
        <v>596</v>
      </c>
      <c r="AU2" s="30" t="s">
        <v>641</v>
      </c>
      <c r="AV2" s="2"/>
    </row>
    <row r="3" spans="1:48" x14ac:dyDescent="0.25">
      <c r="A3" s="3" t="s">
        <v>997</v>
      </c>
      <c r="B3" s="3" t="s">
        <v>879</v>
      </c>
      <c r="C3" s="3" t="s">
        <v>876</v>
      </c>
      <c r="D3" s="3" t="s">
        <v>880</v>
      </c>
      <c r="E3" s="3" t="s">
        <v>881</v>
      </c>
      <c r="F3" s="3" t="s">
        <v>882</v>
      </c>
      <c r="G3" s="3" t="s">
        <v>883</v>
      </c>
      <c r="H3" s="3" t="s">
        <v>941</v>
      </c>
      <c r="I3" s="3" t="s">
        <v>1006</v>
      </c>
      <c r="J3" s="3" t="s">
        <v>1007</v>
      </c>
      <c r="K3" s="3" t="s">
        <v>884</v>
      </c>
      <c r="L3" s="3" t="s">
        <v>919</v>
      </c>
      <c r="M3">
        <v>2</v>
      </c>
      <c r="N3">
        <v>22</v>
      </c>
      <c r="P3" t="str" cm="1">
        <f t="array" ref="P3:P18">TRANSPOSE(Constructed_Column_Names())</f>
        <v>Horsepower</v>
      </c>
      <c r="Q3" s="14" cm="1">
        <f t="array" ref="Q3:Q18">Pearson_R(X_s(),Response_Column(),Sample_Include())</f>
        <v>-0.7784267838977752</v>
      </c>
      <c r="R3" s="14" cm="1">
        <f t="array" ref="R3:R18">Spearman_R(X_s(),Response_Column(),Sample_Include())</f>
        <v>-0.85361640244538828</v>
      </c>
      <c r="S3" s="14" cm="1">
        <f t="array" ref="S3:S18">Skewness(X_s(),Sample_Include())</f>
        <v>1.0873262824048666</v>
      </c>
      <c r="T3" s="14" cm="1">
        <f t="array" ref="T3:T18">Kurtosis(X_s(),Sample_Include())</f>
        <v>0.69694699974278684</v>
      </c>
      <c r="U3" s="14" t="e" cm="1">
        <f t="array" aca="1" ref="U3" ca="1">GVIF(X_s(),Constructed_Column_Names(),Allow_Intercept,Sample_Include())</f>
        <v>#NAME?</v>
      </c>
      <c r="V3" s="14" t="e" cm="1">
        <f t="array" aca="1" ref="V3" ca="1">Generalized_Tolerance(X_s(),Constructed_Column_Names(),Allow_Intercept,Sample_Include())</f>
        <v>#NAME?</v>
      </c>
      <c r="X3" s="53" t="s">
        <v>672</v>
      </c>
      <c r="Y3" s="54"/>
      <c r="AA3" s="53" t="s">
        <v>677</v>
      </c>
      <c r="AB3" s="54"/>
      <c r="AG3" s="8" t="s">
        <v>697</v>
      </c>
      <c r="AH3" s="11" cm="1">
        <f t="array" ref="AH3:AH8">IF(Zero_Predictors_Selected(),IF(AND(Allow_Intercept,Intercept_Only_N()&gt;=2),_xlfn.LET(_xlpm.point,Intercept_Only_Point(),_xlpm.se_pred,Intercept_Only_S()*SQRT(1+1/Intercept_Only_N()),_xlpm.t_crit,_xlfn.T.INV.2T(alpha,Intercept_Only_DF()),_xlfn.VSTACK(_xlpm.point,_xlpm.se_pred,_xlpm.t_crit,_xlpm.point-_xlpm.t_crit*_xlpm.se_pred,_xlpm.point+_xlpm.t_crit*_xlpm.se_pred,1-alpha)),NA()),_xlfn.LET(_xlpm.pred_input,_xlfn.VSTACK($AH$12,_xlfn.TAKE($AH$13:$AH$62,COLUMNS(X_s()))),Prediction_Interval(X_s(),Response_Column(),_xlpm.pred_input,Allow_Intercept,Sample_Include(),alpha)))</f>
        <v>23.445918367346938</v>
      </c>
      <c r="AK3" t="str" cm="1">
        <f t="array" ref="AK3:AK394">IFERROR(_xlfn._xlws.FILTER(Row_Labels(),Sample_Include()),NA())</f>
        <v>chevrolet chevelle malibu</v>
      </c>
      <c r="AL3" s="7" cm="1">
        <f t="array" ref="AL3:AL394">Dependent_Variable(Response_Column(),Sample_Include())</f>
        <v>18</v>
      </c>
      <c r="AM3" s="7" cm="1">
        <f t="array" ref="AM3:AM394">Predictions(X_s(),Response_Column(),Allow_Intercept,Sample_Include())</f>
        <v>16.838573626431657</v>
      </c>
      <c r="AN3" s="7" cm="1">
        <f t="array" ref="AN3:AN394">Residuals(X_s(),Response_Column(),Allow_Intercept,Sample_Include())</f>
        <v>1.161426373568343</v>
      </c>
      <c r="AO3" s="7" cm="1">
        <f t="array" ref="AO3:AO394">Hat_Diagonal(X_s(),Allow_Intercept,Sample_Include())</f>
        <v>4.0149898039742712E-2</v>
      </c>
      <c r="AP3" s="7" cm="1">
        <f t="array" ref="AP3:AP394">Studentized_Residuals(X_s(),Response_Column(),Allow_Intercept,Sample_Include())</f>
        <v>0.38649046111355317</v>
      </c>
      <c r="AQ3" s="7" cm="1">
        <f t="array" ref="AQ3:AQ394">Cooks_Distance(X_s(),Response_Column(),Allow_Intercept,Sample_Include())</f>
        <v>3.6754428083898762E-4</v>
      </c>
      <c r="AR3" s="7" cm="1">
        <f t="array" ref="AR3:AR394">_xlfn._xlws.SORT(Normal_Scores(Response_Column(),Sample_Include()))</f>
        <v>-3.0172230343004571</v>
      </c>
      <c r="AS3" s="7" cm="1">
        <f t="array" ref="AS3:AS394">Studentized_Residuals_Ranked(X_s(),Response_Column(),Allow_Intercept,Sample_Include())</f>
        <v>-3.451682617569364</v>
      </c>
      <c r="AT3" s="7" cm="1">
        <f t="array" ref="AT3:AT394">SQRT(ABS(Studentized_Residuals(X_s(),Response_Column(),Allow_Intercept,Sample_Include())))</f>
        <v>0.6216835699240838</v>
      </c>
      <c r="AU3" s="7" cm="1">
        <f t="array" ref="AU3:AU394">LOOCV_Residual(X_s(),Response_Column(),Allow_Intercept,Sample_Include())</f>
        <v>1.2100080743820476</v>
      </c>
    </row>
    <row r="4" spans="1:48" x14ac:dyDescent="0.25">
      <c r="A4" t="str" cm="1">
        <f t="array" ref="A4:A15">TRANSPOSE(Header_Names)</f>
        <v>MPG</v>
      </c>
      <c r="B4" s="16" t="s">
        <v>918</v>
      </c>
      <c r="C4" s="16" t="b">
        <v>0</v>
      </c>
      <c r="D4" s="16" t="s">
        <v>885</v>
      </c>
      <c r="E4" s="16"/>
      <c r="F4" s="16"/>
      <c r="G4" s="16" t="s">
        <v>886</v>
      </c>
      <c r="H4" s="16"/>
      <c r="I4" s="16"/>
      <c r="J4" t="str">
        <f>IF(SpecTable[[#This Row],[Sequence]]&lt;&gt;TRUE,"",IF(N(SpecTable[[#This Row],[Sequence Period]])&lt;&gt;0,SpecTable[[#This Row],[Sequence Period]],IFERROR(Base_Period_Delta_Candidate(),"")))</f>
        <v/>
      </c>
      <c r="K4" t="str">
        <f>IF(OR(SpecTable[[#This Row],[Role]]&lt;&gt;"Predictor (x)",SpecTable[[#This Row],[Type]]&lt;&gt;"Categorical"),"",_xlfn.LET(_xlpm.col,INDEX(Source_Data,0,ROW()-3),_xlpm.x,IF(_xlpm.col="","",_xlpm.col),IFERROR(ROWS(_xlfn.UNIQUE(_xlfn._xlws.FILTER(_xlpm.x,(_xlpm.x&lt;&gt;"")*Sample_Include()))),0)))</f>
        <v/>
      </c>
      <c r="L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4">
        <v>3</v>
      </c>
      <c r="N4">
        <v>13</v>
      </c>
      <c r="P4" t="str">
        <v>Weight</v>
      </c>
      <c r="Q4" s="14">
        <v>-0.83224421483157562</v>
      </c>
      <c r="R4" s="14">
        <v>-0.87558511987398702</v>
      </c>
      <c r="S4" s="14">
        <v>0.51958567405583889</v>
      </c>
      <c r="T4" s="14">
        <v>-0.80925938832796707</v>
      </c>
      <c r="U4" s="14"/>
      <c r="V4" s="14"/>
      <c r="X4" s="8" t="s">
        <v>673</v>
      </c>
      <c r="Y4" s="11" cm="1">
        <f t="array" ref="Y4">Multiple_R(X_s(),Response_Column(),Allow_Intercept,Sample_Include())</f>
        <v>0.9229740928315785</v>
      </c>
      <c r="AA4" s="8" t="s">
        <v>55</v>
      </c>
      <c r="AB4" s="11" cm="1">
        <f t="array" ref="AB4">PRESS(X_s(),Response_Column(),Allow_Intercept,Sample_Include())</f>
        <v>3865.0233891256107</v>
      </c>
      <c r="AG4" s="8" t="s">
        <v>698</v>
      </c>
      <c r="AH4" s="11">
        <v>3.07117411033478</v>
      </c>
      <c r="AK4" t="str">
        <v>buick skylark 320</v>
      </c>
      <c r="AL4" s="7">
        <v>15</v>
      </c>
      <c r="AM4" s="7">
        <v>15.313332990800653</v>
      </c>
      <c r="AN4" s="7">
        <v>-0.31333299080065302</v>
      </c>
      <c r="AO4" s="7">
        <v>3.5578253857220465E-2</v>
      </c>
      <c r="AP4" s="7">
        <v>-0.10402109723738548</v>
      </c>
      <c r="AQ4" s="7">
        <v>2.3480728919653656E-5</v>
      </c>
      <c r="AR4" s="7">
        <v>-2.6670046532742777</v>
      </c>
      <c r="AS4" s="7">
        <v>-2.7327997376671558</v>
      </c>
      <c r="AT4" s="7">
        <v>0.32252301815124063</v>
      </c>
      <c r="AU4" s="7">
        <v>-0.32489208383555579</v>
      </c>
    </row>
    <row r="5" spans="1:48" x14ac:dyDescent="0.25">
      <c r="A5" t="str">
        <v>Cylinders</v>
      </c>
      <c r="B5" s="16" t="s">
        <v>917</v>
      </c>
      <c r="C5" s="16" t="b">
        <v>0</v>
      </c>
      <c r="D5" s="16" t="s">
        <v>885</v>
      </c>
      <c r="E5" s="16"/>
      <c r="F5" s="16"/>
      <c r="G5" s="16" t="s">
        <v>886</v>
      </c>
      <c r="H5" s="16"/>
      <c r="I5" s="16"/>
      <c r="J5" t="str">
        <f>IF(SpecTable[[#This Row],[Sequence]]&lt;&gt;TRUE,"",IF(N(SpecTable[[#This Row],[Sequence Period]])&lt;&gt;0,SpecTable[[#This Row],[Sequence Period]],IFERROR(Base_Period_Delta_Candidate(),"")))</f>
        <v/>
      </c>
      <c r="K5" t="str">
        <f>IF(OR(SpecTable[[#This Row],[Role]]&lt;&gt;"Predictor (x)",SpecTable[[#This Row],[Type]]&lt;&gt;"Categorical"),"",_xlfn.LET(_xlpm.col,INDEX(Source_Data,0,ROW()-3),_xlpm.x,IF(_xlpm.col="","",_xlpm.col),IFERROR(ROWS(_xlfn.UNIQUE(_xlfn._xlws.FILTER(_xlpm.x,(_xlpm.x&lt;&gt;"")*Sample_Include()))),0)))</f>
        <v/>
      </c>
      <c r="L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5">
        <v>4</v>
      </c>
      <c r="N5">
        <v>5</v>
      </c>
      <c r="P5" t="str">
        <v>Model Year: 71</v>
      </c>
      <c r="Q5" s="14">
        <v>-8.1464390968000566E-2</v>
      </c>
      <c r="R5" s="14">
        <v>-7.885166012852686E-2</v>
      </c>
      <c r="S5" s="14">
        <v>3.4178672534749635</v>
      </c>
      <c r="T5" s="14">
        <v>9.7314413233527937</v>
      </c>
      <c r="U5" s="14"/>
      <c r="V5" s="14"/>
      <c r="X5" s="8" t="s">
        <v>674</v>
      </c>
      <c r="Y5" s="11" cm="1">
        <f t="array" ref="Y5">R_Squared(X_s(),Response_Column(),Allow_Intercept,Sample_Include())</f>
        <v>0.85188117603827529</v>
      </c>
      <c r="AA5" s="8" t="s">
        <v>616</v>
      </c>
      <c r="AB5" s="11" cm="1">
        <f t="array" ref="AB5">1-PRESS(X_s(),Response_Column(),Allow_Intercept,Sample_Include())/SS_Total(Response_Column(),Allow_Intercept,Sample_Include())</f>
        <v>0.8377335551943893</v>
      </c>
      <c r="AG5" s="8" t="s">
        <v>699</v>
      </c>
      <c r="AH5" s="11">
        <v>1.9663101608024118</v>
      </c>
      <c r="AK5" t="str">
        <v>plymouth satellite</v>
      </c>
      <c r="AL5" s="7">
        <v>18</v>
      </c>
      <c r="AM5" s="7">
        <v>16.858150041188768</v>
      </c>
      <c r="AN5" s="7">
        <v>1.1418499588112319</v>
      </c>
      <c r="AO5" s="7">
        <v>3.544727708510214E-2</v>
      </c>
      <c r="AP5" s="7">
        <v>0.37904856644532819</v>
      </c>
      <c r="AQ5" s="7">
        <v>3.105973201492215E-4</v>
      </c>
      <c r="AR5" s="7">
        <v>-2.6670046532742777</v>
      </c>
      <c r="AS5" s="7">
        <v>-2.6063331092365809</v>
      </c>
      <c r="AT5" s="7">
        <v>0.61566920212507636</v>
      </c>
      <c r="AU5" s="7">
        <v>1.183812902793471</v>
      </c>
    </row>
    <row r="6" spans="1:48" x14ac:dyDescent="0.25">
      <c r="A6" t="str">
        <v>Displacement</v>
      </c>
      <c r="B6" s="16" t="s">
        <v>917</v>
      </c>
      <c r="C6" s="16" t="b">
        <v>0</v>
      </c>
      <c r="D6" s="16" t="s">
        <v>885</v>
      </c>
      <c r="E6" s="16"/>
      <c r="F6" s="16"/>
      <c r="G6" s="16" t="s">
        <v>886</v>
      </c>
      <c r="H6" s="16"/>
      <c r="I6" s="16"/>
      <c r="J6" t="str">
        <f>IF(SpecTable[[#This Row],[Sequence]]&lt;&gt;TRUE,"",IF(N(SpecTable[[#This Row],[Sequence Period]])&lt;&gt;0,SpecTable[[#This Row],[Sequence Period]],IFERROR(Base_Period_Delta_Candidate(),"")))</f>
        <v/>
      </c>
      <c r="K6" t="str">
        <f>IF(OR(SpecTable[[#This Row],[Role]]&lt;&gt;"Predictor (x)",SpecTable[[#This Row],[Type]]&lt;&gt;"Categorical"),"",_xlfn.LET(_xlpm.col,INDEX(Source_Data,0,ROW()-3),_xlpm.x,IF(_xlpm.col="","",_xlpm.col),IFERROR(ROWS(_xlfn.UNIQUE(_xlfn._xlws.FILTER(_xlpm.x,(_xlpm.x&lt;&gt;"")*Sample_Include()))),0)))</f>
        <v/>
      </c>
      <c r="L6"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6">
        <v>5</v>
      </c>
      <c r="N6">
        <v>3</v>
      </c>
      <c r="P6" t="str">
        <v>Model Year: 72</v>
      </c>
      <c r="Q6" s="14">
        <v>-0.16835292832299814</v>
      </c>
      <c r="R6" s="14">
        <v>-0.17118576357006526</v>
      </c>
      <c r="S6" s="14">
        <v>3.3409992263811197</v>
      </c>
      <c r="T6" s="14">
        <v>9.2092362452656538</v>
      </c>
      <c r="U6" s="14"/>
      <c r="V6" s="14"/>
      <c r="X6" s="8" t="s">
        <v>675</v>
      </c>
      <c r="Y6" s="11" cm="1">
        <f t="array" ref="Y6">Adjusted_R_Squared(X_s(),Response_Column(),Allow_Intercept,Sample_Include())</f>
        <v>0.84556143954924168</v>
      </c>
      <c r="AA6" s="8" t="s">
        <v>678</v>
      </c>
      <c r="AB6" s="11" cm="1">
        <f t="array" ref="AB6">(Regression_Degrees_Of_Freedom(X_s())+IF(Allow_Intercept,1,0))/Observations(Response_Column(),Sample_Include())</f>
        <v>4.336734693877551E-2</v>
      </c>
      <c r="AG6" s="8" t="s">
        <v>692</v>
      </c>
      <c r="AH6" s="11">
        <v>17.40703750860235</v>
      </c>
      <c r="AK6" t="str">
        <v>amc rebel sst</v>
      </c>
      <c r="AL6" s="7">
        <v>16</v>
      </c>
      <c r="AM6" s="7">
        <v>16.87333997003412</v>
      </c>
      <c r="AN6" s="7">
        <v>-0.87333997003412023</v>
      </c>
      <c r="AO6" s="7">
        <v>3.5454383105468154E-2</v>
      </c>
      <c r="AP6" s="7">
        <v>-0.28991504577291177</v>
      </c>
      <c r="AQ6" s="7">
        <v>1.8173549121273331E-4</v>
      </c>
      <c r="AR6" s="7">
        <v>-2.368567059267872</v>
      </c>
      <c r="AS6" s="7">
        <v>-2.5586120959927139</v>
      </c>
      <c r="AT6" s="7">
        <v>0.53843759691621806</v>
      </c>
      <c r="AU6" s="7">
        <v>-0.90544185234695385</v>
      </c>
    </row>
    <row r="7" spans="1:48" x14ac:dyDescent="0.25">
      <c r="A7" t="str">
        <v>Horsepower</v>
      </c>
      <c r="B7" s="16" t="s">
        <v>917</v>
      </c>
      <c r="C7" s="16" t="b">
        <v>1</v>
      </c>
      <c r="D7" s="16" t="s">
        <v>885</v>
      </c>
      <c r="E7" s="16"/>
      <c r="F7" s="16"/>
      <c r="G7" s="16" t="s">
        <v>886</v>
      </c>
      <c r="H7" s="16"/>
      <c r="I7" s="16"/>
      <c r="J7" t="str">
        <f>IF(SpecTable[[#This Row],[Sequence]]&lt;&gt;TRUE,"",IF(N(SpecTable[[#This Row],[Sequence Period]])&lt;&gt;0,SpecTable[[#This Row],[Sequence Period]],IFERROR(Base_Period_Delta_Candidate(),"")))</f>
        <v/>
      </c>
      <c r="K7" t="str">
        <f>IF(OR(SpecTable[[#This Row],[Role]]&lt;&gt;"Predictor (x)",SpecTable[[#This Row],[Type]]&lt;&gt;"Categorical"),"",_xlfn.LET(_xlpm.col,INDEX(Source_Data,0,ROW()-3),_xlpm.x,IF(_xlpm.col="","",_xlpm.col),IFERROR(ROWS(_xlfn.UNIQUE(_xlfn._xlws.FILTER(_xlpm.x,(_xlpm.x&lt;&gt;"")*Sample_Include()))),0)))</f>
        <v/>
      </c>
      <c r="L7"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7">
        <v>6</v>
      </c>
      <c r="N7">
        <v>2</v>
      </c>
      <c r="P7" t="str">
        <v>Model Year: 73</v>
      </c>
      <c r="Q7" s="14">
        <v>-0.27443182636273983</v>
      </c>
      <c r="R7" s="14">
        <v>-0.28890633665588533</v>
      </c>
      <c r="S7" s="14">
        <v>2.6394903089248882</v>
      </c>
      <c r="T7" s="14">
        <v>4.9923545220842778</v>
      </c>
      <c r="U7" s="14"/>
      <c r="V7" s="14"/>
      <c r="X7" s="8" t="s">
        <v>676</v>
      </c>
      <c r="Y7" s="11" cm="1">
        <f t="array" ref="Y7">SE_Regression(X_s(),Response_Column(),Allow_Intercept,Sample_Include())</f>
        <v>3.0672642753818766</v>
      </c>
      <c r="AA7" s="8" t="s">
        <v>58</v>
      </c>
      <c r="AB7" s="11" cm="1">
        <f t="array" ref="AB7">AIC(X_s(),Response_Column(),Allow_Intercept,Sample_Include())</f>
        <v>895.31662324868398</v>
      </c>
      <c r="AG7" s="8" t="s">
        <v>693</v>
      </c>
      <c r="AH7" s="11">
        <v>29.484799226091525</v>
      </c>
      <c r="AK7" t="str">
        <v>ford torino</v>
      </c>
      <c r="AL7" s="7">
        <v>17</v>
      </c>
      <c r="AM7" s="7">
        <v>16.954691335727667</v>
      </c>
      <c r="AN7" s="7">
        <v>4.5308664272333488E-2</v>
      </c>
      <c r="AO7" s="7">
        <v>3.6442373899522942E-2</v>
      </c>
      <c r="AP7" s="7">
        <v>1.5048430823993902E-2</v>
      </c>
      <c r="AQ7" s="7">
        <v>5.0380500510358376E-7</v>
      </c>
      <c r="AR7" s="7">
        <v>-2.368567059267872</v>
      </c>
      <c r="AS7" s="7">
        <v>-2.2382603266400936</v>
      </c>
      <c r="AT7" s="7">
        <v>0.1226720458131921</v>
      </c>
      <c r="AU7" s="7">
        <v>4.7022267319597584E-2</v>
      </c>
    </row>
    <row r="8" spans="1:48" x14ac:dyDescent="0.25">
      <c r="A8" t="str">
        <v>Weight</v>
      </c>
      <c r="B8" s="16" t="s">
        <v>917</v>
      </c>
      <c r="C8" s="16" t="b">
        <v>1</v>
      </c>
      <c r="D8" s="16" t="s">
        <v>885</v>
      </c>
      <c r="E8" s="16"/>
      <c r="F8" s="16"/>
      <c r="G8" s="16" t="s">
        <v>886</v>
      </c>
      <c r="H8" s="16"/>
      <c r="I8" s="16"/>
      <c r="J8" t="str">
        <f>IF(SpecTable[[#This Row],[Sequence]]&lt;&gt;TRUE,"",IF(N(SpecTable[[#This Row],[Sequence Period]])&lt;&gt;0,SpecTable[[#This Row],[Sequence Period]],IFERROR(Base_Period_Delta_Candidate(),"")))</f>
        <v/>
      </c>
      <c r="K8" t="str">
        <f>IF(OR(SpecTable[[#This Row],[Role]]&lt;&gt;"Predictor (x)",SpecTable[[#This Row],[Type]]&lt;&gt;"Categorical"),"",_xlfn.LET(_xlpm.col,INDEX(Source_Data,0,ROW()-3),_xlpm.x,IF(_xlpm.col="","",_xlpm.col),IFERROR(ROWS(_xlfn.UNIQUE(_xlfn._xlws.FILTER(_xlpm.x,(_xlpm.x&lt;&gt;"")*Sample_Include()))),0)))</f>
        <v/>
      </c>
      <c r="L8"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8">
        <v>7</v>
      </c>
      <c r="N8">
        <v>1</v>
      </c>
      <c r="P8" t="str">
        <v>Model Year: 74</v>
      </c>
      <c r="Q8" s="14">
        <v>-2.3137459907604747E-2</v>
      </c>
      <c r="R8" s="14">
        <v>-1.3094569363613499E-2</v>
      </c>
      <c r="S8" s="14">
        <v>3.4987950670435035</v>
      </c>
      <c r="T8" s="14">
        <v>10.294062234453385</v>
      </c>
      <c r="U8" s="14"/>
      <c r="V8" s="14"/>
      <c r="X8" s="9" t="s">
        <v>6</v>
      </c>
      <c r="Y8" s="12" cm="1">
        <f t="array" ref="Y8">Observations(Response_Column(),Sample_Include())</f>
        <v>392</v>
      </c>
      <c r="AA8" s="8" t="s">
        <v>62</v>
      </c>
      <c r="AB8" s="11" cm="1">
        <f t="array" ref="AB8">BIC(X_s(),Response_Column(),Allow_Intercept,Sample_Include())</f>
        <v>962.82807452512179</v>
      </c>
      <c r="AG8" s="9" t="s">
        <v>700</v>
      </c>
      <c r="AH8" s="18">
        <v>0.95</v>
      </c>
      <c r="AK8" t="str">
        <v>ford galaxie 500</v>
      </c>
      <c r="AL8" s="7">
        <v>15</v>
      </c>
      <c r="AM8" s="7">
        <v>11.496506105738145</v>
      </c>
      <c r="AN8" s="7">
        <v>3.5034938942618545</v>
      </c>
      <c r="AO8" s="7">
        <v>4.0424192049078454E-2</v>
      </c>
      <c r="AP8" s="7">
        <v>1.1660321456416016</v>
      </c>
      <c r="AQ8" s="7">
        <v>3.3692573430558685E-3</v>
      </c>
      <c r="AR8" s="7">
        <v>-2.368567059267872</v>
      </c>
      <c r="AS8" s="7">
        <v>-2.2366030601609661</v>
      </c>
      <c r="AT8" s="7">
        <v>1.0798296836268215</v>
      </c>
      <c r="AU8" s="7">
        <v>3.6510860999541208</v>
      </c>
    </row>
    <row r="9" spans="1:48" x14ac:dyDescent="0.25">
      <c r="A9" t="str">
        <v>Acceleration</v>
      </c>
      <c r="B9" s="16" t="s">
        <v>917</v>
      </c>
      <c r="C9" s="16" t="b">
        <v>0</v>
      </c>
      <c r="D9" s="16" t="s">
        <v>885</v>
      </c>
      <c r="E9" s="16"/>
      <c r="F9" s="16"/>
      <c r="G9" s="16" t="s">
        <v>886</v>
      </c>
      <c r="H9" s="16"/>
      <c r="I9" s="16"/>
      <c r="J9" t="str">
        <f>IF(SpecTable[[#This Row],[Sequence]]&lt;&gt;TRUE,"",IF(N(SpecTable[[#This Row],[Sequence Period]])&lt;&gt;0,SpecTable[[#This Row],[Sequence Period]],IFERROR(Base_Period_Delta_Candidate(),"")))</f>
        <v/>
      </c>
      <c r="K9" t="str">
        <f>IF(OR(SpecTable[[#This Row],[Role]]&lt;&gt;"Predictor (x)",SpecTable[[#This Row],[Type]]&lt;&gt;"Categorical"),"",_xlfn.LET(_xlpm.col,INDEX(Source_Data,0,ROW()-3),_xlpm.x,IF(_xlpm.col="","",_xlpm.col),IFERROR(ROWS(_xlfn.UNIQUE(_xlfn._xlws.FILTER(_xlpm.x,(_xlpm.x&lt;&gt;"")*Sample_Include()))),0)))</f>
        <v/>
      </c>
      <c r="L9"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9">
        <v>8</v>
      </c>
      <c r="N9">
        <v>1</v>
      </c>
      <c r="P9" t="str">
        <v>Model Year: 75</v>
      </c>
      <c r="Q9" s="14">
        <v>-0.11741202684773239</v>
      </c>
      <c r="R9" s="14">
        <v>-0.11154790812345597</v>
      </c>
      <c r="S9" s="14">
        <v>3.1980848073673354</v>
      </c>
      <c r="T9" s="14">
        <v>8.2699143284054628</v>
      </c>
      <c r="U9" s="14"/>
      <c r="V9" s="14"/>
      <c r="AA9" s="8" t="s">
        <v>66</v>
      </c>
      <c r="AB9" s="11" cm="1">
        <f t="array" ref="AB9">AICc(X_s(),Response_Column(),Allow_Intercept,Sample_Include())</f>
        <v>896.95298688504761</v>
      </c>
      <c r="AK9" t="str">
        <v>chevrolet impala</v>
      </c>
      <c r="AL9" s="7">
        <v>14</v>
      </c>
      <c r="AM9" s="7">
        <v>11.073481577763719</v>
      </c>
      <c r="AN9" s="7">
        <v>2.9265184222362812</v>
      </c>
      <c r="AO9" s="7">
        <v>5.06033843960692E-2</v>
      </c>
      <c r="AP9" s="7">
        <v>0.97921087107924287</v>
      </c>
      <c r="AQ9" s="7">
        <v>3.0063214519006854E-3</v>
      </c>
      <c r="AR9" s="7">
        <v>-2.368567059267872</v>
      </c>
      <c r="AS9" s="7">
        <v>-2.1379379429147822</v>
      </c>
      <c r="AT9" s="7">
        <v>0.98955084309965746</v>
      </c>
      <c r="AU9" s="7">
        <v>3.0825035334412503</v>
      </c>
    </row>
    <row r="10" spans="1:48" x14ac:dyDescent="0.25">
      <c r="A10" t="str">
        <v>Model Year</v>
      </c>
      <c r="B10" s="16" t="s">
        <v>917</v>
      </c>
      <c r="C10" s="16" t="b">
        <v>1</v>
      </c>
      <c r="D10" s="16" t="s">
        <v>887</v>
      </c>
      <c r="E10" s="16"/>
      <c r="F10" s="16"/>
      <c r="G10" s="16" t="s">
        <v>886</v>
      </c>
      <c r="H10" s="16" t="b">
        <v>1</v>
      </c>
      <c r="I10" s="16"/>
      <c r="J10">
        <f>IF(SpecTable[[#This Row],[Sequence]]&lt;&gt;TRUE,"",IF(N(SpecTable[[#This Row],[Sequence Period]])&lt;&gt;0,SpecTable[[#This Row],[Sequence Period]],IFERROR(Base_Period_Delta_Candidate(),"")))</f>
        <v>1</v>
      </c>
      <c r="K10">
        <f>IF(OR(SpecTable[[#This Row],[Role]]&lt;&gt;"Predictor (x)",SpecTable[[#This Row],[Type]]&lt;&gt;"Categorical"),"",_xlfn.LET(_xlpm.col,INDEX(Source_Data,0,ROW()-3),_xlpm.x,IF(_xlpm.col="","",_xlpm.col),IFERROR(ROWS(_xlfn.UNIQUE(_xlfn._xlws.FILTER(_xlpm.x,(_xlpm.x&lt;&gt;"")*Sample_Include()))),0)))</f>
        <v>13</v>
      </c>
      <c r="L10">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70</v>
      </c>
      <c r="M10">
        <v>9</v>
      </c>
      <c r="N10">
        <v>1</v>
      </c>
      <c r="P10" t="str">
        <v>Model Year: 76</v>
      </c>
      <c r="Q10" s="14">
        <v>-7.4024476846945034E-2</v>
      </c>
      <c r="R10" s="14">
        <v>-6.3539355536400999E-2</v>
      </c>
      <c r="S10" s="14">
        <v>2.9480228374220565</v>
      </c>
      <c r="T10" s="14">
        <v>6.7251248614949075</v>
      </c>
      <c r="U10" s="14"/>
      <c r="V10" s="14"/>
      <c r="AA10" s="8" t="s">
        <v>620</v>
      </c>
      <c r="AB10" s="11" cm="1">
        <f t="array" ref="AB10">QQ_Correlation(X_s(),Response_Column(),Allow_Intercept,Sample_Include())</f>
        <v>0.99113734434991785</v>
      </c>
      <c r="AG10" s="4" t="s">
        <v>701</v>
      </c>
      <c r="AK10" t="str">
        <v>plymouth fury iii</v>
      </c>
      <c r="AL10" s="7">
        <v>14</v>
      </c>
      <c r="AM10" s="7">
        <v>11.36732274136633</v>
      </c>
      <c r="AN10" s="7">
        <v>2.6326772586336702</v>
      </c>
      <c r="AO10" s="7">
        <v>4.8040491817131714E-2</v>
      </c>
      <c r="AP10" s="7">
        <v>0.87970525767098584</v>
      </c>
      <c r="AQ10" s="7">
        <v>2.2972825975755809E-3</v>
      </c>
      <c r="AR10" s="7">
        <v>-2.0720014483779297</v>
      </c>
      <c r="AS10" s="7">
        <v>-2.0636596826638138</v>
      </c>
      <c r="AT10" s="7">
        <v>0.93792604061886764</v>
      </c>
      <c r="AU10" s="7">
        <v>2.7655349161426117</v>
      </c>
    </row>
    <row r="11" spans="1:48" x14ac:dyDescent="0.25">
      <c r="A11" t="str">
        <v>Origin</v>
      </c>
      <c r="B11" s="16" t="s">
        <v>917</v>
      </c>
      <c r="C11" s="16" t="b">
        <v>1</v>
      </c>
      <c r="D11" s="16" t="s">
        <v>887</v>
      </c>
      <c r="E11" s="16"/>
      <c r="F11" s="16"/>
      <c r="G11" s="16" t="s">
        <v>886</v>
      </c>
      <c r="H11" s="16"/>
      <c r="I11" s="16"/>
      <c r="J11" t="str">
        <f>IF(SpecTable[[#This Row],[Sequence]]&lt;&gt;TRUE,"",IF(N(SpecTable[[#This Row],[Sequence Period]])&lt;&gt;0,SpecTable[[#This Row],[Sequence Period]],IFERROR(Base_Period_Delta_Candidate(),"")))</f>
        <v/>
      </c>
      <c r="K11">
        <f>IF(OR(SpecTable[[#This Row],[Role]]&lt;&gt;"Predictor (x)",SpecTable[[#This Row],[Type]]&lt;&gt;"Categorical"),"",_xlfn.LET(_xlpm.col,INDEX(Source_Data,0,ROW()-3),_xlpm.x,IF(_xlpm.col="","",_xlpm.col),IFERROR(ROWS(_xlfn.UNIQUE(_xlfn._xlws.FILTER(_xlpm.x,(_xlpm.x&lt;&gt;"")*Sample_Include()))),0)))</f>
        <v>3</v>
      </c>
      <c r="L11">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1</v>
      </c>
      <c r="P11" t="str">
        <v>Model Year: 77</v>
      </c>
      <c r="Q11" s="14">
        <v>-2.5232970710476672E-3</v>
      </c>
      <c r="R11" s="14">
        <v>7.0926070839771281E-3</v>
      </c>
      <c r="S11" s="14">
        <v>3.3409992263810411</v>
      </c>
      <c r="T11" s="14">
        <v>9.2092362452655827</v>
      </c>
      <c r="U11" s="14"/>
      <c r="V11" s="14"/>
      <c r="AA11" s="8" t="s">
        <v>999</v>
      </c>
      <c r="AB11" s="34" cm="1">
        <f t="array" ref="AB11">_xlfn.LET(_xlpm.seq_flags,SUMPRODUCT(N(_xlfn.TAKE(Spec_Sequence,COLUMNS(Source_Data))=TRUE)),_xlpm.fe_vars,SUMPRODUCT(N(_xlfn.TAKE(Spec_Role,COLUMNS(Source_Data))="Fixed Effects")),IF(_xlpm.seq_flags=0,"n/a — requires Sequence",IF(_xlpm.seq_flags&gt;1,"n/a — multiple Sequence flags",IF(_xlpm.fe_vars&gt;0,"n/a — FE active",Durbin_Watson_By(X_s(),Response_Column(),Sequence_Column(),Allow_Intercept,Sample_Include())))))</f>
        <v>1.5013230616756144</v>
      </c>
      <c r="AG11" s="3" t="s">
        <v>702</v>
      </c>
      <c r="AH11" s="3" t="s">
        <v>703</v>
      </c>
      <c r="AI11" s="32" t="s">
        <v>922</v>
      </c>
      <c r="AK11" t="str">
        <v>pontiac catalina</v>
      </c>
      <c r="AL11" s="7">
        <v>14</v>
      </c>
      <c r="AM11" s="7">
        <v>10.632804435322722</v>
      </c>
      <c r="AN11" s="7">
        <v>3.367195564677278</v>
      </c>
      <c r="AO11" s="7">
        <v>5.289737556784635E-2</v>
      </c>
      <c r="AP11" s="7">
        <v>1.1280247387124058</v>
      </c>
      <c r="AQ11" s="7">
        <v>4.1804729026989453E-3</v>
      </c>
      <c r="AR11" s="7">
        <v>-2.0720014483779297</v>
      </c>
      <c r="AS11" s="7">
        <v>-2.0302994659393137</v>
      </c>
      <c r="AT11" s="7">
        <v>1.062085090146927</v>
      </c>
      <c r="AU11" s="7">
        <v>3.5552594595502458</v>
      </c>
    </row>
    <row r="12" spans="1:48" x14ac:dyDescent="0.25">
      <c r="A12" t="str">
        <v>Car Name</v>
      </c>
      <c r="B12" s="16" t="s">
        <v>1066</v>
      </c>
      <c r="C12" s="16" t="b">
        <v>0</v>
      </c>
      <c r="D12" s="16" t="s">
        <v>885</v>
      </c>
      <c r="E12" s="16"/>
      <c r="F12" s="16"/>
      <c r="G12" s="16" t="s">
        <v>886</v>
      </c>
      <c r="H12" s="16"/>
      <c r="I12" s="16"/>
      <c r="J12" t="str">
        <f>IF(SpecTable[[#This Row],[Sequence]]&lt;&gt;TRUE,"",IF(N(SpecTable[[#This Row],[Sequence Period]])&lt;&gt;0,SpecTable[[#This Row],[Sequence Period]],IFERROR(Base_Period_Delta_Candidate(),"")))</f>
        <v/>
      </c>
      <c r="K12" t="str">
        <f>IF(OR(SpecTable[[#This Row],[Role]]&lt;&gt;"Predictor (x)",SpecTable[[#This Row],[Type]]&lt;&gt;"Categorical"),"",_xlfn.LET(_xlpm.col,INDEX(Source_Data,0,ROW()-3),_xlpm.x,IF(_xlpm.col="","",_xlpm.col),IFERROR(ROWS(_xlfn.UNIQUE(_xlfn._xlws.FILTER(_xlpm.x,(_xlpm.x&lt;&gt;"")*Sample_Include()))),0)))</f>
        <v/>
      </c>
      <c r="L12"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2" t="str">
        <v>Model Year: 78</v>
      </c>
      <c r="Q12" s="14">
        <v>2.509682524150721E-2</v>
      </c>
      <c r="R12" s="14">
        <v>3.6232001135431187E-2</v>
      </c>
      <c r="S12" s="14">
        <v>2.837530472349679</v>
      </c>
      <c r="T12" s="14">
        <v>6.0825870963648994</v>
      </c>
      <c r="U12" s="14"/>
      <c r="V12" s="14"/>
      <c r="X12" s="3" t="s">
        <v>679</v>
      </c>
      <c r="Y12" s="16">
        <v>0.05</v>
      </c>
      <c r="AA12" s="8" t="s">
        <v>1000</v>
      </c>
      <c r="AB12" s="34" t="str" cm="1">
        <f t="array" ref="AB12">_xlfn.LET(_xlpm.seq_flags,SUMPRODUCT(N(_xlfn.TAKE(Spec_Sequence,COLUMNS(Source_Data))=TRUE)),_xlpm.fe_vars,SUMPRODUCT(N(_xlfn.TAKE(Spec_Role,COLUMNS(Source_Data))="Fixed Effects")),IF(_xlpm.seq_flags=0,"n/a — requires Sequence",IF(_xlpm.seq_flags&gt;1,"n/a — multiple Sequence flags",IF(_xlpm.fe_vars=0,"n/a — no fixed effects",IF(_xlpm.fe_vars&gt;1,"n/a — multiple FE variables",BFN_Panel_Durbin_Watson(X_s(),Response_Column(),Serial_Correlation_Group(),Sequence_Column(),Base_Period_Delta(),Allow_Intercept,Sample_Include()))))))</f>
        <v>n/a — no fixed effects</v>
      </c>
      <c r="AG12" t="s">
        <v>704</v>
      </c>
      <c r="AH12" s="16">
        <f>IF(Allow_Intercept,1,0)</f>
        <v>1</v>
      </c>
      <c r="AK12" t="str">
        <v>amc ambassador dpl</v>
      </c>
      <c r="AL12" s="7">
        <v>15</v>
      </c>
      <c r="AM12" s="7">
        <v>14.11248258238879</v>
      </c>
      <c r="AN12" s="7">
        <v>0.88751741761121039</v>
      </c>
      <c r="AO12" s="7">
        <v>4.1320146299641203E-2</v>
      </c>
      <c r="AP12" s="7">
        <v>0.29552136767781362</v>
      </c>
      <c r="AQ12" s="7">
        <v>2.2142013145425471E-4</v>
      </c>
      <c r="AR12" s="7">
        <v>-2.0720014483779297</v>
      </c>
      <c r="AS12" s="7">
        <v>-2.0195065214468055</v>
      </c>
      <c r="AT12" s="7">
        <v>0.54361877053484242</v>
      </c>
      <c r="AU12" s="7">
        <v>0.92577038537477119</v>
      </c>
    </row>
    <row r="13" spans="1:48" x14ac:dyDescent="0.25">
      <c r="A13" t="str">
        <v>Make</v>
      </c>
      <c r="B13" s="16" t="s">
        <v>998</v>
      </c>
      <c r="C13" s="16" t="b">
        <v>0</v>
      </c>
      <c r="D13" s="16" t="s">
        <v>885</v>
      </c>
      <c r="E13" s="16"/>
      <c r="F13" s="16"/>
      <c r="G13" s="16" t="s">
        <v>886</v>
      </c>
      <c r="H13" s="16"/>
      <c r="I13" s="16"/>
      <c r="J13" t="str">
        <f>IF(SpecTable[[#This Row],[Sequence]]&lt;&gt;TRUE,"",IF(N(SpecTable[[#This Row],[Sequence Period]])&lt;&gt;0,SpecTable[[#This Row],[Sequence Period]],IFERROR(Base_Period_Delta_Candidate(),"")))</f>
        <v/>
      </c>
      <c r="K13" t="str">
        <f>IF(OR(SpecTable[[#This Row],[Role]]&lt;&gt;"Predictor (x)",SpecTable[[#This Row],[Type]]&lt;&gt;"Categorical"),"",_xlfn.LET(_xlpm.col,INDEX(Source_Data,0,ROW()-3),_xlpm.x,IF(_xlpm.col="","",_xlpm.col),IFERROR(ROWS(_xlfn.UNIQUE(_xlfn._xlws.FILTER(_xlpm.x,(_xlpm.x&lt;&gt;"")*Sample_Include()))),0)))</f>
        <v/>
      </c>
      <c r="L13"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3" t="str">
        <v>Model Year: 79</v>
      </c>
      <c r="Q13" s="14">
        <v>5.9726823421571588E-2</v>
      </c>
      <c r="R13" s="14">
        <v>7.2588561195066958E-2</v>
      </c>
      <c r="S13" s="14">
        <v>3.2678413248622649</v>
      </c>
      <c r="T13" s="14">
        <v>8.7232678762571751</v>
      </c>
      <c r="U13" s="14"/>
      <c r="V13" s="14"/>
      <c r="X13" s="60" t="s">
        <v>680</v>
      </c>
      <c r="Y13" s="61"/>
      <c r="Z13" s="61"/>
      <c r="AA13" s="61"/>
      <c r="AB13" s="61"/>
      <c r="AC13" s="62"/>
      <c r="AG13" t="str" cm="1">
        <f t="array" ref="AG13:AG28">TRANSPOSE(Constructed_Column_Names())</f>
        <v>Horsepower</v>
      </c>
      <c r="AH13" s="17" cm="1">
        <f t="array" ref="AH13">IF(ROW()-12&lt;=IFERROR(ROWS(_xlfn.ANCHORARRAY($AI$13)),0),INDEX(_xlfn.ANCHORARRAY($AI$13),ROW()-12),"")</f>
        <v>104.46938775510205</v>
      </c>
      <c r="AI13" s="7" cm="1">
        <f t="array" ref="AI13:AI28">IFERROR(TRANSPOSE(_xlfn.BYCOL(_xlfn._xlws.FILTER(X_s(),Sample_Include()),_xlfn.LAMBDA(_xlpm.c,AVERAGE(_xlpm.c)))),"")</f>
        <v>104.46938775510205</v>
      </c>
      <c r="AK13" t="str">
        <v>dodge challenger se</v>
      </c>
      <c r="AL13" s="7">
        <v>15</v>
      </c>
      <c r="AM13" s="7">
        <v>15.890381080998122</v>
      </c>
      <c r="AN13" s="7">
        <v>-0.89038108099812163</v>
      </c>
      <c r="AO13" s="7">
        <v>3.7522532485470203E-2</v>
      </c>
      <c r="AP13" s="7">
        <v>-0.29588942339118851</v>
      </c>
      <c r="AQ13" s="7">
        <v>2.0077587758420934E-4</v>
      </c>
      <c r="AR13" s="7">
        <v>-2.0720014483779297</v>
      </c>
      <c r="AS13" s="7">
        <v>-2.0157358299478276</v>
      </c>
      <c r="AT13" s="7">
        <v>0.5439571889323539</v>
      </c>
      <c r="AU13" s="7">
        <v>-0.92509290975653957</v>
      </c>
    </row>
    <row r="14" spans="1:48" x14ac:dyDescent="0.25">
      <c r="A14" t="str">
        <v>Model?</v>
      </c>
      <c r="B14" s="16" t="s">
        <v>998</v>
      </c>
      <c r="C14" s="16" t="b">
        <v>0</v>
      </c>
      <c r="D14" s="16" t="s">
        <v>885</v>
      </c>
      <c r="E14" s="16"/>
      <c r="F14" s="16"/>
      <c r="G14" s="16" t="s">
        <v>886</v>
      </c>
      <c r="H14" s="16"/>
      <c r="I14" s="16"/>
      <c r="J14" t="str">
        <f>IF(SpecTable[[#This Row],[Sequence]]&lt;&gt;TRUE,"",IF(N(SpecTable[[#This Row],[Sequence Period]])&lt;&gt;0,SpecTable[[#This Row],[Sequence Period]],IFERROR(Base_Period_Delta_Candidate(),"")))</f>
        <v/>
      </c>
      <c r="K14" t="str">
        <f>IF(OR(SpecTable[[#This Row],[Role]]&lt;&gt;"Predictor (x)",SpecTable[[#This Row],[Type]]&lt;&gt;"Categorical"),"",_xlfn.LET(_xlpm.col,INDEX(Source_Data,0,ROW()-3),_xlpm.x,IF(_xlpm.col="","",_xlpm.col),IFERROR(ROWS(_xlfn.UNIQUE(_xlfn._xlws.FILTER(_xlpm.x,(_xlpm.x&lt;&gt;"")*Sample_Include()))),0)))</f>
        <v/>
      </c>
      <c r="L1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4" t="str">
        <v>Model Year: 80</v>
      </c>
      <c r="Q14" s="14">
        <v>0.36139628740230562</v>
      </c>
      <c r="R14" s="14">
        <v>0.31558473573743556</v>
      </c>
      <c r="S14" s="14">
        <v>3.4178672534749865</v>
      </c>
      <c r="T14" s="14">
        <v>9.7314413233530814</v>
      </c>
      <c r="U14" s="14"/>
      <c r="V14" s="14"/>
      <c r="X14" s="21"/>
      <c r="Y14" s="58" t="s">
        <v>681</v>
      </c>
      <c r="Z14" s="58" t="s">
        <v>682</v>
      </c>
      <c r="AA14" s="58" t="s">
        <v>683</v>
      </c>
      <c r="AB14" s="58" t="s">
        <v>684</v>
      </c>
      <c r="AC14" s="23" t="s">
        <v>624</v>
      </c>
      <c r="AG14" t="str">
        <v>Weight</v>
      </c>
      <c r="AH14" s="17" cm="1">
        <f t="array" ref="AH14">IF(ROW()-12&lt;=IFERROR(ROWS(_xlfn.ANCHORARRAY($AI$13)),0),INDEX(_xlfn.ANCHORARRAY($AI$13),ROW()-12),"")</f>
        <v>2977.5841836734694</v>
      </c>
      <c r="AI14" s="7">
        <v>2977.5841836734694</v>
      </c>
      <c r="AK14" t="str">
        <v>plymouth 'cuda 340</v>
      </c>
      <c r="AL14" s="7">
        <v>14</v>
      </c>
      <c r="AM14" s="7">
        <v>15.819833158238158</v>
      </c>
      <c r="AN14" s="7">
        <v>-1.8198331582381577</v>
      </c>
      <c r="AO14" s="7">
        <v>3.5380032445534837E-2</v>
      </c>
      <c r="AP14" s="7">
        <v>-0.60409084446563566</v>
      </c>
      <c r="AQ14" s="7">
        <v>7.8733138753293798E-4</v>
      </c>
      <c r="AR14" s="7">
        <v>-2.0720014483779297</v>
      </c>
      <c r="AS14" s="7">
        <v>-1.9076726580567764</v>
      </c>
      <c r="AT14" s="7">
        <v>0.7772328122677501</v>
      </c>
      <c r="AU14" s="7">
        <v>-1.8865804352483559</v>
      </c>
    </row>
    <row r="15" spans="1:48" x14ac:dyDescent="0.25">
      <c r="A15" t="str">
        <v>Full_Data</v>
      </c>
      <c r="B15" s="16" t="s">
        <v>998</v>
      </c>
      <c r="C15" s="16" t="b">
        <v>0</v>
      </c>
      <c r="D15" s="16" t="s">
        <v>885</v>
      </c>
      <c r="E15" s="16"/>
      <c r="F15" s="16"/>
      <c r="G15" s="16" t="s">
        <v>886</v>
      </c>
      <c r="H15" s="16"/>
      <c r="I15" s="16"/>
      <c r="J15" t="str">
        <f>IF(SpecTable[[#This Row],[Sequence]]&lt;&gt;TRUE,"",IF(N(SpecTable[[#This Row],[Sequence Period]])&lt;&gt;0,SpecTable[[#This Row],[Sequence Period]],IFERROR(Base_Period_Delta_Candidate(),"")))</f>
        <v/>
      </c>
      <c r="K15" t="str">
        <f>IF(OR(SpecTable[[#This Row],[Role]]&lt;&gt;"Predictor (x)",SpecTable[[#This Row],[Type]]&lt;&gt;"Categorical"),"",_xlfn.LET(_xlpm.col,INDEX(Source_Data,0,ROW()-3),_xlpm.x,IF(_xlpm.col="","",_xlpm.col),IFERROR(ROWS(_xlfn.UNIQUE(_xlfn._xlws.FILTER(_xlpm.x,(_xlpm.x&lt;&gt;"")*Sample_Include()))),0)))</f>
        <v/>
      </c>
      <c r="L1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5" t="str">
        <v>Model Year: 81</v>
      </c>
      <c r="Q15" s="14">
        <v>0.23980398783122645</v>
      </c>
      <c r="R15" s="14">
        <v>0.24784721421231187</v>
      </c>
      <c r="S15" s="14">
        <v>3.3409992263809842</v>
      </c>
      <c r="T15" s="14">
        <v>9.2092362452655472</v>
      </c>
      <c r="U15" s="14"/>
      <c r="V15" s="14"/>
      <c r="X15" s="8" t="s">
        <v>685</v>
      </c>
      <c r="Y15" s="57" cm="1">
        <f t="array" ref="Y15">Regression_Degrees_Of_Freedom(X_s())</f>
        <v>16</v>
      </c>
      <c r="Z15" s="59" cm="1">
        <f t="array" ref="Z15">SS_Regression(X_s(),Response_Column(),Allow_Intercept,Sample_Include())</f>
        <v>20290.952168750038</v>
      </c>
      <c r="AA15" s="59" cm="1">
        <f t="array" ref="AA15">MS_Regression(X_s(),Response_Column(),Allow_Intercept,Sample_Include())</f>
        <v>1268.1845105468774</v>
      </c>
      <c r="AB15" s="59" cm="1">
        <f t="array" ref="AB15">F_Statistic(X_s(),Response_Column(),Allow_Intercept,Sample_Include())</f>
        <v>134.79694565058435</v>
      </c>
      <c r="AC15" s="24" cm="1">
        <f t="array" ref="AC15">F_Statistic_P_Value(X_s(),Response_Column(),Allow_Intercept,Sample_Include())</f>
        <v>1.8943998313042473E-144</v>
      </c>
      <c r="AG15" t="str">
        <v>Model Year: 71</v>
      </c>
      <c r="AH15" s="17" cm="1">
        <f t="array" ref="AH15">IF(ROW()-12&lt;=IFERROR(ROWS(_xlfn.ANCHORARRAY($AI$13)),0),INDEX(_xlfn.ANCHORARRAY($AI$13),ROW()-12),"")</f>
        <v>6.8877551020408156E-2</v>
      </c>
      <c r="AI15" s="7">
        <v>6.8877551020408156E-2</v>
      </c>
      <c r="AK15" t="str">
        <v>chevrolet monte carlo</v>
      </c>
      <c r="AL15" s="7">
        <v>15</v>
      </c>
      <c r="AM15" s="7">
        <v>15.212574416275828</v>
      </c>
      <c r="AN15" s="7">
        <v>-0.21257441627582807</v>
      </c>
      <c r="AO15" s="7">
        <v>3.6838396596956563E-2</v>
      </c>
      <c r="AP15" s="7">
        <v>-7.0617155228777803E-2</v>
      </c>
      <c r="AQ15" s="7">
        <v>1.1219488900921487E-5</v>
      </c>
      <c r="AR15" s="7">
        <v>-2.0720014483779297</v>
      </c>
      <c r="AS15" s="7">
        <v>-1.8200175308828721</v>
      </c>
      <c r="AT15" s="7">
        <v>0.26573888542849317</v>
      </c>
      <c r="AU15" s="7">
        <v>-0.22070482827052071</v>
      </c>
    </row>
    <row r="16" spans="1:48" x14ac:dyDescent="0.25">
      <c r="P16" t="str">
        <v>Model Year: 82</v>
      </c>
      <c r="Q16" s="14">
        <v>0.31590831958849236</v>
      </c>
      <c r="R16" s="14">
        <v>0.30945001432271285</v>
      </c>
      <c r="S16" s="14">
        <v>3.1980848073673731</v>
      </c>
      <c r="T16" s="14">
        <v>8.2699143284056937</v>
      </c>
      <c r="U16" s="14"/>
      <c r="V16" s="14"/>
      <c r="X16" s="8" t="s">
        <v>686</v>
      </c>
      <c r="Y16" s="57" cm="1">
        <f t="array" ref="Y16">Residual_Degrees_Of_Freedom(X_s(),Response_Column(),Allow_Intercept,Sample_Include())</f>
        <v>375</v>
      </c>
      <c r="Z16" s="59" cm="1">
        <f t="array" ref="Z16">SS_Residual(X_s(),Response_Column(),Allow_Intercept,Sample_Include())</f>
        <v>3528.0413006377153</v>
      </c>
      <c r="AA16" s="59" cm="1">
        <f t="array" ref="AA16">MS_Residual(X_s(),Response_Column(),Allow_Intercept,Sample_Include())</f>
        <v>9.4081101350339083</v>
      </c>
      <c r="AB16" s="56"/>
      <c r="AC16" s="25"/>
      <c r="AG16" t="str">
        <v>Model Year: 72</v>
      </c>
      <c r="AH16" s="17" cm="1">
        <f t="array" ref="AH16">IF(ROW()-12&lt;=IFERROR(ROWS(_xlfn.ANCHORARRAY($AI$13)),0),INDEX(_xlfn.ANCHORARRAY($AI$13),ROW()-12),"")</f>
        <v>7.1428571428571425E-2</v>
      </c>
      <c r="AI16" s="7">
        <v>7.1428571428571425E-2</v>
      </c>
      <c r="AK16" t="str">
        <v>buick estate wagon (sw)</v>
      </c>
      <c r="AL16" s="7">
        <v>14</v>
      </c>
      <c r="AM16" s="7">
        <v>17.412576009964042</v>
      </c>
      <c r="AN16" s="7">
        <v>-3.4125760099640416</v>
      </c>
      <c r="AO16" s="7">
        <v>0.11212017961465826</v>
      </c>
      <c r="AP16" s="7">
        <v>-1.1807393696594941</v>
      </c>
      <c r="AQ16" s="7">
        <v>1.0355921898592944E-2</v>
      </c>
      <c r="AR16" s="7">
        <v>-1.8192221095957348</v>
      </c>
      <c r="AS16" s="7">
        <v>-1.7231986194513169</v>
      </c>
      <c r="AT16" s="7">
        <v>1.0866183182974112</v>
      </c>
      <c r="AU16" s="7">
        <v>-3.8435111730357563</v>
      </c>
    </row>
    <row r="17" spans="16:47" x14ac:dyDescent="0.25">
      <c r="P17" t="str">
        <v>Origin: 2</v>
      </c>
      <c r="Q17" s="14">
        <v>0.24431250098438828</v>
      </c>
      <c r="R17" s="14">
        <v>0.25335011992922324</v>
      </c>
      <c r="S17" s="14">
        <v>1.7313298190542106</v>
      </c>
      <c r="T17" s="14">
        <v>1.0025921775707793</v>
      </c>
      <c r="U17" s="14"/>
      <c r="V17" s="14"/>
      <c r="X17" s="9" t="s">
        <v>687</v>
      </c>
      <c r="Y17" s="10" cm="1">
        <f t="array" ref="Y17">Total_Degrees_Of_Freedom(Response_Column(),Allow_Intercept,Sample_Include())</f>
        <v>391</v>
      </c>
      <c r="Z17" s="22" cm="1">
        <f t="array" ref="Z17">SS_Total(Response_Column(),Allow_Intercept,Sample_Include())</f>
        <v>23818.993469387755</v>
      </c>
      <c r="AA17" s="15"/>
      <c r="AB17" s="15"/>
      <c r="AC17" s="26"/>
      <c r="AG17" t="str">
        <v>Model Year: 73</v>
      </c>
      <c r="AH17" s="17" cm="1">
        <f t="array" ref="AH17">IF(ROW()-12&lt;=IFERROR(ROWS(_xlfn.ANCHORARRAY($AI$13)),0),INDEX(_xlfn.ANCHORARRAY($AI$13),ROW()-12),"")</f>
        <v>0.10204081632653061</v>
      </c>
      <c r="AI17" s="7">
        <v>0.10204081632653061</v>
      </c>
      <c r="AK17" t="str">
        <v>toyota corona mark ii</v>
      </c>
      <c r="AL17" s="7">
        <v>24</v>
      </c>
      <c r="AM17" s="7">
        <v>25.198456840216735</v>
      </c>
      <c r="AN17" s="7">
        <v>-1.1984568402167355</v>
      </c>
      <c r="AO17" s="7">
        <v>5.4985468923604626E-2</v>
      </c>
      <c r="AP17" s="7">
        <v>-0.40193142131393461</v>
      </c>
      <c r="AQ17" s="7">
        <v>5.5292272908022031E-4</v>
      </c>
      <c r="AR17" s="7">
        <v>-1.8192221095957348</v>
      </c>
      <c r="AS17" s="7">
        <v>-1.6897180627740656</v>
      </c>
      <c r="AT17" s="7">
        <v>0.63398061588185373</v>
      </c>
      <c r="AU17" s="7">
        <v>-1.2681887958396396</v>
      </c>
    </row>
    <row r="18" spans="16:47" x14ac:dyDescent="0.25">
      <c r="P18" t="str">
        <v>Origin: 3</v>
      </c>
      <c r="Q18" s="14">
        <v>0.45145362992974619</v>
      </c>
      <c r="R18" s="14">
        <v>0.45074501006058126</v>
      </c>
      <c r="S18" s="14">
        <v>1.4938154544529962</v>
      </c>
      <c r="T18" s="14">
        <v>0.23264549653420596</v>
      </c>
      <c r="U18" s="14"/>
      <c r="V18" s="14"/>
      <c r="AG18" t="str">
        <v>Model Year: 74</v>
      </c>
      <c r="AH18" s="17" cm="1">
        <f t="array" ref="AH18">IF(ROW()-12&lt;=IFERROR(ROWS(_xlfn.ANCHORARRAY($AI$13)),0),INDEX(_xlfn.ANCHORARRAY($AI$13),ROW()-12),"")</f>
        <v>6.6326530612244902E-2</v>
      </c>
      <c r="AI18" s="7">
        <v>6.6326530612244902E-2</v>
      </c>
      <c r="AK18" t="str">
        <v>plymouth duster</v>
      </c>
      <c r="AL18" s="7">
        <v>22</v>
      </c>
      <c r="AM18" s="7">
        <v>20.804329496548931</v>
      </c>
      <c r="AN18" s="7">
        <v>1.1956705034510691</v>
      </c>
      <c r="AO18" s="7">
        <v>4.8771107501306837E-2</v>
      </c>
      <c r="AP18" s="7">
        <v>0.39968495672631044</v>
      </c>
      <c r="AQ18" s="7">
        <v>4.8179719659588894E-4</v>
      </c>
      <c r="AR18" s="7">
        <v>-1.8192221095957348</v>
      </c>
      <c r="AS18" s="7">
        <v>-1.6852434476538711</v>
      </c>
      <c r="AT18" s="7">
        <v>0.63220641939663225</v>
      </c>
      <c r="AU18" s="7">
        <v>1.2569745440661242</v>
      </c>
    </row>
    <row r="19" spans="16:47" x14ac:dyDescent="0.25">
      <c r="Q19" s="14"/>
      <c r="R19" s="14"/>
      <c r="S19" s="14"/>
      <c r="T19" s="14"/>
      <c r="U19" s="14"/>
      <c r="V19" s="14"/>
      <c r="X19" s="4" t="s">
        <v>688</v>
      </c>
      <c r="AG19" t="str">
        <v>Model Year: 75</v>
      </c>
      <c r="AH19" s="17" cm="1">
        <f t="array" ref="AH19">IF(ROW()-12&lt;=IFERROR(ROWS(_xlfn.ANCHORARRAY($AI$13)),0),INDEX(_xlfn.ANCHORARRAY($AI$13),ROW()-12),"")</f>
        <v>7.6530612244897961E-2</v>
      </c>
      <c r="AI19" s="7">
        <v>7.6530612244897961E-2</v>
      </c>
      <c r="AK19" t="str">
        <v>amc hornet</v>
      </c>
      <c r="AL19" s="7">
        <v>18</v>
      </c>
      <c r="AM19" s="7">
        <v>21.070591899933738</v>
      </c>
      <c r="AN19" s="7">
        <v>-3.0705918999337385</v>
      </c>
      <c r="AO19" s="7">
        <v>4.6950104277249452E-2</v>
      </c>
      <c r="AP19" s="7">
        <v>-1.0254466826344879</v>
      </c>
      <c r="AQ19" s="7">
        <v>3.0471804305155894E-3</v>
      </c>
      <c r="AR19" s="7">
        <v>-1.8192221095957348</v>
      </c>
      <c r="AS19" s="7">
        <v>-1.674643980926678</v>
      </c>
      <c r="AT19" s="7">
        <v>1.0126434133664663</v>
      </c>
      <c r="AU19" s="7">
        <v>-3.2218584921045905</v>
      </c>
    </row>
    <row r="20" spans="16:47" x14ac:dyDescent="0.25">
      <c r="Q20" s="14"/>
      <c r="R20" s="14"/>
      <c r="S20" s="14"/>
      <c r="T20" s="14"/>
      <c r="U20" s="14"/>
      <c r="V20" s="14"/>
      <c r="X20" s="3"/>
      <c r="Y20" s="3" t="s">
        <v>80</v>
      </c>
      <c r="Z20" s="3" t="s">
        <v>689</v>
      </c>
      <c r="AA20" s="3" t="s">
        <v>690</v>
      </c>
      <c r="AB20" s="3" t="s">
        <v>691</v>
      </c>
      <c r="AC20" s="3" t="s">
        <v>692</v>
      </c>
      <c r="AD20" s="3" t="s">
        <v>693</v>
      </c>
      <c r="AE20" s="3" t="s">
        <v>694</v>
      </c>
      <c r="AG20" t="str">
        <v>Model Year: 76</v>
      </c>
      <c r="AH20" s="17" cm="1">
        <f t="array" ref="AH20">IF(ROW()-12&lt;=IFERROR(ROWS(_xlfn.ANCHORARRAY($AI$13)),0),INDEX(_xlfn.ANCHORARRAY($AI$13),ROW()-12),"")</f>
        <v>8.673469387755102E-2</v>
      </c>
      <c r="AI20" s="7">
        <v>8.673469387755102E-2</v>
      </c>
      <c r="AK20" t="str">
        <v>ford maverick</v>
      </c>
      <c r="AL20" s="7">
        <v>21</v>
      </c>
      <c r="AM20" s="7">
        <v>22.212267981403059</v>
      </c>
      <c r="AN20" s="7">
        <v>-1.212267981403059</v>
      </c>
      <c r="AO20" s="7">
        <v>5.1942024882097634E-2</v>
      </c>
      <c r="AP20" s="7">
        <v>-0.40591022394117865</v>
      </c>
      <c r="AQ20" s="7">
        <v>5.3100063365987891E-4</v>
      </c>
      <c r="AR20" s="7">
        <v>-1.8192221095957348</v>
      </c>
      <c r="AS20" s="7">
        <v>-1.6319415081566522</v>
      </c>
      <c r="AT20" s="7">
        <v>0.63711084117379346</v>
      </c>
      <c r="AU20" s="7">
        <v>-1.2786854952117237</v>
      </c>
    </row>
    <row r="21" spans="16:47" x14ac:dyDescent="0.25">
      <c r="Q21" s="14"/>
      <c r="R21" s="14"/>
      <c r="S21" s="14"/>
      <c r="T21" s="14"/>
      <c r="U21" s="14"/>
      <c r="V21" s="14"/>
      <c r="X21" t="str" cm="1">
        <f t="array" ref="X21:X37">IF(Zero_Predictors_Selected(),IF(AND(Allow_Intercept,Intercept_Only_N()&gt;=1),"Intercept",NA()),IF(Allow_Intercept,_xlfn.VSTACK("Intercept",TRANSPOSE(Constructed_Column_Names())),_xlfn.VSTACK("",TRANSPOSE(Constructed_Column_Names()))))</f>
        <v>Intercept</v>
      </c>
      <c r="Y21" s="7" cm="1">
        <f t="array" ref="Y21:Y37">IF(Zero_Predictors_Selected(),IF(AND(Allow_Intercept,Intercept_Only_N()&gt;=1),Intercept_Only_Point(),NA()),IF(Allow_Intercept,Coefficients(X_s(),Response_Column(),Allow_Intercept,Sample_Include()),_xlfn.VSTACK("",Coefficients(X_s(),Response_Column(),Allow_Intercept,Sample_Include()))))</f>
        <v>36.691146671761075</v>
      </c>
      <c r="Z21" s="7" cm="1">
        <f t="array" ref="Z21:Z37">IF(Zero_Predictors_Selected(),IF(AND(Allow_Intercept,Intercept_Only_N()&gt;=2),Intercept_Only_SE(),NA()),IF(Allow_Intercept,SE_Coefficients(X_s(),Response_Column(),Allow_Intercept,Sample_Include()),_xlfn.VSTACK("",SE_Coefficients(X_s(),Response_Column(),Allow_Intercept,Sample_Include()))))</f>
        <v>1.0663135325753903</v>
      </c>
      <c r="AA21" s="7" cm="1">
        <f t="array" ref="AA21:AA37">IF(Zero_Predictors_Selected(),IF(AND(Allow_Intercept,Intercept_Only_N()&gt;=2),Intercept_Only_Point()/Intercept_Only_SE(),NA()),IF(Allow_Intercept,T_Statistics(X_s(),Response_Column(),Allow_Intercept,Sample_Include()),_xlfn.VSTACK("",T_Statistics(X_s(),Response_Column(),Allow_Intercept,Sample_Include()))))</f>
        <v>34.409341671903562</v>
      </c>
      <c r="AB21" s="20" cm="1">
        <f t="array" ref="AB21:AB37">IF(Zero_Predictors_Selected(),IF(AND(Allow_Intercept,Intercept_Only_N()&gt;=2),_xlfn.T.DIST.2T(ABS(Intercept_Only_Point()/Intercept_Only_SE()),Intercept_Only_DF()),NA()),IF(Allow_Intercept,P_Values(X_s(),Response_Column(),Allow_Intercept,Sample_Include()),_xlfn.VSTACK("",P_Values(X_s(),Response_Column(),Allow_Intercept,Sample_Include()))))</f>
        <v>4.4267809509590225E-118</v>
      </c>
      <c r="AC21" s="7" cm="1">
        <f t="array" ref="AC21:AC37">IF(Zero_Predictors_Selected(),IF(AND(Allow_Intercept,Intercept_Only_N()&gt;=2),Intercept_Only_Point()-_xlfn.T.INV.2T(alpha,Intercept_Only_DF())*Intercept_Only_SE(),NA()),IF(Allow_Intercept,Confidence_Interval_Lower(X_s(),Response_Column(),Allow_Intercept,Sample_Include()),_xlfn.VSTACK("",Confidence_Interval_Lower(X_s(),Response_Column(),Allow_Intercept,Sample_Include()))))</f>
        <v>34.594443538056971</v>
      </c>
      <c r="AD21" s="7" cm="1">
        <f t="array" ref="AD21:AD37">IF(Zero_Predictors_Selected(),IF(AND(Allow_Intercept,Intercept_Only_N()&gt;=2),Intercept_Only_Point()+_xlfn.T.INV.2T(alpha,Intercept_Only_DF())*Intercept_Only_SE(),NA()),IF(Allow_Intercept,Confidence_Interval_Upper(X_s(),Response_Column(),Allow_Intercept,Sample_Include()),_xlfn.VSTACK("",Confidence_Interval_Upper(X_s(),Response_Column(),Allow_Intercept,Sample_Include()))))</f>
        <v>38.787849805465179</v>
      </c>
      <c r="AE21" s="7" t="str" cm="1">
        <f t="array" ref="AE21:AE37">IF(Zero_Predictors_Selected(),IF(Allow_Intercept,"",NA()),_xlfn.VSTACK("",Beta_Weights(X_s(),Response_Column(),Allow_Intercept,Sample_Include())))</f>
        <v/>
      </c>
      <c r="AG21" t="str">
        <v>Model Year: 77</v>
      </c>
      <c r="AH21" s="17" cm="1">
        <f t="array" ref="AH21">IF(ROW()-12&lt;=IFERROR(ROWS(_xlfn.ANCHORARRAY($AI$13)),0),INDEX(_xlfn.ANCHORARRAY($AI$13),ROW()-12),"")</f>
        <v>7.1428571428571425E-2</v>
      </c>
      <c r="AI21" s="7">
        <v>7.1428571428571425E-2</v>
      </c>
      <c r="AK21" t="str">
        <v>datsun pl510</v>
      </c>
      <c r="AL21" s="7">
        <v>27</v>
      </c>
      <c r="AM21" s="7">
        <v>26.537432790749776</v>
      </c>
      <c r="AN21" s="7">
        <v>0.46256720925022421</v>
      </c>
      <c r="AO21" s="7">
        <v>5.500992278908777E-2</v>
      </c>
      <c r="AP21" s="7">
        <v>0.15513508303133314</v>
      </c>
      <c r="AQ21" s="7">
        <v>8.2410948129189057E-5</v>
      </c>
      <c r="AR21" s="7">
        <v>-1.8192221095957348</v>
      </c>
      <c r="AS21" s="7">
        <v>-1.6266867098316846</v>
      </c>
      <c r="AT21" s="7">
        <v>0.3938719119603899</v>
      </c>
      <c r="AU21" s="7">
        <v>0.48949425015706688</v>
      </c>
    </row>
    <row r="22" spans="16:47" x14ac:dyDescent="0.25">
      <c r="Q22" s="14"/>
      <c r="R22" s="14"/>
      <c r="S22" s="14"/>
      <c r="T22" s="14"/>
      <c r="U22" s="14"/>
      <c r="V22" s="14"/>
      <c r="X22" t="str">
        <v>Horsepower</v>
      </c>
      <c r="Y22" s="7">
        <v>-1.6236431953541141E-2</v>
      </c>
      <c r="Z22" s="7">
        <v>9.497739162989639E-3</v>
      </c>
      <c r="AA22" s="7">
        <v>-1.7095049332172161</v>
      </c>
      <c r="AB22" s="20">
        <v>8.8184727145767028E-2</v>
      </c>
      <c r="AC22" s="7">
        <v>-3.4911932974378661E-2</v>
      </c>
      <c r="AD22" s="7">
        <v>2.4390690672963788E-3</v>
      </c>
      <c r="AE22" s="7">
        <v>-8.0071556643277572E-2</v>
      </c>
      <c r="AG22" t="str">
        <v>Model Year: 78</v>
      </c>
      <c r="AH22" s="17" cm="1">
        <f t="array" ref="AH22">IF(ROW()-12&lt;=IFERROR(ROWS(_xlfn.ANCHORARRAY($AI$13)),0),INDEX(_xlfn.ANCHORARRAY($AI$13),ROW()-12),"")</f>
        <v>9.1836734693877556E-2</v>
      </c>
      <c r="AI22" s="7">
        <v>9.1836734693877556E-2</v>
      </c>
      <c r="AK22" t="str">
        <v>volkswagen 1131 deluxe sedan</v>
      </c>
      <c r="AL22" s="7">
        <v>26</v>
      </c>
      <c r="AM22" s="7">
        <v>28.591062427308088</v>
      </c>
      <c r="AN22" s="7">
        <v>-2.5910624273080884</v>
      </c>
      <c r="AO22" s="7">
        <v>6.8142656866106821E-2</v>
      </c>
      <c r="AP22" s="7">
        <v>-0.87508847543410839</v>
      </c>
      <c r="AQ22" s="7">
        <v>3.294007913368768E-3</v>
      </c>
      <c r="AR22" s="7">
        <v>-1.8192221095957348</v>
      </c>
      <c r="AS22" s="7">
        <v>-1.626368466519942</v>
      </c>
      <c r="AT22" s="7">
        <v>0.93546163760686007</v>
      </c>
      <c r="AU22" s="7">
        <v>-2.7805355040656621</v>
      </c>
    </row>
    <row r="23" spans="16:47" x14ac:dyDescent="0.25">
      <c r="Q23" s="14"/>
      <c r="R23" s="14"/>
      <c r="S23" s="14"/>
      <c r="T23" s="14"/>
      <c r="U23" s="14"/>
      <c r="V23" s="14"/>
      <c r="X23" t="str">
        <v>Weight</v>
      </c>
      <c r="Y23" s="7">
        <v>-5.0633096151167442E-3</v>
      </c>
      <c r="Z23" s="7">
        <v>4.3671065291282156E-4</v>
      </c>
      <c r="AA23" s="7">
        <v>-11.594197625693157</v>
      </c>
      <c r="AB23" s="20">
        <v>8.9955160626706223E-27</v>
      </c>
      <c r="AC23" s="7">
        <v>-5.9220182092698803E-3</v>
      </c>
      <c r="AD23" s="7">
        <v>-4.2046010209636081E-3</v>
      </c>
      <c r="AE23" s="7">
        <v>-0.55102934324785424</v>
      </c>
      <c r="AG23" t="str">
        <v>Model Year: 79</v>
      </c>
      <c r="AH23" s="17" cm="1">
        <f t="array" ref="AH23">IF(ROW()-12&lt;=IFERROR(ROWS(_xlfn.ANCHORARRAY($AI$13)),0),INDEX(_xlfn.ANCHORARRAY($AI$13),ROW()-12),"")</f>
        <v>7.3979591836734693E-2</v>
      </c>
      <c r="AI23" s="7">
        <v>7.3979591836734693E-2</v>
      </c>
      <c r="AK23" t="str">
        <v>peugeot 504</v>
      </c>
      <c r="AL23" s="7">
        <v>25</v>
      </c>
      <c r="AM23" s="7">
        <v>23.687378569360181</v>
      </c>
      <c r="AN23" s="7">
        <v>1.312621430639819</v>
      </c>
      <c r="AO23" s="7">
        <v>5.7444350257130912E-2</v>
      </c>
      <c r="AP23" s="7">
        <v>0.44079310612390166</v>
      </c>
      <c r="AQ23" s="7">
        <v>6.9656393771629619E-4</v>
      </c>
      <c r="AR23" s="7">
        <v>-1.8192221095957348</v>
      </c>
      <c r="AS23" s="7">
        <v>-1.5268692799723598</v>
      </c>
      <c r="AT23" s="7">
        <v>0.66392251515060219</v>
      </c>
      <c r="AU23" s="7">
        <v>1.3926195562011692</v>
      </c>
    </row>
    <row r="24" spans="16:47" x14ac:dyDescent="0.25">
      <c r="Q24" s="14"/>
      <c r="R24" s="14"/>
      <c r="S24" s="14"/>
      <c r="T24" s="14"/>
      <c r="U24" s="14"/>
      <c r="V24" s="14"/>
      <c r="X24" t="str">
        <v>Model Year: 71</v>
      </c>
      <c r="Y24" s="7">
        <v>0.91041019458278927</v>
      </c>
      <c r="Z24" s="7">
        <v>0.86700620491109726</v>
      </c>
      <c r="AA24" s="7">
        <v>1.050061913543217</v>
      </c>
      <c r="AB24" s="20">
        <v>0.29436587877078041</v>
      </c>
      <c r="AC24" s="7">
        <v>-0.79439291561263914</v>
      </c>
      <c r="AD24" s="7">
        <v>2.6152133047782176</v>
      </c>
      <c r="AE24" s="7">
        <v>2.9577447376240806E-2</v>
      </c>
      <c r="AG24" t="str">
        <v>Model Year: 80</v>
      </c>
      <c r="AH24" s="17" cm="1">
        <f t="array" ref="AH24">IF(ROW()-12&lt;=IFERROR(ROWS(_xlfn.ANCHORARRAY($AI$13)),0),INDEX(_xlfn.ANCHORARRAY($AI$13),ROW()-12),"")</f>
        <v>6.8877551020408156E-2</v>
      </c>
      <c r="AI24" s="7">
        <v>6.8877551020408156E-2</v>
      </c>
      <c r="AK24" t="str">
        <v>audi 100 ls</v>
      </c>
      <c r="AL24" s="7">
        <v>24</v>
      </c>
      <c r="AM24" s="7">
        <v>24.863990200357815</v>
      </c>
      <c r="AN24" s="7">
        <v>-0.86399020035781504</v>
      </c>
      <c r="AO24" s="7">
        <v>5.1568524658183866E-2</v>
      </c>
      <c r="AP24" s="7">
        <v>-0.28923752793396956</v>
      </c>
      <c r="AQ24" s="7">
        <v>2.6757104145415416E-4</v>
      </c>
      <c r="AR24" s="7">
        <v>-1.8192221095957348</v>
      </c>
      <c r="AS24" s="7">
        <v>-1.5175419689962188</v>
      </c>
      <c r="AT24" s="7">
        <v>0.53780807723013013</v>
      </c>
      <c r="AU24" s="7">
        <v>-0.91096744764447179</v>
      </c>
    </row>
    <row r="25" spans="16:47" x14ac:dyDescent="0.25">
      <c r="Q25" s="14"/>
      <c r="R25" s="14"/>
      <c r="S25" s="14"/>
      <c r="T25" s="14"/>
      <c r="U25" s="14"/>
      <c r="V25" s="14"/>
      <c r="X25" t="str">
        <v>Model Year: 72</v>
      </c>
      <c r="Y25" s="7">
        <v>-0.34595173995932393</v>
      </c>
      <c r="Z25" s="7">
        <v>0.84392497453951831</v>
      </c>
      <c r="AA25" s="7">
        <v>-0.40993186645304586</v>
      </c>
      <c r="AB25" s="20">
        <v>0.68209000766573369</v>
      </c>
      <c r="AC25" s="7">
        <v>-2.0053699923512953</v>
      </c>
      <c r="AD25" s="7">
        <v>1.3134665124326477</v>
      </c>
      <c r="AE25" s="7">
        <v>-1.1429848936237916E-2</v>
      </c>
      <c r="AG25" t="str">
        <v>Model Year: 81</v>
      </c>
      <c r="AH25" s="17" cm="1">
        <f t="array" ref="AH25">IF(ROW()-12&lt;=IFERROR(ROWS(_xlfn.ANCHORARRAY($AI$13)),0),INDEX(_xlfn.ANCHORARRAY($AI$13),ROW()-12),"")</f>
        <v>7.1428571428571425E-2</v>
      </c>
      <c r="AI25" s="7">
        <v>7.1428571428571425E-2</v>
      </c>
      <c r="AK25" t="str">
        <v>saab 99e</v>
      </c>
      <c r="AL25" s="7">
        <v>25</v>
      </c>
      <c r="AM25" s="7">
        <v>25.061290069421531</v>
      </c>
      <c r="AN25" s="7">
        <v>-6.1290069421531257E-2</v>
      </c>
      <c r="AO25" s="7">
        <v>4.9464537797579783E-2</v>
      </c>
      <c r="AP25" s="7">
        <v>-2.0495322425383513E-2</v>
      </c>
      <c r="AQ25" s="7">
        <v>1.285837892009649E-6</v>
      </c>
      <c r="AR25" s="7">
        <v>-1.8192221095957348</v>
      </c>
      <c r="AS25" s="7">
        <v>-1.476936332318173</v>
      </c>
      <c r="AT25" s="7">
        <v>0.1431618749017472</v>
      </c>
      <c r="AU25" s="7">
        <v>-6.4479519027643914E-2</v>
      </c>
    </row>
    <row r="26" spans="16:47" x14ac:dyDescent="0.25">
      <c r="Q26" s="14"/>
      <c r="R26" s="14"/>
      <c r="S26" s="14"/>
      <c r="T26" s="14"/>
      <c r="U26" s="14"/>
      <c r="V26" s="14"/>
      <c r="X26" t="str">
        <v>Model Year: 73</v>
      </c>
      <c r="Y26" s="7">
        <v>-0.70625405150926002</v>
      </c>
      <c r="Z26" s="7">
        <v>0.77077168235926774</v>
      </c>
      <c r="AA26" s="7">
        <v>-0.91629475715490138</v>
      </c>
      <c r="AB26" s="20">
        <v>0.36010118595542595</v>
      </c>
      <c r="AC26" s="7">
        <v>-2.2218302421910572</v>
      </c>
      <c r="AD26" s="7">
        <v>0.80932213917253726</v>
      </c>
      <c r="AE26" s="7">
        <v>-2.7425688780183255E-2</v>
      </c>
      <c r="AG26" t="str">
        <v>Model Year: 82</v>
      </c>
      <c r="AH26" s="17" cm="1">
        <f t="array" ref="AH26">IF(ROW()-12&lt;=IFERROR(ROWS(_xlfn.ANCHORARRAY($AI$13)),0),INDEX(_xlfn.ANCHORARRAY($AI$13),ROW()-12),"")</f>
        <v>7.6530612244897961E-2</v>
      </c>
      <c r="AI26" s="7">
        <v>7.6530612244897961E-2</v>
      </c>
      <c r="AK26" t="str">
        <v>bmw 2002</v>
      </c>
      <c r="AL26" s="7">
        <v>26</v>
      </c>
      <c r="AM26" s="7">
        <v>25.482960949989245</v>
      </c>
      <c r="AN26" s="7">
        <v>0.51703905001075512</v>
      </c>
      <c r="AO26" s="7">
        <v>4.9413009365655493E-2</v>
      </c>
      <c r="AP26" s="7">
        <v>0.17289252435540359</v>
      </c>
      <c r="AQ26" s="7">
        <v>9.1401420889608283E-5</v>
      </c>
      <c r="AR26" s="7">
        <v>-1.8192221095957348</v>
      </c>
      <c r="AS26" s="7">
        <v>-1.4375278289347968</v>
      </c>
      <c r="AT26" s="7">
        <v>0.41580346842637517</v>
      </c>
      <c r="AU26" s="7">
        <v>0.5439155543941594</v>
      </c>
    </row>
    <row r="27" spans="16:47" x14ac:dyDescent="0.25">
      <c r="Q27" s="14"/>
      <c r="R27" s="14"/>
      <c r="S27" s="14"/>
      <c r="T27" s="14"/>
      <c r="U27" s="14"/>
      <c r="V27" s="14"/>
      <c r="X27" t="str">
        <v>Model Year: 74</v>
      </c>
      <c r="Y27" s="7">
        <v>1.2578616049411528</v>
      </c>
      <c r="Z27" s="7">
        <v>0.90223457377328564</v>
      </c>
      <c r="AA27" s="7">
        <v>1.3941624955476706</v>
      </c>
      <c r="AB27" s="20">
        <v>0.16409401980108662</v>
      </c>
      <c r="AC27" s="7">
        <v>-0.51621140489649187</v>
      </c>
      <c r="AD27" s="7">
        <v>3.0319346147787973</v>
      </c>
      <c r="AE27" s="7">
        <v>4.015645268368663E-2</v>
      </c>
      <c r="AG27" t="str">
        <v>Origin: 2</v>
      </c>
      <c r="AH27" s="17" cm="1">
        <f t="array" ref="AH27">IF(ROW()-12&lt;=IFERROR(ROWS(_xlfn.ANCHORARRAY($AI$13)),0),INDEX(_xlfn.ANCHORARRAY($AI$13),ROW()-12),"")</f>
        <v>0.17346938775510204</v>
      </c>
      <c r="AI27" s="7">
        <v>0.17346938775510204</v>
      </c>
      <c r="AK27" t="str">
        <v>amc gremlin</v>
      </c>
      <c r="AL27" s="7">
        <v>21</v>
      </c>
      <c r="AM27" s="7">
        <v>21.822223935113236</v>
      </c>
      <c r="AN27" s="7">
        <v>-0.82222393511323588</v>
      </c>
      <c r="AO27" s="7">
        <v>4.9584288806374915E-2</v>
      </c>
      <c r="AP27" s="7">
        <v>-0.27496797490025326</v>
      </c>
      <c r="AQ27" s="7">
        <v>2.3203088177442473E-4</v>
      </c>
      <c r="AR27" s="7">
        <v>-1.8192221095957348</v>
      </c>
      <c r="AS27" s="7">
        <v>-1.4339281629923637</v>
      </c>
      <c r="AT27" s="7">
        <v>0.52437388846151867</v>
      </c>
      <c r="AU27" s="7">
        <v>-0.86512031043826765</v>
      </c>
    </row>
    <row r="28" spans="16:47" x14ac:dyDescent="0.25">
      <c r="Q28" s="14"/>
      <c r="R28" s="14"/>
      <c r="S28" s="14"/>
      <c r="T28" s="14"/>
      <c r="U28" s="14"/>
      <c r="V28" s="14"/>
      <c r="X28" t="str">
        <v>Model Year: 75</v>
      </c>
      <c r="Y28" s="7">
        <v>0.63935220100333456</v>
      </c>
      <c r="Z28" s="7">
        <v>0.88468943032156888</v>
      </c>
      <c r="AA28" s="7">
        <v>0.72268547480096079</v>
      </c>
      <c r="AB28" s="20">
        <v>0.47032360057386124</v>
      </c>
      <c r="AC28" s="7">
        <v>-1.1002216149924637</v>
      </c>
      <c r="AD28" s="7">
        <v>2.3789260169991326</v>
      </c>
      <c r="AE28" s="7">
        <v>2.1804711308239494E-2</v>
      </c>
      <c r="AG28" t="str">
        <v>Origin: 3</v>
      </c>
      <c r="AH28" s="17" cm="1">
        <f t="array" ref="AH28">IF(ROW()-12&lt;=IFERROR(ROWS(_xlfn.ANCHORARRAY($AI$13)),0),INDEX(_xlfn.ANCHORARRAY($AI$13),ROW()-12),"")</f>
        <v>0.20153061224489796</v>
      </c>
      <c r="AI28" s="7">
        <v>0.20153061224489796</v>
      </c>
      <c r="AK28" t="str">
        <v>ford f250</v>
      </c>
      <c r="AL28" s="7">
        <v>10</v>
      </c>
      <c r="AM28" s="7">
        <v>9.8331399279859539</v>
      </c>
      <c r="AN28" s="7">
        <v>0.16686007201404607</v>
      </c>
      <c r="AO28" s="7">
        <v>4.555343744216208E-2</v>
      </c>
      <c r="AP28" s="7">
        <v>5.5683358456536082E-2</v>
      </c>
      <c r="AQ28" s="7">
        <v>8.7050537501578895E-6</v>
      </c>
      <c r="AR28" s="7">
        <v>-1.8192221095957348</v>
      </c>
      <c r="AS28" s="7">
        <v>-1.3818722583783212</v>
      </c>
      <c r="AT28" s="7">
        <v>0.23597321554900269</v>
      </c>
      <c r="AU28" s="7">
        <v>0.17482390168274572</v>
      </c>
    </row>
    <row r="29" spans="16:47" x14ac:dyDescent="0.25">
      <c r="Q29" s="14"/>
      <c r="R29" s="14"/>
      <c r="S29" s="14"/>
      <c r="T29" s="14"/>
      <c r="U29" s="14"/>
      <c r="V29" s="14"/>
      <c r="X29" t="str">
        <v>Model Year: 76</v>
      </c>
      <c r="Y29" s="7">
        <v>1.4144247705995439</v>
      </c>
      <c r="Z29" s="7">
        <v>0.8487847692328192</v>
      </c>
      <c r="AA29" s="7">
        <v>1.6664115826182682</v>
      </c>
      <c r="AB29" s="20">
        <v>9.6466455919171717E-2</v>
      </c>
      <c r="AC29" s="7">
        <v>-0.25454934547727892</v>
      </c>
      <c r="AD29" s="7">
        <v>3.0833988866763669</v>
      </c>
      <c r="AE29" s="7">
        <v>5.1068851278666581E-2</v>
      </c>
      <c r="AH29" s="17" t="str" cm="1">
        <f t="array" ref="AH29">IF(ROW()-12&lt;=IFERROR(ROWS(_xlfn.ANCHORARRAY($AI$13)),0),INDEX(_xlfn.ANCHORARRAY($AI$13),ROW()-12),"")</f>
        <v/>
      </c>
      <c r="AK29" t="str">
        <v>chevy c20</v>
      </c>
      <c r="AL29" s="7">
        <v>10</v>
      </c>
      <c r="AM29" s="7">
        <v>11.286817405301978</v>
      </c>
      <c r="AN29" s="7">
        <v>-1.2868174053019779</v>
      </c>
      <c r="AO29" s="7">
        <v>4.0933470674793832E-2</v>
      </c>
      <c r="AP29" s="7">
        <v>-0.42839201056709808</v>
      </c>
      <c r="AQ29" s="7">
        <v>4.6074819083104376E-4</v>
      </c>
      <c r="AR29" s="7">
        <v>-1.8192221095957348</v>
      </c>
      <c r="AS29" s="7">
        <v>-1.3375231715810603</v>
      </c>
      <c r="AT29" s="7">
        <v>0.65451662359874263</v>
      </c>
      <c r="AU29" s="7">
        <v>-1.3417394580617628</v>
      </c>
    </row>
    <row r="30" spans="16:47" x14ac:dyDescent="0.25">
      <c r="Q30" s="14"/>
      <c r="R30" s="14"/>
      <c r="S30" s="14"/>
      <c r="T30" s="14"/>
      <c r="U30" s="14"/>
      <c r="V30" s="14"/>
      <c r="X30" t="str">
        <v>Model Year: 77</v>
      </c>
      <c r="Y30" s="7">
        <v>2.8481175004680543</v>
      </c>
      <c r="Z30" s="7">
        <v>0.86455882212615109</v>
      </c>
      <c r="AA30" s="7">
        <v>3.2943015877900264</v>
      </c>
      <c r="AB30" s="20">
        <v>1.0805831577803907E-3</v>
      </c>
      <c r="AC30" s="7">
        <v>1.1481267039100385</v>
      </c>
      <c r="AD30" s="7">
        <v>4.5481082970260704</v>
      </c>
      <c r="AE30" s="7">
        <v>9.4098537520964462E-2</v>
      </c>
      <c r="AH30" s="17" t="str" cm="1">
        <f t="array" ref="AH30">IF(ROW()-12&lt;=IFERROR(ROWS(_xlfn.ANCHORARRAY($AI$13)),0),INDEX(_xlfn.ANCHORARRAY($AI$13),ROW()-12),"")</f>
        <v/>
      </c>
      <c r="AK30" t="str">
        <v>dodge d200</v>
      </c>
      <c r="AL30" s="7">
        <v>11</v>
      </c>
      <c r="AM30" s="7">
        <v>11.094073228075864</v>
      </c>
      <c r="AN30" s="7">
        <v>-9.4073228075863824E-2</v>
      </c>
      <c r="AO30" s="7">
        <v>4.4587292508687537E-2</v>
      </c>
      <c r="AP30" s="7">
        <v>-3.1377572652117845E-2</v>
      </c>
      <c r="AQ30" s="7">
        <v>2.7027747579050412E-6</v>
      </c>
      <c r="AR30" s="7">
        <v>-1.8192221095957348</v>
      </c>
      <c r="AS30" s="7">
        <v>-1.3070680932321534</v>
      </c>
      <c r="AT30" s="7">
        <v>0.17713715773975217</v>
      </c>
      <c r="AU30" s="7">
        <v>-9.8463446569470328E-2</v>
      </c>
    </row>
    <row r="31" spans="16:47" x14ac:dyDescent="0.25">
      <c r="Q31" s="14"/>
      <c r="R31" s="14"/>
      <c r="S31" s="14"/>
      <c r="T31" s="14"/>
      <c r="U31" s="14"/>
      <c r="V31" s="14"/>
      <c r="X31" t="str">
        <v>Model Year: 78</v>
      </c>
      <c r="Y31" s="7">
        <v>2.6980951580993473</v>
      </c>
      <c r="Z31" s="7">
        <v>0.82369335401903665</v>
      </c>
      <c r="AA31" s="7">
        <v>3.2756063223462535</v>
      </c>
      <c r="AB31" s="20">
        <v>1.1525516881497253E-3</v>
      </c>
      <c r="AC31" s="7">
        <v>1.0784585467062975</v>
      </c>
      <c r="AD31" s="7">
        <v>4.3177317694923971</v>
      </c>
      <c r="AE31" s="7">
        <v>9.996058193307876E-2</v>
      </c>
      <c r="AH31" s="17" t="str" cm="1">
        <f t="array" ref="AH31">IF(ROW()-12&lt;=IFERROR(ROWS(_xlfn.ANCHORARRAY($AI$13)),0),INDEX(_xlfn.ANCHORARRAY($AI$13),ROW()-12),"")</f>
        <v/>
      </c>
      <c r="AK31" t="str">
        <v>hi 1200d</v>
      </c>
      <c r="AL31" s="7">
        <v>9</v>
      </c>
      <c r="AM31" s="7">
        <v>9.5979342059952053</v>
      </c>
      <c r="AN31" s="7">
        <v>-0.5979342059952053</v>
      </c>
      <c r="AO31" s="7">
        <v>4.3597810529259637E-2</v>
      </c>
      <c r="AP31" s="7">
        <v>-0.19933424776621109</v>
      </c>
      <c r="AQ31" s="7">
        <v>1.0654646364982016E-4</v>
      </c>
      <c r="AR31" s="7">
        <v>-1.8192221095957348</v>
      </c>
      <c r="AS31" s="7">
        <v>-1.2992210520172569</v>
      </c>
      <c r="AT31" s="7">
        <v>0.44646864141416592</v>
      </c>
      <c r="AU31" s="7">
        <v>-0.62519117226832543</v>
      </c>
    </row>
    <row r="32" spans="16:47" x14ac:dyDescent="0.25">
      <c r="Q32" s="14"/>
      <c r="R32" s="14"/>
      <c r="S32" s="14"/>
      <c r="T32" s="14"/>
      <c r="U32" s="14"/>
      <c r="V32" s="14"/>
      <c r="X32" t="str">
        <v>Model Year: 79</v>
      </c>
      <c r="Y32" s="7">
        <v>5.1059820845240278</v>
      </c>
      <c r="Z32" s="7">
        <v>0.87407693909722683</v>
      </c>
      <c r="AA32" s="7">
        <v>5.8415705255851282</v>
      </c>
      <c r="AB32" s="20">
        <v>1.1226645573081526E-8</v>
      </c>
      <c r="AC32" s="7">
        <v>3.38727571785408</v>
      </c>
      <c r="AD32" s="7">
        <v>6.8246884511939756</v>
      </c>
      <c r="AE32" s="7">
        <v>0.1714458045403203</v>
      </c>
      <c r="AH32" s="17" t="str" cm="1">
        <f t="array" ref="AH32">IF(ROW()-12&lt;=IFERROR(ROWS(_xlfn.ANCHORARRAY($AI$13)),0),INDEX(_xlfn.ANCHORARRAY($AI$13),ROW()-12),"")</f>
        <v/>
      </c>
      <c r="AK32" t="str">
        <v>datsun pl510</v>
      </c>
      <c r="AL32" s="7">
        <v>27</v>
      </c>
      <c r="AM32" s="7">
        <v>27.447842985332564</v>
      </c>
      <c r="AN32" s="7">
        <v>-0.44784298533256361</v>
      </c>
      <c r="AO32" s="7">
        <v>5.0482475252271307E-2</v>
      </c>
      <c r="AP32" s="7">
        <v>-0.1498383863684378</v>
      </c>
      <c r="AQ32" s="7">
        <v>7.0215809939310245E-5</v>
      </c>
      <c r="AR32" s="7">
        <v>-1.8192221095957348</v>
      </c>
      <c r="AS32" s="7">
        <v>-1.2647682754399099</v>
      </c>
      <c r="AT32" s="7">
        <v>0.3870896360901927</v>
      </c>
      <c r="AU32" s="7">
        <v>-0.47165320666572025</v>
      </c>
    </row>
    <row r="33" spans="17:47" x14ac:dyDescent="0.25">
      <c r="Q33" s="14"/>
      <c r="R33" s="14"/>
      <c r="S33" s="14"/>
      <c r="T33" s="14"/>
      <c r="U33" s="14"/>
      <c r="V33" s="14"/>
      <c r="X33" t="str">
        <v>Model Year: 80</v>
      </c>
      <c r="Y33" s="7">
        <v>9.1670835618192701</v>
      </c>
      <c r="Z33" s="7">
        <v>0.92246059063758001</v>
      </c>
      <c r="AA33" s="7">
        <v>9.9376424910285088</v>
      </c>
      <c r="AB33" s="20">
        <v>8.2240275742108894E-21</v>
      </c>
      <c r="AC33" s="7">
        <v>7.3532399295088027</v>
      </c>
      <c r="AD33" s="7">
        <v>10.980927194129738</v>
      </c>
      <c r="AE33" s="7">
        <v>0.29782062333733589</v>
      </c>
      <c r="AH33" s="17" t="str" cm="1">
        <f t="array" ref="AH33">IF(ROW()-12&lt;=IFERROR(ROWS(_xlfn.ANCHORARRAY($AI$13)),0),INDEX(_xlfn.ANCHORARRAY($AI$13),ROW()-12),"")</f>
        <v/>
      </c>
      <c r="AK33" t="str">
        <v>chevrolet vega 2300</v>
      </c>
      <c r="AL33" s="7">
        <v>28</v>
      </c>
      <c r="AM33" s="7">
        <v>24.676945021900856</v>
      </c>
      <c r="AN33" s="7">
        <v>3.3230549780991439</v>
      </c>
      <c r="AO33" s="7">
        <v>4.6906901296231492E-2</v>
      </c>
      <c r="AP33" s="7">
        <v>1.1097334264431649</v>
      </c>
      <c r="AQ33" s="7">
        <v>3.5652487247722522E-3</v>
      </c>
      <c r="AR33" s="7">
        <v>-1.8192221095957348</v>
      </c>
      <c r="AS33" s="7">
        <v>-1.2628813097867138</v>
      </c>
      <c r="AT33" s="7">
        <v>1.0534388574773406</v>
      </c>
      <c r="AU33" s="7">
        <v>3.4866006087113477</v>
      </c>
    </row>
    <row r="34" spans="17:47" x14ac:dyDescent="0.25">
      <c r="Q34" s="14"/>
      <c r="R34" s="14"/>
      <c r="S34" s="14"/>
      <c r="T34" s="14"/>
      <c r="U34" s="14"/>
      <c r="V34" s="14"/>
      <c r="X34" t="str">
        <v>Model Year: 81</v>
      </c>
      <c r="Y34" s="7">
        <v>6.5309047619851937</v>
      </c>
      <c r="Z34" s="7">
        <v>0.90984395584765954</v>
      </c>
      <c r="AA34" s="7">
        <v>7.178049290771682</v>
      </c>
      <c r="AB34" s="20">
        <v>3.8191920779240253E-12</v>
      </c>
      <c r="AC34" s="7">
        <v>4.7418693468572801</v>
      </c>
      <c r="AD34" s="7">
        <v>8.3199401771131072</v>
      </c>
      <c r="AE34" s="7">
        <v>0.21577360719510885</v>
      </c>
      <c r="AH34" s="17" t="str" cm="1">
        <f t="array" ref="AH34">IF(ROW()-12&lt;=IFERROR(ROWS(_xlfn.ANCHORARRAY($AI$13)),0),INDEX(_xlfn.ANCHORARRAY($AI$13),ROW()-12),"")</f>
        <v/>
      </c>
      <c r="AK34" t="str">
        <v>toyota corona</v>
      </c>
      <c r="AL34" s="7">
        <v>25</v>
      </c>
      <c r="AM34" s="7">
        <v>26.837983619376338</v>
      </c>
      <c r="AN34" s="7">
        <v>-1.8379836193763381</v>
      </c>
      <c r="AO34" s="7">
        <v>5.0935386039696225E-2</v>
      </c>
      <c r="AP34" s="7">
        <v>-0.61509549983121481</v>
      </c>
      <c r="AQ34" s="7">
        <v>1.1944280641904581E-3</v>
      </c>
      <c r="AR34" s="7">
        <v>-1.8192221095957348</v>
      </c>
      <c r="AS34" s="7">
        <v>-1.2605695043801406</v>
      </c>
      <c r="AT34" s="7">
        <v>0.78428024317281819</v>
      </c>
      <c r="AU34" s="7">
        <v>-1.9366264344286415</v>
      </c>
    </row>
    <row r="35" spans="17:47" x14ac:dyDescent="0.25">
      <c r="Q35" s="14"/>
      <c r="R35" s="14"/>
      <c r="S35" s="14"/>
      <c r="T35" s="14"/>
      <c r="U35" s="14"/>
      <c r="V35" s="14"/>
      <c r="X35" t="str">
        <v>Model Year: 82</v>
      </c>
      <c r="Y35" s="7">
        <v>8.209340671577781</v>
      </c>
      <c r="Z35" s="7">
        <v>0.88405378716381389</v>
      </c>
      <c r="AA35" s="7">
        <v>9.2860194603256669</v>
      </c>
      <c r="AB35" s="20">
        <v>1.3188191200495748E-18</v>
      </c>
      <c r="AC35" s="7">
        <v>6.4710167271817207</v>
      </c>
      <c r="AD35" s="7">
        <v>9.9476646159738404</v>
      </c>
      <c r="AE35" s="7">
        <v>0.27997448525841367</v>
      </c>
      <c r="AH35" s="17" t="str" cm="1">
        <f t="array" ref="AH35">IF(ROW()-12&lt;=IFERROR(ROWS(_xlfn.ANCHORARRAY($AI$13)),0),INDEX(_xlfn.ANCHORARRAY($AI$13),ROW()-12),"")</f>
        <v/>
      </c>
      <c r="AK35" t="str">
        <v>amc gremlin</v>
      </c>
      <c r="AL35" s="7">
        <v>19</v>
      </c>
      <c r="AM35" s="7">
        <v>22.641156144772246</v>
      </c>
      <c r="AN35" s="7">
        <v>-3.6411561447722463</v>
      </c>
      <c r="AO35" s="7">
        <v>4.191736446345834E-2</v>
      </c>
      <c r="AP35" s="7">
        <v>-1.2127928346337915</v>
      </c>
      <c r="AQ35" s="7">
        <v>3.785430902678774E-3</v>
      </c>
      <c r="AR35" s="7">
        <v>-1.8192221095957348</v>
      </c>
      <c r="AS35" s="7">
        <v>-1.2377760380844078</v>
      </c>
      <c r="AT35" s="7">
        <v>1.1012687386073354</v>
      </c>
      <c r="AU35" s="7">
        <v>-3.8004614734856772</v>
      </c>
    </row>
    <row r="36" spans="17:47" x14ac:dyDescent="0.25">
      <c r="Q36" s="14"/>
      <c r="R36" s="14"/>
      <c r="S36" s="14"/>
      <c r="T36" s="14"/>
      <c r="U36" s="14"/>
      <c r="V36" s="14"/>
      <c r="X36" t="str">
        <v>Origin: 2</v>
      </c>
      <c r="Y36" s="7">
        <v>1.9379647691491286</v>
      </c>
      <c r="Z36" s="7">
        <v>0.48597713394833042</v>
      </c>
      <c r="AA36" s="7">
        <v>3.9877694520400522</v>
      </c>
      <c r="AB36" s="20">
        <v>8.0195123538034105E-5</v>
      </c>
      <c r="AC36" s="7">
        <v>0.98238299274889185</v>
      </c>
      <c r="AD36" s="7">
        <v>2.8935465455493654</v>
      </c>
      <c r="AE36" s="7">
        <v>9.4138679673749295E-2</v>
      </c>
      <c r="AH36" s="17" t="str" cm="1">
        <f t="array" ref="AH36">IF(ROW()-12&lt;=IFERROR(ROWS(_xlfn.ANCHORARRAY($AI$13)),0),INDEX(_xlfn.ANCHORARRAY($AI$13),ROW()-12),"")</f>
        <v/>
      </c>
      <c r="AK36" t="str">
        <v>plymouth satellite custom</v>
      </c>
      <c r="AL36" s="7">
        <v>16</v>
      </c>
      <c r="AM36" s="7">
        <v>18.484009744835561</v>
      </c>
      <c r="AN36" s="7">
        <v>-2.4840097448355607</v>
      </c>
      <c r="AO36" s="7">
        <v>4.0762584893143869E-2</v>
      </c>
      <c r="AP36" s="7">
        <v>-0.82687344310871891</v>
      </c>
      <c r="AQ36" s="7">
        <v>1.7090893677473677E-3</v>
      </c>
      <c r="AR36" s="7">
        <v>-1.3692588778592949</v>
      </c>
      <c r="AS36" s="7">
        <v>-1.2151675973963232</v>
      </c>
      <c r="AT36" s="7">
        <v>0.90932581790506695</v>
      </c>
      <c r="AU36" s="7">
        <v>-2.5895671975627113</v>
      </c>
    </row>
    <row r="37" spans="17:47" x14ac:dyDescent="0.25">
      <c r="Q37" s="14"/>
      <c r="R37" s="14"/>
      <c r="S37" s="14"/>
      <c r="T37" s="14"/>
      <c r="U37" s="14"/>
      <c r="V37" s="14"/>
      <c r="X37" t="str">
        <v>Origin: 3</v>
      </c>
      <c r="Y37" s="7">
        <v>2.0599416110989845</v>
      </c>
      <c r="Z37" s="7">
        <v>0.49646458927845061</v>
      </c>
      <c r="AA37" s="7">
        <v>4.149221627453537</v>
      </c>
      <c r="AB37" s="20">
        <v>4.1310663778078783E-5</v>
      </c>
      <c r="AC37" s="7">
        <v>1.0837382447221708</v>
      </c>
      <c r="AD37" s="7">
        <v>3.0361449774757983</v>
      </c>
      <c r="AE37" s="7">
        <v>0.1060073282018279</v>
      </c>
      <c r="AH37" s="17" t="str" cm="1">
        <f t="array" ref="AH37">IF(ROW()-12&lt;=IFERROR(ROWS(_xlfn.ANCHORARRAY($AI$13)),0),INDEX(_xlfn.ANCHORARRAY($AI$13),ROW()-12),"")</f>
        <v/>
      </c>
      <c r="AK37" t="str">
        <v>chevrolet chevelle malibu</v>
      </c>
      <c r="AL37" s="7">
        <v>17</v>
      </c>
      <c r="AM37" s="7">
        <v>19.12215596226611</v>
      </c>
      <c r="AN37" s="7">
        <v>-2.1221559622661097</v>
      </c>
      <c r="AO37" s="7">
        <v>4.0942536286414422E-2</v>
      </c>
      <c r="AP37" s="7">
        <v>-0.70648636894145744</v>
      </c>
      <c r="AQ37" s="7">
        <v>1.2533973309379809E-3</v>
      </c>
      <c r="AR37" s="7">
        <v>-1.3692588778592949</v>
      </c>
      <c r="AS37" s="7">
        <v>-1.2127928346337915</v>
      </c>
      <c r="AT37" s="7">
        <v>0.84052743497250426</v>
      </c>
      <c r="AU37" s="7">
        <v>-2.2127516260067122</v>
      </c>
    </row>
    <row r="38" spans="17:47" x14ac:dyDescent="0.25">
      <c r="Q38" s="14"/>
      <c r="R38" s="14"/>
      <c r="S38" s="14"/>
      <c r="T38" s="14"/>
      <c r="U38" s="14"/>
      <c r="V38" s="14"/>
      <c r="Y38" s="7"/>
      <c r="Z38" s="7"/>
      <c r="AA38" s="7"/>
      <c r="AB38" s="20"/>
      <c r="AC38" s="7"/>
      <c r="AD38" s="7"/>
      <c r="AE38" s="7"/>
      <c r="AH38" s="17" t="str" cm="1">
        <f t="array" ref="AH38">IF(ROW()-12&lt;=IFERROR(ROWS(_xlfn.ANCHORARRAY($AI$13)),0),INDEX(_xlfn.ANCHORARRAY($AI$13),ROW()-12),"")</f>
        <v/>
      </c>
      <c r="AK38" t="str">
        <v>ford torino 500</v>
      </c>
      <c r="AL38" s="7">
        <v>19</v>
      </c>
      <c r="AM38" s="7">
        <v>19.453702505316755</v>
      </c>
      <c r="AN38" s="7">
        <v>-0.45370250531675538</v>
      </c>
      <c r="AO38" s="7">
        <v>4.5737615254886684E-2</v>
      </c>
      <c r="AP38" s="7">
        <v>-0.15142098901853582</v>
      </c>
      <c r="AQ38" s="7">
        <v>6.4644108034657676E-5</v>
      </c>
      <c r="AR38" s="7">
        <v>-1.3692588778592949</v>
      </c>
      <c r="AS38" s="7">
        <v>-1.2081383307454165</v>
      </c>
      <c r="AT38" s="7">
        <v>0.3891284993656155</v>
      </c>
      <c r="AU38" s="7">
        <v>-0.4754483804136751</v>
      </c>
    </row>
    <row r="39" spans="17:47" x14ac:dyDescent="0.25">
      <c r="Q39" s="14"/>
      <c r="R39" s="14"/>
      <c r="S39" s="14"/>
      <c r="T39" s="14"/>
      <c r="U39" s="14"/>
      <c r="V39" s="14"/>
      <c r="Y39" s="7"/>
      <c r="Z39" s="7"/>
      <c r="AA39" s="7"/>
      <c r="AB39" s="20"/>
      <c r="AC39" s="7"/>
      <c r="AD39" s="7"/>
      <c r="AE39" s="7"/>
      <c r="AH39" s="17" t="str" cm="1">
        <f t="array" ref="AH39">IF(ROW()-12&lt;=IFERROR(ROWS(_xlfn.ANCHORARRAY($AI$13)),0),INDEX(_xlfn.ANCHORARRAY($AI$13),ROW()-12),"")</f>
        <v/>
      </c>
      <c r="AK39" t="str">
        <v>amc matador</v>
      </c>
      <c r="AL39" s="7">
        <v>18</v>
      </c>
      <c r="AM39" s="7">
        <v>19.329751656485897</v>
      </c>
      <c r="AN39" s="7">
        <v>-1.3297516564858967</v>
      </c>
      <c r="AO39" s="7">
        <v>4.0456485018906037E-2</v>
      </c>
      <c r="AP39" s="7">
        <v>-0.44257513070662241</v>
      </c>
      <c r="AQ39" s="7">
        <v>4.8578999244009986E-4</v>
      </c>
      <c r="AR39" s="7">
        <v>-1.3692588778592949</v>
      </c>
      <c r="AS39" s="7">
        <v>-1.1982691301329933</v>
      </c>
      <c r="AT39" s="7">
        <v>0.66526320408288209</v>
      </c>
      <c r="AU39" s="7">
        <v>-1.3858169387055854</v>
      </c>
    </row>
    <row r="40" spans="17:47" x14ac:dyDescent="0.25">
      <c r="Q40" s="14"/>
      <c r="R40" s="14"/>
      <c r="S40" s="14"/>
      <c r="T40" s="14"/>
      <c r="U40" s="14"/>
      <c r="V40" s="14"/>
      <c r="Y40" s="7"/>
      <c r="Z40" s="7"/>
      <c r="AA40" s="7"/>
      <c r="AB40" s="20"/>
      <c r="AC40" s="7"/>
      <c r="AD40" s="7"/>
      <c r="AE40" s="7"/>
      <c r="AH40" s="17" t="str" cm="1">
        <f t="array" ref="AH40">IF(ROW()-12&lt;=IFERROR(ROWS(_xlfn.ANCHORARRAY($AI$13)),0),INDEX(_xlfn.ANCHORARRAY($AI$13),ROW()-12),"")</f>
        <v/>
      </c>
      <c r="AK40" t="str">
        <v>chevrolet impala</v>
      </c>
      <c r="AL40" s="7">
        <v>14</v>
      </c>
      <c r="AM40" s="7">
        <v>13.611075423983204</v>
      </c>
      <c r="AN40" s="7">
        <v>0.38892457601679631</v>
      </c>
      <c r="AO40" s="7">
        <v>4.4909693460538441E-2</v>
      </c>
      <c r="AP40" s="7">
        <v>0.12974540077510843</v>
      </c>
      <c r="AQ40" s="7">
        <v>4.6561898072066485E-5</v>
      </c>
      <c r="AR40" s="7">
        <v>-1.3692588778592949</v>
      </c>
      <c r="AS40" s="7">
        <v>-1.1807393696594941</v>
      </c>
      <c r="AT40" s="7">
        <v>0.36020188891107779</v>
      </c>
      <c r="AU40" s="7">
        <v>0.40721235819675555</v>
      </c>
    </row>
    <row r="41" spans="17:47" x14ac:dyDescent="0.25">
      <c r="Q41" s="14"/>
      <c r="R41" s="14"/>
      <c r="S41" s="14"/>
      <c r="T41" s="14"/>
      <c r="U41" s="14"/>
      <c r="V41" s="14"/>
      <c r="Y41" s="7"/>
      <c r="Z41" s="7"/>
      <c r="AA41" s="7"/>
      <c r="AB41" s="20"/>
      <c r="AC41" s="7"/>
      <c r="AD41" s="7"/>
      <c r="AE41" s="7"/>
      <c r="AH41" s="17" t="str" cm="1">
        <f t="array" ref="AH41">IF(ROW()-12&lt;=IFERROR(ROWS(_xlfn.ANCHORARRAY($AI$13)),0),INDEX(_xlfn.ANCHORARRAY($AI$13),ROW()-12),"")</f>
        <v/>
      </c>
      <c r="AK41" t="str">
        <v>pontiac catalina brougham</v>
      </c>
      <c r="AL41" s="7">
        <v>14</v>
      </c>
      <c r="AM41" s="7">
        <v>12.157567152593019</v>
      </c>
      <c r="AN41" s="7">
        <v>1.8424328474069807</v>
      </c>
      <c r="AO41" s="7">
        <v>4.823645439040921E-2</v>
      </c>
      <c r="AP41" s="7">
        <v>0.61570961852166972</v>
      </c>
      <c r="AQ41" s="7">
        <v>1.1301842896385133E-3</v>
      </c>
      <c r="AR41" s="7">
        <v>-1.3692588778592949</v>
      </c>
      <c r="AS41" s="7">
        <v>-1.1692507528849188</v>
      </c>
      <c r="AT41" s="7">
        <v>0.78467166287668988</v>
      </c>
      <c r="AU41" s="7">
        <v>1.9358094307204519</v>
      </c>
    </row>
    <row r="42" spans="17:47" x14ac:dyDescent="0.25">
      <c r="Q42" s="14"/>
      <c r="R42" s="14"/>
      <c r="S42" s="14"/>
      <c r="T42" s="14"/>
      <c r="U42" s="14"/>
      <c r="V42" s="14"/>
      <c r="Y42" s="7"/>
      <c r="Z42" s="7"/>
      <c r="AA42" s="7"/>
      <c r="AB42" s="20"/>
      <c r="AC42" s="7"/>
      <c r="AD42" s="7"/>
      <c r="AE42" s="7"/>
      <c r="AH42" s="17" t="str" cm="1">
        <f t="array" ref="AH42">IF(ROW()-12&lt;=IFERROR(ROWS(_xlfn.ANCHORARRAY($AI$13)),0),INDEX(_xlfn.ANCHORARRAY($AI$13),ROW()-12),"")</f>
        <v/>
      </c>
      <c r="AK42" t="str">
        <v>ford galaxie 500</v>
      </c>
      <c r="AL42" s="7">
        <v>14</v>
      </c>
      <c r="AM42" s="7">
        <v>14.084394636257118</v>
      </c>
      <c r="AN42" s="7">
        <v>-8.4394636257117739E-2</v>
      </c>
      <c r="AO42" s="7">
        <v>4.2572422246359702E-2</v>
      </c>
      <c r="AP42" s="7">
        <v>-2.8119699994228455E-2</v>
      </c>
      <c r="AQ42" s="7">
        <v>2.068211138446864E-6</v>
      </c>
      <c r="AR42" s="7">
        <v>-1.3692588778592949</v>
      </c>
      <c r="AS42" s="7">
        <v>-1.1670319415810084</v>
      </c>
      <c r="AT42" s="7">
        <v>0.16768929600373558</v>
      </c>
      <c r="AU42" s="7">
        <v>-8.8147279458074768E-2</v>
      </c>
    </row>
    <row r="43" spans="17:47" x14ac:dyDescent="0.25">
      <c r="Q43" s="14"/>
      <c r="R43" s="14"/>
      <c r="S43" s="14"/>
      <c r="T43" s="14"/>
      <c r="U43" s="14"/>
      <c r="V43" s="14"/>
      <c r="Y43" s="7"/>
      <c r="Z43" s="7"/>
      <c r="AA43" s="7"/>
      <c r="AB43" s="20"/>
      <c r="AC43" s="7"/>
      <c r="AD43" s="7"/>
      <c r="AE43" s="7"/>
      <c r="AH43" s="17" t="str" cm="1">
        <f t="array" ref="AH43">IF(ROW()-12&lt;=IFERROR(ROWS(_xlfn.ANCHORARRAY($AI$13)),0),INDEX(_xlfn.ANCHORARRAY($AI$13),ROW()-12),"")</f>
        <v/>
      </c>
      <c r="AK43" t="str">
        <v>plymouth fury iii</v>
      </c>
      <c r="AL43" s="7">
        <v>14</v>
      </c>
      <c r="AM43" s="7">
        <v>14.426775889794508</v>
      </c>
      <c r="AN43" s="7">
        <v>-0.42677588979450753</v>
      </c>
      <c r="AO43" s="7">
        <v>4.1929569462095875E-2</v>
      </c>
      <c r="AP43" s="7">
        <v>-0.14215101395795865</v>
      </c>
      <c r="AQ43" s="7">
        <v>5.202043372550185E-5</v>
      </c>
      <c r="AR43" s="7">
        <v>-1.3692588778592949</v>
      </c>
      <c r="AS43" s="7">
        <v>-1.1524014899843344</v>
      </c>
      <c r="AT43" s="7">
        <v>0.37702919510027155</v>
      </c>
      <c r="AU43" s="7">
        <v>-0.44545356603365394</v>
      </c>
    </row>
    <row r="44" spans="17:47" x14ac:dyDescent="0.25">
      <c r="Q44" s="14"/>
      <c r="R44" s="14"/>
      <c r="S44" s="14"/>
      <c r="T44" s="14"/>
      <c r="U44" s="14"/>
      <c r="V44" s="14"/>
      <c r="Y44" s="7"/>
      <c r="Z44" s="7"/>
      <c r="AA44" s="7"/>
      <c r="AB44" s="20"/>
      <c r="AC44" s="7"/>
      <c r="AD44" s="7"/>
      <c r="AE44" s="7"/>
      <c r="AH44" s="17" t="str" cm="1">
        <f t="array" ref="AH44">IF(ROW()-12&lt;=IFERROR(ROWS(_xlfn.ANCHORARRAY($AI$13)),0),INDEX(_xlfn.ANCHORARRAY($AI$13),ROW()-12),"")</f>
        <v/>
      </c>
      <c r="AK44" t="str">
        <v>dodge monaco (sw)</v>
      </c>
      <c r="AL44" s="7">
        <v>12</v>
      </c>
      <c r="AM44" s="7">
        <v>9.59029997180299</v>
      </c>
      <c r="AN44" s="7">
        <v>2.40970002819701</v>
      </c>
      <c r="AO44" s="7">
        <v>5.4827297260499751E-2</v>
      </c>
      <c r="AP44" s="7">
        <v>0.80808342930666788</v>
      </c>
      <c r="AQ44" s="7">
        <v>2.2281742354487185E-3</v>
      </c>
      <c r="AR44" s="7">
        <v>-1.3692588778592949</v>
      </c>
      <c r="AS44" s="7">
        <v>-1.1408976899843084</v>
      </c>
      <c r="AT44" s="7">
        <v>0.8989346079146513</v>
      </c>
      <c r="AU44" s="7">
        <v>2.5494811913343516</v>
      </c>
    </row>
    <row r="45" spans="17:47" x14ac:dyDescent="0.25">
      <c r="Q45" s="14"/>
      <c r="R45" s="14"/>
      <c r="S45" s="14"/>
      <c r="T45" s="14"/>
      <c r="U45" s="14"/>
      <c r="V45" s="14"/>
      <c r="Y45" s="7"/>
      <c r="Z45" s="7"/>
      <c r="AA45" s="7"/>
      <c r="AB45" s="20"/>
      <c r="AC45" s="7"/>
      <c r="AD45" s="7"/>
      <c r="AE45" s="7"/>
      <c r="AH45" s="17" t="str" cm="1">
        <f t="array" ref="AH45">IF(ROW()-12&lt;=IFERROR(ROWS(_xlfn.ANCHORARRAY($AI$13)),0),INDEX(_xlfn.ANCHORARRAY($AI$13),ROW()-12),"")</f>
        <v/>
      </c>
      <c r="AK45" t="str">
        <v>ford country squire (sw)</v>
      </c>
      <c r="AL45" s="7">
        <v>13</v>
      </c>
      <c r="AM45" s="7">
        <v>10.810896000897804</v>
      </c>
      <c r="AN45" s="7">
        <v>2.1891039991021959</v>
      </c>
      <c r="AO45" s="7">
        <v>5.0818250261889589E-2</v>
      </c>
      <c r="AP45" s="7">
        <v>0.73255545774192032</v>
      </c>
      <c r="AQ45" s="7">
        <v>1.690061169542176E-3</v>
      </c>
      <c r="AR45" s="7">
        <v>-1.3692588778592949</v>
      </c>
      <c r="AS45" s="7">
        <v>-1.1267405125615253</v>
      </c>
      <c r="AT45" s="7">
        <v>0.85589453657674452</v>
      </c>
      <c r="AU45" s="7">
        <v>2.3063064578582484</v>
      </c>
    </row>
    <row r="46" spans="17:47" x14ac:dyDescent="0.25">
      <c r="Q46" s="14"/>
      <c r="R46" s="14"/>
      <c r="S46" s="14"/>
      <c r="T46" s="14"/>
      <c r="U46" s="14"/>
      <c r="V46" s="14"/>
      <c r="Y46" s="7"/>
      <c r="Z46" s="7"/>
      <c r="AA46" s="7"/>
      <c r="AB46" s="20"/>
      <c r="AC46" s="7"/>
      <c r="AD46" s="7"/>
      <c r="AE46" s="7"/>
      <c r="AH46" s="17" t="str" cm="1">
        <f t="array" ref="AH46">IF(ROW()-12&lt;=IFERROR(ROWS(_xlfn.ANCHORARRAY($AI$13)),0),INDEX(_xlfn.ANCHORARRAY($AI$13),ROW()-12),"")</f>
        <v/>
      </c>
      <c r="AK46" t="str">
        <v>pontiac safari (sw)</v>
      </c>
      <c r="AL46" s="7">
        <v>13</v>
      </c>
      <c r="AM46" s="7">
        <v>8.7347698527740985</v>
      </c>
      <c r="AN46" s="7">
        <v>4.2652301472259015</v>
      </c>
      <c r="AO46" s="7">
        <v>6.0087439699154734E-2</v>
      </c>
      <c r="AP46" s="7">
        <v>1.4343249307838957</v>
      </c>
      <c r="AQ46" s="7">
        <v>7.73646239834575E-3</v>
      </c>
      <c r="AR46" s="7">
        <v>-1.3692588778592949</v>
      </c>
      <c r="AS46" s="7">
        <v>-1.1208436092324701</v>
      </c>
      <c r="AT46" s="7">
        <v>1.1976330534783581</v>
      </c>
      <c r="AU46" s="7">
        <v>4.5379009999192856</v>
      </c>
    </row>
    <row r="47" spans="17:47" x14ac:dyDescent="0.25">
      <c r="Q47" s="14"/>
      <c r="R47" s="14"/>
      <c r="S47" s="14"/>
      <c r="T47" s="14"/>
      <c r="U47" s="14"/>
      <c r="V47" s="14"/>
      <c r="Y47" s="7"/>
      <c r="Z47" s="7"/>
      <c r="AA47" s="7"/>
      <c r="AB47" s="20"/>
      <c r="AC47" s="7"/>
      <c r="AD47" s="7"/>
      <c r="AE47" s="7"/>
      <c r="AH47" s="17" t="str" cm="1">
        <f t="array" ref="AH47">IF(ROW()-12&lt;=IFERROR(ROWS(_xlfn.ANCHORARRAY($AI$13)),0),INDEX(_xlfn.ANCHORARRAY($AI$13),ROW()-12),"")</f>
        <v/>
      </c>
      <c r="AK47" t="str">
        <v>amc hornet sportabout (sw)</v>
      </c>
      <c r="AL47" s="7">
        <v>18</v>
      </c>
      <c r="AM47" s="7">
        <v>20.818026271478541</v>
      </c>
      <c r="AN47" s="7">
        <v>-2.8180262714785407</v>
      </c>
      <c r="AO47" s="7">
        <v>3.9345147076828305E-2</v>
      </c>
      <c r="AP47" s="7">
        <v>-0.93736805879047125</v>
      </c>
      <c r="AQ47" s="7">
        <v>2.1168747955341658E-3</v>
      </c>
      <c r="AR47" s="7">
        <v>-1.3692588778592949</v>
      </c>
      <c r="AS47" s="7">
        <v>-1.1079659887017943</v>
      </c>
      <c r="AT47" s="7">
        <v>0.96817770000680725</v>
      </c>
      <c r="AU47" s="7">
        <v>-2.9334430184822189</v>
      </c>
    </row>
    <row r="48" spans="17:47" x14ac:dyDescent="0.25">
      <c r="Q48" s="14"/>
      <c r="R48" s="14"/>
      <c r="S48" s="14"/>
      <c r="T48" s="14"/>
      <c r="U48" s="14"/>
      <c r="V48" s="14"/>
      <c r="Y48" s="7"/>
      <c r="Z48" s="7"/>
      <c r="AA48" s="7"/>
      <c r="AB48" s="20"/>
      <c r="AC48" s="7"/>
      <c r="AD48" s="7"/>
      <c r="AE48" s="7"/>
      <c r="AH48" s="17" t="str" cm="1">
        <f t="array" ref="AH48">IF(ROW()-12&lt;=IFERROR(ROWS(_xlfn.ANCHORARRAY($AI$13)),0),INDEX(_xlfn.ANCHORARRAY($AI$13),ROW()-12),"")</f>
        <v/>
      </c>
      <c r="AK48" t="str">
        <v>chevrolet vega (sw)</v>
      </c>
      <c r="AL48" s="7">
        <v>22</v>
      </c>
      <c r="AM48" s="7">
        <v>24.24008421248778</v>
      </c>
      <c r="AN48" s="7">
        <v>-2.2400842124877798</v>
      </c>
      <c r="AO48" s="7">
        <v>4.4387571078158938E-2</v>
      </c>
      <c r="AP48" s="7">
        <v>-0.7470888487317634</v>
      </c>
      <c r="AQ48" s="7">
        <v>1.5250187306289848E-3</v>
      </c>
      <c r="AR48" s="7">
        <v>-1.3692588778592949</v>
      </c>
      <c r="AS48" s="7">
        <v>-1.0776013794312607</v>
      </c>
      <c r="AT48" s="7">
        <v>0.86434301566667582</v>
      </c>
      <c r="AU48" s="7">
        <v>-2.3441346561546186</v>
      </c>
    </row>
    <row r="49" spans="17:47" x14ac:dyDescent="0.25">
      <c r="Q49" s="14"/>
      <c r="R49" s="14"/>
      <c r="S49" s="14"/>
      <c r="T49" s="14"/>
      <c r="U49" s="14"/>
      <c r="V49" s="14"/>
      <c r="Y49" s="7"/>
      <c r="Z49" s="7"/>
      <c r="AA49" s="7"/>
      <c r="AB49" s="20"/>
      <c r="AC49" s="7"/>
      <c r="AD49" s="7"/>
      <c r="AE49" s="7"/>
      <c r="AH49" s="17" t="str" cm="1">
        <f t="array" ref="AH49">IF(ROW()-12&lt;=IFERROR(ROWS(_xlfn.ANCHORARRAY($AI$13)),0),INDEX(_xlfn.ANCHORARRAY($AI$13),ROW()-12),"")</f>
        <v/>
      </c>
      <c r="AK49" t="str">
        <v>pontiac firebird</v>
      </c>
      <c r="AL49" s="7">
        <v>19</v>
      </c>
      <c r="AM49" s="7">
        <v>19.360131514176597</v>
      </c>
      <c r="AN49" s="7">
        <v>-0.36013151417659728</v>
      </c>
      <c r="AO49" s="7">
        <v>4.0391072118825311E-2</v>
      </c>
      <c r="AP49" s="7">
        <v>-0.11985683096865939</v>
      </c>
      <c r="AQ49" s="7">
        <v>3.5568681059558829E-5</v>
      </c>
      <c r="AR49" s="7">
        <v>-1.3692588778592949</v>
      </c>
      <c r="AS49" s="7">
        <v>-1.0767196379396311</v>
      </c>
      <c r="AT49" s="7">
        <v>0.34620345314375389</v>
      </c>
      <c r="AU49" s="7">
        <v>-0.37528987456564306</v>
      </c>
    </row>
    <row r="50" spans="17:47" x14ac:dyDescent="0.25">
      <c r="Q50" s="14"/>
      <c r="R50" s="14"/>
      <c r="S50" s="14"/>
      <c r="T50" s="14"/>
      <c r="U50" s="14"/>
      <c r="V50" s="14"/>
      <c r="Y50" s="7"/>
      <c r="Z50" s="7"/>
      <c r="AA50" s="7"/>
      <c r="AB50" s="20"/>
      <c r="AC50" s="7"/>
      <c r="AD50" s="7"/>
      <c r="AE50" s="7"/>
      <c r="AH50" s="17" t="str" cm="1">
        <f t="array" ref="AH50">IF(ROW()-12&lt;=IFERROR(ROWS(_xlfn.ANCHORARRAY($AI$13)),0),INDEX(_xlfn.ANCHORARRAY($AI$13),ROW()-12),"")</f>
        <v/>
      </c>
      <c r="AK50" t="str">
        <v>ford mustang</v>
      </c>
      <c r="AL50" s="7">
        <v>18</v>
      </c>
      <c r="AM50" s="7">
        <v>20.279021972580786</v>
      </c>
      <c r="AN50" s="7">
        <v>-2.2790219725807859</v>
      </c>
      <c r="AO50" s="7">
        <v>4.2955679782943339E-2</v>
      </c>
      <c r="AP50" s="7">
        <v>-0.75950614299184971</v>
      </c>
      <c r="AQ50" s="7">
        <v>1.5230080763382339E-3</v>
      </c>
      <c r="AR50" s="7">
        <v>-1.3692588778592949</v>
      </c>
      <c r="AS50" s="7">
        <v>-1.063961351992486</v>
      </c>
      <c r="AT50" s="7">
        <v>0.87149649625907832</v>
      </c>
      <c r="AU50" s="7">
        <v>-2.3813128863916209</v>
      </c>
    </row>
    <row r="51" spans="17:47" x14ac:dyDescent="0.25">
      <c r="Q51" s="14"/>
      <c r="R51" s="14"/>
      <c r="S51" s="14"/>
      <c r="T51" s="14"/>
      <c r="U51" s="14"/>
      <c r="V51" s="14"/>
      <c r="Y51" s="7"/>
      <c r="Z51" s="7"/>
      <c r="AA51" s="7"/>
      <c r="AB51" s="20"/>
      <c r="AC51" s="7"/>
      <c r="AD51" s="7"/>
      <c r="AE51" s="7"/>
      <c r="AH51" s="17" t="str" cm="1">
        <f t="array" ref="AH51">IF(ROW()-12&lt;=IFERROR(ROWS(_xlfn.ANCHORARRAY($AI$13)),0),INDEX(_xlfn.ANCHORARRAY($AI$13),ROW()-12),"")</f>
        <v/>
      </c>
      <c r="AK51" t="str">
        <v>mercury capri 2000</v>
      </c>
      <c r="AL51" s="7">
        <v>23</v>
      </c>
      <c r="AM51" s="7">
        <v>24.964676372780154</v>
      </c>
      <c r="AN51" s="7">
        <v>-1.9646763727801542</v>
      </c>
      <c r="AO51" s="7">
        <v>4.6967075740257949E-2</v>
      </c>
      <c r="AP51" s="7">
        <v>-0.6561239243010768</v>
      </c>
      <c r="AQ51" s="7">
        <v>1.2479823486709766E-3</v>
      </c>
      <c r="AR51" s="7">
        <v>-1.3692588778592949</v>
      </c>
      <c r="AS51" s="7">
        <v>-1.0306011185079671</v>
      </c>
      <c r="AT51" s="7">
        <v>0.81001476795245952</v>
      </c>
      <c r="AU51" s="7">
        <v>-2.0614989501083554</v>
      </c>
    </row>
    <row r="52" spans="17:47" x14ac:dyDescent="0.25">
      <c r="Q52" s="14"/>
      <c r="R52" s="14"/>
      <c r="S52" s="14"/>
      <c r="T52" s="14"/>
      <c r="U52" s="14"/>
      <c r="V52" s="14"/>
      <c r="Y52" s="7"/>
      <c r="Z52" s="7"/>
      <c r="AA52" s="7"/>
      <c r="AB52" s="20"/>
      <c r="AC52" s="7"/>
      <c r="AD52" s="7"/>
      <c r="AE52" s="7"/>
      <c r="AH52" s="17" t="str" cm="1">
        <f t="array" ref="AH52">IF(ROW()-12&lt;=IFERROR(ROWS(_xlfn.ANCHORARRAY($AI$13)),0),INDEX(_xlfn.ANCHORARRAY($AI$13),ROW()-12),"")</f>
        <v/>
      </c>
      <c r="AK52" t="str">
        <v>opel 1900</v>
      </c>
      <c r="AL52" s="7">
        <v>28</v>
      </c>
      <c r="AM52" s="7">
        <v>27.328836446781445</v>
      </c>
      <c r="AN52" s="7">
        <v>0.67116355321855536</v>
      </c>
      <c r="AO52" s="7">
        <v>5.449171951299548E-2</v>
      </c>
      <c r="AP52" s="7">
        <v>0.22503211391071073</v>
      </c>
      <c r="AQ52" s="7">
        <v>1.716742877559677E-4</v>
      </c>
      <c r="AR52" s="7">
        <v>-1.3692588778592949</v>
      </c>
      <c r="AS52" s="7">
        <v>-1.0254466826344879</v>
      </c>
      <c r="AT52" s="7">
        <v>0.47437549885160674</v>
      </c>
      <c r="AU52" s="7">
        <v>0.70984418335591737</v>
      </c>
    </row>
    <row r="53" spans="17:47" x14ac:dyDescent="0.25">
      <c r="Q53" s="14"/>
      <c r="R53" s="14"/>
      <c r="S53" s="14"/>
      <c r="T53" s="14"/>
      <c r="U53" s="14"/>
      <c r="V53" s="14"/>
      <c r="Y53" s="7"/>
      <c r="Z53" s="7"/>
      <c r="AA53" s="7"/>
      <c r="AB53" s="20"/>
      <c r="AC53" s="7"/>
      <c r="AD53" s="7"/>
      <c r="AE53" s="7"/>
      <c r="AH53" s="17" t="str" cm="1">
        <f t="array" ref="AH53">IF(ROW()-12&lt;=IFERROR(ROWS(_xlfn.ANCHORARRAY($AI$13)),0),INDEX(_xlfn.ANCHORARRAY($AI$13),ROW()-12),"")</f>
        <v/>
      </c>
      <c r="AK53" t="str">
        <v>peugeot 304</v>
      </c>
      <c r="AL53" s="7">
        <v>30</v>
      </c>
      <c r="AM53" s="7">
        <v>27.901667256992983</v>
      </c>
      <c r="AN53" s="7">
        <v>2.0983327430070169</v>
      </c>
      <c r="AO53" s="7">
        <v>5.0904856771056904E-2</v>
      </c>
      <c r="AP53" s="7">
        <v>0.70221206283556703</v>
      </c>
      <c r="AQ53" s="7">
        <v>1.5557403605267876E-3</v>
      </c>
      <c r="AR53" s="7">
        <v>-1.3692588778592949</v>
      </c>
      <c r="AS53" s="7">
        <v>-1.0214074988536554</v>
      </c>
      <c r="AT53" s="7">
        <v>0.83798094419596858</v>
      </c>
      <c r="AU53" s="7">
        <v>2.2108771264682914</v>
      </c>
    </row>
    <row r="54" spans="17:47" x14ac:dyDescent="0.25">
      <c r="Q54" s="14"/>
      <c r="R54" s="14"/>
      <c r="S54" s="14"/>
      <c r="T54" s="14"/>
      <c r="U54" s="14"/>
      <c r="V54" s="14"/>
      <c r="Y54" s="7"/>
      <c r="Z54" s="7"/>
      <c r="AA54" s="7"/>
      <c r="AB54" s="20"/>
      <c r="AC54" s="7"/>
      <c r="AD54" s="7"/>
      <c r="AE54" s="7"/>
      <c r="AH54" s="17" t="str" cm="1">
        <f t="array" ref="AH54">IF(ROW()-12&lt;=IFERROR(ROWS(_xlfn.ANCHORARRAY($AI$13)),0),INDEX(_xlfn.ANCHORARRAY($AI$13),ROW()-12),"")</f>
        <v/>
      </c>
      <c r="AK54" t="str">
        <v>fiat 124b</v>
      </c>
      <c r="AL54" s="7">
        <v>30</v>
      </c>
      <c r="AM54" s="7">
        <v>27.849818451807792</v>
      </c>
      <c r="AN54" s="7">
        <v>2.150181548192208</v>
      </c>
      <c r="AO54" s="7">
        <v>5.1536941571397599E-2</v>
      </c>
      <c r="AP54" s="7">
        <v>0.71980311888979831</v>
      </c>
      <c r="AQ54" s="7">
        <v>1.6560625973104726E-3</v>
      </c>
      <c r="AR54" s="7">
        <v>-1.3692588778592949</v>
      </c>
      <c r="AS54" s="7">
        <v>-1.0101337973139433</v>
      </c>
      <c r="AT54" s="7">
        <v>0.84841211618516998</v>
      </c>
      <c r="AU54" s="7">
        <v>2.267016652978127</v>
      </c>
    </row>
    <row r="55" spans="17:47" x14ac:dyDescent="0.25">
      <c r="Q55" s="14"/>
      <c r="R55" s="14"/>
      <c r="S55" s="14"/>
      <c r="T55" s="14"/>
      <c r="U55" s="14"/>
      <c r="V55" s="14"/>
      <c r="Y55" s="7"/>
      <c r="Z55" s="7"/>
      <c r="AA55" s="7"/>
      <c r="AB55" s="20"/>
      <c r="AC55" s="7"/>
      <c r="AD55" s="7"/>
      <c r="AE55" s="7"/>
      <c r="AH55" s="17" t="str" cm="1">
        <f t="array" ref="AH55">IF(ROW()-12&lt;=IFERROR(ROWS(_xlfn.ANCHORARRAY($AI$13)),0),INDEX(_xlfn.ANCHORARRAY($AI$13),ROW()-12),"")</f>
        <v/>
      </c>
      <c r="AK55" t="str">
        <v>toyota corolla 1200</v>
      </c>
      <c r="AL55" s="7">
        <v>31</v>
      </c>
      <c r="AM55" s="7">
        <v>29.628882452860687</v>
      </c>
      <c r="AN55" s="7">
        <v>1.3711175471393133</v>
      </c>
      <c r="AO55" s="7">
        <v>5.1440861703403819E-2</v>
      </c>
      <c r="AP55" s="7">
        <v>0.4589773839745715</v>
      </c>
      <c r="AQ55" s="7">
        <v>6.7201268951933544E-4</v>
      </c>
      <c r="AR55" s="7">
        <v>-1.1080108204698569</v>
      </c>
      <c r="AS55" s="7">
        <v>-1.0076315540428575</v>
      </c>
      <c r="AT55" s="7">
        <v>0.67747869632525826</v>
      </c>
      <c r="AU55" s="7">
        <v>1.4454739739280138</v>
      </c>
    </row>
    <row r="56" spans="17:47" x14ac:dyDescent="0.25">
      <c r="Q56" s="14"/>
      <c r="R56" s="14"/>
      <c r="S56" s="14"/>
      <c r="T56" s="14"/>
      <c r="U56" s="14"/>
      <c r="V56" s="14"/>
      <c r="Y56" s="7"/>
      <c r="Z56" s="7"/>
      <c r="AA56" s="7"/>
      <c r="AB56" s="20"/>
      <c r="AC56" s="7"/>
      <c r="AD56" s="7"/>
      <c r="AE56" s="7"/>
      <c r="AH56" s="17" t="str" cm="1">
        <f t="array" ref="AH56">IF(ROW()-12&lt;=IFERROR(ROWS(_xlfn.ANCHORARRAY($AI$13)),0),INDEX(_xlfn.ANCHORARRAY($AI$13),ROW()-12),"")</f>
        <v/>
      </c>
      <c r="AK56" t="str">
        <v>datsun 1200</v>
      </c>
      <c r="AL56" s="7">
        <v>35</v>
      </c>
      <c r="AM56" s="7">
        <v>30.374066263465203</v>
      </c>
      <c r="AN56" s="7">
        <v>4.6259337365347974</v>
      </c>
      <c r="AO56" s="7">
        <v>5.3281992204502832E-2</v>
      </c>
      <c r="AP56" s="7">
        <v>1.5500221062846562</v>
      </c>
      <c r="AQ56" s="7">
        <v>7.9540200138242898E-3</v>
      </c>
      <c r="AR56" s="7">
        <v>-1.0962733150227</v>
      </c>
      <c r="AS56" s="7">
        <v>-1.0042751043337586</v>
      </c>
      <c r="AT56" s="7">
        <v>1.2449988378647814</v>
      </c>
      <c r="AU56" s="7">
        <v>4.8862847209451798</v>
      </c>
    </row>
    <row r="57" spans="17:47" x14ac:dyDescent="0.25">
      <c r="Q57" s="14"/>
      <c r="R57" s="14"/>
      <c r="S57" s="14"/>
      <c r="T57" s="14"/>
      <c r="U57" s="14"/>
      <c r="V57" s="14"/>
      <c r="Y57" s="7"/>
      <c r="Z57" s="7"/>
      <c r="AA57" s="7"/>
      <c r="AB57" s="20"/>
      <c r="AC57" s="7"/>
      <c r="AD57" s="7"/>
      <c r="AE57" s="7"/>
      <c r="AH57" s="17" t="str" cm="1">
        <f t="array" ref="AH57">IF(ROW()-12&lt;=IFERROR(ROWS(_xlfn.ANCHORARRAY($AI$13)),0),INDEX(_xlfn.ANCHORARRAY($AI$13),ROW()-12),"")</f>
        <v/>
      </c>
      <c r="AK57" t="str">
        <v>volkswagen model 111</v>
      </c>
      <c r="AL57" s="7">
        <v>27</v>
      </c>
      <c r="AM57" s="7">
        <v>29.279225884156418</v>
      </c>
      <c r="AN57" s="7">
        <v>-2.2792258841564177</v>
      </c>
      <c r="AO57" s="7">
        <v>5.2154473018058492E-2</v>
      </c>
      <c r="AP57" s="7">
        <v>-0.76325101320992539</v>
      </c>
      <c r="AQ57" s="7">
        <v>1.8855578190512289E-3</v>
      </c>
      <c r="AR57" s="7">
        <v>-1.0962733150227</v>
      </c>
      <c r="AS57" s="7">
        <v>-0.97713360215343181</v>
      </c>
      <c r="AT57" s="7">
        <v>0.87364238290614393</v>
      </c>
      <c r="AU57" s="7">
        <v>-2.4046385400095285</v>
      </c>
    </row>
    <row r="58" spans="17:47" x14ac:dyDescent="0.25">
      <c r="Q58" s="14"/>
      <c r="R58" s="14"/>
      <c r="S58" s="14"/>
      <c r="T58" s="14"/>
      <c r="U58" s="14"/>
      <c r="V58" s="14"/>
      <c r="Y58" s="7"/>
      <c r="Z58" s="7"/>
      <c r="AA58" s="7"/>
      <c r="AB58" s="20"/>
      <c r="AC58" s="7"/>
      <c r="AD58" s="7"/>
      <c r="AE58" s="7"/>
      <c r="AH58" s="17" t="str" cm="1">
        <f t="array" ref="AH58">IF(ROW()-12&lt;=IFERROR(ROWS(_xlfn.ANCHORARRAY($AI$13)),0),INDEX(_xlfn.ANCHORARRAY($AI$13),ROW()-12),"")</f>
        <v/>
      </c>
      <c r="AK58" t="str">
        <v>plymouth cricket</v>
      </c>
      <c r="AL58" s="7">
        <v>26</v>
      </c>
      <c r="AM58" s="7">
        <v>26.566236332042749</v>
      </c>
      <c r="AN58" s="7">
        <v>-0.56623633204274881</v>
      </c>
      <c r="AO58" s="7">
        <v>5.020012623225277E-2</v>
      </c>
      <c r="AP58" s="7">
        <v>-0.18942202796256102</v>
      </c>
      <c r="AQ58" s="7">
        <v>1.1155389639298854E-4</v>
      </c>
      <c r="AR58" s="7">
        <v>-1.0962733150227</v>
      </c>
      <c r="AS58" s="7">
        <v>-0.97305252208919601</v>
      </c>
      <c r="AT58" s="7">
        <v>0.43522641000123258</v>
      </c>
      <c r="AU58" s="7">
        <v>-0.59616383164650699</v>
      </c>
    </row>
    <row r="59" spans="17:47" x14ac:dyDescent="0.25">
      <c r="Q59" s="14"/>
      <c r="R59" s="14"/>
      <c r="S59" s="14"/>
      <c r="T59" s="14"/>
      <c r="U59" s="14"/>
      <c r="V59" s="14"/>
      <c r="Y59" s="7"/>
      <c r="Z59" s="7"/>
      <c r="AA59" s="7"/>
      <c r="AB59" s="20"/>
      <c r="AC59" s="7"/>
      <c r="AD59" s="7"/>
      <c r="AE59" s="7"/>
      <c r="AH59" s="17" t="str" cm="1">
        <f t="array" ref="AH59">IF(ROW()-12&lt;=IFERROR(ROWS(_xlfn.ANCHORARRAY($AI$13)),0),INDEX(_xlfn.ANCHORARRAY($AI$13),ROW()-12),"")</f>
        <v/>
      </c>
      <c r="AK59" t="str">
        <v>toyota corona hardtop</v>
      </c>
      <c r="AL59" s="7">
        <v>24</v>
      </c>
      <c r="AM59" s="7">
        <v>25.328456204078385</v>
      </c>
      <c r="AN59" s="7">
        <v>-1.3284562040783854</v>
      </c>
      <c r="AO59" s="7">
        <v>4.8126729869478052E-2</v>
      </c>
      <c r="AP59" s="7">
        <v>-0.44392180663234571</v>
      </c>
      <c r="AQ59" s="7">
        <v>5.8609937575260891E-4</v>
      </c>
      <c r="AR59" s="7">
        <v>-1.0962733150227</v>
      </c>
      <c r="AS59" s="7">
        <v>-0.95975295748031297</v>
      </c>
      <c r="AT59" s="7">
        <v>0.66627457300451265</v>
      </c>
      <c r="AU59" s="7">
        <v>-1.3956229739450778</v>
      </c>
    </row>
    <row r="60" spans="17:47" x14ac:dyDescent="0.25">
      <c r="Q60" s="14"/>
      <c r="R60" s="14"/>
      <c r="S60" s="14"/>
      <c r="T60" s="14"/>
      <c r="U60" s="14"/>
      <c r="V60" s="14"/>
      <c r="Y60" s="7"/>
      <c r="Z60" s="7"/>
      <c r="AA60" s="7"/>
      <c r="AB60" s="20"/>
      <c r="AC60" s="7"/>
      <c r="AD60" s="7"/>
      <c r="AE60" s="7"/>
      <c r="AH60" s="17" t="str" cm="1">
        <f t="array" ref="AH60">IF(ROW()-12&lt;=IFERROR(ROWS(_xlfn.ANCHORARRAY($AI$13)),0),INDEX(_xlfn.ANCHORARRAY($AI$13),ROW()-12),"")</f>
        <v/>
      </c>
      <c r="AK60" t="str">
        <v>dodge colt hardtop</v>
      </c>
      <c r="AL60" s="7">
        <v>25</v>
      </c>
      <c r="AM60" s="7">
        <v>24.28168413378026</v>
      </c>
      <c r="AN60" s="7">
        <v>0.71831586621973997</v>
      </c>
      <c r="AO60" s="7">
        <v>5.0955596766720637E-2</v>
      </c>
      <c r="AP60" s="7">
        <v>0.24039254577346186</v>
      </c>
      <c r="AQ60" s="7">
        <v>1.8251494497609731E-4</v>
      </c>
      <c r="AR60" s="7">
        <v>-1.0962733150227</v>
      </c>
      <c r="AS60" s="7">
        <v>-0.95733088971303293</v>
      </c>
      <c r="AT60" s="7">
        <v>0.49029842522025485</v>
      </c>
      <c r="AU60" s="7">
        <v>0.75688330680052995</v>
      </c>
    </row>
    <row r="61" spans="17:47" x14ac:dyDescent="0.25">
      <c r="Q61" s="14"/>
      <c r="R61" s="14"/>
      <c r="S61" s="14"/>
      <c r="T61" s="14"/>
      <c r="U61" s="14"/>
      <c r="V61" s="14"/>
      <c r="Y61" s="7"/>
      <c r="Z61" s="7"/>
      <c r="AA61" s="7"/>
      <c r="AB61" s="20"/>
      <c r="AC61" s="7"/>
      <c r="AD61" s="7"/>
      <c r="AE61" s="7"/>
      <c r="AH61" s="17" t="str" cm="1">
        <f t="array" ref="AH61">IF(ROW()-12&lt;=IFERROR(ROWS(_xlfn.ANCHORARRAY($AI$13)),0),INDEX(_xlfn.ANCHORARRAY($AI$13),ROW()-12),"")</f>
        <v/>
      </c>
      <c r="AK61" t="str">
        <v>volkswagen type 3</v>
      </c>
      <c r="AL61" s="7">
        <v>23</v>
      </c>
      <c r="AM61" s="7">
        <v>25.993692502986516</v>
      </c>
      <c r="AN61" s="7">
        <v>-2.9936925029865158</v>
      </c>
      <c r="AO61" s="7">
        <v>5.5489928772256683E-2</v>
      </c>
      <c r="AP61" s="7">
        <v>-1.0042751043337586</v>
      </c>
      <c r="AQ61" s="7">
        <v>3.4854916482902291E-3</v>
      </c>
      <c r="AR61" s="7">
        <v>-1.0962733150227</v>
      </c>
      <c r="AS61" s="7">
        <v>-0.94749992351059853</v>
      </c>
      <c r="AT61" s="7">
        <v>1.0021352724726131</v>
      </c>
      <c r="AU61" s="7">
        <v>-3.1695718173709837</v>
      </c>
    </row>
    <row r="62" spans="17:47" x14ac:dyDescent="0.25">
      <c r="Q62" s="14"/>
      <c r="R62" s="14"/>
      <c r="S62" s="14"/>
      <c r="T62" s="14"/>
      <c r="U62" s="14"/>
      <c r="V62" s="14"/>
      <c r="Y62" s="7"/>
      <c r="Z62" s="7"/>
      <c r="AA62" s="7"/>
      <c r="AB62" s="20"/>
      <c r="AC62" s="7"/>
      <c r="AD62" s="7"/>
      <c r="AE62" s="7"/>
      <c r="AH62" s="17" t="str" cm="1">
        <f t="array" ref="AH62">IF(ROW()-12&lt;=IFERROR(ROWS(_xlfn.ANCHORARRAY($AI$13)),0),INDEX(_xlfn.ANCHORARRAY($AI$13),ROW()-12),"")</f>
        <v/>
      </c>
      <c r="AK62" t="str">
        <v>chevrolet vega</v>
      </c>
      <c r="AL62" s="7">
        <v>20</v>
      </c>
      <c r="AM62" s="7">
        <v>22.691466502781928</v>
      </c>
      <c r="AN62" s="7">
        <v>-2.6914665027819282</v>
      </c>
      <c r="AO62" s="7">
        <v>4.6183029585202262E-2</v>
      </c>
      <c r="AP62" s="7">
        <v>-0.89847347465828342</v>
      </c>
      <c r="AQ62" s="7">
        <v>2.2992117628888534E-3</v>
      </c>
      <c r="AR62" s="7">
        <v>-1.0962733150227</v>
      </c>
      <c r="AS62" s="7">
        <v>-0.93736805879047125</v>
      </c>
      <c r="AT62" s="7">
        <v>0.94787840710625082</v>
      </c>
      <c r="AU62" s="7">
        <v>-2.8217850869349266</v>
      </c>
    </row>
    <row r="63" spans="17:47" x14ac:dyDescent="0.25">
      <c r="AK63" t="str">
        <v>ford pinto runabout</v>
      </c>
      <c r="AL63" s="7">
        <v>21</v>
      </c>
      <c r="AM63" s="7">
        <v>23.67793458054734</v>
      </c>
      <c r="AN63" s="7">
        <v>-2.6779345805473405</v>
      </c>
      <c r="AO63" s="7">
        <v>4.9361534973906149E-2</v>
      </c>
      <c r="AP63" s="7">
        <v>-0.89544945314468438</v>
      </c>
      <c r="AQ63" s="7">
        <v>2.449099914727788E-3</v>
      </c>
      <c r="AR63" s="7">
        <v>-1.0962733150227</v>
      </c>
      <c r="AS63" s="7">
        <v>-0.93176894037652425</v>
      </c>
      <c r="AT63" s="7">
        <v>0.9462819099743397</v>
      </c>
      <c r="AU63" s="7">
        <v>-2.8169852988999708</v>
      </c>
    </row>
    <row r="64" spans="17:47" x14ac:dyDescent="0.25">
      <c r="AK64" t="str">
        <v>chevrolet impala</v>
      </c>
      <c r="AL64" s="7">
        <v>13</v>
      </c>
      <c r="AM64" s="7">
        <v>12.025598364458501</v>
      </c>
      <c r="AN64" s="7">
        <v>0.97440163554149883</v>
      </c>
      <c r="AO64" s="7">
        <v>4.0564604334394565E-2</v>
      </c>
      <c r="AP64" s="7">
        <v>0.32432388942401175</v>
      </c>
      <c r="AQ64" s="7">
        <v>2.6160164199701868E-4</v>
      </c>
      <c r="AR64" s="7">
        <v>-1.0962733150227</v>
      </c>
      <c r="AS64" s="7">
        <v>-0.92704752263459855</v>
      </c>
      <c r="AT64" s="7">
        <v>0.56949441562144554</v>
      </c>
      <c r="AU64" s="7">
        <v>1.0155990074407362</v>
      </c>
    </row>
    <row r="65" spans="37:47" x14ac:dyDescent="0.25">
      <c r="AK65" t="str">
        <v>pontiac catalina</v>
      </c>
      <c r="AL65" s="7">
        <v>14</v>
      </c>
      <c r="AM65" s="7">
        <v>11.301206677645128</v>
      </c>
      <c r="AN65" s="7">
        <v>2.6987933223548719</v>
      </c>
      <c r="AO65" s="7">
        <v>4.2648578571305454E-2</v>
      </c>
      <c r="AP65" s="7">
        <v>0.89925474334882816</v>
      </c>
      <c r="AQ65" s="7">
        <v>2.1190915902930454E-3</v>
      </c>
      <c r="AR65" s="7">
        <v>-1.0962733150227</v>
      </c>
      <c r="AS65" s="7">
        <v>-0.91766871471414835</v>
      </c>
      <c r="AT65" s="7">
        <v>0.94829043196102536</v>
      </c>
      <c r="AU65" s="7">
        <v>2.8190205414092899</v>
      </c>
    </row>
    <row r="66" spans="37:47" x14ac:dyDescent="0.25">
      <c r="AK66" t="str">
        <v>plymouth fury iii</v>
      </c>
      <c r="AL66" s="7">
        <v>15</v>
      </c>
      <c r="AM66" s="7">
        <v>12.972944880262842</v>
      </c>
      <c r="AN66" s="7">
        <v>2.0270551197371578</v>
      </c>
      <c r="AO66" s="7">
        <v>3.9159162685000984E-2</v>
      </c>
      <c r="AP66" s="7">
        <v>0.6741998247581702</v>
      </c>
      <c r="AQ66" s="7">
        <v>1.0897083862935082E-3</v>
      </c>
      <c r="AR66" s="7">
        <v>-1.0962733150227</v>
      </c>
      <c r="AS66" s="7">
        <v>-0.90311709621559733</v>
      </c>
      <c r="AT66" s="7">
        <v>0.82109672070844986</v>
      </c>
      <c r="AU66" s="7">
        <v>2.1096679502107949</v>
      </c>
    </row>
    <row r="67" spans="37:47" x14ac:dyDescent="0.25">
      <c r="AK67" t="str">
        <v>ford galaxie 500</v>
      </c>
      <c r="AL67" s="7">
        <v>14</v>
      </c>
      <c r="AM67" s="7">
        <v>12.954615442092924</v>
      </c>
      <c r="AN67" s="7">
        <v>1.0453845579070755</v>
      </c>
      <c r="AO67" s="7">
        <v>3.9029459660414455E-2</v>
      </c>
      <c r="AP67" s="7">
        <v>0.34767210505293616</v>
      </c>
      <c r="AQ67" s="7">
        <v>2.8878407312035557E-4</v>
      </c>
      <c r="AR67" s="7">
        <v>-1.0962733150227</v>
      </c>
      <c r="AS67" s="7">
        <v>-0.89847347465828342</v>
      </c>
      <c r="AT67" s="7">
        <v>0.5896372656582487</v>
      </c>
      <c r="AU67" s="7">
        <v>1.087842461370002</v>
      </c>
    </row>
    <row r="68" spans="37:47" x14ac:dyDescent="0.25">
      <c r="AK68" t="str">
        <v>amc ambassador sst</v>
      </c>
      <c r="AL68" s="7">
        <v>17</v>
      </c>
      <c r="AM68" s="7">
        <v>15.317257232061893</v>
      </c>
      <c r="AN68" s="7">
        <v>1.6827427679381071</v>
      </c>
      <c r="AO68" s="7">
        <v>3.9309167670658687E-2</v>
      </c>
      <c r="AP68" s="7">
        <v>0.55972501051096402</v>
      </c>
      <c r="AQ68" s="7">
        <v>7.5406833956957449E-4</v>
      </c>
      <c r="AR68" s="7">
        <v>-1.0962733150227</v>
      </c>
      <c r="AS68" s="7">
        <v>-0.89544945314468438</v>
      </c>
      <c r="AT68" s="7">
        <v>0.74814771971246696</v>
      </c>
      <c r="AU68" s="7">
        <v>1.7515965712486721</v>
      </c>
    </row>
    <row r="69" spans="37:47" x14ac:dyDescent="0.25">
      <c r="AK69" t="str">
        <v>mercury marquis</v>
      </c>
      <c r="AL69" s="7">
        <v>11</v>
      </c>
      <c r="AM69" s="7">
        <v>9.5097036386293166</v>
      </c>
      <c r="AN69" s="7">
        <v>1.4902963613706834</v>
      </c>
      <c r="AO69" s="7">
        <v>5.6427203997578348E-2</v>
      </c>
      <c r="AP69" s="7">
        <v>0.50018854209738106</v>
      </c>
      <c r="AQ69" s="7">
        <v>8.8009930219651008E-4</v>
      </c>
      <c r="AR69" s="7">
        <v>-1.0962733150227</v>
      </c>
      <c r="AS69" s="7">
        <v>-0.88698134092906744</v>
      </c>
      <c r="AT69" s="7">
        <v>0.70724008801635463</v>
      </c>
      <c r="AU69" s="7">
        <v>1.5794185331375945</v>
      </c>
    </row>
    <row r="70" spans="37:47" x14ac:dyDescent="0.25">
      <c r="AK70" t="str">
        <v>buick lesabre custom</v>
      </c>
      <c r="AL70" s="7">
        <v>13</v>
      </c>
      <c r="AM70" s="7">
        <v>11.033528091747291</v>
      </c>
      <c r="AN70" s="7">
        <v>1.9664719082527089</v>
      </c>
      <c r="AO70" s="7">
        <v>4.3819711275624805E-2</v>
      </c>
      <c r="AP70" s="7">
        <v>0.6556418348632248</v>
      </c>
      <c r="AQ70" s="7">
        <v>1.1588150254695357E-3</v>
      </c>
      <c r="AR70" s="7">
        <v>-1.0962733150227</v>
      </c>
      <c r="AS70" s="7">
        <v>-0.87909939485507749</v>
      </c>
      <c r="AT70" s="7">
        <v>0.80971713262300726</v>
      </c>
      <c r="AU70" s="7">
        <v>2.0565911381379212</v>
      </c>
    </row>
    <row r="71" spans="37:47" x14ac:dyDescent="0.25">
      <c r="AK71" t="str">
        <v>oldsmobile delta 88 royale</v>
      </c>
      <c r="AL71" s="7">
        <v>12</v>
      </c>
      <c r="AM71" s="7">
        <v>11.185258174274955</v>
      </c>
      <c r="AN71" s="7">
        <v>0.81474182572504539</v>
      </c>
      <c r="AO71" s="7">
        <v>4.2181857106601744E-2</v>
      </c>
      <c r="AP71" s="7">
        <v>0.27141090048237276</v>
      </c>
      <c r="AQ71" s="7">
        <v>1.908307193923476E-4</v>
      </c>
      <c r="AR71" s="7">
        <v>-1.0962733150227</v>
      </c>
      <c r="AS71" s="7">
        <v>-0.87855079557956628</v>
      </c>
      <c r="AT71" s="7">
        <v>0.52097111290586229</v>
      </c>
      <c r="AU71" s="7">
        <v>0.8506226696268826</v>
      </c>
    </row>
    <row r="72" spans="37:47" x14ac:dyDescent="0.25">
      <c r="AK72" t="str">
        <v>chrysler newport royal</v>
      </c>
      <c r="AL72" s="7">
        <v>13</v>
      </c>
      <c r="AM72" s="7">
        <v>10.87031774258269</v>
      </c>
      <c r="AN72" s="7">
        <v>2.1296822574173095</v>
      </c>
      <c r="AO72" s="7">
        <v>4.8030921024309267E-2</v>
      </c>
      <c r="AP72" s="7">
        <v>0.71162663600436971</v>
      </c>
      <c r="AQ72" s="7">
        <v>1.5029811765241644E-3</v>
      </c>
      <c r="AR72" s="7">
        <v>-0.92571937406474636</v>
      </c>
      <c r="AS72" s="7">
        <v>-0.87508847543410839</v>
      </c>
      <c r="AT72" s="7">
        <v>0.84357965599246743</v>
      </c>
      <c r="AU72" s="7">
        <v>2.23713385702488</v>
      </c>
    </row>
    <row r="73" spans="37:47" x14ac:dyDescent="0.25">
      <c r="AK73" t="str">
        <v>mazda rx2 coupe</v>
      </c>
      <c r="AL73" s="7">
        <v>19</v>
      </c>
      <c r="AM73" s="7">
        <v>25.032691240185233</v>
      </c>
      <c r="AN73" s="7">
        <v>-6.0326912401852333</v>
      </c>
      <c r="AO73" s="7">
        <v>4.7965750122984194E-2</v>
      </c>
      <c r="AP73" s="7">
        <v>-2.0157358299478276</v>
      </c>
      <c r="AQ73" s="7">
        <v>1.2041954383458002E-2</v>
      </c>
      <c r="AR73" s="7">
        <v>-0.92571937406474636</v>
      </c>
      <c r="AS73" s="7">
        <v>-0.86006936817939506</v>
      </c>
      <c r="AT73" s="7">
        <v>1.419766118044739</v>
      </c>
      <c r="AU73" s="7">
        <v>-6.3366325748937484</v>
      </c>
    </row>
    <row r="74" spans="37:47" x14ac:dyDescent="0.25">
      <c r="AK74" t="str">
        <v>amc matador (sw)</v>
      </c>
      <c r="AL74" s="7">
        <v>15</v>
      </c>
      <c r="AM74" s="7">
        <v>14.203329116736212</v>
      </c>
      <c r="AN74" s="7">
        <v>0.7966708832637881</v>
      </c>
      <c r="AO74" s="7">
        <v>3.8154178376464482E-2</v>
      </c>
      <c r="AP74" s="7">
        <v>0.26483477874394606</v>
      </c>
      <c r="AQ74" s="7">
        <v>1.636581945931976E-4</v>
      </c>
      <c r="AR74" s="7">
        <v>-0.92571937406474636</v>
      </c>
      <c r="AS74" s="7">
        <v>-0.85847137129503925</v>
      </c>
      <c r="AT74" s="7">
        <v>0.51462100495796526</v>
      </c>
      <c r="AU74" s="7">
        <v>0.82827295742581442</v>
      </c>
    </row>
    <row r="75" spans="37:47" x14ac:dyDescent="0.25">
      <c r="AK75" t="str">
        <v>chevrolet chevelle concours (sw)</v>
      </c>
      <c r="AL75" s="7">
        <v>13</v>
      </c>
      <c r="AM75" s="7">
        <v>13.485015975092987</v>
      </c>
      <c r="AN75" s="7">
        <v>-0.48501597509298655</v>
      </c>
      <c r="AO75" s="7">
        <v>4.3315666055295014E-2</v>
      </c>
      <c r="AP75" s="7">
        <v>-0.16166667853581243</v>
      </c>
      <c r="AQ75" s="7">
        <v>6.9609488850080388E-5</v>
      </c>
      <c r="AR75" s="7">
        <v>-0.92571937406474636</v>
      </c>
      <c r="AS75" s="7">
        <v>-0.84358082508022647</v>
      </c>
      <c r="AT75" s="7">
        <v>0.40207795082025133</v>
      </c>
      <c r="AU75" s="7">
        <v>-0.50697597722031873</v>
      </c>
    </row>
    <row r="76" spans="37:47" x14ac:dyDescent="0.25">
      <c r="AK76" t="str">
        <v>ford gran torino (sw)</v>
      </c>
      <c r="AL76" s="7">
        <v>13</v>
      </c>
      <c r="AM76" s="7">
        <v>12.330242970994691</v>
      </c>
      <c r="AN76" s="7">
        <v>0.66975702900530898</v>
      </c>
      <c r="AO76" s="7">
        <v>4.3819711639490888E-2</v>
      </c>
      <c r="AP76" s="7">
        <v>0.22330383955665631</v>
      </c>
      <c r="AQ76" s="7">
        <v>1.3442287771775591E-4</v>
      </c>
      <c r="AR76" s="7">
        <v>-0.92571937406474636</v>
      </c>
      <c r="AS76" s="7">
        <v>-0.82893417664067559</v>
      </c>
      <c r="AT76" s="7">
        <v>0.47255035663583655</v>
      </c>
      <c r="AU76" s="7">
        <v>0.7004505710462734</v>
      </c>
    </row>
    <row r="77" spans="37:47" x14ac:dyDescent="0.25">
      <c r="AK77" t="str">
        <v>plymouth satellite custom (sw)</v>
      </c>
      <c r="AL77" s="7">
        <v>14</v>
      </c>
      <c r="AM77" s="7">
        <v>13.266616837939614</v>
      </c>
      <c r="AN77" s="7">
        <v>0.73338316206038634</v>
      </c>
      <c r="AO77" s="7">
        <v>3.8701777045903135E-2</v>
      </c>
      <c r="AP77" s="7">
        <v>0.24386567077228774</v>
      </c>
      <c r="AQ77" s="7">
        <v>1.4083972970042362E-4</v>
      </c>
      <c r="AR77" s="7">
        <v>-0.87770829679608253</v>
      </c>
      <c r="AS77" s="7">
        <v>-0.82687344310871891</v>
      </c>
      <c r="AT77" s="7">
        <v>0.49382757190368354</v>
      </c>
      <c r="AU77" s="7">
        <v>0.76290909995306033</v>
      </c>
    </row>
    <row r="78" spans="37:47" x14ac:dyDescent="0.25">
      <c r="AK78" t="str">
        <v>volvo 145e (sw)</v>
      </c>
      <c r="AL78" s="7">
        <v>18</v>
      </c>
      <c r="AM78" s="7">
        <v>21.613992221016861</v>
      </c>
      <c r="AN78" s="7">
        <v>-3.6139922210168614</v>
      </c>
      <c r="AO78" s="7">
        <v>4.8872568958417628E-2</v>
      </c>
      <c r="AP78" s="7">
        <v>-1.2081383307454165</v>
      </c>
      <c r="AQ78" s="7">
        <v>4.411749716502409E-3</v>
      </c>
      <c r="AR78" s="7">
        <v>-0.87770829679608253</v>
      </c>
      <c r="AS78" s="7">
        <v>-0.82281965858508455</v>
      </c>
      <c r="AT78" s="7">
        <v>1.0991534609623064</v>
      </c>
      <c r="AU78" s="7">
        <v>-3.7996929781103761</v>
      </c>
    </row>
    <row r="79" spans="37:47" x14ac:dyDescent="0.25">
      <c r="AK79" t="str">
        <v>volkswagen 411 (sw)</v>
      </c>
      <c r="AL79" s="7">
        <v>22</v>
      </c>
      <c r="AM79" s="7">
        <v>24.335220428923609</v>
      </c>
      <c r="AN79" s="7">
        <v>-2.3352204289236091</v>
      </c>
      <c r="AO79" s="7">
        <v>4.9964816969672178E-2</v>
      </c>
      <c r="AP79" s="7">
        <v>-0.78110036437009633</v>
      </c>
      <c r="AQ79" s="7">
        <v>1.8875104784440947E-3</v>
      </c>
      <c r="AR79" s="7">
        <v>-0.87770829679608253</v>
      </c>
      <c r="AS79" s="7">
        <v>-0.81252205315323123</v>
      </c>
      <c r="AT79" s="7">
        <v>0.88379882573473489</v>
      </c>
      <c r="AU79" s="7">
        <v>-2.4580357345029635</v>
      </c>
    </row>
    <row r="80" spans="37:47" x14ac:dyDescent="0.25">
      <c r="AK80" t="str">
        <v>peugeot 504 (sw)</v>
      </c>
      <c r="AL80" s="7">
        <v>21</v>
      </c>
      <c r="AM80" s="7">
        <v>21.786990777560018</v>
      </c>
      <c r="AN80" s="7">
        <v>-0.78699077756001756</v>
      </c>
      <c r="AO80" s="7">
        <v>5.2861452611514759E-2</v>
      </c>
      <c r="AP80" s="7">
        <v>-0.26364023528520003</v>
      </c>
      <c r="AQ80" s="7">
        <v>2.281918034516187E-4</v>
      </c>
      <c r="AR80" s="7">
        <v>-0.87770829679608253</v>
      </c>
      <c r="AS80" s="7">
        <v>-0.80833512211099123</v>
      </c>
      <c r="AT80" s="7">
        <v>0.51345908822923758</v>
      </c>
      <c r="AU80" s="7">
        <v>-0.83091410409803512</v>
      </c>
    </row>
    <row r="81" spans="37:47" x14ac:dyDescent="0.25">
      <c r="AK81" t="str">
        <v>renault 12 (sw)</v>
      </c>
      <c r="AL81" s="7">
        <v>26</v>
      </c>
      <c r="AM81" s="7">
        <v>26.079261148665989</v>
      </c>
      <c r="AN81" s="7">
        <v>-7.9261148665988657E-2</v>
      </c>
      <c r="AO81" s="7">
        <v>5.0003897923478334E-2</v>
      </c>
      <c r="AP81" s="7">
        <v>-2.6512351797491639E-2</v>
      </c>
      <c r="AQ81" s="7">
        <v>2.1763544257760776E-6</v>
      </c>
      <c r="AR81" s="7">
        <v>-0.87770829679608253</v>
      </c>
      <c r="AS81" s="7">
        <v>-0.79604972147693909</v>
      </c>
      <c r="AT81" s="7">
        <v>0.16282613978563651</v>
      </c>
      <c r="AU81" s="7">
        <v>-8.3433130402048972E-2</v>
      </c>
    </row>
    <row r="82" spans="37:47" x14ac:dyDescent="0.25">
      <c r="AK82" t="str">
        <v>ford pinto (sw)</v>
      </c>
      <c r="AL82" s="7">
        <v>22</v>
      </c>
      <c r="AM82" s="7">
        <v>22.822235255592609</v>
      </c>
      <c r="AN82" s="7">
        <v>-0.82223525559260935</v>
      </c>
      <c r="AO82" s="7">
        <v>4.6305603284802689E-2</v>
      </c>
      <c r="AP82" s="7">
        <v>-0.27449869399565818</v>
      </c>
      <c r="AQ82" s="7">
        <v>2.1520678488999554E-4</v>
      </c>
      <c r="AR82" s="7">
        <v>-0.87770829679608253</v>
      </c>
      <c r="AS82" s="7">
        <v>-0.78933938116930435</v>
      </c>
      <c r="AT82" s="7">
        <v>0.52392622953585577</v>
      </c>
      <c r="AU82" s="7">
        <v>-0.86215800200213855</v>
      </c>
    </row>
    <row r="83" spans="37:47" x14ac:dyDescent="0.25">
      <c r="AK83" t="str">
        <v>datsun 510 (sw)</v>
      </c>
      <c r="AL83" s="7">
        <v>28</v>
      </c>
      <c r="AM83" s="7">
        <v>25.326532403787837</v>
      </c>
      <c r="AN83" s="7">
        <v>2.6734675962121628</v>
      </c>
      <c r="AO83" s="7">
        <v>4.7941782778914838E-2</v>
      </c>
      <c r="AP83" s="7">
        <v>0.89328897781380623</v>
      </c>
      <c r="AQ83" s="7">
        <v>2.3636637964117831E-3</v>
      </c>
      <c r="AR83" s="7">
        <v>-0.87770829679608253</v>
      </c>
      <c r="AS83" s="7">
        <v>-0.78110036437009633</v>
      </c>
      <c r="AT83" s="7">
        <v>0.94513966048082343</v>
      </c>
      <c r="AU83" s="7">
        <v>2.8080925597340181</v>
      </c>
    </row>
    <row r="84" spans="37:47" x14ac:dyDescent="0.25">
      <c r="AK84" t="str">
        <v>toyouta corona mark ii (sw)</v>
      </c>
      <c r="AL84" s="7">
        <v>23</v>
      </c>
      <c r="AM84" s="7">
        <v>24.141548747924688</v>
      </c>
      <c r="AN84" s="7">
        <v>-1.1415487479246877</v>
      </c>
      <c r="AO84" s="7">
        <v>4.7582585184613557E-2</v>
      </c>
      <c r="AP84" s="7">
        <v>-0.38135513775663676</v>
      </c>
      <c r="AQ84" s="7">
        <v>4.2739652627327547E-4</v>
      </c>
      <c r="AR84" s="7">
        <v>-0.87770829679608253</v>
      </c>
      <c r="AS84" s="7">
        <v>-0.77256397256164244</v>
      </c>
      <c r="AT84" s="7">
        <v>0.6175395839593093</v>
      </c>
      <c r="AU84" s="7">
        <v>-1.1985802970076538</v>
      </c>
    </row>
    <row r="85" spans="37:47" x14ac:dyDescent="0.25">
      <c r="AK85" t="str">
        <v>dodge colt (sw)</v>
      </c>
      <c r="AL85" s="7">
        <v>28</v>
      </c>
      <c r="AM85" s="7">
        <v>24.089278368405822</v>
      </c>
      <c r="AN85" s="7">
        <v>3.9107216315941784</v>
      </c>
      <c r="AO85" s="7">
        <v>5.0180308887671457E-2</v>
      </c>
      <c r="AP85" s="7">
        <v>1.3082330687569519</v>
      </c>
      <c r="AQ85" s="7">
        <v>5.3187978632043761E-3</v>
      </c>
      <c r="AR85" s="7">
        <v>-0.87770829679608253</v>
      </c>
      <c r="AS85" s="7">
        <v>-0.76844520954536322</v>
      </c>
      <c r="AT85" s="7">
        <v>1.1437801662718898</v>
      </c>
      <c r="AU85" s="7">
        <v>4.1173305504062085</v>
      </c>
    </row>
    <row r="86" spans="37:47" x14ac:dyDescent="0.25">
      <c r="AK86" t="str">
        <v>toyota corolla 1600 (sw)</v>
      </c>
      <c r="AL86" s="7">
        <v>27</v>
      </c>
      <c r="AM86" s="7">
        <v>26.343380339243954</v>
      </c>
      <c r="AN86" s="7">
        <v>0.65661966075604639</v>
      </c>
      <c r="AO86" s="7">
        <v>4.8924810565100035E-2</v>
      </c>
      <c r="AP86" s="7">
        <v>0.21951048018534813</v>
      </c>
      <c r="AQ86" s="7">
        <v>1.4580616877093826E-4</v>
      </c>
      <c r="AR86" s="7">
        <v>-0.87770829679608253</v>
      </c>
      <c r="AS86" s="7">
        <v>-0.76325101320992539</v>
      </c>
      <c r="AT86" s="7">
        <v>0.4685194555035555</v>
      </c>
      <c r="AU86" s="7">
        <v>0.69039721364847073</v>
      </c>
    </row>
    <row r="87" spans="37:47" x14ac:dyDescent="0.25">
      <c r="AK87" t="str">
        <v>buick century 350</v>
      </c>
      <c r="AL87" s="7">
        <v>13</v>
      </c>
      <c r="AM87" s="7">
        <v>12.383947606403465</v>
      </c>
      <c r="AN87" s="7">
        <v>0.61605239359653474</v>
      </c>
      <c r="AO87" s="7">
        <v>3.0545392578793702E-2</v>
      </c>
      <c r="AP87" s="7">
        <v>0.2039871045077741</v>
      </c>
      <c r="AQ87" s="7">
        <v>7.7121370315233985E-5</v>
      </c>
      <c r="AR87" s="7">
        <v>-0.87770829679608253</v>
      </c>
      <c r="AS87" s="7">
        <v>-0.75950614299184971</v>
      </c>
      <c r="AT87" s="7">
        <v>0.45164931585000118</v>
      </c>
      <c r="AU87" s="7">
        <v>0.63546285600236851</v>
      </c>
    </row>
    <row r="88" spans="37:47" x14ac:dyDescent="0.25">
      <c r="AK88" t="str">
        <v>amc matador</v>
      </c>
      <c r="AL88" s="7">
        <v>14</v>
      </c>
      <c r="AM88" s="7">
        <v>14.956954920511956</v>
      </c>
      <c r="AN88" s="7">
        <v>-0.95695492051195608</v>
      </c>
      <c r="AO88" s="7">
        <v>2.7011897802173286E-2</v>
      </c>
      <c r="AP88" s="7">
        <v>-0.31629077006853967</v>
      </c>
      <c r="AQ88" s="7">
        <v>1.6336976489835422E-4</v>
      </c>
      <c r="AR88" s="7">
        <v>-0.87770829679608253</v>
      </c>
      <c r="AS88" s="7">
        <v>-0.75751706682775866</v>
      </c>
      <c r="AT88" s="7">
        <v>0.56239734180429735</v>
      </c>
      <c r="AU88" s="7">
        <v>-0.98352170838507258</v>
      </c>
    </row>
    <row r="89" spans="37:47" x14ac:dyDescent="0.25">
      <c r="AK89" t="str">
        <v>chevrolet malibu</v>
      </c>
      <c r="AL89" s="7">
        <v>13</v>
      </c>
      <c r="AM89" s="7">
        <v>13.438131241902772</v>
      </c>
      <c r="AN89" s="7">
        <v>-0.43813124190277186</v>
      </c>
      <c r="AO89" s="7">
        <v>2.6908924211681864E-2</v>
      </c>
      <c r="AP89" s="7">
        <v>-0.14480257381873282</v>
      </c>
      <c r="AQ89" s="7">
        <v>3.4107232934282117E-5</v>
      </c>
      <c r="AR89" s="7">
        <v>-0.87770829679608253</v>
      </c>
      <c r="AS89" s="7">
        <v>-0.75457189916222867</v>
      </c>
      <c r="AT89" s="7">
        <v>0.38052933371651237</v>
      </c>
      <c r="AU89" s="7">
        <v>-0.45024690165597714</v>
      </c>
    </row>
    <row r="90" spans="37:47" x14ac:dyDescent="0.25">
      <c r="AK90" t="str">
        <v>ford gran torino</v>
      </c>
      <c r="AL90" s="7">
        <v>14</v>
      </c>
      <c r="AM90" s="7">
        <v>13.294603978314802</v>
      </c>
      <c r="AN90" s="7">
        <v>0.70539602168519799</v>
      </c>
      <c r="AO90" s="7">
        <v>2.9356198266036936E-2</v>
      </c>
      <c r="AP90" s="7">
        <v>0.2334274183109091</v>
      </c>
      <c r="AQ90" s="7">
        <v>9.6938152578107361E-5</v>
      </c>
      <c r="AR90" s="7">
        <v>-0.76138260968642557</v>
      </c>
      <c r="AS90" s="7">
        <v>-0.75452115641439366</v>
      </c>
      <c r="AT90" s="7">
        <v>0.48314326892849196</v>
      </c>
      <c r="AU90" s="7">
        <v>0.72673005321321271</v>
      </c>
    </row>
    <row r="91" spans="37:47" x14ac:dyDescent="0.25">
      <c r="AK91" t="str">
        <v>dodge coronet custom</v>
      </c>
      <c r="AL91" s="7">
        <v>15</v>
      </c>
      <c r="AM91" s="7">
        <v>14.425307410924701</v>
      </c>
      <c r="AN91" s="7">
        <v>0.57469258907529941</v>
      </c>
      <c r="AO91" s="7">
        <v>2.6400911104933651E-2</v>
      </c>
      <c r="AP91" s="7">
        <v>0.18988660114211794</v>
      </c>
      <c r="AQ91" s="7">
        <v>5.751464936766693E-5</v>
      </c>
      <c r="AR91" s="7">
        <v>-0.75286571534072255</v>
      </c>
      <c r="AS91" s="7">
        <v>-0.7470888487317634</v>
      </c>
      <c r="AT91" s="7">
        <v>0.43575979752854432</v>
      </c>
      <c r="AU91" s="7">
        <v>0.59027642448547868</v>
      </c>
    </row>
    <row r="92" spans="37:47" x14ac:dyDescent="0.25">
      <c r="AK92" t="str">
        <v>mercury marquis brougham</v>
      </c>
      <c r="AL92" s="7">
        <v>12</v>
      </c>
      <c r="AM92" s="7">
        <v>7.6965698793925537</v>
      </c>
      <c r="AN92" s="7">
        <v>4.3034301206074463</v>
      </c>
      <c r="AO92" s="7">
        <v>3.6900707411663854E-2</v>
      </c>
      <c r="AP92" s="7">
        <v>1.4296443982960407</v>
      </c>
      <c r="AQ92" s="7">
        <v>4.6064966597044853E-3</v>
      </c>
      <c r="AR92" s="7">
        <v>-0.75286571534072255</v>
      </c>
      <c r="AS92" s="7">
        <v>-0.74192401686980614</v>
      </c>
      <c r="AT92" s="7">
        <v>1.19567738052371</v>
      </c>
      <c r="AU92" s="7">
        <v>4.4683140707558282</v>
      </c>
    </row>
    <row r="93" spans="37:47" x14ac:dyDescent="0.25">
      <c r="AK93" t="str">
        <v>chevrolet caprice classic</v>
      </c>
      <c r="AL93" s="7">
        <v>13</v>
      </c>
      <c r="AM93" s="7">
        <v>10.946813705339496</v>
      </c>
      <c r="AN93" s="7">
        <v>2.0531862946605042</v>
      </c>
      <c r="AO93" s="7">
        <v>3.3433098722742464E-2</v>
      </c>
      <c r="AP93" s="7">
        <v>0.6808652991853632</v>
      </c>
      <c r="AQ93" s="7">
        <v>9.4323127268055652E-4</v>
      </c>
      <c r="AR93" s="7">
        <v>-0.75286571534072255</v>
      </c>
      <c r="AS93" s="7">
        <v>-0.73626542374562209</v>
      </c>
      <c r="AT93" s="7">
        <v>0.82514562301775751</v>
      </c>
      <c r="AU93" s="7">
        <v>2.1242050518669191</v>
      </c>
    </row>
    <row r="94" spans="37:47" x14ac:dyDescent="0.25">
      <c r="AK94" t="str">
        <v>ford ltd</v>
      </c>
      <c r="AL94" s="7">
        <v>13</v>
      </c>
      <c r="AM94" s="7">
        <v>11.32831652083796</v>
      </c>
      <c r="AN94" s="7">
        <v>1.6716834791620396</v>
      </c>
      <c r="AO94" s="7">
        <v>2.9386956950390283E-2</v>
      </c>
      <c r="AP94" s="7">
        <v>0.55319696979360056</v>
      </c>
      <c r="AQ94" s="7">
        <v>5.4502843087953954E-4</v>
      </c>
      <c r="AR94" s="7">
        <v>-0.72763551415159011</v>
      </c>
      <c r="AS94" s="7">
        <v>-0.72283127398567093</v>
      </c>
      <c r="AT94" s="7">
        <v>0.74377212222131617</v>
      </c>
      <c r="AU94" s="7">
        <v>1.7222965332401752</v>
      </c>
    </row>
    <row r="95" spans="37:47" x14ac:dyDescent="0.25">
      <c r="AK95" t="str">
        <v>plymouth fury gran sedan</v>
      </c>
      <c r="AL95" s="7">
        <v>14</v>
      </c>
      <c r="AM95" s="7">
        <v>12.096184987970998</v>
      </c>
      <c r="AN95" s="7">
        <v>1.9038150120290016</v>
      </c>
      <c r="AO95" s="7">
        <v>2.8992761758663662E-2</v>
      </c>
      <c r="AP95" s="7">
        <v>0.6298865239351964</v>
      </c>
      <c r="AQ95" s="7">
        <v>6.9685566042904123E-4</v>
      </c>
      <c r="AR95" s="7">
        <v>-0.71932811724388146</v>
      </c>
      <c r="AS95" s="7">
        <v>-0.70648636894145744</v>
      </c>
      <c r="AT95" s="7">
        <v>0.79365390689846438</v>
      </c>
      <c r="AU95" s="7">
        <v>1.9606599591133254</v>
      </c>
    </row>
    <row r="96" spans="37:47" x14ac:dyDescent="0.25">
      <c r="AK96" t="str">
        <v>chrysler new yorker brougham</v>
      </c>
      <c r="AL96" s="7">
        <v>13</v>
      </c>
      <c r="AM96" s="7">
        <v>8.5192887226626848</v>
      </c>
      <c r="AN96" s="7">
        <v>4.4807112773373152</v>
      </c>
      <c r="AO96" s="7">
        <v>4.4576013536879955E-2</v>
      </c>
      <c r="AP96" s="7">
        <v>1.4945061059531664</v>
      </c>
      <c r="AQ96" s="7">
        <v>6.1298740672773985E-3</v>
      </c>
      <c r="AR96" s="7">
        <v>-0.71932811724388146</v>
      </c>
      <c r="AS96" s="7">
        <v>-0.69392179736044413</v>
      </c>
      <c r="AT96" s="7">
        <v>1.2224999410851383</v>
      </c>
      <c r="AU96" s="7">
        <v>4.6897621797464408</v>
      </c>
    </row>
    <row r="97" spans="37:47" x14ac:dyDescent="0.25">
      <c r="AK97" t="str">
        <v>buick electra 225 custom</v>
      </c>
      <c r="AL97" s="7">
        <v>12</v>
      </c>
      <c r="AM97" s="7">
        <v>7.2632495262620562</v>
      </c>
      <c r="AN97" s="7">
        <v>4.7367504737379438</v>
      </c>
      <c r="AO97" s="7">
        <v>4.8930221945562402E-2</v>
      </c>
      <c r="AP97" s="7">
        <v>1.5835184219573564</v>
      </c>
      <c r="AQ97" s="7">
        <v>7.588608067286548E-3</v>
      </c>
      <c r="AR97" s="7">
        <v>-0.71932811724388146</v>
      </c>
      <c r="AS97" s="7">
        <v>-0.68678649689214288</v>
      </c>
      <c r="AT97" s="7">
        <v>1.2583792838239813</v>
      </c>
      <c r="AU97" s="7">
        <v>4.9804447402668073</v>
      </c>
    </row>
    <row r="98" spans="37:47" x14ac:dyDescent="0.25">
      <c r="AK98" t="str">
        <v>amc ambassador brougham</v>
      </c>
      <c r="AL98" s="7">
        <v>13</v>
      </c>
      <c r="AM98" s="7">
        <v>13.796610989021035</v>
      </c>
      <c r="AN98" s="7">
        <v>-0.79661098902103511</v>
      </c>
      <c r="AO98" s="7">
        <v>3.4602713165386392E-2</v>
      </c>
      <c r="AP98" s="7">
        <v>-0.26432732427601768</v>
      </c>
      <c r="AQ98" s="7">
        <v>1.4731239043869795E-4</v>
      </c>
      <c r="AR98" s="7">
        <v>-0.71932811724388146</v>
      </c>
      <c r="AS98" s="7">
        <v>-0.68324182750021967</v>
      </c>
      <c r="AT98" s="7">
        <v>0.51412773147926738</v>
      </c>
      <c r="AU98" s="7">
        <v>-0.82516389872297835</v>
      </c>
    </row>
    <row r="99" spans="37:47" x14ac:dyDescent="0.25">
      <c r="AK99" t="str">
        <v>plymouth valiant</v>
      </c>
      <c r="AL99" s="7">
        <v>18</v>
      </c>
      <c r="AM99" s="7">
        <v>18.477477956350636</v>
      </c>
      <c r="AN99" s="7">
        <v>-0.47747795635063639</v>
      </c>
      <c r="AO99" s="7">
        <v>2.9715993614829329E-2</v>
      </c>
      <c r="AP99" s="7">
        <v>-0.15803478633346987</v>
      </c>
      <c r="AQ99" s="7">
        <v>4.4993300213986023E-5</v>
      </c>
      <c r="AR99" s="7">
        <v>-0.71932811724388146</v>
      </c>
      <c r="AS99" s="7">
        <v>-0.66878988326603028</v>
      </c>
      <c r="AT99" s="7">
        <v>0.39753589313855658</v>
      </c>
      <c r="AU99" s="7">
        <v>-0.49210123346204415</v>
      </c>
    </row>
    <row r="100" spans="37:47" x14ac:dyDescent="0.25">
      <c r="AK100" t="str">
        <v>chevrolet nova custom</v>
      </c>
      <c r="AL100" s="7">
        <v>16</v>
      </c>
      <c r="AM100" s="7">
        <v>17.763720506545017</v>
      </c>
      <c r="AN100" s="7">
        <v>-1.7637205065450168</v>
      </c>
      <c r="AO100" s="7">
        <v>3.2731352743501085E-2</v>
      </c>
      <c r="AP100" s="7">
        <v>-0.58466219481199555</v>
      </c>
      <c r="AQ100" s="7">
        <v>6.8042137360537153E-4</v>
      </c>
      <c r="AR100" s="7">
        <v>-0.71932811724388146</v>
      </c>
      <c r="AS100" s="7">
        <v>-0.66377208981313063</v>
      </c>
      <c r="AT100" s="7">
        <v>0.76463206499073499</v>
      </c>
      <c r="AU100" s="7">
        <v>-1.8234029517523647</v>
      </c>
    </row>
    <row r="101" spans="37:47" x14ac:dyDescent="0.25">
      <c r="AK101" t="str">
        <v>amc hornet</v>
      </c>
      <c r="AL101" s="7">
        <v>18</v>
      </c>
      <c r="AM101" s="7">
        <v>19.449802608378892</v>
      </c>
      <c r="AN101" s="7">
        <v>-1.4498026083788922</v>
      </c>
      <c r="AO101" s="7">
        <v>3.0762850246968274E-2</v>
      </c>
      <c r="AP101" s="7">
        <v>-0.48011210341267641</v>
      </c>
      <c r="AQ101" s="7">
        <v>4.3036099915624398E-4</v>
      </c>
      <c r="AR101" s="7">
        <v>-0.71932811724388146</v>
      </c>
      <c r="AS101" s="7">
        <v>-0.6561239243010768</v>
      </c>
      <c r="AT101" s="7">
        <v>0.6929012219737215</v>
      </c>
      <c r="AU101" s="7">
        <v>-1.4958182409210292</v>
      </c>
    </row>
    <row r="102" spans="37:47" x14ac:dyDescent="0.25">
      <c r="AK102" t="str">
        <v>ford maverick</v>
      </c>
      <c r="AL102" s="7">
        <v>18</v>
      </c>
      <c r="AM102" s="7">
        <v>19.259828261072514</v>
      </c>
      <c r="AN102" s="7">
        <v>-1.2598282610725136</v>
      </c>
      <c r="AO102" s="7">
        <v>3.555927772974711E-2</v>
      </c>
      <c r="AP102" s="7">
        <v>-0.41823693209923823</v>
      </c>
      <c r="AQ102" s="7">
        <v>3.7937895031364238E-4</v>
      </c>
      <c r="AR102" s="7">
        <v>-0.66249652488531496</v>
      </c>
      <c r="AS102" s="7">
        <v>-0.63802821850481628</v>
      </c>
      <c r="AT102" s="7">
        <v>0.64671240292670917</v>
      </c>
      <c r="AU102" s="7">
        <v>-1.3062785840346214</v>
      </c>
    </row>
    <row r="103" spans="37:47" x14ac:dyDescent="0.25">
      <c r="AK103" t="str">
        <v>plymouth duster</v>
      </c>
      <c r="AL103" s="7">
        <v>23</v>
      </c>
      <c r="AM103" s="7">
        <v>19.738580462366386</v>
      </c>
      <c r="AN103" s="7">
        <v>3.2614195376336141</v>
      </c>
      <c r="AO103" s="7">
        <v>3.2044006496219003E-2</v>
      </c>
      <c r="AP103" s="7">
        <v>1.0807560254323896</v>
      </c>
      <c r="AQ103" s="7">
        <v>2.2745610997066752E-3</v>
      </c>
      <c r="AR103" s="7">
        <v>-0.66249652488531496</v>
      </c>
      <c r="AS103" s="7">
        <v>-0.63228553332444026</v>
      </c>
      <c r="AT103" s="7">
        <v>1.039594163812201</v>
      </c>
      <c r="AU103" s="7">
        <v>3.3693882361614556</v>
      </c>
    </row>
    <row r="104" spans="37:47" x14ac:dyDescent="0.25">
      <c r="AK104" t="str">
        <v>volkswagen super beetle</v>
      </c>
      <c r="AL104" s="7">
        <v>26</v>
      </c>
      <c r="AM104" s="7">
        <v>27.302527770060404</v>
      </c>
      <c r="AN104" s="7">
        <v>-1.3025277700604043</v>
      </c>
      <c r="AO104" s="7">
        <v>4.82846795760953E-2</v>
      </c>
      <c r="AP104" s="7">
        <v>-0.43529358270499124</v>
      </c>
      <c r="AQ104" s="7">
        <v>5.6548084865628461E-4</v>
      </c>
      <c r="AR104" s="7">
        <v>-0.66249652488531496</v>
      </c>
      <c r="AS104" s="7">
        <v>-0.62096861122347158</v>
      </c>
      <c r="AT104" s="7">
        <v>0.65976782484825014</v>
      </c>
      <c r="AU104" s="7">
        <v>-1.3686106991324294</v>
      </c>
    </row>
    <row r="105" spans="37:47" x14ac:dyDescent="0.25">
      <c r="AK105" t="str">
        <v>chevrolet impala</v>
      </c>
      <c r="AL105" s="7">
        <v>11</v>
      </c>
      <c r="AM105" s="7">
        <v>8.2480696804822724</v>
      </c>
      <c r="AN105" s="7">
        <v>2.7519303195177276</v>
      </c>
      <c r="AO105" s="7">
        <v>5.2070654020607954E-2</v>
      </c>
      <c r="AP105" s="7">
        <v>0.92150618089199388</v>
      </c>
      <c r="AQ105" s="7">
        <v>2.743877054293463E-3</v>
      </c>
      <c r="AR105" s="7">
        <v>-0.66249652488531496</v>
      </c>
      <c r="AS105" s="7">
        <v>-0.61593470926202398</v>
      </c>
      <c r="AT105" s="7">
        <v>0.95995113463758863</v>
      </c>
      <c r="AU105" s="7">
        <v>2.9030964503735857</v>
      </c>
    </row>
    <row r="106" spans="37:47" x14ac:dyDescent="0.25">
      <c r="AK106" t="str">
        <v>ford country</v>
      </c>
      <c r="AL106" s="7">
        <v>12</v>
      </c>
      <c r="AM106" s="7">
        <v>8.4328115122477012</v>
      </c>
      <c r="AN106" s="7">
        <v>3.5671884877522988</v>
      </c>
      <c r="AO106" s="7">
        <v>3.8934703793749185E-2</v>
      </c>
      <c r="AP106" s="7">
        <v>1.1863106075737995</v>
      </c>
      <c r="AQ106" s="7">
        <v>3.3537592678973861E-3</v>
      </c>
      <c r="AR106" s="7">
        <v>-0.66249652488531496</v>
      </c>
      <c r="AS106" s="7">
        <v>-0.61509549983121481</v>
      </c>
      <c r="AT106" s="7">
        <v>1.0891788684939676</v>
      </c>
      <c r="AU106" s="7">
        <v>3.7117025261796126</v>
      </c>
    </row>
    <row r="107" spans="37:47" x14ac:dyDescent="0.25">
      <c r="AK107" t="str">
        <v>plymouth custom suburb</v>
      </c>
      <c r="AL107" s="7">
        <v>13</v>
      </c>
      <c r="AM107" s="7">
        <v>9.6600562393964946</v>
      </c>
      <c r="AN107" s="7">
        <v>3.3399437606035054</v>
      </c>
      <c r="AO107" s="7">
        <v>3.2267405941791262E-2</v>
      </c>
      <c r="AP107" s="7">
        <v>1.1069048065287967</v>
      </c>
      <c r="AQ107" s="7">
        <v>2.4031468448560719E-3</v>
      </c>
      <c r="AR107" s="7">
        <v>-0.62318453179067923</v>
      </c>
      <c r="AS107" s="7">
        <v>-0.61264897901117887</v>
      </c>
      <c r="AT107" s="7">
        <v>1.0520954360364827</v>
      </c>
      <c r="AU107" s="7">
        <v>3.4513085341038012</v>
      </c>
    </row>
    <row r="108" spans="37:47" x14ac:dyDescent="0.25">
      <c r="AK108" t="str">
        <v>oldsmobile vista cruiser</v>
      </c>
      <c r="AL108" s="7">
        <v>12</v>
      </c>
      <c r="AM108" s="7">
        <v>10.282504910204176</v>
      </c>
      <c r="AN108" s="7">
        <v>1.7174950897958237</v>
      </c>
      <c r="AO108" s="7">
        <v>3.0849747810184097E-2</v>
      </c>
      <c r="AP108" s="7">
        <v>0.56878580743136131</v>
      </c>
      <c r="AQ108" s="7">
        <v>6.0577184723648503E-4</v>
      </c>
      <c r="AR108" s="7">
        <v>-0.62318453179067923</v>
      </c>
      <c r="AS108" s="7">
        <v>-0.60409084446563566</v>
      </c>
      <c r="AT108" s="7">
        <v>0.7541788961720961</v>
      </c>
      <c r="AU108" s="7">
        <v>1.7721659628268234</v>
      </c>
    </row>
    <row r="109" spans="37:47" x14ac:dyDescent="0.25">
      <c r="AK109" t="str">
        <v>amc gremlin</v>
      </c>
      <c r="AL109" s="7">
        <v>18</v>
      </c>
      <c r="AM109" s="7">
        <v>20.239678908337105</v>
      </c>
      <c r="AN109" s="7">
        <v>-2.2396789083371047</v>
      </c>
      <c r="AO109" s="7">
        <v>3.1387057487757122E-2</v>
      </c>
      <c r="AP109" s="7">
        <v>-0.74192401686980614</v>
      </c>
      <c r="AQ109" s="7">
        <v>1.0492289704715065E-3</v>
      </c>
      <c r="AR109" s="7">
        <v>-0.60772881744947449</v>
      </c>
      <c r="AS109" s="7">
        <v>-0.59179023453714319</v>
      </c>
      <c r="AT109" s="7">
        <v>0.86135011282857921</v>
      </c>
      <c r="AU109" s="7">
        <v>-2.3122537497053899</v>
      </c>
    </row>
    <row r="110" spans="37:47" x14ac:dyDescent="0.25">
      <c r="AK110" t="str">
        <v>toyota carina</v>
      </c>
      <c r="AL110" s="7">
        <v>20</v>
      </c>
      <c r="AM110" s="7">
        <v>25.076745606588123</v>
      </c>
      <c r="AN110" s="7">
        <v>-5.0767456065881227</v>
      </c>
      <c r="AO110" s="7">
        <v>4.0511183142984852E-2</v>
      </c>
      <c r="AP110" s="7">
        <v>-1.6897180627740656</v>
      </c>
      <c r="AQ110" s="7">
        <v>7.0911158671741773E-3</v>
      </c>
      <c r="AR110" s="7">
        <v>-0.60005529056970508</v>
      </c>
      <c r="AS110" s="7">
        <v>-0.59082143000943876</v>
      </c>
      <c r="AT110" s="7">
        <v>1.2998915580824677</v>
      </c>
      <c r="AU110" s="7">
        <v>-5.2910940882228843</v>
      </c>
    </row>
    <row r="111" spans="37:47" x14ac:dyDescent="0.25">
      <c r="AK111" t="str">
        <v>chevrolet vega</v>
      </c>
      <c r="AL111" s="7">
        <v>21</v>
      </c>
      <c r="AM111" s="7">
        <v>22.658863133701555</v>
      </c>
      <c r="AN111" s="7">
        <v>-1.6588631337015549</v>
      </c>
      <c r="AO111" s="7">
        <v>3.9879400767104112E-2</v>
      </c>
      <c r="AP111" s="7">
        <v>-0.55194584126169699</v>
      </c>
      <c r="AQ111" s="7">
        <v>7.4433226647682108E-4</v>
      </c>
      <c r="AR111" s="7">
        <v>-0.60005529056970508</v>
      </c>
      <c r="AS111" s="7">
        <v>-0.58466219481199555</v>
      </c>
      <c r="AT111" s="7">
        <v>0.74293057634054682</v>
      </c>
      <c r="AU111" s="7">
        <v>-1.7277653817936318</v>
      </c>
    </row>
    <row r="112" spans="37:47" x14ac:dyDescent="0.25">
      <c r="AK112" t="str">
        <v>datsun 610</v>
      </c>
      <c r="AL112" s="7">
        <v>22</v>
      </c>
      <c r="AM112" s="7">
        <v>24.4729960533552</v>
      </c>
      <c r="AN112" s="7">
        <v>-2.4729960533551996</v>
      </c>
      <c r="AO112" s="7">
        <v>3.9858734662671765E-2</v>
      </c>
      <c r="AP112" s="7">
        <v>-0.82281965858508455</v>
      </c>
      <c r="AQ112" s="7">
        <v>1.6532889736620524E-3</v>
      </c>
      <c r="AR112" s="7">
        <v>-0.60005529056970508</v>
      </c>
      <c r="AS112" s="7">
        <v>-0.58163018536706346</v>
      </c>
      <c r="AT112" s="7">
        <v>0.90709407372393547</v>
      </c>
      <c r="AU112" s="7">
        <v>-2.5756585438355857</v>
      </c>
    </row>
    <row r="113" spans="37:47" x14ac:dyDescent="0.25">
      <c r="AK113" t="str">
        <v>maxda rx3</v>
      </c>
      <c r="AL113" s="7">
        <v>18</v>
      </c>
      <c r="AM113" s="7">
        <v>25.829085733024137</v>
      </c>
      <c r="AN113" s="7">
        <v>-7.8290857330241366</v>
      </c>
      <c r="AO113" s="7">
        <v>4.0908895826768821E-2</v>
      </c>
      <c r="AP113" s="7">
        <v>-2.6063331092365809</v>
      </c>
      <c r="AQ113" s="7">
        <v>1.7043893646453583E-2</v>
      </c>
      <c r="AR113" s="7">
        <v>-0.60005529056970508</v>
      </c>
      <c r="AS113" s="7">
        <v>-0.58074238683041934</v>
      </c>
      <c r="AT113" s="7">
        <v>1.6144141690522233</v>
      </c>
      <c r="AU113" s="7">
        <v>-8.1630261181215644</v>
      </c>
    </row>
    <row r="114" spans="37:47" x14ac:dyDescent="0.25">
      <c r="AK114" t="str">
        <v>ford pinto</v>
      </c>
      <c r="AL114" s="7">
        <v>19</v>
      </c>
      <c r="AM114" s="7">
        <v>22.908550693281139</v>
      </c>
      <c r="AN114" s="7">
        <v>-3.9085506932811391</v>
      </c>
      <c r="AO114" s="7">
        <v>3.8026724320240998E-2</v>
      </c>
      <c r="AP114" s="7">
        <v>-1.2992210520172569</v>
      </c>
      <c r="AQ114" s="7">
        <v>3.9250309517006206E-3</v>
      </c>
      <c r="AR114" s="7">
        <v>-0.60005529056970508</v>
      </c>
      <c r="AS114" s="7">
        <v>-0.55753264896976684</v>
      </c>
      <c r="AT114" s="7">
        <v>1.1398337826267726</v>
      </c>
      <c r="AU114" s="7">
        <v>-4.0630553801187883</v>
      </c>
    </row>
    <row r="115" spans="37:47" x14ac:dyDescent="0.25">
      <c r="AK115" t="str">
        <v>mercury capri v6</v>
      </c>
      <c r="AL115" s="7">
        <v>21</v>
      </c>
      <c r="AM115" s="7">
        <v>21.731093032654325</v>
      </c>
      <c r="AN115" s="7">
        <v>-0.73109303265432501</v>
      </c>
      <c r="AO115" s="7">
        <v>3.7015208274130587E-2</v>
      </c>
      <c r="AP115" s="7">
        <v>-0.24289117425341836</v>
      </c>
      <c r="AQ115" s="7">
        <v>1.3339369925580112E-4</v>
      </c>
      <c r="AR115" s="7">
        <v>-0.60005529056970508</v>
      </c>
      <c r="AS115" s="7">
        <v>-0.55221926921070585</v>
      </c>
      <c r="AT115" s="7">
        <v>0.49283990732632271</v>
      </c>
      <c r="AU115" s="7">
        <v>-0.75919478577024457</v>
      </c>
    </row>
    <row r="116" spans="37:47" x14ac:dyDescent="0.25">
      <c r="AK116" t="str">
        <v>fiat 124 sport coupe</v>
      </c>
      <c r="AL116" s="7">
        <v>26</v>
      </c>
      <c r="AM116" s="7">
        <v>24.993182235342822</v>
      </c>
      <c r="AN116" s="7">
        <v>1.0068177646571783</v>
      </c>
      <c r="AO116" s="7">
        <v>3.9273864426025186E-2</v>
      </c>
      <c r="AP116" s="7">
        <v>0.33488821969057964</v>
      </c>
      <c r="AQ116" s="7">
        <v>2.6968379516021783E-4</v>
      </c>
      <c r="AR116" s="7">
        <v>-0.60005529056970508</v>
      </c>
      <c r="AS116" s="7">
        <v>-0.55194584126169699</v>
      </c>
      <c r="AT116" s="7">
        <v>0.57869527360311113</v>
      </c>
      <c r="AU116" s="7">
        <v>1.0479758251352937</v>
      </c>
    </row>
    <row r="117" spans="37:47" x14ac:dyDescent="0.25">
      <c r="AK117" t="str">
        <v>chevrolet monte carlo s</v>
      </c>
      <c r="AL117" s="7">
        <v>15</v>
      </c>
      <c r="AM117" s="7">
        <v>12.9621801380818</v>
      </c>
      <c r="AN117" s="7">
        <v>2.0378198619181997</v>
      </c>
      <c r="AO117" s="7">
        <v>2.7889153949757169E-2</v>
      </c>
      <c r="AP117" s="7">
        <v>0.67383986412758412</v>
      </c>
      <c r="AQ117" s="7">
        <v>7.6627389377137054E-4</v>
      </c>
      <c r="AR117" s="7">
        <v>-0.60005529056970508</v>
      </c>
      <c r="AS117" s="7">
        <v>-0.55072347548179312</v>
      </c>
      <c r="AT117" s="7">
        <v>0.82087749641927943</v>
      </c>
      <c r="AU117" s="7">
        <v>2.0962834333121685</v>
      </c>
    </row>
    <row r="118" spans="37:47" x14ac:dyDescent="0.25">
      <c r="AK118" t="str">
        <v>pontiac grand prix</v>
      </c>
      <c r="AL118" s="7">
        <v>16</v>
      </c>
      <c r="AM118" s="7">
        <v>10.589674737467918</v>
      </c>
      <c r="AN118" s="7">
        <v>5.4103252625320817</v>
      </c>
      <c r="AO118" s="7">
        <v>7.1718533906216811E-2</v>
      </c>
      <c r="AP118" s="7">
        <v>1.830763895168803</v>
      </c>
      <c r="AQ118" s="7">
        <v>1.5232369994827868E-2</v>
      </c>
      <c r="AR118" s="7">
        <v>-0.60005529056970508</v>
      </c>
      <c r="AS118" s="7">
        <v>-0.53338642732774066</v>
      </c>
      <c r="AT118" s="7">
        <v>1.3530572401671717</v>
      </c>
      <c r="AU118" s="7">
        <v>5.8283241238228953</v>
      </c>
    </row>
    <row r="119" spans="37:47" x14ac:dyDescent="0.25">
      <c r="AK119" t="str">
        <v>fiat 128</v>
      </c>
      <c r="AL119" s="7">
        <v>29</v>
      </c>
      <c r="AM119" s="7">
        <v>27.674073172254467</v>
      </c>
      <c r="AN119" s="7">
        <v>1.3259268277455334</v>
      </c>
      <c r="AO119" s="7">
        <v>4.6372217608839764E-2</v>
      </c>
      <c r="AP119" s="7">
        <v>0.44266880067425157</v>
      </c>
      <c r="AQ119" s="7">
        <v>5.6051582264195492E-4</v>
      </c>
      <c r="AR119" s="7">
        <v>-0.60005529056970508</v>
      </c>
      <c r="AS119" s="7">
        <v>-0.5239373665705841</v>
      </c>
      <c r="AT119" s="7">
        <v>0.66533360104105033</v>
      </c>
      <c r="AU119" s="7">
        <v>1.3904028932765122</v>
      </c>
    </row>
    <row r="120" spans="37:47" x14ac:dyDescent="0.25">
      <c r="AK120" t="str">
        <v>opel manta</v>
      </c>
      <c r="AL120" s="7">
        <v>24</v>
      </c>
      <c r="AM120" s="7">
        <v>25.778502843463425</v>
      </c>
      <c r="AN120" s="7">
        <v>-1.7785028434634249</v>
      </c>
      <c r="AO120" s="7">
        <v>4.0000191815181163E-2</v>
      </c>
      <c r="AP120" s="7">
        <v>-0.59179023453714319</v>
      </c>
      <c r="AQ120" s="7">
        <v>8.5837605658504947E-4</v>
      </c>
      <c r="AR120" s="7">
        <v>-0.60005529056970508</v>
      </c>
      <c r="AS120" s="7">
        <v>-0.49892317917099677</v>
      </c>
      <c r="AT120" s="7">
        <v>0.76927903555026322</v>
      </c>
      <c r="AU120" s="7">
        <v>-1.8526074987725707</v>
      </c>
    </row>
    <row r="121" spans="37:47" x14ac:dyDescent="0.25">
      <c r="AK121" t="str">
        <v>audi 100ls</v>
      </c>
      <c r="AL121" s="7">
        <v>20</v>
      </c>
      <c r="AM121" s="7">
        <v>23.371876655397269</v>
      </c>
      <c r="AN121" s="7">
        <v>-3.3718766553972692</v>
      </c>
      <c r="AO121" s="7">
        <v>3.8053482923466157E-2</v>
      </c>
      <c r="AP121" s="7">
        <v>-1.1208436092324701</v>
      </c>
      <c r="AQ121" s="7">
        <v>2.923375510949251E-3</v>
      </c>
      <c r="AR121" s="7">
        <v>-0.60005529056970508</v>
      </c>
      <c r="AS121" s="7">
        <v>-0.48011210341267641</v>
      </c>
      <c r="AT121" s="7">
        <v>1.0586990173002289</v>
      </c>
      <c r="AU121" s="7">
        <v>-3.5052641654598324</v>
      </c>
    </row>
    <row r="122" spans="37:47" x14ac:dyDescent="0.25">
      <c r="AK122" t="str">
        <v>volvo 144ea</v>
      </c>
      <c r="AL122" s="7">
        <v>19</v>
      </c>
      <c r="AM122" s="7">
        <v>21.582805034449514</v>
      </c>
      <c r="AN122" s="7">
        <v>-2.5828050344495139</v>
      </c>
      <c r="AO122" s="7">
        <v>3.7880044790532516E-2</v>
      </c>
      <c r="AP122" s="7">
        <v>-0.85847137129503925</v>
      </c>
      <c r="AQ122" s="7">
        <v>1.7068052633930112E-3</v>
      </c>
      <c r="AR122" s="7">
        <v>-0.60005529056970508</v>
      </c>
      <c r="AS122" s="7">
        <v>-0.47899199098150524</v>
      </c>
      <c r="AT122" s="7">
        <v>0.92653730162095427</v>
      </c>
      <c r="AU122" s="7">
        <v>-2.6844937790394336</v>
      </c>
    </row>
    <row r="123" spans="37:47" x14ac:dyDescent="0.25">
      <c r="AK123" t="str">
        <v>dodge dart custom</v>
      </c>
      <c r="AL123" s="7">
        <v>15</v>
      </c>
      <c r="AM123" s="7">
        <v>16.339238445438831</v>
      </c>
      <c r="AN123" s="7">
        <v>-1.3392384454388306</v>
      </c>
      <c r="AO123" s="7">
        <v>3.0692356983148206E-2</v>
      </c>
      <c r="AP123" s="7">
        <v>-0.44348189348087841</v>
      </c>
      <c r="AQ123" s="7">
        <v>3.6632914178232458E-4</v>
      </c>
      <c r="AR123" s="7">
        <v>-0.60005529056970508</v>
      </c>
      <c r="AS123" s="7">
        <v>-0.46498176646527506</v>
      </c>
      <c r="AT123" s="7">
        <v>0.66594436215113229</v>
      </c>
      <c r="AU123" s="7">
        <v>-1.3816443675927432</v>
      </c>
    </row>
    <row r="124" spans="37:47" x14ac:dyDescent="0.25">
      <c r="AK124" t="str">
        <v>saab 99le</v>
      </c>
      <c r="AL124" s="7">
        <v>24</v>
      </c>
      <c r="AM124" s="7">
        <v>22.668446298300879</v>
      </c>
      <c r="AN124" s="7">
        <v>1.3315537016991215</v>
      </c>
      <c r="AO124" s="7">
        <v>3.8645493093118273E-2</v>
      </c>
      <c r="AP124" s="7">
        <v>0.44275727569780055</v>
      </c>
      <c r="AQ124" s="7">
        <v>4.6355127300932986E-4</v>
      </c>
      <c r="AR124" s="7">
        <v>-0.60005529056970508</v>
      </c>
      <c r="AS124" s="7">
        <v>-0.45454530660835657</v>
      </c>
      <c r="AT124" s="7">
        <v>0.66540008693852792</v>
      </c>
      <c r="AU124" s="7">
        <v>1.3850808334828952</v>
      </c>
    </row>
    <row r="125" spans="37:47" x14ac:dyDescent="0.25">
      <c r="AK125" t="str">
        <v>toyota mark ii</v>
      </c>
      <c r="AL125" s="7">
        <v>20</v>
      </c>
      <c r="AM125" s="7">
        <v>21.85127944338608</v>
      </c>
      <c r="AN125" s="7">
        <v>-1.8512794433860797</v>
      </c>
      <c r="AO125" s="7">
        <v>3.9776770121747615E-2</v>
      </c>
      <c r="AP125" s="7">
        <v>-0.61593470926202398</v>
      </c>
      <c r="AQ125" s="7">
        <v>9.2443789980417731E-4</v>
      </c>
      <c r="AR125" s="7">
        <v>-0.60005529056970508</v>
      </c>
      <c r="AS125" s="7">
        <v>-0.44392180663234571</v>
      </c>
      <c r="AT125" s="7">
        <v>0.78481507966018593</v>
      </c>
      <c r="AU125" s="7">
        <v>-1.9279677743484764</v>
      </c>
    </row>
    <row r="126" spans="37:47" x14ac:dyDescent="0.25">
      <c r="AK126" t="str">
        <v>oldsmobile omega</v>
      </c>
      <c r="AL126" s="7">
        <v>11</v>
      </c>
      <c r="AM126" s="7">
        <v>14.510368438826658</v>
      </c>
      <c r="AN126" s="7">
        <v>-3.5103684388266583</v>
      </c>
      <c r="AO126" s="7">
        <v>4.1951063219862861E-2</v>
      </c>
      <c r="AP126" s="7">
        <v>-1.1692507528849188</v>
      </c>
      <c r="AQ126" s="7">
        <v>3.5214511972825793E-3</v>
      </c>
      <c r="AR126" s="7">
        <v>-0.60005529056970508</v>
      </c>
      <c r="AS126" s="7">
        <v>-0.44348189348087841</v>
      </c>
      <c r="AT126" s="7">
        <v>1.0813189875725473</v>
      </c>
      <c r="AU126" s="7">
        <v>-3.6640805120294742</v>
      </c>
    </row>
    <row r="127" spans="37:47" x14ac:dyDescent="0.25">
      <c r="AK127" t="str">
        <v>plymouth duster</v>
      </c>
      <c r="AL127" s="7">
        <v>20</v>
      </c>
      <c r="AM127" s="7">
        <v>20.700160815023679</v>
      </c>
      <c r="AN127" s="7">
        <v>-0.70016081502367911</v>
      </c>
      <c r="AO127" s="7">
        <v>4.1681720845725932E-2</v>
      </c>
      <c r="AP127" s="7">
        <v>-0.23318022611887829</v>
      </c>
      <c r="AQ127" s="7">
        <v>1.3911385496748126E-4</v>
      </c>
      <c r="AR127" s="7">
        <v>-0.47441488350636313</v>
      </c>
      <c r="AS127" s="7">
        <v>-0.44257513070662241</v>
      </c>
      <c r="AT127" s="7">
        <v>0.4828873845099686</v>
      </c>
      <c r="AU127" s="7">
        <v>-0.73061406659338524</v>
      </c>
    </row>
    <row r="128" spans="37:47" x14ac:dyDescent="0.25">
      <c r="AK128" t="str">
        <v>amc hornet</v>
      </c>
      <c r="AL128" s="7">
        <v>19</v>
      </c>
      <c r="AM128" s="7">
        <v>21.636703887894438</v>
      </c>
      <c r="AN128" s="7">
        <v>-2.6367038878944378</v>
      </c>
      <c r="AO128" s="7">
        <v>4.2615099595863994E-2</v>
      </c>
      <c r="AP128" s="7">
        <v>-0.87855079557956628</v>
      </c>
      <c r="AQ128" s="7">
        <v>2.0209788357389664E-3</v>
      </c>
      <c r="AR128" s="7">
        <v>-0.47441488350636313</v>
      </c>
      <c r="AS128" s="7">
        <v>-0.43529358270499124</v>
      </c>
      <c r="AT128" s="7">
        <v>0.93731040513778907</v>
      </c>
      <c r="AU128" s="7">
        <v>-2.7540688042828116</v>
      </c>
    </row>
    <row r="129" spans="37:47" x14ac:dyDescent="0.25">
      <c r="AK129" t="str">
        <v>chevrolet nova</v>
      </c>
      <c r="AL129" s="7">
        <v>15</v>
      </c>
      <c r="AM129" s="7">
        <v>19.434164205318655</v>
      </c>
      <c r="AN129" s="7">
        <v>-4.4341642053186554</v>
      </c>
      <c r="AO129" s="7">
        <v>4.1929203309126292E-2</v>
      </c>
      <c r="AP129" s="7">
        <v>-1.476936332318173</v>
      </c>
      <c r="AQ129" s="7">
        <v>5.6155672815874974E-3</v>
      </c>
      <c r="AR129" s="7">
        <v>-0.4601505487612142</v>
      </c>
      <c r="AS129" s="7">
        <v>-0.43384150629044232</v>
      </c>
      <c r="AT129" s="7">
        <v>1.2152926940939672</v>
      </c>
      <c r="AU129" s="7">
        <v>-4.6282218606746248</v>
      </c>
    </row>
    <row r="130" spans="37:47" x14ac:dyDescent="0.25">
      <c r="AK130" t="str">
        <v>datsun b210</v>
      </c>
      <c r="AL130" s="7">
        <v>31</v>
      </c>
      <c r="AM130" s="7">
        <v>29.047655197436306</v>
      </c>
      <c r="AN130" s="7">
        <v>1.9523448025636938</v>
      </c>
      <c r="AO130" s="7">
        <v>4.9596337656819589E-2</v>
      </c>
      <c r="AP130" s="7">
        <v>0.65290692305069276</v>
      </c>
      <c r="AQ130" s="7">
        <v>1.3085644958385793E-3</v>
      </c>
      <c r="AR130" s="7">
        <v>-0.45305351907680225</v>
      </c>
      <c r="AS130" s="7">
        <v>-0.42839201056709808</v>
      </c>
      <c r="AT130" s="7">
        <v>0.8080265608571866</v>
      </c>
      <c r="AU130" s="7">
        <v>2.0542269352690301</v>
      </c>
    </row>
    <row r="131" spans="37:47" x14ac:dyDescent="0.25">
      <c r="AK131" t="str">
        <v>ford pinto</v>
      </c>
      <c r="AL131" s="7">
        <v>26</v>
      </c>
      <c r="AM131" s="7">
        <v>24.239921853767793</v>
      </c>
      <c r="AN131" s="7">
        <v>1.7600781462322068</v>
      </c>
      <c r="AO131" s="7">
        <v>4.6095974662596628E-2</v>
      </c>
      <c r="AP131" s="7">
        <v>0.58752778997756849</v>
      </c>
      <c r="AQ131" s="7">
        <v>9.8121962635278255E-4</v>
      </c>
      <c r="AR131" s="7">
        <v>-0.45305351907680225</v>
      </c>
      <c r="AS131" s="7">
        <v>-0.41823693209923823</v>
      </c>
      <c r="AT131" s="7">
        <v>0.7665036138059419</v>
      </c>
      <c r="AU131" s="7">
        <v>1.8451312705276124</v>
      </c>
    </row>
    <row r="132" spans="37:47" x14ac:dyDescent="0.25">
      <c r="AK132" t="str">
        <v>toyota corolla 1200</v>
      </c>
      <c r="AL132" s="7">
        <v>32</v>
      </c>
      <c r="AM132" s="7">
        <v>29.657345357466696</v>
      </c>
      <c r="AN132" s="7">
        <v>2.3426546425333044</v>
      </c>
      <c r="AO132" s="7">
        <v>5.0280943298176659E-2</v>
      </c>
      <c r="AP132" s="7">
        <v>0.78371741325869382</v>
      </c>
      <c r="AQ132" s="7">
        <v>1.9128386377732147E-3</v>
      </c>
      <c r="AR132" s="7">
        <v>-0.45305351907680225</v>
      </c>
      <c r="AS132" s="7">
        <v>-0.40591022394117865</v>
      </c>
      <c r="AT132" s="7">
        <v>0.88527815586893022</v>
      </c>
      <c r="AU132" s="7">
        <v>2.4666817265611751</v>
      </c>
    </row>
    <row r="133" spans="37:47" x14ac:dyDescent="0.25">
      <c r="AK133" t="str">
        <v>chevrolet vega</v>
      </c>
      <c r="AL133" s="7">
        <v>25</v>
      </c>
      <c r="AM133" s="7">
        <v>23.860342838559877</v>
      </c>
      <c r="AN133" s="7">
        <v>1.1396571614401232</v>
      </c>
      <c r="AO133" s="7">
        <v>4.5195292486137718E-2</v>
      </c>
      <c r="AP133" s="7">
        <v>0.38024696094502236</v>
      </c>
      <c r="AQ133" s="7">
        <v>4.0258837650252924E-4</v>
      </c>
      <c r="AR133" s="7">
        <v>-0.43189692948271047</v>
      </c>
      <c r="AS133" s="7">
        <v>-0.40193142131393461</v>
      </c>
      <c r="AT133" s="7">
        <v>0.61664167953927862</v>
      </c>
      <c r="AU133" s="7">
        <v>1.1936023696485358</v>
      </c>
    </row>
    <row r="134" spans="37:47" x14ac:dyDescent="0.25">
      <c r="AK134" t="str">
        <v>chevrolet chevelle malibu classic</v>
      </c>
      <c r="AL134" s="7">
        <v>16</v>
      </c>
      <c r="AM134" s="7">
        <v>17.180991426591703</v>
      </c>
      <c r="AN134" s="7">
        <v>-1.180991426591703</v>
      </c>
      <c r="AO134" s="7">
        <v>4.9165845778550536E-2</v>
      </c>
      <c r="AP134" s="7">
        <v>-0.39486001875875998</v>
      </c>
      <c r="AQ134" s="7">
        <v>4.7423777402829287E-4</v>
      </c>
      <c r="AR134" s="7">
        <v>-0.42488793897993393</v>
      </c>
      <c r="AS134" s="7">
        <v>-0.39486001875875998</v>
      </c>
      <c r="AT134" s="7">
        <v>0.6283788815346677</v>
      </c>
      <c r="AU134" s="7">
        <v>-1.2420582720429392</v>
      </c>
    </row>
    <row r="135" spans="37:47" x14ac:dyDescent="0.25">
      <c r="AK135" t="str">
        <v>amc matador</v>
      </c>
      <c r="AL135" s="7">
        <v>16</v>
      </c>
      <c r="AM135" s="7">
        <v>17.773060239708684</v>
      </c>
      <c r="AN135" s="7">
        <v>-1.7730602397086841</v>
      </c>
      <c r="AO135" s="7">
        <v>4.2735154312296256E-2</v>
      </c>
      <c r="AP135" s="7">
        <v>-0.59082143000943876</v>
      </c>
      <c r="AQ135" s="7">
        <v>9.1667782099527856E-4</v>
      </c>
      <c r="AR135" s="7">
        <v>-0.42488793897993393</v>
      </c>
      <c r="AS135" s="7">
        <v>-0.38508480762603547</v>
      </c>
      <c r="AT135" s="7">
        <v>0.76864909419672045</v>
      </c>
      <c r="AU135" s="7">
        <v>-1.8522149305868523</v>
      </c>
    </row>
    <row r="136" spans="37:47" x14ac:dyDescent="0.25">
      <c r="AK136" t="str">
        <v>plymouth satellite sebring</v>
      </c>
      <c r="AL136" s="7">
        <v>18</v>
      </c>
      <c r="AM136" s="7">
        <v>17.95044528216361</v>
      </c>
      <c r="AN136" s="7">
        <v>4.9554717836389983E-2</v>
      </c>
      <c r="AO136" s="7">
        <v>4.3763467871605982E-2</v>
      </c>
      <c r="AP136" s="7">
        <v>1.6521563559614698E-2</v>
      </c>
      <c r="AQ136" s="7">
        <v>7.3485180761346746E-7</v>
      </c>
      <c r="AR136" s="7">
        <v>-0.42488793897993393</v>
      </c>
      <c r="AS136" s="7">
        <v>-0.38135513775663676</v>
      </c>
      <c r="AT136" s="7">
        <v>0.12853623442288442</v>
      </c>
      <c r="AU136" s="7">
        <v>5.1822657021993242E-2</v>
      </c>
    </row>
    <row r="137" spans="37:47" x14ac:dyDescent="0.25">
      <c r="AK137" t="str">
        <v>ford gran torino</v>
      </c>
      <c r="AL137" s="7">
        <v>16</v>
      </c>
      <c r="AM137" s="7">
        <v>14.708742687008032</v>
      </c>
      <c r="AN137" s="7">
        <v>1.2912573129919682</v>
      </c>
      <c r="AO137" s="7">
        <v>4.5049751282210976E-2</v>
      </c>
      <c r="AP137" s="7">
        <v>0.43079556603355051</v>
      </c>
      <c r="AQ137" s="7">
        <v>5.1499756946703278E-4</v>
      </c>
      <c r="AR137" s="7">
        <v>-0.42488793897993393</v>
      </c>
      <c r="AS137" s="7">
        <v>-0.36253627723479914</v>
      </c>
      <c r="AT137" s="7">
        <v>0.65635018552107571</v>
      </c>
      <c r="AU137" s="7">
        <v>1.352172340627942</v>
      </c>
    </row>
    <row r="138" spans="37:47" x14ac:dyDescent="0.25">
      <c r="AK138" t="str">
        <v>buick century luxus (sw)</v>
      </c>
      <c r="AL138" s="7">
        <v>13</v>
      </c>
      <c r="AM138" s="7">
        <v>11.721051602237475</v>
      </c>
      <c r="AN138" s="7">
        <v>1.2789483977625249</v>
      </c>
      <c r="AO138" s="7">
        <v>5.4033117323552447E-2</v>
      </c>
      <c r="AP138" s="7">
        <v>0.42871024250542161</v>
      </c>
      <c r="AQ138" s="7">
        <v>6.1753686570022192E-4</v>
      </c>
      <c r="AR138" s="7">
        <v>-0.42488793897993393</v>
      </c>
      <c r="AS138" s="7">
        <v>-0.34222462819834659</v>
      </c>
      <c r="AT138" s="7">
        <v>0.65475968301768672</v>
      </c>
      <c r="AU138" s="7">
        <v>1.3520012393499068</v>
      </c>
    </row>
    <row r="139" spans="37:47" x14ac:dyDescent="0.25">
      <c r="AK139" t="str">
        <v>dodge coronet custom (sw)</v>
      </c>
      <c r="AL139" s="7">
        <v>14</v>
      </c>
      <c r="AM139" s="7">
        <v>12.946372529095727</v>
      </c>
      <c r="AN139" s="7">
        <v>1.0536274709042726</v>
      </c>
      <c r="AO139" s="7">
        <v>4.8948096978339982E-2</v>
      </c>
      <c r="AP139" s="7">
        <v>0.35223603151478577</v>
      </c>
      <c r="AQ139" s="7">
        <v>3.7562131648233711E-4</v>
      </c>
      <c r="AR139" s="7">
        <v>-0.42488793897993393</v>
      </c>
      <c r="AS139" s="7">
        <v>-0.32610721496462935</v>
      </c>
      <c r="AT139" s="7">
        <v>0.59349476115192945</v>
      </c>
      <c r="AU139" s="7">
        <v>1.1078548579280603</v>
      </c>
    </row>
    <row r="140" spans="37:47" x14ac:dyDescent="0.25">
      <c r="AK140" t="str">
        <v>ford gran torino (sw)</v>
      </c>
      <c r="AL140" s="7">
        <v>14</v>
      </c>
      <c r="AM140" s="7">
        <v>12.192277808295009</v>
      </c>
      <c r="AN140" s="7">
        <v>1.8077221917049915</v>
      </c>
      <c r="AO140" s="7">
        <v>5.5331075663275053E-2</v>
      </c>
      <c r="AP140" s="7">
        <v>0.60637414955155156</v>
      </c>
      <c r="AQ140" s="7">
        <v>1.2668404438458572E-3</v>
      </c>
      <c r="AR140" s="7">
        <v>-0.42488793897993393</v>
      </c>
      <c r="AS140" s="7">
        <v>-0.31654278630410199</v>
      </c>
      <c r="AT140" s="7">
        <v>0.77870029507606553</v>
      </c>
      <c r="AU140" s="7">
        <v>1.9136039570416028</v>
      </c>
    </row>
    <row r="141" spans="37:47" x14ac:dyDescent="0.25">
      <c r="AK141" t="str">
        <v>amc matador (sw)</v>
      </c>
      <c r="AL141" s="7">
        <v>14</v>
      </c>
      <c r="AM141" s="7">
        <v>13.959034452119075</v>
      </c>
      <c r="AN141" s="7">
        <v>4.0965547880924547E-2</v>
      </c>
      <c r="AO141" s="7">
        <v>4.6537598510259667E-2</v>
      </c>
      <c r="AP141" s="7">
        <v>1.3677785391089624E-2</v>
      </c>
      <c r="AQ141" s="7">
        <v>5.3713449731696746E-7</v>
      </c>
      <c r="AR141" s="7">
        <v>-0.42488793897993393</v>
      </c>
      <c r="AS141" s="7">
        <v>-0.31629077006853967</v>
      </c>
      <c r="AT141" s="7">
        <v>0.11695206450118623</v>
      </c>
      <c r="AU141" s="7">
        <v>4.2965037548326812E-2</v>
      </c>
    </row>
    <row r="142" spans="37:47" x14ac:dyDescent="0.25">
      <c r="AK142" t="str">
        <v>audi fox</v>
      </c>
      <c r="AL142" s="7">
        <v>29</v>
      </c>
      <c r="AM142" s="7">
        <v>27.30386515776339</v>
      </c>
      <c r="AN142" s="7">
        <v>1.69613484223661</v>
      </c>
      <c r="AO142" s="7">
        <v>5.2132625039320535E-2</v>
      </c>
      <c r="AP142" s="7">
        <v>0.56798307093810541</v>
      </c>
      <c r="AQ142" s="7">
        <v>1.043719697737433E-3</v>
      </c>
      <c r="AR142" s="7">
        <v>-0.42488793897993393</v>
      </c>
      <c r="AS142" s="7">
        <v>-0.31311702677891717</v>
      </c>
      <c r="AT142" s="7">
        <v>0.75364651590656573</v>
      </c>
      <c r="AU142" s="7">
        <v>1.7894221143616966</v>
      </c>
    </row>
    <row r="143" spans="37:47" x14ac:dyDescent="0.25">
      <c r="AK143" t="str">
        <v>volkswagen dasher</v>
      </c>
      <c r="AL143" s="7">
        <v>26</v>
      </c>
      <c r="AM143" s="7">
        <v>28.859855330489932</v>
      </c>
      <c r="AN143" s="7">
        <v>-2.8598553304899319</v>
      </c>
      <c r="AO143" s="7">
        <v>5.1447023247990428E-2</v>
      </c>
      <c r="AP143" s="7">
        <v>-0.95733088971303293</v>
      </c>
      <c r="AQ143" s="7">
        <v>2.9239765362483084E-3</v>
      </c>
      <c r="AR143" s="7">
        <v>-0.42488793897993393</v>
      </c>
      <c r="AS143" s="7">
        <v>-0.31053190188587437</v>
      </c>
      <c r="AT143" s="7">
        <v>0.97843287440326376</v>
      </c>
      <c r="AU143" s="7">
        <v>-3.014966375713156</v>
      </c>
    </row>
    <row r="144" spans="37:47" x14ac:dyDescent="0.25">
      <c r="AK144" t="str">
        <v>opel manta</v>
      </c>
      <c r="AL144" s="7">
        <v>26</v>
      </c>
      <c r="AM144" s="7">
        <v>26.974919238706633</v>
      </c>
      <c r="AN144" s="7">
        <v>-0.974919238706633</v>
      </c>
      <c r="AO144" s="7">
        <v>5.0020849802743281E-2</v>
      </c>
      <c r="AP144" s="7">
        <v>-0.32610721496462935</v>
      </c>
      <c r="AQ144" s="7">
        <v>3.2938884363679954E-4</v>
      </c>
      <c r="AR144" s="7">
        <v>-0.42488793897993393</v>
      </c>
      <c r="AS144" s="7">
        <v>-0.30358004022532814</v>
      </c>
      <c r="AT144" s="7">
        <v>0.57105797863669616</v>
      </c>
      <c r="AU144" s="7">
        <v>-1.0262533009321284</v>
      </c>
    </row>
    <row r="145" spans="37:47" x14ac:dyDescent="0.25">
      <c r="AK145" t="str">
        <v>toyota corona</v>
      </c>
      <c r="AL145" s="7">
        <v>31</v>
      </c>
      <c r="AM145" s="7">
        <v>30.815257870889557</v>
      </c>
      <c r="AN145" s="7">
        <v>0.18474212911044319</v>
      </c>
      <c r="AO145" s="7">
        <v>5.1522121063569348E-2</v>
      </c>
      <c r="AP145" s="7">
        <v>6.1844508852539351E-2</v>
      </c>
      <c r="AQ145" s="7">
        <v>1.2221370089461076E-5</v>
      </c>
      <c r="AR145" s="7">
        <v>-0.42488793897993393</v>
      </c>
      <c r="AS145" s="7">
        <v>-0.29588942339118851</v>
      </c>
      <c r="AT145" s="7">
        <v>0.24868556221167998</v>
      </c>
      <c r="AU145" s="7">
        <v>0.19477747790765826</v>
      </c>
    </row>
    <row r="146" spans="37:47" x14ac:dyDescent="0.25">
      <c r="AK146" t="str">
        <v>datsun 710</v>
      </c>
      <c r="AL146" s="7">
        <v>32</v>
      </c>
      <c r="AM146" s="7">
        <v>28.876718379556362</v>
      </c>
      <c r="AN146" s="7">
        <v>3.1232816204436382</v>
      </c>
      <c r="AO146" s="7">
        <v>4.9821646072405697E-2</v>
      </c>
      <c r="AP146" s="7">
        <v>1.0446177063052586</v>
      </c>
      <c r="AQ146" s="7">
        <v>3.3657262048215914E-3</v>
      </c>
      <c r="AR146" s="7">
        <v>-0.34227644932452284</v>
      </c>
      <c r="AS146" s="7">
        <v>-0.28991504577291177</v>
      </c>
      <c r="AT146" s="7">
        <v>1.0220654119503598</v>
      </c>
      <c r="AU146" s="7">
        <v>3.2870477500707613</v>
      </c>
    </row>
    <row r="147" spans="37:47" x14ac:dyDescent="0.25">
      <c r="AK147" t="str">
        <v>dodge colt</v>
      </c>
      <c r="AL147" s="7">
        <v>28</v>
      </c>
      <c r="AM147" s="7">
        <v>25.971742948063561</v>
      </c>
      <c r="AN147" s="7">
        <v>2.0282570519364391</v>
      </c>
      <c r="AO147" s="7">
        <v>5.1496745076147737E-2</v>
      </c>
      <c r="AP147" s="7">
        <v>0.67897281388579822</v>
      </c>
      <c r="AQ147" s="7">
        <v>1.4723016665139791E-3</v>
      </c>
      <c r="AR147" s="7">
        <v>-0.3355040396155593</v>
      </c>
      <c r="AS147" s="7">
        <v>-0.28923752793396956</v>
      </c>
      <c r="AT147" s="7">
        <v>0.82399806667600761</v>
      </c>
      <c r="AU147" s="7">
        <v>2.1383764804257543</v>
      </c>
    </row>
    <row r="148" spans="37:47" x14ac:dyDescent="0.25">
      <c r="AK148" t="str">
        <v>fiat 128</v>
      </c>
      <c r="AL148" s="7">
        <v>24</v>
      </c>
      <c r="AM148" s="7">
        <v>27.995783980669671</v>
      </c>
      <c r="AN148" s="7">
        <v>-3.9957839806696711</v>
      </c>
      <c r="AO148" s="7">
        <v>5.1365356097886755E-2</v>
      </c>
      <c r="AP148" s="7">
        <v>-1.3375231715810603</v>
      </c>
      <c r="AQ148" s="7">
        <v>5.698033918563398E-3</v>
      </c>
      <c r="AR148" s="7">
        <v>-0.3355040396155593</v>
      </c>
      <c r="AS148" s="7">
        <v>-0.27897206548306047</v>
      </c>
      <c r="AT148" s="7">
        <v>1.156513368526737</v>
      </c>
      <c r="AU148" s="7">
        <v>-4.2121421627966438</v>
      </c>
    </row>
    <row r="149" spans="37:47" x14ac:dyDescent="0.25">
      <c r="AK149" t="str">
        <v>fiat 124 tc</v>
      </c>
      <c r="AL149" s="7">
        <v>26</v>
      </c>
      <c r="AM149" s="7">
        <v>27.29704725378356</v>
      </c>
      <c r="AN149" s="7">
        <v>-1.2970472537835604</v>
      </c>
      <c r="AO149" s="7">
        <v>4.9948811373861986E-2</v>
      </c>
      <c r="AP149" s="7">
        <v>-0.43384150629044232</v>
      </c>
      <c r="AQ149" s="7">
        <v>5.8209173033592734E-4</v>
      </c>
      <c r="AR149" s="7">
        <v>-0.3355040396155593</v>
      </c>
      <c r="AS149" s="7">
        <v>-0.27496797490025326</v>
      </c>
      <c r="AT149" s="7">
        <v>0.6586664605780701</v>
      </c>
      <c r="AU149" s="7">
        <v>-1.3652393358501145</v>
      </c>
    </row>
    <row r="150" spans="37:47" x14ac:dyDescent="0.25">
      <c r="AK150" t="str">
        <v>honda civic</v>
      </c>
      <c r="AL150" s="7">
        <v>24</v>
      </c>
      <c r="AM150" s="7">
        <v>25.831438356282145</v>
      </c>
      <c r="AN150" s="7">
        <v>-1.8314383562821455</v>
      </c>
      <c r="AO150" s="7">
        <v>5.0141769981706191E-2</v>
      </c>
      <c r="AP150" s="7">
        <v>-0.61264897901117887</v>
      </c>
      <c r="AQ150" s="7">
        <v>1.1655083173075431E-3</v>
      </c>
      <c r="AR150" s="7">
        <v>-0.31527742954587812</v>
      </c>
      <c r="AS150" s="7">
        <v>-0.27449869399565818</v>
      </c>
      <c r="AT150" s="7">
        <v>0.78271896553691533</v>
      </c>
      <c r="AU150" s="7">
        <v>-1.9281175847124816</v>
      </c>
    </row>
    <row r="151" spans="37:47" x14ac:dyDescent="0.25">
      <c r="AK151" t="str">
        <v>subaru</v>
      </c>
      <c r="AL151" s="7">
        <v>26</v>
      </c>
      <c r="AM151" s="7">
        <v>26.392588426377753</v>
      </c>
      <c r="AN151" s="7">
        <v>-0.3925884263777526</v>
      </c>
      <c r="AO151" s="7">
        <v>4.9910696077755418E-2</v>
      </c>
      <c r="AP151" s="7">
        <v>-0.13131189884057423</v>
      </c>
      <c r="AQ151" s="7">
        <v>5.3282971853457921E-5</v>
      </c>
      <c r="AR151" s="7">
        <v>-0.31527742954587812</v>
      </c>
      <c r="AS151" s="7">
        <v>-0.26432732427601768</v>
      </c>
      <c r="AT151" s="7">
        <v>0.36236983710095716</v>
      </c>
      <c r="AU151" s="7">
        <v>-0.41321213148809649</v>
      </c>
    </row>
    <row r="152" spans="37:47" x14ac:dyDescent="0.25">
      <c r="AK152" t="str">
        <v>fiat x1.9</v>
      </c>
      <c r="AL152" s="7">
        <v>31</v>
      </c>
      <c r="AM152" s="7">
        <v>28.672512874730614</v>
      </c>
      <c r="AN152" s="7">
        <v>2.3274871252693856</v>
      </c>
      <c r="AO152" s="7">
        <v>5.0990530009204407E-2</v>
      </c>
      <c r="AP152" s="7">
        <v>0.7789342813770056</v>
      </c>
      <c r="AQ152" s="7">
        <v>1.9176603742006918E-3</v>
      </c>
      <c r="AR152" s="7">
        <v>-0.30186483701074074</v>
      </c>
      <c r="AS152" s="7">
        <v>-0.26364023528520003</v>
      </c>
      <c r="AT152" s="7">
        <v>0.88257253604279218</v>
      </c>
      <c r="AU152" s="7">
        <v>2.4525436245562013</v>
      </c>
    </row>
    <row r="153" spans="37:47" x14ac:dyDescent="0.25">
      <c r="AK153" t="str">
        <v>plymouth valiant custom</v>
      </c>
      <c r="AL153" s="7">
        <v>19</v>
      </c>
      <c r="AM153" s="7">
        <v>19.261395253436948</v>
      </c>
      <c r="AN153" s="7">
        <v>-0.26139525343694814</v>
      </c>
      <c r="AO153" s="7">
        <v>3.5744143139369688E-2</v>
      </c>
      <c r="AP153" s="7">
        <v>-8.6786137087073154E-2</v>
      </c>
      <c r="AQ153" s="7">
        <v>1.6423450272720492E-5</v>
      </c>
      <c r="AR153" s="7">
        <v>-0.29517900048864582</v>
      </c>
      <c r="AS153" s="7">
        <v>-0.25886999570707309</v>
      </c>
      <c r="AT153" s="7">
        <v>0.2945948694174309</v>
      </c>
      <c r="AU153" s="7">
        <v>-0.27108495279249223</v>
      </c>
    </row>
    <row r="154" spans="37:47" x14ac:dyDescent="0.25">
      <c r="AK154" t="str">
        <v>chevrolet nova</v>
      </c>
      <c r="AL154" s="7">
        <v>18</v>
      </c>
      <c r="AM154" s="7">
        <v>18.11168555895377</v>
      </c>
      <c r="AN154" s="7">
        <v>-0.11168555895376997</v>
      </c>
      <c r="AO154" s="7">
        <v>3.5035103649927804E-2</v>
      </c>
      <c r="AP154" s="7">
        <v>-3.7067224491663844E-2</v>
      </c>
      <c r="AQ154" s="7">
        <v>2.9344256287308832E-6</v>
      </c>
      <c r="AR154" s="7">
        <v>-0.28850633275119353</v>
      </c>
      <c r="AS154" s="7">
        <v>-0.25571503432003556</v>
      </c>
      <c r="AT154" s="7">
        <v>0.19252850306295907</v>
      </c>
      <c r="AU154" s="7">
        <v>-0.11574054079709488</v>
      </c>
    </row>
    <row r="155" spans="37:47" x14ac:dyDescent="0.25">
      <c r="AK155" t="str">
        <v>mercury monarch</v>
      </c>
      <c r="AL155" s="7">
        <v>15</v>
      </c>
      <c r="AM155" s="7">
        <v>18.784197173028783</v>
      </c>
      <c r="AN155" s="7">
        <v>-3.7841971730287831</v>
      </c>
      <c r="AO155" s="7">
        <v>4.8468447253223537E-2</v>
      </c>
      <c r="AP155" s="7">
        <v>-1.2647682754399099</v>
      </c>
      <c r="AQ155" s="7">
        <v>4.7930164375910378E-3</v>
      </c>
      <c r="AR155" s="7">
        <v>-0.28850633275119353</v>
      </c>
      <c r="AS155" s="7">
        <v>-0.24814969353100777</v>
      </c>
      <c r="AT155" s="7">
        <v>1.1246191690700946</v>
      </c>
      <c r="AU155" s="7">
        <v>-3.9769539560774203</v>
      </c>
    </row>
    <row r="156" spans="37:47" x14ac:dyDescent="0.25">
      <c r="AK156" t="str">
        <v>ford maverick</v>
      </c>
      <c r="AL156" s="7">
        <v>15</v>
      </c>
      <c r="AM156" s="7">
        <v>20.17154400757077</v>
      </c>
      <c r="AN156" s="7">
        <v>-5.1715440075707697</v>
      </c>
      <c r="AO156" s="7">
        <v>4.2657409017414785E-2</v>
      </c>
      <c r="AP156" s="7">
        <v>-1.7231986194513169</v>
      </c>
      <c r="AQ156" s="7">
        <v>7.7830325589615112E-3</v>
      </c>
      <c r="AR156" s="7">
        <v>-0.28850633275119353</v>
      </c>
      <c r="AS156" s="7">
        <v>-0.24289117425341836</v>
      </c>
      <c r="AT156" s="7">
        <v>1.3127066006733252</v>
      </c>
      <c r="AU156" s="7">
        <v>-5.4019784101142578</v>
      </c>
    </row>
    <row r="157" spans="37:47" x14ac:dyDescent="0.25">
      <c r="AK157" t="str">
        <v>pontiac catalina</v>
      </c>
      <c r="AL157" s="7">
        <v>16</v>
      </c>
      <c r="AM157" s="7">
        <v>10.934776157297453</v>
      </c>
      <c r="AN157" s="7">
        <v>5.0652238427025473</v>
      </c>
      <c r="AO157" s="7">
        <v>4.4820942448239504E-2</v>
      </c>
      <c r="AP157" s="7">
        <v>1.6896822821993758</v>
      </c>
      <c r="AQ157" s="7">
        <v>7.8805652842904115E-3</v>
      </c>
      <c r="AR157" s="7">
        <v>-0.28850633275119353</v>
      </c>
      <c r="AS157" s="7">
        <v>-0.24068058859416963</v>
      </c>
      <c r="AT157" s="7">
        <v>1.2998777951020533</v>
      </c>
      <c r="AU157" s="7">
        <v>5.3029050445110562</v>
      </c>
    </row>
    <row r="158" spans="37:47" x14ac:dyDescent="0.25">
      <c r="AK158" t="str">
        <v>chevrolet bel air</v>
      </c>
      <c r="AL158" s="7">
        <v>15</v>
      </c>
      <c r="AM158" s="7">
        <v>12.495121548382599</v>
      </c>
      <c r="AN158" s="7">
        <v>2.504878451617401</v>
      </c>
      <c r="AO158" s="7">
        <v>4.0295891210602994E-2</v>
      </c>
      <c r="AP158" s="7">
        <v>0.83361742346055268</v>
      </c>
      <c r="AQ158" s="7">
        <v>1.7163587022957024E-3</v>
      </c>
      <c r="AR158" s="7">
        <v>-0.28850633275119353</v>
      </c>
      <c r="AS158" s="7">
        <v>-0.23318022611887829</v>
      </c>
      <c r="AT158" s="7">
        <v>0.91302651848703309</v>
      </c>
      <c r="AU158" s="7">
        <v>2.6100528576220632</v>
      </c>
    </row>
    <row r="159" spans="37:47" x14ac:dyDescent="0.25">
      <c r="AK159" t="str">
        <v>plymouth grand fury</v>
      </c>
      <c r="AL159" s="7">
        <v>16</v>
      </c>
      <c r="AM159" s="7">
        <v>12.120267430938121</v>
      </c>
      <c r="AN159" s="7">
        <v>3.8797325690618791</v>
      </c>
      <c r="AO159" s="7">
        <v>4.0897736141287097E-2</v>
      </c>
      <c r="AP159" s="7">
        <v>1.2915705569901506</v>
      </c>
      <c r="AQ159" s="7">
        <v>4.184289296931893E-3</v>
      </c>
      <c r="AR159" s="7">
        <v>-0.28850633275119353</v>
      </c>
      <c r="AS159" s="7">
        <v>-0.22773334599687814</v>
      </c>
      <c r="AT159" s="7">
        <v>1.1364728580085626</v>
      </c>
      <c r="AU159" s="7">
        <v>4.0451709012266592</v>
      </c>
    </row>
    <row r="160" spans="37:47" x14ac:dyDescent="0.25">
      <c r="AK160" t="str">
        <v>ford ltd</v>
      </c>
      <c r="AL160" s="7">
        <v>14</v>
      </c>
      <c r="AM160" s="7">
        <v>11.347674066041641</v>
      </c>
      <c r="AN160" s="7">
        <v>2.6523259339583589</v>
      </c>
      <c r="AO160" s="7">
        <v>4.3754708256543616E-2</v>
      </c>
      <c r="AP160" s="7">
        <v>0.8842825204929029</v>
      </c>
      <c r="AQ160" s="7">
        <v>2.1046924450569726E-3</v>
      </c>
      <c r="AR160" s="7">
        <v>-0.28850633275119353</v>
      </c>
      <c r="AS160" s="7">
        <v>-0.22349400460848995</v>
      </c>
      <c r="AT160" s="7">
        <v>0.94036297273600844</v>
      </c>
      <c r="AU160" s="7">
        <v>2.7736878360180524</v>
      </c>
    </row>
    <row r="161" spans="37:47" x14ac:dyDescent="0.25">
      <c r="AK161" t="str">
        <v>buick century</v>
      </c>
      <c r="AL161" s="7">
        <v>17</v>
      </c>
      <c r="AM161" s="7">
        <v>15.762140691613762</v>
      </c>
      <c r="AN161" s="7">
        <v>1.2378593083862377</v>
      </c>
      <c r="AO161" s="7">
        <v>3.8802549304697481E-2</v>
      </c>
      <c r="AP161" s="7">
        <v>0.41163641314958455</v>
      </c>
      <c r="AQ161" s="7">
        <v>4.0237065341328082E-4</v>
      </c>
      <c r="AR161" s="7">
        <v>-0.28850633275119353</v>
      </c>
      <c r="AS161" s="7">
        <v>-0.22021492268660475</v>
      </c>
      <c r="AT161" s="7">
        <v>0.64158897524005554</v>
      </c>
      <c r="AU161" s="7">
        <v>1.2878304114215098</v>
      </c>
    </row>
    <row r="162" spans="37:47" x14ac:dyDescent="0.25">
      <c r="AK162" t="str">
        <v>chevroelt chevelle malibu</v>
      </c>
      <c r="AL162" s="7">
        <v>16</v>
      </c>
      <c r="AM162" s="7">
        <v>15.893955947532636</v>
      </c>
      <c r="AN162" s="7">
        <v>0.10604405246736448</v>
      </c>
      <c r="AO162" s="7">
        <v>4.0550061485985292E-2</v>
      </c>
      <c r="AP162" s="7">
        <v>3.5295875579668304E-2</v>
      </c>
      <c r="AQ162" s="7">
        <v>3.0971924792744028E-6</v>
      </c>
      <c r="AR162" s="7">
        <v>-0.28850633275119353</v>
      </c>
      <c r="AS162" s="7">
        <v>-0.20291519301262079</v>
      </c>
      <c r="AT162" s="7">
        <v>0.18787196592272171</v>
      </c>
      <c r="AU162" s="7">
        <v>0.11052588385341326</v>
      </c>
    </row>
    <row r="163" spans="37:47" x14ac:dyDescent="0.25">
      <c r="AK163" t="str">
        <v>amc matador</v>
      </c>
      <c r="AL163" s="7">
        <v>15</v>
      </c>
      <c r="AM163" s="7">
        <v>16.658346493489425</v>
      </c>
      <c r="AN163" s="7">
        <v>-1.6583464934894252</v>
      </c>
      <c r="AO163" s="7">
        <v>3.6213181908382241E-2</v>
      </c>
      <c r="AP163" s="7">
        <v>-0.55072347548179312</v>
      </c>
      <c r="AQ163" s="7">
        <v>6.7035362396424914E-4</v>
      </c>
      <c r="AR163" s="7">
        <v>-0.22898889026089997</v>
      </c>
      <c r="AS163" s="7">
        <v>-0.19933424776621109</v>
      </c>
      <c r="AT163" s="7">
        <v>0.74210745548188173</v>
      </c>
      <c r="AU163" s="7">
        <v>-1.7206569568704999</v>
      </c>
    </row>
    <row r="164" spans="37:47" x14ac:dyDescent="0.25">
      <c r="AK164" t="str">
        <v>plymouth fury</v>
      </c>
      <c r="AL164" s="7">
        <v>18</v>
      </c>
      <c r="AM164" s="7">
        <v>16.623410943961126</v>
      </c>
      <c r="AN164" s="7">
        <v>1.376589056038874</v>
      </c>
      <c r="AO164" s="7">
        <v>4.2873777663927831E-2</v>
      </c>
      <c r="AP164" s="7">
        <v>0.45874200542910859</v>
      </c>
      <c r="AQ164" s="7">
        <v>5.5451159645289244E-4</v>
      </c>
      <c r="AR164" s="7">
        <v>-0.22898889026089997</v>
      </c>
      <c r="AS164" s="7">
        <v>-0.19789440550577952</v>
      </c>
      <c r="AT164" s="7">
        <v>0.67730495748156794</v>
      </c>
      <c r="AU164" s="7">
        <v>1.4382523683020749</v>
      </c>
    </row>
    <row r="165" spans="37:47" x14ac:dyDescent="0.25">
      <c r="AK165" t="str">
        <v>buick skyhawk</v>
      </c>
      <c r="AL165" s="7">
        <v>21</v>
      </c>
      <c r="AM165" s="7">
        <v>20.157093437535096</v>
      </c>
      <c r="AN165" s="7">
        <v>0.84290656246490414</v>
      </c>
      <c r="AO165" s="7">
        <v>3.8262991290562112E-2</v>
      </c>
      <c r="AP165" s="7">
        <v>0.2802206101814847</v>
      </c>
      <c r="AQ165" s="7">
        <v>1.8376966255361017E-4</v>
      </c>
      <c r="AR165" s="7">
        <v>-0.22898889026089997</v>
      </c>
      <c r="AS165" s="7">
        <v>-0.19419634887019871</v>
      </c>
      <c r="AT165" s="7">
        <v>0.52935867819606464</v>
      </c>
      <c r="AU165" s="7">
        <v>0.87644184931180591</v>
      </c>
    </row>
    <row r="166" spans="37:47" x14ac:dyDescent="0.25">
      <c r="AK166" t="str">
        <v>chevrolet monza 2+2</v>
      </c>
      <c r="AL166" s="7">
        <v>20</v>
      </c>
      <c r="AM166" s="7">
        <v>19.23557108758385</v>
      </c>
      <c r="AN166" s="7">
        <v>0.7644289124161503</v>
      </c>
      <c r="AO166" s="7">
        <v>3.5845191221584354E-2</v>
      </c>
      <c r="AP166" s="7">
        <v>0.25381221692103478</v>
      </c>
      <c r="AQ166" s="7">
        <v>1.4088353926934271E-4</v>
      </c>
      <c r="AR166" s="7">
        <v>-0.22898889026089997</v>
      </c>
      <c r="AS166" s="7">
        <v>-0.19410783505686552</v>
      </c>
      <c r="AT166" s="7">
        <v>0.50379779368416733</v>
      </c>
      <c r="AU166" s="7">
        <v>0.7928487266320664</v>
      </c>
    </row>
    <row r="167" spans="37:47" x14ac:dyDescent="0.25">
      <c r="AK167" t="str">
        <v>ford mustang ii</v>
      </c>
      <c r="AL167" s="7">
        <v>13</v>
      </c>
      <c r="AM167" s="7">
        <v>19.190370980452638</v>
      </c>
      <c r="AN167" s="7">
        <v>-6.1903709804526379</v>
      </c>
      <c r="AO167" s="7">
        <v>4.356645192543078E-2</v>
      </c>
      <c r="AP167" s="7">
        <v>-2.0636596826638138</v>
      </c>
      <c r="AQ167" s="7">
        <v>1.1411024261701277E-2</v>
      </c>
      <c r="AR167" s="7">
        <v>-0.20280722023220576</v>
      </c>
      <c r="AS167" s="7">
        <v>-0.18942202796256102</v>
      </c>
      <c r="AT167" s="7">
        <v>1.4365443545758738</v>
      </c>
      <c r="AU167" s="7">
        <v>-6.4723482283894116</v>
      </c>
    </row>
    <row r="168" spans="37:47" x14ac:dyDescent="0.25">
      <c r="AK168" t="str">
        <v>toyota corolla</v>
      </c>
      <c r="AL168" s="7">
        <v>29</v>
      </c>
      <c r="AM168" s="7">
        <v>27.180262912929358</v>
      </c>
      <c r="AN168" s="7">
        <v>1.8197370870706422</v>
      </c>
      <c r="AO168" s="7">
        <v>4.7178286413457796E-2</v>
      </c>
      <c r="AP168" s="7">
        <v>0.60778730846125428</v>
      </c>
      <c r="AQ168" s="7">
        <v>1.0759320631190577E-3</v>
      </c>
      <c r="AR168" s="7">
        <v>-0.1962841646325432</v>
      </c>
      <c r="AS168" s="7">
        <v>-0.18217601115514115</v>
      </c>
      <c r="AT168" s="7">
        <v>0.77960715008345982</v>
      </c>
      <c r="AU168" s="7">
        <v>1.9098400688423862</v>
      </c>
    </row>
    <row r="169" spans="37:47" x14ac:dyDescent="0.25">
      <c r="AK169" t="str">
        <v>ford pinto</v>
      </c>
      <c r="AL169" s="7">
        <v>23</v>
      </c>
      <c r="AM169" s="7">
        <v>22.620800946327407</v>
      </c>
      <c r="AN169" s="7">
        <v>0.37919905367259332</v>
      </c>
      <c r="AO169" s="7">
        <v>3.954911822070889E-2</v>
      </c>
      <c r="AP169" s="7">
        <v>0.12614744788802004</v>
      </c>
      <c r="AQ169" s="7">
        <v>3.8545143009553003E-5</v>
      </c>
      <c r="AR169" s="7">
        <v>-0.1962841646325432</v>
      </c>
      <c r="AS169" s="7">
        <v>-0.17875083851948473</v>
      </c>
      <c r="AT169" s="7">
        <v>0.35517241994279347</v>
      </c>
      <c r="AU169" s="7">
        <v>0.39481358273116995</v>
      </c>
    </row>
    <row r="170" spans="37:47" x14ac:dyDescent="0.25">
      <c r="AK170" t="str">
        <v>amc gremlin</v>
      </c>
      <c r="AL170" s="7">
        <v>20</v>
      </c>
      <c r="AM170" s="7">
        <v>20.952371458960101</v>
      </c>
      <c r="AN170" s="7">
        <v>-0.95237145896010134</v>
      </c>
      <c r="AO170" s="7">
        <v>3.7843962917676083E-2</v>
      </c>
      <c r="AP170" s="7">
        <v>-0.31654278630410199</v>
      </c>
      <c r="AQ170" s="7">
        <v>2.3182860362914429E-4</v>
      </c>
      <c r="AR170" s="7">
        <v>-0.1962841646325432</v>
      </c>
      <c r="AS170" s="7">
        <v>-0.16374778792660116</v>
      </c>
      <c r="AT170" s="7">
        <v>0.562621352513484</v>
      </c>
      <c r="AU170" s="7">
        <v>-0.98983057035957112</v>
      </c>
    </row>
    <row r="171" spans="37:47" x14ac:dyDescent="0.25">
      <c r="AK171" t="str">
        <v>pontiac astro</v>
      </c>
      <c r="AL171" s="7">
        <v>23</v>
      </c>
      <c r="AM171" s="7">
        <v>22.939958658005594</v>
      </c>
      <c r="AN171" s="7">
        <v>6.0041341994406139E-2</v>
      </c>
      <c r="AO171" s="7">
        <v>3.9967778821523789E-2</v>
      </c>
      <c r="AP171" s="7">
        <v>1.9978196923056375E-2</v>
      </c>
      <c r="AQ171" s="7">
        <v>9.7743494523183713E-7</v>
      </c>
      <c r="AR171" s="7">
        <v>-0.17676385996282307</v>
      </c>
      <c r="AS171" s="7">
        <v>-0.16166667853581243</v>
      </c>
      <c r="AT171" s="7">
        <v>0.14134424969929402</v>
      </c>
      <c r="AU171" s="7">
        <v>6.2540965469578824E-2</v>
      </c>
    </row>
    <row r="172" spans="37:47" x14ac:dyDescent="0.25">
      <c r="AK172" t="str">
        <v>toyota corona</v>
      </c>
      <c r="AL172" s="7">
        <v>24</v>
      </c>
      <c r="AM172" s="7">
        <v>24.150680436278002</v>
      </c>
      <c r="AN172" s="7">
        <v>-0.15068043627800165</v>
      </c>
      <c r="AO172" s="7">
        <v>4.7066803238434395E-2</v>
      </c>
      <c r="AP172" s="7">
        <v>-5.0323917807234816E-2</v>
      </c>
      <c r="AQ172" s="7">
        <v>7.3578717392998806E-6</v>
      </c>
      <c r="AR172" s="7">
        <v>-0.17676385996282307</v>
      </c>
      <c r="AS172" s="7">
        <v>-0.15803478633346987</v>
      </c>
      <c r="AT172" s="7">
        <v>0.22432993069859139</v>
      </c>
      <c r="AU172" s="7">
        <v>-0.15812276956041815</v>
      </c>
    </row>
    <row r="173" spans="37:47" x14ac:dyDescent="0.25">
      <c r="AK173" t="str">
        <v>volkswagen dasher</v>
      </c>
      <c r="AL173" s="7">
        <v>25</v>
      </c>
      <c r="AM173" s="7">
        <v>26.85993969880759</v>
      </c>
      <c r="AN173" s="7">
        <v>-1.8599396988075902</v>
      </c>
      <c r="AO173" s="7">
        <v>4.6422402489413622E-2</v>
      </c>
      <c r="AP173" s="7">
        <v>-0.62096861122347158</v>
      </c>
      <c r="AQ173" s="7">
        <v>1.1042361165811076E-3</v>
      </c>
      <c r="AR173" s="7">
        <v>-0.16378810102408645</v>
      </c>
      <c r="AS173" s="7">
        <v>-0.15390694742658717</v>
      </c>
      <c r="AT173" s="7">
        <v>0.78801561610381277</v>
      </c>
      <c r="AU173" s="7">
        <v>-1.9504859422695715</v>
      </c>
    </row>
    <row r="174" spans="37:47" x14ac:dyDescent="0.25">
      <c r="AK174" t="str">
        <v>datsun 710</v>
      </c>
      <c r="AL174" s="7">
        <v>24</v>
      </c>
      <c r="AM174" s="7">
        <v>24.929383613897791</v>
      </c>
      <c r="AN174" s="7">
        <v>-0.92938361389779089</v>
      </c>
      <c r="AO174" s="7">
        <v>4.7916183652933153E-2</v>
      </c>
      <c r="AP174" s="7">
        <v>-0.31053190188587437</v>
      </c>
      <c r="AQ174" s="7">
        <v>2.8547663095471009E-4</v>
      </c>
      <c r="AR174" s="7">
        <v>-0.1573106846101707</v>
      </c>
      <c r="AS174" s="7">
        <v>-0.15234540833318785</v>
      </c>
      <c r="AT174" s="7">
        <v>0.55725389355829036</v>
      </c>
      <c r="AU174" s="7">
        <v>-0.97615734869187087</v>
      </c>
    </row>
    <row r="175" spans="37:47" x14ac:dyDescent="0.25">
      <c r="AK175" t="str">
        <v>ford pinto</v>
      </c>
      <c r="AL175" s="7">
        <v>18</v>
      </c>
      <c r="AM175" s="7">
        <v>20.646649081762554</v>
      </c>
      <c r="AN175" s="7">
        <v>-2.6466490817625541</v>
      </c>
      <c r="AO175" s="7">
        <v>3.6582858116322642E-2</v>
      </c>
      <c r="AP175" s="7">
        <v>-0.87909939485507749</v>
      </c>
      <c r="AQ175" s="7">
        <v>1.7261967878924674E-3</v>
      </c>
      <c r="AR175" s="7">
        <v>-0.1573106846101707</v>
      </c>
      <c r="AS175" s="7">
        <v>-0.15142098901853582</v>
      </c>
      <c r="AT175" s="7">
        <v>0.93760300493069959</v>
      </c>
      <c r="AU175" s="7">
        <v>-2.7471475923583988</v>
      </c>
    </row>
    <row r="176" spans="37:47" x14ac:dyDescent="0.25">
      <c r="AK176" t="str">
        <v>volkswagen rabbit</v>
      </c>
      <c r="AL176" s="7">
        <v>29</v>
      </c>
      <c r="AM176" s="7">
        <v>28.324282680684522</v>
      </c>
      <c r="AN176" s="7">
        <v>0.67571731931547774</v>
      </c>
      <c r="AO176" s="7">
        <v>5.0674058742774086E-2</v>
      </c>
      <c r="AP176" s="7">
        <v>0.22610292454868022</v>
      </c>
      <c r="AQ176" s="7">
        <v>1.6052171099173186E-4</v>
      </c>
      <c r="AR176" s="7">
        <v>-0.1573106846101707</v>
      </c>
      <c r="AS176" s="7">
        <v>-0.1498383863684378</v>
      </c>
      <c r="AT176" s="7">
        <v>0.47550281234571073</v>
      </c>
      <c r="AU176" s="7">
        <v>0.71178642650447477</v>
      </c>
    </row>
    <row r="177" spans="37:47" x14ac:dyDescent="0.25">
      <c r="AK177" t="str">
        <v>amc pacer</v>
      </c>
      <c r="AL177" s="7">
        <v>19</v>
      </c>
      <c r="AM177" s="7">
        <v>19.610932822805843</v>
      </c>
      <c r="AN177" s="7">
        <v>-0.61093282280584305</v>
      </c>
      <c r="AO177" s="7">
        <v>3.6491848307314473E-2</v>
      </c>
      <c r="AP177" s="7">
        <v>-0.20291519301262079</v>
      </c>
      <c r="AQ177" s="7">
        <v>9.1731960876768702E-5</v>
      </c>
      <c r="AR177" s="7">
        <v>-0.1573106846101707</v>
      </c>
      <c r="AS177" s="7">
        <v>-0.14480257381873282</v>
      </c>
      <c r="AT177" s="7">
        <v>0.4504610893435978</v>
      </c>
      <c r="AU177" s="7">
        <v>-0.63407125485400384</v>
      </c>
    </row>
    <row r="178" spans="37:47" x14ac:dyDescent="0.25">
      <c r="AK178" t="str">
        <v>audi 100ls</v>
      </c>
      <c r="AL178" s="7">
        <v>23</v>
      </c>
      <c r="AM178" s="7">
        <v>24.085446503202622</v>
      </c>
      <c r="AN178" s="7">
        <v>-1.0854465032026219</v>
      </c>
      <c r="AO178" s="7">
        <v>4.7178576518786153E-2</v>
      </c>
      <c r="AP178" s="7">
        <v>-0.36253627723479914</v>
      </c>
      <c r="AQ178" s="7">
        <v>3.8281358385704693E-4</v>
      </c>
      <c r="AR178" s="7">
        <v>-0.1573106846101707</v>
      </c>
      <c r="AS178" s="7">
        <v>-0.14215101395795865</v>
      </c>
      <c r="AT178" s="7">
        <v>0.60210985478963819</v>
      </c>
      <c r="AU178" s="7">
        <v>-1.1391919581707675</v>
      </c>
    </row>
    <row r="179" spans="37:47" x14ac:dyDescent="0.25">
      <c r="AK179" t="str">
        <v>peugeot 504</v>
      </c>
      <c r="AL179" s="7">
        <v>23</v>
      </c>
      <c r="AM179" s="7">
        <v>22.867451098101707</v>
      </c>
      <c r="AN179" s="7">
        <v>0.13254890189829283</v>
      </c>
      <c r="AO179" s="7">
        <v>4.6145599109593816E-2</v>
      </c>
      <c r="AP179" s="7">
        <v>4.4247006473739414E-2</v>
      </c>
      <c r="AQ179" s="7">
        <v>5.5714349909391611E-6</v>
      </c>
      <c r="AR179" s="7">
        <v>-0.1573106846101707</v>
      </c>
      <c r="AS179" s="7">
        <v>-0.13131189884057423</v>
      </c>
      <c r="AT179" s="7">
        <v>0.21034972420647338</v>
      </c>
      <c r="AU179" s="7">
        <v>0.13896135696869541</v>
      </c>
    </row>
    <row r="180" spans="37:47" x14ac:dyDescent="0.25">
      <c r="AK180" t="str">
        <v>volvo 244dl</v>
      </c>
      <c r="AL180" s="7">
        <v>22</v>
      </c>
      <c r="AM180" s="7">
        <v>22.765846493947695</v>
      </c>
      <c r="AN180" s="7">
        <v>-0.765846493947695</v>
      </c>
      <c r="AO180" s="7">
        <v>4.6614506585768878E-2</v>
      </c>
      <c r="AP180" s="7">
        <v>-0.25571503432003556</v>
      </c>
      <c r="AQ180" s="7">
        <v>1.8806854102407897E-4</v>
      </c>
      <c r="AR180" s="7">
        <v>-0.1573106846101707</v>
      </c>
      <c r="AS180" s="7">
        <v>-0.11985683096865939</v>
      </c>
      <c r="AT180" s="7">
        <v>0.50568274077729369</v>
      </c>
      <c r="AU180" s="7">
        <v>-0.80329153237382711</v>
      </c>
    </row>
    <row r="181" spans="37:47" x14ac:dyDescent="0.25">
      <c r="AK181" t="str">
        <v>saab 99le</v>
      </c>
      <c r="AL181" s="7">
        <v>25</v>
      </c>
      <c r="AM181" s="7">
        <v>23.87717398527948</v>
      </c>
      <c r="AN181" s="7">
        <v>1.1228260147205198</v>
      </c>
      <c r="AO181" s="7">
        <v>5.710316922230408E-2</v>
      </c>
      <c r="AP181" s="7">
        <v>0.37698943709717597</v>
      </c>
      <c r="AQ181" s="7">
        <v>5.0629714512212824E-4</v>
      </c>
      <c r="AR181" s="7">
        <v>-0.11213762424542992</v>
      </c>
      <c r="AS181" s="7">
        <v>-0.10402109723738548</v>
      </c>
      <c r="AT181" s="7">
        <v>0.61399465559333333</v>
      </c>
      <c r="AU181" s="7">
        <v>1.1908259504853986</v>
      </c>
    </row>
    <row r="182" spans="37:47" x14ac:dyDescent="0.25">
      <c r="AK182" t="str">
        <v>honda civic cvcc</v>
      </c>
      <c r="AL182" s="7">
        <v>33</v>
      </c>
      <c r="AM182" s="7">
        <v>29.441268831191159</v>
      </c>
      <c r="AN182" s="7">
        <v>3.5587311688088406</v>
      </c>
      <c r="AO182" s="7">
        <v>4.9364660077821906E-2</v>
      </c>
      <c r="AP182" s="7">
        <v>1.1899727275032885</v>
      </c>
      <c r="AQ182" s="7">
        <v>4.3254101044937427E-3</v>
      </c>
      <c r="AR182" s="7">
        <v>-0.1057051091748199</v>
      </c>
      <c r="AS182" s="7">
        <v>-0.10145734321849456</v>
      </c>
      <c r="AT182" s="7">
        <v>1.090858711063577</v>
      </c>
      <c r="AU182" s="7">
        <v>3.7435292160505722</v>
      </c>
    </row>
    <row r="183" spans="37:47" x14ac:dyDescent="0.25">
      <c r="AK183" t="str">
        <v>fiat 131</v>
      </c>
      <c r="AL183" s="7">
        <v>28</v>
      </c>
      <c r="AM183" s="7">
        <v>26.171208171857554</v>
      </c>
      <c r="AN183" s="7">
        <v>1.828791828142446</v>
      </c>
      <c r="AO183" s="7">
        <v>4.1153887070672052E-2</v>
      </c>
      <c r="AP183" s="7">
        <v>0.6088896894378435</v>
      </c>
      <c r="AQ183" s="7">
        <v>9.3603107765154398E-4</v>
      </c>
      <c r="AR183" s="7">
        <v>-0.1057051091748199</v>
      </c>
      <c r="AS183" s="7">
        <v>-9.8723664725636207E-2</v>
      </c>
      <c r="AT183" s="7">
        <v>0.78031384034748708</v>
      </c>
      <c r="AU183" s="7">
        <v>1.9072839775669379</v>
      </c>
    </row>
    <row r="184" spans="37:47" x14ac:dyDescent="0.25">
      <c r="AK184" t="str">
        <v>opel 1900</v>
      </c>
      <c r="AL184" s="7">
        <v>25</v>
      </c>
      <c r="AM184" s="7">
        <v>27.487837877713748</v>
      </c>
      <c r="AN184" s="7">
        <v>-2.4878378777137478</v>
      </c>
      <c r="AO184" s="7">
        <v>4.2581826113320745E-2</v>
      </c>
      <c r="AP184" s="7">
        <v>-0.82893417664067559</v>
      </c>
      <c r="AQ184" s="7">
        <v>1.7976857890474459E-3</v>
      </c>
      <c r="AR184" s="7">
        <v>-0.1057051091748199</v>
      </c>
      <c r="AS184" s="7">
        <v>-8.6786137087073154E-2</v>
      </c>
      <c r="AT184" s="7">
        <v>0.91045822344612581</v>
      </c>
      <c r="AU184" s="7">
        <v>-2.5984861636940373</v>
      </c>
    </row>
    <row r="185" spans="37:47" x14ac:dyDescent="0.25">
      <c r="AK185" t="str">
        <v>capri ii</v>
      </c>
      <c r="AL185" s="7">
        <v>25</v>
      </c>
      <c r="AM185" s="7">
        <v>23.588987372554566</v>
      </c>
      <c r="AN185" s="7">
        <v>1.4110126274454338</v>
      </c>
      <c r="AO185" s="7">
        <v>3.6756720464821695E-2</v>
      </c>
      <c r="AP185" s="7">
        <v>0.46871808445674862</v>
      </c>
      <c r="AQ185" s="7">
        <v>4.931457182962035E-4</v>
      </c>
      <c r="AR185" s="7">
        <v>-8.6432705492186665E-2</v>
      </c>
      <c r="AS185" s="7">
        <v>-8.5231484219194242E-2</v>
      </c>
      <c r="AT185" s="7">
        <v>0.68462988866740881</v>
      </c>
      <c r="AU185" s="7">
        <v>1.4648559272859194</v>
      </c>
    </row>
    <row r="186" spans="37:47" x14ac:dyDescent="0.25">
      <c r="AK186" t="str">
        <v>dodge colt</v>
      </c>
      <c r="AL186" s="7">
        <v>26</v>
      </c>
      <c r="AM186" s="7">
        <v>25.405130135942613</v>
      </c>
      <c r="AN186" s="7">
        <v>0.59486986405738662</v>
      </c>
      <c r="AO186" s="7">
        <v>4.0625422118048538E-2</v>
      </c>
      <c r="AP186" s="7">
        <v>0.1980052332784995</v>
      </c>
      <c r="AQ186" s="7">
        <v>9.7659410116931783E-5</v>
      </c>
      <c r="AR186" s="7">
        <v>-8.0016051321401133E-2</v>
      </c>
      <c r="AS186" s="7">
        <v>-7.1999000729864662E-2</v>
      </c>
      <c r="AT186" s="7">
        <v>0.44497778964629181</v>
      </c>
      <c r="AU186" s="7">
        <v>0.62006006597621544</v>
      </c>
    </row>
    <row r="187" spans="37:47" x14ac:dyDescent="0.25">
      <c r="AK187" t="str">
        <v>renault 12tl</v>
      </c>
      <c r="AL187" s="7">
        <v>27</v>
      </c>
      <c r="AM187" s="7">
        <v>27.546504586878768</v>
      </c>
      <c r="AN187" s="7">
        <v>-0.54650458687876835</v>
      </c>
      <c r="AO187" s="7">
        <v>4.346062388607623E-2</v>
      </c>
      <c r="AP187" s="7">
        <v>-0.18217601115514115</v>
      </c>
      <c r="AQ187" s="7">
        <v>8.870060048857297E-5</v>
      </c>
      <c r="AR187" s="7">
        <v>-8.0016051321401133E-2</v>
      </c>
      <c r="AS187" s="7">
        <v>-7.0617155228777803E-2</v>
      </c>
      <c r="AT187" s="7">
        <v>0.42682081855872628</v>
      </c>
      <c r="AU187" s="7">
        <v>-0.57133516980662136</v>
      </c>
    </row>
    <row r="188" spans="37:47" x14ac:dyDescent="0.25">
      <c r="AK188" t="str">
        <v>chevrolet chevelle malibu classic</v>
      </c>
      <c r="AL188" s="7">
        <v>17.5</v>
      </c>
      <c r="AM188" s="7">
        <v>14.490620941147784</v>
      </c>
      <c r="AN188" s="7">
        <v>3.0093790588522165</v>
      </c>
      <c r="AO188" s="7">
        <v>3.5065516812038691E-2</v>
      </c>
      <c r="AP188" s="7">
        <v>0.99879597785625385</v>
      </c>
      <c r="AQ188" s="7">
        <v>2.1324903057254852E-3</v>
      </c>
      <c r="AR188" s="7">
        <v>-8.0016051321401133E-2</v>
      </c>
      <c r="AS188" s="7">
        <v>-6.5682072482441053E-2</v>
      </c>
      <c r="AT188" s="7">
        <v>0.99939780761028985</v>
      </c>
      <c r="AU188" s="7">
        <v>3.1187392629080852</v>
      </c>
    </row>
    <row r="189" spans="37:47" x14ac:dyDescent="0.25">
      <c r="AK189" t="str">
        <v>dodge coronet brougham</v>
      </c>
      <c r="AL189" s="7">
        <v>16</v>
      </c>
      <c r="AM189" s="7">
        <v>14.454839361990286</v>
      </c>
      <c r="AN189" s="7">
        <v>1.5451606380097136</v>
      </c>
      <c r="AO189" s="7">
        <v>3.5191794672888514E-2</v>
      </c>
      <c r="AP189" s="7">
        <v>0.5128636816681813</v>
      </c>
      <c r="AQ189" s="7">
        <v>5.6435892396387106E-4</v>
      </c>
      <c r="AR189" s="7">
        <v>-8.0016051321401133E-2</v>
      </c>
      <c r="AS189" s="7">
        <v>-6.3550945766771158E-2</v>
      </c>
      <c r="AT189" s="7">
        <v>0.7161450144127105</v>
      </c>
      <c r="AU189" s="7">
        <v>1.6015210375266633</v>
      </c>
    </row>
    <row r="190" spans="37:47" x14ac:dyDescent="0.25">
      <c r="AK190" t="str">
        <v>amc matador</v>
      </c>
      <c r="AL190" s="7">
        <v>15.5</v>
      </c>
      <c r="AM190" s="7">
        <v>16.096366912843141</v>
      </c>
      <c r="AN190" s="7">
        <v>-0.59636691284314125</v>
      </c>
      <c r="AO190" s="7">
        <v>3.4710340110544448E-2</v>
      </c>
      <c r="AP190" s="7">
        <v>-0.19789440550577952</v>
      </c>
      <c r="AQ190" s="7">
        <v>8.2836039655797219E-5</v>
      </c>
      <c r="AR190" s="7">
        <v>-8.0016051321401133E-2</v>
      </c>
      <c r="AS190" s="7">
        <v>-5.0323917807234816E-2</v>
      </c>
      <c r="AT190" s="7">
        <v>0.44485324041281249</v>
      </c>
      <c r="AU190" s="7">
        <v>-0.61781135510291996</v>
      </c>
    </row>
    <row r="191" spans="37:47" x14ac:dyDescent="0.25">
      <c r="AK191" t="str">
        <v>ford gran torino</v>
      </c>
      <c r="AL191" s="7">
        <v>14.5</v>
      </c>
      <c r="AM191" s="7">
        <v>14.295783757705289</v>
      </c>
      <c r="AN191" s="7">
        <v>0.20421624229471114</v>
      </c>
      <c r="AO191" s="7">
        <v>3.5592867582381046E-2</v>
      </c>
      <c r="AP191" s="7">
        <v>6.7796750316842819E-2</v>
      </c>
      <c r="AQ191" s="7">
        <v>9.9786410096212864E-6</v>
      </c>
      <c r="AR191" s="7">
        <v>-8.0016051321401133E-2</v>
      </c>
      <c r="AS191" s="7">
        <v>-5.015145269264281E-2</v>
      </c>
      <c r="AT191" s="7">
        <v>0.2603780910845665</v>
      </c>
      <c r="AU191" s="7">
        <v>0.21175314390590697</v>
      </c>
    </row>
    <row r="192" spans="37:47" x14ac:dyDescent="0.25">
      <c r="AK192" t="str">
        <v>plymouth valiant</v>
      </c>
      <c r="AL192" s="7">
        <v>22</v>
      </c>
      <c r="AM192" s="7">
        <v>20.112248261334074</v>
      </c>
      <c r="AN192" s="7">
        <v>1.8877517386659264</v>
      </c>
      <c r="AO192" s="7">
        <v>3.160787198798605E-2</v>
      </c>
      <c r="AP192" s="7">
        <v>0.62541466034937176</v>
      </c>
      <c r="AQ192" s="7">
        <v>7.5098489283515499E-4</v>
      </c>
      <c r="AR192" s="7">
        <v>-8.0016051321401133E-2</v>
      </c>
      <c r="AS192" s="7">
        <v>-3.7067224491663844E-2</v>
      </c>
      <c r="AT192" s="7">
        <v>0.79083162578982114</v>
      </c>
      <c r="AU192" s="7">
        <v>1.9493670839118045</v>
      </c>
    </row>
    <row r="193" spans="37:47" x14ac:dyDescent="0.25">
      <c r="AK193" t="str">
        <v>chevrolet nova</v>
      </c>
      <c r="AL193" s="7">
        <v>22</v>
      </c>
      <c r="AM193" s="7">
        <v>19.423468947752358</v>
      </c>
      <c r="AN193" s="7">
        <v>2.5765310522476419</v>
      </c>
      <c r="AO193" s="7">
        <v>3.1358116348539328E-2</v>
      </c>
      <c r="AP193" s="7">
        <v>0.85349810780512758</v>
      </c>
      <c r="AQ193" s="7">
        <v>1.3872122881645956E-3</v>
      </c>
      <c r="AR193" s="7">
        <v>-8.0016051321401133E-2</v>
      </c>
      <c r="AS193" s="7">
        <v>-3.3128045912270733E-2</v>
      </c>
      <c r="AT193" s="7">
        <v>0.92384961319747683</v>
      </c>
      <c r="AU193" s="7">
        <v>2.6599418172327725</v>
      </c>
    </row>
    <row r="194" spans="37:47" x14ac:dyDescent="0.25">
      <c r="AK194" t="str">
        <v>ford maverick</v>
      </c>
      <c r="AL194" s="7">
        <v>24</v>
      </c>
      <c r="AM194" s="7">
        <v>21.539731893392158</v>
      </c>
      <c r="AN194" s="7">
        <v>2.4602681066078418</v>
      </c>
      <c r="AO194" s="7">
        <v>3.4789421341587488E-2</v>
      </c>
      <c r="AP194" s="7">
        <v>0.81643234827063693</v>
      </c>
      <c r="AQ194" s="7">
        <v>1.4132422684013989E-3</v>
      </c>
      <c r="AR194" s="7">
        <v>-8.0016051321401133E-2</v>
      </c>
      <c r="AS194" s="7">
        <v>-3.1377572652117845E-2</v>
      </c>
      <c r="AT194" s="7">
        <v>0.9035664603506689</v>
      </c>
      <c r="AU194" s="7">
        <v>2.5489444075794045</v>
      </c>
    </row>
    <row r="195" spans="37:47" x14ac:dyDescent="0.25">
      <c r="AK195" t="str">
        <v>amc hornet</v>
      </c>
      <c r="AL195" s="7">
        <v>22.5</v>
      </c>
      <c r="AM195" s="7">
        <v>21.023982403906764</v>
      </c>
      <c r="AN195" s="7">
        <v>1.4760175960932358</v>
      </c>
      <c r="AO195" s="7">
        <v>3.2808881221181335E-2</v>
      </c>
      <c r="AP195" s="7">
        <v>0.48931010929768809</v>
      </c>
      <c r="AQ195" s="7">
        <v>4.7774766919710132E-4</v>
      </c>
      <c r="AR195" s="7">
        <v>-8.0016051321401133E-2</v>
      </c>
      <c r="AS195" s="7">
        <v>-2.8119699994228455E-2</v>
      </c>
      <c r="AT195" s="7">
        <v>0.69950704735384051</v>
      </c>
      <c r="AU195" s="7">
        <v>1.5260867965339306</v>
      </c>
    </row>
    <row r="196" spans="37:47" x14ac:dyDescent="0.25">
      <c r="AK196" t="str">
        <v>chevrolet chevette</v>
      </c>
      <c r="AL196" s="7">
        <v>29</v>
      </c>
      <c r="AM196" s="7">
        <v>26.957441914013906</v>
      </c>
      <c r="AN196" s="7">
        <v>2.0425580859860943</v>
      </c>
      <c r="AO196" s="7">
        <v>4.3907903822605877E-2</v>
      </c>
      <c r="AP196" s="7">
        <v>0.68104115262367493</v>
      </c>
      <c r="AQ196" s="7">
        <v>1.2529702681123775E-3</v>
      </c>
      <c r="AR196" s="7">
        <v>-1.5986830666930081E-2</v>
      </c>
      <c r="AS196" s="7">
        <v>-2.6512351797491639E-2</v>
      </c>
      <c r="AT196" s="7">
        <v>0.82525217517052019</v>
      </c>
      <c r="AU196" s="7">
        <v>2.1363612293758742</v>
      </c>
    </row>
    <row r="197" spans="37:47" x14ac:dyDescent="0.25">
      <c r="AK197" t="str">
        <v>chevrolet woody</v>
      </c>
      <c r="AL197" s="7">
        <v>24.5</v>
      </c>
      <c r="AM197" s="7">
        <v>26.174383518035519</v>
      </c>
      <c r="AN197" s="7">
        <v>-1.6743835180355191</v>
      </c>
      <c r="AO197" s="7">
        <v>4.1334985344032273E-2</v>
      </c>
      <c r="AP197" s="7">
        <v>-0.55753264896976684</v>
      </c>
      <c r="AQ197" s="7">
        <v>7.8839270533020522E-4</v>
      </c>
      <c r="AR197" s="7">
        <v>-9.5918369045287465E-3</v>
      </c>
      <c r="AS197" s="7">
        <v>-2.0495322425383513E-2</v>
      </c>
      <c r="AT197" s="7">
        <v>0.74668108920058152</v>
      </c>
      <c r="AU197" s="7">
        <v>-1.7465783067471157</v>
      </c>
    </row>
    <row r="198" spans="37:47" x14ac:dyDescent="0.25">
      <c r="AK198" t="str">
        <v>vw rabbit</v>
      </c>
      <c r="AL198" s="7">
        <v>29</v>
      </c>
      <c r="AM198" s="7">
        <v>29.099355250280734</v>
      </c>
      <c r="AN198" s="7">
        <v>-9.9355250280733998E-2</v>
      </c>
      <c r="AO198" s="7">
        <v>4.3934576924847632E-2</v>
      </c>
      <c r="AP198" s="7">
        <v>-3.3128045912270733E-2</v>
      </c>
      <c r="AQ198" s="7">
        <v>2.9666174993553538E-6</v>
      </c>
      <c r="AR198" s="7">
        <v>-3.1972353893137463E-3</v>
      </c>
      <c r="AS198" s="7">
        <v>-1.3087490477450449E-2</v>
      </c>
      <c r="AT198" s="7">
        <v>0.1820111148042084</v>
      </c>
      <c r="AU198" s="7">
        <v>-0.10392097432115176</v>
      </c>
    </row>
    <row r="199" spans="37:47" x14ac:dyDescent="0.25">
      <c r="AK199" t="str">
        <v>honda civic</v>
      </c>
      <c r="AL199" s="7">
        <v>33</v>
      </c>
      <c r="AM199" s="7">
        <v>30.216341400787371</v>
      </c>
      <c r="AN199" s="7">
        <v>2.7836585992126288</v>
      </c>
      <c r="AO199" s="7">
        <v>4.5682451098333951E-2</v>
      </c>
      <c r="AP199" s="7">
        <v>0.92900557209987533</v>
      </c>
      <c r="AQ199" s="7">
        <v>2.4302122418027356E-3</v>
      </c>
      <c r="AR199" s="7">
        <v>3.1972353893138855E-3</v>
      </c>
      <c r="AS199" s="7">
        <v>-1.2115968549613172E-2</v>
      </c>
      <c r="AT199" s="7">
        <v>0.96384935135106842</v>
      </c>
      <c r="AU199" s="7">
        <v>2.9169102071070268</v>
      </c>
    </row>
    <row r="200" spans="37:47" x14ac:dyDescent="0.25">
      <c r="AK200" t="str">
        <v>dodge aspen se</v>
      </c>
      <c r="AL200" s="7">
        <v>20</v>
      </c>
      <c r="AM200" s="7">
        <v>17.995784842215276</v>
      </c>
      <c r="AN200" s="7">
        <v>2.0042151577847243</v>
      </c>
      <c r="AO200" s="7">
        <v>3.6041566214087571E-2</v>
      </c>
      <c r="AP200" s="7">
        <v>0.66552441488229586</v>
      </c>
      <c r="AQ200" s="7">
        <v>9.7414680643075307E-4</v>
      </c>
      <c r="AR200" s="7">
        <v>3.1972353893138855E-3</v>
      </c>
      <c r="AS200" s="7">
        <v>-1.1623375752352078E-2</v>
      </c>
      <c r="AT200" s="7">
        <v>0.81579679754354018</v>
      </c>
      <c r="AU200" s="7">
        <v>2.0791510168267742</v>
      </c>
    </row>
    <row r="201" spans="37:47" x14ac:dyDescent="0.25">
      <c r="AK201" t="str">
        <v>ford granada ghia</v>
      </c>
      <c r="AL201" s="7">
        <v>18</v>
      </c>
      <c r="AM201" s="7">
        <v>18.742861185557164</v>
      </c>
      <c r="AN201" s="7">
        <v>-0.74286118555716385</v>
      </c>
      <c r="AO201" s="7">
        <v>4.7455102359536844E-2</v>
      </c>
      <c r="AP201" s="7">
        <v>-0.24814969353100777</v>
      </c>
      <c r="AQ201" s="7">
        <v>1.8045795205291523E-4</v>
      </c>
      <c r="AR201" s="7">
        <v>3.1972353893138855E-3</v>
      </c>
      <c r="AS201" s="7">
        <v>-9.0731992161423598E-3</v>
      </c>
      <c r="AT201" s="7">
        <v>0.49814625716852251</v>
      </c>
      <c r="AU201" s="7">
        <v>-0.77986999604669116</v>
      </c>
    </row>
    <row r="202" spans="37:47" x14ac:dyDescent="0.25">
      <c r="AK202" t="str">
        <v>pontiac ventura sj</v>
      </c>
      <c r="AL202" s="7">
        <v>18.5</v>
      </c>
      <c r="AM202" s="7">
        <v>17.863800380370563</v>
      </c>
      <c r="AN202" s="7">
        <v>0.63619961962943705</v>
      </c>
      <c r="AO202" s="7">
        <v>3.2675410542189282E-2</v>
      </c>
      <c r="AP202" s="7">
        <v>0.21089005247032286</v>
      </c>
      <c r="AQ202" s="7">
        <v>8.8371472904508777E-5</v>
      </c>
      <c r="AR202" s="7">
        <v>3.1972353893138855E-3</v>
      </c>
      <c r="AS202" s="7">
        <v>2.4603534850325339E-3</v>
      </c>
      <c r="AT202" s="7">
        <v>0.45922766953911093</v>
      </c>
      <c r="AU202" s="7">
        <v>0.65768990736194299</v>
      </c>
    </row>
    <row r="203" spans="37:47" x14ac:dyDescent="0.25">
      <c r="AK203" t="str">
        <v>amc pacer d/l</v>
      </c>
      <c r="AL203" s="7">
        <v>17.5</v>
      </c>
      <c r="AM203" s="7">
        <v>20.39596280570645</v>
      </c>
      <c r="AN203" s="7">
        <v>-2.8959628057064499</v>
      </c>
      <c r="AO203" s="7">
        <v>3.2246727730245575E-2</v>
      </c>
      <c r="AP203" s="7">
        <v>-0.95975295748031297</v>
      </c>
      <c r="AQ203" s="7">
        <v>1.8054730036374076E-3</v>
      </c>
      <c r="AR203" s="7">
        <v>3.1972353893138855E-3</v>
      </c>
      <c r="AS203" s="7">
        <v>9.7946834914349849E-3</v>
      </c>
      <c r="AT203" s="7">
        <v>0.97966982064382946</v>
      </c>
      <c r="AU203" s="7">
        <v>-2.9924598435242706</v>
      </c>
    </row>
    <row r="204" spans="37:47" x14ac:dyDescent="0.25">
      <c r="AK204" t="str">
        <v>volkswagen rabbit</v>
      </c>
      <c r="AL204" s="7">
        <v>29.5</v>
      </c>
      <c r="AM204" s="7">
        <v>29.650209495220267</v>
      </c>
      <c r="AN204" s="7">
        <v>-0.15020949522026683</v>
      </c>
      <c r="AO204" s="7">
        <v>4.6489794191789988E-2</v>
      </c>
      <c r="AP204" s="7">
        <v>-5.015145269264281E-2</v>
      </c>
      <c r="AQ204" s="7">
        <v>7.2135723349847178E-6</v>
      </c>
      <c r="AR204" s="7">
        <v>3.1972353893138855E-3</v>
      </c>
      <c r="AS204" s="7">
        <v>1.3677785391089624E-2</v>
      </c>
      <c r="AT204" s="7">
        <v>0.22394520020005521</v>
      </c>
      <c r="AU204" s="7">
        <v>-0.15753318035326841</v>
      </c>
    </row>
    <row r="205" spans="37:47" x14ac:dyDescent="0.25">
      <c r="AK205" t="str">
        <v>datsun b-210</v>
      </c>
      <c r="AL205" s="7">
        <v>32</v>
      </c>
      <c r="AM205" s="7">
        <v>28.952976682629405</v>
      </c>
      <c r="AN205" s="7">
        <v>3.047023317370595</v>
      </c>
      <c r="AO205" s="7">
        <v>4.4040272230168286E-2</v>
      </c>
      <c r="AP205" s="7">
        <v>1.0160259092109298</v>
      </c>
      <c r="AQ205" s="7">
        <v>2.7975061003270166E-3</v>
      </c>
      <c r="AR205" s="7">
        <v>3.1972353893138855E-3</v>
      </c>
      <c r="AS205" s="7">
        <v>1.5048430823993902E-2</v>
      </c>
      <c r="AT205" s="7">
        <v>1.0079811055823069</v>
      </c>
      <c r="AU205" s="7">
        <v>3.1873971558185059</v>
      </c>
    </row>
    <row r="206" spans="37:47" x14ac:dyDescent="0.25">
      <c r="AK206" t="str">
        <v>toyota corolla</v>
      </c>
      <c r="AL206" s="7">
        <v>28</v>
      </c>
      <c r="AM206" s="7">
        <v>28.036348436367433</v>
      </c>
      <c r="AN206" s="7">
        <v>-3.6348436367433123E-2</v>
      </c>
      <c r="AO206" s="7">
        <v>4.3350610044236106E-2</v>
      </c>
      <c r="AP206" s="7">
        <v>-1.2115968549613172E-2</v>
      </c>
      <c r="AQ206" s="7">
        <v>3.9129992780622937E-7</v>
      </c>
      <c r="AR206" s="7">
        <v>3.1972353893138855E-3</v>
      </c>
      <c r="AS206" s="7">
        <v>1.6521563559614698E-2</v>
      </c>
      <c r="AT206" s="7">
        <v>0.11007256038456256</v>
      </c>
      <c r="AU206" s="7">
        <v>-3.7995567392891873E-2</v>
      </c>
    </row>
    <row r="207" spans="37:47" x14ac:dyDescent="0.25">
      <c r="AK207" t="str">
        <v>ford pinto</v>
      </c>
      <c r="AL207" s="7">
        <v>26.5</v>
      </c>
      <c r="AM207" s="7">
        <v>23.949159178931211</v>
      </c>
      <c r="AN207" s="7">
        <v>2.550840821068789</v>
      </c>
      <c r="AO207" s="7">
        <v>3.6411444622850599E-2</v>
      </c>
      <c r="AP207" s="7">
        <v>0.84720077695598162</v>
      </c>
      <c r="AQ207" s="7">
        <v>1.5954016838314797E-3</v>
      </c>
      <c r="AR207" s="7">
        <v>3.1972353893138855E-3</v>
      </c>
      <c r="AS207" s="7">
        <v>1.9978196923056375E-2</v>
      </c>
      <c r="AT207" s="7">
        <v>0.92043510197948319</v>
      </c>
      <c r="AU207" s="7">
        <v>2.6472303005616205</v>
      </c>
    </row>
    <row r="208" spans="37:47" x14ac:dyDescent="0.25">
      <c r="AK208" t="str">
        <v>volvo 245</v>
      </c>
      <c r="AL208" s="7">
        <v>20</v>
      </c>
      <c r="AM208" s="7">
        <v>22.437994864630813</v>
      </c>
      <c r="AN208" s="7">
        <v>-2.4379948646308129</v>
      </c>
      <c r="AO208" s="7">
        <v>4.3042025864849121E-2</v>
      </c>
      <c r="AP208" s="7">
        <v>-0.81252205315323123</v>
      </c>
      <c r="AQ208" s="7">
        <v>1.7467117093002279E-3</v>
      </c>
      <c r="AR208" s="7">
        <v>6.0784779324276172E-2</v>
      </c>
      <c r="AS208" s="7">
        <v>2.7811363264700843E-2</v>
      </c>
      <c r="AT208" s="7">
        <v>0.9014000516714159</v>
      </c>
      <c r="AU208" s="7">
        <v>-2.5476509214881111</v>
      </c>
    </row>
    <row r="209" spans="37:47" x14ac:dyDescent="0.25">
      <c r="AK209" t="str">
        <v>plymouth volare premier v8</v>
      </c>
      <c r="AL209" s="7">
        <v>13</v>
      </c>
      <c r="AM209" s="7">
        <v>15.720666765769474</v>
      </c>
      <c r="AN209" s="7">
        <v>-2.7206667657694741</v>
      </c>
      <c r="AO209" s="7">
        <v>3.5371291299942174E-2</v>
      </c>
      <c r="AP209" s="7">
        <v>-0.90311709621559733</v>
      </c>
      <c r="AQ209" s="7">
        <v>1.7592596334059358E-3</v>
      </c>
      <c r="AR209" s="7">
        <v>6.7192354710227428E-2</v>
      </c>
      <c r="AS209" s="7">
        <v>3.0723966658171176E-2</v>
      </c>
      <c r="AT209" s="7">
        <v>0.95032473198144085</v>
      </c>
      <c r="AU209" s="7">
        <v>-2.8204289808416223</v>
      </c>
    </row>
    <row r="210" spans="37:47" x14ac:dyDescent="0.25">
      <c r="AK210" t="str">
        <v>peugeot 504</v>
      </c>
      <c r="AL210" s="7">
        <v>19</v>
      </c>
      <c r="AM210" s="7">
        <v>22.057707758166377</v>
      </c>
      <c r="AN210" s="7">
        <v>-3.0577077581663765</v>
      </c>
      <c r="AO210" s="7">
        <v>4.7441901732412667E-2</v>
      </c>
      <c r="AP210" s="7">
        <v>-1.0214074988536554</v>
      </c>
      <c r="AQ210" s="7">
        <v>3.0564674748133729E-3</v>
      </c>
      <c r="AR210" s="7">
        <v>7.3602690030832113E-2</v>
      </c>
      <c r="AS210" s="7">
        <v>3.367712023155562E-2</v>
      </c>
      <c r="AT210" s="7">
        <v>1.0106470693835981</v>
      </c>
      <c r="AU210" s="7">
        <v>-3.2099960765935585</v>
      </c>
    </row>
    <row r="211" spans="37:47" x14ac:dyDescent="0.25">
      <c r="AK211" t="str">
        <v>toyota mark ii</v>
      </c>
      <c r="AL211" s="7">
        <v>19</v>
      </c>
      <c r="AM211" s="7">
        <v>23.576481230185102</v>
      </c>
      <c r="AN211" s="7">
        <v>-4.5764812301851023</v>
      </c>
      <c r="AO211" s="7">
        <v>4.5101384794468513E-2</v>
      </c>
      <c r="AP211" s="7">
        <v>-1.5268692799723598</v>
      </c>
      <c r="AQ211" s="7">
        <v>6.4772014803550354E-3</v>
      </c>
      <c r="AR211" s="7">
        <v>8.0016051321400994E-2</v>
      </c>
      <c r="AS211" s="7">
        <v>3.5295875579668304E-2</v>
      </c>
      <c r="AT211" s="7">
        <v>1.2356655210745178</v>
      </c>
      <c r="AU211" s="7">
        <v>-4.7926357388214091</v>
      </c>
    </row>
    <row r="212" spans="37:47" x14ac:dyDescent="0.25">
      <c r="AK212" t="str">
        <v>mercedes-benz 280s</v>
      </c>
      <c r="AL212" s="7">
        <v>16.5</v>
      </c>
      <c r="AM212" s="7">
        <v>18.753321647338847</v>
      </c>
      <c r="AN212" s="7">
        <v>-2.2533216473388471</v>
      </c>
      <c r="AO212" s="7">
        <v>5.2143200958480601E-2</v>
      </c>
      <c r="AP212" s="7">
        <v>-0.75457189916222867</v>
      </c>
      <c r="AQ212" s="7">
        <v>1.8424991340947935E-3</v>
      </c>
      <c r="AR212" s="7">
        <v>8.6432705492186818E-2</v>
      </c>
      <c r="AS212" s="7">
        <v>4.357517290963616E-2</v>
      </c>
      <c r="AT212" s="7">
        <v>0.86866098056850038</v>
      </c>
      <c r="AU212" s="7">
        <v>-2.377280671107096</v>
      </c>
    </row>
    <row r="213" spans="37:47" x14ac:dyDescent="0.25">
      <c r="AK213" t="str">
        <v>cadillac seville</v>
      </c>
      <c r="AL213" s="7">
        <v>16.5</v>
      </c>
      <c r="AM213" s="7">
        <v>13.005717576511872</v>
      </c>
      <c r="AN213" s="7">
        <v>3.4942824234881282</v>
      </c>
      <c r="AO213" s="7">
        <v>4.5377289279871266E-2</v>
      </c>
      <c r="AP213" s="7">
        <v>1.1659795306247422</v>
      </c>
      <c r="AQ213" s="7">
        <v>3.8013662770483409E-3</v>
      </c>
      <c r="AR213" s="7">
        <v>8.6432705492186818E-2</v>
      </c>
      <c r="AS213" s="7">
        <v>4.4247006473739414E-2</v>
      </c>
      <c r="AT213" s="7">
        <v>1.0798053207058864</v>
      </c>
      <c r="AU213" s="7">
        <v>3.6603805715581426</v>
      </c>
    </row>
    <row r="214" spans="37:47" x14ac:dyDescent="0.25">
      <c r="AK214" t="str">
        <v>chevy c10</v>
      </c>
      <c r="AL214" s="7">
        <v>13</v>
      </c>
      <c r="AM214" s="7">
        <v>15.219568319798755</v>
      </c>
      <c r="AN214" s="7">
        <v>-2.2195683197987552</v>
      </c>
      <c r="AO214" s="7">
        <v>3.4025124972775246E-2</v>
      </c>
      <c r="AP214" s="7">
        <v>-0.73626542374562209</v>
      </c>
      <c r="AQ214" s="7">
        <v>1.1231914493353146E-3</v>
      </c>
      <c r="AR214" s="7">
        <v>9.9276964964338646E-2</v>
      </c>
      <c r="AS214" s="7">
        <v>5.5683358456536082E-2</v>
      </c>
      <c r="AT214" s="7">
        <v>0.85805910271124219</v>
      </c>
      <c r="AU214" s="7">
        <v>-2.2977495348791548</v>
      </c>
    </row>
    <row r="215" spans="37:47" x14ac:dyDescent="0.25">
      <c r="AK215" t="str">
        <v>ford f108</v>
      </c>
      <c r="AL215" s="7">
        <v>13</v>
      </c>
      <c r="AM215" s="7">
        <v>16.399827077898475</v>
      </c>
      <c r="AN215" s="7">
        <v>-3.3998270778984754</v>
      </c>
      <c r="AO215" s="7">
        <v>3.2249410702291821E-2</v>
      </c>
      <c r="AP215" s="7">
        <v>-1.1267405125615253</v>
      </c>
      <c r="AQ215" s="7">
        <v>2.4886122643385717E-3</v>
      </c>
      <c r="AR215" s="7">
        <v>9.9276964964338646E-2</v>
      </c>
      <c r="AS215" s="7">
        <v>6.1844508852539351E-2</v>
      </c>
      <c r="AT215" s="7">
        <v>1.0614803401672239</v>
      </c>
      <c r="AU215" s="7">
        <v>-3.5131232318501744</v>
      </c>
    </row>
    <row r="216" spans="37:47" x14ac:dyDescent="0.25">
      <c r="AK216" t="str">
        <v>dodge d100</v>
      </c>
      <c r="AL216" s="7">
        <v>13</v>
      </c>
      <c r="AM216" s="7">
        <v>16.657379044566074</v>
      </c>
      <c r="AN216" s="7">
        <v>-3.6573790445660741</v>
      </c>
      <c r="AO216" s="7">
        <v>3.7135465112778585E-2</v>
      </c>
      <c r="AP216" s="7">
        <v>-1.2151675973963232</v>
      </c>
      <c r="AQ216" s="7">
        <v>3.3500178156531599E-3</v>
      </c>
      <c r="AR216" s="7">
        <v>9.9276964964338646E-2</v>
      </c>
      <c r="AS216" s="7">
        <v>6.7796750316842819E-2</v>
      </c>
      <c r="AT216" s="7">
        <v>1.1023464053537451</v>
      </c>
      <c r="AU216" s="7">
        <v>-3.7984357217959599</v>
      </c>
    </row>
    <row r="217" spans="37:47" x14ac:dyDescent="0.25">
      <c r="AK217" t="str">
        <v>honda accord cvcc</v>
      </c>
      <c r="AL217" s="7">
        <v>31.5</v>
      </c>
      <c r="AM217" s="7">
        <v>30.140660247573575</v>
      </c>
      <c r="AN217" s="7">
        <v>1.3593397524264255</v>
      </c>
      <c r="AO217" s="7">
        <v>4.7573961811810617E-2</v>
      </c>
      <c r="AP217" s="7">
        <v>0.45411013125419464</v>
      </c>
      <c r="AQ217" s="7">
        <v>6.0591474413001405E-4</v>
      </c>
      <c r="AR217" s="7">
        <v>9.9276964964338646E-2</v>
      </c>
      <c r="AS217" s="7">
        <v>7.2633416429775458E-2</v>
      </c>
      <c r="AT217" s="7">
        <v>0.67387694073487525</v>
      </c>
      <c r="AU217" s="7">
        <v>1.4272391744059334</v>
      </c>
    </row>
    <row r="218" spans="37:47" x14ac:dyDescent="0.25">
      <c r="AK218" t="str">
        <v>buick opel isuzu deluxe</v>
      </c>
      <c r="AL218" s="7">
        <v>30</v>
      </c>
      <c r="AM218" s="7">
        <v>27.328917395369249</v>
      </c>
      <c r="AN218" s="7">
        <v>2.671082604630751</v>
      </c>
      <c r="AO218" s="7">
        <v>4.7111530230497523E-2</v>
      </c>
      <c r="AP218" s="7">
        <v>0.89210317838710151</v>
      </c>
      <c r="AQ218" s="7">
        <v>2.3145490611005876E-3</v>
      </c>
      <c r="AR218" s="7">
        <v>9.9276964964338646E-2</v>
      </c>
      <c r="AS218" s="7">
        <v>7.8125519301108906E-2</v>
      </c>
      <c r="AT218" s="7">
        <v>0.94451213776589527</v>
      </c>
      <c r="AU218" s="7">
        <v>2.8031429588783547</v>
      </c>
    </row>
    <row r="219" spans="37:47" x14ac:dyDescent="0.25">
      <c r="AK219" t="str">
        <v>renault 5 gtl</v>
      </c>
      <c r="AL219" s="7">
        <v>36</v>
      </c>
      <c r="AM219" s="7">
        <v>31.294975840484813</v>
      </c>
      <c r="AN219" s="7">
        <v>4.7050241595151867</v>
      </c>
      <c r="AO219" s="7">
        <v>5.1189340081255086E-2</v>
      </c>
      <c r="AP219" s="7">
        <v>1.5747836013923129</v>
      </c>
      <c r="AQ219" s="7">
        <v>7.8703278063428899E-3</v>
      </c>
      <c r="AR219" s="7">
        <v>9.9276964964338646E-2</v>
      </c>
      <c r="AS219" s="7">
        <v>8.1721707715660175E-2</v>
      </c>
      <c r="AT219" s="7">
        <v>1.2549038215705268</v>
      </c>
      <c r="AU219" s="7">
        <v>4.9588651964746262</v>
      </c>
    </row>
    <row r="220" spans="37:47" x14ac:dyDescent="0.25">
      <c r="AK220" t="str">
        <v>plymouth arrow gs</v>
      </c>
      <c r="AL220" s="7">
        <v>25.5</v>
      </c>
      <c r="AM220" s="7">
        <v>26.334954589920667</v>
      </c>
      <c r="AN220" s="7">
        <v>-0.83495458992066673</v>
      </c>
      <c r="AO220" s="7">
        <v>4.785764586470026E-2</v>
      </c>
      <c r="AP220" s="7">
        <v>-0.27897206548306047</v>
      </c>
      <c r="AQ220" s="7">
        <v>2.3010283096978033E-4</v>
      </c>
      <c r="AR220" s="7">
        <v>9.9276964964338646E-2</v>
      </c>
      <c r="AS220" s="7">
        <v>8.7513237424760415E-2</v>
      </c>
      <c r="AT220" s="7">
        <v>0.52817806228871389</v>
      </c>
      <c r="AU220" s="7">
        <v>-0.87692201307328821</v>
      </c>
    </row>
    <row r="221" spans="37:47" x14ac:dyDescent="0.25">
      <c r="AK221" t="str">
        <v>datsun f-10 hatchback</v>
      </c>
      <c r="AL221" s="7">
        <v>33.5</v>
      </c>
      <c r="AM221" s="7">
        <v>30.614518345178166</v>
      </c>
      <c r="AN221" s="7">
        <v>2.8854816548218345</v>
      </c>
      <c r="AO221" s="7">
        <v>4.7431289784227629E-2</v>
      </c>
      <c r="AP221" s="7">
        <v>0.96387111404314796</v>
      </c>
      <c r="AQ221" s="7">
        <v>2.7211822643756389E-3</v>
      </c>
      <c r="AR221" s="7">
        <v>9.9276964964338646E-2</v>
      </c>
      <c r="AS221" s="7">
        <v>0.12614744788802004</v>
      </c>
      <c r="AT221" s="7">
        <v>0.98176937925520369</v>
      </c>
      <c r="AU221" s="7">
        <v>3.0291585518993434</v>
      </c>
    </row>
    <row r="222" spans="37:47" x14ac:dyDescent="0.25">
      <c r="AK222" t="str">
        <v>chevrolet caprice classic</v>
      </c>
      <c r="AL222" s="7">
        <v>17.5</v>
      </c>
      <c r="AM222" s="7">
        <v>17.539340232312693</v>
      </c>
      <c r="AN222" s="7">
        <v>-3.9340232312692791E-2</v>
      </c>
      <c r="AO222" s="7">
        <v>3.9585539885507781E-2</v>
      </c>
      <c r="AP222" s="7">
        <v>-1.3087490477450449E-2</v>
      </c>
      <c r="AQ222" s="7">
        <v>4.1528067158148827E-7</v>
      </c>
      <c r="AR222" s="7">
        <v>9.9276964964338646E-2</v>
      </c>
      <c r="AS222" s="7">
        <v>0.12974540077510843</v>
      </c>
      <c r="AT222" s="7">
        <v>0.11440057026715579</v>
      </c>
      <c r="AU222" s="7">
        <v>-4.0961724283079821E-2</v>
      </c>
    </row>
    <row r="223" spans="37:47" x14ac:dyDescent="0.25">
      <c r="AK223" t="str">
        <v>oldsmobile cutlass supreme</v>
      </c>
      <c r="AL223" s="7">
        <v>17</v>
      </c>
      <c r="AM223" s="7">
        <v>17.196219619965621</v>
      </c>
      <c r="AN223" s="7">
        <v>-0.19621961996562121</v>
      </c>
      <c r="AO223" s="7">
        <v>5.1387654780163793E-2</v>
      </c>
      <c r="AP223" s="7">
        <v>-6.5682072482441053E-2</v>
      </c>
      <c r="AQ223" s="7">
        <v>1.3747217368723192E-5</v>
      </c>
      <c r="AR223" s="7">
        <v>9.9276964964338646E-2</v>
      </c>
      <c r="AS223" s="7">
        <v>0.12999171896584169</v>
      </c>
      <c r="AT223" s="7">
        <v>0.25628513901988359</v>
      </c>
      <c r="AU223" s="7">
        <v>-0.20684911065557374</v>
      </c>
    </row>
    <row r="224" spans="37:47" x14ac:dyDescent="0.25">
      <c r="AK224" t="str">
        <v>dodge monaco brougham</v>
      </c>
      <c r="AL224" s="7">
        <v>15.5</v>
      </c>
      <c r="AM224" s="7">
        <v>16.222879732382342</v>
      </c>
      <c r="AN224" s="7">
        <v>-0.72287973238234216</v>
      </c>
      <c r="AO224" s="7">
        <v>4.1156840419458635E-2</v>
      </c>
      <c r="AP224" s="7">
        <v>-0.24068058859416963</v>
      </c>
      <c r="AQ224" s="7">
        <v>1.4626070451054189E-4</v>
      </c>
      <c r="AR224" s="7">
        <v>9.9276964964338646E-2</v>
      </c>
      <c r="AS224" s="7">
        <v>0.1398501115583628</v>
      </c>
      <c r="AT224" s="7">
        <v>0.49059207962845225</v>
      </c>
      <c r="AU224" s="7">
        <v>-0.75390821236976391</v>
      </c>
    </row>
    <row r="225" spans="37:47" x14ac:dyDescent="0.25">
      <c r="AK225" t="str">
        <v>mercury cougar brougham</v>
      </c>
      <c r="AL225" s="7">
        <v>15</v>
      </c>
      <c r="AM225" s="7">
        <v>15.681613221342369</v>
      </c>
      <c r="AN225" s="7">
        <v>-0.6816132213423689</v>
      </c>
      <c r="AO225" s="7">
        <v>4.7817128542920896E-2</v>
      </c>
      <c r="AP225" s="7">
        <v>-0.22773334599687814</v>
      </c>
      <c r="AQ225" s="7">
        <v>1.5320306744409965E-4</v>
      </c>
      <c r="AR225" s="7">
        <v>0.17027239685422862</v>
      </c>
      <c r="AS225" s="7">
        <v>0.15513508303133314</v>
      </c>
      <c r="AT225" s="7">
        <v>0.4772141510861535</v>
      </c>
      <c r="AU225" s="7">
        <v>-0.71584276694594318</v>
      </c>
    </row>
    <row r="226" spans="37:47" x14ac:dyDescent="0.25">
      <c r="AK226" t="str">
        <v>chevrolet concours</v>
      </c>
      <c r="AL226" s="7">
        <v>17.5</v>
      </c>
      <c r="AM226" s="7">
        <v>19.930406812128663</v>
      </c>
      <c r="AN226" s="7">
        <v>-2.4304068121286626</v>
      </c>
      <c r="AO226" s="7">
        <v>3.9112251127676537E-2</v>
      </c>
      <c r="AP226" s="7">
        <v>-0.80833512211099123</v>
      </c>
      <c r="AQ226" s="7">
        <v>1.564494834816507E-3</v>
      </c>
      <c r="AR226" s="7">
        <v>0.17676385996282321</v>
      </c>
      <c r="AS226" s="7">
        <v>0.17184976624815301</v>
      </c>
      <c r="AT226" s="7">
        <v>0.89907459207286644</v>
      </c>
      <c r="AU226" s="7">
        <v>-2.5293347896056892</v>
      </c>
    </row>
    <row r="227" spans="37:47" x14ac:dyDescent="0.25">
      <c r="AK227" t="str">
        <v>buick skylark</v>
      </c>
      <c r="AL227" s="7">
        <v>20.5</v>
      </c>
      <c r="AM227" s="7">
        <v>20.492603385332458</v>
      </c>
      <c r="AN227" s="7">
        <v>7.3966146675417122E-3</v>
      </c>
      <c r="AO227" s="7">
        <v>3.9342493844487063E-2</v>
      </c>
      <c r="AP227" s="7">
        <v>2.4603534850325339E-3</v>
      </c>
      <c r="AQ227" s="7">
        <v>1.4582748947170567E-8</v>
      </c>
      <c r="AR227" s="7">
        <v>0.18326278037660315</v>
      </c>
      <c r="AS227" s="7">
        <v>0.17289252435540359</v>
      </c>
      <c r="AT227" s="7">
        <v>4.9601950415608997E-2</v>
      </c>
      <c r="AU227" s="7">
        <v>7.6995335175618091E-3</v>
      </c>
    </row>
    <row r="228" spans="37:47" x14ac:dyDescent="0.25">
      <c r="AK228" t="str">
        <v>plymouth volare custom</v>
      </c>
      <c r="AL228" s="7">
        <v>19</v>
      </c>
      <c r="AM228" s="7">
        <v>19.535807074001234</v>
      </c>
      <c r="AN228" s="7">
        <v>-0.53580707400123373</v>
      </c>
      <c r="AO228" s="7">
        <v>4.4967132968366137E-2</v>
      </c>
      <c r="AP228" s="7">
        <v>-0.17875083851948473</v>
      </c>
      <c r="AQ228" s="7">
        <v>8.849610058980454E-5</v>
      </c>
      <c r="AR228" s="7">
        <v>0.18326278037660315</v>
      </c>
      <c r="AS228" s="7">
        <v>0.18042945365691565</v>
      </c>
      <c r="AT228" s="7">
        <v>0.42278935478496232</v>
      </c>
      <c r="AU228" s="7">
        <v>-0.56103521930778333</v>
      </c>
    </row>
    <row r="229" spans="37:47" x14ac:dyDescent="0.25">
      <c r="AK229" t="str">
        <v>ford granada</v>
      </c>
      <c r="AL229" s="7">
        <v>18.5</v>
      </c>
      <c r="AM229" s="7">
        <v>20.099927447495574</v>
      </c>
      <c r="AN229" s="7">
        <v>-1.599927447495574</v>
      </c>
      <c r="AO229" s="7">
        <v>4.3655720287064423E-2</v>
      </c>
      <c r="AP229" s="7">
        <v>-0.53338642732774066</v>
      </c>
      <c r="AQ229" s="7">
        <v>7.6394464843268202E-4</v>
      </c>
      <c r="AR229" s="7">
        <v>0.19628416463254303</v>
      </c>
      <c r="AS229" s="7">
        <v>0.18470642599231274</v>
      </c>
      <c r="AT229" s="7">
        <v>0.73033309340857655</v>
      </c>
      <c r="AU229" s="7">
        <v>-1.6729617998821742</v>
      </c>
    </row>
    <row r="230" spans="37:47" x14ac:dyDescent="0.25">
      <c r="AK230" t="str">
        <v>pontiac grand prix lj</v>
      </c>
      <c r="AL230" s="7">
        <v>16</v>
      </c>
      <c r="AM230" s="7">
        <v>15.249539844799065</v>
      </c>
      <c r="AN230" s="7">
        <v>0.75046015520093512</v>
      </c>
      <c r="AO230" s="7">
        <v>5.0579331159943092E-2</v>
      </c>
      <c r="AP230" s="7">
        <v>0.25110022474117832</v>
      </c>
      <c r="AQ230" s="7">
        <v>1.9758759791664609E-4</v>
      </c>
      <c r="AR230" s="7">
        <v>0.19628416463254303</v>
      </c>
      <c r="AS230" s="7">
        <v>0.18658521528183186</v>
      </c>
      <c r="AT230" s="7">
        <v>0.50109901690302516</v>
      </c>
      <c r="AU230" s="7">
        <v>0.79044008607670257</v>
      </c>
    </row>
    <row r="231" spans="37:47" x14ac:dyDescent="0.25">
      <c r="AK231" t="str">
        <v>chevrolet monte carlo landau</v>
      </c>
      <c r="AL231" s="7">
        <v>15.5</v>
      </c>
      <c r="AM231" s="7">
        <v>15.690386193165898</v>
      </c>
      <c r="AN231" s="7">
        <v>-0.19038619316589767</v>
      </c>
      <c r="AO231" s="7">
        <v>4.6052506658355107E-2</v>
      </c>
      <c r="AP231" s="7">
        <v>-6.3550945766771158E-2</v>
      </c>
      <c r="AQ231" s="7">
        <v>1.146895682184735E-5</v>
      </c>
      <c r="AR231" s="7">
        <v>0.19628416463254303</v>
      </c>
      <c r="AS231" s="7">
        <v>0.18988660114211794</v>
      </c>
      <c r="AT231" s="7">
        <v>0.25209312915422977</v>
      </c>
      <c r="AU231" s="7">
        <v>-0.19957722463212463</v>
      </c>
    </row>
    <row r="232" spans="37:47" x14ac:dyDescent="0.25">
      <c r="AK232" t="str">
        <v>chrysler cordoba</v>
      </c>
      <c r="AL232" s="7">
        <v>15.5</v>
      </c>
      <c r="AM232" s="7">
        <v>14.555528015676392</v>
      </c>
      <c r="AN232" s="7">
        <v>0.94447198432360757</v>
      </c>
      <c r="AO232" s="7">
        <v>5.5585416560546566E-2</v>
      </c>
      <c r="AP232" s="7">
        <v>0.31685206458483878</v>
      </c>
      <c r="AQ232" s="7">
        <v>3.4758605236242949E-4</v>
      </c>
      <c r="AR232" s="7">
        <v>0.19628416463254303</v>
      </c>
      <c r="AS232" s="7">
        <v>0.1980052332784995</v>
      </c>
      <c r="AT232" s="7">
        <v>0.56289614014029155</v>
      </c>
      <c r="AU232" s="7">
        <v>1.0000607793284439</v>
      </c>
    </row>
    <row r="233" spans="37:47" x14ac:dyDescent="0.25">
      <c r="AK233" t="str">
        <v>ford thunderbird</v>
      </c>
      <c r="AL233" s="7">
        <v>16</v>
      </c>
      <c r="AM233" s="7">
        <v>15.170588629620417</v>
      </c>
      <c r="AN233" s="7">
        <v>0.82941137037958335</v>
      </c>
      <c r="AO233" s="7">
        <v>4.3566983395152976E-2</v>
      </c>
      <c r="AP233" s="7">
        <v>0.27649769074526082</v>
      </c>
      <c r="AQ233" s="7">
        <v>2.0485049891335523E-4</v>
      </c>
      <c r="AR233" s="7">
        <v>0.19628416463254303</v>
      </c>
      <c r="AS233" s="7">
        <v>0.19993267130990333</v>
      </c>
      <c r="AT233" s="7">
        <v>0.52583047719323084</v>
      </c>
      <c r="AU233" s="7">
        <v>0.8671923239578595</v>
      </c>
    </row>
    <row r="234" spans="37:47" x14ac:dyDescent="0.25">
      <c r="AK234" t="str">
        <v>volkswagen rabbit custom</v>
      </c>
      <c r="AL234" s="7">
        <v>29</v>
      </c>
      <c r="AM234" s="7">
        <v>30.387966595675561</v>
      </c>
      <c r="AN234" s="7">
        <v>-1.3879665956755609</v>
      </c>
      <c r="AO234" s="7">
        <v>5.2926272357712405E-2</v>
      </c>
      <c r="AP234" s="7">
        <v>-0.46498176646527506</v>
      </c>
      <c r="AQ234" s="7">
        <v>7.1073948431202999E-4</v>
      </c>
      <c r="AR234" s="7">
        <v>0.19628416463254303</v>
      </c>
      <c r="AS234" s="7">
        <v>0.2039871045077741</v>
      </c>
      <c r="AT234" s="7">
        <v>0.68189571524190928</v>
      </c>
      <c r="AU234" s="7">
        <v>-1.4655317270080581</v>
      </c>
    </row>
    <row r="235" spans="37:47" x14ac:dyDescent="0.25">
      <c r="AK235" t="str">
        <v>pontiac sunbird coupe</v>
      </c>
      <c r="AL235" s="7">
        <v>24.5</v>
      </c>
      <c r="AM235" s="7">
        <v>24.23698981489763</v>
      </c>
      <c r="AN235" s="7">
        <v>0.26301018510237029</v>
      </c>
      <c r="AO235" s="7">
        <v>3.994693025429432E-2</v>
      </c>
      <c r="AP235" s="7">
        <v>8.7513237424760415E-2</v>
      </c>
      <c r="AQ235" s="7">
        <v>1.8745056327979374E-5</v>
      </c>
      <c r="AR235" s="7">
        <v>0.19628416463254303</v>
      </c>
      <c r="AS235" s="7">
        <v>0.21089005247032286</v>
      </c>
      <c r="AT235" s="7">
        <v>0.29582636364049841</v>
      </c>
      <c r="AU235" s="7">
        <v>0.27395379837911998</v>
      </c>
    </row>
    <row r="236" spans="37:47" x14ac:dyDescent="0.25">
      <c r="AK236" t="str">
        <v>toyota corolla liftback</v>
      </c>
      <c r="AL236" s="7">
        <v>26</v>
      </c>
      <c r="AM236" s="7">
        <v>28.913077108573102</v>
      </c>
      <c r="AN236" s="7">
        <v>-2.913077108573102</v>
      </c>
      <c r="AO236" s="7">
        <v>4.7359583478988998E-2</v>
      </c>
      <c r="AP236" s="7">
        <v>-0.97305252208919601</v>
      </c>
      <c r="AQ236" s="7">
        <v>2.7688696773164622E-3</v>
      </c>
      <c r="AR236" s="7">
        <v>0.19628416463254303</v>
      </c>
      <c r="AS236" s="7">
        <v>0.21951048018534813</v>
      </c>
      <c r="AT236" s="7">
        <v>0.98643424620660647</v>
      </c>
      <c r="AU236" s="7">
        <v>-3.0578978784161763</v>
      </c>
    </row>
    <row r="237" spans="37:47" x14ac:dyDescent="0.25">
      <c r="AK237" t="str">
        <v>ford mustang ii 2+2</v>
      </c>
      <c r="AL237" s="7">
        <v>25.5</v>
      </c>
      <c r="AM237" s="7">
        <v>24.144803738717336</v>
      </c>
      <c r="AN237" s="7">
        <v>1.3551962612826642</v>
      </c>
      <c r="AO237" s="7">
        <v>3.9787848643024398E-2</v>
      </c>
      <c r="AP237" s="7">
        <v>0.45088667377233943</v>
      </c>
      <c r="AQ237" s="7">
        <v>4.9552907027581444E-4</v>
      </c>
      <c r="AR237" s="7">
        <v>0.19628416463254303</v>
      </c>
      <c r="AS237" s="7">
        <v>0.22330383955665631</v>
      </c>
      <c r="AT237" s="7">
        <v>0.67148095562892873</v>
      </c>
      <c r="AU237" s="7">
        <v>1.4113508763323768</v>
      </c>
    </row>
    <row r="238" spans="37:47" x14ac:dyDescent="0.25">
      <c r="AK238" t="str">
        <v>chevrolet chevette</v>
      </c>
      <c r="AL238" s="7">
        <v>30.5</v>
      </c>
      <c r="AM238" s="7">
        <v>28.131520938551592</v>
      </c>
      <c r="AN238" s="7">
        <v>2.3684790614484079</v>
      </c>
      <c r="AO238" s="7">
        <v>4.819111750898996E-2</v>
      </c>
      <c r="AP238" s="7">
        <v>0.79148643600889412</v>
      </c>
      <c r="AQ238" s="7">
        <v>1.8657578421682436E-3</v>
      </c>
      <c r="AR238" s="7">
        <v>0.19628416463254303</v>
      </c>
      <c r="AS238" s="7">
        <v>0.22503211391071073</v>
      </c>
      <c r="AT238" s="7">
        <v>0.8896552343514279</v>
      </c>
      <c r="AU238" s="7">
        <v>2.4883977288064218</v>
      </c>
    </row>
    <row r="239" spans="37:47" x14ac:dyDescent="0.25">
      <c r="AK239" t="str">
        <v>dodge colt m/m</v>
      </c>
      <c r="AL239" s="7">
        <v>33.5</v>
      </c>
      <c r="AM239" s="7">
        <v>27.68527286871797</v>
      </c>
      <c r="AN239" s="7">
        <v>5.8147271312820301</v>
      </c>
      <c r="AO239" s="7">
        <v>4.9737029725843082E-2</v>
      </c>
      <c r="AP239" s="7">
        <v>1.9447162353916576</v>
      </c>
      <c r="AQ239" s="7">
        <v>1.1643930329232614E-2</v>
      </c>
      <c r="AR239" s="7">
        <v>0.26194045846440461</v>
      </c>
      <c r="AS239" s="7">
        <v>0.22610292454868022</v>
      </c>
      <c r="AT239" s="7">
        <v>1.3945308298462453</v>
      </c>
      <c r="AU239" s="7">
        <v>6.1190715761600645</v>
      </c>
    </row>
    <row r="240" spans="37:47" x14ac:dyDescent="0.25">
      <c r="AK240" t="str">
        <v>subaru dl</v>
      </c>
      <c r="AL240" s="7">
        <v>30</v>
      </c>
      <c r="AM240" s="7">
        <v>30.460695256434121</v>
      </c>
      <c r="AN240" s="7">
        <v>-0.46069525643412135</v>
      </c>
      <c r="AO240" s="7">
        <v>4.7623568685319639E-2</v>
      </c>
      <c r="AP240" s="7">
        <v>-0.15390694742658717</v>
      </c>
      <c r="AQ240" s="7">
        <v>6.9675617228154749E-5</v>
      </c>
      <c r="AR240" s="7">
        <v>0.26856388625555183</v>
      </c>
      <c r="AS240" s="7">
        <v>0.2334274183109091</v>
      </c>
      <c r="AT240" s="7">
        <v>0.3923097595352264</v>
      </c>
      <c r="AU240" s="7">
        <v>-0.48373231559097696</v>
      </c>
    </row>
    <row r="241" spans="37:47" x14ac:dyDescent="0.25">
      <c r="AK241" t="str">
        <v>volkswagen dasher</v>
      </c>
      <c r="AL241" s="7">
        <v>30.5</v>
      </c>
      <c r="AM241" s="7">
        <v>29.122139191896373</v>
      </c>
      <c r="AN241" s="7">
        <v>1.3778608081036268</v>
      </c>
      <c r="AO241" s="7">
        <v>4.9776381999582196E-2</v>
      </c>
      <c r="AP241" s="7">
        <v>0.46083052696320559</v>
      </c>
      <c r="AQ241" s="7">
        <v>6.5438157939958148E-4</v>
      </c>
      <c r="AR241" s="7">
        <v>0.26856388625555183</v>
      </c>
      <c r="AS241" s="7">
        <v>0.24039254577346186</v>
      </c>
      <c r="AT241" s="7">
        <v>0.67884499479866944</v>
      </c>
      <c r="AU241" s="7">
        <v>1.4500384772619079</v>
      </c>
    </row>
    <row r="242" spans="37:47" x14ac:dyDescent="0.25">
      <c r="AK242" t="str">
        <v>datsun 810</v>
      </c>
      <c r="AL242" s="7">
        <v>22</v>
      </c>
      <c r="AM242" s="7">
        <v>25.771055317280993</v>
      </c>
      <c r="AN242" s="7">
        <v>-3.7710553172809931</v>
      </c>
      <c r="AO242" s="7">
        <v>4.8760621712988686E-2</v>
      </c>
      <c r="AP242" s="7">
        <v>-1.2605695043801406</v>
      </c>
      <c r="AQ242" s="7">
        <v>4.7914182815414971E-3</v>
      </c>
      <c r="AR242" s="7">
        <v>0.2818464860769076</v>
      </c>
      <c r="AS242" s="7">
        <v>0.24386567077228774</v>
      </c>
      <c r="AT242" s="7">
        <v>1.1227508647870821</v>
      </c>
      <c r="AU242" s="7">
        <v>-3.9643599743230742</v>
      </c>
    </row>
    <row r="243" spans="37:47" x14ac:dyDescent="0.25">
      <c r="AK243" t="str">
        <v>bmw 320i</v>
      </c>
      <c r="AL243" s="7">
        <v>21.5</v>
      </c>
      <c r="AM243" s="7">
        <v>26.526616427185196</v>
      </c>
      <c r="AN243" s="7">
        <v>-5.0266164271851963</v>
      </c>
      <c r="AO243" s="7">
        <v>5.436441841056433E-2</v>
      </c>
      <c r="AP243" s="7">
        <v>-1.6852434476538711</v>
      </c>
      <c r="AQ243" s="7">
        <v>9.6043353193524476E-3</v>
      </c>
      <c r="AR243" s="7">
        <v>0.2818464860769076</v>
      </c>
      <c r="AS243" s="7">
        <v>0.25110022474117832</v>
      </c>
      <c r="AT243" s="7">
        <v>1.2981692677204584</v>
      </c>
      <c r="AU243" s="7">
        <v>-5.3155956956869144</v>
      </c>
    </row>
    <row r="244" spans="37:47" x14ac:dyDescent="0.25">
      <c r="AK244" t="str">
        <v>mazda rx-4</v>
      </c>
      <c r="AL244" s="7">
        <v>21.5</v>
      </c>
      <c r="AM244" s="7">
        <v>26.040996115321043</v>
      </c>
      <c r="AN244" s="7">
        <v>-4.5409961153210432</v>
      </c>
      <c r="AO244" s="7">
        <v>4.8259727863398487E-2</v>
      </c>
      <c r="AP244" s="7">
        <v>-1.5175419689962188</v>
      </c>
      <c r="AQ244" s="7">
        <v>6.869085500363744E-3</v>
      </c>
      <c r="AR244" s="7">
        <v>0.29517900048864598</v>
      </c>
      <c r="AS244" s="7">
        <v>0.25381221692103478</v>
      </c>
      <c r="AT244" s="7">
        <v>1.2318855340477941</v>
      </c>
      <c r="AU244" s="7">
        <v>-4.7712556127595311</v>
      </c>
    </row>
    <row r="245" spans="37:47" x14ac:dyDescent="0.25">
      <c r="AK245" t="str">
        <v>volkswagen rabbit custom diesel</v>
      </c>
      <c r="AL245" s="7">
        <v>43.1</v>
      </c>
      <c r="AM245" s="7">
        <v>30.497188279232841</v>
      </c>
      <c r="AN245" s="7">
        <v>12.602811720767161</v>
      </c>
      <c r="AO245" s="7">
        <v>4.328242942715247E-2</v>
      </c>
      <c r="AP245" s="7">
        <v>4.2007262122566926</v>
      </c>
      <c r="AQ245" s="7">
        <v>4.6959959279888802E-2</v>
      </c>
      <c r="AR245" s="7">
        <v>0.30186483701074074</v>
      </c>
      <c r="AS245" s="7">
        <v>0.25939653083974701</v>
      </c>
      <c r="AT245" s="7">
        <v>2.0495673231823082</v>
      </c>
      <c r="AU245" s="7">
        <v>13.172969859036932</v>
      </c>
    </row>
    <row r="246" spans="37:47" x14ac:dyDescent="0.25">
      <c r="AK246" t="str">
        <v>ford fiesta</v>
      </c>
      <c r="AL246" s="7">
        <v>36.1</v>
      </c>
      <c r="AM246" s="7">
        <v>29.203680013716564</v>
      </c>
      <c r="AN246" s="7">
        <v>6.8963199862834372</v>
      </c>
      <c r="AO246" s="7">
        <v>4.3604262924426519E-2</v>
      </c>
      <c r="AP246" s="7">
        <v>2.2990445774735218</v>
      </c>
      <c r="AQ246" s="7">
        <v>1.4175460654412742E-2</v>
      </c>
      <c r="AR246" s="7">
        <v>0.30186483701074074</v>
      </c>
      <c r="AS246" s="7">
        <v>0.26483477874394606</v>
      </c>
      <c r="AT246" s="7">
        <v>1.5162600626124536</v>
      </c>
      <c r="AU246" s="7">
        <v>7.2107389430349338</v>
      </c>
    </row>
    <row r="247" spans="37:47" x14ac:dyDescent="0.25">
      <c r="AK247" t="str">
        <v>mazda glc deluxe</v>
      </c>
      <c r="AL247" s="7">
        <v>32.799999999999997</v>
      </c>
      <c r="AM247" s="7">
        <v>30.554219393368527</v>
      </c>
      <c r="AN247" s="7">
        <v>2.2457806066314703</v>
      </c>
      <c r="AO247" s="7">
        <v>4.2998995586674166E-2</v>
      </c>
      <c r="AP247" s="7">
        <v>0.74844507336636368</v>
      </c>
      <c r="AQ247" s="7">
        <v>1.4805288140073091E-3</v>
      </c>
      <c r="AR247" s="7">
        <v>0.30186483701074074</v>
      </c>
      <c r="AS247" s="7">
        <v>0.26714134253452815</v>
      </c>
      <c r="AT247" s="7">
        <v>0.865127200685751</v>
      </c>
      <c r="AU247" s="7">
        <v>2.3466857362476961</v>
      </c>
    </row>
    <row r="248" spans="37:47" x14ac:dyDescent="0.25">
      <c r="AK248" t="str">
        <v>datsun b210 gx</v>
      </c>
      <c r="AL248" s="7">
        <v>39.4</v>
      </c>
      <c r="AM248" s="7">
        <v>29.83158230091987</v>
      </c>
      <c r="AN248" s="7">
        <v>9.5684176990801291</v>
      </c>
      <c r="AO248" s="7">
        <v>3.8875196033690357E-2</v>
      </c>
      <c r="AP248" s="7">
        <v>3.1819916573400069</v>
      </c>
      <c r="AQ248" s="7">
        <v>2.4090286148254449E-2</v>
      </c>
      <c r="AR248" s="7">
        <v>0.30186483701074074</v>
      </c>
      <c r="AS248" s="7">
        <v>0.27141090048237276</v>
      </c>
      <c r="AT248" s="7">
        <v>1.783813795590786</v>
      </c>
      <c r="AU248" s="7">
        <v>9.9554372747366244</v>
      </c>
    </row>
    <row r="249" spans="37:47" x14ac:dyDescent="0.25">
      <c r="AK249" t="str">
        <v>honda civic cvcc</v>
      </c>
      <c r="AL249" s="7">
        <v>36.1</v>
      </c>
      <c r="AM249" s="7">
        <v>31.3610402165368</v>
      </c>
      <c r="AN249" s="7">
        <v>4.7389597834632013</v>
      </c>
      <c r="AO249" s="7">
        <v>3.9773709330845904E-2</v>
      </c>
      <c r="AP249" s="7">
        <v>1.5766853430851646</v>
      </c>
      <c r="AQ249" s="7">
        <v>6.0570846398093729E-3</v>
      </c>
      <c r="AR249" s="7">
        <v>0.30186483701074074</v>
      </c>
      <c r="AS249" s="7">
        <v>0.27496728736359077</v>
      </c>
      <c r="AT249" s="7">
        <v>1.2556613170298607</v>
      </c>
      <c r="AU249" s="7">
        <v>4.9352531059743807</v>
      </c>
    </row>
    <row r="250" spans="37:47" x14ac:dyDescent="0.25">
      <c r="AK250" t="str">
        <v>oldsmobile cutlass salon brougham</v>
      </c>
      <c r="AL250" s="7">
        <v>19.899999999999999</v>
      </c>
      <c r="AM250" s="7">
        <v>20.56519746010305</v>
      </c>
      <c r="AN250" s="7">
        <v>-0.6651974601030517</v>
      </c>
      <c r="AO250" s="7">
        <v>3.0148411795750247E-2</v>
      </c>
      <c r="AP250" s="7">
        <v>-0.22021492268660475</v>
      </c>
      <c r="AQ250" s="7">
        <v>8.867551643830972E-5</v>
      </c>
      <c r="AR250" s="7">
        <v>0.30186483701074074</v>
      </c>
      <c r="AS250" s="7">
        <v>0.27649769074526082</v>
      </c>
      <c r="AT250" s="7">
        <v>0.46927062840817635</v>
      </c>
      <c r="AU250" s="7">
        <v>-0.68587551764978061</v>
      </c>
    </row>
    <row r="251" spans="37:47" x14ac:dyDescent="0.25">
      <c r="AK251" t="str">
        <v>dodge diplomat</v>
      </c>
      <c r="AL251" s="7">
        <v>19.399999999999999</v>
      </c>
      <c r="AM251" s="7">
        <v>18.204679943903621</v>
      </c>
      <c r="AN251" s="7">
        <v>1.1953200560963779</v>
      </c>
      <c r="AO251" s="7">
        <v>3.178470022069662E-2</v>
      </c>
      <c r="AP251" s="7">
        <v>0.39604728421942459</v>
      </c>
      <c r="AQ251" s="7">
        <v>3.0289446441746824E-4</v>
      </c>
      <c r="AR251" s="7">
        <v>0.30186483701074074</v>
      </c>
      <c r="AS251" s="7">
        <v>0.2802206101814847</v>
      </c>
      <c r="AT251" s="7">
        <v>0.629322877559226</v>
      </c>
      <c r="AU251" s="7">
        <v>1.2345601813654887</v>
      </c>
    </row>
    <row r="252" spans="37:47" x14ac:dyDescent="0.25">
      <c r="AK252" t="str">
        <v>mercury monarch ghia</v>
      </c>
      <c r="AL252" s="7">
        <v>20.2</v>
      </c>
      <c r="AM252" s="7">
        <v>19.05636246235143</v>
      </c>
      <c r="AN252" s="7">
        <v>1.1436375376485692</v>
      </c>
      <c r="AO252" s="7">
        <v>3.2108495315757435E-2</v>
      </c>
      <c r="AP252" s="7">
        <v>0.37898661019969043</v>
      </c>
      <c r="AQ252" s="7">
        <v>2.8027998610575541E-4</v>
      </c>
      <c r="AR252" s="7">
        <v>0.30186483701074074</v>
      </c>
      <c r="AS252" s="7">
        <v>0.28753308488155083</v>
      </c>
      <c r="AT252" s="7">
        <v>0.61561888388814912</v>
      </c>
      <c r="AU252" s="7">
        <v>1.1815761705870749</v>
      </c>
    </row>
    <row r="253" spans="37:47" x14ac:dyDescent="0.25">
      <c r="AK253" t="str">
        <v>pontiac phoenix lj</v>
      </c>
      <c r="AL253" s="7">
        <v>19.2</v>
      </c>
      <c r="AM253" s="7">
        <v>19.785616985300912</v>
      </c>
      <c r="AN253" s="7">
        <v>-0.58561698530091277</v>
      </c>
      <c r="AO253" s="7">
        <v>3.3408847537727701E-2</v>
      </c>
      <c r="AP253" s="7">
        <v>-0.19419634887019871</v>
      </c>
      <c r="AQ253" s="7">
        <v>7.6674663450094076E-5</v>
      </c>
      <c r="AR253" s="7">
        <v>0.30186483701074074</v>
      </c>
      <c r="AS253" s="7">
        <v>0.29319660015181381</v>
      </c>
      <c r="AT253" s="7">
        <v>0.44067714811435221</v>
      </c>
      <c r="AU253" s="7">
        <v>-0.60585800295101544</v>
      </c>
    </row>
    <row r="254" spans="37:47" x14ac:dyDescent="0.25">
      <c r="AK254" t="str">
        <v>chevrolet malibu</v>
      </c>
      <c r="AL254" s="7">
        <v>20.5</v>
      </c>
      <c r="AM254" s="7">
        <v>21.872038958580688</v>
      </c>
      <c r="AN254" s="7">
        <v>-1.3720389585806885</v>
      </c>
      <c r="AO254" s="7">
        <v>3.1552376124896572E-2</v>
      </c>
      <c r="AP254" s="7">
        <v>-0.45454530660835657</v>
      </c>
      <c r="AQ254" s="7">
        <v>3.9596916404452815E-4</v>
      </c>
      <c r="AR254" s="7">
        <v>0.30186483701074074</v>
      </c>
      <c r="AS254" s="7">
        <v>0.29552136767781362</v>
      </c>
      <c r="AT254" s="7">
        <v>0.67419975275014499</v>
      </c>
      <c r="AU254" s="7">
        <v>-1.4167404873075868</v>
      </c>
    </row>
    <row r="255" spans="37:47" x14ac:dyDescent="0.25">
      <c r="AK255" t="str">
        <v>ford fairmont (auto)</v>
      </c>
      <c r="AL255" s="7">
        <v>20.2</v>
      </c>
      <c r="AM255" s="7">
        <v>22.99643210498828</v>
      </c>
      <c r="AN255" s="7">
        <v>-2.7964321049882805</v>
      </c>
      <c r="AO255" s="7">
        <v>3.2831438900878064E-2</v>
      </c>
      <c r="AP255" s="7">
        <v>-0.92704752263459855</v>
      </c>
      <c r="AQ255" s="7">
        <v>1.7161009038442097E-3</v>
      </c>
      <c r="AR255" s="7">
        <v>0.30186483701074074</v>
      </c>
      <c r="AS255" s="7">
        <v>0.30206292858297307</v>
      </c>
      <c r="AT255" s="7">
        <v>0.96283307101210358</v>
      </c>
      <c r="AU255" s="7">
        <v>-2.8913596010713207</v>
      </c>
    </row>
    <row r="256" spans="37:47" x14ac:dyDescent="0.25">
      <c r="AK256" t="str">
        <v>ford fairmont (man)</v>
      </c>
      <c r="AL256" s="7">
        <v>25.1</v>
      </c>
      <c r="AM256" s="7">
        <v>24.188233664831259</v>
      </c>
      <c r="AN256" s="7">
        <v>0.91176633516874261</v>
      </c>
      <c r="AO256" s="7">
        <v>3.1566385285221488E-2</v>
      </c>
      <c r="AP256" s="7">
        <v>0.30206292858297307</v>
      </c>
      <c r="AQ256" s="7">
        <v>1.7494475780529788E-4</v>
      </c>
      <c r="AR256" s="7">
        <v>0.30186483701074074</v>
      </c>
      <c r="AS256" s="7">
        <v>0.31685206458483878</v>
      </c>
      <c r="AT256" s="7">
        <v>0.54960251871964072</v>
      </c>
      <c r="AU256" s="7">
        <v>0.94148563341357638</v>
      </c>
    </row>
    <row r="257" spans="37:47" x14ac:dyDescent="0.25">
      <c r="AK257" t="str">
        <v>plymouth volare</v>
      </c>
      <c r="AL257" s="7">
        <v>20.5</v>
      </c>
      <c r="AM257" s="7">
        <v>20.398446654655878</v>
      </c>
      <c r="AN257" s="7">
        <v>0.10155334534412219</v>
      </c>
      <c r="AO257" s="7">
        <v>3.346812475978507E-2</v>
      </c>
      <c r="AP257" s="7">
        <v>3.367712023155562E-2</v>
      </c>
      <c r="AQ257" s="7">
        <v>2.310128677981365E-6</v>
      </c>
      <c r="AR257" s="7">
        <v>0.30186483701074074</v>
      </c>
      <c r="AS257" s="7">
        <v>0.32432388942401175</v>
      </c>
      <c r="AT257" s="7">
        <v>0.18351326990589978</v>
      </c>
      <c r="AU257" s="7">
        <v>0.10506983571429845</v>
      </c>
    </row>
    <row r="258" spans="37:47" x14ac:dyDescent="0.25">
      <c r="AK258" t="str">
        <v>amc concord</v>
      </c>
      <c r="AL258" s="7">
        <v>19.399999999999999</v>
      </c>
      <c r="AM258" s="7">
        <v>21.674739089516976</v>
      </c>
      <c r="AN258" s="7">
        <v>-2.2747390895169772</v>
      </c>
      <c r="AO258" s="7">
        <v>3.3909202683638534E-2</v>
      </c>
      <c r="AP258" s="7">
        <v>-0.75452115641439366</v>
      </c>
      <c r="AQ258" s="7">
        <v>1.1754212964191189E-3</v>
      </c>
      <c r="AR258" s="7">
        <v>0.30186483701074074</v>
      </c>
      <c r="AS258" s="7">
        <v>0.33488821969057964</v>
      </c>
      <c r="AT258" s="7">
        <v>0.86863177262542823</v>
      </c>
      <c r="AU258" s="7">
        <v>-2.3545810557722127</v>
      </c>
    </row>
    <row r="259" spans="37:47" x14ac:dyDescent="0.25">
      <c r="AK259" t="str">
        <v>buick century special</v>
      </c>
      <c r="AL259" s="7">
        <v>20.6</v>
      </c>
      <c r="AM259" s="7">
        <v>20.570429975644011</v>
      </c>
      <c r="AN259" s="7">
        <v>2.9570024355990654E-2</v>
      </c>
      <c r="AO259" s="7">
        <v>3.1231166756803236E-2</v>
      </c>
      <c r="AP259" s="7">
        <v>9.7946834914349849E-3</v>
      </c>
      <c r="AQ259" s="7">
        <v>1.8192816649835181E-7</v>
      </c>
      <c r="AR259" s="7">
        <v>0.39705550482904034</v>
      </c>
      <c r="AS259" s="7">
        <v>0.34571317856571393</v>
      </c>
      <c r="AT259" s="7">
        <v>9.8968093299987264E-2</v>
      </c>
      <c r="AU259" s="7">
        <v>3.0523302712988379E-2</v>
      </c>
    </row>
    <row r="260" spans="37:47" x14ac:dyDescent="0.25">
      <c r="AK260" t="str">
        <v>mercury zephyr</v>
      </c>
      <c r="AL260" s="7">
        <v>20.8</v>
      </c>
      <c r="AM260" s="7">
        <v>22.464784595401021</v>
      </c>
      <c r="AN260" s="7">
        <v>-1.6647845954010201</v>
      </c>
      <c r="AO260" s="7">
        <v>3.3970051110541299E-2</v>
      </c>
      <c r="AP260" s="7">
        <v>-0.55221926921070585</v>
      </c>
      <c r="AQ260" s="7">
        <v>6.3078274113855361E-4</v>
      </c>
      <c r="AR260" s="7">
        <v>0.40398399337523622</v>
      </c>
      <c r="AS260" s="7">
        <v>0.34767210505293616</v>
      </c>
      <c r="AT260" s="7">
        <v>0.74311457340756404</v>
      </c>
      <c r="AU260" s="7">
        <v>-1.723326070081828</v>
      </c>
    </row>
    <row r="261" spans="37:47" x14ac:dyDescent="0.25">
      <c r="AK261" t="str">
        <v>dodge aspen</v>
      </c>
      <c r="AL261" s="7">
        <v>18.600000000000001</v>
      </c>
      <c r="AM261" s="7">
        <v>19.274053508248279</v>
      </c>
      <c r="AN261" s="7">
        <v>-0.67405350824827792</v>
      </c>
      <c r="AO261" s="7">
        <v>3.3160023066221379E-2</v>
      </c>
      <c r="AP261" s="7">
        <v>-0.22349400460848995</v>
      </c>
      <c r="AQ261" s="7">
        <v>1.0077273787285138E-4</v>
      </c>
      <c r="AR261" s="7">
        <v>0.41093192943060336</v>
      </c>
      <c r="AS261" s="7">
        <v>0.35223603151478577</v>
      </c>
      <c r="AT261" s="7">
        <v>0.47275152523126773</v>
      </c>
      <c r="AU261" s="7">
        <v>-0.69717173920131104</v>
      </c>
    </row>
    <row r="262" spans="37:47" x14ac:dyDescent="0.25">
      <c r="AK262" t="str">
        <v>amc concord d/l</v>
      </c>
      <c r="AL262" s="7">
        <v>18.100000000000001</v>
      </c>
      <c r="AM262" s="7">
        <v>20.174984207887384</v>
      </c>
      <c r="AN262" s="7">
        <v>-2.0749842078873826</v>
      </c>
      <c r="AO262" s="7">
        <v>2.9749884328060083E-2</v>
      </c>
      <c r="AP262" s="7">
        <v>-0.68678649689214288</v>
      </c>
      <c r="AQ262" s="7">
        <v>8.5073862793208358E-4</v>
      </c>
      <c r="AR262" s="7">
        <v>0.41093192943060336</v>
      </c>
      <c r="AS262" s="7">
        <v>0.3734161112853604</v>
      </c>
      <c r="AT262" s="7">
        <v>0.82872582733503775</v>
      </c>
      <c r="AU262" s="7">
        <v>-2.1386075346668387</v>
      </c>
    </row>
    <row r="263" spans="37:47" x14ac:dyDescent="0.25">
      <c r="AK263" t="str">
        <v>chevrolet monte carlo landau</v>
      </c>
      <c r="AL263" s="7">
        <v>19.2</v>
      </c>
      <c r="AM263" s="7">
        <v>19.693123764822104</v>
      </c>
      <c r="AN263" s="7">
        <v>-0.49312376482210496</v>
      </c>
      <c r="AO263" s="7">
        <v>3.6040940985146035E-2</v>
      </c>
      <c r="AP263" s="7">
        <v>-0.16374778792660116</v>
      </c>
      <c r="AQ263" s="7">
        <v>5.8971136076674751E-5</v>
      </c>
      <c r="AR263" s="7">
        <v>0.42488793897993393</v>
      </c>
      <c r="AS263" s="7">
        <v>0.37698943709717597</v>
      </c>
      <c r="AT263" s="7">
        <v>0.40465761814971574</v>
      </c>
      <c r="AU263" s="7">
        <v>-0.5115609010677975</v>
      </c>
    </row>
    <row r="264" spans="37:47" x14ac:dyDescent="0.25">
      <c r="AK264" t="str">
        <v>buick regal sport coupe (turbo)</v>
      </c>
      <c r="AL264" s="7">
        <v>17.7</v>
      </c>
      <c r="AM264" s="7">
        <v>19.267128933448951</v>
      </c>
      <c r="AN264" s="7">
        <v>-1.5671289334489522</v>
      </c>
      <c r="AO264" s="7">
        <v>4.9070502455294485E-2</v>
      </c>
      <c r="AP264" s="7">
        <v>-0.5239373665705841</v>
      </c>
      <c r="AQ264" s="7">
        <v>8.3326283140427386E-4</v>
      </c>
      <c r="AR264" s="7">
        <v>0.43189692948271047</v>
      </c>
      <c r="AS264" s="7">
        <v>0.37898661019969043</v>
      </c>
      <c r="AT264" s="7">
        <v>0.7238351791468719</v>
      </c>
      <c r="AU264" s="7">
        <v>-1.6479969729567439</v>
      </c>
    </row>
    <row r="265" spans="37:47" x14ac:dyDescent="0.25">
      <c r="AK265" t="str">
        <v>ford futura</v>
      </c>
      <c r="AL265" s="7">
        <v>18.100000000000001</v>
      </c>
      <c r="AM265" s="7">
        <v>20.90447047186904</v>
      </c>
      <c r="AN265" s="7">
        <v>-2.8044704718690383</v>
      </c>
      <c r="AO265" s="7">
        <v>3.709622019708321E-2</v>
      </c>
      <c r="AP265" s="7">
        <v>-0.93176894037652425</v>
      </c>
      <c r="AQ265" s="7">
        <v>1.9674980339092034E-3</v>
      </c>
      <c r="AR265" s="7">
        <v>0.43189692948271047</v>
      </c>
      <c r="AS265" s="7">
        <v>0.37904856644532819</v>
      </c>
      <c r="AT265" s="7">
        <v>0.96528179324823293</v>
      </c>
      <c r="AU265" s="7">
        <v>-2.9125137222361368</v>
      </c>
    </row>
    <row r="266" spans="37:47" x14ac:dyDescent="0.25">
      <c r="AK266" t="str">
        <v>dodge magnum xe</v>
      </c>
      <c r="AL266" s="7">
        <v>17.5</v>
      </c>
      <c r="AM266" s="7">
        <v>16.457838126688344</v>
      </c>
      <c r="AN266" s="7">
        <v>1.042161873311656</v>
      </c>
      <c r="AO266" s="7">
        <v>3.4091253908339975E-2</v>
      </c>
      <c r="AP266" s="7">
        <v>0.34571317856571393</v>
      </c>
      <c r="AQ266" s="7">
        <v>2.4813602777607927E-4</v>
      </c>
      <c r="AR266" s="7">
        <v>0.43189692948271047</v>
      </c>
      <c r="AS266" s="7">
        <v>0.38024696094502236</v>
      </c>
      <c r="AT266" s="7">
        <v>0.5879737907132544</v>
      </c>
      <c r="AU266" s="7">
        <v>1.0789444422452303</v>
      </c>
    </row>
    <row r="267" spans="37:47" x14ac:dyDescent="0.25">
      <c r="AK267" t="str">
        <v>chevrolet chevette</v>
      </c>
      <c r="AL267" s="7">
        <v>30</v>
      </c>
      <c r="AM267" s="7">
        <v>27.37373223644304</v>
      </c>
      <c r="AN267" s="7">
        <v>2.6262677635569602</v>
      </c>
      <c r="AO267" s="7">
        <v>3.7268324735451781E-2</v>
      </c>
      <c r="AP267" s="7">
        <v>0.87264012009621639</v>
      </c>
      <c r="AQ267" s="7">
        <v>1.7340277398246867E-3</v>
      </c>
      <c r="AR267" s="7">
        <v>0.43189692948271047</v>
      </c>
      <c r="AS267" s="7">
        <v>0.38649046111355317</v>
      </c>
      <c r="AT267" s="7">
        <v>0.93415208617024259</v>
      </c>
      <c r="AU267" s="7">
        <v>2.7279332663852474</v>
      </c>
    </row>
    <row r="268" spans="37:47" x14ac:dyDescent="0.25">
      <c r="AK268" t="str">
        <v>toyota corona</v>
      </c>
      <c r="AL268" s="7">
        <v>27.5</v>
      </c>
      <c r="AM268" s="7">
        <v>26.944649790674134</v>
      </c>
      <c r="AN268" s="7">
        <v>0.55535020932586576</v>
      </c>
      <c r="AO268" s="7">
        <v>3.9123709977541422E-2</v>
      </c>
      <c r="AP268" s="7">
        <v>0.18470642599231274</v>
      </c>
      <c r="AQ268" s="7">
        <v>8.1712338986331186E-5</v>
      </c>
      <c r="AR268" s="7">
        <v>0.43189692948271047</v>
      </c>
      <c r="AS268" s="7">
        <v>0.39604728421942459</v>
      </c>
      <c r="AT268" s="7">
        <v>0.42977485500237533</v>
      </c>
      <c r="AU268" s="7">
        <v>0.57796223623426646</v>
      </c>
    </row>
    <row r="269" spans="37:47" x14ac:dyDescent="0.25">
      <c r="AK269" t="str">
        <v>datsun 510</v>
      </c>
      <c r="AL269" s="7">
        <v>27.2</v>
      </c>
      <c r="AM269" s="7">
        <v>28.228637426697411</v>
      </c>
      <c r="AN269" s="7">
        <v>-1.0286374266974114</v>
      </c>
      <c r="AO269" s="7">
        <v>3.9715916765860712E-2</v>
      </c>
      <c r="AP269" s="7">
        <v>-0.34222462819834659</v>
      </c>
      <c r="AQ269" s="7">
        <v>2.8493018540552397E-4</v>
      </c>
      <c r="AR269" s="7">
        <v>0.43189692948271047</v>
      </c>
      <c r="AS269" s="7">
        <v>0.39947920216775701</v>
      </c>
      <c r="AT269" s="7">
        <v>0.58499968222072274</v>
      </c>
      <c r="AU269" s="7">
        <v>-1.0711803357534211</v>
      </c>
    </row>
    <row r="270" spans="37:47" x14ac:dyDescent="0.25">
      <c r="AK270" t="str">
        <v>dodge omni</v>
      </c>
      <c r="AL270" s="7">
        <v>30.9</v>
      </c>
      <c r="AM270" s="7">
        <v>26.880328991634499</v>
      </c>
      <c r="AN270" s="7">
        <v>4.0196710083654992</v>
      </c>
      <c r="AO270" s="7">
        <v>3.6193310154119737E-2</v>
      </c>
      <c r="AP270" s="7">
        <v>1.3348865121336073</v>
      </c>
      <c r="AQ270" s="7">
        <v>3.9362088773436232E-3</v>
      </c>
      <c r="AR270" s="7">
        <v>0.43189692948271047</v>
      </c>
      <c r="AS270" s="7">
        <v>0.39968495672631044</v>
      </c>
      <c r="AT270" s="7">
        <v>1.155372888782495</v>
      </c>
      <c r="AU270" s="7">
        <v>4.1706195347204673</v>
      </c>
    </row>
    <row r="271" spans="37:47" x14ac:dyDescent="0.25">
      <c r="AK271" t="str">
        <v>toyota celica gt liftback</v>
      </c>
      <c r="AL271" s="7">
        <v>21.1</v>
      </c>
      <c r="AM271" s="7">
        <v>27.172498723354387</v>
      </c>
      <c r="AN271" s="7">
        <v>-6.0724987233543857</v>
      </c>
      <c r="AO271" s="7">
        <v>3.8958920979371738E-2</v>
      </c>
      <c r="AP271" s="7">
        <v>-2.0195065214468055</v>
      </c>
      <c r="AQ271" s="7">
        <v>9.7253797156011366E-3</v>
      </c>
      <c r="AR271" s="7">
        <v>0.43189692948271047</v>
      </c>
      <c r="AS271" s="7">
        <v>0.41163641314958455</v>
      </c>
      <c r="AT271" s="7">
        <v>1.4210934246019173</v>
      </c>
      <c r="AU271" s="7">
        <v>-6.3186671786628619</v>
      </c>
    </row>
    <row r="272" spans="37:47" x14ac:dyDescent="0.25">
      <c r="AK272" t="str">
        <v>plymouth sapporo</v>
      </c>
      <c r="AL272" s="7">
        <v>23.2</v>
      </c>
      <c r="AM272" s="7">
        <v>23.785631581243138</v>
      </c>
      <c r="AN272" s="7">
        <v>-0.5856315812431383</v>
      </c>
      <c r="AO272" s="7">
        <v>3.2478881764690826E-2</v>
      </c>
      <c r="AP272" s="7">
        <v>-0.19410783505686552</v>
      </c>
      <c r="AQ272" s="7">
        <v>7.4400837671903297E-5</v>
      </c>
      <c r="AR272" s="7">
        <v>0.43189692948271047</v>
      </c>
      <c r="AS272" s="7">
        <v>0.42871024250542161</v>
      </c>
      <c r="AT272" s="7">
        <v>0.44057670734716053</v>
      </c>
      <c r="AU272" s="7">
        <v>-0.60529074787668646</v>
      </c>
    </row>
    <row r="273" spans="37:47" x14ac:dyDescent="0.25">
      <c r="AK273" t="str">
        <v>oldsmobile starfire sx</v>
      </c>
      <c r="AL273" s="7">
        <v>23.8</v>
      </c>
      <c r="AM273" s="7">
        <v>23.553396162651119</v>
      </c>
      <c r="AN273" s="7">
        <v>0.24660383734888214</v>
      </c>
      <c r="AO273" s="7">
        <v>3.2118027257318535E-2</v>
      </c>
      <c r="AP273" s="7">
        <v>8.1721707715660175E-2</v>
      </c>
      <c r="AQ273" s="7">
        <v>1.3036241783375666E-5</v>
      </c>
      <c r="AR273" s="7">
        <v>0.49599497085825733</v>
      </c>
      <c r="AS273" s="7">
        <v>0.43079556603355051</v>
      </c>
      <c r="AT273" s="7">
        <v>0.28587008887895243</v>
      </c>
      <c r="AU273" s="7">
        <v>0.25478709625108759</v>
      </c>
    </row>
    <row r="274" spans="37:47" x14ac:dyDescent="0.25">
      <c r="AK274" t="str">
        <v>datsun 200-sx</v>
      </c>
      <c r="AL274" s="7">
        <v>23.9</v>
      </c>
      <c r="AM274" s="7">
        <v>27.696989917110152</v>
      </c>
      <c r="AN274" s="7">
        <v>-3.7969899171101531</v>
      </c>
      <c r="AO274" s="7">
        <v>3.9159228669036018E-2</v>
      </c>
      <c r="AP274" s="7">
        <v>-1.2628813097867138</v>
      </c>
      <c r="AQ274" s="7">
        <v>3.82348029213929E-3</v>
      </c>
      <c r="AR274" s="7">
        <v>0.49599497085825733</v>
      </c>
      <c r="AS274" s="7">
        <v>0.43174338069117302</v>
      </c>
      <c r="AT274" s="7">
        <v>1.1237799205301338</v>
      </c>
      <c r="AU274" s="7">
        <v>-3.9517368854472457</v>
      </c>
    </row>
    <row r="275" spans="37:47" x14ac:dyDescent="0.25">
      <c r="AK275" t="str">
        <v>audi 5000</v>
      </c>
      <c r="AL275" s="7">
        <v>20.3</v>
      </c>
      <c r="AM275" s="7">
        <v>25.325687897014429</v>
      </c>
      <c r="AN275" s="7">
        <v>-5.0256878970144285</v>
      </c>
      <c r="AO275" s="7">
        <v>4.2709716114289656E-2</v>
      </c>
      <c r="AP275" s="7">
        <v>-1.674643980926678</v>
      </c>
      <c r="AQ275" s="7">
        <v>7.3600217544444024E-3</v>
      </c>
      <c r="AR275" s="7">
        <v>0.49599497085825733</v>
      </c>
      <c r="AS275" s="7">
        <v>0.43433707282313844</v>
      </c>
      <c r="AT275" s="7">
        <v>1.2940803610775793</v>
      </c>
      <c r="AU275" s="7">
        <v>-5.249910065539158</v>
      </c>
    </row>
    <row r="276" spans="37:47" x14ac:dyDescent="0.25">
      <c r="AK276" t="str">
        <v>volvo 264gl</v>
      </c>
      <c r="AL276" s="7">
        <v>17</v>
      </c>
      <c r="AM276" s="7">
        <v>23.398860413350338</v>
      </c>
      <c r="AN276" s="7">
        <v>-6.398860413350338</v>
      </c>
      <c r="AO276" s="7">
        <v>4.7833954880443952E-2</v>
      </c>
      <c r="AP276" s="7">
        <v>-2.1379379429147822</v>
      </c>
      <c r="AQ276" s="7">
        <v>1.3507185613380117E-2</v>
      </c>
      <c r="AR276" s="7">
        <v>0.51780857233137045</v>
      </c>
      <c r="AS276" s="7">
        <v>0.44079310612390166</v>
      </c>
      <c r="AT276" s="7">
        <v>1.4621689173672043</v>
      </c>
      <c r="AU276" s="7">
        <v>-6.7203198918387006</v>
      </c>
    </row>
    <row r="277" spans="37:47" x14ac:dyDescent="0.25">
      <c r="AK277" t="str">
        <v>saab 99gle</v>
      </c>
      <c r="AL277" s="7">
        <v>21.6</v>
      </c>
      <c r="AM277" s="7">
        <v>25.308066550101021</v>
      </c>
      <c r="AN277" s="7">
        <v>-3.7080665501010195</v>
      </c>
      <c r="AO277" s="7">
        <v>4.6087575958202467E-2</v>
      </c>
      <c r="AP277" s="7">
        <v>-1.2377760380844078</v>
      </c>
      <c r="AQ277" s="7">
        <v>4.3542221406322667E-3</v>
      </c>
      <c r="AR277" s="7">
        <v>0.5251343538696831</v>
      </c>
      <c r="AS277" s="7">
        <v>0.44266880067425157</v>
      </c>
      <c r="AT277" s="7">
        <v>1.1125538360386915</v>
      </c>
      <c r="AU277" s="7">
        <v>-3.8872190534951492</v>
      </c>
    </row>
    <row r="278" spans="37:47" x14ac:dyDescent="0.25">
      <c r="AK278" t="str">
        <v>peugeot 604sl</v>
      </c>
      <c r="AL278" s="7">
        <v>16.2</v>
      </c>
      <c r="AM278" s="7">
        <v>21.901875361640482</v>
      </c>
      <c r="AN278" s="7">
        <v>-5.7018753616404823</v>
      </c>
      <c r="AO278" s="7">
        <v>5.043360549725516E-2</v>
      </c>
      <c r="AP278" s="7">
        <v>-1.9076726580567764</v>
      </c>
      <c r="AQ278" s="7">
        <v>1.1369816866149575E-2</v>
      </c>
      <c r="AR278" s="7">
        <v>0.53248842708754573</v>
      </c>
      <c r="AS278" s="7">
        <v>0.44275727569780055</v>
      </c>
      <c r="AT278" s="7">
        <v>1.3811852366923043</v>
      </c>
      <c r="AU278" s="7">
        <v>-6.0047147778711754</v>
      </c>
    </row>
    <row r="279" spans="37:47" x14ac:dyDescent="0.25">
      <c r="AK279" t="str">
        <v>volkswagen scirocco</v>
      </c>
      <c r="AL279" s="7">
        <v>31.5</v>
      </c>
      <c r="AM279" s="7">
        <v>30.098433796225809</v>
      </c>
      <c r="AN279" s="7">
        <v>1.4015662037741912</v>
      </c>
      <c r="AO279" s="7">
        <v>4.1544941705203252E-2</v>
      </c>
      <c r="AP279" s="7">
        <v>0.46674163527249862</v>
      </c>
      <c r="AQ279" s="7">
        <v>5.554571554096388E-4</v>
      </c>
      <c r="AR279" s="7">
        <v>0.5398714122010615</v>
      </c>
      <c r="AS279" s="7">
        <v>0.45088667377233943</v>
      </c>
      <c r="AT279" s="7">
        <v>0.68318492026134381</v>
      </c>
      <c r="AU279" s="7">
        <v>1.4623181250331558</v>
      </c>
    </row>
    <row r="280" spans="37:47" x14ac:dyDescent="0.25">
      <c r="AK280" t="str">
        <v>honda accord lx</v>
      </c>
      <c r="AL280" s="7">
        <v>29.5</v>
      </c>
      <c r="AM280" s="7">
        <v>29.534940039844358</v>
      </c>
      <c r="AN280" s="7">
        <v>-3.4940039844357784E-2</v>
      </c>
      <c r="AO280" s="7">
        <v>3.9538758919076308E-2</v>
      </c>
      <c r="AP280" s="7">
        <v>-1.1623375752352078E-2</v>
      </c>
      <c r="AQ280" s="7">
        <v>3.2715896315122674E-7</v>
      </c>
      <c r="AR280" s="7">
        <v>0.5398714122010615</v>
      </c>
      <c r="AS280" s="7">
        <v>0.45411013125419464</v>
      </c>
      <c r="AT280" s="7">
        <v>0.10781176073301131</v>
      </c>
      <c r="AU280" s="7">
        <v>-3.6378396493163552E-2</v>
      </c>
    </row>
    <row r="281" spans="37:47" x14ac:dyDescent="0.25">
      <c r="AK281" t="str">
        <v>pontiac lemans v6</v>
      </c>
      <c r="AL281" s="7">
        <v>21.5</v>
      </c>
      <c r="AM281" s="7">
        <v>23.499499380574036</v>
      </c>
      <c r="AN281" s="7">
        <v>-1.9994993805740364</v>
      </c>
      <c r="AO281" s="7">
        <v>3.5500114423946384E-2</v>
      </c>
      <c r="AP281" s="7">
        <v>-0.66377208981313063</v>
      </c>
      <c r="AQ281" s="7">
        <v>9.5393026049185147E-4</v>
      </c>
      <c r="AR281" s="7">
        <v>0.5398714122010615</v>
      </c>
      <c r="AS281" s="7">
        <v>0.45874200542910859</v>
      </c>
      <c r="AT281" s="7">
        <v>0.81472209360807846</v>
      </c>
      <c r="AU281" s="7">
        <v>-2.0730944715248181</v>
      </c>
    </row>
    <row r="282" spans="37:47" x14ac:dyDescent="0.25">
      <c r="AK282" t="str">
        <v>mercury zephyr 6</v>
      </c>
      <c r="AL282" s="7">
        <v>19.8</v>
      </c>
      <c r="AM282" s="7">
        <v>25.27773629103504</v>
      </c>
      <c r="AN282" s="7">
        <v>-5.4777362910350398</v>
      </c>
      <c r="AO282" s="7">
        <v>3.7172012207959147E-2</v>
      </c>
      <c r="AP282" s="7">
        <v>-1.8200175308828721</v>
      </c>
      <c r="AQ282" s="7">
        <v>7.5226280013667036E-3</v>
      </c>
      <c r="AR282" s="7">
        <v>0.5398714122010615</v>
      </c>
      <c r="AS282" s="7">
        <v>0.4589773839745715</v>
      </c>
      <c r="AT282" s="7">
        <v>1.3490802536850326</v>
      </c>
      <c r="AU282" s="7">
        <v>-5.689215893688961</v>
      </c>
    </row>
    <row r="283" spans="37:47" x14ac:dyDescent="0.25">
      <c r="AK283" t="str">
        <v>ford fairmont 4</v>
      </c>
      <c r="AL283" s="7">
        <v>22.3</v>
      </c>
      <c r="AM283" s="7">
        <v>25.735357956686094</v>
      </c>
      <c r="AN283" s="7">
        <v>-3.4353579566860937</v>
      </c>
      <c r="AO283" s="7">
        <v>3.6285933243070397E-2</v>
      </c>
      <c r="AP283" s="7">
        <v>-1.1408976899843084</v>
      </c>
      <c r="AQ283" s="7">
        <v>2.8829331984404467E-3</v>
      </c>
      <c r="AR283" s="7">
        <v>0.5398714122010615</v>
      </c>
      <c r="AS283" s="7">
        <v>0.46083052696320559</v>
      </c>
      <c r="AT283" s="7">
        <v>1.0681281243298055</v>
      </c>
      <c r="AU283" s="7">
        <v>-3.5647066647545036</v>
      </c>
    </row>
    <row r="284" spans="37:47" x14ac:dyDescent="0.25">
      <c r="AK284" t="str">
        <v>amc concord dl 6</v>
      </c>
      <c r="AL284" s="7">
        <v>20.2</v>
      </c>
      <c r="AM284" s="7">
        <v>23.804143987110237</v>
      </c>
      <c r="AN284" s="7">
        <v>-3.6041439871102376</v>
      </c>
      <c r="AO284" s="7">
        <v>3.8402931379088082E-2</v>
      </c>
      <c r="AP284" s="7">
        <v>-1.1982691301329933</v>
      </c>
      <c r="AQ284" s="7">
        <v>3.3731143674384958E-3</v>
      </c>
      <c r="AR284" s="7">
        <v>0.5398714122010615</v>
      </c>
      <c r="AS284" s="7">
        <v>0.4654442793344194</v>
      </c>
      <c r="AT284" s="7">
        <v>1.0946547995295106</v>
      </c>
      <c r="AU284" s="7">
        <v>-3.7480812959207248</v>
      </c>
    </row>
    <row r="285" spans="37:47" x14ac:dyDescent="0.25">
      <c r="AK285" t="str">
        <v>dodge aspen 6</v>
      </c>
      <c r="AL285" s="7">
        <v>20.6</v>
      </c>
      <c r="AM285" s="7">
        <v>22.998400934603318</v>
      </c>
      <c r="AN285" s="7">
        <v>-2.3984009346033162</v>
      </c>
      <c r="AO285" s="7">
        <v>3.5147809350873319E-2</v>
      </c>
      <c r="AP285" s="7">
        <v>-0.79604972147693909</v>
      </c>
      <c r="AQ285" s="7">
        <v>1.3579036099850691E-3</v>
      </c>
      <c r="AR285" s="7">
        <v>0.5398714122010615</v>
      </c>
      <c r="AS285" s="7">
        <v>0.46674163527249862</v>
      </c>
      <c r="AT285" s="7">
        <v>0.89221618539283354</v>
      </c>
      <c r="AU285" s="7">
        <v>-2.4857703157514068</v>
      </c>
    </row>
    <row r="286" spans="37:47" x14ac:dyDescent="0.25">
      <c r="AK286" t="str">
        <v>chevrolet caprice classic</v>
      </c>
      <c r="AL286" s="7">
        <v>17</v>
      </c>
      <c r="AM286" s="7">
        <v>20.243283680276463</v>
      </c>
      <c r="AN286" s="7">
        <v>-3.2432836802764626</v>
      </c>
      <c r="AO286" s="7">
        <v>3.7166475367221098E-2</v>
      </c>
      <c r="AP286" s="7">
        <v>-1.0776013794312607</v>
      </c>
      <c r="AQ286" s="7">
        <v>2.6367413490506475E-3</v>
      </c>
      <c r="AR286" s="7">
        <v>0.5398714122010615</v>
      </c>
      <c r="AS286" s="7">
        <v>0.46857065274584953</v>
      </c>
      <c r="AT286" s="7">
        <v>1.0380758062064932</v>
      </c>
      <c r="AU286" s="7">
        <v>-3.3684781400953385</v>
      </c>
    </row>
    <row r="287" spans="37:47" x14ac:dyDescent="0.25">
      <c r="AK287" t="str">
        <v>ford ltd landau</v>
      </c>
      <c r="AL287" s="7">
        <v>17.600000000000001</v>
      </c>
      <c r="AM287" s="7">
        <v>20.841800717968425</v>
      </c>
      <c r="AN287" s="7">
        <v>-3.2418007179684238</v>
      </c>
      <c r="AO287" s="7">
        <v>3.6470607710320332E-2</v>
      </c>
      <c r="AP287" s="7">
        <v>-1.0767196379396311</v>
      </c>
      <c r="AQ287" s="7">
        <v>2.5812756200590961E-3</v>
      </c>
      <c r="AR287" s="7">
        <v>0.5398714122010615</v>
      </c>
      <c r="AS287" s="7">
        <v>0.46871808445674862</v>
      </c>
      <c r="AT287" s="7">
        <v>1.0376510193411035</v>
      </c>
      <c r="AU287" s="7">
        <v>-3.3645063076537625</v>
      </c>
    </row>
    <row r="288" spans="37:47" x14ac:dyDescent="0.25">
      <c r="AK288" t="str">
        <v>mercury grand marquis</v>
      </c>
      <c r="AL288" s="7">
        <v>16.5</v>
      </c>
      <c r="AM288" s="7">
        <v>19.531111618909698</v>
      </c>
      <c r="AN288" s="7">
        <v>-3.0311116189096978</v>
      </c>
      <c r="AO288" s="7">
        <v>3.817082165897303E-2</v>
      </c>
      <c r="AP288" s="7">
        <v>-1.0076315540428575</v>
      </c>
      <c r="AQ288" s="7">
        <v>2.370217265712132E-3</v>
      </c>
      <c r="AR288" s="7">
        <v>0.5398714122010615</v>
      </c>
      <c r="AS288" s="7">
        <v>0.4739844616413193</v>
      </c>
      <c r="AT288" s="7">
        <v>1.0038085245916462</v>
      </c>
      <c r="AU288" s="7">
        <v>-3.1514032711482001</v>
      </c>
    </row>
    <row r="289" spans="37:47" x14ac:dyDescent="0.25">
      <c r="AK289" t="str">
        <v>dodge st. regis</v>
      </c>
      <c r="AL289" s="7">
        <v>18.2</v>
      </c>
      <c r="AM289" s="7">
        <v>20.212734616659922</v>
      </c>
      <c r="AN289" s="7">
        <v>-2.0127346166599231</v>
      </c>
      <c r="AO289" s="7">
        <v>3.729938476841653E-2</v>
      </c>
      <c r="AP289" s="7">
        <v>-0.66878988326603028</v>
      </c>
      <c r="AQ289" s="7">
        <v>1.0193912173724559E-3</v>
      </c>
      <c r="AR289" s="7">
        <v>0.61543829749621981</v>
      </c>
      <c r="AS289" s="7">
        <v>0.48931010929768809</v>
      </c>
      <c r="AT289" s="7">
        <v>0.81779574666662969</v>
      </c>
      <c r="AU289" s="7">
        <v>-2.0907170773706709</v>
      </c>
    </row>
    <row r="290" spans="37:47" x14ac:dyDescent="0.25">
      <c r="AK290" t="str">
        <v>buick estate wagon (sw)</v>
      </c>
      <c r="AL290" s="7">
        <v>16.899999999999999</v>
      </c>
      <c r="AM290" s="7">
        <v>17.204451881577221</v>
      </c>
      <c r="AN290" s="7">
        <v>-0.30445188157722214</v>
      </c>
      <c r="AO290" s="7">
        <v>4.2876541042037711E-2</v>
      </c>
      <c r="AP290" s="7">
        <v>-0.10145734321849456</v>
      </c>
      <c r="AQ290" s="7">
        <v>2.7125005284352605E-5</v>
      </c>
      <c r="AR290" s="7">
        <v>0.62318453179067923</v>
      </c>
      <c r="AS290" s="7">
        <v>0.50018854209738106</v>
      </c>
      <c r="AT290" s="7">
        <v>0.31852369333927821</v>
      </c>
      <c r="AU290" s="7">
        <v>-0.31809050204315797</v>
      </c>
    </row>
    <row r="291" spans="37:47" x14ac:dyDescent="0.25">
      <c r="AK291" t="str">
        <v>ford country squire (sw)</v>
      </c>
      <c r="AL291" s="7">
        <v>15.5</v>
      </c>
      <c r="AM291" s="7">
        <v>18.96489823919898</v>
      </c>
      <c r="AN291" s="7">
        <v>-3.4648982391989804</v>
      </c>
      <c r="AO291" s="7">
        <v>3.9116018286594958E-2</v>
      </c>
      <c r="AP291" s="7">
        <v>-1.1524014899843344</v>
      </c>
      <c r="AQ291" s="7">
        <v>3.1801117960045242E-3</v>
      </c>
      <c r="AR291" s="7">
        <v>0.63096834177070094</v>
      </c>
      <c r="AS291" s="7">
        <v>0.5128636816681813</v>
      </c>
      <c r="AT291" s="7">
        <v>1.0734996460103443</v>
      </c>
      <c r="AU291" s="7">
        <v>-3.6059485901935111</v>
      </c>
    </row>
    <row r="292" spans="37:47" x14ac:dyDescent="0.25">
      <c r="AK292" t="str">
        <v>chevrolet malibu classic (sw)</v>
      </c>
      <c r="AL292" s="7">
        <v>19.2</v>
      </c>
      <c r="AM292" s="7">
        <v>21.5143435995966</v>
      </c>
      <c r="AN292" s="7">
        <v>-2.3143435995966009</v>
      </c>
      <c r="AO292" s="7">
        <v>3.5888049414081927E-2</v>
      </c>
      <c r="AP292" s="7">
        <v>-0.76844520954536322</v>
      </c>
      <c r="AQ292" s="7">
        <v>1.293002253566166E-3</v>
      </c>
      <c r="AR292" s="7">
        <v>0.63879057001741368</v>
      </c>
      <c r="AS292" s="7">
        <v>0.52607820754973034</v>
      </c>
      <c r="AT292" s="7">
        <v>0.87661006698837496</v>
      </c>
      <c r="AU292" s="7">
        <v>-2.4004925965185984</v>
      </c>
    </row>
    <row r="293" spans="37:47" x14ac:dyDescent="0.25">
      <c r="AK293" t="str">
        <v>chrysler lebaron town @ country (sw)</v>
      </c>
      <c r="AL293" s="7">
        <v>18.5</v>
      </c>
      <c r="AM293" s="7">
        <v>19.412224079693956</v>
      </c>
      <c r="AN293" s="7">
        <v>-0.91222407969395647</v>
      </c>
      <c r="AO293" s="7">
        <v>4.0258569851032787E-2</v>
      </c>
      <c r="AP293" s="7">
        <v>-0.30358004022532814</v>
      </c>
      <c r="AQ293" s="7">
        <v>2.2740583656844618E-4</v>
      </c>
      <c r="AR293" s="7">
        <v>0.63879057001741368</v>
      </c>
      <c r="AS293" s="7">
        <v>0.55319696979360056</v>
      </c>
      <c r="AT293" s="7">
        <v>0.5509809799124904</v>
      </c>
      <c r="AU293" s="7">
        <v>-0.95048942458633334</v>
      </c>
    </row>
    <row r="294" spans="37:47" x14ac:dyDescent="0.25">
      <c r="AK294" t="str">
        <v>vw rabbit custom</v>
      </c>
      <c r="AL294" s="7">
        <v>31.9</v>
      </c>
      <c r="AM294" s="7">
        <v>32.835435847633072</v>
      </c>
      <c r="AN294" s="7">
        <v>-0.93543584763307308</v>
      </c>
      <c r="AO294" s="7">
        <v>5.1336358751507848E-2</v>
      </c>
      <c r="AP294" s="7">
        <v>-0.31311702677891717</v>
      </c>
      <c r="AQ294" s="7">
        <v>3.1208813131613166E-4</v>
      </c>
      <c r="AR294" s="7">
        <v>0.63879057001741368</v>
      </c>
      <c r="AS294" s="7">
        <v>0.55656803120621579</v>
      </c>
      <c r="AT294" s="7">
        <v>0.55956860774968176</v>
      </c>
      <c r="AU294" s="7">
        <v>-0.98605639233942755</v>
      </c>
    </row>
    <row r="295" spans="37:47" x14ac:dyDescent="0.25">
      <c r="AK295" t="str">
        <v>maxda glc deluxe</v>
      </c>
      <c r="AL295" s="7">
        <v>34.1</v>
      </c>
      <c r="AM295" s="7">
        <v>32.801665800548349</v>
      </c>
      <c r="AN295" s="7">
        <v>1.2983341994516522</v>
      </c>
      <c r="AO295" s="7">
        <v>5.0233601015170125E-2</v>
      </c>
      <c r="AP295" s="7">
        <v>0.43433707282313844</v>
      </c>
      <c r="AQ295" s="7">
        <v>5.8692470421661629E-4</v>
      </c>
      <c r="AR295" s="7">
        <v>0.63879057001741368</v>
      </c>
      <c r="AS295" s="7">
        <v>0.55972501051096402</v>
      </c>
      <c r="AT295" s="7">
        <v>0.65904254249869065</v>
      </c>
      <c r="AU295" s="7">
        <v>1.3670037188506496</v>
      </c>
    </row>
    <row r="296" spans="37:47" x14ac:dyDescent="0.25">
      <c r="AK296" t="str">
        <v>dodge colt hatchback custom</v>
      </c>
      <c r="AL296" s="7">
        <v>35.700000000000003</v>
      </c>
      <c r="AM296" s="7">
        <v>30.801976287053243</v>
      </c>
      <c r="AN296" s="7">
        <v>4.8980237129467596</v>
      </c>
      <c r="AO296" s="7">
        <v>5.139009608550018E-2</v>
      </c>
      <c r="AP296" s="7">
        <v>1.6395545081768101</v>
      </c>
      <c r="AQ296" s="7">
        <v>8.5663255114177394E-3</v>
      </c>
      <c r="AR296" s="7">
        <v>0.63879057001741368</v>
      </c>
      <c r="AS296" s="7">
        <v>0.56798307093810541</v>
      </c>
      <c r="AT296" s="7">
        <v>1.2804509003381621</v>
      </c>
      <c r="AU296" s="7">
        <v>5.1633697821778473</v>
      </c>
    </row>
    <row r="297" spans="37:47" x14ac:dyDescent="0.25">
      <c r="AK297" t="str">
        <v>amc spirit dl</v>
      </c>
      <c r="AL297" s="7">
        <v>27.4</v>
      </c>
      <c r="AM297" s="7">
        <v>26.979177527640104</v>
      </c>
      <c r="AN297" s="7">
        <v>0.42082247235989456</v>
      </c>
      <c r="AO297" s="7">
        <v>3.7568519575838594E-2</v>
      </c>
      <c r="AP297" s="7">
        <v>0.1398501115583628</v>
      </c>
      <c r="AQ297" s="7">
        <v>4.4908750776936549E-5</v>
      </c>
      <c r="AR297" s="7">
        <v>0.63879057001741368</v>
      </c>
      <c r="AS297" s="7">
        <v>0.56878580743136131</v>
      </c>
      <c r="AT297" s="7">
        <v>0.37396538818233271</v>
      </c>
      <c r="AU297" s="7">
        <v>0.43724928051442197</v>
      </c>
    </row>
    <row r="298" spans="37:47" x14ac:dyDescent="0.25">
      <c r="AK298" t="str">
        <v>mercedes benz 300d</v>
      </c>
      <c r="AL298" s="7">
        <v>25.4</v>
      </c>
      <c r="AM298" s="7">
        <v>24.611405323649461</v>
      </c>
      <c r="AN298" s="7">
        <v>0.78859467635053804</v>
      </c>
      <c r="AO298" s="7">
        <v>7.3760963183425607E-2</v>
      </c>
      <c r="AP298" s="7">
        <v>0.26714134253452815</v>
      </c>
      <c r="AQ298" s="7">
        <v>3.3430031485072448E-4</v>
      </c>
      <c r="AR298" s="7">
        <v>0.63879057001741368</v>
      </c>
      <c r="AS298" s="7">
        <v>0.58752778997756849</v>
      </c>
      <c r="AT298" s="7">
        <v>0.51685717808165166</v>
      </c>
      <c r="AU298" s="7">
        <v>0.85139434315021811</v>
      </c>
    </row>
    <row r="299" spans="37:47" x14ac:dyDescent="0.25">
      <c r="AK299" t="str">
        <v>cadillac eldorado</v>
      </c>
      <c r="AL299" s="7">
        <v>23</v>
      </c>
      <c r="AM299" s="7">
        <v>20.020667263137163</v>
      </c>
      <c r="AN299" s="7">
        <v>2.9793327368628368</v>
      </c>
      <c r="AO299" s="7">
        <v>3.8236579015270125E-2</v>
      </c>
      <c r="AP299" s="7">
        <v>0.99045257304541956</v>
      </c>
      <c r="AQ299" s="7">
        <v>2.2941891516981257E-3</v>
      </c>
      <c r="AR299" s="7">
        <v>0.63879057001741368</v>
      </c>
      <c r="AS299" s="7">
        <v>0.60637414955155156</v>
      </c>
      <c r="AT299" s="7">
        <v>0.99521483763327179</v>
      </c>
      <c r="AU299" s="7">
        <v>3.0977812961657025</v>
      </c>
    </row>
    <row r="300" spans="37:47" x14ac:dyDescent="0.25">
      <c r="AK300" t="str">
        <v>peugeot 504</v>
      </c>
      <c r="AL300" s="7">
        <v>27.2</v>
      </c>
      <c r="AM300" s="7">
        <v>26.430349184510394</v>
      </c>
      <c r="AN300" s="7">
        <v>0.76965081548960512</v>
      </c>
      <c r="AO300" s="7">
        <v>6.425665334934326E-2</v>
      </c>
      <c r="AP300" s="7">
        <v>0.25939653083974701</v>
      </c>
      <c r="AQ300" s="7">
        <v>2.7179456028937827E-4</v>
      </c>
      <c r="AR300" s="7">
        <v>0.70286023091909866</v>
      </c>
      <c r="AS300" s="7">
        <v>0.60778730846125428</v>
      </c>
      <c r="AT300" s="7">
        <v>0.50930985739503121</v>
      </c>
      <c r="AU300" s="7">
        <v>0.8225020442244626</v>
      </c>
    </row>
    <row r="301" spans="37:47" x14ac:dyDescent="0.25">
      <c r="AK301" t="str">
        <v>oldsmobile cutlass salon brougham</v>
      </c>
      <c r="AL301" s="7">
        <v>23.9</v>
      </c>
      <c r="AM301" s="7">
        <v>23.019330996767138</v>
      </c>
      <c r="AN301" s="7">
        <v>0.88066900323286035</v>
      </c>
      <c r="AO301" s="7">
        <v>4.1029673787680868E-2</v>
      </c>
      <c r="AP301" s="7">
        <v>0.29319660015181381</v>
      </c>
      <c r="AQ301" s="7">
        <v>2.1635245811846602E-4</v>
      </c>
      <c r="AR301" s="7">
        <v>0.70286023091909866</v>
      </c>
      <c r="AS301" s="7">
        <v>0.6088896894378435</v>
      </c>
      <c r="AT301" s="7">
        <v>0.54147631541168428</v>
      </c>
      <c r="AU301" s="7">
        <v>0.91834854443439506</v>
      </c>
    </row>
    <row r="302" spans="37:47" x14ac:dyDescent="0.25">
      <c r="AK302" t="str">
        <v>plymouth horizon</v>
      </c>
      <c r="AL302" s="7">
        <v>34.200000000000003</v>
      </c>
      <c r="AM302" s="7">
        <v>29.521297366280386</v>
      </c>
      <c r="AN302" s="7">
        <v>4.6787026337196167</v>
      </c>
      <c r="AO302" s="7">
        <v>4.213889184330015E-2</v>
      </c>
      <c r="AP302" s="7">
        <v>1.5585580298512549</v>
      </c>
      <c r="AQ302" s="7">
        <v>6.2860466992159464E-3</v>
      </c>
      <c r="AR302" s="7">
        <v>0.71932811724388146</v>
      </c>
      <c r="AS302" s="7">
        <v>0.61570961852166972</v>
      </c>
      <c r="AT302" s="7">
        <v>1.2484222161797887</v>
      </c>
      <c r="AU302" s="7">
        <v>4.8845313729495441</v>
      </c>
    </row>
    <row r="303" spans="37:47" x14ac:dyDescent="0.25">
      <c r="AK303" t="str">
        <v>plymouth horizon tc3</v>
      </c>
      <c r="AL303" s="7">
        <v>34.5</v>
      </c>
      <c r="AM303" s="7">
        <v>29.774462847036226</v>
      </c>
      <c r="AN303" s="7">
        <v>4.7255371529637742</v>
      </c>
      <c r="AO303" s="7">
        <v>4.2926586189464357E-2</v>
      </c>
      <c r="AP303" s="7">
        <v>1.5748070831006031</v>
      </c>
      <c r="AQ303" s="7">
        <v>6.5431503106133573E-3</v>
      </c>
      <c r="AR303" s="7">
        <v>0.71932811724388146</v>
      </c>
      <c r="AS303" s="7">
        <v>0.62541466034937176</v>
      </c>
      <c r="AT303" s="7">
        <v>1.254913177514924</v>
      </c>
      <c r="AU303" s="7">
        <v>4.9374865969260453</v>
      </c>
    </row>
    <row r="304" spans="37:47" x14ac:dyDescent="0.25">
      <c r="AK304" t="str">
        <v>datsun 210</v>
      </c>
      <c r="AL304" s="7">
        <v>31.8</v>
      </c>
      <c r="AM304" s="7">
        <v>32.573816867868089</v>
      </c>
      <c r="AN304" s="7">
        <v>-0.77381686786808856</v>
      </c>
      <c r="AO304" s="7">
        <v>5.0247251768750271E-2</v>
      </c>
      <c r="AP304" s="7">
        <v>-0.25886999570707309</v>
      </c>
      <c r="AQ304" s="7">
        <v>2.0855291577570275E-4</v>
      </c>
      <c r="AR304" s="7">
        <v>0.73599343368381387</v>
      </c>
      <c r="AS304" s="7">
        <v>0.6298865239351964</v>
      </c>
      <c r="AT304" s="7">
        <v>0.50879268440797487</v>
      </c>
      <c r="AU304" s="7">
        <v>-0.81475612395877628</v>
      </c>
    </row>
    <row r="305" spans="37:47" x14ac:dyDescent="0.25">
      <c r="AK305" t="str">
        <v>fiat strada custom</v>
      </c>
      <c r="AL305" s="7">
        <v>37.299999999999997</v>
      </c>
      <c r="AM305" s="7">
        <v>31.829930240441232</v>
      </c>
      <c r="AN305" s="7">
        <v>5.4700697595587648</v>
      </c>
      <c r="AO305" s="7">
        <v>4.8806752355090306E-2</v>
      </c>
      <c r="AP305" s="7">
        <v>1.8285518903811406</v>
      </c>
      <c r="AQ305" s="7">
        <v>1.0091989933447971E-2</v>
      </c>
      <c r="AR305" s="7">
        <v>0.74440308519999565</v>
      </c>
      <c r="AS305" s="7">
        <v>0.65290692305069276</v>
      </c>
      <c r="AT305" s="7">
        <v>1.3522395832030434</v>
      </c>
      <c r="AU305" s="7">
        <v>5.7507449438926201</v>
      </c>
    </row>
    <row r="306" spans="37:47" x14ac:dyDescent="0.25">
      <c r="AK306" t="str">
        <v>buick skylark limited</v>
      </c>
      <c r="AL306" s="7">
        <v>28.4</v>
      </c>
      <c r="AM306" s="7">
        <v>26.816813208104698</v>
      </c>
      <c r="AN306" s="7">
        <v>1.5831867918953009</v>
      </c>
      <c r="AO306" s="7">
        <v>3.7365772034929225E-2</v>
      </c>
      <c r="AP306" s="7">
        <v>0.52607820754973034</v>
      </c>
      <c r="AQ306" s="7">
        <v>6.3192329082867706E-4</v>
      </c>
      <c r="AR306" s="7">
        <v>0.74440308519999565</v>
      </c>
      <c r="AS306" s="7">
        <v>0.6556418348632248</v>
      </c>
      <c r="AT306" s="7">
        <v>0.7253124895861992</v>
      </c>
      <c r="AU306" s="7">
        <v>1.6446400365817315</v>
      </c>
    </row>
    <row r="307" spans="37:47" x14ac:dyDescent="0.25">
      <c r="AK307" t="str">
        <v>chevrolet citation</v>
      </c>
      <c r="AL307" s="7">
        <v>28.8</v>
      </c>
      <c r="AM307" s="7">
        <v>26.790650630399917</v>
      </c>
      <c r="AN307" s="7">
        <v>2.0093493696000841</v>
      </c>
      <c r="AO307" s="7">
        <v>4.7508372778672245E-2</v>
      </c>
      <c r="AP307" s="7">
        <v>0.6712335804008861</v>
      </c>
      <c r="AQ307" s="7">
        <v>1.321926831985778E-3</v>
      </c>
      <c r="AR307" s="7">
        <v>0.74440308519999565</v>
      </c>
      <c r="AS307" s="7">
        <v>0.66552441488229586</v>
      </c>
      <c r="AT307" s="7">
        <v>0.81928845982406351</v>
      </c>
      <c r="AU307" s="7">
        <v>2.1095716877447965</v>
      </c>
    </row>
    <row r="308" spans="37:47" x14ac:dyDescent="0.25">
      <c r="AK308" t="str">
        <v>oldsmobile omega brougham</v>
      </c>
      <c r="AL308" s="7">
        <v>26.8</v>
      </c>
      <c r="AM308" s="7">
        <v>26.259003120812665</v>
      </c>
      <c r="AN308" s="7">
        <v>0.54099687918733608</v>
      </c>
      <c r="AO308" s="7">
        <v>4.4408542497802198E-2</v>
      </c>
      <c r="AP308" s="7">
        <v>0.18042945365691565</v>
      </c>
      <c r="AQ308" s="7">
        <v>8.8993893524178522E-5</v>
      </c>
      <c r="AR308" s="7">
        <v>0.74440308519999565</v>
      </c>
      <c r="AS308" s="7">
        <v>0.6712335804008861</v>
      </c>
      <c r="AT308" s="7">
        <v>0.42476988318019399</v>
      </c>
      <c r="AU308" s="7">
        <v>0.56613825389506667</v>
      </c>
    </row>
    <row r="309" spans="37:47" x14ac:dyDescent="0.25">
      <c r="AK309" t="str">
        <v>pontiac phoenix</v>
      </c>
      <c r="AL309" s="7">
        <v>33.5</v>
      </c>
      <c r="AM309" s="7">
        <v>27.394030504228006</v>
      </c>
      <c r="AN309" s="7">
        <v>6.1059694957719941</v>
      </c>
      <c r="AO309" s="7">
        <v>3.8805517384580615E-2</v>
      </c>
      <c r="AP309" s="7">
        <v>2.0304757137130003</v>
      </c>
      <c r="AQ309" s="7">
        <v>9.7910413829515892E-3</v>
      </c>
      <c r="AR309" s="7">
        <v>0.74440308519999565</v>
      </c>
      <c r="AS309" s="7">
        <v>0.67383986412758412</v>
      </c>
      <c r="AT309" s="7">
        <v>1.4249476178838998</v>
      </c>
      <c r="AU309" s="7">
        <v>6.3524807998872328</v>
      </c>
    </row>
    <row r="310" spans="37:47" x14ac:dyDescent="0.25">
      <c r="AK310" t="str">
        <v>vw rabbit</v>
      </c>
      <c r="AL310" s="7">
        <v>41.5</v>
      </c>
      <c r="AM310" s="7">
        <v>35.706490359450044</v>
      </c>
      <c r="AN310" s="7">
        <v>5.7935096405499564</v>
      </c>
      <c r="AO310" s="7">
        <v>4.9995549357879351E-2</v>
      </c>
      <c r="AP310" s="7">
        <v>1.937883735039764</v>
      </c>
      <c r="AQ310" s="7">
        <v>1.1625515480960864E-2</v>
      </c>
      <c r="AR310" s="7">
        <v>0.74440308519999565</v>
      </c>
      <c r="AS310" s="7">
        <v>0.6741998247581702</v>
      </c>
      <c r="AT310" s="7">
        <v>1.3920789255784902</v>
      </c>
      <c r="AU310" s="7">
        <v>6.0984026302550962</v>
      </c>
    </row>
    <row r="311" spans="37:47" x14ac:dyDescent="0.25">
      <c r="AK311" t="str">
        <v>toyota corolla tercel</v>
      </c>
      <c r="AL311" s="7">
        <v>38.1</v>
      </c>
      <c r="AM311" s="7">
        <v>36.979392604917109</v>
      </c>
      <c r="AN311" s="7">
        <v>1.1206073950828923</v>
      </c>
      <c r="AO311" s="7">
        <v>4.2765216076787196E-2</v>
      </c>
      <c r="AP311" s="7">
        <v>0.3734161112853604</v>
      </c>
      <c r="AQ311" s="7">
        <v>3.6644549050544086E-4</v>
      </c>
      <c r="AR311" s="7">
        <v>0.74440308519999565</v>
      </c>
      <c r="AS311" s="7">
        <v>0.67897281388579822</v>
      </c>
      <c r="AT311" s="7">
        <v>0.61107782751901607</v>
      </c>
      <c r="AU311" s="7">
        <v>1.1706714109260627</v>
      </c>
    </row>
    <row r="312" spans="37:47" x14ac:dyDescent="0.25">
      <c r="AK312" t="str">
        <v>chevrolet chevette</v>
      </c>
      <c r="AL312" s="7">
        <v>32.1</v>
      </c>
      <c r="AM312" s="7">
        <v>33.987463612784964</v>
      </c>
      <c r="AN312" s="7">
        <v>-1.8874636127849627</v>
      </c>
      <c r="AO312" s="7">
        <v>5.2829218384543783E-2</v>
      </c>
      <c r="AP312" s="7">
        <v>-0.63228553332444026</v>
      </c>
      <c r="AQ312" s="7">
        <v>1.3116666064299926E-3</v>
      </c>
      <c r="AR312" s="7">
        <v>0.80482899480686976</v>
      </c>
      <c r="AS312" s="7">
        <v>0.6808652991853632</v>
      </c>
      <c r="AT312" s="7">
        <v>0.79516384055390765</v>
      </c>
      <c r="AU312" s="7">
        <v>-1.9927384262907488</v>
      </c>
    </row>
    <row r="313" spans="37:47" x14ac:dyDescent="0.25">
      <c r="AK313" t="str">
        <v>datsun 310</v>
      </c>
      <c r="AL313" s="7">
        <v>37.200000000000003</v>
      </c>
      <c r="AM313" s="7">
        <v>36.639981654778452</v>
      </c>
      <c r="AN313" s="7">
        <v>0.56001834522155036</v>
      </c>
      <c r="AO313" s="7">
        <v>4.2480429377182528E-2</v>
      </c>
      <c r="AP313" s="7">
        <v>0.18658521528183186</v>
      </c>
      <c r="AQ313" s="7">
        <v>9.0854569129831378E-5</v>
      </c>
      <c r="AR313" s="7">
        <v>0.80482899480686976</v>
      </c>
      <c r="AS313" s="7">
        <v>0.68104115262367493</v>
      </c>
      <c r="AT313" s="7">
        <v>0.43195510794737901</v>
      </c>
      <c r="AU313" s="7">
        <v>0.58486360216876521</v>
      </c>
    </row>
    <row r="314" spans="37:47" x14ac:dyDescent="0.25">
      <c r="AK314" t="str">
        <v>chevrolet citation</v>
      </c>
      <c r="AL314" s="7">
        <v>28</v>
      </c>
      <c r="AM314" s="7">
        <v>30.837408208479005</v>
      </c>
      <c r="AN314" s="7">
        <v>-2.8374082084790047</v>
      </c>
      <c r="AO314" s="7">
        <v>4.6802528507141464E-2</v>
      </c>
      <c r="AP314" s="7">
        <v>-0.94749992351059853</v>
      </c>
      <c r="AQ314" s="7">
        <v>2.5929603784530324E-3</v>
      </c>
      <c r="AR314" s="7">
        <v>0.82263729107406613</v>
      </c>
      <c r="AS314" s="7">
        <v>0.69192234930796503</v>
      </c>
      <c r="AT314" s="7">
        <v>0.97339607740662204</v>
      </c>
      <c r="AU314" s="7">
        <v>-2.976726537089081</v>
      </c>
    </row>
    <row r="315" spans="37:47" x14ac:dyDescent="0.25">
      <c r="AK315" t="str">
        <v>ford fairmont</v>
      </c>
      <c r="AL315" s="7">
        <v>26.4</v>
      </c>
      <c r="AM315" s="7">
        <v>29.897725626283673</v>
      </c>
      <c r="AN315" s="7">
        <v>-3.4977256262836747</v>
      </c>
      <c r="AO315" s="7">
        <v>4.5219370689364026E-2</v>
      </c>
      <c r="AP315" s="7">
        <v>-1.1670319415810084</v>
      </c>
      <c r="AQ315" s="7">
        <v>3.7943507873432476E-3</v>
      </c>
      <c r="AR315" s="7">
        <v>0.83163987967842667</v>
      </c>
      <c r="AS315" s="7">
        <v>0.70221206283556703</v>
      </c>
      <c r="AT315" s="7">
        <v>1.0802925259303651</v>
      </c>
      <c r="AU315" s="7">
        <v>-3.6633814291028064</v>
      </c>
    </row>
    <row r="316" spans="37:47" x14ac:dyDescent="0.25">
      <c r="AK316" t="str">
        <v>amc concord</v>
      </c>
      <c r="AL316" s="7">
        <v>24.3</v>
      </c>
      <c r="AM316" s="7">
        <v>29.191832583566061</v>
      </c>
      <c r="AN316" s="7">
        <v>-4.8918325835660603</v>
      </c>
      <c r="AO316" s="7">
        <v>4.4937923213259977E-2</v>
      </c>
      <c r="AP316" s="7">
        <v>-1.6319415081566522</v>
      </c>
      <c r="AQ316" s="7">
        <v>7.3712586997698006E-3</v>
      </c>
      <c r="AR316" s="7">
        <v>0.84071038002398013</v>
      </c>
      <c r="AS316" s="7">
        <v>0.71162663600436971</v>
      </c>
      <c r="AT316" s="7">
        <v>1.2774746604753662</v>
      </c>
      <c r="AU316" s="7">
        <v>-5.1220048439410277</v>
      </c>
    </row>
    <row r="317" spans="37:47" x14ac:dyDescent="0.25">
      <c r="AK317" t="str">
        <v>dodge aspen</v>
      </c>
      <c r="AL317" s="7">
        <v>19.100000000000001</v>
      </c>
      <c r="AM317" s="7">
        <v>27.277901549051933</v>
      </c>
      <c r="AN317" s="7">
        <v>-8.1779015490519313</v>
      </c>
      <c r="AO317" s="7">
        <v>4.8156061843653911E-2</v>
      </c>
      <c r="AP317" s="7">
        <v>-2.7327997376671558</v>
      </c>
      <c r="AQ317" s="7">
        <v>2.2225518853665149E-2</v>
      </c>
      <c r="AR317" s="7">
        <v>0.84071038002398013</v>
      </c>
      <c r="AS317" s="7">
        <v>0.71980311888979831</v>
      </c>
      <c r="AT317" s="7">
        <v>1.6531181862368933</v>
      </c>
      <c r="AU317" s="7">
        <v>-8.5916411516912579</v>
      </c>
    </row>
    <row r="318" spans="37:47" x14ac:dyDescent="0.25">
      <c r="AK318" t="str">
        <v>audi 4000</v>
      </c>
      <c r="AL318" s="7">
        <v>34.299999999999997</v>
      </c>
      <c r="AM318" s="7">
        <v>35.45123187247782</v>
      </c>
      <c r="AN318" s="7">
        <v>-1.1512318724778225</v>
      </c>
      <c r="AO318" s="7">
        <v>5.0028783984596148E-2</v>
      </c>
      <c r="AP318" s="7">
        <v>-0.38508480762603547</v>
      </c>
      <c r="AQ318" s="7">
        <v>4.5938133914690595E-4</v>
      </c>
      <c r="AR318" s="7">
        <v>0.84071038002398013</v>
      </c>
      <c r="AS318" s="7">
        <v>0.73255545774192032</v>
      </c>
      <c r="AT318" s="7">
        <v>0.62055201846906882</v>
      </c>
      <c r="AU318" s="7">
        <v>-1.2118597417157482</v>
      </c>
    </row>
    <row r="319" spans="37:47" x14ac:dyDescent="0.25">
      <c r="AK319" t="str">
        <v>toyota corona liftback</v>
      </c>
      <c r="AL319" s="7">
        <v>29.8</v>
      </c>
      <c r="AM319" s="7">
        <v>32.730260602279138</v>
      </c>
      <c r="AN319" s="7">
        <v>-2.9302606022791373</v>
      </c>
      <c r="AO319" s="7">
        <v>4.4122580147146324E-2</v>
      </c>
      <c r="AP319" s="7">
        <v>-0.97713360215343181</v>
      </c>
      <c r="AQ319" s="7">
        <v>2.5924934821647699E-3</v>
      </c>
      <c r="AR319" s="7">
        <v>0.84071038002398013</v>
      </c>
      <c r="AS319" s="7">
        <v>0.74258970300151861</v>
      </c>
      <c r="AT319" s="7">
        <v>0.9885006839418129</v>
      </c>
      <c r="AU319" s="7">
        <v>-3.0655192197449512</v>
      </c>
    </row>
    <row r="320" spans="37:47" x14ac:dyDescent="0.25">
      <c r="AK320" t="str">
        <v>mazda 626</v>
      </c>
      <c r="AL320" s="7">
        <v>31.3</v>
      </c>
      <c r="AM320" s="7">
        <v>33.829506406536979</v>
      </c>
      <c r="AN320" s="7">
        <v>-2.5295064065369779</v>
      </c>
      <c r="AO320" s="7">
        <v>4.4312786169455318E-2</v>
      </c>
      <c r="AP320" s="7">
        <v>-0.84358082508022647</v>
      </c>
      <c r="AQ320" s="7">
        <v>1.9409652460273964E-3</v>
      </c>
      <c r="AR320" s="7">
        <v>0.84071038002398013</v>
      </c>
      <c r="AS320" s="7">
        <v>0.74844507336636368</v>
      </c>
      <c r="AT320" s="7">
        <v>0.91846656176489438</v>
      </c>
      <c r="AU320" s="7">
        <v>-2.6467931870703998</v>
      </c>
    </row>
    <row r="321" spans="37:47" x14ac:dyDescent="0.25">
      <c r="AK321" t="str">
        <v>datsun 510 hatchback</v>
      </c>
      <c r="AL321" s="7">
        <v>37</v>
      </c>
      <c r="AM321" s="7">
        <v>34.100324501759388</v>
      </c>
      <c r="AN321" s="7">
        <v>2.8996754982406117</v>
      </c>
      <c r="AO321" s="7">
        <v>4.3635560442854895E-2</v>
      </c>
      <c r="AP321" s="7">
        <v>0.96668836786536427</v>
      </c>
      <c r="AQ321" s="7">
        <v>2.5080789491045388E-3</v>
      </c>
      <c r="AR321" s="7">
        <v>0.84071038002398013</v>
      </c>
      <c r="AS321" s="7">
        <v>0.7789342813770056</v>
      </c>
      <c r="AT321" s="7">
        <v>0.98320311628135326</v>
      </c>
      <c r="AU321" s="7">
        <v>3.0319775373322515</v>
      </c>
    </row>
    <row r="322" spans="37:47" x14ac:dyDescent="0.25">
      <c r="AK322" t="str">
        <v>toyota corolla</v>
      </c>
      <c r="AL322" s="7">
        <v>32.200000000000003</v>
      </c>
      <c r="AM322" s="7">
        <v>35.232043169924317</v>
      </c>
      <c r="AN322" s="7">
        <v>-3.0320431699243144</v>
      </c>
      <c r="AO322" s="7">
        <v>4.2341728892895156E-2</v>
      </c>
      <c r="AP322" s="7">
        <v>-1.0101337973139433</v>
      </c>
      <c r="AQ322" s="7">
        <v>2.6537921553327934E-3</v>
      </c>
      <c r="AR322" s="7">
        <v>0.84071038002398013</v>
      </c>
      <c r="AS322" s="7">
        <v>0.78371741325869382</v>
      </c>
      <c r="AT322" s="7">
        <v>1.0050541265593327</v>
      </c>
      <c r="AU322" s="7">
        <v>-3.1661013760358463</v>
      </c>
    </row>
    <row r="323" spans="37:47" x14ac:dyDescent="0.25">
      <c r="AK323" t="str">
        <v>mazda glc</v>
      </c>
      <c r="AL323" s="7">
        <v>46.6</v>
      </c>
      <c r="AM323" s="7">
        <v>36.179220479802829</v>
      </c>
      <c r="AN323" s="7">
        <v>10.420779520197172</v>
      </c>
      <c r="AO323" s="7">
        <v>4.254306533956221E-2</v>
      </c>
      <c r="AP323" s="7">
        <v>3.4720773077781217</v>
      </c>
      <c r="AQ323" s="7">
        <v>3.15093454241639E-2</v>
      </c>
      <c r="AR323" s="7">
        <v>0.90626440989817525</v>
      </c>
      <c r="AS323" s="7">
        <v>0.79148643600889412</v>
      </c>
      <c r="AT323" s="7">
        <v>1.8633510962183486</v>
      </c>
      <c r="AU323" s="7">
        <v>10.883810167287475</v>
      </c>
    </row>
    <row r="324" spans="37:47" x14ac:dyDescent="0.25">
      <c r="AK324" t="str">
        <v>dodge colt</v>
      </c>
      <c r="AL324" s="7">
        <v>27.9</v>
      </c>
      <c r="AM324" s="7">
        <v>29.976137956131637</v>
      </c>
      <c r="AN324" s="7">
        <v>-2.0761379561316389</v>
      </c>
      <c r="AO324" s="7">
        <v>4.8543440672513677E-2</v>
      </c>
      <c r="AP324" s="7">
        <v>-0.69392179736044413</v>
      </c>
      <c r="AQ324" s="7">
        <v>1.4451526667439111E-3</v>
      </c>
      <c r="AR324" s="7">
        <v>0.91594855621391613</v>
      </c>
      <c r="AS324" s="7">
        <v>0.80808342930666788</v>
      </c>
      <c r="AT324" s="7">
        <v>0.83301968605816523</v>
      </c>
      <c r="AU324" s="7">
        <v>-2.1820627918095452</v>
      </c>
    </row>
    <row r="325" spans="37:47" x14ac:dyDescent="0.25">
      <c r="AK325" t="str">
        <v>datsun 210</v>
      </c>
      <c r="AL325" s="7">
        <v>40.799999999999997</v>
      </c>
      <c r="AM325" s="7">
        <v>36.179220479802829</v>
      </c>
      <c r="AN325" s="7">
        <v>4.6207795201971678</v>
      </c>
      <c r="AO325" s="7">
        <v>4.254306533956221E-2</v>
      </c>
      <c r="AP325" s="7">
        <v>1.5395876753007918</v>
      </c>
      <c r="AQ325" s="7">
        <v>6.1954015492519839E-3</v>
      </c>
      <c r="AR325" s="7">
        <v>0.91594855621391613</v>
      </c>
      <c r="AS325" s="7">
        <v>0.81643234827063693</v>
      </c>
      <c r="AT325" s="7">
        <v>1.2408012231218954</v>
      </c>
      <c r="AU325" s="7">
        <v>4.8260964571068961</v>
      </c>
    </row>
    <row r="326" spans="37:47" x14ac:dyDescent="0.25">
      <c r="AK326" t="str">
        <v>vw rabbit c (diesel)</v>
      </c>
      <c r="AL326" s="7">
        <v>44.3</v>
      </c>
      <c r="AM326" s="7">
        <v>36.459845721441084</v>
      </c>
      <c r="AN326" s="7">
        <v>7.8401542785589129</v>
      </c>
      <c r="AO326" s="7">
        <v>4.9109161636258364E-2</v>
      </c>
      <c r="AP326" s="7">
        <v>2.6212478115325442</v>
      </c>
      <c r="AQ326" s="7">
        <v>2.0873683660506934E-2</v>
      </c>
      <c r="AR326" s="7">
        <v>0.93557937876868658</v>
      </c>
      <c r="AS326" s="7">
        <v>0.8279402322420274</v>
      </c>
      <c r="AT326" s="7">
        <v>1.6190268100104286</v>
      </c>
      <c r="AU326" s="7">
        <v>8.2450623796628069</v>
      </c>
    </row>
    <row r="327" spans="37:47" x14ac:dyDescent="0.25">
      <c r="AK327" t="str">
        <v>vw dasher (diesel)</v>
      </c>
      <c r="AL327" s="7">
        <v>43.4</v>
      </c>
      <c r="AM327" s="7">
        <v>35.1940183176619</v>
      </c>
      <c r="AN327" s="7">
        <v>8.2059816823380984</v>
      </c>
      <c r="AO327" s="7">
        <v>5.1764620516722801E-2</v>
      </c>
      <c r="AP327" s="7">
        <v>2.7473960479992194</v>
      </c>
      <c r="AQ327" s="7">
        <v>2.4238765461914578E-2</v>
      </c>
      <c r="AR327" s="7">
        <v>0.94553119002021024</v>
      </c>
      <c r="AS327" s="7">
        <v>0.83361742346055268</v>
      </c>
      <c r="AT327" s="7">
        <v>1.6575270881645403</v>
      </c>
      <c r="AU327" s="7">
        <v>8.6539501266128589</v>
      </c>
    </row>
    <row r="328" spans="37:47" x14ac:dyDescent="0.25">
      <c r="AK328" t="str">
        <v>audi 5000s (diesel)</v>
      </c>
      <c r="AL328" s="7">
        <v>36.4</v>
      </c>
      <c r="AM328" s="7">
        <v>31.771590697247827</v>
      </c>
      <c r="AN328" s="7">
        <v>4.6284093027521713</v>
      </c>
      <c r="AO328" s="7">
        <v>5.6567924201591319E-2</v>
      </c>
      <c r="AP328" s="7">
        <v>1.5535500258921515</v>
      </c>
      <c r="AQ328" s="7">
        <v>8.5125792525218655E-3</v>
      </c>
      <c r="AR328" s="7">
        <v>0.95557753794043188</v>
      </c>
      <c r="AS328" s="7">
        <v>0.84720077695598162</v>
      </c>
      <c r="AT328" s="7">
        <v>1.2464148690914079</v>
      </c>
      <c r="AU328" s="7">
        <v>4.9059274339758225</v>
      </c>
    </row>
    <row r="329" spans="37:47" x14ac:dyDescent="0.25">
      <c r="AK329" t="str">
        <v>mercedes-benz 240d</v>
      </c>
      <c r="AL329" s="7">
        <v>30</v>
      </c>
      <c r="AM329" s="7">
        <v>30.252597812712803</v>
      </c>
      <c r="AN329" s="7">
        <v>-0.25259781271280346</v>
      </c>
      <c r="AO329" s="7">
        <v>6.64089581909732E-2</v>
      </c>
      <c r="AP329" s="7">
        <v>-8.5231484219194242E-2</v>
      </c>
      <c r="AQ329" s="7">
        <v>3.039633152353527E-5</v>
      </c>
      <c r="AR329" s="7">
        <v>0.96572126957388438</v>
      </c>
      <c r="AS329" s="7">
        <v>0.85349810780512758</v>
      </c>
      <c r="AT329" s="7">
        <v>0.29194431698389717</v>
      </c>
      <c r="AU329" s="7">
        <v>-0.27056580601217284</v>
      </c>
    </row>
    <row r="330" spans="37:47" x14ac:dyDescent="0.25">
      <c r="AK330" t="str">
        <v>honda civic 1500 gl</v>
      </c>
      <c r="AL330" s="7">
        <v>44.6</v>
      </c>
      <c r="AM330" s="7">
        <v>37.463208115826099</v>
      </c>
      <c r="AN330" s="7">
        <v>7.1367918841739026</v>
      </c>
      <c r="AO330" s="7">
        <v>4.3492507562084864E-2</v>
      </c>
      <c r="AP330" s="7">
        <v>2.3790723412149846</v>
      </c>
      <c r="AQ330" s="7">
        <v>1.5138834664552027E-2</v>
      </c>
      <c r="AR330" s="7">
        <v>0.96572126957388438</v>
      </c>
      <c r="AS330" s="7">
        <v>0.86418422319001653</v>
      </c>
      <c r="AT330" s="7">
        <v>1.5424241768122622</v>
      </c>
      <c r="AU330" s="7">
        <v>7.4613026459247909</v>
      </c>
    </row>
    <row r="331" spans="37:47" x14ac:dyDescent="0.25">
      <c r="AK331" t="str">
        <v>subaru dl</v>
      </c>
      <c r="AL331" s="7">
        <v>33.799999999999997</v>
      </c>
      <c r="AM331" s="7">
        <v>35.969531779366662</v>
      </c>
      <c r="AN331" s="7">
        <v>-2.1695317793666646</v>
      </c>
      <c r="AO331" s="7">
        <v>4.2462545848669549E-2</v>
      </c>
      <c r="AP331" s="7">
        <v>-0.72283127398567093</v>
      </c>
      <c r="AQ331" s="7">
        <v>1.3629351933446498E-3</v>
      </c>
      <c r="AR331" s="7">
        <v>0.96572126957388438</v>
      </c>
      <c r="AS331" s="7">
        <v>0.87264012009621639</v>
      </c>
      <c r="AT331" s="7">
        <v>0.85019484471835682</v>
      </c>
      <c r="AU331" s="7">
        <v>-2.2657409064896892</v>
      </c>
    </row>
    <row r="332" spans="37:47" x14ac:dyDescent="0.25">
      <c r="AK332" t="str">
        <v>vokswagen rabbit</v>
      </c>
      <c r="AL332" s="7">
        <v>29.8</v>
      </c>
      <c r="AM332" s="7">
        <v>37.447729981719526</v>
      </c>
      <c r="AN332" s="7">
        <v>-7.6477299817195252</v>
      </c>
      <c r="AO332" s="7">
        <v>5.037136542363066E-2</v>
      </c>
      <c r="AP332" s="7">
        <v>-2.5586120959927139</v>
      </c>
      <c r="AQ332" s="7">
        <v>2.0426309022841115E-2</v>
      </c>
      <c r="AR332" s="7">
        <v>0.96572126957388438</v>
      </c>
      <c r="AS332" s="7">
        <v>0.87970525767098584</v>
      </c>
      <c r="AT332" s="7">
        <v>1.5995662211964574</v>
      </c>
      <c r="AU332" s="7">
        <v>-8.0533902446309327</v>
      </c>
    </row>
    <row r="333" spans="37:47" x14ac:dyDescent="0.25">
      <c r="AK333" t="str">
        <v>datsun 280-zx</v>
      </c>
      <c r="AL333" s="7">
        <v>32.700000000000003</v>
      </c>
      <c r="AM333" s="7">
        <v>31.040731846822169</v>
      </c>
      <c r="AN333" s="7">
        <v>1.6592681531778339</v>
      </c>
      <c r="AO333" s="7">
        <v>5.5299275867682768E-2</v>
      </c>
      <c r="AP333" s="7">
        <v>0.55656803120621579</v>
      </c>
      <c r="AQ333" s="7">
        <v>1.0666275308936506E-3</v>
      </c>
      <c r="AR333" s="7">
        <v>0.96572126957388438</v>
      </c>
      <c r="AS333" s="7">
        <v>0.88224971223868232</v>
      </c>
      <c r="AT333" s="7">
        <v>0.74603487264752966</v>
      </c>
      <c r="AU333" s="7">
        <v>1.7563955555362023</v>
      </c>
    </row>
    <row r="334" spans="37:47" x14ac:dyDescent="0.25">
      <c r="AK334" t="str">
        <v>mazda rx-7 gs</v>
      </c>
      <c r="AL334" s="7">
        <v>23.7</v>
      </c>
      <c r="AM334" s="7">
        <v>34.041319380742692</v>
      </c>
      <c r="AN334" s="7">
        <v>-10.341319380742693</v>
      </c>
      <c r="AO334" s="7">
        <v>4.5913395389664408E-2</v>
      </c>
      <c r="AP334" s="7">
        <v>-3.451682617569364</v>
      </c>
      <c r="AQ334" s="7">
        <v>3.3725966329777569E-2</v>
      </c>
      <c r="AR334" s="7">
        <v>0.96572126957388438</v>
      </c>
      <c r="AS334" s="7">
        <v>0.8842825204929029</v>
      </c>
      <c r="AT334" s="7">
        <v>1.8578704523107537</v>
      </c>
      <c r="AU334" s="7">
        <v>-10.838973454580945</v>
      </c>
    </row>
    <row r="335" spans="37:47" x14ac:dyDescent="0.25">
      <c r="AK335" t="str">
        <v>triumph tr7 coupe</v>
      </c>
      <c r="AL335" s="7">
        <v>35</v>
      </c>
      <c r="AM335" s="7">
        <v>33.709114953025988</v>
      </c>
      <c r="AN335" s="7">
        <v>1.2908850469740116</v>
      </c>
      <c r="AO335" s="7">
        <v>4.9786115999968468E-2</v>
      </c>
      <c r="AP335" s="7">
        <v>0.43174338069117302</v>
      </c>
      <c r="AQ335" s="7">
        <v>5.7449906899618801E-4</v>
      </c>
      <c r="AR335" s="7">
        <v>1.0288047620058449</v>
      </c>
      <c r="AS335" s="7">
        <v>0.89210317838710151</v>
      </c>
      <c r="AT335" s="7">
        <v>0.65707182308418388</v>
      </c>
      <c r="AU335" s="7">
        <v>1.3585205064989019</v>
      </c>
    </row>
    <row r="336" spans="37:47" x14ac:dyDescent="0.25">
      <c r="AK336" t="str">
        <v>honda accord</v>
      </c>
      <c r="AL336" s="7">
        <v>32.4</v>
      </c>
      <c r="AM336" s="7">
        <v>35.154169725407023</v>
      </c>
      <c r="AN336" s="7">
        <v>-2.7541697254070243</v>
      </c>
      <c r="AO336" s="7">
        <v>4.2569726514608844E-2</v>
      </c>
      <c r="AP336" s="7">
        <v>-0.91766871471414835</v>
      </c>
      <c r="AQ336" s="7">
        <v>2.2025036410607351E-3</v>
      </c>
      <c r="AR336" s="7">
        <v>1.0397213301736039</v>
      </c>
      <c r="AS336" s="7">
        <v>0.89328897781380623</v>
      </c>
      <c r="AT336" s="7">
        <v>0.95795026734906674</v>
      </c>
      <c r="AU336" s="7">
        <v>-2.8766269478620665</v>
      </c>
    </row>
    <row r="337" spans="37:47" x14ac:dyDescent="0.25">
      <c r="AK337" t="str">
        <v>plymouth reliant</v>
      </c>
      <c r="AL337" s="7">
        <v>27.2</v>
      </c>
      <c r="AM337" s="7">
        <v>29.250550208008121</v>
      </c>
      <c r="AN337" s="7">
        <v>-2.0505502080081222</v>
      </c>
      <c r="AO337" s="7">
        <v>4.260858027165558E-2</v>
      </c>
      <c r="AP337" s="7">
        <v>-0.68324182750021967</v>
      </c>
      <c r="AQ337" s="7">
        <v>1.2221021344029676E-3</v>
      </c>
      <c r="AR337" s="7">
        <v>1.050763231139634</v>
      </c>
      <c r="AS337" s="7">
        <v>0.89925474334882816</v>
      </c>
      <c r="AT337" s="7">
        <v>0.82658443458621922</v>
      </c>
      <c r="AU337" s="7">
        <v>-2.1418096775819828</v>
      </c>
    </row>
    <row r="338" spans="37:47" x14ac:dyDescent="0.25">
      <c r="AK338" t="str">
        <v>buick skylark</v>
      </c>
      <c r="AL338" s="7">
        <v>26.6</v>
      </c>
      <c r="AM338" s="7">
        <v>28.516370313816193</v>
      </c>
      <c r="AN338" s="7">
        <v>-1.9163703138161914</v>
      </c>
      <c r="AO338" s="7">
        <v>4.1092528424654287E-2</v>
      </c>
      <c r="AP338" s="7">
        <v>-0.63802821850481628</v>
      </c>
      <c r="AQ338" s="7">
        <v>1.0261645662393811E-3</v>
      </c>
      <c r="AR338" s="7">
        <v>1.0619347543176552</v>
      </c>
      <c r="AS338" s="7">
        <v>0.92150618089199388</v>
      </c>
      <c r="AT338" s="7">
        <v>0.79876668590071798</v>
      </c>
      <c r="AU338" s="7">
        <v>-1.998493463261761</v>
      </c>
    </row>
    <row r="339" spans="37:47" x14ac:dyDescent="0.25">
      <c r="AK339" t="str">
        <v>dodge aries wagon (sw)</v>
      </c>
      <c r="AL339" s="7">
        <v>25.8</v>
      </c>
      <c r="AM339" s="7">
        <v>28.462428502414614</v>
      </c>
      <c r="AN339" s="7">
        <v>-2.6624285024146133</v>
      </c>
      <c r="AO339" s="7">
        <v>4.2310893601892566E-2</v>
      </c>
      <c r="AP339" s="7">
        <v>-0.88698134092906744</v>
      </c>
      <c r="AQ339" s="7">
        <v>2.0445968935016256E-3</v>
      </c>
      <c r="AR339" s="7">
        <v>1.0619347543176552</v>
      </c>
      <c r="AS339" s="7">
        <v>0.92354334626382917</v>
      </c>
      <c r="AT339" s="7">
        <v>0.94179686818818176</v>
      </c>
      <c r="AU339" s="7">
        <v>-2.780055118751505</v>
      </c>
    </row>
    <row r="340" spans="37:47" x14ac:dyDescent="0.25">
      <c r="AK340" t="str">
        <v>chevrolet citation</v>
      </c>
      <c r="AL340" s="7">
        <v>23.5</v>
      </c>
      <c r="AM340" s="7">
        <v>27.638525217663616</v>
      </c>
      <c r="AN340" s="7">
        <v>-4.1385252176636165</v>
      </c>
      <c r="AO340" s="7">
        <v>4.6648569894361745E-2</v>
      </c>
      <c r="AP340" s="7">
        <v>-1.3818722583783212</v>
      </c>
      <c r="AQ340" s="7">
        <v>5.4963222423871716E-3</v>
      </c>
      <c r="AR340" s="7">
        <v>1.0846849303794233</v>
      </c>
      <c r="AS340" s="7">
        <v>0.92900557209987533</v>
      </c>
      <c r="AT340" s="7">
        <v>1.1755306284305489</v>
      </c>
      <c r="AU340" s="7">
        <v>-4.3410279640583722</v>
      </c>
    </row>
    <row r="341" spans="37:47" x14ac:dyDescent="0.25">
      <c r="AK341" t="str">
        <v>plymouth reliant</v>
      </c>
      <c r="AL341" s="7">
        <v>30</v>
      </c>
      <c r="AM341" s="7">
        <v>29.782197717595377</v>
      </c>
      <c r="AN341" s="7">
        <v>0.21780228240462307</v>
      </c>
      <c r="AO341" s="7">
        <v>4.4238536928883736E-2</v>
      </c>
      <c r="AP341" s="7">
        <v>7.2633416429775458E-2</v>
      </c>
      <c r="AQ341" s="7">
        <v>1.4363995595846524E-5</v>
      </c>
      <c r="AR341" s="7">
        <v>1.0962733150227</v>
      </c>
      <c r="AS341" s="7">
        <v>0.93448737390407421</v>
      </c>
      <c r="AT341" s="7">
        <v>0.26950587457377523</v>
      </c>
      <c r="AU341" s="7">
        <v>0.22788351573076224</v>
      </c>
    </row>
    <row r="342" spans="37:47" x14ac:dyDescent="0.25">
      <c r="AK342" t="str">
        <v>toyota starlet</v>
      </c>
      <c r="AL342" s="7">
        <v>39.1</v>
      </c>
      <c r="AM342" s="7">
        <v>35.454171617009983</v>
      </c>
      <c r="AN342" s="7">
        <v>3.6458283829900182</v>
      </c>
      <c r="AO342" s="7">
        <v>4.1951287323382588E-2</v>
      </c>
      <c r="AP342" s="7">
        <v>1.2143705581244517</v>
      </c>
      <c r="AQ342" s="7">
        <v>3.7984921914540042E-3</v>
      </c>
      <c r="AR342" s="7">
        <v>1.1080108204698569</v>
      </c>
      <c r="AS342" s="7">
        <v>0.96387111404314796</v>
      </c>
      <c r="AT342" s="7">
        <v>1.1019848266307717</v>
      </c>
      <c r="AU342" s="7">
        <v>3.8054728687064601</v>
      </c>
    </row>
    <row r="343" spans="37:47" x14ac:dyDescent="0.25">
      <c r="AK343" t="str">
        <v>plymouth champ</v>
      </c>
      <c r="AL343" s="7">
        <v>39</v>
      </c>
      <c r="AM343" s="7">
        <v>32.689214260375735</v>
      </c>
      <c r="AN343" s="7">
        <v>6.310785739624265</v>
      </c>
      <c r="AO343" s="7">
        <v>5.0228584078099284E-2</v>
      </c>
      <c r="AP343" s="7">
        <v>2.1111674999819705</v>
      </c>
      <c r="AQ343" s="7">
        <v>1.3865269089159294E-2</v>
      </c>
      <c r="AR343" s="7">
        <v>1.1199029946137795</v>
      </c>
      <c r="AS343" s="7">
        <v>0.96668836786536427</v>
      </c>
      <c r="AT343" s="7">
        <v>1.4529857191252675</v>
      </c>
      <c r="AU343" s="7">
        <v>6.6445311301547934</v>
      </c>
    </row>
    <row r="344" spans="37:47" x14ac:dyDescent="0.25">
      <c r="AK344" t="str">
        <v>honda civic 1300</v>
      </c>
      <c r="AL344" s="7">
        <v>35.1</v>
      </c>
      <c r="AM344" s="7">
        <v>35.396382205027315</v>
      </c>
      <c r="AN344" s="7">
        <v>-0.29638220502731372</v>
      </c>
      <c r="AO344" s="7">
        <v>4.2013652542506698E-2</v>
      </c>
      <c r="AP344" s="7">
        <v>-9.8723664725636207E-2</v>
      </c>
      <c r="AQ344" s="7">
        <v>2.5143442298405874E-5</v>
      </c>
      <c r="AR344" s="7">
        <v>1.1199029946137795</v>
      </c>
      <c r="AS344" s="7">
        <v>0.97921087107924287</v>
      </c>
      <c r="AT344" s="7">
        <v>0.3142032220166372</v>
      </c>
      <c r="AU344" s="7">
        <v>-0.30938040590444266</v>
      </c>
    </row>
    <row r="345" spans="37:47" x14ac:dyDescent="0.25">
      <c r="AK345" t="str">
        <v>subaru</v>
      </c>
      <c r="AL345" s="7">
        <v>32.299999999999997</v>
      </c>
      <c r="AM345" s="7">
        <v>33.738417748741924</v>
      </c>
      <c r="AN345" s="7">
        <v>-1.4384177487419265</v>
      </c>
      <c r="AO345" s="7">
        <v>4.1457949061363047E-2</v>
      </c>
      <c r="AP345" s="7">
        <v>-0.47899199098150524</v>
      </c>
      <c r="AQ345" s="7">
        <v>5.8371953236483929E-4</v>
      </c>
      <c r="AR345" s="7">
        <v>1.1199029946137795</v>
      </c>
      <c r="AS345" s="7">
        <v>0.99045257304541956</v>
      </c>
      <c r="AT345" s="7">
        <v>0.69209247285424602</v>
      </c>
      <c r="AU345" s="7">
        <v>-1.5006308250466205</v>
      </c>
    </row>
    <row r="346" spans="37:47" x14ac:dyDescent="0.25">
      <c r="AK346" t="str">
        <v>datsun 210 mpg</v>
      </c>
      <c r="AL346" s="7">
        <v>37</v>
      </c>
      <c r="AM346" s="7">
        <v>34.226588478009511</v>
      </c>
      <c r="AN346" s="7">
        <v>2.7734115219904893</v>
      </c>
      <c r="AO346" s="7">
        <v>4.1456844028665452E-2</v>
      </c>
      <c r="AP346" s="7">
        <v>0.92354334626382917</v>
      </c>
      <c r="AQ346" s="7">
        <v>2.1699524290074851E-3</v>
      </c>
      <c r="AR346" s="7">
        <v>1.156567811385141</v>
      </c>
      <c r="AS346" s="7">
        <v>0.99590616832095802</v>
      </c>
      <c r="AT346" s="7">
        <v>0.96101162649773864</v>
      </c>
      <c r="AU346" s="7">
        <v>2.893361143641016</v>
      </c>
    </row>
    <row r="347" spans="37:47" x14ac:dyDescent="0.25">
      <c r="AK347" t="str">
        <v>toyota tercel</v>
      </c>
      <c r="AL347" s="7">
        <v>37.700000000000003</v>
      </c>
      <c r="AM347" s="7">
        <v>33.895549552736377</v>
      </c>
      <c r="AN347" s="7">
        <v>3.8044504472636262</v>
      </c>
      <c r="AO347" s="7">
        <v>4.1763111862033353E-2</v>
      </c>
      <c r="AP347" s="7">
        <v>1.2670807492508778</v>
      </c>
      <c r="AQ347" s="7">
        <v>4.116040412638031E-3</v>
      </c>
      <c r="AR347" s="7">
        <v>1.156567811385141</v>
      </c>
      <c r="AS347" s="7">
        <v>0.99879597785625385</v>
      </c>
      <c r="AT347" s="7">
        <v>1.1256468137257254</v>
      </c>
      <c r="AU347" s="7">
        <v>3.9702608972363658</v>
      </c>
    </row>
    <row r="348" spans="37:47" x14ac:dyDescent="0.25">
      <c r="AK348" t="str">
        <v>mazda glc 4</v>
      </c>
      <c r="AL348" s="7">
        <v>34.1</v>
      </c>
      <c r="AM348" s="7">
        <v>34.127246085997719</v>
      </c>
      <c r="AN348" s="7">
        <v>-2.7246085997717273E-2</v>
      </c>
      <c r="AO348" s="7">
        <v>4.1515795674472153E-2</v>
      </c>
      <c r="AP348" s="7">
        <v>-9.0731992161423598E-3</v>
      </c>
      <c r="AQ348" s="7">
        <v>2.0974923110871813E-7</v>
      </c>
      <c r="AR348" s="7">
        <v>1.156567811385141</v>
      </c>
      <c r="AS348" s="7">
        <v>1.0160259092109298</v>
      </c>
      <c r="AT348" s="7">
        <v>9.5253342283314973E-2</v>
      </c>
      <c r="AU348" s="7">
        <v>-2.8426223274999059E-2</v>
      </c>
    </row>
    <row r="349" spans="37:47" x14ac:dyDescent="0.25">
      <c r="AK349" t="str">
        <v>plymouth horizon 4</v>
      </c>
      <c r="AL349" s="7">
        <v>34.700000000000003</v>
      </c>
      <c r="AM349" s="7">
        <v>30.983925423189589</v>
      </c>
      <c r="AN349" s="7">
        <v>3.7160745768104135</v>
      </c>
      <c r="AO349" s="7">
        <v>4.4551350782135554E-2</v>
      </c>
      <c r="AP349" s="7">
        <v>1.2394515341278629</v>
      </c>
      <c r="AQ349" s="7">
        <v>4.2137008791074673E-3</v>
      </c>
      <c r="AR349" s="7">
        <v>1.1948571240757904</v>
      </c>
      <c r="AS349" s="7">
        <v>1.0446177063052586</v>
      </c>
      <c r="AT349" s="7">
        <v>1.1133065768816166</v>
      </c>
      <c r="AU349" s="7">
        <v>3.8893503903662565</v>
      </c>
    </row>
    <row r="350" spans="37:47" x14ac:dyDescent="0.25">
      <c r="AK350" t="str">
        <v>ford escort 4w</v>
      </c>
      <c r="AL350" s="7">
        <v>34.4</v>
      </c>
      <c r="AM350" s="7">
        <v>31.812215193852357</v>
      </c>
      <c r="AN350" s="7">
        <v>2.5877848061476421</v>
      </c>
      <c r="AO350" s="7">
        <v>4.6893881316315458E-2</v>
      </c>
      <c r="AP350" s="7">
        <v>0.86418422319001653</v>
      </c>
      <c r="AQ350" s="7">
        <v>2.1614175219013408E-3</v>
      </c>
      <c r="AR350" s="7">
        <v>1.2080167583463306</v>
      </c>
      <c r="AS350" s="7">
        <v>1.0807560254323896</v>
      </c>
      <c r="AT350" s="7">
        <v>0.92961509410616638</v>
      </c>
      <c r="AU350" s="7">
        <v>2.7151066973755023</v>
      </c>
    </row>
    <row r="351" spans="37:47" x14ac:dyDescent="0.25">
      <c r="AK351" t="str">
        <v>ford escort 2h</v>
      </c>
      <c r="AL351" s="7">
        <v>29.9</v>
      </c>
      <c r="AM351" s="7">
        <v>30.116006472788246</v>
      </c>
      <c r="AN351" s="7">
        <v>-0.21600647278824781</v>
      </c>
      <c r="AO351" s="7">
        <v>4.3294655821143474E-2</v>
      </c>
      <c r="AP351" s="7">
        <v>-7.1999000729864662E-2</v>
      </c>
      <c r="AQ351" s="7">
        <v>1.3799396962002863E-5</v>
      </c>
      <c r="AR351" s="7">
        <v>1.221388985601022</v>
      </c>
      <c r="AS351" s="7">
        <v>1.1069048065287967</v>
      </c>
      <c r="AT351" s="7">
        <v>0.26832629526355528</v>
      </c>
      <c r="AU351" s="7">
        <v>-0.22578160987868934</v>
      </c>
    </row>
    <row r="352" spans="37:47" x14ac:dyDescent="0.25">
      <c r="AK352" t="str">
        <v>volkswagen jetta</v>
      </c>
      <c r="AL352" s="7">
        <v>33</v>
      </c>
      <c r="AM352" s="7">
        <v>32.869872181227684</v>
      </c>
      <c r="AN352" s="7">
        <v>0.13012781877231561</v>
      </c>
      <c r="AO352" s="7">
        <v>5.210622920395612E-2</v>
      </c>
      <c r="AP352" s="7">
        <v>4.357517290963616E-2</v>
      </c>
      <c r="AQ352" s="7">
        <v>6.139871656803071E-6</v>
      </c>
      <c r="AR352" s="7">
        <v>1.221388985601022</v>
      </c>
      <c r="AS352" s="7">
        <v>1.1097334264431649</v>
      </c>
      <c r="AT352" s="7">
        <v>0.20874667161331259</v>
      </c>
      <c r="AU352" s="7">
        <v>0.13728101479455224</v>
      </c>
    </row>
    <row r="353" spans="37:47" x14ac:dyDescent="0.25">
      <c r="AK353" t="str">
        <v>honda prelude</v>
      </c>
      <c r="AL353" s="7">
        <v>33.700000000000003</v>
      </c>
      <c r="AM353" s="7">
        <v>32.874346398921659</v>
      </c>
      <c r="AN353" s="7">
        <v>0.82565360107834351</v>
      </c>
      <c r="AO353" s="7">
        <v>4.1634199205982186E-2</v>
      </c>
      <c r="AP353" s="7">
        <v>0.27496728736359077</v>
      </c>
      <c r="AQ353" s="7">
        <v>1.9321108768245843E-4</v>
      </c>
      <c r="AR353" s="7">
        <v>1.2488096764960821</v>
      </c>
      <c r="AS353" s="7">
        <v>1.1280247387124058</v>
      </c>
      <c r="AT353" s="7">
        <v>0.52437323288244875</v>
      </c>
      <c r="AU353" s="7">
        <v>0.86152239613963622</v>
      </c>
    </row>
    <row r="354" spans="37:47" x14ac:dyDescent="0.25">
      <c r="AK354" t="str">
        <v>toyota corolla</v>
      </c>
      <c r="AL354" s="7">
        <v>32.4</v>
      </c>
      <c r="AM354" s="7">
        <v>32.165483052805314</v>
      </c>
      <c r="AN354" s="7">
        <v>0.23451694719468463</v>
      </c>
      <c r="AO354" s="7">
        <v>4.2232188432905604E-2</v>
      </c>
      <c r="AP354" s="7">
        <v>7.8125519301108906E-2</v>
      </c>
      <c r="AQ354" s="7">
        <v>1.5831434276901405E-5</v>
      </c>
      <c r="AR354" s="7">
        <v>1.2488096764960821</v>
      </c>
      <c r="AS354" s="7">
        <v>1.1659795306247422</v>
      </c>
      <c r="AT354" s="7">
        <v>0.27950942613999424</v>
      </c>
      <c r="AU354" s="7">
        <v>0.24485782917570523</v>
      </c>
    </row>
    <row r="355" spans="37:47" x14ac:dyDescent="0.25">
      <c r="AK355" t="str">
        <v>datsun 200sx</v>
      </c>
      <c r="AL355" s="7">
        <v>32.9</v>
      </c>
      <c r="AM355" s="7">
        <v>30.417795205960854</v>
      </c>
      <c r="AN355" s="7">
        <v>2.482204794039145</v>
      </c>
      <c r="AO355" s="7">
        <v>4.4622841874438317E-2</v>
      </c>
      <c r="AP355" s="7">
        <v>0.8279402322420274</v>
      </c>
      <c r="AQ355" s="7">
        <v>1.8833516818890638E-3</v>
      </c>
      <c r="AR355" s="7">
        <v>1.2772029316939737</v>
      </c>
      <c r="AS355" s="7">
        <v>1.1660321456416016</v>
      </c>
      <c r="AT355" s="7">
        <v>0.90991221128305966</v>
      </c>
      <c r="AU355" s="7">
        <v>2.5981412397478714</v>
      </c>
    </row>
    <row r="356" spans="37:47" x14ac:dyDescent="0.25">
      <c r="AK356" t="str">
        <v>mazda 626</v>
      </c>
      <c r="AL356" s="7">
        <v>31.6</v>
      </c>
      <c r="AM356" s="7">
        <v>30.738676244450591</v>
      </c>
      <c r="AN356" s="7">
        <v>0.86132375554941021</v>
      </c>
      <c r="AO356" s="7">
        <v>4.6205507722799015E-2</v>
      </c>
      <c r="AP356" s="7">
        <v>0.28753308488155083</v>
      </c>
      <c r="AQ356" s="7">
        <v>2.3559477951897646E-4</v>
      </c>
      <c r="AR356" s="7">
        <v>1.2917937758243685</v>
      </c>
      <c r="AS356" s="7">
        <v>1.1863106075737995</v>
      </c>
      <c r="AT356" s="7">
        <v>0.53622111566176767</v>
      </c>
      <c r="AU356" s="7">
        <v>0.90304962182470216</v>
      </c>
    </row>
    <row r="357" spans="37:47" x14ac:dyDescent="0.25">
      <c r="AK357" t="str">
        <v>peugeot 505s turbo diesel</v>
      </c>
      <c r="AL357" s="7">
        <v>28.1</v>
      </c>
      <c r="AM357" s="7">
        <v>27.50661158978502</v>
      </c>
      <c r="AN357" s="7">
        <v>0.59338841021498112</v>
      </c>
      <c r="AO357" s="7">
        <v>6.3714733867296078E-2</v>
      </c>
      <c r="AP357" s="7">
        <v>0.19993267130990333</v>
      </c>
      <c r="AQ357" s="7">
        <v>1.6001116978650619E-4</v>
      </c>
      <c r="AR357" s="7">
        <v>1.306664940712895</v>
      </c>
      <c r="AS357" s="7">
        <v>1.1899727275032885</v>
      </c>
      <c r="AT357" s="7">
        <v>0.44713831339967203</v>
      </c>
      <c r="AU357" s="7">
        <v>0.63376882204496587</v>
      </c>
    </row>
    <row r="358" spans="37:47" x14ac:dyDescent="0.25">
      <c r="AK358" t="str">
        <v>volvo diesel</v>
      </c>
      <c r="AL358" s="7">
        <v>30.7</v>
      </c>
      <c r="AM358" s="7">
        <v>27.925988990657363</v>
      </c>
      <c r="AN358" s="7">
        <v>2.7740110093426367</v>
      </c>
      <c r="AO358" s="7">
        <v>6.3372096018761273E-2</v>
      </c>
      <c r="AP358" s="7">
        <v>0.93448737390407421</v>
      </c>
      <c r="AQ358" s="7">
        <v>3.4755931599012601E-3</v>
      </c>
      <c r="AR358" s="7">
        <v>1.3218308296149113</v>
      </c>
      <c r="AS358" s="7">
        <v>1.2143705581244517</v>
      </c>
      <c r="AT358" s="7">
        <v>0.96668887130455483</v>
      </c>
      <c r="AU358" s="7">
        <v>2.9617001560079528</v>
      </c>
    </row>
    <row r="359" spans="37:47" x14ac:dyDescent="0.25">
      <c r="AK359" t="str">
        <v>toyota cressida</v>
      </c>
      <c r="AL359" s="7">
        <v>25.4</v>
      </c>
      <c r="AM359" s="7">
        <v>28.714969054395926</v>
      </c>
      <c r="AN359" s="7">
        <v>-3.3149690543959274</v>
      </c>
      <c r="AO359" s="7">
        <v>4.8511143620971503E-2</v>
      </c>
      <c r="AP359" s="7">
        <v>-1.1079659887017943</v>
      </c>
      <c r="AQ359" s="7">
        <v>3.6816435904012163E-3</v>
      </c>
      <c r="AR359" s="7">
        <v>1.3373069939616973</v>
      </c>
      <c r="AS359" s="7">
        <v>1.2394515341278629</v>
      </c>
      <c r="AT359" s="7">
        <v>1.0525996336222971</v>
      </c>
      <c r="AU359" s="7">
        <v>-3.4839809548703737</v>
      </c>
    </row>
    <row r="360" spans="37:47" x14ac:dyDescent="0.25">
      <c r="AK360" t="str">
        <v>datsun 810 maxima</v>
      </c>
      <c r="AL360" s="7">
        <v>24.2</v>
      </c>
      <c r="AM360" s="7">
        <v>28.498124038128257</v>
      </c>
      <c r="AN360" s="7">
        <v>-4.2981240381282575</v>
      </c>
      <c r="AO360" s="7">
        <v>4.978260956916386E-2</v>
      </c>
      <c r="AP360" s="7">
        <v>-1.4375278289347968</v>
      </c>
      <c r="AQ360" s="7">
        <v>6.3685165871422587E-3</v>
      </c>
      <c r="AR360" s="7">
        <v>1.3531102606891987</v>
      </c>
      <c r="AS360" s="7">
        <v>1.2670807492508778</v>
      </c>
      <c r="AT360" s="7">
        <v>1.1989694862400782</v>
      </c>
      <c r="AU360" s="7">
        <v>-4.523306015457635</v>
      </c>
    </row>
    <row r="361" spans="37:47" x14ac:dyDescent="0.25">
      <c r="AK361" t="str">
        <v>buick century</v>
      </c>
      <c r="AL361" s="7">
        <v>22.4</v>
      </c>
      <c r="AM361" s="7">
        <v>24.144841583233063</v>
      </c>
      <c r="AN361" s="7">
        <v>-1.7448415832330646</v>
      </c>
      <c r="AO361" s="7">
        <v>4.0505338903004014E-2</v>
      </c>
      <c r="AP361" s="7">
        <v>-0.58074238683041934</v>
      </c>
      <c r="AQ361" s="7">
        <v>8.3750582565429374E-4</v>
      </c>
      <c r="AR361" s="7">
        <v>1.3531102606891987</v>
      </c>
      <c r="AS361" s="7">
        <v>1.2915705569901506</v>
      </c>
      <c r="AT361" s="7">
        <v>0.76206455555314956</v>
      </c>
      <c r="AU361" s="7">
        <v>-1.8185005649100505</v>
      </c>
    </row>
    <row r="362" spans="37:47" x14ac:dyDescent="0.25">
      <c r="AK362" t="str">
        <v>oldsmobile cutlass ls</v>
      </c>
      <c r="AL362" s="7">
        <v>26.6</v>
      </c>
      <c r="AM362" s="7">
        <v>22.65639776231458</v>
      </c>
      <c r="AN362" s="7">
        <v>3.9436022376854218</v>
      </c>
      <c r="AO362" s="7">
        <v>4.5514063559417436E-2</v>
      </c>
      <c r="AP362" s="7">
        <v>1.3160037932020459</v>
      </c>
      <c r="AQ362" s="7">
        <v>4.8578202243035259E-3</v>
      </c>
      <c r="AR362" s="7">
        <v>1.3857726818373162</v>
      </c>
      <c r="AS362" s="7">
        <v>1.3082330687569519</v>
      </c>
      <c r="AT362" s="7">
        <v>1.147172085260989</v>
      </c>
      <c r="AU362" s="7">
        <v>4.1316504383413868</v>
      </c>
    </row>
    <row r="363" spans="37:47" x14ac:dyDescent="0.25">
      <c r="AK363" t="str">
        <v>ford granada gl</v>
      </c>
      <c r="AL363" s="7">
        <v>20.2</v>
      </c>
      <c r="AM363" s="7">
        <v>26.299517999577414</v>
      </c>
      <c r="AN363" s="7">
        <v>-6.0995179995774151</v>
      </c>
      <c r="AO363" s="7">
        <v>4.0669083135311528E-2</v>
      </c>
      <c r="AP363" s="7">
        <v>-2.0302994659393137</v>
      </c>
      <c r="AQ363" s="7">
        <v>1.0279387077060673E-2</v>
      </c>
      <c r="AR363" s="7">
        <v>1.402673289992322</v>
      </c>
      <c r="AS363" s="7">
        <v>1.3160037932020459</v>
      </c>
      <c r="AT363" s="7">
        <v>1.4248857729443836</v>
      </c>
      <c r="AU363" s="7">
        <v>-6.3580959316020236</v>
      </c>
    </row>
    <row r="364" spans="37:47" x14ac:dyDescent="0.25">
      <c r="AK364" t="str">
        <v>chrysler lebaron salon</v>
      </c>
      <c r="AL364" s="7">
        <v>17.600000000000001</v>
      </c>
      <c r="AM364" s="7">
        <v>24.29758690131575</v>
      </c>
      <c r="AN364" s="7">
        <v>-6.6975869013157485</v>
      </c>
      <c r="AO364" s="7">
        <v>4.8271382998579776E-2</v>
      </c>
      <c r="AP364" s="7">
        <v>-2.2382603266400936</v>
      </c>
      <c r="AQ364" s="7">
        <v>1.4946822807055435E-2</v>
      </c>
      <c r="AR364" s="7">
        <v>1.4199843237682621</v>
      </c>
      <c r="AS364" s="7">
        <v>1.3348865121336073</v>
      </c>
      <c r="AT364" s="7">
        <v>1.4960816577446878</v>
      </c>
      <c r="AU364" s="7">
        <v>-7.0372864508557216</v>
      </c>
    </row>
    <row r="365" spans="37:47" x14ac:dyDescent="0.25">
      <c r="AK365" t="str">
        <v>chevrolet cavalier</v>
      </c>
      <c r="AL365" s="7">
        <v>28</v>
      </c>
      <c r="AM365" s="7">
        <v>30.28175978404812</v>
      </c>
      <c r="AN365" s="7">
        <v>-2.2817597840481199</v>
      </c>
      <c r="AO365" s="7">
        <v>3.5610204688537782E-2</v>
      </c>
      <c r="AP365" s="7">
        <v>-0.75751706682775866</v>
      </c>
      <c r="AQ365" s="7">
        <v>1.2464009927449355E-3</v>
      </c>
      <c r="AR365" s="7">
        <v>1.4199843237682621</v>
      </c>
      <c r="AS365" s="7">
        <v>1.4296443982960407</v>
      </c>
      <c r="AT365" s="7">
        <v>0.87035456385760324</v>
      </c>
      <c r="AU365" s="7">
        <v>-2.3660140278767634</v>
      </c>
    </row>
    <row r="366" spans="37:47" x14ac:dyDescent="0.25">
      <c r="AK366" t="str">
        <v>chevrolet cavalier wagon</v>
      </c>
      <c r="AL366" s="7">
        <v>27</v>
      </c>
      <c r="AM366" s="7">
        <v>30.104543947519034</v>
      </c>
      <c r="AN366" s="7">
        <v>-3.1045439475190335</v>
      </c>
      <c r="AO366" s="7">
        <v>3.5478279036810889E-2</v>
      </c>
      <c r="AP366" s="7">
        <v>-1.0306011185079671</v>
      </c>
      <c r="AQ366" s="7">
        <v>2.2981735940034421E-3</v>
      </c>
      <c r="AR366" s="7">
        <v>1.4199843237682621</v>
      </c>
      <c r="AS366" s="7">
        <v>1.4343249307838957</v>
      </c>
      <c r="AT366" s="7">
        <v>1.0151852631455833</v>
      </c>
      <c r="AU366" s="7">
        <v>-3.218739277762225</v>
      </c>
    </row>
    <row r="367" spans="37:47" x14ac:dyDescent="0.25">
      <c r="AK367" t="str">
        <v>chevrolet cavalier 2-door</v>
      </c>
      <c r="AL367" s="7">
        <v>34</v>
      </c>
      <c r="AM367" s="7">
        <v>31.345054803222634</v>
      </c>
      <c r="AN367" s="7">
        <v>2.6549451967773656</v>
      </c>
      <c r="AO367" s="7">
        <v>3.7444725577322466E-2</v>
      </c>
      <c r="AP367" s="7">
        <v>0.88224971223868232</v>
      </c>
      <c r="AQ367" s="7">
        <v>1.7811442916589129E-3</v>
      </c>
      <c r="AR367" s="7">
        <v>1.4199843237682621</v>
      </c>
      <c r="AS367" s="7">
        <v>1.4829089516943319</v>
      </c>
      <c r="AT367" s="7">
        <v>0.93928148722237803</v>
      </c>
      <c r="AU367" s="7">
        <v>2.7582262206913275</v>
      </c>
    </row>
    <row r="368" spans="37:47" x14ac:dyDescent="0.25">
      <c r="AK368" t="str">
        <v>pontiac j2000 se hatchback</v>
      </c>
      <c r="AL368" s="7">
        <v>31</v>
      </c>
      <c r="AM368" s="7">
        <v>30.482368368362241</v>
      </c>
      <c r="AN368" s="7">
        <v>0.51763163163775872</v>
      </c>
      <c r="AO368" s="7">
        <v>3.5635242601052039E-2</v>
      </c>
      <c r="AP368" s="7">
        <v>0.17184976624815301</v>
      </c>
      <c r="AQ368" s="7">
        <v>6.4192953679570602E-5</v>
      </c>
      <c r="AR368" s="7">
        <v>1.4199843237682621</v>
      </c>
      <c r="AS368" s="7">
        <v>1.4945061059531664</v>
      </c>
      <c r="AT368" s="7">
        <v>0.41454766462754677</v>
      </c>
      <c r="AU368" s="7">
        <v>0.53675917505933879</v>
      </c>
    </row>
    <row r="369" spans="37:47" x14ac:dyDescent="0.25">
      <c r="AK369" t="str">
        <v>dodge aries se</v>
      </c>
      <c r="AL369" s="7">
        <v>29</v>
      </c>
      <c r="AM369" s="7">
        <v>30.751770281071622</v>
      </c>
      <c r="AN369" s="7">
        <v>-1.7517702810716216</v>
      </c>
      <c r="AO369" s="7">
        <v>3.5820172682297001E-2</v>
      </c>
      <c r="AP369" s="7">
        <v>-0.58163018536706346</v>
      </c>
      <c r="AQ369" s="7">
        <v>7.3928958454275065E-4</v>
      </c>
      <c r="AR369" s="7">
        <v>1.4199843237682621</v>
      </c>
      <c r="AS369" s="7">
        <v>1.5395876753007918</v>
      </c>
      <c r="AT369" s="7">
        <v>0.76264682872681211</v>
      </c>
      <c r="AU369" s="7">
        <v>-1.8168501678208238</v>
      </c>
    </row>
    <row r="370" spans="37:47" x14ac:dyDescent="0.25">
      <c r="AK370" t="str">
        <v>pontiac phoenix</v>
      </c>
      <c r="AL370" s="7">
        <v>27</v>
      </c>
      <c r="AM370" s="7">
        <v>29.591056670175863</v>
      </c>
      <c r="AN370" s="7">
        <v>-2.5910566701758633</v>
      </c>
      <c r="AO370" s="7">
        <v>3.5317344801761921E-2</v>
      </c>
      <c r="AP370" s="7">
        <v>-0.86006936817939506</v>
      </c>
      <c r="AQ370" s="7">
        <v>1.5930214168418636E-3</v>
      </c>
      <c r="AR370" s="7">
        <v>1.5341205443525465</v>
      </c>
      <c r="AS370" s="7">
        <v>1.5500221062846562</v>
      </c>
      <c r="AT370" s="7">
        <v>0.92739924961118825</v>
      </c>
      <c r="AU370" s="7">
        <v>-2.6859160950120042</v>
      </c>
    </row>
    <row r="371" spans="37:47" x14ac:dyDescent="0.25">
      <c r="AK371" t="str">
        <v>ford fairmont futura</v>
      </c>
      <c r="AL371" s="7">
        <v>24</v>
      </c>
      <c r="AM371" s="7">
        <v>28.900353556303596</v>
      </c>
      <c r="AN371" s="7">
        <v>-4.900353556303596</v>
      </c>
      <c r="AO371" s="7">
        <v>3.5405901429528673E-2</v>
      </c>
      <c r="AP371" s="7">
        <v>-1.6266867098316846</v>
      </c>
      <c r="AQ371" s="7">
        <v>5.7133387015121549E-3</v>
      </c>
      <c r="AR371" s="7">
        <v>1.5341205443525465</v>
      </c>
      <c r="AS371" s="7">
        <v>1.5535500258921515</v>
      </c>
      <c r="AT371" s="7">
        <v>1.2754162888373681</v>
      </c>
      <c r="AU371" s="7">
        <v>-5.0802234469046841</v>
      </c>
    </row>
    <row r="372" spans="37:47" x14ac:dyDescent="0.25">
      <c r="AK372" t="str">
        <v>volkswagen rabbit l</v>
      </c>
      <c r="AL372" s="7">
        <v>36</v>
      </c>
      <c r="AM372" s="7">
        <v>35.611603109994782</v>
      </c>
      <c r="AN372" s="7">
        <v>0.38839689000521815</v>
      </c>
      <c r="AO372" s="7">
        <v>5.1105954864069533E-2</v>
      </c>
      <c r="AP372" s="7">
        <v>0.12999171896584169</v>
      </c>
      <c r="AQ372" s="7">
        <v>5.3534806589597182E-5</v>
      </c>
      <c r="AR372" s="7">
        <v>1.5769982907616837</v>
      </c>
      <c r="AS372" s="7">
        <v>1.5585580298512549</v>
      </c>
      <c r="AT372" s="7">
        <v>0.36054364363533259</v>
      </c>
      <c r="AU372" s="7">
        <v>0.40931534136625308</v>
      </c>
    </row>
    <row r="373" spans="37:47" x14ac:dyDescent="0.25">
      <c r="AK373" t="str">
        <v>mazda glc custom l</v>
      </c>
      <c r="AL373" s="7">
        <v>37</v>
      </c>
      <c r="AM373" s="7">
        <v>35.603149610985632</v>
      </c>
      <c r="AN373" s="7">
        <v>1.396850389014368</v>
      </c>
      <c r="AO373" s="7">
        <v>4.2669270414959437E-2</v>
      </c>
      <c r="AP373" s="7">
        <v>0.4654442793344194</v>
      </c>
      <c r="AQ373" s="7">
        <v>5.6798869237323054E-4</v>
      </c>
      <c r="AR373" s="7">
        <v>1.5995705882374911</v>
      </c>
      <c r="AS373" s="7">
        <v>1.5747836013923129</v>
      </c>
      <c r="AT373" s="7">
        <v>0.68223476848839903</v>
      </c>
      <c r="AU373" s="7">
        <v>1.4591095280309649</v>
      </c>
    </row>
    <row r="374" spans="37:47" x14ac:dyDescent="0.25">
      <c r="AK374" t="str">
        <v>mazda glc custom</v>
      </c>
      <c r="AL374" s="7">
        <v>31</v>
      </c>
      <c r="AM374" s="7">
        <v>35.881631639817051</v>
      </c>
      <c r="AN374" s="7">
        <v>-4.8816316398170514</v>
      </c>
      <c r="AO374" s="7">
        <v>4.2387674968809783E-2</v>
      </c>
      <c r="AP374" s="7">
        <v>-1.626368466519942</v>
      </c>
      <c r="AQ374" s="7">
        <v>6.8871388294999497E-3</v>
      </c>
      <c r="AR374" s="7">
        <v>1.5995705882374911</v>
      </c>
      <c r="AS374" s="7">
        <v>1.5748070831006031</v>
      </c>
      <c r="AT374" s="7">
        <v>1.2752915221704966</v>
      </c>
      <c r="AU374" s="7">
        <v>-5.0977117902675833</v>
      </c>
    </row>
    <row r="375" spans="37:47" x14ac:dyDescent="0.25">
      <c r="AK375" t="str">
        <v>plymouth horizon miser</v>
      </c>
      <c r="AL375" s="7">
        <v>38</v>
      </c>
      <c r="AM375" s="7">
        <v>33.118059198142689</v>
      </c>
      <c r="AN375" s="7">
        <v>4.8819408018573114</v>
      </c>
      <c r="AO375" s="7">
        <v>3.8409800761363647E-2</v>
      </c>
      <c r="AP375" s="7">
        <v>1.6231038143843963</v>
      </c>
      <c r="AQ375" s="7">
        <v>6.1900720136637459E-3</v>
      </c>
      <c r="AR375" s="7">
        <v>1.5995705882374911</v>
      </c>
      <c r="AS375" s="7">
        <v>1.5766853430851646</v>
      </c>
      <c r="AT375" s="7">
        <v>1.2740109161166542</v>
      </c>
      <c r="AU375" s="7">
        <v>5.0769452576811966</v>
      </c>
    </row>
    <row r="376" spans="37:47" x14ac:dyDescent="0.25">
      <c r="AK376" t="str">
        <v>mercury lynx l</v>
      </c>
      <c r="AL376" s="7">
        <v>36</v>
      </c>
      <c r="AM376" s="7">
        <v>33.004404174467894</v>
      </c>
      <c r="AN376" s="7">
        <v>2.9955958255321065</v>
      </c>
      <c r="AO376" s="7">
        <v>3.8327502244710661E-2</v>
      </c>
      <c r="AP376" s="7">
        <v>0.99590616832095802</v>
      </c>
      <c r="AQ376" s="7">
        <v>2.3252585222383799E-3</v>
      </c>
      <c r="AR376" s="7">
        <v>1.6726929638404258</v>
      </c>
      <c r="AS376" s="7">
        <v>1.5835184219573564</v>
      </c>
      <c r="AT376" s="7">
        <v>0.99795098492909862</v>
      </c>
      <c r="AU376" s="7">
        <v>3.1149854368554237</v>
      </c>
    </row>
    <row r="377" spans="37:47" x14ac:dyDescent="0.25">
      <c r="AK377" t="str">
        <v>nissan stanza xe</v>
      </c>
      <c r="AL377" s="7">
        <v>36</v>
      </c>
      <c r="AM377" s="7">
        <v>34.594874173874054</v>
      </c>
      <c r="AN377" s="7">
        <v>1.4051258261259463</v>
      </c>
      <c r="AO377" s="7">
        <v>4.4176133885526631E-2</v>
      </c>
      <c r="AP377" s="7">
        <v>0.46857065274584953</v>
      </c>
      <c r="AQ377" s="7">
        <v>5.9691306285993917E-4</v>
      </c>
      <c r="AR377" s="7">
        <v>1.6991776601112989</v>
      </c>
      <c r="AS377" s="7">
        <v>1.6231038143843963</v>
      </c>
      <c r="AT377" s="7">
        <v>0.68452220763525962</v>
      </c>
      <c r="AU377" s="7">
        <v>1.4700677352177172</v>
      </c>
    </row>
    <row r="378" spans="37:47" x14ac:dyDescent="0.25">
      <c r="AK378" t="str">
        <v>honda accord</v>
      </c>
      <c r="AL378" s="7">
        <v>36</v>
      </c>
      <c r="AM378" s="7">
        <v>34.57809885658984</v>
      </c>
      <c r="AN378" s="7">
        <v>1.4219011434101603</v>
      </c>
      <c r="AO378" s="7">
        <v>4.3448835492164599E-2</v>
      </c>
      <c r="AP378" s="7">
        <v>0.4739844616413193</v>
      </c>
      <c r="AQ378" s="7">
        <v>6.0027357340987581E-4</v>
      </c>
      <c r="AR378" s="7">
        <v>1.7269108614600868</v>
      </c>
      <c r="AS378" s="7">
        <v>1.6395545081768101</v>
      </c>
      <c r="AT378" s="7">
        <v>0.68846529443488969</v>
      </c>
      <c r="AU378" s="7">
        <v>1.4864872849135642</v>
      </c>
    </row>
    <row r="379" spans="37:47" x14ac:dyDescent="0.25">
      <c r="AK379" t="str">
        <v>toyota corolla</v>
      </c>
      <c r="AL379" s="7">
        <v>34</v>
      </c>
      <c r="AM379" s="7">
        <v>34.456748631752866</v>
      </c>
      <c r="AN379" s="7">
        <v>-0.45674863175286617</v>
      </c>
      <c r="AO379" s="7">
        <v>4.4582088373450929E-2</v>
      </c>
      <c r="AP379" s="7">
        <v>-0.15234540833318785</v>
      </c>
      <c r="AQ379" s="7">
        <v>6.3705487945309484E-5</v>
      </c>
      <c r="AR379" s="7">
        <v>1.7560396847773088</v>
      </c>
      <c r="AS379" s="7">
        <v>1.6896822821993758</v>
      </c>
      <c r="AT379" s="7">
        <v>0.39031449926077283</v>
      </c>
      <c r="AU379" s="7">
        <v>-0.47806161701037769</v>
      </c>
    </row>
    <row r="380" spans="37:47" x14ac:dyDescent="0.25">
      <c r="AK380" t="str">
        <v>honda civic</v>
      </c>
      <c r="AL380" s="7">
        <v>38</v>
      </c>
      <c r="AM380" s="7">
        <v>35.923184619846189</v>
      </c>
      <c r="AN380" s="7">
        <v>2.0768153801538105</v>
      </c>
      <c r="AO380" s="7">
        <v>4.2412049592578785E-2</v>
      </c>
      <c r="AP380" s="7">
        <v>0.69192234930796503</v>
      </c>
      <c r="AQ380" s="7">
        <v>1.2473156859063533E-3</v>
      </c>
      <c r="AR380" s="7">
        <v>1.7560396847773088</v>
      </c>
      <c r="AS380" s="7">
        <v>1.8285518903811406</v>
      </c>
      <c r="AT380" s="7">
        <v>0.83181869978256984</v>
      </c>
      <c r="AU380" s="7">
        <v>2.1687985727788202</v>
      </c>
    </row>
    <row r="381" spans="37:47" x14ac:dyDescent="0.25">
      <c r="AK381" t="str">
        <v>honda civic (auto)</v>
      </c>
      <c r="AL381" s="7">
        <v>32</v>
      </c>
      <c r="AM381" s="7">
        <v>35.923184619846189</v>
      </c>
      <c r="AN381" s="7">
        <v>-3.9231846198461895</v>
      </c>
      <c r="AO381" s="7">
        <v>4.2412049592578785E-2</v>
      </c>
      <c r="AP381" s="7">
        <v>-1.3070680932321534</v>
      </c>
      <c r="AQ381" s="7">
        <v>4.4510051121384583E-3</v>
      </c>
      <c r="AR381" s="7">
        <v>1.7560396847773088</v>
      </c>
      <c r="AS381" s="7">
        <v>1.830763895168803</v>
      </c>
      <c r="AT381" s="7">
        <v>1.1432707873606118</v>
      </c>
      <c r="AU381" s="7">
        <v>-4.0969444301977775</v>
      </c>
    </row>
    <row r="382" spans="37:47" x14ac:dyDescent="0.25">
      <c r="AK382" t="str">
        <v>datsun 310 gx</v>
      </c>
      <c r="AL382" s="7">
        <v>38</v>
      </c>
      <c r="AM382" s="7">
        <v>35.771285331392683</v>
      </c>
      <c r="AN382" s="7">
        <v>2.2287146686073172</v>
      </c>
      <c r="AO382" s="7">
        <v>4.2566311963328593E-2</v>
      </c>
      <c r="AP382" s="7">
        <v>0.74258970300151861</v>
      </c>
      <c r="AQ382" s="7">
        <v>1.4421360839352399E-3</v>
      </c>
      <c r="AR382" s="7">
        <v>1.7560396847773088</v>
      </c>
      <c r="AS382" s="7">
        <v>1.937883735039764</v>
      </c>
      <c r="AT382" s="7">
        <v>0.86173644636949098</v>
      </c>
      <c r="AU382" s="7">
        <v>2.3278005531407135</v>
      </c>
    </row>
    <row r="383" spans="37:47" x14ac:dyDescent="0.25">
      <c r="AK383" t="str">
        <v>buick century limited</v>
      </c>
      <c r="AL383" s="7">
        <v>25</v>
      </c>
      <c r="AM383" s="7">
        <v>28.203033011930518</v>
      </c>
      <c r="AN383" s="7">
        <v>-3.2030330119305184</v>
      </c>
      <c r="AO383" s="7">
        <v>3.668409386717101E-2</v>
      </c>
      <c r="AP383" s="7">
        <v>-1.063961351992486</v>
      </c>
      <c r="AQ383" s="7">
        <v>2.5357816141103485E-3</v>
      </c>
      <c r="AR383" s="7">
        <v>1.8906321205380332</v>
      </c>
      <c r="AS383" s="7">
        <v>1.9447162353916576</v>
      </c>
      <c r="AT383" s="7">
        <v>1.0314850226699785</v>
      </c>
      <c r="AU383" s="7">
        <v>-3.3250079143703672</v>
      </c>
    </row>
    <row r="384" spans="37:47" x14ac:dyDescent="0.25">
      <c r="AK384" t="str">
        <v>oldsmobile cutlass ciera (diesel)</v>
      </c>
      <c r="AL384" s="7">
        <v>38</v>
      </c>
      <c r="AM384" s="7">
        <v>28.254512137710872</v>
      </c>
      <c r="AN384" s="7">
        <v>9.7454878622891279</v>
      </c>
      <c r="AO384" s="7">
        <v>3.8019752769928326E-2</v>
      </c>
      <c r="AP384" s="7">
        <v>3.2394353065249777</v>
      </c>
      <c r="AQ384" s="7">
        <v>2.4396798261845754E-2</v>
      </c>
      <c r="AR384" s="7">
        <v>1.9302858560575813</v>
      </c>
      <c r="AS384" s="7">
        <v>2.0304757137130003</v>
      </c>
      <c r="AT384" s="7">
        <v>1.7998431338661094</v>
      </c>
      <c r="AU384" s="7">
        <v>10.130652776239751</v>
      </c>
    </row>
    <row r="385" spans="37:47" x14ac:dyDescent="0.25">
      <c r="AK385" t="str">
        <v>chrysler lebaron medallion</v>
      </c>
      <c r="AL385" s="7">
        <v>26</v>
      </c>
      <c r="AM385" s="7">
        <v>30.318080248536287</v>
      </c>
      <c r="AN385" s="7">
        <v>-4.3180802485362868</v>
      </c>
      <c r="AO385" s="7">
        <v>3.6117187184438716E-2</v>
      </c>
      <c r="AP385" s="7">
        <v>-1.4339281629923637</v>
      </c>
      <c r="AQ385" s="7">
        <v>4.5320589621589561E-3</v>
      </c>
      <c r="AR385" s="7">
        <v>1.9732297912673347</v>
      </c>
      <c r="AS385" s="7">
        <v>2.1111674999819705</v>
      </c>
      <c r="AT385" s="7">
        <v>1.1974673953775792</v>
      </c>
      <c r="AU385" s="7">
        <v>-4.4798809472729442</v>
      </c>
    </row>
    <row r="386" spans="37:47" x14ac:dyDescent="0.25">
      <c r="AK386" t="str">
        <v>ford granada l</v>
      </c>
      <c r="AL386" s="7">
        <v>22</v>
      </c>
      <c r="AM386" s="7">
        <v>28.727524205686279</v>
      </c>
      <c r="AN386" s="7">
        <v>-6.7275242056862794</v>
      </c>
      <c r="AO386" s="7">
        <v>3.8320594343835321E-2</v>
      </c>
      <c r="AP386" s="7">
        <v>-2.2366030601609661</v>
      </c>
      <c r="AQ386" s="7">
        <v>1.1725485358042674E-2</v>
      </c>
      <c r="AR386" s="7">
        <v>2.0201546663717482</v>
      </c>
      <c r="AS386" s="7">
        <v>2.2990445774735218</v>
      </c>
      <c r="AT386" s="7">
        <v>1.4955276861900504</v>
      </c>
      <c r="AU386" s="7">
        <v>-6.9955997457344044</v>
      </c>
    </row>
    <row r="387" spans="37:47" x14ac:dyDescent="0.25">
      <c r="AK387" t="str">
        <v>toyota celica gt</v>
      </c>
      <c r="AL387" s="7">
        <v>32</v>
      </c>
      <c r="AM387" s="7">
        <v>31.90801136261177</v>
      </c>
      <c r="AN387" s="7">
        <v>9.1988637388229932E-2</v>
      </c>
      <c r="AO387" s="7">
        <v>4.7178806629519315E-2</v>
      </c>
      <c r="AP387" s="7">
        <v>3.0723966658171176E-2</v>
      </c>
      <c r="AQ387" s="7">
        <v>2.7494206600979796E-6</v>
      </c>
      <c r="AR387" s="7">
        <v>2.0720014483779305</v>
      </c>
      <c r="AS387" s="7">
        <v>2.3790723412149846</v>
      </c>
      <c r="AT387" s="7">
        <v>0.17528253380805281</v>
      </c>
      <c r="AU387" s="7">
        <v>9.6543441758292686E-2</v>
      </c>
    </row>
    <row r="388" spans="37:47" x14ac:dyDescent="0.25">
      <c r="AK388" t="str">
        <v>dodge charger 2.2</v>
      </c>
      <c r="AL388" s="7">
        <v>36</v>
      </c>
      <c r="AM388" s="7">
        <v>31.536583271414717</v>
      </c>
      <c r="AN388" s="7">
        <v>4.4634167285852833</v>
      </c>
      <c r="AO388" s="7">
        <v>3.7050510776076948E-2</v>
      </c>
      <c r="AP388" s="7">
        <v>1.4829089516943319</v>
      </c>
      <c r="AQ388" s="7">
        <v>4.9770355711066484E-3</v>
      </c>
      <c r="AR388" s="7">
        <v>2.1301011271220536</v>
      </c>
      <c r="AS388" s="7">
        <v>2.6212478115325442</v>
      </c>
      <c r="AT388" s="7">
        <v>1.2177474909415054</v>
      </c>
      <c r="AU388" s="7">
        <v>4.6351514576143735</v>
      </c>
    </row>
    <row r="389" spans="37:47" x14ac:dyDescent="0.25">
      <c r="AK389" t="str">
        <v>chevrolet camaro</v>
      </c>
      <c r="AL389" s="7">
        <v>27</v>
      </c>
      <c r="AM389" s="7">
        <v>28.502445102925762</v>
      </c>
      <c r="AN389" s="7">
        <v>-1.5024451029257619</v>
      </c>
      <c r="AO389" s="7">
        <v>3.6110009987966832E-2</v>
      </c>
      <c r="AP389" s="7">
        <v>-0.49892317917099677</v>
      </c>
      <c r="AQ389" s="7">
        <v>5.4855298049971441E-4</v>
      </c>
      <c r="AR389" s="7">
        <v>2.1964293827614645</v>
      </c>
      <c r="AS389" s="7">
        <v>2.7473960479992194</v>
      </c>
      <c r="AT389" s="7">
        <v>0.70634494347379362</v>
      </c>
      <c r="AU389" s="7">
        <v>-1.5587308909671378</v>
      </c>
    </row>
    <row r="390" spans="37:47" x14ac:dyDescent="0.25">
      <c r="AK390" t="str">
        <v>ford mustang gl</v>
      </c>
      <c r="AL390" s="7">
        <v>27</v>
      </c>
      <c r="AM390" s="7">
        <v>29.377520369158603</v>
      </c>
      <c r="AN390" s="7">
        <v>-2.3775203691586029</v>
      </c>
      <c r="AO390" s="7">
        <v>3.5685808262497593E-2</v>
      </c>
      <c r="AP390" s="7">
        <v>-0.78933938116930435</v>
      </c>
      <c r="AQ390" s="7">
        <v>1.3562994941526377E-3</v>
      </c>
      <c r="AR390" s="7">
        <v>2.2741131596554611</v>
      </c>
      <c r="AS390" s="7">
        <v>2.9429591190884881</v>
      </c>
      <c r="AT390" s="7">
        <v>0.88844773688118783</v>
      </c>
      <c r="AU390" s="7">
        <v>-2.4655038674426057</v>
      </c>
    </row>
    <row r="391" spans="37:47" x14ac:dyDescent="0.25">
      <c r="AK391" t="str">
        <v>vw pickup</v>
      </c>
      <c r="AL391" s="7">
        <v>44</v>
      </c>
      <c r="AM391" s="7">
        <v>35.209308170705178</v>
      </c>
      <c r="AN391" s="7">
        <v>8.790691829294822</v>
      </c>
      <c r="AO391" s="7">
        <v>5.1635563700410447E-2</v>
      </c>
      <c r="AP391" s="7">
        <v>2.9429591190884881</v>
      </c>
      <c r="AQ391" s="7">
        <v>2.7739153271081122E-2</v>
      </c>
      <c r="AR391" s="7">
        <v>2.3685670592678738</v>
      </c>
      <c r="AS391" s="7">
        <v>3.1819916573400069</v>
      </c>
      <c r="AT391" s="7">
        <v>1.7155054995797852</v>
      </c>
      <c r="AU391" s="7">
        <v>9.2693183050970411</v>
      </c>
    </row>
    <row r="392" spans="37:47" x14ac:dyDescent="0.25">
      <c r="AK392" t="str">
        <v>dodge rampage</v>
      </c>
      <c r="AL392" s="7">
        <v>32</v>
      </c>
      <c r="AM392" s="7">
        <v>31.916331492548473</v>
      </c>
      <c r="AN392" s="7">
        <v>8.3668507451527319E-2</v>
      </c>
      <c r="AO392" s="7">
        <v>3.7995518466340916E-2</v>
      </c>
      <c r="AP392" s="7">
        <v>2.7811363264700843E-2</v>
      </c>
      <c r="AQ392" s="7">
        <v>1.7970117380839021E-6</v>
      </c>
      <c r="AR392" s="7">
        <v>2.4905347542813567</v>
      </c>
      <c r="AS392" s="7">
        <v>3.2394353065249777</v>
      </c>
      <c r="AT392" s="7">
        <v>0.16676739269024038</v>
      </c>
      <c r="AU392" s="7">
        <v>8.69730953000762E-2</v>
      </c>
    </row>
    <row r="393" spans="37:47" x14ac:dyDescent="0.25">
      <c r="AK393" t="str">
        <v>ford ranger</v>
      </c>
      <c r="AL393" s="7">
        <v>28</v>
      </c>
      <c r="AM393" s="7">
        <v>30.326621479327653</v>
      </c>
      <c r="AN393" s="7">
        <v>-2.3266214793276525</v>
      </c>
      <c r="AO393" s="7">
        <v>3.5993037844318322E-2</v>
      </c>
      <c r="AP393" s="7">
        <v>-0.77256397256164244</v>
      </c>
      <c r="AQ393" s="7">
        <v>1.3108660454863956E-3</v>
      </c>
      <c r="AR393" s="7">
        <v>2.6670046532742755</v>
      </c>
      <c r="AS393" s="7">
        <v>3.4720773077781217</v>
      </c>
      <c r="AT393" s="7">
        <v>0.87895618352773563</v>
      </c>
      <c r="AU393" s="7">
        <v>-2.4134903280417555</v>
      </c>
    </row>
    <row r="394" spans="37:47" x14ac:dyDescent="0.25">
      <c r="AK394" t="str">
        <v>chevy s-10</v>
      </c>
      <c r="AL394" s="7">
        <v>31</v>
      </c>
      <c r="AM394" s="7">
        <v>29.796897770030938</v>
      </c>
      <c r="AN394" s="7">
        <v>1.2031022299690619</v>
      </c>
      <c r="AO394" s="7">
        <v>3.5917225983654925E-2</v>
      </c>
      <c r="AP394" s="7">
        <v>0.39947920216775701</v>
      </c>
      <c r="AQ394" s="7">
        <v>3.4972597563339894E-4</v>
      </c>
      <c r="AR394" s="7">
        <v>3.0172230343004469</v>
      </c>
      <c r="AS394" s="7">
        <v>4.2007262122566926</v>
      </c>
      <c r="AT394" s="7">
        <v>0.63204367109224102</v>
      </c>
      <c r="AU394" s="7">
        <v>1.247924205674755</v>
      </c>
    </row>
  </sheetData>
  <conditionalFormatting sqref="C4:G15">
    <cfRule type="expression" dxfId="29" priority="1">
      <formula>$B4&lt;&gt;"Predictor (x)"</formula>
    </cfRule>
  </conditionalFormatting>
  <conditionalFormatting sqref="K4:L15">
    <cfRule type="expression" dxfId="28" priority="2">
      <formula>$B4&lt;&gt;"Predictor (x)"</formula>
    </cfRule>
  </conditionalFormatting>
  <conditionalFormatting sqref="H4:J15">
    <cfRule type="expression" dxfId="27" priority="3">
      <formula>$H4&lt;&gt;TRUE</formula>
    </cfRule>
  </conditionalFormatting>
  <conditionalFormatting sqref="H4:H15">
    <cfRule type="expression" dxfId="26" priority="4">
      <formula>AND($H4=TRUE,SUMPRODUCT(N(_xlfn.TAKE(Spec_Sequence,COLUMNS(Source_Data))=TRUE))&gt;1)</formula>
    </cfRule>
  </conditionalFormatting>
  <conditionalFormatting sqref="K4:K15">
    <cfRule type="expression" dxfId="25" priority="5">
      <formula>AND($B4="Predictor (x)",$C4=TRUE,$D4="Categorical",N($K4)&lt;=1)</formula>
    </cfRule>
  </conditionalFormatting>
  <conditionalFormatting sqref="E4:E15">
    <cfRule type="expression" dxfId="24" priority="6">
      <formula>AND($E4&lt;&gt;"",ISNA(Dummy_Levels(INDEX(Source_Data,0,ROW()-3),$E4,Sample_Include())))</formula>
    </cfRule>
  </conditionalFormatting>
  <conditionalFormatting sqref="E1">
    <cfRule type="expression" dxfId="23" priority="7">
      <formula>$E$1&lt;&gt;""</formula>
    </cfRule>
  </conditionalFormatting>
  <conditionalFormatting sqref="I2">
    <cfRule type="expression" dxfId="22" priority="8" stopIfTrue="1">
      <formula>OR(ISNUMBER(SEARCH("off-grid",$I$2)),ISNUMBER(SEARCH("calendar",$I$2)))</formula>
    </cfRule>
    <cfRule type="expression" dxfId="21" priority="9">
      <formula>OR(ISNUMBER(SEARCH("evenly spaced",$I$2)),ISNUMBER(SEARCH("no natural",$I$2)))</formula>
    </cfRule>
  </conditionalFormatting>
  <conditionalFormatting sqref="C2">
    <cfRule type="expression" dxfId="20" priority="10" stopIfTrue="1">
      <formula>AND($C$2=FALSE,SUMPRODUCT(N(_xlfn.TAKE(Spec_Role,COLUMNS(Source_Data))="Predictor (x)"),N(_xlfn.TAKE(Spec_Include,COLUMNS(Source_Data))=TRUE),N(_xlfn.TAKE(Spec_Type,COLUMNS(Source_Data))="Categorical"))&gt;0)</formula>
    </cfRule>
    <cfRule type="expression" dxfId="19" priority="11">
      <formula>SUMPRODUCT(N(_xlfn.TAKE(Spec_Role,COLUMNS(Source_Data))="Predictor (x)"),N(_xlfn.TAKE(Spec_Include,COLUMNS(Source_Data))=TRUE),N(_xlfn.TAKE(Spec_Type,COLUMNS(Source_Data))="Categorical"))&gt;0</formula>
    </cfRule>
  </conditionalFormatting>
  <conditionalFormatting sqref="U3:U1048576">
    <cfRule type="expression" dxfId="18" priority="12">
      <formula>AND(ISNUMBER(U3),U3&gt;5,U3&lt;=10)</formula>
    </cfRule>
    <cfRule type="expression" dxfId="17" priority="13">
      <formula>AND(ISNUMBER(U3),U3&gt;10)</formula>
    </cfRule>
  </conditionalFormatting>
  <conditionalFormatting sqref="AB5">
    <cfRule type="expression" dxfId="16" priority="14">
      <formula>AND(ISNUMBER(AB5),AB5&lt;0)</formula>
    </cfRule>
  </conditionalFormatting>
  <conditionalFormatting sqref="AB10">
    <cfRule type="expression" dxfId="15" priority="15">
      <formula>AND(ISNUMBER(AB10),AB10&lt;0.98,AB10&gt;=0.95)</formula>
    </cfRule>
    <cfRule type="expression" dxfId="14" priority="16">
      <formula>AND(ISNUMBER(AB10),AB10&lt;0.95)</formula>
    </cfRule>
  </conditionalFormatting>
  <conditionalFormatting sqref="AB21:AB1048576">
    <cfRule type="expression" dxfId="13" priority="17">
      <formula>AND(ISNUMBER(AB21),AB21&gt;$Y$12)</formula>
    </cfRule>
  </conditionalFormatting>
  <conditionalFormatting sqref="AC15">
    <cfRule type="expression" dxfId="12" priority="18">
      <formula>AND(ISNUMBER(AC15),AC15&gt;$Y$12)</formula>
    </cfRule>
  </conditionalFormatting>
  <conditionalFormatting sqref="AO3:AO1048576">
    <cfRule type="expression" dxfId="11" priority="19">
      <formula>AND(ISNUMBER(AO3),AO3&gt;2*$AB$6)</formula>
    </cfRule>
  </conditionalFormatting>
  <conditionalFormatting sqref="AO3:AO1048576">
    <cfRule type="expression" dxfId="10" priority="20">
      <formula>AND(ISNUMBER(AO3),AO3&gt;3*$AB$6)</formula>
    </cfRule>
  </conditionalFormatting>
  <conditionalFormatting sqref="AP3:AP1048576">
    <cfRule type="expression" dxfId="9" priority="21">
      <formula>AND(ISNUMBER(AP3),ABS(AP3)&gt;2,ABS(AP3)&lt;3)</formula>
    </cfRule>
  </conditionalFormatting>
  <conditionalFormatting sqref="AP3:AP1048576">
    <cfRule type="expression" dxfId="8" priority="22">
      <formula>AND(ISNUMBER(AP3),ABS(AP3)&gt;=3)</formula>
    </cfRule>
  </conditionalFormatting>
  <conditionalFormatting sqref="AS3:AS1048576">
    <cfRule type="expression" dxfId="7" priority="23">
      <formula>AND(ISNUMBER(AS3),ABS(AS3)&gt;2,ABS(AS3)&lt;3)</formula>
    </cfRule>
  </conditionalFormatting>
  <conditionalFormatting sqref="AS3:AS1048576">
    <cfRule type="expression" dxfId="6" priority="24">
      <formula>AND(ISNUMBER(AS3),ABS(AS3)&gt;=3)</formula>
    </cfRule>
  </conditionalFormatting>
  <conditionalFormatting sqref="AQ3:AQ1048576">
    <cfRule type="expression" dxfId="5" priority="25">
      <formula>AND(ISNUMBER(AQ3),AQ3&gt;4/$Y$8,AQ3&lt;=0.9)</formula>
    </cfRule>
  </conditionalFormatting>
  <conditionalFormatting sqref="AQ3:AQ1048576">
    <cfRule type="expression" dxfId="4" priority="26">
      <formula>AND(ISNUMBER(AQ3),AQ3&gt;0.9)</formula>
    </cfRule>
  </conditionalFormatting>
  <conditionalFormatting sqref="AT3:AT1048576">
    <cfRule type="expression" dxfId="3" priority="27">
      <formula>AND(ISNUMBER(AT3),AT3&gt;1.414,AT3&lt;=1.732)</formula>
    </cfRule>
  </conditionalFormatting>
  <conditionalFormatting sqref="AT3:AT1048576">
    <cfRule type="expression" dxfId="2" priority="28">
      <formula>AND(ISNUMBER(AT3),AT3&gt;1.732)</formula>
    </cfRule>
  </conditionalFormatting>
  <conditionalFormatting sqref="AU3:AU1048576">
    <cfRule type="expression" dxfId="1" priority="29">
      <formula>AND(ISNUMBER(AU3),ABS(AU3)&gt;2*$Y$7,ABS(AU3)&lt;=3*$Y$7)</formula>
    </cfRule>
  </conditionalFormatting>
  <conditionalFormatting sqref="AU3:AU1048576">
    <cfRule type="expression" dxfId="0" priority="30">
      <formula>AND(ISNUMBER(AU3),ABS(AU3)&gt;3*$Y$7)</formula>
    </cfRule>
  </conditionalFormatting>
  <dataValidations count="5">
    <dataValidation type="list" allowBlank="1" showInputMessage="1" showErrorMessage="1" sqref="C4:C16000 C2" xr:uid="{6CF652CF-330B-419E-B661-8FC1BC2E43D2}">
      <formula1>"TRUE,FALSE"</formula1>
    </dataValidation>
    <dataValidation type="list" allowBlank="1" showInputMessage="1" showErrorMessage="1" sqref="B4:B16000" xr:uid="{79D41F94-0346-4DB7-A81C-E2935586BDAE}">
      <formula1>"Response (y),Predictor (x),Identifier (Row Label),Filter,Omit"</formula1>
    </dataValidation>
    <dataValidation type="list" allowBlank="1" showInputMessage="1" showErrorMessage="1" sqref="D4:D16000" xr:uid="{74A3FC00-9CF0-410C-87BB-77EDF67AF0AB}">
      <formula1>"Continuous,Categorical"</formula1>
    </dataValidation>
    <dataValidation type="list" allowBlank="1" showInputMessage="1" showErrorMessage="1" sqref="G4:G16000" xr:uid="{4B1164D7-4AB3-4C97-9579-34D138665646}">
      <formula1>"None"</formula1>
    </dataValidation>
    <dataValidation type="list" allowBlank="1" showInputMessage="1" showErrorMessage="1" sqref="H4:H16000" xr:uid="{8162380A-3459-4CD1-96FC-E4BAF9391818}">
      <formula1>"TRUE"</formula1>
    </dataValidation>
  </dataValidations>
  <pageMargins left="0.7" right="0.7" top="0.75" bottom="0.75" header="0.3" footer="0.3"/>
  <drawing r:id="rId1"/>
  <legacyDrawing r:id="rId2"/>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A217E0-6FB9-42D6-AB7D-69B663A0979A}">
  <dimension ref="A1:BO2004"/>
  <sheetViews>
    <sheetView workbookViewId="0">
      <pane xSplit="2" ySplit="3" topLeftCell="C4" activePane="bottomRight" state="frozen"/>
      <selection pane="topRight" activeCell="C1" sqref="C1"/>
      <selection pane="bottomLeft" activeCell="A4" sqref="A4"/>
      <selection pane="bottomRight" activeCell="AY2" sqref="AY1:AY1048576"/>
    </sheetView>
  </sheetViews>
  <sheetFormatPr defaultRowHeight="15" x14ac:dyDescent="0.25"/>
  <cols>
    <col min="1" max="1" width="23" bestFit="1" customWidth="1"/>
    <col min="2" max="2" width="6" bestFit="1" customWidth="1"/>
    <col min="3" max="3" width="2.7109375" customWidth="1"/>
    <col min="4" max="4" width="20.5703125" bestFit="1" customWidth="1"/>
    <col min="5" max="5" width="7.7109375" bestFit="1" customWidth="1"/>
    <col min="6" max="6" width="2.7109375" customWidth="1"/>
    <col min="7" max="7" width="11.85546875" bestFit="1" customWidth="1"/>
    <col min="8" max="8" width="6.42578125" bestFit="1" customWidth="1"/>
    <col min="9" max="9" width="6" bestFit="1" customWidth="1"/>
    <col min="10" max="10" width="7.28515625" bestFit="1" customWidth="1"/>
    <col min="11" max="11" width="6" bestFit="1" customWidth="1"/>
    <col min="12" max="12" width="4.5703125" bestFit="1" customWidth="1"/>
    <col min="13" max="13" width="6" bestFit="1" customWidth="1"/>
    <col min="14" max="14" width="7.5703125" bestFit="1" customWidth="1"/>
    <col min="15" max="15" width="2" bestFit="1" customWidth="1"/>
    <col min="16" max="17" width="18.85546875" bestFit="1" customWidth="1"/>
    <col min="18" max="18" width="9.5703125" bestFit="1" customWidth="1"/>
    <col min="19" max="19" width="7.42578125" bestFit="1" customWidth="1"/>
    <col min="20" max="20" width="2.7109375" customWidth="1"/>
    <col min="21" max="22" width="12.28515625" bestFit="1" customWidth="1"/>
    <col min="23" max="23" width="7.85546875" bestFit="1" customWidth="1"/>
    <col min="24" max="24" width="7.5703125" bestFit="1" customWidth="1"/>
    <col min="25" max="25" width="10.42578125" bestFit="1" customWidth="1"/>
    <col min="26" max="26" width="11.7109375" hidden="1" customWidth="1"/>
    <col min="27" max="27" width="8" hidden="1" customWidth="1"/>
    <col min="28" max="28" width="7.85546875" hidden="1" customWidth="1"/>
    <col min="29" max="29" width="9.85546875" bestFit="1" customWidth="1"/>
    <col min="30" max="30" width="6.5703125" hidden="1" customWidth="1"/>
    <col min="31" max="31" width="9.5703125" hidden="1" customWidth="1"/>
    <col min="32" max="32" width="2.7109375" customWidth="1"/>
    <col min="33" max="34" width="12.28515625" bestFit="1" customWidth="1"/>
    <col min="35" max="35" width="6.5703125" bestFit="1" customWidth="1"/>
    <col min="36" max="36" width="7.5703125" bestFit="1" customWidth="1"/>
    <col min="37" max="37" width="10.42578125" bestFit="1" customWidth="1"/>
    <col min="38" max="38" width="11.7109375" bestFit="1" customWidth="1"/>
    <col min="39" max="39" width="8" hidden="1" customWidth="1"/>
    <col min="40" max="40" width="7.85546875" hidden="1" customWidth="1"/>
    <col min="41" max="41" width="9.85546875" bestFit="1" customWidth="1"/>
    <col min="42" max="42" width="6.5703125" hidden="1" customWidth="1"/>
    <col min="43" max="43" width="9.5703125" hidden="1" customWidth="1"/>
    <col min="44" max="44" width="2.7109375" customWidth="1"/>
    <col min="45" max="46" width="12.28515625" bestFit="1" customWidth="1"/>
    <col min="47" max="47" width="6.5703125" bestFit="1" customWidth="1"/>
    <col min="48" max="48" width="7.5703125" bestFit="1" customWidth="1"/>
    <col min="49" max="49" width="10.42578125" bestFit="1" customWidth="1"/>
    <col min="50" max="50" width="11.7109375" hidden="1" customWidth="1"/>
    <col min="51" max="51" width="8" hidden="1" customWidth="1"/>
    <col min="52" max="52" width="7.85546875" hidden="1" customWidth="1"/>
    <col min="53" max="53" width="9.85546875" bestFit="1" customWidth="1"/>
    <col min="54" max="54" width="6.5703125" hidden="1" customWidth="1"/>
    <col min="55" max="55" width="9.5703125" hidden="1" customWidth="1"/>
    <col min="56" max="57" width="2.7109375" customWidth="1"/>
    <col min="58" max="58" width="6.5703125" bestFit="1" customWidth="1"/>
    <col min="59" max="59" width="7.7109375" bestFit="1" customWidth="1"/>
    <col min="60" max="60" width="7.5703125" bestFit="1" customWidth="1"/>
    <col min="61" max="61" width="10.42578125" bestFit="1" customWidth="1"/>
    <col min="62" max="62" width="11.7109375" bestFit="1" customWidth="1"/>
    <col min="63" max="63" width="8" bestFit="1" customWidth="1"/>
    <col min="64" max="64" width="7.85546875" bestFit="1" customWidth="1"/>
    <col min="65" max="65" width="9.85546875" bestFit="1" customWidth="1"/>
    <col min="66" max="66" width="7" bestFit="1" customWidth="1"/>
    <col min="67" max="67" width="9.5703125" bestFit="1" customWidth="1"/>
  </cols>
  <sheetData>
    <row r="1" spans="1:67" ht="20.100000000000001" customHeight="1" x14ac:dyDescent="0.3">
      <c r="A1" s="37" t="s">
        <v>1016</v>
      </c>
      <c r="U1" s="55" t="s">
        <v>1029</v>
      </c>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F1" s="55" t="s">
        <v>1062</v>
      </c>
      <c r="BG1" s="55"/>
      <c r="BH1" s="55"/>
      <c r="BI1" s="55"/>
      <c r="BJ1" s="55"/>
      <c r="BK1" s="55"/>
      <c r="BL1" s="55"/>
      <c r="BM1" s="55"/>
      <c r="BN1" s="55"/>
      <c r="BO1" s="55"/>
    </row>
    <row r="2" spans="1:67" ht="18" customHeight="1" x14ac:dyDescent="0.25">
      <c r="G2" s="55" t="s">
        <v>1045</v>
      </c>
      <c r="H2" s="55"/>
      <c r="I2" s="55"/>
      <c r="J2" s="55"/>
      <c r="K2" s="55"/>
      <c r="L2" s="55"/>
      <c r="M2" s="55"/>
      <c r="N2" s="55"/>
      <c r="O2" s="55"/>
      <c r="P2" s="55"/>
      <c r="Q2" s="55"/>
      <c r="R2" s="55"/>
      <c r="S2" s="55"/>
      <c r="V2" s="4" t="s">
        <v>1030</v>
      </c>
      <c r="W2" s="4" t="s">
        <v>1031</v>
      </c>
      <c r="AH2" s="4" t="s">
        <v>1030</v>
      </c>
      <c r="AI2" s="4" t="s">
        <v>1043</v>
      </c>
      <c r="AT2" s="4" t="s">
        <v>1030</v>
      </c>
      <c r="AU2" s="4" t="s">
        <v>1044</v>
      </c>
    </row>
    <row r="3" spans="1:67" ht="18" customHeight="1" x14ac:dyDescent="0.25">
      <c r="A3" s="38" t="s">
        <v>1017</v>
      </c>
      <c r="B3" s="4" t="s">
        <v>1011</v>
      </c>
      <c r="D3" s="47" t="s">
        <v>1018</v>
      </c>
      <c r="E3" s="48"/>
      <c r="V3" t="s">
        <v>1042</v>
      </c>
      <c r="W3" s="35" t="e" cm="1">
        <f t="array" ref="W3">Number_Of_Histogram_Bins(UV_Data,W2,UV_Include)</f>
        <v>#NUM!</v>
      </c>
      <c r="AH3" t="s">
        <v>1042</v>
      </c>
      <c r="AI3" s="35" t="e" cm="1" vm="1">
        <f t="array" ref="AI3">Number_Of_Histogram_Bins(UV_Data,AI2,UV_Include)</f>
        <v>#VALUE!</v>
      </c>
      <c r="AT3" t="s">
        <v>1042</v>
      </c>
      <c r="AU3" s="35" t="e" cm="1" vm="1">
        <f t="array" ref="AU3">Number_Of_Histogram_Bins(UV_Data,AU2,UV_Include)</f>
        <v>#VALUE!</v>
      </c>
    </row>
    <row r="4" spans="1:67" ht="18" customHeight="1" x14ac:dyDescent="0.25">
      <c r="A4" s="39" t="e" cm="1">
        <f t="array" ref="A4">IF(#REF!="","",#REF!)</f>
        <v>#REF!</v>
      </c>
      <c r="B4" s="40" t="b" cm="1">
        <f t="array" ref="B4">ISNUMBER(_xlfn.ANCHORARRAY(A4))</f>
        <v>0</v>
      </c>
      <c r="D4" s="41" t="s">
        <v>1020</v>
      </c>
      <c r="E4" s="42" t="e" vm="1">
        <f>AVERAGE(_xlfn._xlws.FILTER(UV_Data,UV_Include))</f>
        <v>#VALUE!</v>
      </c>
      <c r="G4" s="49" t="s">
        <v>1046</v>
      </c>
      <c r="H4" s="50" t="s">
        <v>1047</v>
      </c>
      <c r="I4" s="50" t="s">
        <v>1019</v>
      </c>
      <c r="J4" s="50" t="s">
        <v>1048</v>
      </c>
      <c r="K4" s="50" t="s">
        <v>1019</v>
      </c>
      <c r="L4" s="50" t="s">
        <v>1049</v>
      </c>
      <c r="M4" s="50" t="s">
        <v>1019</v>
      </c>
      <c r="N4" s="50" t="s">
        <v>1050</v>
      </c>
      <c r="O4" s="50" t="s">
        <v>1051</v>
      </c>
      <c r="P4" s="50" t="s">
        <v>58</v>
      </c>
      <c r="Q4" s="50" t="s">
        <v>62</v>
      </c>
      <c r="R4" s="50" t="s">
        <v>1052</v>
      </c>
      <c r="S4" s="51" t="s">
        <v>1053</v>
      </c>
      <c r="U4" s="6" t="s">
        <v>1032</v>
      </c>
      <c r="V4" s="6" t="s">
        <v>1033</v>
      </c>
      <c r="W4" s="6" t="s">
        <v>1009</v>
      </c>
      <c r="X4" s="6" t="s">
        <v>1034</v>
      </c>
      <c r="Y4" s="6" t="s">
        <v>1035</v>
      </c>
      <c r="Z4" s="6" t="s">
        <v>1036</v>
      </c>
      <c r="AA4" s="6" t="s">
        <v>1037</v>
      </c>
      <c r="AB4" s="6" t="s">
        <v>1038</v>
      </c>
      <c r="AC4" s="6" t="s">
        <v>1039</v>
      </c>
      <c r="AD4" s="6" t="s">
        <v>1040</v>
      </c>
      <c r="AE4" s="6" t="s">
        <v>1041</v>
      </c>
      <c r="AG4" s="6" t="s">
        <v>1032</v>
      </c>
      <c r="AH4" s="6" t="s">
        <v>1033</v>
      </c>
      <c r="AI4" s="6" t="s">
        <v>1009</v>
      </c>
      <c r="AJ4" s="6" t="s">
        <v>1034</v>
      </c>
      <c r="AK4" s="6" t="s">
        <v>1035</v>
      </c>
      <c r="AL4" s="6" t="s">
        <v>1036</v>
      </c>
      <c r="AM4" s="6" t="s">
        <v>1037</v>
      </c>
      <c r="AN4" s="6" t="s">
        <v>1038</v>
      </c>
      <c r="AO4" s="6" t="s">
        <v>1039</v>
      </c>
      <c r="AP4" s="6" t="s">
        <v>1040</v>
      </c>
      <c r="AQ4" s="6" t="s">
        <v>1041</v>
      </c>
      <c r="AS4" s="6" t="s">
        <v>1032</v>
      </c>
      <c r="AT4" s="6" t="s">
        <v>1033</v>
      </c>
      <c r="AU4" s="6" t="s">
        <v>1009</v>
      </c>
      <c r="AV4" s="6" t="s">
        <v>1034</v>
      </c>
      <c r="AW4" s="6" t="s">
        <v>1035</v>
      </c>
      <c r="AX4" s="6" t="s">
        <v>1036</v>
      </c>
      <c r="AY4" s="6" t="s">
        <v>1037</v>
      </c>
      <c r="AZ4" s="6" t="s">
        <v>1038</v>
      </c>
      <c r="BA4" s="6" t="s">
        <v>1039</v>
      </c>
      <c r="BB4" s="6" t="s">
        <v>1040</v>
      </c>
      <c r="BC4" s="6" t="s">
        <v>1041</v>
      </c>
      <c r="BF4" s="6" t="s">
        <v>1063</v>
      </c>
      <c r="BG4" s="6" t="s">
        <v>1064</v>
      </c>
      <c r="BH4" s="6" t="s">
        <v>1034</v>
      </c>
      <c r="BI4" s="6" t="s">
        <v>1035</v>
      </c>
      <c r="BJ4" s="6" t="s">
        <v>1036</v>
      </c>
      <c r="BK4" s="6" t="s">
        <v>1037</v>
      </c>
      <c r="BL4" s="6" t="s">
        <v>1038</v>
      </c>
      <c r="BM4" s="6" t="s">
        <v>1039</v>
      </c>
      <c r="BN4" s="6" t="s">
        <v>1040</v>
      </c>
      <c r="BO4" s="6" t="s">
        <v>1041</v>
      </c>
    </row>
    <row r="5" spans="1:67" x14ac:dyDescent="0.25">
      <c r="A5" s="39"/>
      <c r="B5" s="40"/>
      <c r="D5" s="8" t="s">
        <v>1021</v>
      </c>
      <c r="E5" s="43" t="e" vm="1">
        <f>MEDIAN(_xlfn._xlws.FILTER(UV_Data,UV_Include))</f>
        <v>#VALUE!</v>
      </c>
      <c r="G5" s="8" t="s">
        <v>1034</v>
      </c>
      <c r="H5" t="s">
        <v>1020</v>
      </c>
      <c r="I5" s="36" t="e" vm="1">
        <f>AVERAGE(_xlfn._xlws.FILTER(UV_Data,UV_Include))</f>
        <v>#VALUE!</v>
      </c>
      <c r="J5" t="s">
        <v>1023</v>
      </c>
      <c r="K5" s="36" t="e" vm="1">
        <f>_xlfn.STDEV.S(_xlfn._xlws.FILTER(UV_Data,UV_Include))</f>
        <v>#VALUE!</v>
      </c>
      <c r="M5" s="36"/>
      <c r="N5" s="20" cm="1">
        <f t="array" ref="N5">NLL_Normal(UV_Data,$I$5,$K$5,UV_Include)</f>
        <v>1000000000000000</v>
      </c>
      <c r="O5" s="35">
        <v>2</v>
      </c>
      <c r="P5" s="36" cm="1">
        <f t="array" ref="P5">GoF_AIC($N$5,$O$5)</f>
        <v>2000000000000004</v>
      </c>
      <c r="Q5" s="36" t="e" cm="1">
        <f t="array" ref="Q5">GoF_BIC($N$5,$O$5,UV_n)</f>
        <v>#NUM!</v>
      </c>
      <c r="R5" s="7" t="e" cm="1" vm="1">
        <f t="array" ref="R5">GoF_Anderson_Darling(UV_Data,_xlfn.NORM.DIST(UV_Data,$I$5,$K$5,TRUE),UV_Include)</f>
        <v>#VALUE!</v>
      </c>
      <c r="S5" s="11" t="e" cm="1" vm="1">
        <f t="array" ref="S5">GoF_Kolmogorov_Smirnov(UV_Data,_xlfn.NORM.DIST(UV_Data,$I$5,$K$5,TRUE),UV_Include)</f>
        <v>#VALUE!</v>
      </c>
      <c r="U5" s="36" t="e" cm="1">
        <f t="array" ref="U5">Bin_Lower_Edges(UV_Data,W2,UV_Include)</f>
        <v>#NUM!</v>
      </c>
      <c r="V5" s="36" t="e" cm="1">
        <f t="array" ref="V5">Upper_Bin_Edges(UV_Data,W2,UV_Include)</f>
        <v>#NUM!</v>
      </c>
      <c r="W5" s="35" t="e" cm="1" vm="1">
        <f t="array" ref="W5">Bin_Counts(UV_Data,W2,UV_Include)</f>
        <v>#VALUE!</v>
      </c>
      <c r="X5" s="7" t="e" cm="1">
        <f t="array" ref="X5">_xlfn.LET(_xlpm.edges,_xlfn.ANCHORARRAY(V5),_xlpm.lower,_xlfn.ANCHORARRAY(U5),CDF_Normal(_xlpm.edges,$I$5,$K$5,_xlpm.lower))</f>
        <v>#NUM!</v>
      </c>
      <c r="Y5" s="7" t="e" cm="1">
        <f t="array" ref="Y5">_xlfn.LET(_xlpm.edges,_xlfn.ANCHORARRAY(V5),_xlpm.lower,_xlfn.ANCHORARRAY(U5),CDF_Lognormal(_xlpm.edges,$I$6,$K$6,_xlpm.lower))</f>
        <v>#NUM!</v>
      </c>
      <c r="Z5" s="7" t="e" cm="1">
        <f t="array" ref="Z5">_xlfn.LET(_xlpm.edges,_xlfn.ANCHORARRAY(V5),_xlpm.lower,_xlfn.ANCHORARRAY(U5),CDF_Exponential(_xlpm.edges,$I$7,_xlpm.lower))</f>
        <v>#NUM!</v>
      </c>
      <c r="AA5" s="7" t="e" cm="1">
        <f t="array" ref="AA5">_xlfn.LET(_xlpm.edges,_xlfn.ANCHORARRAY(V5),_xlpm.lower,_xlfn.ANCHORARRAY(U5),CDF_Weibull(_xlpm.edges,$I$8,$K$8,_xlpm.lower))</f>
        <v>#NUM!</v>
      </c>
      <c r="AB5" s="7" t="e" cm="1">
        <f t="array" ref="AB5">_xlfn.LET(_xlpm.edges,_xlfn.ANCHORARRAY(V5),_xlpm.lower,_xlfn.ANCHORARRAY(U5),CDF_Gamma(_xlpm.edges,$I$9,$K$9,_xlpm.lower))</f>
        <v>#NUM!</v>
      </c>
      <c r="AC5" s="7" cm="1">
        <f t="array" ref="AC5">_xlfn.LET(_xlpm.edges,_xlfn.ANCHORARRAY(V5),_xlpm.lower,_xlfn.ANCHORARRAY(U5),CDF_Triangular(_xlpm.edges,$I$10,$K$10,$M$10,_xlpm.lower))</f>
        <v>0</v>
      </c>
      <c r="AD5" s="7" cm="1">
        <f t="array" ref="AD5">_xlfn.LET(_xlpm.edges,_xlfn.ANCHORARRAY(V5),_xlpm.lower,_xlfn.ANCHORARRAY(U5),_xlpm.dmin,$E$9,_xlpm.drange,$E$11,CDF_Beta(_xlpm.edges,$I$11,$K$11,_xlpm.dmin,_xlpm.drange,_xlpm.lower))</f>
        <v>0</v>
      </c>
      <c r="AE5" s="7" t="e" cm="1">
        <f t="array" ref="AE5">_xlfn.LET(_xlpm.edges,_xlfn.ANCHORARRAY(V5),_xlpm.lower,_xlfn.ANCHORARRAY(U5),CDF_BetaPERT(_xlpm.edges,$I$12,$K$12,$M$12,_xlpm.lower))</f>
        <v>#NUM!</v>
      </c>
      <c r="AG5" s="36" t="e" cm="1" vm="1">
        <f t="array" ref="AG5">Bin_Lower_Edges(UV_Data,AI2,UV_Include)</f>
        <v>#VALUE!</v>
      </c>
      <c r="AH5" s="36" t="e" cm="1" vm="1">
        <f t="array" ref="AH5">Upper_Bin_Edges(UV_Data,AI2,UV_Include)</f>
        <v>#VALUE!</v>
      </c>
      <c r="AI5" s="35" t="e" cm="1" vm="1">
        <f t="array" ref="AI5">Bin_Counts(UV_Data,AI2,UV_Include)</f>
        <v>#VALUE!</v>
      </c>
      <c r="AJ5" s="7" t="e" cm="1" vm="2">
        <f t="array" ref="AJ5">_xlfn.LET(_xlpm.edges,_xlfn.ANCHORARRAY(AH5),_xlpm.lower,_xlfn.ANCHORARRAY(AG5),CDF_Normal(_xlpm.edges,$I$5,$K$5,_xlpm.lower))</f>
        <v>#VALUE!</v>
      </c>
      <c r="AK5" s="7" t="e" cm="1" vm="2">
        <f t="array" ref="AK5">_xlfn.LET(_xlpm.edges,_xlfn.ANCHORARRAY(AH5),_xlpm.lower,_xlfn.ANCHORARRAY(AG5),CDF_Lognormal(_xlpm.edges,$I$6,$K$6,_xlpm.lower))</f>
        <v>#VALUE!</v>
      </c>
      <c r="AL5" s="7" t="e" cm="1" vm="2">
        <f t="array" ref="AL5">_xlfn.LET(_xlpm.edges,_xlfn.ANCHORARRAY(AH5),_xlpm.lower,_xlfn.ANCHORARRAY(AG5),CDF_Exponential(_xlpm.edges,$I$7,_xlpm.lower))</f>
        <v>#VALUE!</v>
      </c>
      <c r="AM5" s="7" t="e" cm="1" vm="2">
        <f t="array" ref="AM5">_xlfn.LET(_xlpm.edges,_xlfn.ANCHORARRAY(AH5),_xlpm.lower,_xlfn.ANCHORARRAY(AG5),CDF_Weibull(_xlpm.edges,$I$8,$K$8,_xlpm.lower))</f>
        <v>#VALUE!</v>
      </c>
      <c r="AN5" s="7" t="e" cm="1" vm="2">
        <f t="array" ref="AN5">_xlfn.LET(_xlpm.edges,_xlfn.ANCHORARRAY(AH5),_xlpm.lower,_xlfn.ANCHORARRAY(AG5),CDF_Gamma(_xlpm.edges,$I$9,$K$9,_xlpm.lower))</f>
        <v>#VALUE!</v>
      </c>
      <c r="AO5" s="7" cm="1">
        <f t="array" ref="AO5">_xlfn.LET(_xlpm.edges,_xlfn.ANCHORARRAY(AH5),_xlpm.lower,_xlfn.ANCHORARRAY(AG5),CDF_Triangular(_xlpm.edges,$I$10,$K$10,$M$10,_xlpm.lower))</f>
        <v>0</v>
      </c>
      <c r="AP5" s="7" cm="1">
        <f t="array" ref="AP5">_xlfn.LET(_xlpm.edges,_xlfn.ANCHORARRAY(AH5),_xlpm.lower,_xlfn.ANCHORARRAY(AG5),_xlpm.dmin,$E$9,_xlpm.drange,$E$11,CDF_Beta(_xlpm.edges,$I$11,$K$11,_xlpm.dmin,_xlpm.drange,_xlpm.lower))</f>
        <v>0</v>
      </c>
      <c r="AQ5" s="7" t="e" cm="1" vm="2">
        <f t="array" ref="AQ5">_xlfn.LET(_xlpm.edges,_xlfn.ANCHORARRAY(AH5),_xlpm.lower,_xlfn.ANCHORARRAY(AG5),CDF_BetaPERT(_xlpm.edges,$I$12,$K$12,$M$12,_xlpm.lower))</f>
        <v>#VALUE!</v>
      </c>
      <c r="AS5" s="36" t="e" cm="1" vm="1">
        <f t="array" ref="AS5">Bin_Lower_Edges(UV_Data,AU2,UV_Include)</f>
        <v>#VALUE!</v>
      </c>
      <c r="AT5" s="36" t="e" cm="1" vm="1">
        <f t="array" ref="AT5">Upper_Bin_Edges(UV_Data,AU2,UV_Include)</f>
        <v>#VALUE!</v>
      </c>
      <c r="AU5" s="35" t="e" cm="1" vm="1">
        <f t="array" ref="AU5">Bin_Counts(UV_Data,AU2,UV_Include)</f>
        <v>#VALUE!</v>
      </c>
      <c r="AV5" s="7" t="e" cm="1" vm="2">
        <f t="array" ref="AV5">_xlfn.LET(_xlpm.edges,_xlfn.ANCHORARRAY(AT5),_xlpm.lower,_xlfn.ANCHORARRAY(AS5),CDF_Normal(_xlpm.edges,$I$5,$K$5,_xlpm.lower))</f>
        <v>#VALUE!</v>
      </c>
      <c r="AW5" s="7" t="e" cm="1" vm="2">
        <f t="array" ref="AW5">_xlfn.LET(_xlpm.edges,_xlfn.ANCHORARRAY(AT5),_xlpm.lower,_xlfn.ANCHORARRAY(AS5),CDF_Lognormal(_xlpm.edges,$I$6,$K$6,_xlpm.lower))</f>
        <v>#VALUE!</v>
      </c>
      <c r="AX5" s="7" t="e" cm="1" vm="2">
        <f t="array" ref="AX5">_xlfn.LET(_xlpm.edges,_xlfn.ANCHORARRAY(AT5),_xlpm.lower,_xlfn.ANCHORARRAY(AS5),CDF_Exponential(_xlpm.edges,$I$7,_xlpm.lower))</f>
        <v>#VALUE!</v>
      </c>
      <c r="AY5" s="7" t="e" cm="1" vm="2">
        <f t="array" ref="AY5">_xlfn.LET(_xlpm.edges,_xlfn.ANCHORARRAY(AT5),_xlpm.lower,_xlfn.ANCHORARRAY(AS5),CDF_Weibull(_xlpm.edges,$I$8,$K$8,_xlpm.lower))</f>
        <v>#VALUE!</v>
      </c>
      <c r="AZ5" s="7" t="e" cm="1" vm="2">
        <f t="array" ref="AZ5">_xlfn.LET(_xlpm.edges,_xlfn.ANCHORARRAY(AT5),_xlpm.lower,_xlfn.ANCHORARRAY(AS5),CDF_Gamma(_xlpm.edges,$I$9,$K$9,_xlpm.lower))</f>
        <v>#VALUE!</v>
      </c>
      <c r="BA5" s="7" cm="1">
        <f t="array" ref="BA5">_xlfn.LET(_xlpm.edges,_xlfn.ANCHORARRAY(AT5),_xlpm.lower,_xlfn.ANCHORARRAY(AS5),CDF_Triangular(_xlpm.edges,$I$10,$K$10,$M$10,_xlpm.lower))</f>
        <v>0</v>
      </c>
      <c r="BB5" s="7" cm="1">
        <f t="array" ref="BB5">_xlfn.LET(_xlpm.edges,_xlfn.ANCHORARRAY(AT5),_xlpm.lower,_xlfn.ANCHORARRAY(AS5),_xlpm.dmin,$E$9,_xlpm.drange,$E$11,CDF_Beta(_xlpm.edges,$I$11,$K$11,_xlpm.dmin,_xlpm.drange,_xlpm.lower))</f>
        <v>0</v>
      </c>
      <c r="BC5" s="7" t="e" cm="1" vm="2">
        <f t="array" ref="BC5">_xlfn.LET(_xlpm.edges,_xlfn.ANCHORARRAY(AT5),_xlpm.lower,_xlfn.ANCHORARRAY(AS5),CDF_BetaPERT(_xlpm.edges,$I$12,$K$12,$M$12,_xlpm.lower))</f>
        <v>#VALUE!</v>
      </c>
      <c r="BF5" s="7" t="e" cm="1">
        <f t="array" ref="BF5">_xlfn.LET(_xlpm.n_,UV_n,IF(_xlpm.n_&lt;=0,NA(),(_xlfn.SEQUENCE(_xlpm.n_)-0.5)/_xlpm.n_))</f>
        <v>#N/A</v>
      </c>
      <c r="BG5" s="36" t="e" cm="1" vm="1">
        <f t="array" ref="BG5">_xlfn._xlws.SORT(_xlfn._xlws.FILTER(UV_Data,UV_Include))</f>
        <v>#VALUE!</v>
      </c>
      <c r="BH5" s="36" t="e" cm="1">
        <f t="array" ref="BH5">_xlfn.LET(_xlpm.p_,_xlfn.ANCHORARRAY($BF$5),_xlfn.NORM.INV(_xlpm.p_,$I$5,$K$5))</f>
        <v>#N/A</v>
      </c>
      <c r="BI5" s="36" t="e" cm="1">
        <f t="array" ref="BI5">_xlfn.LET(_xlpm.p_,_xlfn.ANCHORARRAY($BF$5),_xlfn.LOGNORM.INV(_xlpm.p_,$I$6,$K$6))</f>
        <v>#N/A</v>
      </c>
      <c r="BJ5" s="36" t="e" cm="1">
        <f t="array" ref="BJ5">_xlfn.LET(_xlpm.p_,_xlfn.ANCHORARRAY($BF$5),-LN(1-_xlpm.p_)/$I$7)</f>
        <v>#N/A</v>
      </c>
      <c r="BK5" s="36" t="e" cm="1">
        <f t="array" ref="BK5">_xlfn.LET(_xlpm.p_,_xlfn.ANCHORARRAY($BF$5),$K$8*(-LN(1-_xlpm.p_))^(1/$I$8))</f>
        <v>#REF!</v>
      </c>
      <c r="BL5" s="36" t="e" cm="1">
        <f t="array" ref="BL5">_xlfn.LET(_xlpm.p_,_xlfn.ANCHORARRAY($BF$5),_xlfn.GAMMA.INV(_xlpm.p_,$I$9,1/$K$9))</f>
        <v>#N/A</v>
      </c>
      <c r="BM5" s="36" t="e" cm="1">
        <f t="array" ref="BM5">_xlfn.LET(_xlpm.p_,_xlfn.ANCHORARRAY($BF$5),_xlpm.mn,$I$10,_xlpm.md,$K$10,_xlpm.mx,$M$10,IF(_xlpm.p_&lt;(_xlpm.md-_xlpm.mn)/(_xlpm.mx-_xlpm.mn),_xlpm.mn+SQRT(_xlpm.p_*(_xlpm.mx-_xlpm.mn)*(_xlpm.md-_xlpm.mn)),_xlpm.mx-SQRT((1-_xlpm.p_)*(_xlpm.mx-_xlpm.mn)*(_xlpm.mx-_xlpm.md))))</f>
        <v>#N/A</v>
      </c>
      <c r="BN5" s="36" t="e" cm="1">
        <f t="array" ref="BN5">_xlfn.LET(_xlpm.p_,_xlfn.ANCHORARRAY($BF$5),_xlpm.mn,$E$9,_xlpm.range_,$E$11,_xlpm.pad,_xlpm.range_*0.001,_xlpm.scale_,_xlpm.range_+2*_xlpm.pad,_xlfn.BETA.INV(_xlpm.p_,$I$11,$K$11)*_xlpm.scale_+_xlpm.mn-_xlpm.pad)</f>
        <v>#N/A</v>
      </c>
      <c r="BO5" s="36" t="e" cm="1">
        <f t="array" ref="BO5">_xlfn.LET(_xlpm.p_,_xlfn.ANCHORARRAY($BF$5),_xlpm.mn,$I$12,_xlpm.md,$K$12,_xlpm.mx,$M$12,_xlpm.alpha_param,1+4*(_xlpm.md-_xlpm.mn)/(_xlpm.mx-_xlpm.mn+1E-30),_xlpm.beta_param,1+4*(_xlpm.mx-_xlpm.md)/(_xlpm.mx-_xlpm.mn+1E-30),_xlfn.BETA.INV(_xlpm.p_,_xlpm.alpha_param,_xlpm.beta_param)*(_xlpm.mx-_xlpm.mn)+_xlpm.mn)</f>
        <v>#N/A</v>
      </c>
    </row>
    <row r="6" spans="1:67" x14ac:dyDescent="0.25">
      <c r="A6" s="39"/>
      <c r="B6" s="40"/>
      <c r="D6" s="8" t="s">
        <v>1022</v>
      </c>
      <c r="E6" s="43" t="str">
        <f>IFERROR(_xlfn.MODE.SNGL(_xlfn._xlws.FILTER(UV_Data,UV_Include)),"N/A")</f>
        <v>N/A</v>
      </c>
      <c r="G6" s="8" t="s">
        <v>1035</v>
      </c>
      <c r="H6" t="s">
        <v>1054</v>
      </c>
      <c r="I6" s="36" t="e" cm="1" vm="1">
        <f t="array" ref="I6">AVERAGE(LN(_xlfn._xlws.FILTER(UV_Data,(UV_Include)*(ISNUMBER(UV_Data)))))</f>
        <v>#VALUE!</v>
      </c>
      <c r="J6" t="s">
        <v>1055</v>
      </c>
      <c r="K6" s="36" t="e" cm="1" vm="1">
        <f t="array" ref="K6">_xlfn.STDEV.S(LN(_xlfn._xlws.FILTER(UV_Data,(UV_Include)*(ISNUMBER(UV_Data)))))</f>
        <v>#VALUE!</v>
      </c>
      <c r="M6" s="36"/>
      <c r="N6" s="20" cm="1">
        <f t="array" ref="N6">NLL_Lognormal(UV_Data,$I$6,$K$6,UV_Include)</f>
        <v>1000000000000000</v>
      </c>
      <c r="O6" s="35">
        <v>2</v>
      </c>
      <c r="P6" s="36" cm="1">
        <f t="array" ref="P6">GoF_AIC($N$6,$O$6)</f>
        <v>2000000000000004</v>
      </c>
      <c r="Q6" s="36" t="e" cm="1">
        <f t="array" ref="Q6">GoF_BIC($N$6,$O$6,UV_n)</f>
        <v>#NUM!</v>
      </c>
      <c r="R6" s="7" t="e" cm="1" vm="1">
        <f t="array" ref="R6">GoF_Anderson_Darling(UV_Data,_xlfn.LOGNORM.DIST(UV_Data,$I$6,$K$6,TRUE),UV_Include)</f>
        <v>#VALUE!</v>
      </c>
      <c r="S6" s="11" t="e" cm="1" vm="1">
        <f t="array" ref="S6">GoF_Kolmogorov_Smirnov(UV_Data,_xlfn.LOGNORM.DIST(UV_Data,$I$6,$K$6,TRUE),UV_Include)</f>
        <v>#VALUE!</v>
      </c>
      <c r="U6" s="36"/>
      <c r="V6" s="36"/>
      <c r="W6" s="35"/>
      <c r="X6" s="7"/>
      <c r="Y6" s="7"/>
      <c r="Z6" s="7"/>
      <c r="AA6" s="7"/>
      <c r="AB6" s="7"/>
      <c r="AC6" s="7"/>
      <c r="AD6" s="7"/>
      <c r="AE6" s="7"/>
      <c r="AG6" s="36"/>
      <c r="AH6" s="36"/>
      <c r="AI6" s="35"/>
      <c r="AJ6" s="7"/>
      <c r="AK6" s="7"/>
      <c r="AL6" s="7"/>
      <c r="AM6" s="7"/>
      <c r="AN6" s="7"/>
      <c r="AO6" s="7"/>
      <c r="AP6" s="7"/>
      <c r="AQ6" s="7"/>
      <c r="AS6" s="36"/>
      <c r="AT6" s="36"/>
      <c r="AU6" s="35"/>
      <c r="AV6" s="7"/>
      <c r="AW6" s="7"/>
      <c r="AX6" s="7"/>
      <c r="AY6" s="7"/>
      <c r="AZ6" s="7"/>
      <c r="BA6" s="7"/>
      <c r="BB6" s="7"/>
      <c r="BC6" s="7"/>
      <c r="BF6" s="7"/>
      <c r="BG6" s="36"/>
      <c r="BH6" s="36"/>
      <c r="BI6" s="36"/>
      <c r="BJ6" s="36"/>
      <c r="BK6" s="36"/>
      <c r="BL6" s="36"/>
      <c r="BM6" s="36"/>
      <c r="BN6" s="36"/>
      <c r="BO6" s="36"/>
    </row>
    <row r="7" spans="1:67" x14ac:dyDescent="0.25">
      <c r="A7" s="39"/>
      <c r="B7" s="40"/>
      <c r="D7" s="8" t="s">
        <v>1023</v>
      </c>
      <c r="E7" s="43" t="e" vm="1">
        <f>_xlfn.STDEV.S(_xlfn._xlws.FILTER(UV_Data,UV_Include))</f>
        <v>#VALUE!</v>
      </c>
      <c r="G7" s="8" t="s">
        <v>1036</v>
      </c>
      <c r="H7" t="s">
        <v>1056</v>
      </c>
      <c r="I7" s="36" t="e" vm="1">
        <f>1/AVERAGE(_xlfn._xlws.FILTER(UV_Data,UV_Include))</f>
        <v>#VALUE!</v>
      </c>
      <c r="K7" s="36"/>
      <c r="M7" s="36"/>
      <c r="N7" s="20" cm="1">
        <f t="array" ref="N7">NLL_Exponential(UV_Data,$I$7,UV_Include)</f>
        <v>1000000000000000</v>
      </c>
      <c r="O7" s="35">
        <v>1</v>
      </c>
      <c r="P7" s="36" cm="1">
        <f t="array" ref="P7">GoF_AIC($N$7,$O$7)</f>
        <v>2000000000000002</v>
      </c>
      <c r="Q7" s="36" t="e" cm="1">
        <f t="array" ref="Q7">GoF_BIC($N$7,$O$7,UV_n)</f>
        <v>#NUM!</v>
      </c>
      <c r="R7" s="7" t="e" cm="1" vm="1">
        <f t="array" ref="R7">GoF_Anderson_Darling(UV_Data,_xlfn.EXPON.DIST(UV_Data,$I$7,TRUE),UV_Include)</f>
        <v>#VALUE!</v>
      </c>
      <c r="S7" s="11" t="e" cm="1" vm="1">
        <f t="array" ref="S7">GoF_Kolmogorov_Smirnov(UV_Data,_xlfn.EXPON.DIST(UV_Data,$I$7,TRUE),UV_Include)</f>
        <v>#VALUE!</v>
      </c>
      <c r="U7" s="36"/>
      <c r="V7" s="36"/>
      <c r="W7" s="35"/>
      <c r="X7" s="7"/>
      <c r="Y7" s="7"/>
      <c r="Z7" s="7"/>
      <c r="AA7" s="7"/>
      <c r="AB7" s="7"/>
      <c r="AC7" s="7"/>
      <c r="AD7" s="7"/>
      <c r="AE7" s="7"/>
      <c r="AG7" s="36"/>
      <c r="AH7" s="36"/>
      <c r="AI7" s="35"/>
      <c r="AJ7" s="7"/>
      <c r="AK7" s="7"/>
      <c r="AL7" s="7"/>
      <c r="AM7" s="7"/>
      <c r="AN7" s="7"/>
      <c r="AO7" s="7"/>
      <c r="AP7" s="7"/>
      <c r="AQ7" s="7"/>
      <c r="AS7" s="36"/>
      <c r="AT7" s="36"/>
      <c r="AU7" s="35"/>
      <c r="AV7" s="7"/>
      <c r="AW7" s="7"/>
      <c r="AX7" s="7"/>
      <c r="AY7" s="7"/>
      <c r="AZ7" s="7"/>
      <c r="BA7" s="7"/>
      <c r="BB7" s="7"/>
      <c r="BC7" s="7"/>
      <c r="BF7" s="7"/>
      <c r="BG7" s="36"/>
      <c r="BH7" s="36"/>
      <c r="BI7" s="36"/>
      <c r="BJ7" s="36"/>
      <c r="BK7" s="36"/>
      <c r="BL7" s="36"/>
      <c r="BM7" s="36"/>
      <c r="BN7" s="36"/>
      <c r="BO7" s="36"/>
    </row>
    <row r="8" spans="1:67" x14ac:dyDescent="0.25">
      <c r="A8" s="39"/>
      <c r="B8" s="40"/>
      <c r="D8" s="8" t="s">
        <v>1024</v>
      </c>
      <c r="E8" s="43" t="e" vm="1">
        <f>_xlfn.VAR.S(_xlfn._xlws.FILTER(UV_Data,UV_Include))</f>
        <v>#VALUE!</v>
      </c>
      <c r="G8" s="8" t="s">
        <v>1037</v>
      </c>
      <c r="H8" t="s">
        <v>1057</v>
      </c>
      <c r="I8" s="36" t="e">
        <f>#REF!</f>
        <v>#REF!</v>
      </c>
      <c r="J8" t="s">
        <v>1058</v>
      </c>
      <c r="K8" s="36" t="e">
        <f>#REF!</f>
        <v>#REF!</v>
      </c>
      <c r="M8" s="36"/>
      <c r="N8" s="20" cm="1">
        <f t="array" ref="N8">NLL_Weibull(UV_Data,$I$8,$K$8,UV_Include)</f>
        <v>1000000000000000</v>
      </c>
      <c r="O8" s="35">
        <v>2</v>
      </c>
      <c r="P8" s="36" cm="1">
        <f t="array" ref="P8">GoF_AIC($N$8,$O$8)</f>
        <v>2000000000000004</v>
      </c>
      <c r="Q8" s="36" t="e" cm="1">
        <f t="array" ref="Q8">GoF_BIC($N$8,$O$8,UV_n)</f>
        <v>#NUM!</v>
      </c>
      <c r="R8" s="7" t="e" cm="1" vm="1">
        <f t="array" ref="R8">GoF_Anderson_Darling(UV_Data,_xlfn.WEIBULL.DIST(UV_Data,$I$8,$K$8,TRUE),UV_Include)</f>
        <v>#VALUE!</v>
      </c>
      <c r="S8" s="11" t="e" cm="1" vm="1">
        <f t="array" ref="S8">GoF_Kolmogorov_Smirnov(UV_Data,_xlfn.WEIBULL.DIST(UV_Data,$I$8,$K$8,TRUE),UV_Include)</f>
        <v>#VALUE!</v>
      </c>
      <c r="U8" s="36"/>
      <c r="V8" s="36"/>
      <c r="W8" s="35"/>
      <c r="X8" s="7"/>
      <c r="Y8" s="7"/>
      <c r="Z8" s="7"/>
      <c r="AA8" s="7"/>
      <c r="AB8" s="7"/>
      <c r="AC8" s="7"/>
      <c r="AD8" s="7"/>
      <c r="AE8" s="7"/>
      <c r="AG8" s="36"/>
      <c r="AH8" s="36"/>
      <c r="AI8" s="35"/>
      <c r="AJ8" s="7"/>
      <c r="AK8" s="7"/>
      <c r="AL8" s="7"/>
      <c r="AM8" s="7"/>
      <c r="AN8" s="7"/>
      <c r="AO8" s="7"/>
      <c r="AP8" s="7"/>
      <c r="AQ8" s="7"/>
      <c r="AS8" s="36"/>
      <c r="AT8" s="36"/>
      <c r="AU8" s="35"/>
      <c r="AV8" s="7"/>
      <c r="AW8" s="7"/>
      <c r="AX8" s="7"/>
      <c r="AY8" s="7"/>
      <c r="AZ8" s="7"/>
      <c r="BA8" s="7"/>
      <c r="BB8" s="7"/>
      <c r="BC8" s="7"/>
      <c r="BF8" s="7"/>
      <c r="BG8" s="36"/>
      <c r="BH8" s="36"/>
      <c r="BI8" s="36"/>
      <c r="BJ8" s="36"/>
      <c r="BK8" s="36"/>
      <c r="BL8" s="36"/>
      <c r="BM8" s="36"/>
      <c r="BN8" s="36"/>
      <c r="BO8" s="36"/>
    </row>
    <row r="9" spans="1:67" x14ac:dyDescent="0.25">
      <c r="A9" s="39"/>
      <c r="B9" s="40"/>
      <c r="D9" s="8" t="s">
        <v>1025</v>
      </c>
      <c r="E9" s="43" t="e" vm="1">
        <f>MIN(_xlfn._xlws.FILTER(UV_Data,UV_Include))</f>
        <v>#VALUE!</v>
      </c>
      <c r="G9" s="8" t="s">
        <v>1038</v>
      </c>
      <c r="H9" t="s">
        <v>1057</v>
      </c>
      <c r="I9" s="36" t="e">
        <f>#REF!</f>
        <v>#REF!</v>
      </c>
      <c r="J9" t="s">
        <v>1059</v>
      </c>
      <c r="K9" s="36" t="e">
        <f>#REF!</f>
        <v>#REF!</v>
      </c>
      <c r="M9" s="36"/>
      <c r="N9" s="20" cm="1">
        <f t="array" ref="N9">NLL_Gamma(UV_Data,$I$9,$K$9,UV_Include)</f>
        <v>1000000000000000</v>
      </c>
      <c r="O9" s="35">
        <v>2</v>
      </c>
      <c r="P9" s="36" cm="1">
        <f t="array" ref="P9">GoF_AIC($N$9,$O$9)</f>
        <v>2000000000000004</v>
      </c>
      <c r="Q9" s="36" t="e" cm="1">
        <f t="array" ref="Q9">GoF_BIC($N$9,$O$9,UV_n)</f>
        <v>#NUM!</v>
      </c>
      <c r="R9" s="7" t="e" cm="1" vm="1">
        <f t="array" ref="R9">GoF_Anderson_Darling(UV_Data,_xlfn.GAMMA.DIST(UV_Data,$I$9,1/$K$9,TRUE),UV_Include)</f>
        <v>#VALUE!</v>
      </c>
      <c r="S9" s="11" t="e" cm="1" vm="1">
        <f t="array" ref="S9">GoF_Kolmogorov_Smirnov(UV_Data,_xlfn.GAMMA.DIST(UV_Data,$I$9,1/$K$9,TRUE),UV_Include)</f>
        <v>#VALUE!</v>
      </c>
      <c r="U9" s="36"/>
      <c r="V9" s="36"/>
      <c r="W9" s="35"/>
      <c r="X9" s="7"/>
      <c r="Y9" s="7"/>
      <c r="Z9" s="7"/>
      <c r="AA9" s="7"/>
      <c r="AB9" s="7"/>
      <c r="AC9" s="7"/>
      <c r="AD9" s="7"/>
      <c r="AE9" s="7"/>
      <c r="AG9" s="36"/>
      <c r="AH9" s="36"/>
      <c r="AI9" s="35"/>
      <c r="AJ9" s="7"/>
      <c r="AK9" s="7"/>
      <c r="AL9" s="7"/>
      <c r="AM9" s="7"/>
      <c r="AN9" s="7"/>
      <c r="AO9" s="7"/>
      <c r="AP9" s="7"/>
      <c r="AQ9" s="7"/>
      <c r="AS9" s="36"/>
      <c r="AT9" s="36"/>
      <c r="AU9" s="35"/>
      <c r="AV9" s="7"/>
      <c r="AW9" s="7"/>
      <c r="AX9" s="7"/>
      <c r="AY9" s="7"/>
      <c r="AZ9" s="7"/>
      <c r="BA9" s="7"/>
      <c r="BB9" s="7"/>
      <c r="BC9" s="7"/>
      <c r="BF9" s="7"/>
      <c r="BG9" s="36"/>
      <c r="BH9" s="36"/>
      <c r="BI9" s="36"/>
      <c r="BJ9" s="36"/>
      <c r="BK9" s="36"/>
      <c r="BL9" s="36"/>
      <c r="BM9" s="36"/>
      <c r="BN9" s="36"/>
      <c r="BO9" s="36"/>
    </row>
    <row r="10" spans="1:67" x14ac:dyDescent="0.25">
      <c r="A10" s="39"/>
      <c r="B10" s="40"/>
      <c r="D10" s="8" t="s">
        <v>1026</v>
      </c>
      <c r="E10" s="43" t="e" vm="1">
        <f>MAX(_xlfn._xlws.FILTER(UV_Data,UV_Include))</f>
        <v>#VALUE!</v>
      </c>
      <c r="G10" s="8" t="s">
        <v>1039</v>
      </c>
      <c r="H10" t="s">
        <v>1025</v>
      </c>
      <c r="I10" s="36" t="e" vm="1">
        <f>_xlfn.LET(_xlpm.d,_xlfn._xlws.FILTER(UV_Data,UV_Include),MIN(_xlpm.d)-(MAX(_xlpm.d)-MIN(_xlpm.d))*0.001)</f>
        <v>#VALUE!</v>
      </c>
      <c r="J10" t="s">
        <v>1022</v>
      </c>
      <c r="K10" s="36" t="e" vm="1">
        <f>IFERROR(_xlfn.MODE.SNGL(_xlfn._xlws.FILTER(UV_Data,UV_Include)),MEDIAN(_xlfn._xlws.FILTER(UV_Data,UV_Include)))</f>
        <v>#VALUE!</v>
      </c>
      <c r="L10" t="s">
        <v>1026</v>
      </c>
      <c r="M10" s="36" t="e" vm="1">
        <f>_xlfn.LET(_xlpm.d,_xlfn._xlws.FILTER(UV_Data,UV_Include),MAX(_xlpm.d)+(MAX(_xlpm.d)-MIN(_xlpm.d))*0.001)</f>
        <v>#VALUE!</v>
      </c>
      <c r="N10" s="20" cm="1">
        <f t="array" ref="N10">NLL_Triangular(UV_Data,$I$10,$K$10,$M$10,UV_Include)</f>
        <v>1000000000000000</v>
      </c>
      <c r="O10" s="35">
        <v>3</v>
      </c>
      <c r="P10" s="36" cm="1">
        <f t="array" ref="P10">GoF_AIC($N$10,$O$10)</f>
        <v>2000000000000006</v>
      </c>
      <c r="Q10" s="36" t="e" cm="1">
        <f t="array" ref="Q10">GoF_BIC($N$10,$O$10,UV_n)</f>
        <v>#NUM!</v>
      </c>
      <c r="R10" s="7" t="e" cm="1" vm="1">
        <f t="array" ref="R10">GoF_Anderson_Darling(UV_Data,IFERROR(IF(UV_Data&lt;$I$10,0,IF(UV_Data&lt;$K$10,(UV_Data-$I$10)^2/(($M$10-$I$10)*($K$10-$I$10)+1E-30),IF(UV_Data&lt;=$M$10,1-(($M$10-UV_Data)^2/(($M$10-$I$10)*($M$10-$K$10)+1E-30)),1))),0.5),UV_Include)</f>
        <v>#VALUE!</v>
      </c>
      <c r="S10" s="11" t="e" cm="1" vm="1">
        <f t="array" ref="S10">GoF_Kolmogorov_Smirnov(UV_Data,IFERROR(IF(UV_Data&lt;$I$10,0,IF(UV_Data&lt;$K$10,(UV_Data-$I$10)^2/(($M$10-$I$10)*($K$10-$I$10)+1E-30),IF(UV_Data&lt;=$M$10,1-(($M$10-UV_Data)^2/(($M$10-$I$10)*($M$10-$K$10)+1E-30)),1))),0.5),UV_Include)</f>
        <v>#VALUE!</v>
      </c>
      <c r="U10" s="36"/>
      <c r="V10" s="36"/>
      <c r="W10" s="35"/>
      <c r="X10" s="7"/>
      <c r="Y10" s="7"/>
      <c r="Z10" s="7"/>
      <c r="AA10" s="7"/>
      <c r="AB10" s="7"/>
      <c r="AC10" s="7"/>
      <c r="AD10" s="7"/>
      <c r="AE10" s="7"/>
      <c r="AG10" s="36"/>
      <c r="AH10" s="36"/>
      <c r="AI10" s="35"/>
      <c r="AJ10" s="7"/>
      <c r="AK10" s="7"/>
      <c r="AL10" s="7"/>
      <c r="AM10" s="7"/>
      <c r="AN10" s="7"/>
      <c r="AO10" s="7"/>
      <c r="AP10" s="7"/>
      <c r="AQ10" s="7"/>
      <c r="AS10" s="36"/>
      <c r="AT10" s="36"/>
      <c r="AU10" s="35"/>
      <c r="AV10" s="7"/>
      <c r="AW10" s="7"/>
      <c r="AX10" s="7"/>
      <c r="AY10" s="7"/>
      <c r="AZ10" s="7"/>
      <c r="BA10" s="7"/>
      <c r="BB10" s="7"/>
      <c r="BC10" s="7"/>
      <c r="BF10" s="7"/>
      <c r="BG10" s="36"/>
      <c r="BH10" s="36"/>
      <c r="BI10" s="36"/>
      <c r="BJ10" s="36"/>
      <c r="BK10" s="36"/>
      <c r="BL10" s="36"/>
      <c r="BM10" s="36"/>
      <c r="BN10" s="36"/>
      <c r="BO10" s="36"/>
    </row>
    <row r="11" spans="1:67" x14ac:dyDescent="0.25">
      <c r="A11" s="39"/>
      <c r="B11" s="40"/>
      <c r="D11" s="8" t="s">
        <v>1027</v>
      </c>
      <c r="E11" s="43" t="e" vm="1">
        <f>_xlfn.LET(_xlpm.d,_xlfn._xlws.FILTER(UV_Data,UV_Include),MAX(_xlpm.d)-MIN(_xlpm.d))</f>
        <v>#VALUE!</v>
      </c>
      <c r="G11" s="8" t="s">
        <v>1040</v>
      </c>
      <c r="H11" t="s">
        <v>1060</v>
      </c>
      <c r="I11" s="36" t="e">
        <f>#REF!</f>
        <v>#REF!</v>
      </c>
      <c r="J11" t="s">
        <v>1061</v>
      </c>
      <c r="K11" s="36" t="e">
        <f>#REF!</f>
        <v>#REF!</v>
      </c>
      <c r="M11" s="36"/>
      <c r="N11" s="20" cm="1">
        <f t="array" ref="N11">IFERROR(_xlfn.LET(_xlpm.d,_xlfn._xlws.FILTER(UV_Data,UV_Include),_xlpm.range_,MAX(_xlpm.d)-MIN(_xlpm.d),_xlpm.pad,_xlpm.range_*0.001,_xlpm.scale_,_xlpm.range_+2*_xlpm.pad,_xlpm.z,(_xlpm.d-MIN(_xlpm.d)+_xlpm.pad)/_xlpm.scale_,NLL_Beta(_xlpm.z,$I$11,$K$11)+COUNT(_xlpm.d)*LN(_xlpm.scale_)),1000000000000000)</f>
        <v>1000000000000000</v>
      </c>
      <c r="O11" s="35">
        <v>2</v>
      </c>
      <c r="P11" s="36" cm="1">
        <f t="array" ref="P11">GoF_AIC($N$11,$O$11)</f>
        <v>2000000000000004</v>
      </c>
      <c r="Q11" s="36" t="e" cm="1">
        <f t="array" ref="Q11">GoF_BIC($N$11,$O$11,UV_n)</f>
        <v>#NUM!</v>
      </c>
      <c r="R11" s="7" t="e" cm="1" vm="1">
        <f t="array" ref="R11">GoF_Anderson_Darling(UV_Data,_xlfn.LET(_xlpm.d,UV_Data,_xlpm.mn,MIN(_xlfn._xlws.FILTER(_xlpm.d,UV_Include)),_xlpm.range_,MAX(_xlfn._xlws.FILTER(_xlpm.d,UV_Include))-_xlpm.mn,_xlpm.pad,MAX(_xlpm.range_*0.001,1E-30),_xlpm.scale_,_xlpm.range_+2*_xlpm.pad,_xlpm.z,(_xlpm.d-_xlpm.mn+_xlpm.pad)/_xlpm.scale_,IFERROR(_xlfn.BETA.DIST(_xlpm.z,$I$11,$K$11,TRUE),0.5)),UV_Include)</f>
        <v>#VALUE!</v>
      </c>
      <c r="S11" s="11" t="e" cm="1" vm="1">
        <f t="array" ref="S11">GoF_Kolmogorov_Smirnov(UV_Data,_xlfn.LET(_xlpm.d,UV_Data,_xlpm.mn,MIN(_xlfn._xlws.FILTER(_xlpm.d,UV_Include)),_xlpm.range_,MAX(_xlfn._xlws.FILTER(_xlpm.d,UV_Include))-_xlpm.mn,_xlpm.pad,MAX(_xlpm.range_*0.001,1E-30),_xlpm.scale_,_xlpm.range_+2*_xlpm.pad,_xlpm.z,(_xlpm.d-_xlpm.mn+_xlpm.pad)/_xlpm.scale_,IFERROR(_xlfn.BETA.DIST(_xlpm.z,$I$11,$K$11,TRUE),0.5)),UV_Include)</f>
        <v>#VALUE!</v>
      </c>
      <c r="U11" s="36"/>
      <c r="V11" s="36"/>
      <c r="W11" s="35"/>
      <c r="X11" s="7"/>
      <c r="Y11" s="7"/>
      <c r="Z11" s="7"/>
      <c r="AA11" s="7"/>
      <c r="AB11" s="7"/>
      <c r="AC11" s="7"/>
      <c r="AD11" s="7"/>
      <c r="AE11" s="7"/>
      <c r="AG11" s="36"/>
      <c r="AH11" s="36"/>
      <c r="AI11" s="35"/>
      <c r="AJ11" s="7"/>
      <c r="AK11" s="7"/>
      <c r="AL11" s="7"/>
      <c r="AM11" s="7"/>
      <c r="AN11" s="7"/>
      <c r="AO11" s="7"/>
      <c r="AP11" s="7"/>
      <c r="AQ11" s="7"/>
      <c r="AS11" s="36"/>
      <c r="AT11" s="36"/>
      <c r="AU11" s="35"/>
      <c r="AV11" s="7"/>
      <c r="AW11" s="7"/>
      <c r="AX11" s="7"/>
      <c r="AY11" s="7"/>
      <c r="AZ11" s="7"/>
      <c r="BA11" s="7"/>
      <c r="BB11" s="7"/>
      <c r="BC11" s="7"/>
      <c r="BF11" s="7"/>
      <c r="BG11" s="36"/>
      <c r="BH11" s="36"/>
      <c r="BI11" s="36"/>
      <c r="BJ11" s="36"/>
      <c r="BK11" s="36"/>
      <c r="BL11" s="36"/>
      <c r="BM11" s="36"/>
      <c r="BN11" s="36"/>
      <c r="BO11" s="36"/>
    </row>
    <row r="12" spans="1:67" x14ac:dyDescent="0.25">
      <c r="A12" s="39"/>
      <c r="B12" s="40"/>
      <c r="D12" s="8" t="s">
        <v>237</v>
      </c>
      <c r="E12" s="43" t="e" cm="1" vm="1">
        <f t="array" ref="E12">INDEX(Skewness(UV_Data,UV_Include),1)</f>
        <v>#VALUE!</v>
      </c>
      <c r="G12" s="9" t="s">
        <v>1041</v>
      </c>
      <c r="H12" s="15" t="s">
        <v>1025</v>
      </c>
      <c r="I12" s="22" t="e" vm="1">
        <f>_xlfn.LET(_xlpm.d,_xlfn._xlws.FILTER(UV_Data,UV_Include),MIN(_xlpm.d)-(MAX(_xlpm.d)-MIN(_xlpm.d))*0.001)</f>
        <v>#VALUE!</v>
      </c>
      <c r="J12" s="15" t="s">
        <v>1022</v>
      </c>
      <c r="K12" s="22" t="e" vm="1">
        <f>IFERROR(_xlfn.MODE.SNGL(_xlfn._xlws.FILTER(UV_Data,UV_Include)),MEDIAN(_xlfn._xlws.FILTER(UV_Data,UV_Include)))</f>
        <v>#VALUE!</v>
      </c>
      <c r="L12" s="15" t="s">
        <v>1026</v>
      </c>
      <c r="M12" s="22" t="e" vm="1">
        <f>_xlfn.LET(_xlpm.d,_xlfn._xlws.FILTER(UV_Data,UV_Include),MAX(_xlpm.d)+(MAX(_xlpm.d)-MIN(_xlpm.d))*0.001)</f>
        <v>#VALUE!</v>
      </c>
      <c r="N12" s="45" cm="1">
        <f t="array" ref="N12">NLL_BetaPERT(UV_Data,$I$12,$K$12,$M$12,UV_Include)</f>
        <v>1000000000000000</v>
      </c>
      <c r="O12" s="10">
        <v>3</v>
      </c>
      <c r="P12" s="22" cm="1">
        <f t="array" ref="P12">GoF_AIC($N$12,$O$12)</f>
        <v>2000000000000006</v>
      </c>
      <c r="Q12" s="22" t="e" cm="1">
        <f t="array" ref="Q12">GoF_BIC($N$12,$O$12,UV_n)</f>
        <v>#NUM!</v>
      </c>
      <c r="R12" s="46" t="e" cm="1" vm="1">
        <f t="array" ref="R12">GoF_Anderson_Darling(UV_Data,_xlfn.LET(_xlpm.mn,$I$12,_xlpm.md,$K$12,_xlpm.mx,$M$12,_xlpm.alpha_param,1+4*(_xlpm.md-_xlpm.mn)/(_xlpm.mx-_xlpm.mn+1E-30),_xlpm.beta_param,1+4*(_xlpm.mx-_xlpm.md)/(_xlpm.mx-_xlpm.mn+1E-30),_xlfn.BETA.DIST((UV_Data-_xlpm.mn)/(_xlpm.mx-_xlpm.mn+1E-30),_xlpm.alpha_param,_xlpm.beta_param,TRUE)),UV_Include)</f>
        <v>#VALUE!</v>
      </c>
      <c r="S12" s="18" t="e" cm="1" vm="1">
        <f t="array" ref="S12">GoF_Kolmogorov_Smirnov(UV_Data,_xlfn.LET(_xlpm.mn,$I$12,_xlpm.md,$K$12,_xlpm.mx,$M$12,_xlpm.alpha_param,1+4*(_xlpm.md-_xlpm.mn)/(_xlpm.mx-_xlpm.mn+1E-30),_xlpm.beta_param,1+4*(_xlpm.mx-_xlpm.md)/(_xlpm.mx-_xlpm.mn+1E-30),_xlfn.BETA.DIST((UV_Data-_xlpm.mn)/(_xlpm.mx-_xlpm.mn+1E-30),_xlpm.alpha_param,_xlpm.beta_param,TRUE)),UV_Include)</f>
        <v>#VALUE!</v>
      </c>
      <c r="U12" s="36"/>
      <c r="V12" s="36"/>
      <c r="W12" s="35"/>
      <c r="X12" s="7"/>
      <c r="Y12" s="7"/>
      <c r="Z12" s="7"/>
      <c r="AA12" s="7"/>
      <c r="AB12" s="7"/>
      <c r="AC12" s="7"/>
      <c r="AD12" s="7"/>
      <c r="AE12" s="7"/>
      <c r="AG12" s="36"/>
      <c r="AH12" s="36"/>
      <c r="AI12" s="35"/>
      <c r="AJ12" s="7"/>
      <c r="AK12" s="7"/>
      <c r="AL12" s="7"/>
      <c r="AM12" s="7"/>
      <c r="AN12" s="7"/>
      <c r="AO12" s="7"/>
      <c r="AP12" s="7"/>
      <c r="AQ12" s="7"/>
      <c r="AS12" s="36"/>
      <c r="AT12" s="36"/>
      <c r="AU12" s="35"/>
      <c r="AV12" s="7"/>
      <c r="AW12" s="7"/>
      <c r="AX12" s="7"/>
      <c r="AY12" s="7"/>
      <c r="AZ12" s="7"/>
      <c r="BA12" s="7"/>
      <c r="BB12" s="7"/>
      <c r="BC12" s="7"/>
      <c r="BF12" s="7"/>
      <c r="BG12" s="36"/>
      <c r="BH12" s="36"/>
      <c r="BI12" s="36"/>
      <c r="BJ12" s="36"/>
      <c r="BK12" s="36"/>
      <c r="BL12" s="36"/>
      <c r="BM12" s="36"/>
      <c r="BN12" s="36"/>
      <c r="BO12" s="36"/>
    </row>
    <row r="13" spans="1:67" x14ac:dyDescent="0.25">
      <c r="A13" s="39"/>
      <c r="B13" s="40"/>
      <c r="D13" s="8" t="s">
        <v>243</v>
      </c>
      <c r="E13" s="43" t="e" cm="1" vm="1">
        <f t="array" ref="E13">INDEX(Kurtosis(UV_Data,UV_Include),1)</f>
        <v>#VALUE!</v>
      </c>
      <c r="U13" s="36"/>
      <c r="V13" s="36"/>
      <c r="W13" s="35"/>
      <c r="X13" s="7"/>
      <c r="Y13" s="7"/>
      <c r="Z13" s="7"/>
      <c r="AA13" s="7"/>
      <c r="AB13" s="7"/>
      <c r="AC13" s="7"/>
      <c r="AD13" s="7"/>
      <c r="AE13" s="7"/>
      <c r="AG13" s="36"/>
      <c r="AH13" s="36"/>
      <c r="AI13" s="35"/>
      <c r="AJ13" s="7"/>
      <c r="AK13" s="7"/>
      <c r="AL13" s="7"/>
      <c r="AM13" s="7"/>
      <c r="AN13" s="7"/>
      <c r="AO13" s="7"/>
      <c r="AP13" s="7"/>
      <c r="AQ13" s="7"/>
      <c r="AS13" s="36"/>
      <c r="AT13" s="36"/>
      <c r="AU13" s="35"/>
      <c r="AV13" s="7"/>
      <c r="AW13" s="7"/>
      <c r="AX13" s="7"/>
      <c r="AY13" s="7"/>
      <c r="AZ13" s="7"/>
      <c r="BA13" s="7"/>
      <c r="BB13" s="7"/>
      <c r="BC13" s="7"/>
      <c r="BF13" s="7"/>
      <c r="BG13" s="36"/>
      <c r="BH13" s="36"/>
      <c r="BI13" s="36"/>
      <c r="BJ13" s="36"/>
      <c r="BK13" s="36"/>
      <c r="BL13" s="36"/>
      <c r="BM13" s="36"/>
      <c r="BN13" s="36"/>
      <c r="BO13" s="36"/>
    </row>
    <row r="14" spans="1:67" x14ac:dyDescent="0.25">
      <c r="A14" s="39"/>
      <c r="B14" s="40"/>
      <c r="D14" s="8" t="s">
        <v>1009</v>
      </c>
      <c r="E14" s="44">
        <f>COUNT(_xlfn._xlws.FILTER(UV_Data,UV_Include))</f>
        <v>0</v>
      </c>
      <c r="G14" t="str">
        <f>W2&amp;" Method Histogram"</f>
        <v>Sturges Method Histogram</v>
      </c>
      <c r="U14" s="36"/>
      <c r="V14" s="36"/>
      <c r="W14" s="35"/>
      <c r="X14" s="7"/>
      <c r="Y14" s="7"/>
      <c r="Z14" s="7"/>
      <c r="AA14" s="7"/>
      <c r="AB14" s="7"/>
      <c r="AC14" s="7"/>
      <c r="AD14" s="7"/>
      <c r="AE14" s="7"/>
      <c r="AG14" s="36"/>
      <c r="AH14" s="36"/>
      <c r="AI14" s="35"/>
      <c r="AJ14" s="7"/>
      <c r="AK14" s="7"/>
      <c r="AL14" s="7"/>
      <c r="AM14" s="7"/>
      <c r="AN14" s="7"/>
      <c r="AO14" s="7"/>
      <c r="AP14" s="7"/>
      <c r="AQ14" s="7"/>
      <c r="AS14" s="36"/>
      <c r="AT14" s="36"/>
      <c r="AU14" s="35"/>
      <c r="AV14" s="7"/>
      <c r="AW14" s="7"/>
      <c r="AX14" s="7"/>
      <c r="AY14" s="7"/>
      <c r="AZ14" s="7"/>
      <c r="BA14" s="7"/>
      <c r="BB14" s="7"/>
      <c r="BC14" s="7"/>
      <c r="BF14" s="7"/>
      <c r="BG14" s="36"/>
      <c r="BH14" s="36"/>
      <c r="BI14" s="36"/>
      <c r="BJ14" s="36"/>
      <c r="BK14" s="36"/>
      <c r="BL14" s="36"/>
      <c r="BM14" s="36"/>
      <c r="BN14" s="36"/>
      <c r="BO14" s="36"/>
    </row>
    <row r="15" spans="1:67" x14ac:dyDescent="0.25">
      <c r="A15" s="39"/>
      <c r="B15" s="40"/>
      <c r="D15" s="9" t="s">
        <v>1028</v>
      </c>
      <c r="E15" s="12" cm="1">
        <f t="array" ref="E15">Missing_Count(UV_Data)</f>
        <v>0</v>
      </c>
      <c r="U15" s="36"/>
      <c r="V15" s="36"/>
      <c r="W15" s="35"/>
      <c r="X15" s="7"/>
      <c r="Y15" s="7"/>
      <c r="Z15" s="7"/>
      <c r="AA15" s="7"/>
      <c r="AB15" s="7"/>
      <c r="AC15" s="7"/>
      <c r="AD15" s="7"/>
      <c r="AE15" s="7"/>
      <c r="AG15" s="36"/>
      <c r="AH15" s="36"/>
      <c r="AI15" s="35"/>
      <c r="AJ15" s="7"/>
      <c r="AK15" s="7"/>
      <c r="AL15" s="7"/>
      <c r="AM15" s="7"/>
      <c r="AN15" s="7"/>
      <c r="AO15" s="7"/>
      <c r="AP15" s="7"/>
      <c r="AQ15" s="7"/>
      <c r="AS15" s="36"/>
      <c r="AT15" s="36"/>
      <c r="AU15" s="35"/>
      <c r="AV15" s="7"/>
      <c r="AW15" s="7"/>
      <c r="AX15" s="7"/>
      <c r="AY15" s="7"/>
      <c r="AZ15" s="7"/>
      <c r="BA15" s="7"/>
      <c r="BB15" s="7"/>
      <c r="BC15" s="7"/>
      <c r="BF15" s="7"/>
      <c r="BG15" s="36"/>
      <c r="BH15" s="36"/>
      <c r="BI15" s="36"/>
      <c r="BJ15" s="36"/>
      <c r="BK15" s="36"/>
      <c r="BL15" s="36"/>
      <c r="BM15" s="36"/>
      <c r="BN15" s="36"/>
      <c r="BO15" s="36"/>
    </row>
    <row r="16" spans="1:67" x14ac:dyDescent="0.25">
      <c r="A16" s="39"/>
      <c r="B16" s="40"/>
      <c r="U16" s="36"/>
      <c r="V16" s="36"/>
      <c r="W16" s="35"/>
      <c r="X16" s="7"/>
      <c r="Y16" s="7"/>
      <c r="Z16" s="7"/>
      <c r="AA16" s="7"/>
      <c r="AB16" s="7"/>
      <c r="AC16" s="7"/>
      <c r="AD16" s="7"/>
      <c r="AE16" s="7"/>
      <c r="AG16" s="36"/>
      <c r="AH16" s="36"/>
      <c r="AI16" s="35"/>
      <c r="AJ16" s="7"/>
      <c r="AK16" s="7"/>
      <c r="AL16" s="7"/>
      <c r="AM16" s="7"/>
      <c r="AN16" s="7"/>
      <c r="AO16" s="7"/>
      <c r="AP16" s="7"/>
      <c r="AQ16" s="7"/>
      <c r="AS16" s="36"/>
      <c r="AT16" s="36"/>
      <c r="AU16" s="35"/>
      <c r="AV16" s="7"/>
      <c r="AW16" s="7"/>
      <c r="AX16" s="7"/>
      <c r="AY16" s="7"/>
      <c r="AZ16" s="7"/>
      <c r="BA16" s="7"/>
      <c r="BB16" s="7"/>
      <c r="BC16" s="7"/>
      <c r="BF16" s="7"/>
      <c r="BG16" s="36"/>
      <c r="BH16" s="36"/>
      <c r="BI16" s="36"/>
      <c r="BJ16" s="36"/>
      <c r="BK16" s="36"/>
      <c r="BL16" s="36"/>
      <c r="BM16" s="36"/>
      <c r="BN16" s="36"/>
      <c r="BO16" s="36"/>
    </row>
    <row r="17" spans="1:67" x14ac:dyDescent="0.25">
      <c r="A17" s="39"/>
      <c r="B17" s="40"/>
      <c r="U17" s="36"/>
      <c r="V17" s="36"/>
      <c r="W17" s="35"/>
      <c r="X17" s="7"/>
      <c r="Y17" s="7"/>
      <c r="Z17" s="7"/>
      <c r="AA17" s="7"/>
      <c r="AB17" s="7"/>
      <c r="AC17" s="7"/>
      <c r="AD17" s="7"/>
      <c r="AE17" s="7"/>
      <c r="AG17" s="36"/>
      <c r="AH17" s="36"/>
      <c r="AI17" s="35"/>
      <c r="AJ17" s="7"/>
      <c r="AK17" s="7"/>
      <c r="AL17" s="7"/>
      <c r="AM17" s="7"/>
      <c r="AN17" s="7"/>
      <c r="AO17" s="7"/>
      <c r="AP17" s="7"/>
      <c r="AQ17" s="7"/>
      <c r="AS17" s="36"/>
      <c r="AT17" s="36"/>
      <c r="AU17" s="35"/>
      <c r="AV17" s="7"/>
      <c r="AW17" s="7"/>
      <c r="AX17" s="7"/>
      <c r="AY17" s="7"/>
      <c r="AZ17" s="7"/>
      <c r="BA17" s="7"/>
      <c r="BB17" s="7"/>
      <c r="BC17" s="7"/>
      <c r="BF17" s="7"/>
      <c r="BG17" s="36"/>
      <c r="BH17" s="36"/>
      <c r="BI17" s="36"/>
      <c r="BJ17" s="36"/>
      <c r="BK17" s="36"/>
      <c r="BL17" s="36"/>
      <c r="BM17" s="36"/>
      <c r="BN17" s="36"/>
      <c r="BO17" s="36"/>
    </row>
    <row r="18" spans="1:67" x14ac:dyDescent="0.25">
      <c r="A18" s="39"/>
      <c r="B18" s="40"/>
      <c r="U18" s="36"/>
      <c r="V18" s="36"/>
      <c r="W18" s="35"/>
      <c r="X18" s="7"/>
      <c r="Y18" s="7"/>
      <c r="Z18" s="7"/>
      <c r="AA18" s="7"/>
      <c r="AB18" s="7"/>
      <c r="AC18" s="7"/>
      <c r="AD18" s="7"/>
      <c r="AE18" s="7"/>
      <c r="AG18" s="36"/>
      <c r="AH18" s="36"/>
      <c r="AI18" s="35"/>
      <c r="AJ18" s="7"/>
      <c r="AK18" s="7"/>
      <c r="AL18" s="7"/>
      <c r="AM18" s="7"/>
      <c r="AN18" s="7"/>
      <c r="AO18" s="7"/>
      <c r="AP18" s="7"/>
      <c r="AQ18" s="7"/>
      <c r="AS18" s="36"/>
      <c r="AT18" s="36"/>
      <c r="AU18" s="35"/>
      <c r="AV18" s="7"/>
      <c r="AW18" s="7"/>
      <c r="AX18" s="7"/>
      <c r="AY18" s="7"/>
      <c r="AZ18" s="7"/>
      <c r="BA18" s="7"/>
      <c r="BB18" s="7"/>
      <c r="BC18" s="7"/>
      <c r="BF18" s="7"/>
      <c r="BG18" s="36"/>
      <c r="BH18" s="36"/>
      <c r="BI18" s="36"/>
      <c r="BJ18" s="36"/>
      <c r="BK18" s="36"/>
      <c r="BL18" s="36"/>
      <c r="BM18" s="36"/>
      <c r="BN18" s="36"/>
      <c r="BO18" s="36"/>
    </row>
    <row r="19" spans="1:67" x14ac:dyDescent="0.25">
      <c r="A19" s="39"/>
      <c r="B19" s="40"/>
      <c r="U19" s="36"/>
      <c r="V19" s="36"/>
      <c r="W19" s="35"/>
      <c r="X19" s="7"/>
      <c r="Y19" s="7"/>
      <c r="Z19" s="7"/>
      <c r="AA19" s="7"/>
      <c r="AB19" s="7"/>
      <c r="AC19" s="7"/>
      <c r="AD19" s="7"/>
      <c r="AE19" s="7"/>
      <c r="AG19" s="36"/>
      <c r="AH19" s="36"/>
      <c r="AI19" s="35"/>
      <c r="AJ19" s="7"/>
      <c r="AK19" s="7"/>
      <c r="AL19" s="7"/>
      <c r="AM19" s="7"/>
      <c r="AN19" s="7"/>
      <c r="AO19" s="7"/>
      <c r="AP19" s="7"/>
      <c r="AQ19" s="7"/>
      <c r="AS19" s="36"/>
      <c r="AT19" s="36"/>
      <c r="AU19" s="35"/>
      <c r="AV19" s="7"/>
      <c r="AW19" s="7"/>
      <c r="AX19" s="7"/>
      <c r="AY19" s="7"/>
      <c r="AZ19" s="7"/>
      <c r="BA19" s="7"/>
      <c r="BB19" s="7"/>
      <c r="BC19" s="7"/>
      <c r="BF19" s="7"/>
      <c r="BG19" s="36"/>
      <c r="BH19" s="36"/>
      <c r="BI19" s="36"/>
      <c r="BJ19" s="36"/>
      <c r="BK19" s="36"/>
      <c r="BL19" s="36"/>
      <c r="BM19" s="36"/>
      <c r="BN19" s="36"/>
      <c r="BO19" s="36"/>
    </row>
    <row r="20" spans="1:67" x14ac:dyDescent="0.25">
      <c r="A20" s="39"/>
      <c r="B20" s="40"/>
      <c r="U20" s="36"/>
      <c r="V20" s="36"/>
      <c r="W20" s="35"/>
      <c r="X20" s="7"/>
      <c r="Y20" s="7"/>
      <c r="Z20" s="7"/>
      <c r="AA20" s="7"/>
      <c r="AB20" s="7"/>
      <c r="AC20" s="7"/>
      <c r="AD20" s="7"/>
      <c r="AE20" s="7"/>
      <c r="AG20" s="36"/>
      <c r="AH20" s="36"/>
      <c r="AI20" s="35"/>
      <c r="AJ20" s="7"/>
      <c r="AK20" s="7"/>
      <c r="AL20" s="7"/>
      <c r="AM20" s="7"/>
      <c r="AN20" s="7"/>
      <c r="AO20" s="7"/>
      <c r="AP20" s="7"/>
      <c r="AQ20" s="7"/>
      <c r="AS20" s="36"/>
      <c r="AT20" s="36"/>
      <c r="AU20" s="35"/>
      <c r="AV20" s="7"/>
      <c r="AW20" s="7"/>
      <c r="AX20" s="7"/>
      <c r="AY20" s="7"/>
      <c r="AZ20" s="7"/>
      <c r="BA20" s="7"/>
      <c r="BB20" s="7"/>
      <c r="BC20" s="7"/>
      <c r="BF20" s="7"/>
      <c r="BG20" s="36"/>
      <c r="BH20" s="36"/>
      <c r="BI20" s="36"/>
      <c r="BJ20" s="36"/>
      <c r="BK20" s="36"/>
      <c r="BL20" s="36"/>
      <c r="BM20" s="36"/>
      <c r="BN20" s="36"/>
      <c r="BO20" s="36"/>
    </row>
    <row r="21" spans="1:67" x14ac:dyDescent="0.25">
      <c r="A21" s="39"/>
      <c r="B21" s="40"/>
      <c r="U21" s="36"/>
      <c r="V21" s="36"/>
      <c r="W21" s="35"/>
      <c r="X21" s="7"/>
      <c r="Y21" s="7"/>
      <c r="Z21" s="7"/>
      <c r="AA21" s="7"/>
      <c r="AB21" s="7"/>
      <c r="AC21" s="7"/>
      <c r="AD21" s="7"/>
      <c r="AE21" s="7"/>
      <c r="AG21" s="36"/>
      <c r="AH21" s="36"/>
      <c r="AI21" s="35"/>
      <c r="AJ21" s="7"/>
      <c r="AK21" s="7"/>
      <c r="AL21" s="7"/>
      <c r="AM21" s="7"/>
      <c r="AN21" s="7"/>
      <c r="AO21" s="7"/>
      <c r="AP21" s="7"/>
      <c r="AQ21" s="7"/>
      <c r="AS21" s="36"/>
      <c r="AT21" s="36"/>
      <c r="AU21" s="35"/>
      <c r="AV21" s="7"/>
      <c r="AW21" s="7"/>
      <c r="AX21" s="7"/>
      <c r="AY21" s="7"/>
      <c r="AZ21" s="7"/>
      <c r="BA21" s="7"/>
      <c r="BB21" s="7"/>
      <c r="BC21" s="7"/>
      <c r="BF21" s="7"/>
      <c r="BG21" s="36"/>
      <c r="BH21" s="36"/>
      <c r="BI21" s="36"/>
      <c r="BJ21" s="36"/>
      <c r="BK21" s="36"/>
      <c r="BL21" s="36"/>
      <c r="BM21" s="36"/>
      <c r="BN21" s="36"/>
      <c r="BO21" s="36"/>
    </row>
    <row r="22" spans="1:67" x14ac:dyDescent="0.25">
      <c r="A22" s="39"/>
      <c r="B22" s="40"/>
      <c r="U22" s="36"/>
      <c r="V22" s="36"/>
      <c r="W22" s="35"/>
      <c r="X22" s="7"/>
      <c r="Y22" s="7"/>
      <c r="Z22" s="7"/>
      <c r="AA22" s="7"/>
      <c r="AB22" s="7"/>
      <c r="AC22" s="7"/>
      <c r="AD22" s="7"/>
      <c r="AE22" s="7"/>
      <c r="AG22" s="36"/>
      <c r="AH22" s="36"/>
      <c r="AI22" s="35"/>
      <c r="AJ22" s="7"/>
      <c r="AK22" s="7"/>
      <c r="AL22" s="7"/>
      <c r="AM22" s="7"/>
      <c r="AN22" s="7"/>
      <c r="AO22" s="7"/>
      <c r="AP22" s="7"/>
      <c r="AQ22" s="7"/>
      <c r="AS22" s="36"/>
      <c r="AT22" s="36"/>
      <c r="AU22" s="35"/>
      <c r="AV22" s="7"/>
      <c r="AW22" s="7"/>
      <c r="AX22" s="7"/>
      <c r="AY22" s="7"/>
      <c r="AZ22" s="7"/>
      <c r="BA22" s="7"/>
      <c r="BB22" s="7"/>
      <c r="BC22" s="7"/>
      <c r="BF22" s="7"/>
      <c r="BG22" s="36"/>
      <c r="BH22" s="36"/>
      <c r="BI22" s="36"/>
      <c r="BJ22" s="36"/>
      <c r="BK22" s="36"/>
      <c r="BL22" s="36"/>
      <c r="BM22" s="36"/>
      <c r="BN22" s="36"/>
      <c r="BO22" s="36"/>
    </row>
    <row r="23" spans="1:67" x14ac:dyDescent="0.25">
      <c r="A23" s="39"/>
      <c r="B23" s="40"/>
      <c r="U23" s="36"/>
      <c r="V23" s="36"/>
      <c r="W23" s="35"/>
      <c r="X23" s="7"/>
      <c r="Y23" s="7"/>
      <c r="Z23" s="7"/>
      <c r="AA23" s="7"/>
      <c r="AB23" s="7"/>
      <c r="AC23" s="7"/>
      <c r="AD23" s="7"/>
      <c r="AE23" s="7"/>
      <c r="AG23" s="36"/>
      <c r="AH23" s="36"/>
      <c r="AI23" s="35"/>
      <c r="AJ23" s="7"/>
      <c r="AK23" s="7"/>
      <c r="AL23" s="7"/>
      <c r="AM23" s="7"/>
      <c r="AN23" s="7"/>
      <c r="AO23" s="7"/>
      <c r="AP23" s="7"/>
      <c r="AQ23" s="7"/>
      <c r="AS23" s="36"/>
      <c r="AT23" s="36"/>
      <c r="AU23" s="35"/>
      <c r="AV23" s="7"/>
      <c r="AW23" s="7"/>
      <c r="AX23" s="7"/>
      <c r="AY23" s="7"/>
      <c r="AZ23" s="7"/>
      <c r="BA23" s="7"/>
      <c r="BB23" s="7"/>
      <c r="BC23" s="7"/>
      <c r="BF23" s="7"/>
      <c r="BG23" s="36"/>
      <c r="BH23" s="36"/>
      <c r="BI23" s="36"/>
      <c r="BJ23" s="36"/>
      <c r="BK23" s="36"/>
      <c r="BL23" s="36"/>
      <c r="BM23" s="36"/>
      <c r="BN23" s="36"/>
      <c r="BO23" s="36"/>
    </row>
    <row r="24" spans="1:67" x14ac:dyDescent="0.25">
      <c r="A24" s="39"/>
      <c r="B24" s="40"/>
      <c r="U24" s="36"/>
      <c r="V24" s="36"/>
      <c r="W24" s="35"/>
      <c r="X24" s="7"/>
      <c r="Y24" s="7"/>
      <c r="Z24" s="7"/>
      <c r="AA24" s="7"/>
      <c r="AB24" s="7"/>
      <c r="AC24" s="7"/>
      <c r="AD24" s="7"/>
      <c r="AE24" s="7"/>
      <c r="AG24" s="36"/>
      <c r="AH24" s="36"/>
      <c r="AI24" s="35"/>
      <c r="AJ24" s="7"/>
      <c r="AK24" s="7"/>
      <c r="AL24" s="7"/>
      <c r="AM24" s="7"/>
      <c r="AN24" s="7"/>
      <c r="AO24" s="7"/>
      <c r="AP24" s="7"/>
      <c r="AQ24" s="7"/>
      <c r="AS24" s="36"/>
      <c r="AT24" s="36"/>
      <c r="AU24" s="35"/>
      <c r="AV24" s="7"/>
      <c r="AW24" s="7"/>
      <c r="AX24" s="7"/>
      <c r="AY24" s="7"/>
      <c r="AZ24" s="7"/>
      <c r="BA24" s="7"/>
      <c r="BB24" s="7"/>
      <c r="BC24" s="7"/>
      <c r="BF24" s="7"/>
      <c r="BG24" s="36"/>
      <c r="BH24" s="36"/>
      <c r="BI24" s="36"/>
      <c r="BJ24" s="36"/>
      <c r="BK24" s="36"/>
      <c r="BL24" s="36"/>
      <c r="BM24" s="36"/>
      <c r="BN24" s="36"/>
      <c r="BO24" s="36"/>
    </row>
    <row r="25" spans="1:67" x14ac:dyDescent="0.25">
      <c r="A25" s="39"/>
      <c r="B25" s="40"/>
      <c r="U25" s="36"/>
      <c r="V25" s="36"/>
      <c r="W25" s="35"/>
      <c r="X25" s="7"/>
      <c r="Y25" s="7"/>
      <c r="Z25" s="7"/>
      <c r="AA25" s="7"/>
      <c r="AB25" s="7"/>
      <c r="AC25" s="7"/>
      <c r="AD25" s="7"/>
      <c r="AE25" s="7"/>
      <c r="AG25" s="36"/>
      <c r="AH25" s="36"/>
      <c r="AI25" s="35"/>
      <c r="AJ25" s="7"/>
      <c r="AK25" s="7"/>
      <c r="AL25" s="7"/>
      <c r="AM25" s="7"/>
      <c r="AN25" s="7"/>
      <c r="AO25" s="7"/>
      <c r="AP25" s="7"/>
      <c r="AQ25" s="7"/>
      <c r="AS25" s="36"/>
      <c r="AT25" s="36"/>
      <c r="AU25" s="35"/>
      <c r="AV25" s="7"/>
      <c r="AW25" s="7"/>
      <c r="AX25" s="7"/>
      <c r="AY25" s="7"/>
      <c r="AZ25" s="7"/>
      <c r="BA25" s="7"/>
      <c r="BB25" s="7"/>
      <c r="BC25" s="7"/>
      <c r="BF25" s="7"/>
      <c r="BG25" s="36"/>
      <c r="BH25" s="36"/>
      <c r="BI25" s="36"/>
      <c r="BJ25" s="36"/>
      <c r="BK25" s="36"/>
      <c r="BL25" s="36"/>
      <c r="BM25" s="36"/>
      <c r="BN25" s="36"/>
      <c r="BO25" s="36"/>
    </row>
    <row r="26" spans="1:67" x14ac:dyDescent="0.25">
      <c r="A26" s="39"/>
      <c r="B26" s="40"/>
      <c r="U26" s="36"/>
      <c r="V26" s="36"/>
      <c r="W26" s="35"/>
      <c r="X26" s="7"/>
      <c r="Y26" s="7"/>
      <c r="Z26" s="7"/>
      <c r="AA26" s="7"/>
      <c r="AB26" s="7"/>
      <c r="AC26" s="7"/>
      <c r="AD26" s="7"/>
      <c r="AE26" s="7"/>
      <c r="AG26" s="36"/>
      <c r="AH26" s="36"/>
      <c r="AI26" s="35"/>
      <c r="AJ26" s="7"/>
      <c r="AK26" s="7"/>
      <c r="AL26" s="7"/>
      <c r="AM26" s="7"/>
      <c r="AN26" s="7"/>
      <c r="AO26" s="7"/>
      <c r="AP26" s="7"/>
      <c r="AQ26" s="7"/>
      <c r="AS26" s="36"/>
      <c r="AT26" s="36"/>
      <c r="AU26" s="35"/>
      <c r="AV26" s="7"/>
      <c r="AW26" s="7"/>
      <c r="AX26" s="7"/>
      <c r="AY26" s="7"/>
      <c r="AZ26" s="7"/>
      <c r="BA26" s="7"/>
      <c r="BB26" s="7"/>
      <c r="BC26" s="7"/>
      <c r="BF26" s="7"/>
      <c r="BG26" s="36"/>
      <c r="BH26" s="36"/>
      <c r="BI26" s="36"/>
      <c r="BJ26" s="36"/>
      <c r="BK26" s="36"/>
      <c r="BL26" s="36"/>
      <c r="BM26" s="36"/>
      <c r="BN26" s="36"/>
      <c r="BO26" s="36"/>
    </row>
    <row r="27" spans="1:67" x14ac:dyDescent="0.25">
      <c r="A27" s="39"/>
      <c r="B27" s="40"/>
      <c r="U27" s="36"/>
      <c r="V27" s="36"/>
      <c r="W27" s="35"/>
      <c r="X27" s="7"/>
      <c r="Y27" s="7"/>
      <c r="Z27" s="7"/>
      <c r="AA27" s="7"/>
      <c r="AB27" s="7"/>
      <c r="AC27" s="7"/>
      <c r="AD27" s="7"/>
      <c r="AE27" s="7"/>
      <c r="AG27" s="36"/>
      <c r="AH27" s="36"/>
      <c r="AI27" s="35"/>
      <c r="AJ27" s="7"/>
      <c r="AK27" s="7"/>
      <c r="AL27" s="7"/>
      <c r="AM27" s="7"/>
      <c r="AN27" s="7"/>
      <c r="AO27" s="7"/>
      <c r="AP27" s="7"/>
      <c r="AQ27" s="7"/>
      <c r="AS27" s="36"/>
      <c r="AT27" s="36"/>
      <c r="AU27" s="35"/>
      <c r="AV27" s="7"/>
      <c r="AW27" s="7"/>
      <c r="AX27" s="7"/>
      <c r="AY27" s="7"/>
      <c r="AZ27" s="7"/>
      <c r="BA27" s="7"/>
      <c r="BB27" s="7"/>
      <c r="BC27" s="7"/>
      <c r="BF27" s="7"/>
      <c r="BG27" s="36"/>
      <c r="BH27" s="36"/>
      <c r="BI27" s="36"/>
      <c r="BJ27" s="36"/>
      <c r="BK27" s="36"/>
      <c r="BL27" s="36"/>
      <c r="BM27" s="36"/>
      <c r="BN27" s="36"/>
      <c r="BO27" s="36"/>
    </row>
    <row r="28" spans="1:67" x14ac:dyDescent="0.25">
      <c r="A28" s="39"/>
      <c r="B28" s="40"/>
      <c r="U28" s="36"/>
      <c r="V28" s="36"/>
      <c r="W28" s="35"/>
      <c r="X28" s="7"/>
      <c r="Y28" s="7"/>
      <c r="Z28" s="7"/>
      <c r="AA28" s="7"/>
      <c r="AB28" s="7"/>
      <c r="AC28" s="7"/>
      <c r="AD28" s="7"/>
      <c r="AE28" s="7"/>
      <c r="AG28" s="36"/>
      <c r="AH28" s="36"/>
      <c r="AI28" s="35"/>
      <c r="AJ28" s="7"/>
      <c r="AK28" s="7"/>
      <c r="AL28" s="7"/>
      <c r="AM28" s="7"/>
      <c r="AN28" s="7"/>
      <c r="AO28" s="7"/>
      <c r="AP28" s="7"/>
      <c r="AQ28" s="7"/>
      <c r="AS28" s="36"/>
      <c r="AT28" s="36"/>
      <c r="AU28" s="35"/>
      <c r="AV28" s="7"/>
      <c r="AW28" s="7"/>
      <c r="AX28" s="7"/>
      <c r="AY28" s="7"/>
      <c r="AZ28" s="7"/>
      <c r="BA28" s="7"/>
      <c r="BB28" s="7"/>
      <c r="BC28" s="7"/>
      <c r="BF28" s="7"/>
      <c r="BG28" s="36"/>
      <c r="BH28" s="36"/>
      <c r="BI28" s="36"/>
      <c r="BJ28" s="36"/>
      <c r="BK28" s="36"/>
      <c r="BL28" s="36"/>
      <c r="BM28" s="36"/>
      <c r="BN28" s="36"/>
      <c r="BO28" s="36"/>
    </row>
    <row r="29" spans="1:67" x14ac:dyDescent="0.25">
      <c r="A29" s="39"/>
      <c r="B29" s="40"/>
      <c r="U29" s="36"/>
      <c r="V29" s="36"/>
      <c r="W29" s="35"/>
      <c r="X29" s="7"/>
      <c r="Y29" s="7"/>
      <c r="Z29" s="7"/>
      <c r="AA29" s="7"/>
      <c r="AB29" s="7"/>
      <c r="AC29" s="7"/>
      <c r="AD29" s="7"/>
      <c r="AE29" s="7"/>
      <c r="AG29" s="36"/>
      <c r="AH29" s="36"/>
      <c r="AI29" s="35"/>
      <c r="AJ29" s="7"/>
      <c r="AK29" s="7"/>
      <c r="AL29" s="7"/>
      <c r="AM29" s="7"/>
      <c r="AN29" s="7"/>
      <c r="AO29" s="7"/>
      <c r="AP29" s="7"/>
      <c r="AQ29" s="7"/>
      <c r="AS29" s="36"/>
      <c r="AT29" s="36"/>
      <c r="AU29" s="35"/>
      <c r="AV29" s="7"/>
      <c r="AW29" s="7"/>
      <c r="AX29" s="7"/>
      <c r="AY29" s="7"/>
      <c r="AZ29" s="7"/>
      <c r="BA29" s="7"/>
      <c r="BB29" s="7"/>
      <c r="BC29" s="7"/>
      <c r="BF29" s="7"/>
      <c r="BG29" s="36"/>
      <c r="BH29" s="36"/>
      <c r="BI29" s="36"/>
      <c r="BJ29" s="36"/>
      <c r="BK29" s="36"/>
      <c r="BL29" s="36"/>
      <c r="BM29" s="36"/>
      <c r="BN29" s="36"/>
      <c r="BO29" s="36"/>
    </row>
    <row r="30" spans="1:67" x14ac:dyDescent="0.25">
      <c r="A30" s="39"/>
      <c r="B30" s="40"/>
      <c r="U30" s="36"/>
      <c r="V30" s="36"/>
      <c r="W30" s="35"/>
      <c r="X30" s="7"/>
      <c r="Y30" s="7"/>
      <c r="Z30" s="7"/>
      <c r="AA30" s="7"/>
      <c r="AB30" s="7"/>
      <c r="AC30" s="7"/>
      <c r="AD30" s="7"/>
      <c r="AE30" s="7"/>
      <c r="AG30" s="36"/>
      <c r="AH30" s="36"/>
      <c r="AI30" s="35"/>
      <c r="AJ30" s="7"/>
      <c r="AK30" s="7"/>
      <c r="AL30" s="7"/>
      <c r="AM30" s="7"/>
      <c r="AN30" s="7"/>
      <c r="AO30" s="7"/>
      <c r="AP30" s="7"/>
      <c r="AQ30" s="7"/>
      <c r="AS30" s="36"/>
      <c r="AT30" s="36"/>
      <c r="AU30" s="35"/>
      <c r="AV30" s="7"/>
      <c r="AW30" s="7"/>
      <c r="AX30" s="7"/>
      <c r="AY30" s="7"/>
      <c r="AZ30" s="7"/>
      <c r="BA30" s="7"/>
      <c r="BB30" s="7"/>
      <c r="BC30" s="7"/>
      <c r="BF30" s="7"/>
      <c r="BG30" s="36"/>
      <c r="BH30" s="36"/>
      <c r="BI30" s="36"/>
      <c r="BJ30" s="36"/>
      <c r="BK30" s="36"/>
      <c r="BL30" s="36"/>
      <c r="BM30" s="36"/>
      <c r="BN30" s="36"/>
      <c r="BO30" s="36"/>
    </row>
    <row r="31" spans="1:67" x14ac:dyDescent="0.25">
      <c r="A31" s="39"/>
      <c r="B31" s="40"/>
      <c r="U31" s="36"/>
      <c r="V31" s="36"/>
      <c r="W31" s="35"/>
      <c r="X31" s="7"/>
      <c r="Y31" s="7"/>
      <c r="Z31" s="7"/>
      <c r="AA31" s="7"/>
      <c r="AB31" s="7"/>
      <c r="AC31" s="7"/>
      <c r="AD31" s="7"/>
      <c r="AE31" s="7"/>
      <c r="AG31" s="36"/>
      <c r="AH31" s="36"/>
      <c r="AI31" s="35"/>
      <c r="AJ31" s="7"/>
      <c r="AK31" s="7"/>
      <c r="AL31" s="7"/>
      <c r="AM31" s="7"/>
      <c r="AN31" s="7"/>
      <c r="AO31" s="7"/>
      <c r="AP31" s="7"/>
      <c r="AQ31" s="7"/>
      <c r="AS31" s="36"/>
      <c r="AT31" s="36"/>
      <c r="AU31" s="35"/>
      <c r="AV31" s="7"/>
      <c r="AW31" s="7"/>
      <c r="AX31" s="7"/>
      <c r="AY31" s="7"/>
      <c r="AZ31" s="7"/>
      <c r="BA31" s="7"/>
      <c r="BB31" s="7"/>
      <c r="BC31" s="7"/>
      <c r="BF31" s="7"/>
      <c r="BG31" s="36"/>
      <c r="BH31" s="36"/>
      <c r="BI31" s="36"/>
      <c r="BJ31" s="36"/>
      <c r="BK31" s="36"/>
      <c r="BL31" s="36"/>
      <c r="BM31" s="36"/>
      <c r="BN31" s="36"/>
      <c r="BO31" s="36"/>
    </row>
    <row r="32" spans="1:67" x14ac:dyDescent="0.25">
      <c r="A32" s="39"/>
      <c r="B32" s="40"/>
      <c r="U32" s="36"/>
      <c r="V32" s="36"/>
      <c r="W32" s="35"/>
      <c r="X32" s="7"/>
      <c r="Y32" s="7"/>
      <c r="Z32" s="7"/>
      <c r="AA32" s="7"/>
      <c r="AB32" s="7"/>
      <c r="AC32" s="7"/>
      <c r="AD32" s="7"/>
      <c r="AE32" s="7"/>
      <c r="AG32" s="36"/>
      <c r="AH32" s="36"/>
      <c r="AI32" s="35"/>
      <c r="AJ32" s="7"/>
      <c r="AK32" s="7"/>
      <c r="AL32" s="7"/>
      <c r="AM32" s="7"/>
      <c r="AN32" s="7"/>
      <c r="AO32" s="7"/>
      <c r="AP32" s="7"/>
      <c r="AQ32" s="7"/>
      <c r="AS32" s="36"/>
      <c r="AT32" s="36"/>
      <c r="AU32" s="35"/>
      <c r="AV32" s="7"/>
      <c r="AW32" s="7"/>
      <c r="AX32" s="7"/>
      <c r="AY32" s="7"/>
      <c r="AZ32" s="7"/>
      <c r="BA32" s="7"/>
      <c r="BB32" s="7"/>
      <c r="BC32" s="7"/>
      <c r="BF32" s="7"/>
      <c r="BG32" s="36"/>
      <c r="BH32" s="36"/>
      <c r="BI32" s="36"/>
      <c r="BJ32" s="36"/>
      <c r="BK32" s="36"/>
      <c r="BL32" s="36"/>
      <c r="BM32" s="36"/>
      <c r="BN32" s="36"/>
      <c r="BO32" s="36"/>
    </row>
    <row r="33" spans="1:67" x14ac:dyDescent="0.25">
      <c r="A33" s="39"/>
      <c r="B33" s="40"/>
      <c r="U33" s="36"/>
      <c r="V33" s="36"/>
      <c r="W33" s="35"/>
      <c r="X33" s="7"/>
      <c r="Y33" s="7"/>
      <c r="Z33" s="7"/>
      <c r="AA33" s="7"/>
      <c r="AB33" s="7"/>
      <c r="AC33" s="7"/>
      <c r="AD33" s="7"/>
      <c r="AE33" s="7"/>
      <c r="AG33" s="36"/>
      <c r="AH33" s="36"/>
      <c r="AI33" s="35"/>
      <c r="AJ33" s="7"/>
      <c r="AK33" s="7"/>
      <c r="AL33" s="7"/>
      <c r="AM33" s="7"/>
      <c r="AN33" s="7"/>
      <c r="AO33" s="7"/>
      <c r="AP33" s="7"/>
      <c r="AQ33" s="7"/>
      <c r="AS33" s="36"/>
      <c r="AT33" s="36"/>
      <c r="AU33" s="35"/>
      <c r="AV33" s="7"/>
      <c r="AW33" s="7"/>
      <c r="AX33" s="7"/>
      <c r="AY33" s="7"/>
      <c r="AZ33" s="7"/>
      <c r="BA33" s="7"/>
      <c r="BB33" s="7"/>
      <c r="BC33" s="7"/>
      <c r="BF33" s="7"/>
      <c r="BG33" s="36"/>
      <c r="BH33" s="36"/>
      <c r="BI33" s="36"/>
      <c r="BJ33" s="36"/>
      <c r="BK33" s="36"/>
      <c r="BL33" s="36"/>
      <c r="BM33" s="36"/>
      <c r="BN33" s="36"/>
      <c r="BO33" s="36"/>
    </row>
    <row r="34" spans="1:67" x14ac:dyDescent="0.25">
      <c r="A34" s="39"/>
      <c r="B34" s="40"/>
      <c r="G34" t="str">
        <f>AI2&amp;" Method Histogram"</f>
        <v>Scott Method Histogram</v>
      </c>
      <c r="U34" s="36"/>
      <c r="V34" s="36"/>
      <c r="W34" s="35"/>
      <c r="X34" s="7"/>
      <c r="Y34" s="7"/>
      <c r="Z34" s="7"/>
      <c r="AA34" s="7"/>
      <c r="AB34" s="7"/>
      <c r="AC34" s="7"/>
      <c r="AD34" s="7"/>
      <c r="AE34" s="7"/>
      <c r="AG34" s="36"/>
      <c r="AH34" s="36"/>
      <c r="AI34" s="35"/>
      <c r="AJ34" s="7"/>
      <c r="AK34" s="7"/>
      <c r="AL34" s="7"/>
      <c r="AM34" s="7"/>
      <c r="AN34" s="7"/>
      <c r="AO34" s="7"/>
      <c r="AP34" s="7"/>
      <c r="AQ34" s="7"/>
      <c r="AS34" s="36"/>
      <c r="AT34" s="36"/>
      <c r="AU34" s="35"/>
      <c r="AV34" s="7"/>
      <c r="AW34" s="7"/>
      <c r="AX34" s="7"/>
      <c r="AY34" s="7"/>
      <c r="AZ34" s="7"/>
      <c r="BA34" s="7"/>
      <c r="BB34" s="7"/>
      <c r="BC34" s="7"/>
      <c r="BF34" s="7"/>
      <c r="BG34" s="36"/>
      <c r="BH34" s="36"/>
      <c r="BI34" s="36"/>
      <c r="BJ34" s="36"/>
      <c r="BK34" s="36"/>
      <c r="BL34" s="36"/>
      <c r="BM34" s="36"/>
      <c r="BN34" s="36"/>
      <c r="BO34" s="36"/>
    </row>
    <row r="35" spans="1:67" x14ac:dyDescent="0.25">
      <c r="A35" s="39"/>
      <c r="B35" s="40"/>
      <c r="U35" s="36"/>
      <c r="V35" s="36"/>
      <c r="W35" s="35"/>
      <c r="X35" s="7"/>
      <c r="Y35" s="7"/>
      <c r="Z35" s="7"/>
      <c r="AA35" s="7"/>
      <c r="AB35" s="7"/>
      <c r="AC35" s="7"/>
      <c r="AD35" s="7"/>
      <c r="AE35" s="7"/>
      <c r="AG35" s="36"/>
      <c r="AH35" s="36"/>
      <c r="AI35" s="35"/>
      <c r="AJ35" s="7"/>
      <c r="AK35" s="7"/>
      <c r="AL35" s="7"/>
      <c r="AM35" s="7"/>
      <c r="AN35" s="7"/>
      <c r="AO35" s="7"/>
      <c r="AP35" s="7"/>
      <c r="AQ35" s="7"/>
      <c r="AS35" s="36"/>
      <c r="AT35" s="36"/>
      <c r="AU35" s="35"/>
      <c r="AV35" s="7"/>
      <c r="AW35" s="7"/>
      <c r="AX35" s="7"/>
      <c r="AY35" s="7"/>
      <c r="AZ35" s="7"/>
      <c r="BA35" s="7"/>
      <c r="BB35" s="7"/>
      <c r="BC35" s="7"/>
      <c r="BF35" s="7"/>
      <c r="BG35" s="36"/>
      <c r="BH35" s="36"/>
      <c r="BI35" s="36"/>
      <c r="BJ35" s="36"/>
      <c r="BK35" s="36"/>
      <c r="BL35" s="36"/>
      <c r="BM35" s="36"/>
      <c r="BN35" s="36"/>
      <c r="BO35" s="36"/>
    </row>
    <row r="36" spans="1:67" x14ac:dyDescent="0.25">
      <c r="A36" s="39"/>
      <c r="B36" s="40"/>
      <c r="U36" s="36"/>
      <c r="V36" s="36"/>
      <c r="W36" s="35"/>
      <c r="X36" s="7"/>
      <c r="Y36" s="7"/>
      <c r="Z36" s="7"/>
      <c r="AA36" s="7"/>
      <c r="AB36" s="7"/>
      <c r="AC36" s="7"/>
      <c r="AD36" s="7"/>
      <c r="AE36" s="7"/>
      <c r="AG36" s="36"/>
      <c r="AH36" s="36"/>
      <c r="AI36" s="35"/>
      <c r="AJ36" s="7"/>
      <c r="AK36" s="7"/>
      <c r="AL36" s="7"/>
      <c r="AM36" s="7"/>
      <c r="AN36" s="7"/>
      <c r="AO36" s="7"/>
      <c r="AP36" s="7"/>
      <c r="AQ36" s="7"/>
      <c r="AS36" s="36"/>
      <c r="AT36" s="36"/>
      <c r="AU36" s="35"/>
      <c r="AV36" s="7"/>
      <c r="AW36" s="7"/>
      <c r="AX36" s="7"/>
      <c r="AY36" s="7"/>
      <c r="AZ36" s="7"/>
      <c r="BA36" s="7"/>
      <c r="BB36" s="7"/>
      <c r="BC36" s="7"/>
      <c r="BF36" s="7"/>
      <c r="BG36" s="36"/>
      <c r="BH36" s="36"/>
      <c r="BI36" s="36"/>
      <c r="BJ36" s="36"/>
      <c r="BK36" s="36"/>
      <c r="BL36" s="36"/>
      <c r="BM36" s="36"/>
      <c r="BN36" s="36"/>
      <c r="BO36" s="36"/>
    </row>
    <row r="37" spans="1:67" x14ac:dyDescent="0.25">
      <c r="A37" s="39"/>
      <c r="B37" s="40"/>
      <c r="U37" s="36"/>
      <c r="V37" s="36"/>
      <c r="W37" s="35"/>
      <c r="X37" s="7"/>
      <c r="Y37" s="7"/>
      <c r="Z37" s="7"/>
      <c r="AA37" s="7"/>
      <c r="AB37" s="7"/>
      <c r="AC37" s="7"/>
      <c r="AD37" s="7"/>
      <c r="AE37" s="7"/>
      <c r="AG37" s="36"/>
      <c r="AH37" s="36"/>
      <c r="AI37" s="35"/>
      <c r="AJ37" s="7"/>
      <c r="AK37" s="7"/>
      <c r="AL37" s="7"/>
      <c r="AM37" s="7"/>
      <c r="AN37" s="7"/>
      <c r="AO37" s="7"/>
      <c r="AP37" s="7"/>
      <c r="AQ37" s="7"/>
      <c r="AS37" s="36"/>
      <c r="AT37" s="36"/>
      <c r="AU37" s="35"/>
      <c r="AV37" s="7"/>
      <c r="AW37" s="7"/>
      <c r="AX37" s="7"/>
      <c r="AY37" s="7"/>
      <c r="AZ37" s="7"/>
      <c r="BA37" s="7"/>
      <c r="BB37" s="7"/>
      <c r="BC37" s="7"/>
      <c r="BF37" s="7"/>
      <c r="BG37" s="36"/>
      <c r="BH37" s="36"/>
      <c r="BI37" s="36"/>
      <c r="BJ37" s="36"/>
      <c r="BK37" s="36"/>
      <c r="BL37" s="36"/>
      <c r="BM37" s="36"/>
      <c r="BN37" s="36"/>
      <c r="BO37" s="36"/>
    </row>
    <row r="38" spans="1:67" x14ac:dyDescent="0.25">
      <c r="A38" s="39"/>
      <c r="B38" s="40"/>
      <c r="U38" s="36"/>
      <c r="V38" s="36"/>
      <c r="W38" s="35"/>
      <c r="X38" s="7"/>
      <c r="Y38" s="7"/>
      <c r="Z38" s="7"/>
      <c r="AA38" s="7"/>
      <c r="AB38" s="7"/>
      <c r="AC38" s="7"/>
      <c r="AD38" s="7"/>
      <c r="AE38" s="7"/>
      <c r="AG38" s="36"/>
      <c r="AH38" s="36"/>
      <c r="AI38" s="35"/>
      <c r="AJ38" s="7"/>
      <c r="AK38" s="7"/>
      <c r="AL38" s="7"/>
      <c r="AM38" s="7"/>
      <c r="AN38" s="7"/>
      <c r="AO38" s="7"/>
      <c r="AP38" s="7"/>
      <c r="AQ38" s="7"/>
      <c r="AS38" s="36"/>
      <c r="AT38" s="36"/>
      <c r="AU38" s="35"/>
      <c r="AV38" s="7"/>
      <c r="AW38" s="7"/>
      <c r="AX38" s="7"/>
      <c r="AY38" s="7"/>
      <c r="AZ38" s="7"/>
      <c r="BA38" s="7"/>
      <c r="BB38" s="7"/>
      <c r="BC38" s="7"/>
      <c r="BF38" s="7"/>
      <c r="BG38" s="36"/>
      <c r="BH38" s="36"/>
      <c r="BI38" s="36"/>
      <c r="BJ38" s="36"/>
      <c r="BK38" s="36"/>
      <c r="BL38" s="36"/>
      <c r="BM38" s="36"/>
      <c r="BN38" s="36"/>
      <c r="BO38" s="36"/>
    </row>
    <row r="39" spans="1:67" x14ac:dyDescent="0.25">
      <c r="A39" s="39"/>
      <c r="B39" s="40"/>
      <c r="U39" s="36"/>
      <c r="V39" s="36"/>
      <c r="W39" s="35"/>
      <c r="X39" s="7"/>
      <c r="Y39" s="7"/>
      <c r="Z39" s="7"/>
      <c r="AA39" s="7"/>
      <c r="AB39" s="7"/>
      <c r="AC39" s="7"/>
      <c r="AD39" s="7"/>
      <c r="AE39" s="7"/>
      <c r="AG39" s="36"/>
      <c r="AH39" s="36"/>
      <c r="AI39" s="35"/>
      <c r="AJ39" s="7"/>
      <c r="AK39" s="7"/>
      <c r="AL39" s="7"/>
      <c r="AM39" s="7"/>
      <c r="AN39" s="7"/>
      <c r="AO39" s="7"/>
      <c r="AP39" s="7"/>
      <c r="AQ39" s="7"/>
      <c r="AS39" s="36"/>
      <c r="AT39" s="36"/>
      <c r="AU39" s="35"/>
      <c r="AV39" s="7"/>
      <c r="AW39" s="7"/>
      <c r="AX39" s="7"/>
      <c r="AY39" s="7"/>
      <c r="AZ39" s="7"/>
      <c r="BA39" s="7"/>
      <c r="BB39" s="7"/>
      <c r="BC39" s="7"/>
      <c r="BF39" s="7"/>
      <c r="BG39" s="36"/>
      <c r="BH39" s="36"/>
      <c r="BI39" s="36"/>
      <c r="BJ39" s="36"/>
      <c r="BK39" s="36"/>
      <c r="BL39" s="36"/>
      <c r="BM39" s="36"/>
      <c r="BN39" s="36"/>
      <c r="BO39" s="36"/>
    </row>
    <row r="40" spans="1:67" x14ac:dyDescent="0.25">
      <c r="A40" s="39"/>
      <c r="B40" s="40"/>
      <c r="U40" s="36"/>
      <c r="V40" s="36"/>
      <c r="W40" s="35"/>
      <c r="X40" s="7"/>
      <c r="Y40" s="7"/>
      <c r="Z40" s="7"/>
      <c r="AA40" s="7"/>
      <c r="AB40" s="7"/>
      <c r="AC40" s="7"/>
      <c r="AD40" s="7"/>
      <c r="AE40" s="7"/>
      <c r="AG40" s="36"/>
      <c r="AH40" s="36"/>
      <c r="AI40" s="35"/>
      <c r="AJ40" s="7"/>
      <c r="AK40" s="7"/>
      <c r="AL40" s="7"/>
      <c r="AM40" s="7"/>
      <c r="AN40" s="7"/>
      <c r="AO40" s="7"/>
      <c r="AP40" s="7"/>
      <c r="AQ40" s="7"/>
      <c r="AS40" s="36"/>
      <c r="AT40" s="36"/>
      <c r="AU40" s="35"/>
      <c r="AV40" s="7"/>
      <c r="AW40" s="7"/>
      <c r="AX40" s="7"/>
      <c r="AY40" s="7"/>
      <c r="AZ40" s="7"/>
      <c r="BA40" s="7"/>
      <c r="BB40" s="7"/>
      <c r="BC40" s="7"/>
      <c r="BF40" s="7"/>
      <c r="BG40" s="36"/>
      <c r="BH40" s="36"/>
      <c r="BI40" s="36"/>
      <c r="BJ40" s="36"/>
      <c r="BK40" s="36"/>
      <c r="BL40" s="36"/>
      <c r="BM40" s="36"/>
      <c r="BN40" s="36"/>
      <c r="BO40" s="36"/>
    </row>
    <row r="41" spans="1:67" x14ac:dyDescent="0.25">
      <c r="A41" s="39"/>
      <c r="B41" s="40"/>
      <c r="U41" s="36"/>
      <c r="V41" s="36"/>
      <c r="W41" s="35"/>
      <c r="X41" s="7"/>
      <c r="Y41" s="7"/>
      <c r="Z41" s="7"/>
      <c r="AA41" s="7"/>
      <c r="AB41" s="7"/>
      <c r="AC41" s="7"/>
      <c r="AD41" s="7"/>
      <c r="AE41" s="7"/>
      <c r="AG41" s="36"/>
      <c r="AH41" s="36"/>
      <c r="AI41" s="35"/>
      <c r="AJ41" s="7"/>
      <c r="AK41" s="7"/>
      <c r="AL41" s="7"/>
      <c r="AM41" s="7"/>
      <c r="AN41" s="7"/>
      <c r="AO41" s="7"/>
      <c r="AP41" s="7"/>
      <c r="AQ41" s="7"/>
      <c r="AS41" s="36"/>
      <c r="AT41" s="36"/>
      <c r="AU41" s="35"/>
      <c r="AV41" s="7"/>
      <c r="AW41" s="7"/>
      <c r="AX41" s="7"/>
      <c r="AY41" s="7"/>
      <c r="AZ41" s="7"/>
      <c r="BA41" s="7"/>
      <c r="BB41" s="7"/>
      <c r="BC41" s="7"/>
      <c r="BF41" s="7"/>
      <c r="BG41" s="36"/>
      <c r="BH41" s="36"/>
      <c r="BI41" s="36"/>
      <c r="BJ41" s="36"/>
      <c r="BK41" s="36"/>
      <c r="BL41" s="36"/>
      <c r="BM41" s="36"/>
      <c r="BN41" s="36"/>
      <c r="BO41" s="36"/>
    </row>
    <row r="42" spans="1:67" x14ac:dyDescent="0.25">
      <c r="A42" s="39"/>
      <c r="B42" s="40"/>
      <c r="U42" s="36"/>
      <c r="V42" s="36"/>
      <c r="W42" s="35"/>
      <c r="X42" s="7"/>
      <c r="Y42" s="7"/>
      <c r="Z42" s="7"/>
      <c r="AA42" s="7"/>
      <c r="AB42" s="7"/>
      <c r="AC42" s="7"/>
      <c r="AD42" s="7"/>
      <c r="AE42" s="7"/>
      <c r="AG42" s="36"/>
      <c r="AH42" s="36"/>
      <c r="AI42" s="35"/>
      <c r="AJ42" s="7"/>
      <c r="AK42" s="7"/>
      <c r="AL42" s="7"/>
      <c r="AM42" s="7"/>
      <c r="AN42" s="7"/>
      <c r="AO42" s="7"/>
      <c r="AP42" s="7"/>
      <c r="AQ42" s="7"/>
      <c r="AS42" s="36"/>
      <c r="AT42" s="36"/>
      <c r="AU42" s="35"/>
      <c r="AV42" s="7"/>
      <c r="AW42" s="7"/>
      <c r="AX42" s="7"/>
      <c r="AY42" s="7"/>
      <c r="AZ42" s="7"/>
      <c r="BA42" s="7"/>
      <c r="BB42" s="7"/>
      <c r="BC42" s="7"/>
      <c r="BF42" s="7"/>
      <c r="BG42" s="36"/>
      <c r="BH42" s="36"/>
      <c r="BI42" s="36"/>
      <c r="BJ42" s="36"/>
      <c r="BK42" s="36"/>
      <c r="BL42" s="36"/>
      <c r="BM42" s="36"/>
      <c r="BN42" s="36"/>
      <c r="BO42" s="36"/>
    </row>
    <row r="43" spans="1:67" x14ac:dyDescent="0.25">
      <c r="A43" s="39"/>
      <c r="B43" s="40"/>
      <c r="U43" s="36"/>
      <c r="V43" s="36"/>
      <c r="W43" s="35"/>
      <c r="X43" s="7"/>
      <c r="Y43" s="7"/>
      <c r="Z43" s="7"/>
      <c r="AA43" s="7"/>
      <c r="AB43" s="7"/>
      <c r="AC43" s="7"/>
      <c r="AD43" s="7"/>
      <c r="AE43" s="7"/>
      <c r="AG43" s="36"/>
      <c r="AH43" s="36"/>
      <c r="AI43" s="35"/>
      <c r="AJ43" s="7"/>
      <c r="AK43" s="7"/>
      <c r="AL43" s="7"/>
      <c r="AM43" s="7"/>
      <c r="AN43" s="7"/>
      <c r="AO43" s="7"/>
      <c r="AP43" s="7"/>
      <c r="AQ43" s="7"/>
      <c r="AS43" s="36"/>
      <c r="AT43" s="36"/>
      <c r="AU43" s="35"/>
      <c r="AV43" s="7"/>
      <c r="AW43" s="7"/>
      <c r="AX43" s="7"/>
      <c r="AY43" s="7"/>
      <c r="AZ43" s="7"/>
      <c r="BA43" s="7"/>
      <c r="BB43" s="7"/>
      <c r="BC43" s="7"/>
      <c r="BF43" s="7"/>
      <c r="BG43" s="36"/>
      <c r="BH43" s="36"/>
      <c r="BI43" s="36"/>
      <c r="BJ43" s="36"/>
      <c r="BK43" s="36"/>
      <c r="BL43" s="36"/>
      <c r="BM43" s="36"/>
      <c r="BN43" s="36"/>
      <c r="BO43" s="36"/>
    </row>
    <row r="44" spans="1:67" x14ac:dyDescent="0.25">
      <c r="A44" s="39"/>
      <c r="B44" s="40"/>
      <c r="U44" s="36"/>
      <c r="V44" s="36"/>
      <c r="W44" s="35"/>
      <c r="X44" s="7"/>
      <c r="Y44" s="7"/>
      <c r="Z44" s="7"/>
      <c r="AA44" s="7"/>
      <c r="AB44" s="7"/>
      <c r="AC44" s="7"/>
      <c r="AD44" s="7"/>
      <c r="AE44" s="7"/>
      <c r="AG44" s="36"/>
      <c r="AH44" s="36"/>
      <c r="AI44" s="35"/>
      <c r="AJ44" s="7"/>
      <c r="AK44" s="7"/>
      <c r="AL44" s="7"/>
      <c r="AM44" s="7"/>
      <c r="AN44" s="7"/>
      <c r="AO44" s="7"/>
      <c r="AP44" s="7"/>
      <c r="AQ44" s="7"/>
      <c r="AS44" s="36"/>
      <c r="AT44" s="36"/>
      <c r="AU44" s="35"/>
      <c r="AV44" s="7"/>
      <c r="AW44" s="7"/>
      <c r="AX44" s="7"/>
      <c r="AY44" s="7"/>
      <c r="AZ44" s="7"/>
      <c r="BA44" s="7"/>
      <c r="BB44" s="7"/>
      <c r="BC44" s="7"/>
      <c r="BF44" s="7"/>
      <c r="BG44" s="36"/>
      <c r="BH44" s="36"/>
      <c r="BI44" s="36"/>
      <c r="BJ44" s="36"/>
      <c r="BK44" s="36"/>
      <c r="BL44" s="36"/>
      <c r="BM44" s="36"/>
      <c r="BN44" s="36"/>
      <c r="BO44" s="36"/>
    </row>
    <row r="45" spans="1:67" x14ac:dyDescent="0.25">
      <c r="A45" s="39"/>
      <c r="B45" s="40"/>
      <c r="U45" s="36"/>
      <c r="V45" s="36"/>
      <c r="W45" s="35"/>
      <c r="X45" s="7"/>
      <c r="Y45" s="7"/>
      <c r="Z45" s="7"/>
      <c r="AA45" s="7"/>
      <c r="AB45" s="7"/>
      <c r="AC45" s="7"/>
      <c r="AD45" s="7"/>
      <c r="AE45" s="7"/>
      <c r="AG45" s="36"/>
      <c r="AH45" s="36"/>
      <c r="AI45" s="35"/>
      <c r="AJ45" s="7"/>
      <c r="AK45" s="7"/>
      <c r="AL45" s="7"/>
      <c r="AM45" s="7"/>
      <c r="AN45" s="7"/>
      <c r="AO45" s="7"/>
      <c r="AP45" s="7"/>
      <c r="AQ45" s="7"/>
      <c r="AS45" s="36"/>
      <c r="AT45" s="36"/>
      <c r="AU45" s="35"/>
      <c r="AV45" s="7"/>
      <c r="AW45" s="7"/>
      <c r="AX45" s="7"/>
      <c r="AY45" s="7"/>
      <c r="AZ45" s="7"/>
      <c r="BA45" s="7"/>
      <c r="BB45" s="7"/>
      <c r="BC45" s="7"/>
      <c r="BF45" s="7"/>
      <c r="BG45" s="36"/>
      <c r="BH45" s="36"/>
      <c r="BI45" s="36"/>
      <c r="BJ45" s="36"/>
      <c r="BK45" s="36"/>
      <c r="BL45" s="36"/>
      <c r="BM45" s="36"/>
      <c r="BN45" s="36"/>
      <c r="BO45" s="36"/>
    </row>
    <row r="46" spans="1:67" x14ac:dyDescent="0.25">
      <c r="A46" s="39"/>
      <c r="B46" s="40"/>
      <c r="U46" s="36"/>
      <c r="V46" s="36"/>
      <c r="W46" s="35"/>
      <c r="X46" s="7"/>
      <c r="Y46" s="7"/>
      <c r="Z46" s="7"/>
      <c r="AA46" s="7"/>
      <c r="AB46" s="7"/>
      <c r="AC46" s="7"/>
      <c r="AD46" s="7"/>
      <c r="AE46" s="7"/>
      <c r="AG46" s="36"/>
      <c r="AH46" s="36"/>
      <c r="AI46" s="35"/>
      <c r="AJ46" s="7"/>
      <c r="AK46" s="7"/>
      <c r="AL46" s="7"/>
      <c r="AM46" s="7"/>
      <c r="AN46" s="7"/>
      <c r="AO46" s="7"/>
      <c r="AP46" s="7"/>
      <c r="AQ46" s="7"/>
      <c r="AS46" s="36"/>
      <c r="AT46" s="36"/>
      <c r="AU46" s="35"/>
      <c r="AV46" s="7"/>
      <c r="AW46" s="7"/>
      <c r="AX46" s="7"/>
      <c r="AY46" s="7"/>
      <c r="AZ46" s="7"/>
      <c r="BA46" s="7"/>
      <c r="BB46" s="7"/>
      <c r="BC46" s="7"/>
      <c r="BF46" s="7"/>
      <c r="BG46" s="36"/>
      <c r="BH46" s="36"/>
      <c r="BI46" s="36"/>
      <c r="BJ46" s="36"/>
      <c r="BK46" s="36"/>
      <c r="BL46" s="36"/>
      <c r="BM46" s="36"/>
      <c r="BN46" s="36"/>
      <c r="BO46" s="36"/>
    </row>
    <row r="47" spans="1:67" x14ac:dyDescent="0.25">
      <c r="A47" s="39"/>
      <c r="B47" s="40"/>
      <c r="U47" s="36"/>
      <c r="V47" s="36"/>
      <c r="W47" s="35"/>
      <c r="X47" s="7"/>
      <c r="Y47" s="7"/>
      <c r="Z47" s="7"/>
      <c r="AA47" s="7"/>
      <c r="AB47" s="7"/>
      <c r="AC47" s="7"/>
      <c r="AD47" s="7"/>
      <c r="AE47" s="7"/>
      <c r="AG47" s="36"/>
      <c r="AH47" s="36"/>
      <c r="AI47" s="35"/>
      <c r="AJ47" s="7"/>
      <c r="AK47" s="7"/>
      <c r="AL47" s="7"/>
      <c r="AM47" s="7"/>
      <c r="AN47" s="7"/>
      <c r="AO47" s="7"/>
      <c r="AP47" s="7"/>
      <c r="AQ47" s="7"/>
      <c r="AS47" s="36"/>
      <c r="AT47" s="36"/>
      <c r="AU47" s="35"/>
      <c r="AV47" s="7"/>
      <c r="AW47" s="7"/>
      <c r="AX47" s="7"/>
      <c r="AY47" s="7"/>
      <c r="AZ47" s="7"/>
      <c r="BA47" s="7"/>
      <c r="BB47" s="7"/>
      <c r="BC47" s="7"/>
      <c r="BF47" s="7"/>
      <c r="BG47" s="36"/>
      <c r="BH47" s="36"/>
      <c r="BI47" s="36"/>
      <c r="BJ47" s="36"/>
      <c r="BK47" s="36"/>
      <c r="BL47" s="36"/>
      <c r="BM47" s="36"/>
      <c r="BN47" s="36"/>
      <c r="BO47" s="36"/>
    </row>
    <row r="48" spans="1:67" x14ac:dyDescent="0.25">
      <c r="A48" s="39"/>
      <c r="B48" s="40"/>
      <c r="U48" s="36"/>
      <c r="V48" s="36"/>
      <c r="W48" s="35"/>
      <c r="X48" s="7"/>
      <c r="Y48" s="7"/>
      <c r="Z48" s="7"/>
      <c r="AA48" s="7"/>
      <c r="AB48" s="7"/>
      <c r="AC48" s="7"/>
      <c r="AD48" s="7"/>
      <c r="AE48" s="7"/>
      <c r="AG48" s="36"/>
      <c r="AH48" s="36"/>
      <c r="AI48" s="35"/>
      <c r="AJ48" s="7"/>
      <c r="AK48" s="7"/>
      <c r="AL48" s="7"/>
      <c r="AM48" s="7"/>
      <c r="AN48" s="7"/>
      <c r="AO48" s="7"/>
      <c r="AP48" s="7"/>
      <c r="AQ48" s="7"/>
      <c r="AS48" s="36"/>
      <c r="AT48" s="36"/>
      <c r="AU48" s="35"/>
      <c r="AV48" s="7"/>
      <c r="AW48" s="7"/>
      <c r="AX48" s="7"/>
      <c r="AY48" s="7"/>
      <c r="AZ48" s="7"/>
      <c r="BA48" s="7"/>
      <c r="BB48" s="7"/>
      <c r="BC48" s="7"/>
      <c r="BF48" s="7"/>
      <c r="BG48" s="36"/>
      <c r="BH48" s="36"/>
      <c r="BI48" s="36"/>
      <c r="BJ48" s="36"/>
      <c r="BK48" s="36"/>
      <c r="BL48" s="36"/>
      <c r="BM48" s="36"/>
      <c r="BN48" s="36"/>
      <c r="BO48" s="36"/>
    </row>
    <row r="49" spans="1:67" x14ac:dyDescent="0.25">
      <c r="A49" s="39"/>
      <c r="B49" s="40"/>
      <c r="U49" s="36"/>
      <c r="V49" s="36"/>
      <c r="W49" s="35"/>
      <c r="X49" s="7"/>
      <c r="Y49" s="7"/>
      <c r="Z49" s="7"/>
      <c r="AA49" s="7"/>
      <c r="AB49" s="7"/>
      <c r="AC49" s="7"/>
      <c r="AD49" s="7"/>
      <c r="AE49" s="7"/>
      <c r="AG49" s="36"/>
      <c r="AH49" s="36"/>
      <c r="AI49" s="35"/>
      <c r="AJ49" s="7"/>
      <c r="AK49" s="7"/>
      <c r="AL49" s="7"/>
      <c r="AM49" s="7"/>
      <c r="AN49" s="7"/>
      <c r="AO49" s="7"/>
      <c r="AP49" s="7"/>
      <c r="AQ49" s="7"/>
      <c r="AS49" s="36"/>
      <c r="AT49" s="36"/>
      <c r="AU49" s="35"/>
      <c r="AV49" s="7"/>
      <c r="AW49" s="7"/>
      <c r="AX49" s="7"/>
      <c r="AY49" s="7"/>
      <c r="AZ49" s="7"/>
      <c r="BA49" s="7"/>
      <c r="BB49" s="7"/>
      <c r="BC49" s="7"/>
      <c r="BF49" s="7"/>
      <c r="BG49" s="36"/>
      <c r="BH49" s="36"/>
      <c r="BI49" s="36"/>
      <c r="BJ49" s="36"/>
      <c r="BK49" s="36"/>
      <c r="BL49" s="36"/>
      <c r="BM49" s="36"/>
      <c r="BN49" s="36"/>
      <c r="BO49" s="36"/>
    </row>
    <row r="50" spans="1:67" x14ac:dyDescent="0.25">
      <c r="A50" s="39"/>
      <c r="B50" s="40"/>
      <c r="U50" s="36"/>
      <c r="V50" s="36"/>
      <c r="W50" s="35"/>
      <c r="X50" s="7"/>
      <c r="Y50" s="7"/>
      <c r="Z50" s="7"/>
      <c r="AA50" s="7"/>
      <c r="AB50" s="7"/>
      <c r="AC50" s="7"/>
      <c r="AD50" s="7"/>
      <c r="AE50" s="7"/>
      <c r="AG50" s="36"/>
      <c r="AH50" s="36"/>
      <c r="AI50" s="35"/>
      <c r="AJ50" s="7"/>
      <c r="AK50" s="7"/>
      <c r="AL50" s="7"/>
      <c r="AM50" s="7"/>
      <c r="AN50" s="7"/>
      <c r="AO50" s="7"/>
      <c r="AP50" s="7"/>
      <c r="AQ50" s="7"/>
      <c r="AS50" s="36"/>
      <c r="AT50" s="36"/>
      <c r="AU50" s="35"/>
      <c r="AV50" s="7"/>
      <c r="AW50" s="7"/>
      <c r="AX50" s="7"/>
      <c r="AY50" s="7"/>
      <c r="AZ50" s="7"/>
      <c r="BA50" s="7"/>
      <c r="BB50" s="7"/>
      <c r="BC50" s="7"/>
      <c r="BF50" s="7"/>
      <c r="BG50" s="36"/>
      <c r="BH50" s="36"/>
      <c r="BI50" s="36"/>
      <c r="BJ50" s="36"/>
      <c r="BK50" s="36"/>
      <c r="BL50" s="36"/>
      <c r="BM50" s="36"/>
      <c r="BN50" s="36"/>
      <c r="BO50" s="36"/>
    </row>
    <row r="51" spans="1:67" x14ac:dyDescent="0.25">
      <c r="A51" s="39"/>
      <c r="B51" s="40"/>
      <c r="U51" s="36"/>
      <c r="V51" s="36"/>
      <c r="W51" s="35"/>
      <c r="X51" s="7"/>
      <c r="Y51" s="7"/>
      <c r="Z51" s="7"/>
      <c r="AA51" s="7"/>
      <c r="AB51" s="7"/>
      <c r="AC51" s="7"/>
      <c r="AD51" s="7"/>
      <c r="AE51" s="7"/>
      <c r="AG51" s="36"/>
      <c r="AH51" s="36"/>
      <c r="AI51" s="35"/>
      <c r="AJ51" s="7"/>
      <c r="AK51" s="7"/>
      <c r="AL51" s="7"/>
      <c r="AM51" s="7"/>
      <c r="AN51" s="7"/>
      <c r="AO51" s="7"/>
      <c r="AP51" s="7"/>
      <c r="AQ51" s="7"/>
      <c r="AS51" s="36"/>
      <c r="AT51" s="36"/>
      <c r="AU51" s="35"/>
      <c r="AV51" s="7"/>
      <c r="AW51" s="7"/>
      <c r="AX51" s="7"/>
      <c r="AY51" s="7"/>
      <c r="AZ51" s="7"/>
      <c r="BA51" s="7"/>
      <c r="BB51" s="7"/>
      <c r="BC51" s="7"/>
      <c r="BF51" s="7"/>
      <c r="BG51" s="36"/>
      <c r="BH51" s="36"/>
      <c r="BI51" s="36"/>
      <c r="BJ51" s="36"/>
      <c r="BK51" s="36"/>
      <c r="BL51" s="36"/>
      <c r="BM51" s="36"/>
      <c r="BN51" s="36"/>
      <c r="BO51" s="36"/>
    </row>
    <row r="52" spans="1:67" x14ac:dyDescent="0.25">
      <c r="A52" s="39"/>
      <c r="B52" s="40"/>
      <c r="U52" s="36"/>
      <c r="V52" s="36"/>
      <c r="W52" s="35"/>
      <c r="X52" s="7"/>
      <c r="Y52" s="7"/>
      <c r="Z52" s="7"/>
      <c r="AA52" s="7"/>
      <c r="AB52" s="7"/>
      <c r="AC52" s="7"/>
      <c r="AD52" s="7"/>
      <c r="AE52" s="7"/>
      <c r="AG52" s="36"/>
      <c r="AH52" s="36"/>
      <c r="AI52" s="35"/>
      <c r="AJ52" s="7"/>
      <c r="AK52" s="7"/>
      <c r="AL52" s="7"/>
      <c r="AM52" s="7"/>
      <c r="AN52" s="7"/>
      <c r="AO52" s="7"/>
      <c r="AP52" s="7"/>
      <c r="AQ52" s="7"/>
      <c r="AS52" s="36"/>
      <c r="AT52" s="36"/>
      <c r="AU52" s="35"/>
      <c r="AV52" s="7"/>
      <c r="AW52" s="7"/>
      <c r="AX52" s="7"/>
      <c r="AY52" s="7"/>
      <c r="AZ52" s="7"/>
      <c r="BA52" s="7"/>
      <c r="BB52" s="7"/>
      <c r="BC52" s="7"/>
      <c r="BF52" s="7"/>
      <c r="BG52" s="36"/>
      <c r="BH52" s="36"/>
      <c r="BI52" s="36"/>
      <c r="BJ52" s="36"/>
      <c r="BK52" s="36"/>
      <c r="BL52" s="36"/>
      <c r="BM52" s="36"/>
      <c r="BN52" s="36"/>
      <c r="BO52" s="36"/>
    </row>
    <row r="53" spans="1:67" x14ac:dyDescent="0.25">
      <c r="A53" s="39"/>
      <c r="B53" s="40"/>
      <c r="U53" s="36"/>
      <c r="V53" s="36"/>
      <c r="W53" s="35"/>
      <c r="X53" s="7"/>
      <c r="Y53" s="7"/>
      <c r="Z53" s="7"/>
      <c r="AA53" s="7"/>
      <c r="AB53" s="7"/>
      <c r="AC53" s="7"/>
      <c r="AD53" s="7"/>
      <c r="AE53" s="7"/>
      <c r="AG53" s="36"/>
      <c r="AH53" s="36"/>
      <c r="AI53" s="35"/>
      <c r="AJ53" s="7"/>
      <c r="AK53" s="7"/>
      <c r="AL53" s="7"/>
      <c r="AM53" s="7"/>
      <c r="AN53" s="7"/>
      <c r="AO53" s="7"/>
      <c r="AP53" s="7"/>
      <c r="AQ53" s="7"/>
      <c r="AS53" s="36"/>
      <c r="AT53" s="36"/>
      <c r="AU53" s="35"/>
      <c r="AV53" s="7"/>
      <c r="AW53" s="7"/>
      <c r="AX53" s="7"/>
      <c r="AY53" s="7"/>
      <c r="AZ53" s="7"/>
      <c r="BA53" s="7"/>
      <c r="BB53" s="7"/>
      <c r="BC53" s="7"/>
      <c r="BF53" s="7"/>
      <c r="BG53" s="36"/>
      <c r="BH53" s="36"/>
      <c r="BI53" s="36"/>
      <c r="BJ53" s="36"/>
      <c r="BK53" s="36"/>
      <c r="BL53" s="36"/>
      <c r="BM53" s="36"/>
      <c r="BN53" s="36"/>
      <c r="BO53" s="36"/>
    </row>
    <row r="54" spans="1:67" x14ac:dyDescent="0.25">
      <c r="A54" s="39"/>
      <c r="B54" s="40"/>
      <c r="G54" t="str">
        <f>AU2&amp;" Method Histogram"</f>
        <v>FD Method Histogram</v>
      </c>
      <c r="U54" s="36"/>
      <c r="V54" s="36"/>
      <c r="W54" s="35"/>
      <c r="X54" s="7"/>
      <c r="Y54" s="7"/>
      <c r="Z54" s="7"/>
      <c r="AA54" s="7"/>
      <c r="AB54" s="7"/>
      <c r="AC54" s="7"/>
      <c r="AD54" s="7"/>
      <c r="AE54" s="7"/>
      <c r="AG54" s="36"/>
      <c r="AH54" s="36"/>
      <c r="AI54" s="35"/>
      <c r="AJ54" s="7"/>
      <c r="AK54" s="7"/>
      <c r="AL54" s="7"/>
      <c r="AM54" s="7"/>
      <c r="AN54" s="7"/>
      <c r="AO54" s="7"/>
      <c r="AP54" s="7"/>
      <c r="AQ54" s="7"/>
      <c r="AS54" s="36"/>
      <c r="AT54" s="36"/>
      <c r="AU54" s="35"/>
      <c r="AV54" s="7"/>
      <c r="AW54" s="7"/>
      <c r="AX54" s="7"/>
      <c r="AY54" s="7"/>
      <c r="AZ54" s="7"/>
      <c r="BA54" s="7"/>
      <c r="BB54" s="7"/>
      <c r="BC54" s="7"/>
      <c r="BF54" s="7"/>
      <c r="BG54" s="36"/>
      <c r="BH54" s="36"/>
      <c r="BI54" s="36"/>
      <c r="BJ54" s="36"/>
      <c r="BK54" s="36"/>
      <c r="BL54" s="36"/>
      <c r="BM54" s="36"/>
      <c r="BN54" s="36"/>
      <c r="BO54" s="36"/>
    </row>
    <row r="55" spans="1:67" x14ac:dyDescent="0.25">
      <c r="A55" s="39"/>
      <c r="B55" s="40"/>
      <c r="U55" s="36"/>
      <c r="V55" s="36"/>
      <c r="W55" s="35"/>
      <c r="X55" s="7"/>
      <c r="Y55" s="7"/>
      <c r="Z55" s="7"/>
      <c r="AA55" s="7"/>
      <c r="AB55" s="7"/>
      <c r="AC55" s="7"/>
      <c r="AD55" s="7"/>
      <c r="AE55" s="7"/>
      <c r="AG55" s="36"/>
      <c r="AH55" s="36"/>
      <c r="AI55" s="35"/>
      <c r="AJ55" s="7"/>
      <c r="AK55" s="7"/>
      <c r="AL55" s="7"/>
      <c r="AM55" s="7"/>
      <c r="AN55" s="7"/>
      <c r="AO55" s="7"/>
      <c r="AP55" s="7"/>
      <c r="AQ55" s="7"/>
      <c r="AS55" s="36"/>
      <c r="AT55" s="36"/>
      <c r="AU55" s="35"/>
      <c r="AV55" s="7"/>
      <c r="AW55" s="7"/>
      <c r="AX55" s="7"/>
      <c r="AY55" s="7"/>
      <c r="AZ55" s="7"/>
      <c r="BA55" s="7"/>
      <c r="BB55" s="7"/>
      <c r="BC55" s="7"/>
      <c r="BF55" s="7"/>
      <c r="BG55" s="36"/>
      <c r="BH55" s="36"/>
      <c r="BI55" s="36"/>
      <c r="BJ55" s="36"/>
      <c r="BK55" s="36"/>
      <c r="BL55" s="36"/>
      <c r="BM55" s="36"/>
      <c r="BN55" s="36"/>
      <c r="BO55" s="36"/>
    </row>
    <row r="56" spans="1:67" x14ac:dyDescent="0.25">
      <c r="A56" s="39"/>
      <c r="B56" s="40"/>
      <c r="U56" s="36"/>
      <c r="V56" s="36"/>
      <c r="W56" s="35"/>
      <c r="X56" s="7"/>
      <c r="Y56" s="7"/>
      <c r="Z56" s="7"/>
      <c r="AA56" s="7"/>
      <c r="AB56" s="7"/>
      <c r="AC56" s="7"/>
      <c r="AD56" s="7"/>
      <c r="AE56" s="7"/>
      <c r="AG56" s="36"/>
      <c r="AH56" s="36"/>
      <c r="AI56" s="35"/>
      <c r="AJ56" s="7"/>
      <c r="AK56" s="7"/>
      <c r="AL56" s="7"/>
      <c r="AM56" s="7"/>
      <c r="AN56" s="7"/>
      <c r="AO56" s="7"/>
      <c r="AP56" s="7"/>
      <c r="AQ56" s="7"/>
      <c r="AS56" s="36"/>
      <c r="AT56" s="36"/>
      <c r="AU56" s="35"/>
      <c r="AV56" s="7"/>
      <c r="AW56" s="7"/>
      <c r="AX56" s="7"/>
      <c r="AY56" s="7"/>
      <c r="AZ56" s="7"/>
      <c r="BA56" s="7"/>
      <c r="BB56" s="7"/>
      <c r="BC56" s="7"/>
      <c r="BF56" s="7"/>
      <c r="BG56" s="36"/>
      <c r="BH56" s="36"/>
      <c r="BI56" s="36"/>
      <c r="BJ56" s="36"/>
      <c r="BK56" s="36"/>
      <c r="BL56" s="36"/>
      <c r="BM56" s="36"/>
      <c r="BN56" s="36"/>
      <c r="BO56" s="36"/>
    </row>
    <row r="57" spans="1:67" x14ac:dyDescent="0.25">
      <c r="A57" s="39"/>
      <c r="B57" s="40"/>
      <c r="U57" s="36"/>
      <c r="V57" s="36"/>
      <c r="W57" s="35"/>
      <c r="X57" s="7"/>
      <c r="Y57" s="7"/>
      <c r="Z57" s="7"/>
      <c r="AA57" s="7"/>
      <c r="AB57" s="7"/>
      <c r="AC57" s="7"/>
      <c r="AD57" s="7"/>
      <c r="AE57" s="7"/>
      <c r="AG57" s="36"/>
      <c r="AH57" s="36"/>
      <c r="AI57" s="35"/>
      <c r="AJ57" s="7"/>
      <c r="AK57" s="7"/>
      <c r="AL57" s="7"/>
      <c r="AM57" s="7"/>
      <c r="AN57" s="7"/>
      <c r="AO57" s="7"/>
      <c r="AP57" s="7"/>
      <c r="AQ57" s="7"/>
      <c r="AS57" s="36"/>
      <c r="AT57" s="36"/>
      <c r="AU57" s="35"/>
      <c r="AV57" s="7"/>
      <c r="AW57" s="7"/>
      <c r="AX57" s="7"/>
      <c r="AY57" s="7"/>
      <c r="AZ57" s="7"/>
      <c r="BA57" s="7"/>
      <c r="BB57" s="7"/>
      <c r="BC57" s="7"/>
      <c r="BF57" s="7"/>
      <c r="BG57" s="36"/>
      <c r="BH57" s="36"/>
      <c r="BI57" s="36"/>
      <c r="BJ57" s="36"/>
      <c r="BK57" s="36"/>
      <c r="BL57" s="36"/>
      <c r="BM57" s="36"/>
      <c r="BN57" s="36"/>
      <c r="BO57" s="36"/>
    </row>
    <row r="58" spans="1:67" x14ac:dyDescent="0.25">
      <c r="A58" s="39"/>
      <c r="B58" s="40"/>
      <c r="U58" s="36"/>
      <c r="V58" s="36"/>
      <c r="W58" s="35"/>
      <c r="X58" s="7"/>
      <c r="Y58" s="7"/>
      <c r="Z58" s="7"/>
      <c r="AA58" s="7"/>
      <c r="AB58" s="7"/>
      <c r="AC58" s="7"/>
      <c r="AD58" s="7"/>
      <c r="AE58" s="7"/>
      <c r="AG58" s="36"/>
      <c r="AH58" s="36"/>
      <c r="AI58" s="35"/>
      <c r="AJ58" s="7"/>
      <c r="AK58" s="7"/>
      <c r="AL58" s="7"/>
      <c r="AM58" s="7"/>
      <c r="AN58" s="7"/>
      <c r="AO58" s="7"/>
      <c r="AP58" s="7"/>
      <c r="AQ58" s="7"/>
      <c r="AS58" s="36"/>
      <c r="AT58" s="36"/>
      <c r="AU58" s="35"/>
      <c r="AV58" s="7"/>
      <c r="AW58" s="7"/>
      <c r="AX58" s="7"/>
      <c r="AY58" s="7"/>
      <c r="AZ58" s="7"/>
      <c r="BA58" s="7"/>
      <c r="BB58" s="7"/>
      <c r="BC58" s="7"/>
      <c r="BF58" s="7"/>
      <c r="BG58" s="36"/>
      <c r="BH58" s="36"/>
      <c r="BI58" s="36"/>
      <c r="BJ58" s="36"/>
      <c r="BK58" s="36"/>
      <c r="BL58" s="36"/>
      <c r="BM58" s="36"/>
      <c r="BN58" s="36"/>
      <c r="BO58" s="36"/>
    </row>
    <row r="59" spans="1:67" x14ac:dyDescent="0.25">
      <c r="A59" s="39"/>
      <c r="B59" s="40"/>
      <c r="U59" s="36"/>
      <c r="V59" s="36"/>
      <c r="W59" s="35"/>
      <c r="X59" s="7"/>
      <c r="Y59" s="7"/>
      <c r="Z59" s="7"/>
      <c r="AA59" s="7"/>
      <c r="AB59" s="7"/>
      <c r="AC59" s="7"/>
      <c r="AD59" s="7"/>
      <c r="AE59" s="7"/>
      <c r="AG59" s="36"/>
      <c r="AH59" s="36"/>
      <c r="AI59" s="35"/>
      <c r="AJ59" s="7"/>
      <c r="AK59" s="7"/>
      <c r="AL59" s="7"/>
      <c r="AM59" s="7"/>
      <c r="AN59" s="7"/>
      <c r="AO59" s="7"/>
      <c r="AP59" s="7"/>
      <c r="AQ59" s="7"/>
      <c r="AS59" s="36"/>
      <c r="AT59" s="36"/>
      <c r="AU59" s="35"/>
      <c r="AV59" s="7"/>
      <c r="AW59" s="7"/>
      <c r="AX59" s="7"/>
      <c r="AY59" s="7"/>
      <c r="AZ59" s="7"/>
      <c r="BA59" s="7"/>
      <c r="BB59" s="7"/>
      <c r="BC59" s="7"/>
      <c r="BF59" s="7"/>
      <c r="BG59" s="36"/>
      <c r="BH59" s="36"/>
      <c r="BI59" s="36"/>
      <c r="BJ59" s="36"/>
      <c r="BK59" s="36"/>
      <c r="BL59" s="36"/>
      <c r="BM59" s="36"/>
      <c r="BN59" s="36"/>
      <c r="BO59" s="36"/>
    </row>
    <row r="60" spans="1:67" x14ac:dyDescent="0.25">
      <c r="A60" s="39"/>
      <c r="B60" s="40"/>
      <c r="U60" s="36"/>
      <c r="V60" s="36"/>
      <c r="W60" s="35"/>
      <c r="X60" s="7"/>
      <c r="Y60" s="7"/>
      <c r="Z60" s="7"/>
      <c r="AA60" s="7"/>
      <c r="AB60" s="7"/>
      <c r="AC60" s="7"/>
      <c r="AD60" s="7"/>
      <c r="AE60" s="7"/>
      <c r="AG60" s="36"/>
      <c r="AH60" s="36"/>
      <c r="AI60" s="35"/>
      <c r="AJ60" s="7"/>
      <c r="AK60" s="7"/>
      <c r="AL60" s="7"/>
      <c r="AM60" s="7"/>
      <c r="AN60" s="7"/>
      <c r="AO60" s="7"/>
      <c r="AP60" s="7"/>
      <c r="AQ60" s="7"/>
      <c r="AS60" s="36"/>
      <c r="AT60" s="36"/>
      <c r="AU60" s="35"/>
      <c r="AV60" s="7"/>
      <c r="AW60" s="7"/>
      <c r="AX60" s="7"/>
      <c r="AY60" s="7"/>
      <c r="AZ60" s="7"/>
      <c r="BA60" s="7"/>
      <c r="BB60" s="7"/>
      <c r="BC60" s="7"/>
      <c r="BF60" s="7"/>
      <c r="BG60" s="36"/>
      <c r="BH60" s="36"/>
      <c r="BI60" s="36"/>
      <c r="BJ60" s="36"/>
      <c r="BK60" s="36"/>
      <c r="BL60" s="36"/>
      <c r="BM60" s="36"/>
      <c r="BN60" s="36"/>
      <c r="BO60" s="36"/>
    </row>
    <row r="61" spans="1:67" x14ac:dyDescent="0.25">
      <c r="A61" s="39"/>
      <c r="B61" s="40"/>
      <c r="U61" s="36"/>
      <c r="V61" s="36"/>
      <c r="W61" s="35"/>
      <c r="X61" s="7"/>
      <c r="Y61" s="7"/>
      <c r="Z61" s="7"/>
      <c r="AA61" s="7"/>
      <c r="AB61" s="7"/>
      <c r="AC61" s="7"/>
      <c r="AD61" s="7"/>
      <c r="AE61" s="7"/>
      <c r="AG61" s="36"/>
      <c r="AH61" s="36"/>
      <c r="AI61" s="35"/>
      <c r="AJ61" s="7"/>
      <c r="AK61" s="7"/>
      <c r="AL61" s="7"/>
      <c r="AM61" s="7"/>
      <c r="AN61" s="7"/>
      <c r="AO61" s="7"/>
      <c r="AP61" s="7"/>
      <c r="AQ61" s="7"/>
      <c r="AS61" s="36"/>
      <c r="AT61" s="36"/>
      <c r="AU61" s="35"/>
      <c r="AV61" s="7"/>
      <c r="AW61" s="7"/>
      <c r="AX61" s="7"/>
      <c r="AY61" s="7"/>
      <c r="AZ61" s="7"/>
      <c r="BA61" s="7"/>
      <c r="BB61" s="7"/>
      <c r="BC61" s="7"/>
      <c r="BF61" s="7"/>
      <c r="BG61" s="36"/>
      <c r="BH61" s="36"/>
      <c r="BI61" s="36"/>
      <c r="BJ61" s="36"/>
      <c r="BK61" s="36"/>
      <c r="BL61" s="36"/>
      <c r="BM61" s="36"/>
      <c r="BN61" s="36"/>
      <c r="BO61" s="36"/>
    </row>
    <row r="62" spans="1:67" x14ac:dyDescent="0.25">
      <c r="A62" s="39"/>
      <c r="B62" s="40"/>
      <c r="U62" s="36"/>
      <c r="V62" s="36"/>
      <c r="W62" s="35"/>
      <c r="X62" s="7"/>
      <c r="Y62" s="7"/>
      <c r="Z62" s="7"/>
      <c r="AA62" s="7"/>
      <c r="AB62" s="7"/>
      <c r="AC62" s="7"/>
      <c r="AD62" s="7"/>
      <c r="AE62" s="7"/>
      <c r="AG62" s="36"/>
      <c r="AH62" s="36"/>
      <c r="AI62" s="35"/>
      <c r="AJ62" s="7"/>
      <c r="AK62" s="7"/>
      <c r="AL62" s="7"/>
      <c r="AM62" s="7"/>
      <c r="AN62" s="7"/>
      <c r="AO62" s="7"/>
      <c r="AP62" s="7"/>
      <c r="AQ62" s="7"/>
      <c r="AS62" s="36"/>
      <c r="AT62" s="36"/>
      <c r="AU62" s="35"/>
      <c r="AV62" s="7"/>
      <c r="AW62" s="7"/>
      <c r="AX62" s="7"/>
      <c r="AY62" s="7"/>
      <c r="AZ62" s="7"/>
      <c r="BA62" s="7"/>
      <c r="BB62" s="7"/>
      <c r="BC62" s="7"/>
      <c r="BF62" s="7"/>
      <c r="BG62" s="36"/>
      <c r="BH62" s="36"/>
      <c r="BI62" s="36"/>
      <c r="BJ62" s="36"/>
      <c r="BK62" s="36"/>
      <c r="BL62" s="36"/>
      <c r="BM62" s="36"/>
      <c r="BN62" s="36"/>
      <c r="BO62" s="36"/>
    </row>
    <row r="63" spans="1:67" x14ac:dyDescent="0.25">
      <c r="A63" s="39"/>
      <c r="B63" s="40"/>
      <c r="U63" s="36"/>
      <c r="V63" s="36"/>
      <c r="W63" s="35"/>
      <c r="X63" s="7"/>
      <c r="Y63" s="7"/>
      <c r="Z63" s="7"/>
      <c r="AA63" s="7"/>
      <c r="AB63" s="7"/>
      <c r="AC63" s="7"/>
      <c r="AD63" s="7"/>
      <c r="AE63" s="7"/>
      <c r="AG63" s="36"/>
      <c r="AH63" s="36"/>
      <c r="AI63" s="35"/>
      <c r="AJ63" s="7"/>
      <c r="AK63" s="7"/>
      <c r="AL63" s="7"/>
      <c r="AM63" s="7"/>
      <c r="AN63" s="7"/>
      <c r="AO63" s="7"/>
      <c r="AP63" s="7"/>
      <c r="AQ63" s="7"/>
      <c r="AS63" s="36"/>
      <c r="AT63" s="36"/>
      <c r="AU63" s="35"/>
      <c r="AV63" s="7"/>
      <c r="AW63" s="7"/>
      <c r="AX63" s="7"/>
      <c r="AY63" s="7"/>
      <c r="AZ63" s="7"/>
      <c r="BA63" s="7"/>
      <c r="BB63" s="7"/>
      <c r="BC63" s="7"/>
      <c r="BF63" s="7"/>
      <c r="BG63" s="36"/>
      <c r="BH63" s="36"/>
      <c r="BI63" s="36"/>
      <c r="BJ63" s="36"/>
      <c r="BK63" s="36"/>
      <c r="BL63" s="36"/>
      <c r="BM63" s="36"/>
      <c r="BN63" s="36"/>
      <c r="BO63" s="36"/>
    </row>
    <row r="64" spans="1:67" x14ac:dyDescent="0.25">
      <c r="A64" s="39"/>
      <c r="B64" s="40"/>
      <c r="U64" s="36"/>
      <c r="V64" s="36"/>
      <c r="W64" s="35"/>
      <c r="X64" s="7"/>
      <c r="Y64" s="7"/>
      <c r="Z64" s="7"/>
      <c r="AA64" s="7"/>
      <c r="AB64" s="7"/>
      <c r="AC64" s="7"/>
      <c r="AD64" s="7"/>
      <c r="AE64" s="7"/>
      <c r="AG64" s="36"/>
      <c r="AH64" s="36"/>
      <c r="AI64" s="35"/>
      <c r="AJ64" s="7"/>
      <c r="AK64" s="7"/>
      <c r="AL64" s="7"/>
      <c r="AM64" s="7"/>
      <c r="AN64" s="7"/>
      <c r="AO64" s="7"/>
      <c r="AP64" s="7"/>
      <c r="AQ64" s="7"/>
      <c r="AS64" s="36"/>
      <c r="AT64" s="36"/>
      <c r="AU64" s="35"/>
      <c r="AV64" s="7"/>
      <c r="AW64" s="7"/>
      <c r="AX64" s="7"/>
      <c r="AY64" s="7"/>
      <c r="AZ64" s="7"/>
      <c r="BA64" s="7"/>
      <c r="BB64" s="7"/>
      <c r="BC64" s="7"/>
      <c r="BF64" s="7"/>
      <c r="BG64" s="36"/>
      <c r="BH64" s="36"/>
      <c r="BI64" s="36"/>
      <c r="BJ64" s="36"/>
      <c r="BK64" s="36"/>
      <c r="BL64" s="36"/>
      <c r="BM64" s="36"/>
      <c r="BN64" s="36"/>
      <c r="BO64" s="36"/>
    </row>
    <row r="65" spans="1:67" x14ac:dyDescent="0.25">
      <c r="A65" s="39"/>
      <c r="B65" s="40"/>
      <c r="U65" s="36"/>
      <c r="V65" s="36"/>
      <c r="W65" s="35"/>
      <c r="X65" s="7"/>
      <c r="Y65" s="7"/>
      <c r="Z65" s="7"/>
      <c r="AA65" s="7"/>
      <c r="AB65" s="7"/>
      <c r="AC65" s="7"/>
      <c r="AD65" s="7"/>
      <c r="AE65" s="7"/>
      <c r="AG65" s="36"/>
      <c r="AH65" s="36"/>
      <c r="AI65" s="35"/>
      <c r="AJ65" s="7"/>
      <c r="AK65" s="7"/>
      <c r="AL65" s="7"/>
      <c r="AM65" s="7"/>
      <c r="AN65" s="7"/>
      <c r="AO65" s="7"/>
      <c r="AP65" s="7"/>
      <c r="AQ65" s="7"/>
      <c r="AS65" s="36"/>
      <c r="AT65" s="36"/>
      <c r="AU65" s="35"/>
      <c r="AV65" s="7"/>
      <c r="AW65" s="7"/>
      <c r="AX65" s="7"/>
      <c r="AY65" s="7"/>
      <c r="AZ65" s="7"/>
      <c r="BA65" s="7"/>
      <c r="BB65" s="7"/>
      <c r="BC65" s="7"/>
      <c r="BF65" s="7"/>
      <c r="BG65" s="36"/>
      <c r="BH65" s="36"/>
      <c r="BI65" s="36"/>
      <c r="BJ65" s="36"/>
      <c r="BK65" s="36"/>
      <c r="BL65" s="36"/>
      <c r="BM65" s="36"/>
      <c r="BN65" s="36"/>
      <c r="BO65" s="36"/>
    </row>
    <row r="66" spans="1:67" x14ac:dyDescent="0.25">
      <c r="A66" s="39"/>
      <c r="B66" s="40"/>
      <c r="U66" s="36"/>
      <c r="V66" s="36"/>
      <c r="W66" s="35"/>
      <c r="X66" s="7"/>
      <c r="Y66" s="7"/>
      <c r="Z66" s="7"/>
      <c r="AA66" s="7"/>
      <c r="AB66" s="7"/>
      <c r="AC66" s="7"/>
      <c r="AD66" s="7"/>
      <c r="AE66" s="7"/>
      <c r="AG66" s="36"/>
      <c r="AH66" s="36"/>
      <c r="AI66" s="35"/>
      <c r="AJ66" s="7"/>
      <c r="AK66" s="7"/>
      <c r="AL66" s="7"/>
      <c r="AM66" s="7"/>
      <c r="AN66" s="7"/>
      <c r="AO66" s="7"/>
      <c r="AP66" s="7"/>
      <c r="AQ66" s="7"/>
      <c r="AS66" s="36"/>
      <c r="AT66" s="36"/>
      <c r="AU66" s="35"/>
      <c r="AV66" s="7"/>
      <c r="AW66" s="7"/>
      <c r="AX66" s="7"/>
      <c r="AY66" s="7"/>
      <c r="AZ66" s="7"/>
      <c r="BA66" s="7"/>
      <c r="BB66" s="7"/>
      <c r="BC66" s="7"/>
      <c r="BF66" s="7"/>
      <c r="BG66" s="36"/>
      <c r="BH66" s="36"/>
      <c r="BI66" s="36"/>
      <c r="BJ66" s="36"/>
      <c r="BK66" s="36"/>
      <c r="BL66" s="36"/>
      <c r="BM66" s="36"/>
      <c r="BN66" s="36"/>
      <c r="BO66" s="36"/>
    </row>
    <row r="67" spans="1:67" x14ac:dyDescent="0.25">
      <c r="A67" s="39"/>
      <c r="B67" s="40"/>
      <c r="U67" s="36"/>
      <c r="V67" s="36"/>
      <c r="W67" s="35"/>
      <c r="X67" s="7"/>
      <c r="Y67" s="7"/>
      <c r="Z67" s="7"/>
      <c r="AA67" s="7"/>
      <c r="AB67" s="7"/>
      <c r="AC67" s="7"/>
      <c r="AD67" s="7"/>
      <c r="AE67" s="7"/>
      <c r="AG67" s="36"/>
      <c r="AH67" s="36"/>
      <c r="AI67" s="35"/>
      <c r="AJ67" s="7"/>
      <c r="AK67" s="7"/>
      <c r="AL67" s="7"/>
      <c r="AM67" s="7"/>
      <c r="AN67" s="7"/>
      <c r="AO67" s="7"/>
      <c r="AP67" s="7"/>
      <c r="AQ67" s="7"/>
      <c r="AS67" s="36"/>
      <c r="AT67" s="36"/>
      <c r="AU67" s="35"/>
      <c r="AV67" s="7"/>
      <c r="AW67" s="7"/>
      <c r="AX67" s="7"/>
      <c r="AY67" s="7"/>
      <c r="AZ67" s="7"/>
      <c r="BA67" s="7"/>
      <c r="BB67" s="7"/>
      <c r="BC67" s="7"/>
      <c r="BF67" s="7"/>
      <c r="BG67" s="36"/>
      <c r="BH67" s="36"/>
      <c r="BI67" s="36"/>
      <c r="BJ67" s="36"/>
      <c r="BK67" s="36"/>
      <c r="BL67" s="36"/>
      <c r="BM67" s="36"/>
      <c r="BN67" s="36"/>
      <c r="BO67" s="36"/>
    </row>
    <row r="68" spans="1:67" x14ac:dyDescent="0.25">
      <c r="A68" s="39"/>
      <c r="B68" s="40"/>
      <c r="U68" s="36"/>
      <c r="V68" s="36"/>
      <c r="W68" s="35"/>
      <c r="X68" s="7"/>
      <c r="Y68" s="7"/>
      <c r="Z68" s="7"/>
      <c r="AA68" s="7"/>
      <c r="AB68" s="7"/>
      <c r="AC68" s="7"/>
      <c r="AD68" s="7"/>
      <c r="AE68" s="7"/>
      <c r="AG68" s="36"/>
      <c r="AH68" s="36"/>
      <c r="AI68" s="35"/>
      <c r="AJ68" s="7"/>
      <c r="AK68" s="7"/>
      <c r="AL68" s="7"/>
      <c r="AM68" s="7"/>
      <c r="AN68" s="7"/>
      <c r="AO68" s="7"/>
      <c r="AP68" s="7"/>
      <c r="AQ68" s="7"/>
      <c r="AS68" s="36"/>
      <c r="AT68" s="36"/>
      <c r="AU68" s="35"/>
      <c r="AV68" s="7"/>
      <c r="AW68" s="7"/>
      <c r="AX68" s="7"/>
      <c r="AY68" s="7"/>
      <c r="AZ68" s="7"/>
      <c r="BA68" s="7"/>
      <c r="BB68" s="7"/>
      <c r="BC68" s="7"/>
      <c r="BF68" s="7"/>
      <c r="BG68" s="36"/>
      <c r="BH68" s="36"/>
      <c r="BI68" s="36"/>
      <c r="BJ68" s="36"/>
      <c r="BK68" s="36"/>
      <c r="BL68" s="36"/>
      <c r="BM68" s="36"/>
      <c r="BN68" s="36"/>
      <c r="BO68" s="36"/>
    </row>
    <row r="69" spans="1:67" x14ac:dyDescent="0.25">
      <c r="A69" s="39"/>
      <c r="B69" s="40"/>
      <c r="U69" s="36"/>
      <c r="V69" s="36"/>
      <c r="W69" s="35"/>
      <c r="X69" s="7"/>
      <c r="Y69" s="7"/>
      <c r="Z69" s="7"/>
      <c r="AA69" s="7"/>
      <c r="AB69" s="7"/>
      <c r="AC69" s="7"/>
      <c r="AD69" s="7"/>
      <c r="AE69" s="7"/>
      <c r="AG69" s="36"/>
      <c r="AH69" s="36"/>
      <c r="AI69" s="35"/>
      <c r="AJ69" s="7"/>
      <c r="AK69" s="7"/>
      <c r="AL69" s="7"/>
      <c r="AM69" s="7"/>
      <c r="AN69" s="7"/>
      <c r="AO69" s="7"/>
      <c r="AP69" s="7"/>
      <c r="AQ69" s="7"/>
      <c r="AS69" s="36"/>
      <c r="AT69" s="36"/>
      <c r="AU69" s="35"/>
      <c r="AV69" s="7"/>
      <c r="AW69" s="7"/>
      <c r="AX69" s="7"/>
      <c r="AY69" s="7"/>
      <c r="AZ69" s="7"/>
      <c r="BA69" s="7"/>
      <c r="BB69" s="7"/>
      <c r="BC69" s="7"/>
      <c r="BF69" s="7"/>
      <c r="BG69" s="36"/>
      <c r="BH69" s="36"/>
      <c r="BI69" s="36"/>
      <c r="BJ69" s="36"/>
      <c r="BK69" s="36"/>
      <c r="BL69" s="36"/>
      <c r="BM69" s="36"/>
      <c r="BN69" s="36"/>
      <c r="BO69" s="36"/>
    </row>
    <row r="70" spans="1:67" x14ac:dyDescent="0.25">
      <c r="A70" s="39"/>
      <c r="B70" s="40"/>
      <c r="U70" s="36"/>
      <c r="V70" s="36"/>
      <c r="W70" s="35"/>
      <c r="X70" s="7"/>
      <c r="Y70" s="7"/>
      <c r="Z70" s="7"/>
      <c r="AA70" s="7"/>
      <c r="AB70" s="7"/>
      <c r="AC70" s="7"/>
      <c r="AD70" s="7"/>
      <c r="AE70" s="7"/>
      <c r="AG70" s="36"/>
      <c r="AH70" s="36"/>
      <c r="AI70" s="35"/>
      <c r="AJ70" s="7"/>
      <c r="AK70" s="7"/>
      <c r="AL70" s="7"/>
      <c r="AM70" s="7"/>
      <c r="AN70" s="7"/>
      <c r="AO70" s="7"/>
      <c r="AP70" s="7"/>
      <c r="AQ70" s="7"/>
      <c r="AS70" s="36"/>
      <c r="AT70" s="36"/>
      <c r="AU70" s="35"/>
      <c r="AV70" s="7"/>
      <c r="AW70" s="7"/>
      <c r="AX70" s="7"/>
      <c r="AY70" s="7"/>
      <c r="AZ70" s="7"/>
      <c r="BA70" s="7"/>
      <c r="BB70" s="7"/>
      <c r="BC70" s="7"/>
      <c r="BF70" s="7"/>
      <c r="BG70" s="36"/>
      <c r="BH70" s="36"/>
      <c r="BI70" s="36"/>
      <c r="BJ70" s="36"/>
      <c r="BK70" s="36"/>
      <c r="BL70" s="36"/>
      <c r="BM70" s="36"/>
      <c r="BN70" s="36"/>
      <c r="BO70" s="36"/>
    </row>
    <row r="71" spans="1:67" x14ac:dyDescent="0.25">
      <c r="A71" s="39"/>
      <c r="B71" s="40"/>
      <c r="U71" s="36"/>
      <c r="V71" s="36"/>
      <c r="W71" s="35"/>
      <c r="X71" s="7"/>
      <c r="Y71" s="7"/>
      <c r="Z71" s="7"/>
      <c r="AA71" s="7"/>
      <c r="AB71" s="7"/>
      <c r="AC71" s="7"/>
      <c r="AD71" s="7"/>
      <c r="AE71" s="7"/>
      <c r="AG71" s="36"/>
      <c r="AH71" s="36"/>
      <c r="AI71" s="35"/>
      <c r="AJ71" s="7"/>
      <c r="AK71" s="7"/>
      <c r="AL71" s="7"/>
      <c r="AM71" s="7"/>
      <c r="AN71" s="7"/>
      <c r="AO71" s="7"/>
      <c r="AP71" s="7"/>
      <c r="AQ71" s="7"/>
      <c r="AS71" s="36"/>
      <c r="AT71" s="36"/>
      <c r="AU71" s="35"/>
      <c r="AV71" s="7"/>
      <c r="AW71" s="7"/>
      <c r="AX71" s="7"/>
      <c r="AY71" s="7"/>
      <c r="AZ71" s="7"/>
      <c r="BA71" s="7"/>
      <c r="BB71" s="7"/>
      <c r="BC71" s="7"/>
      <c r="BF71" s="7"/>
      <c r="BG71" s="36"/>
      <c r="BH71" s="36"/>
      <c r="BI71" s="36"/>
      <c r="BJ71" s="36"/>
      <c r="BK71" s="36"/>
      <c r="BL71" s="36"/>
      <c r="BM71" s="36"/>
      <c r="BN71" s="36"/>
      <c r="BO71" s="36"/>
    </row>
    <row r="72" spans="1:67" x14ac:dyDescent="0.25">
      <c r="A72" s="39"/>
      <c r="B72" s="40"/>
      <c r="U72" s="36"/>
      <c r="V72" s="36"/>
      <c r="W72" s="35"/>
      <c r="X72" s="7"/>
      <c r="Y72" s="7"/>
      <c r="Z72" s="7"/>
      <c r="AA72" s="7"/>
      <c r="AB72" s="7"/>
      <c r="AC72" s="7"/>
      <c r="AD72" s="7"/>
      <c r="AE72" s="7"/>
      <c r="AG72" s="36"/>
      <c r="AH72" s="36"/>
      <c r="AI72" s="35"/>
      <c r="AJ72" s="7"/>
      <c r="AK72" s="7"/>
      <c r="AL72" s="7"/>
      <c r="AM72" s="7"/>
      <c r="AN72" s="7"/>
      <c r="AO72" s="7"/>
      <c r="AP72" s="7"/>
      <c r="AQ72" s="7"/>
      <c r="AS72" s="36"/>
      <c r="AT72" s="36"/>
      <c r="AU72" s="35"/>
      <c r="AV72" s="7"/>
      <c r="AW72" s="7"/>
      <c r="AX72" s="7"/>
      <c r="AY72" s="7"/>
      <c r="AZ72" s="7"/>
      <c r="BA72" s="7"/>
      <c r="BB72" s="7"/>
      <c r="BC72" s="7"/>
      <c r="BF72" s="7"/>
      <c r="BG72" s="36"/>
      <c r="BH72" s="36"/>
      <c r="BI72" s="36"/>
      <c r="BJ72" s="36"/>
      <c r="BK72" s="36"/>
      <c r="BL72" s="36"/>
      <c r="BM72" s="36"/>
      <c r="BN72" s="36"/>
      <c r="BO72" s="36"/>
    </row>
    <row r="73" spans="1:67" x14ac:dyDescent="0.25">
      <c r="A73" s="39"/>
      <c r="B73" s="40"/>
      <c r="U73" s="36"/>
      <c r="V73" s="36"/>
      <c r="W73" s="35"/>
      <c r="X73" s="7"/>
      <c r="Y73" s="7"/>
      <c r="Z73" s="7"/>
      <c r="AA73" s="7"/>
      <c r="AB73" s="7"/>
      <c r="AC73" s="7"/>
      <c r="AD73" s="7"/>
      <c r="AE73" s="7"/>
      <c r="AG73" s="36"/>
      <c r="AH73" s="36"/>
      <c r="AI73" s="35"/>
      <c r="AJ73" s="7"/>
      <c r="AK73" s="7"/>
      <c r="AL73" s="7"/>
      <c r="AM73" s="7"/>
      <c r="AN73" s="7"/>
      <c r="AO73" s="7"/>
      <c r="AP73" s="7"/>
      <c r="AQ73" s="7"/>
      <c r="AS73" s="36"/>
      <c r="AT73" s="36"/>
      <c r="AU73" s="35"/>
      <c r="AV73" s="7"/>
      <c r="AW73" s="7"/>
      <c r="AX73" s="7"/>
      <c r="AY73" s="7"/>
      <c r="AZ73" s="7"/>
      <c r="BA73" s="7"/>
      <c r="BB73" s="7"/>
      <c r="BC73" s="7"/>
      <c r="BF73" s="7"/>
      <c r="BG73" s="36"/>
      <c r="BH73" s="36"/>
      <c r="BI73" s="36"/>
      <c r="BJ73" s="36"/>
      <c r="BK73" s="36"/>
      <c r="BL73" s="36"/>
      <c r="BM73" s="36"/>
      <c r="BN73" s="36"/>
      <c r="BO73" s="36"/>
    </row>
    <row r="74" spans="1:67" x14ac:dyDescent="0.25">
      <c r="A74" s="39"/>
      <c r="B74" s="40"/>
      <c r="U74" s="36"/>
      <c r="V74" s="36"/>
      <c r="W74" s="35"/>
      <c r="X74" s="7"/>
      <c r="Y74" s="7"/>
      <c r="Z74" s="7"/>
      <c r="AA74" s="7"/>
      <c r="AB74" s="7"/>
      <c r="AC74" s="7"/>
      <c r="AD74" s="7"/>
      <c r="AE74" s="7"/>
      <c r="AG74" s="36"/>
      <c r="AH74" s="36"/>
      <c r="AI74" s="35"/>
      <c r="AJ74" s="7"/>
      <c r="AK74" s="7"/>
      <c r="AL74" s="7"/>
      <c r="AM74" s="7"/>
      <c r="AN74" s="7"/>
      <c r="AO74" s="7"/>
      <c r="AP74" s="7"/>
      <c r="AQ74" s="7"/>
      <c r="AS74" s="36"/>
      <c r="AT74" s="36"/>
      <c r="AU74" s="35"/>
      <c r="AV74" s="7"/>
      <c r="AW74" s="7"/>
      <c r="AX74" s="7"/>
      <c r="AY74" s="7"/>
      <c r="AZ74" s="7"/>
      <c r="BA74" s="7"/>
      <c r="BB74" s="7"/>
      <c r="BC74" s="7"/>
      <c r="BF74" s="7"/>
      <c r="BG74" s="36"/>
      <c r="BH74" s="36"/>
      <c r="BI74" s="36"/>
      <c r="BJ74" s="36"/>
      <c r="BK74" s="36"/>
      <c r="BL74" s="36"/>
      <c r="BM74" s="36"/>
      <c r="BN74" s="36"/>
      <c r="BO74" s="36"/>
    </row>
    <row r="75" spans="1:67" x14ac:dyDescent="0.25">
      <c r="A75" s="39"/>
      <c r="B75" s="40"/>
      <c r="U75" s="36"/>
      <c r="V75" s="36"/>
      <c r="W75" s="35"/>
      <c r="X75" s="7"/>
      <c r="Y75" s="7"/>
      <c r="Z75" s="7"/>
      <c r="AA75" s="7"/>
      <c r="AB75" s="7"/>
      <c r="AC75" s="7"/>
      <c r="AD75" s="7"/>
      <c r="AE75" s="7"/>
      <c r="AG75" s="36"/>
      <c r="AH75" s="36"/>
      <c r="AI75" s="35"/>
      <c r="AJ75" s="7"/>
      <c r="AK75" s="7"/>
      <c r="AL75" s="7"/>
      <c r="AM75" s="7"/>
      <c r="AN75" s="7"/>
      <c r="AO75" s="7"/>
      <c r="AP75" s="7"/>
      <c r="AQ75" s="7"/>
      <c r="AS75" s="36"/>
      <c r="AT75" s="36"/>
      <c r="AU75" s="35"/>
      <c r="AV75" s="7"/>
      <c r="AW75" s="7"/>
      <c r="AX75" s="7"/>
      <c r="AY75" s="7"/>
      <c r="AZ75" s="7"/>
      <c r="BA75" s="7"/>
      <c r="BB75" s="7"/>
      <c r="BC75" s="7"/>
      <c r="BF75" s="7"/>
      <c r="BG75" s="36"/>
      <c r="BH75" s="36"/>
      <c r="BI75" s="36"/>
      <c r="BJ75" s="36"/>
      <c r="BK75" s="36"/>
      <c r="BL75" s="36"/>
      <c r="BM75" s="36"/>
      <c r="BN75" s="36"/>
      <c r="BO75" s="36"/>
    </row>
    <row r="76" spans="1:67" x14ac:dyDescent="0.25">
      <c r="A76" s="39"/>
      <c r="B76" s="40"/>
      <c r="U76" s="36"/>
      <c r="V76" s="36"/>
      <c r="W76" s="35"/>
      <c r="X76" s="7"/>
      <c r="Y76" s="7"/>
      <c r="Z76" s="7"/>
      <c r="AA76" s="7"/>
      <c r="AB76" s="7"/>
      <c r="AC76" s="7"/>
      <c r="AD76" s="7"/>
      <c r="AE76" s="7"/>
      <c r="AG76" s="36"/>
      <c r="AH76" s="36"/>
      <c r="AI76" s="35"/>
      <c r="AJ76" s="7"/>
      <c r="AK76" s="7"/>
      <c r="AL76" s="7"/>
      <c r="AM76" s="7"/>
      <c r="AN76" s="7"/>
      <c r="AO76" s="7"/>
      <c r="AP76" s="7"/>
      <c r="AQ76" s="7"/>
      <c r="AS76" s="36"/>
      <c r="AT76" s="36"/>
      <c r="AU76" s="35"/>
      <c r="AV76" s="7"/>
      <c r="AW76" s="7"/>
      <c r="AX76" s="7"/>
      <c r="AY76" s="7"/>
      <c r="AZ76" s="7"/>
      <c r="BA76" s="7"/>
      <c r="BB76" s="7"/>
      <c r="BC76" s="7"/>
      <c r="BF76" s="7"/>
      <c r="BG76" s="36"/>
      <c r="BH76" s="36"/>
      <c r="BI76" s="36"/>
      <c r="BJ76" s="36"/>
      <c r="BK76" s="36"/>
      <c r="BL76" s="36"/>
      <c r="BM76" s="36"/>
      <c r="BN76" s="36"/>
      <c r="BO76" s="36"/>
    </row>
    <row r="77" spans="1:67" x14ac:dyDescent="0.25">
      <c r="A77" s="39"/>
      <c r="B77" s="40"/>
      <c r="U77" s="36"/>
      <c r="V77" s="36"/>
      <c r="W77" s="35"/>
      <c r="X77" s="7"/>
      <c r="Y77" s="7"/>
      <c r="Z77" s="7"/>
      <c r="AA77" s="7"/>
      <c r="AB77" s="7"/>
      <c r="AC77" s="7"/>
      <c r="AD77" s="7"/>
      <c r="AE77" s="7"/>
      <c r="AG77" s="36"/>
      <c r="AH77" s="36"/>
      <c r="AI77" s="35"/>
      <c r="AJ77" s="7"/>
      <c r="AK77" s="7"/>
      <c r="AL77" s="7"/>
      <c r="AM77" s="7"/>
      <c r="AN77" s="7"/>
      <c r="AO77" s="7"/>
      <c r="AP77" s="7"/>
      <c r="AQ77" s="7"/>
      <c r="AS77" s="36"/>
      <c r="AT77" s="36"/>
      <c r="AU77" s="35"/>
      <c r="AV77" s="7"/>
      <c r="AW77" s="7"/>
      <c r="AX77" s="7"/>
      <c r="AY77" s="7"/>
      <c r="AZ77" s="7"/>
      <c r="BA77" s="7"/>
      <c r="BB77" s="7"/>
      <c r="BC77" s="7"/>
      <c r="BF77" s="7"/>
      <c r="BG77" s="36"/>
      <c r="BH77" s="36"/>
      <c r="BI77" s="36"/>
      <c r="BJ77" s="36"/>
      <c r="BK77" s="36"/>
      <c r="BL77" s="36"/>
      <c r="BM77" s="36"/>
      <c r="BN77" s="36"/>
      <c r="BO77" s="36"/>
    </row>
    <row r="78" spans="1:67" x14ac:dyDescent="0.25">
      <c r="A78" s="39"/>
      <c r="B78" s="40"/>
      <c r="U78" s="36"/>
      <c r="V78" s="36"/>
      <c r="W78" s="35"/>
      <c r="X78" s="7"/>
      <c r="Y78" s="7"/>
      <c r="Z78" s="7"/>
      <c r="AA78" s="7"/>
      <c r="AB78" s="7"/>
      <c r="AC78" s="7"/>
      <c r="AD78" s="7"/>
      <c r="AE78" s="7"/>
      <c r="AG78" s="36"/>
      <c r="AH78" s="36"/>
      <c r="AI78" s="35"/>
      <c r="AJ78" s="7"/>
      <c r="AK78" s="7"/>
      <c r="AL78" s="7"/>
      <c r="AM78" s="7"/>
      <c r="AN78" s="7"/>
      <c r="AO78" s="7"/>
      <c r="AP78" s="7"/>
      <c r="AQ78" s="7"/>
      <c r="AS78" s="36"/>
      <c r="AT78" s="36"/>
      <c r="AU78" s="35"/>
      <c r="AV78" s="7"/>
      <c r="AW78" s="7"/>
      <c r="AX78" s="7"/>
      <c r="AY78" s="7"/>
      <c r="AZ78" s="7"/>
      <c r="BA78" s="7"/>
      <c r="BB78" s="7"/>
      <c r="BC78" s="7"/>
      <c r="BF78" s="7"/>
      <c r="BG78" s="36"/>
      <c r="BH78" s="36"/>
      <c r="BI78" s="36"/>
      <c r="BJ78" s="36"/>
      <c r="BK78" s="36"/>
      <c r="BL78" s="36"/>
      <c r="BM78" s="36"/>
      <c r="BN78" s="36"/>
      <c r="BO78" s="36"/>
    </row>
    <row r="79" spans="1:67" x14ac:dyDescent="0.25">
      <c r="A79" s="39"/>
      <c r="B79" s="40"/>
      <c r="U79" s="36"/>
      <c r="V79" s="36"/>
      <c r="W79" s="35"/>
      <c r="X79" s="7"/>
      <c r="Y79" s="7"/>
      <c r="Z79" s="7"/>
      <c r="AA79" s="7"/>
      <c r="AB79" s="7"/>
      <c r="AC79" s="7"/>
      <c r="AD79" s="7"/>
      <c r="AE79" s="7"/>
      <c r="AG79" s="36"/>
      <c r="AH79" s="36"/>
      <c r="AI79" s="35"/>
      <c r="AJ79" s="7"/>
      <c r="AK79" s="7"/>
      <c r="AL79" s="7"/>
      <c r="AM79" s="7"/>
      <c r="AN79" s="7"/>
      <c r="AO79" s="7"/>
      <c r="AP79" s="7"/>
      <c r="AQ79" s="7"/>
      <c r="AS79" s="36"/>
      <c r="AT79" s="36"/>
      <c r="AU79" s="35"/>
      <c r="AV79" s="7"/>
      <c r="AW79" s="7"/>
      <c r="AX79" s="7"/>
      <c r="AY79" s="7"/>
      <c r="AZ79" s="7"/>
      <c r="BA79" s="7"/>
      <c r="BB79" s="7"/>
      <c r="BC79" s="7"/>
      <c r="BF79" s="7"/>
      <c r="BG79" s="36"/>
      <c r="BH79" s="36"/>
      <c r="BI79" s="36"/>
      <c r="BJ79" s="36"/>
      <c r="BK79" s="36"/>
      <c r="BL79" s="36"/>
      <c r="BM79" s="36"/>
      <c r="BN79" s="36"/>
      <c r="BO79" s="36"/>
    </row>
    <row r="80" spans="1:67" x14ac:dyDescent="0.25">
      <c r="A80" s="39"/>
      <c r="B80" s="40"/>
      <c r="U80" s="36"/>
      <c r="V80" s="36"/>
      <c r="W80" s="35"/>
      <c r="X80" s="7"/>
      <c r="Y80" s="7"/>
      <c r="Z80" s="7"/>
      <c r="AA80" s="7"/>
      <c r="AB80" s="7"/>
      <c r="AC80" s="7"/>
      <c r="AD80" s="7"/>
      <c r="AE80" s="7"/>
      <c r="AG80" s="36"/>
      <c r="AH80" s="36"/>
      <c r="AI80" s="35"/>
      <c r="AJ80" s="7"/>
      <c r="AK80" s="7"/>
      <c r="AL80" s="7"/>
      <c r="AM80" s="7"/>
      <c r="AN80" s="7"/>
      <c r="AO80" s="7"/>
      <c r="AP80" s="7"/>
      <c r="AQ80" s="7"/>
      <c r="AS80" s="36"/>
      <c r="AT80" s="36"/>
      <c r="AU80" s="35"/>
      <c r="AV80" s="7"/>
      <c r="AW80" s="7"/>
      <c r="AX80" s="7"/>
      <c r="AY80" s="7"/>
      <c r="AZ80" s="7"/>
      <c r="BA80" s="7"/>
      <c r="BB80" s="7"/>
      <c r="BC80" s="7"/>
      <c r="BF80" s="7"/>
      <c r="BG80" s="36"/>
      <c r="BH80" s="36"/>
      <c r="BI80" s="36"/>
      <c r="BJ80" s="36"/>
      <c r="BK80" s="36"/>
      <c r="BL80" s="36"/>
      <c r="BM80" s="36"/>
      <c r="BN80" s="36"/>
      <c r="BO80" s="36"/>
    </row>
    <row r="81" spans="1:67" x14ac:dyDescent="0.25">
      <c r="A81" s="39"/>
      <c r="B81" s="40"/>
      <c r="U81" s="36"/>
      <c r="V81" s="36"/>
      <c r="W81" s="35"/>
      <c r="X81" s="7"/>
      <c r="Y81" s="7"/>
      <c r="Z81" s="7"/>
      <c r="AA81" s="7"/>
      <c r="AB81" s="7"/>
      <c r="AC81" s="7"/>
      <c r="AD81" s="7"/>
      <c r="AE81" s="7"/>
      <c r="AG81" s="36"/>
      <c r="AH81" s="36"/>
      <c r="AI81" s="35"/>
      <c r="AJ81" s="7"/>
      <c r="AK81" s="7"/>
      <c r="AL81" s="7"/>
      <c r="AM81" s="7"/>
      <c r="AN81" s="7"/>
      <c r="AO81" s="7"/>
      <c r="AP81" s="7"/>
      <c r="AQ81" s="7"/>
      <c r="AS81" s="36"/>
      <c r="AT81" s="36"/>
      <c r="AU81" s="35"/>
      <c r="AV81" s="7"/>
      <c r="AW81" s="7"/>
      <c r="AX81" s="7"/>
      <c r="AY81" s="7"/>
      <c r="AZ81" s="7"/>
      <c r="BA81" s="7"/>
      <c r="BB81" s="7"/>
      <c r="BC81" s="7"/>
      <c r="BF81" s="7"/>
      <c r="BG81" s="36"/>
      <c r="BH81" s="36"/>
      <c r="BI81" s="36"/>
      <c r="BJ81" s="36"/>
      <c r="BK81" s="36"/>
      <c r="BL81" s="36"/>
      <c r="BM81" s="36"/>
      <c r="BN81" s="36"/>
      <c r="BO81" s="36"/>
    </row>
    <row r="82" spans="1:67" x14ac:dyDescent="0.25">
      <c r="A82" s="39"/>
      <c r="B82" s="40"/>
      <c r="U82" s="36"/>
      <c r="V82" s="36"/>
      <c r="W82" s="35"/>
      <c r="X82" s="7"/>
      <c r="Y82" s="7"/>
      <c r="Z82" s="7"/>
      <c r="AA82" s="7"/>
      <c r="AB82" s="7"/>
      <c r="AC82" s="7"/>
      <c r="AD82" s="7"/>
      <c r="AE82" s="7"/>
      <c r="AG82" s="36"/>
      <c r="AH82" s="36"/>
      <c r="AI82" s="35"/>
      <c r="AJ82" s="7"/>
      <c r="AK82" s="7"/>
      <c r="AL82" s="7"/>
      <c r="AM82" s="7"/>
      <c r="AN82" s="7"/>
      <c r="AO82" s="7"/>
      <c r="AP82" s="7"/>
      <c r="AQ82" s="7"/>
      <c r="AS82" s="36"/>
      <c r="AT82" s="36"/>
      <c r="AU82" s="35"/>
      <c r="AV82" s="7"/>
      <c r="AW82" s="7"/>
      <c r="AX82" s="7"/>
      <c r="AY82" s="7"/>
      <c r="AZ82" s="7"/>
      <c r="BA82" s="7"/>
      <c r="BB82" s="7"/>
      <c r="BC82" s="7"/>
      <c r="BF82" s="7"/>
      <c r="BG82" s="36"/>
      <c r="BH82" s="36"/>
      <c r="BI82" s="36"/>
      <c r="BJ82" s="36"/>
      <c r="BK82" s="36"/>
      <c r="BL82" s="36"/>
      <c r="BM82" s="36"/>
      <c r="BN82" s="36"/>
      <c r="BO82" s="36"/>
    </row>
    <row r="83" spans="1:67" x14ac:dyDescent="0.25">
      <c r="A83" s="39"/>
      <c r="B83" s="40"/>
      <c r="U83" s="36"/>
      <c r="V83" s="36"/>
      <c r="W83" s="35"/>
      <c r="X83" s="7"/>
      <c r="Y83" s="7"/>
      <c r="Z83" s="7"/>
      <c r="AA83" s="7"/>
      <c r="AB83" s="7"/>
      <c r="AC83" s="7"/>
      <c r="AD83" s="7"/>
      <c r="AE83" s="7"/>
      <c r="AG83" s="36"/>
      <c r="AH83" s="36"/>
      <c r="AI83" s="35"/>
      <c r="AJ83" s="7"/>
      <c r="AK83" s="7"/>
      <c r="AL83" s="7"/>
      <c r="AM83" s="7"/>
      <c r="AN83" s="7"/>
      <c r="AO83" s="7"/>
      <c r="AP83" s="7"/>
      <c r="AQ83" s="7"/>
      <c r="AS83" s="36"/>
      <c r="AT83" s="36"/>
      <c r="AU83" s="35"/>
      <c r="AV83" s="7"/>
      <c r="AW83" s="7"/>
      <c r="AX83" s="7"/>
      <c r="AY83" s="7"/>
      <c r="AZ83" s="7"/>
      <c r="BA83" s="7"/>
      <c r="BB83" s="7"/>
      <c r="BC83" s="7"/>
      <c r="BF83" s="7"/>
      <c r="BG83" s="36"/>
      <c r="BH83" s="36"/>
      <c r="BI83" s="36"/>
      <c r="BJ83" s="36"/>
      <c r="BK83" s="36"/>
      <c r="BL83" s="36"/>
      <c r="BM83" s="36"/>
      <c r="BN83" s="36"/>
      <c r="BO83" s="36"/>
    </row>
    <row r="84" spans="1:67" x14ac:dyDescent="0.25">
      <c r="A84" s="39"/>
      <c r="B84" s="40"/>
      <c r="U84" s="36"/>
      <c r="V84" s="36"/>
      <c r="W84" s="35"/>
      <c r="X84" s="7"/>
      <c r="Y84" s="7"/>
      <c r="Z84" s="7"/>
      <c r="AA84" s="7"/>
      <c r="AB84" s="7"/>
      <c r="AC84" s="7"/>
      <c r="AD84" s="7"/>
      <c r="AE84" s="7"/>
      <c r="AG84" s="36"/>
      <c r="AH84" s="36"/>
      <c r="AI84" s="35"/>
      <c r="AJ84" s="7"/>
      <c r="AK84" s="7"/>
      <c r="AL84" s="7"/>
      <c r="AM84" s="7"/>
      <c r="AN84" s="7"/>
      <c r="AO84" s="7"/>
      <c r="AP84" s="7"/>
      <c r="AQ84" s="7"/>
      <c r="AS84" s="36"/>
      <c r="AT84" s="36"/>
      <c r="AU84" s="35"/>
      <c r="AV84" s="7"/>
      <c r="AW84" s="7"/>
      <c r="AX84" s="7"/>
      <c r="AY84" s="7"/>
      <c r="AZ84" s="7"/>
      <c r="BA84" s="7"/>
      <c r="BB84" s="7"/>
      <c r="BC84" s="7"/>
      <c r="BF84" s="7"/>
      <c r="BG84" s="36"/>
      <c r="BH84" s="36"/>
      <c r="BI84" s="36"/>
      <c r="BJ84" s="36"/>
      <c r="BK84" s="36"/>
      <c r="BL84" s="36"/>
      <c r="BM84" s="36"/>
      <c r="BN84" s="36"/>
      <c r="BO84" s="36"/>
    </row>
    <row r="85" spans="1:67" x14ac:dyDescent="0.25">
      <c r="A85" s="39"/>
      <c r="B85" s="40"/>
      <c r="U85" s="36"/>
      <c r="V85" s="36"/>
      <c r="W85" s="35"/>
      <c r="X85" s="7"/>
      <c r="Y85" s="7"/>
      <c r="Z85" s="7"/>
      <c r="AA85" s="7"/>
      <c r="AB85" s="7"/>
      <c r="AC85" s="7"/>
      <c r="AD85" s="7"/>
      <c r="AE85" s="7"/>
      <c r="AG85" s="36"/>
      <c r="AH85" s="36"/>
      <c r="AI85" s="35"/>
      <c r="AJ85" s="7"/>
      <c r="AK85" s="7"/>
      <c r="AL85" s="7"/>
      <c r="AM85" s="7"/>
      <c r="AN85" s="7"/>
      <c r="AO85" s="7"/>
      <c r="AP85" s="7"/>
      <c r="AQ85" s="7"/>
      <c r="AS85" s="36"/>
      <c r="AT85" s="36"/>
      <c r="AU85" s="35"/>
      <c r="AV85" s="7"/>
      <c r="AW85" s="7"/>
      <c r="AX85" s="7"/>
      <c r="AY85" s="7"/>
      <c r="AZ85" s="7"/>
      <c r="BA85" s="7"/>
      <c r="BB85" s="7"/>
      <c r="BC85" s="7"/>
      <c r="BF85" s="7"/>
      <c r="BG85" s="36"/>
      <c r="BH85" s="36"/>
      <c r="BI85" s="36"/>
      <c r="BJ85" s="36"/>
      <c r="BK85" s="36"/>
      <c r="BL85" s="36"/>
      <c r="BM85" s="36"/>
      <c r="BN85" s="36"/>
      <c r="BO85" s="36"/>
    </row>
    <row r="86" spans="1:67" x14ac:dyDescent="0.25">
      <c r="A86" s="39"/>
      <c r="B86" s="40"/>
      <c r="U86" s="36"/>
      <c r="V86" s="36"/>
      <c r="W86" s="35"/>
      <c r="X86" s="7"/>
      <c r="Y86" s="7"/>
      <c r="Z86" s="7"/>
      <c r="AA86" s="7"/>
      <c r="AB86" s="7"/>
      <c r="AC86" s="7"/>
      <c r="AD86" s="7"/>
      <c r="AE86" s="7"/>
      <c r="AG86" s="36"/>
      <c r="AH86" s="36"/>
      <c r="AI86" s="35"/>
      <c r="AJ86" s="7"/>
      <c r="AK86" s="7"/>
      <c r="AL86" s="7"/>
      <c r="AM86" s="7"/>
      <c r="AN86" s="7"/>
      <c r="AO86" s="7"/>
      <c r="AP86" s="7"/>
      <c r="AQ86" s="7"/>
      <c r="AS86" s="36"/>
      <c r="AT86" s="36"/>
      <c r="AU86" s="35"/>
      <c r="AV86" s="7"/>
      <c r="AW86" s="7"/>
      <c r="AX86" s="7"/>
      <c r="AY86" s="7"/>
      <c r="AZ86" s="7"/>
      <c r="BA86" s="7"/>
      <c r="BB86" s="7"/>
      <c r="BC86" s="7"/>
      <c r="BF86" s="7"/>
      <c r="BG86" s="36"/>
      <c r="BH86" s="36"/>
      <c r="BI86" s="36"/>
      <c r="BJ86" s="36"/>
      <c r="BK86" s="36"/>
      <c r="BL86" s="36"/>
      <c r="BM86" s="36"/>
      <c r="BN86" s="36"/>
      <c r="BO86" s="36"/>
    </row>
    <row r="87" spans="1:67" x14ac:dyDescent="0.25">
      <c r="A87" s="39"/>
      <c r="B87" s="40"/>
      <c r="U87" s="36"/>
      <c r="V87" s="36"/>
      <c r="W87" s="35"/>
      <c r="X87" s="7"/>
      <c r="Y87" s="7"/>
      <c r="Z87" s="7"/>
      <c r="AA87" s="7"/>
      <c r="AB87" s="7"/>
      <c r="AC87" s="7"/>
      <c r="AD87" s="7"/>
      <c r="AE87" s="7"/>
      <c r="AG87" s="36"/>
      <c r="AH87" s="36"/>
      <c r="AI87" s="35"/>
      <c r="AJ87" s="7"/>
      <c r="AK87" s="7"/>
      <c r="AL87" s="7"/>
      <c r="AM87" s="7"/>
      <c r="AN87" s="7"/>
      <c r="AO87" s="7"/>
      <c r="AP87" s="7"/>
      <c r="AQ87" s="7"/>
      <c r="AS87" s="36"/>
      <c r="AT87" s="36"/>
      <c r="AU87" s="35"/>
      <c r="AV87" s="7"/>
      <c r="AW87" s="7"/>
      <c r="AX87" s="7"/>
      <c r="AY87" s="7"/>
      <c r="AZ87" s="7"/>
      <c r="BA87" s="7"/>
      <c r="BB87" s="7"/>
      <c r="BC87" s="7"/>
      <c r="BF87" s="7"/>
      <c r="BG87" s="36"/>
      <c r="BH87" s="36"/>
      <c r="BI87" s="36"/>
      <c r="BJ87" s="36"/>
      <c r="BK87" s="36"/>
      <c r="BL87" s="36"/>
      <c r="BM87" s="36"/>
      <c r="BN87" s="36"/>
      <c r="BO87" s="36"/>
    </row>
    <row r="88" spans="1:67" x14ac:dyDescent="0.25">
      <c r="A88" s="39"/>
      <c r="B88" s="40"/>
      <c r="U88" s="36"/>
      <c r="V88" s="36"/>
      <c r="W88" s="35"/>
      <c r="X88" s="7"/>
      <c r="Y88" s="7"/>
      <c r="Z88" s="7"/>
      <c r="AA88" s="7"/>
      <c r="AB88" s="7"/>
      <c r="AC88" s="7"/>
      <c r="AD88" s="7"/>
      <c r="AE88" s="7"/>
      <c r="AG88" s="36"/>
      <c r="AH88" s="36"/>
      <c r="AI88" s="35"/>
      <c r="AJ88" s="7"/>
      <c r="AK88" s="7"/>
      <c r="AL88" s="7"/>
      <c r="AM88" s="7"/>
      <c r="AN88" s="7"/>
      <c r="AO88" s="7"/>
      <c r="AP88" s="7"/>
      <c r="AQ88" s="7"/>
      <c r="AS88" s="36"/>
      <c r="AT88" s="36"/>
      <c r="AU88" s="35"/>
      <c r="AV88" s="7"/>
      <c r="AW88" s="7"/>
      <c r="AX88" s="7"/>
      <c r="AY88" s="7"/>
      <c r="AZ88" s="7"/>
      <c r="BA88" s="7"/>
      <c r="BB88" s="7"/>
      <c r="BC88" s="7"/>
      <c r="BF88" s="7"/>
      <c r="BG88" s="36"/>
      <c r="BH88" s="36"/>
      <c r="BI88" s="36"/>
      <c r="BJ88" s="36"/>
      <c r="BK88" s="36"/>
      <c r="BL88" s="36"/>
      <c r="BM88" s="36"/>
      <c r="BN88" s="36"/>
      <c r="BO88" s="36"/>
    </row>
    <row r="89" spans="1:67" x14ac:dyDescent="0.25">
      <c r="A89" s="39"/>
      <c r="B89" s="40"/>
      <c r="U89" s="36"/>
      <c r="V89" s="36"/>
      <c r="W89" s="35"/>
      <c r="X89" s="7"/>
      <c r="Y89" s="7"/>
      <c r="Z89" s="7"/>
      <c r="AA89" s="7"/>
      <c r="AB89" s="7"/>
      <c r="AC89" s="7"/>
      <c r="AD89" s="7"/>
      <c r="AE89" s="7"/>
      <c r="AG89" s="36"/>
      <c r="AH89" s="36"/>
      <c r="AI89" s="35"/>
      <c r="AJ89" s="7"/>
      <c r="AK89" s="7"/>
      <c r="AL89" s="7"/>
      <c r="AM89" s="7"/>
      <c r="AN89" s="7"/>
      <c r="AO89" s="7"/>
      <c r="AP89" s="7"/>
      <c r="AQ89" s="7"/>
      <c r="AS89" s="36"/>
      <c r="AT89" s="36"/>
      <c r="AU89" s="35"/>
      <c r="AV89" s="7"/>
      <c r="AW89" s="7"/>
      <c r="AX89" s="7"/>
      <c r="AY89" s="7"/>
      <c r="AZ89" s="7"/>
      <c r="BA89" s="7"/>
      <c r="BB89" s="7"/>
      <c r="BC89" s="7"/>
      <c r="BF89" s="7"/>
      <c r="BG89" s="36"/>
      <c r="BH89" s="36"/>
      <c r="BI89" s="36"/>
      <c r="BJ89" s="36"/>
      <c r="BK89" s="36"/>
      <c r="BL89" s="36"/>
      <c r="BM89" s="36"/>
      <c r="BN89" s="36"/>
      <c r="BO89" s="36"/>
    </row>
    <row r="90" spans="1:67" x14ac:dyDescent="0.25">
      <c r="A90" s="39"/>
      <c r="B90" s="40"/>
      <c r="U90" s="36"/>
      <c r="V90" s="36"/>
      <c r="W90" s="35"/>
      <c r="X90" s="7"/>
      <c r="Y90" s="7"/>
      <c r="Z90" s="7"/>
      <c r="AA90" s="7"/>
      <c r="AB90" s="7"/>
      <c r="AC90" s="7"/>
      <c r="AD90" s="7"/>
      <c r="AE90" s="7"/>
      <c r="AG90" s="36"/>
      <c r="AH90" s="36"/>
      <c r="AI90" s="35"/>
      <c r="AJ90" s="7"/>
      <c r="AK90" s="7"/>
      <c r="AL90" s="7"/>
      <c r="AM90" s="7"/>
      <c r="AN90" s="7"/>
      <c r="AO90" s="7"/>
      <c r="AP90" s="7"/>
      <c r="AQ90" s="7"/>
      <c r="AS90" s="36"/>
      <c r="AT90" s="36"/>
      <c r="AU90" s="35"/>
      <c r="AV90" s="7"/>
      <c r="AW90" s="7"/>
      <c r="AX90" s="7"/>
      <c r="AY90" s="7"/>
      <c r="AZ90" s="7"/>
      <c r="BA90" s="7"/>
      <c r="BB90" s="7"/>
      <c r="BC90" s="7"/>
      <c r="BF90" s="7"/>
      <c r="BG90" s="36"/>
      <c r="BH90" s="36"/>
      <c r="BI90" s="36"/>
      <c r="BJ90" s="36"/>
      <c r="BK90" s="36"/>
      <c r="BL90" s="36"/>
      <c r="BM90" s="36"/>
      <c r="BN90" s="36"/>
      <c r="BO90" s="36"/>
    </row>
    <row r="91" spans="1:67" x14ac:dyDescent="0.25">
      <c r="A91" s="39"/>
      <c r="B91" s="40"/>
      <c r="U91" s="36"/>
      <c r="V91" s="36"/>
      <c r="W91" s="35"/>
      <c r="X91" s="7"/>
      <c r="Y91" s="7"/>
      <c r="Z91" s="7"/>
      <c r="AA91" s="7"/>
      <c r="AB91" s="7"/>
      <c r="AC91" s="7"/>
      <c r="AD91" s="7"/>
      <c r="AE91" s="7"/>
      <c r="AG91" s="36"/>
      <c r="AH91" s="36"/>
      <c r="AI91" s="35"/>
      <c r="AJ91" s="7"/>
      <c r="AK91" s="7"/>
      <c r="AL91" s="7"/>
      <c r="AM91" s="7"/>
      <c r="AN91" s="7"/>
      <c r="AO91" s="7"/>
      <c r="AP91" s="7"/>
      <c r="AQ91" s="7"/>
      <c r="AS91" s="36"/>
      <c r="AT91" s="36"/>
      <c r="AU91" s="35"/>
      <c r="AV91" s="7"/>
      <c r="AW91" s="7"/>
      <c r="AX91" s="7"/>
      <c r="AY91" s="7"/>
      <c r="AZ91" s="7"/>
      <c r="BA91" s="7"/>
      <c r="BB91" s="7"/>
      <c r="BC91" s="7"/>
      <c r="BF91" s="7"/>
      <c r="BG91" s="36"/>
      <c r="BH91" s="36"/>
      <c r="BI91" s="36"/>
      <c r="BJ91" s="36"/>
      <c r="BK91" s="36"/>
      <c r="BL91" s="36"/>
      <c r="BM91" s="36"/>
      <c r="BN91" s="36"/>
      <c r="BO91" s="36"/>
    </row>
    <row r="92" spans="1:67" x14ac:dyDescent="0.25">
      <c r="A92" s="39"/>
      <c r="B92" s="40"/>
      <c r="U92" s="36"/>
      <c r="V92" s="36"/>
      <c r="W92" s="35"/>
      <c r="X92" s="7"/>
      <c r="Y92" s="7"/>
      <c r="Z92" s="7"/>
      <c r="AA92" s="7"/>
      <c r="AB92" s="7"/>
      <c r="AC92" s="7"/>
      <c r="AD92" s="7"/>
      <c r="AE92" s="7"/>
      <c r="AG92" s="36"/>
      <c r="AH92" s="36"/>
      <c r="AI92" s="35"/>
      <c r="AJ92" s="7"/>
      <c r="AK92" s="7"/>
      <c r="AL92" s="7"/>
      <c r="AM92" s="7"/>
      <c r="AN92" s="7"/>
      <c r="AO92" s="7"/>
      <c r="AP92" s="7"/>
      <c r="AQ92" s="7"/>
      <c r="AS92" s="36"/>
      <c r="AT92" s="36"/>
      <c r="AU92" s="35"/>
      <c r="AV92" s="7"/>
      <c r="AW92" s="7"/>
      <c r="AX92" s="7"/>
      <c r="AY92" s="7"/>
      <c r="AZ92" s="7"/>
      <c r="BA92" s="7"/>
      <c r="BB92" s="7"/>
      <c r="BC92" s="7"/>
      <c r="BF92" s="7"/>
      <c r="BG92" s="36"/>
      <c r="BH92" s="36"/>
      <c r="BI92" s="36"/>
      <c r="BJ92" s="36"/>
      <c r="BK92" s="36"/>
      <c r="BL92" s="36"/>
      <c r="BM92" s="36"/>
      <c r="BN92" s="36"/>
      <c r="BO92" s="36"/>
    </row>
    <row r="93" spans="1:67" x14ac:dyDescent="0.25">
      <c r="A93" s="39"/>
      <c r="B93" s="40"/>
      <c r="U93" s="36"/>
      <c r="V93" s="36"/>
      <c r="W93" s="35"/>
      <c r="X93" s="7"/>
      <c r="Y93" s="7"/>
      <c r="Z93" s="7"/>
      <c r="AA93" s="7"/>
      <c r="AB93" s="7"/>
      <c r="AC93" s="7"/>
      <c r="AD93" s="7"/>
      <c r="AE93" s="7"/>
      <c r="AG93" s="36"/>
      <c r="AH93" s="36"/>
      <c r="AI93" s="35"/>
      <c r="AJ93" s="7"/>
      <c r="AK93" s="7"/>
      <c r="AL93" s="7"/>
      <c r="AM93" s="7"/>
      <c r="AN93" s="7"/>
      <c r="AO93" s="7"/>
      <c r="AP93" s="7"/>
      <c r="AQ93" s="7"/>
      <c r="AS93" s="36"/>
      <c r="AT93" s="36"/>
      <c r="AU93" s="35"/>
      <c r="AV93" s="7"/>
      <c r="AW93" s="7"/>
      <c r="AX93" s="7"/>
      <c r="AY93" s="7"/>
      <c r="AZ93" s="7"/>
      <c r="BA93" s="7"/>
      <c r="BB93" s="7"/>
      <c r="BC93" s="7"/>
      <c r="BF93" s="7"/>
      <c r="BG93" s="36"/>
      <c r="BH93" s="36"/>
      <c r="BI93" s="36"/>
      <c r="BJ93" s="36"/>
      <c r="BK93" s="36"/>
      <c r="BL93" s="36"/>
      <c r="BM93" s="36"/>
      <c r="BN93" s="36"/>
      <c r="BO93" s="36"/>
    </row>
    <row r="94" spans="1:67" x14ac:dyDescent="0.25">
      <c r="A94" s="39"/>
      <c r="B94" s="40"/>
      <c r="U94" s="36"/>
      <c r="V94" s="36"/>
      <c r="W94" s="35"/>
      <c r="X94" s="7"/>
      <c r="Y94" s="7"/>
      <c r="Z94" s="7"/>
      <c r="AA94" s="7"/>
      <c r="AB94" s="7"/>
      <c r="AC94" s="7"/>
      <c r="AD94" s="7"/>
      <c r="AE94" s="7"/>
      <c r="AG94" s="36"/>
      <c r="AH94" s="36"/>
      <c r="AI94" s="35"/>
      <c r="AJ94" s="7"/>
      <c r="AK94" s="7"/>
      <c r="AL94" s="7"/>
      <c r="AM94" s="7"/>
      <c r="AN94" s="7"/>
      <c r="AO94" s="7"/>
      <c r="AP94" s="7"/>
      <c r="AQ94" s="7"/>
      <c r="AS94" s="36"/>
      <c r="AT94" s="36"/>
      <c r="AU94" s="35"/>
      <c r="AV94" s="7"/>
      <c r="AW94" s="7"/>
      <c r="AX94" s="7"/>
      <c r="AY94" s="7"/>
      <c r="AZ94" s="7"/>
      <c r="BA94" s="7"/>
      <c r="BB94" s="7"/>
      <c r="BC94" s="7"/>
      <c r="BF94" s="7"/>
      <c r="BG94" s="36"/>
      <c r="BH94" s="36"/>
      <c r="BI94" s="36"/>
      <c r="BJ94" s="36"/>
      <c r="BK94" s="36"/>
      <c r="BL94" s="36"/>
      <c r="BM94" s="36"/>
      <c r="BN94" s="36"/>
      <c r="BO94" s="36"/>
    </row>
    <row r="95" spans="1:67" x14ac:dyDescent="0.25">
      <c r="A95" s="39"/>
      <c r="B95" s="40"/>
      <c r="U95" s="36"/>
      <c r="V95" s="36"/>
      <c r="W95" s="35"/>
      <c r="X95" s="7"/>
      <c r="Y95" s="7"/>
      <c r="Z95" s="7"/>
      <c r="AA95" s="7"/>
      <c r="AB95" s="7"/>
      <c r="AC95" s="7"/>
      <c r="AD95" s="7"/>
      <c r="AE95" s="7"/>
      <c r="AG95" s="36"/>
      <c r="AH95" s="36"/>
      <c r="AI95" s="35"/>
      <c r="AJ95" s="7"/>
      <c r="AK95" s="7"/>
      <c r="AL95" s="7"/>
      <c r="AM95" s="7"/>
      <c r="AN95" s="7"/>
      <c r="AO95" s="7"/>
      <c r="AP95" s="7"/>
      <c r="AQ95" s="7"/>
      <c r="AS95" s="36"/>
      <c r="AT95" s="36"/>
      <c r="AU95" s="35"/>
      <c r="AV95" s="7"/>
      <c r="AW95" s="7"/>
      <c r="AX95" s="7"/>
      <c r="AY95" s="7"/>
      <c r="AZ95" s="7"/>
      <c r="BA95" s="7"/>
      <c r="BB95" s="7"/>
      <c r="BC95" s="7"/>
      <c r="BF95" s="7"/>
      <c r="BG95" s="36"/>
      <c r="BH95" s="36"/>
      <c r="BI95" s="36"/>
      <c r="BJ95" s="36"/>
      <c r="BK95" s="36"/>
      <c r="BL95" s="36"/>
      <c r="BM95" s="36"/>
      <c r="BN95" s="36"/>
      <c r="BO95" s="36"/>
    </row>
    <row r="96" spans="1:67" x14ac:dyDescent="0.25">
      <c r="A96" s="39"/>
      <c r="B96" s="40"/>
      <c r="U96" s="36"/>
      <c r="V96" s="36"/>
      <c r="W96" s="35"/>
      <c r="X96" s="7"/>
      <c r="Y96" s="7"/>
      <c r="Z96" s="7"/>
      <c r="AA96" s="7"/>
      <c r="AB96" s="7"/>
      <c r="AC96" s="7"/>
      <c r="AD96" s="7"/>
      <c r="AE96" s="7"/>
      <c r="AG96" s="36"/>
      <c r="AH96" s="36"/>
      <c r="AI96" s="35"/>
      <c r="AJ96" s="7"/>
      <c r="AK96" s="7"/>
      <c r="AL96" s="7"/>
      <c r="AM96" s="7"/>
      <c r="AN96" s="7"/>
      <c r="AO96" s="7"/>
      <c r="AP96" s="7"/>
      <c r="AQ96" s="7"/>
      <c r="AS96" s="36"/>
      <c r="AT96" s="36"/>
      <c r="AU96" s="35"/>
      <c r="AV96" s="7"/>
      <c r="AW96" s="7"/>
      <c r="AX96" s="7"/>
      <c r="AY96" s="7"/>
      <c r="AZ96" s="7"/>
      <c r="BA96" s="7"/>
      <c r="BB96" s="7"/>
      <c r="BC96" s="7"/>
      <c r="BF96" s="7"/>
      <c r="BG96" s="36"/>
      <c r="BH96" s="36"/>
      <c r="BI96" s="36"/>
      <c r="BJ96" s="36"/>
      <c r="BK96" s="36"/>
      <c r="BL96" s="36"/>
      <c r="BM96" s="36"/>
      <c r="BN96" s="36"/>
      <c r="BO96" s="36"/>
    </row>
    <row r="97" spans="1:67" x14ac:dyDescent="0.25">
      <c r="A97" s="39"/>
      <c r="B97" s="40"/>
      <c r="U97" s="36"/>
      <c r="V97" s="36"/>
      <c r="W97" s="35"/>
      <c r="X97" s="7"/>
      <c r="Y97" s="7"/>
      <c r="Z97" s="7"/>
      <c r="AA97" s="7"/>
      <c r="AB97" s="7"/>
      <c r="AC97" s="7"/>
      <c r="AD97" s="7"/>
      <c r="AE97" s="7"/>
      <c r="AG97" s="36"/>
      <c r="AH97" s="36"/>
      <c r="AI97" s="35"/>
      <c r="AJ97" s="7"/>
      <c r="AK97" s="7"/>
      <c r="AL97" s="7"/>
      <c r="AM97" s="7"/>
      <c r="AN97" s="7"/>
      <c r="AO97" s="7"/>
      <c r="AP97" s="7"/>
      <c r="AQ97" s="7"/>
      <c r="AS97" s="36"/>
      <c r="AT97" s="36"/>
      <c r="AU97" s="35"/>
      <c r="AV97" s="7"/>
      <c r="AW97" s="7"/>
      <c r="AX97" s="7"/>
      <c r="AY97" s="7"/>
      <c r="AZ97" s="7"/>
      <c r="BA97" s="7"/>
      <c r="BB97" s="7"/>
      <c r="BC97" s="7"/>
      <c r="BF97" s="7"/>
      <c r="BG97" s="36"/>
      <c r="BH97" s="36"/>
      <c r="BI97" s="36"/>
      <c r="BJ97" s="36"/>
      <c r="BK97" s="36"/>
      <c r="BL97" s="36"/>
      <c r="BM97" s="36"/>
      <c r="BN97" s="36"/>
      <c r="BO97" s="36"/>
    </row>
    <row r="98" spans="1:67" x14ac:dyDescent="0.25">
      <c r="A98" s="39"/>
      <c r="B98" s="40"/>
      <c r="U98" s="36"/>
      <c r="V98" s="36"/>
      <c r="W98" s="35"/>
      <c r="X98" s="7"/>
      <c r="Y98" s="7"/>
      <c r="Z98" s="7"/>
      <c r="AA98" s="7"/>
      <c r="AB98" s="7"/>
      <c r="AC98" s="7"/>
      <c r="AD98" s="7"/>
      <c r="AE98" s="7"/>
      <c r="AG98" s="36"/>
      <c r="AH98" s="36"/>
      <c r="AI98" s="35"/>
      <c r="AJ98" s="7"/>
      <c r="AK98" s="7"/>
      <c r="AL98" s="7"/>
      <c r="AM98" s="7"/>
      <c r="AN98" s="7"/>
      <c r="AO98" s="7"/>
      <c r="AP98" s="7"/>
      <c r="AQ98" s="7"/>
      <c r="AS98" s="36"/>
      <c r="AT98" s="36"/>
      <c r="AU98" s="35"/>
      <c r="AV98" s="7"/>
      <c r="AW98" s="7"/>
      <c r="AX98" s="7"/>
      <c r="AY98" s="7"/>
      <c r="AZ98" s="7"/>
      <c r="BA98" s="7"/>
      <c r="BB98" s="7"/>
      <c r="BC98" s="7"/>
      <c r="BF98" s="7"/>
      <c r="BG98" s="36"/>
      <c r="BH98" s="36"/>
      <c r="BI98" s="36"/>
      <c r="BJ98" s="36"/>
      <c r="BK98" s="36"/>
      <c r="BL98" s="36"/>
      <c r="BM98" s="36"/>
      <c r="BN98" s="36"/>
      <c r="BO98" s="36"/>
    </row>
    <row r="99" spans="1:67" x14ac:dyDescent="0.25">
      <c r="A99" s="39"/>
      <c r="B99" s="40"/>
      <c r="U99" s="36"/>
      <c r="V99" s="36"/>
      <c r="W99" s="35"/>
      <c r="X99" s="7"/>
      <c r="Y99" s="7"/>
      <c r="Z99" s="7"/>
      <c r="AA99" s="7"/>
      <c r="AB99" s="7"/>
      <c r="AC99" s="7"/>
      <c r="AD99" s="7"/>
      <c r="AE99" s="7"/>
      <c r="AG99" s="36"/>
      <c r="AH99" s="36"/>
      <c r="AI99" s="35"/>
      <c r="AJ99" s="7"/>
      <c r="AK99" s="7"/>
      <c r="AL99" s="7"/>
      <c r="AM99" s="7"/>
      <c r="AN99" s="7"/>
      <c r="AO99" s="7"/>
      <c r="AP99" s="7"/>
      <c r="AQ99" s="7"/>
      <c r="AS99" s="36"/>
      <c r="AT99" s="36"/>
      <c r="AU99" s="35"/>
      <c r="AV99" s="7"/>
      <c r="AW99" s="7"/>
      <c r="AX99" s="7"/>
      <c r="AY99" s="7"/>
      <c r="AZ99" s="7"/>
      <c r="BA99" s="7"/>
      <c r="BB99" s="7"/>
      <c r="BC99" s="7"/>
      <c r="BF99" s="7"/>
      <c r="BG99" s="36"/>
      <c r="BH99" s="36"/>
      <c r="BI99" s="36"/>
      <c r="BJ99" s="36"/>
      <c r="BK99" s="36"/>
      <c r="BL99" s="36"/>
      <c r="BM99" s="36"/>
      <c r="BN99" s="36"/>
      <c r="BO99" s="36"/>
    </row>
    <row r="100" spans="1:67" x14ac:dyDescent="0.25">
      <c r="A100" s="39"/>
      <c r="B100" s="40"/>
      <c r="U100" s="36"/>
      <c r="V100" s="36"/>
      <c r="W100" s="35"/>
      <c r="X100" s="7"/>
      <c r="Y100" s="7"/>
      <c r="Z100" s="7"/>
      <c r="AA100" s="7"/>
      <c r="AB100" s="7"/>
      <c r="AC100" s="7"/>
      <c r="AD100" s="7"/>
      <c r="AE100" s="7"/>
      <c r="AG100" s="36"/>
      <c r="AH100" s="36"/>
      <c r="AI100" s="35"/>
      <c r="AJ100" s="7"/>
      <c r="AK100" s="7"/>
      <c r="AL100" s="7"/>
      <c r="AM100" s="7"/>
      <c r="AN100" s="7"/>
      <c r="AO100" s="7"/>
      <c r="AP100" s="7"/>
      <c r="AQ100" s="7"/>
      <c r="AS100" s="36"/>
      <c r="AT100" s="36"/>
      <c r="AU100" s="35"/>
      <c r="AV100" s="7"/>
      <c r="AW100" s="7"/>
      <c r="AX100" s="7"/>
      <c r="AY100" s="7"/>
      <c r="AZ100" s="7"/>
      <c r="BA100" s="7"/>
      <c r="BB100" s="7"/>
      <c r="BC100" s="7"/>
      <c r="BF100" s="7"/>
      <c r="BG100" s="36"/>
      <c r="BH100" s="36"/>
      <c r="BI100" s="36"/>
      <c r="BJ100" s="36"/>
      <c r="BK100" s="36"/>
      <c r="BL100" s="36"/>
      <c r="BM100" s="36"/>
      <c r="BN100" s="36"/>
      <c r="BO100" s="36"/>
    </row>
    <row r="101" spans="1:67" x14ac:dyDescent="0.25">
      <c r="A101" s="39"/>
      <c r="B101" s="40"/>
      <c r="U101" s="36"/>
      <c r="V101" s="36"/>
      <c r="W101" s="35"/>
      <c r="X101" s="7"/>
      <c r="Y101" s="7"/>
      <c r="Z101" s="7"/>
      <c r="AA101" s="7"/>
      <c r="AB101" s="7"/>
      <c r="AC101" s="7"/>
      <c r="AD101" s="7"/>
      <c r="AE101" s="7"/>
      <c r="AG101" s="36"/>
      <c r="AH101" s="36"/>
      <c r="AI101" s="35"/>
      <c r="AJ101" s="7"/>
      <c r="AK101" s="7"/>
      <c r="AL101" s="7"/>
      <c r="AM101" s="7"/>
      <c r="AN101" s="7"/>
      <c r="AO101" s="7"/>
      <c r="AP101" s="7"/>
      <c r="AQ101" s="7"/>
      <c r="AS101" s="36"/>
      <c r="AT101" s="36"/>
      <c r="AU101" s="35"/>
      <c r="AV101" s="7"/>
      <c r="AW101" s="7"/>
      <c r="AX101" s="7"/>
      <c r="AY101" s="7"/>
      <c r="AZ101" s="7"/>
      <c r="BA101" s="7"/>
      <c r="BB101" s="7"/>
      <c r="BC101" s="7"/>
      <c r="BF101" s="7"/>
      <c r="BG101" s="36"/>
      <c r="BH101" s="36"/>
      <c r="BI101" s="36"/>
      <c r="BJ101" s="36"/>
      <c r="BK101" s="36"/>
      <c r="BL101" s="36"/>
      <c r="BM101" s="36"/>
      <c r="BN101" s="36"/>
      <c r="BO101" s="36"/>
    </row>
    <row r="102" spans="1:67" x14ac:dyDescent="0.25">
      <c r="A102" s="39"/>
      <c r="B102" s="40"/>
      <c r="U102" s="36"/>
      <c r="V102" s="36"/>
      <c r="W102" s="35"/>
      <c r="X102" s="7"/>
      <c r="Y102" s="7"/>
      <c r="Z102" s="7"/>
      <c r="AA102" s="7"/>
      <c r="AB102" s="7"/>
      <c r="AC102" s="7"/>
      <c r="AD102" s="7"/>
      <c r="AE102" s="7"/>
      <c r="AG102" s="36"/>
      <c r="AH102" s="36"/>
      <c r="AI102" s="35"/>
      <c r="AJ102" s="7"/>
      <c r="AK102" s="7"/>
      <c r="AL102" s="7"/>
      <c r="AM102" s="7"/>
      <c r="AN102" s="7"/>
      <c r="AO102" s="7"/>
      <c r="AP102" s="7"/>
      <c r="AQ102" s="7"/>
      <c r="AS102" s="36"/>
      <c r="AT102" s="36"/>
      <c r="AU102" s="35"/>
      <c r="AV102" s="7"/>
      <c r="AW102" s="7"/>
      <c r="AX102" s="7"/>
      <c r="AY102" s="7"/>
      <c r="AZ102" s="7"/>
      <c r="BA102" s="7"/>
      <c r="BB102" s="7"/>
      <c r="BC102" s="7"/>
      <c r="BF102" s="7"/>
      <c r="BG102" s="36"/>
      <c r="BH102" s="36"/>
      <c r="BI102" s="36"/>
      <c r="BJ102" s="36"/>
      <c r="BK102" s="36"/>
      <c r="BL102" s="36"/>
      <c r="BM102" s="36"/>
      <c r="BN102" s="36"/>
      <c r="BO102" s="36"/>
    </row>
    <row r="103" spans="1:67" x14ac:dyDescent="0.25">
      <c r="A103" s="39"/>
      <c r="B103" s="40"/>
      <c r="U103" s="36"/>
      <c r="V103" s="36"/>
      <c r="W103" s="35"/>
      <c r="X103" s="7"/>
      <c r="Y103" s="7"/>
      <c r="Z103" s="7"/>
      <c r="AA103" s="7"/>
      <c r="AB103" s="7"/>
      <c r="AC103" s="7"/>
      <c r="AD103" s="7"/>
      <c r="AE103" s="7"/>
      <c r="AG103" s="36"/>
      <c r="AH103" s="36"/>
      <c r="AI103" s="35"/>
      <c r="AJ103" s="7"/>
      <c r="AK103" s="7"/>
      <c r="AL103" s="7"/>
      <c r="AM103" s="7"/>
      <c r="AN103" s="7"/>
      <c r="AO103" s="7"/>
      <c r="AP103" s="7"/>
      <c r="AQ103" s="7"/>
      <c r="AS103" s="36"/>
      <c r="AT103" s="36"/>
      <c r="AU103" s="35"/>
      <c r="AV103" s="7"/>
      <c r="AW103" s="7"/>
      <c r="AX103" s="7"/>
      <c r="AY103" s="7"/>
      <c r="AZ103" s="7"/>
      <c r="BA103" s="7"/>
      <c r="BB103" s="7"/>
      <c r="BC103" s="7"/>
      <c r="BF103" s="7"/>
      <c r="BG103" s="36"/>
      <c r="BH103" s="36"/>
      <c r="BI103" s="36"/>
      <c r="BJ103" s="36"/>
      <c r="BK103" s="36"/>
      <c r="BL103" s="36"/>
      <c r="BM103" s="36"/>
      <c r="BN103" s="36"/>
      <c r="BO103" s="36"/>
    </row>
    <row r="104" spans="1:67" x14ac:dyDescent="0.25">
      <c r="A104" s="39"/>
      <c r="B104" s="40"/>
      <c r="U104" s="36"/>
      <c r="V104" s="36"/>
      <c r="W104" s="35"/>
      <c r="X104" s="7"/>
      <c r="Y104" s="7"/>
      <c r="Z104" s="7"/>
      <c r="AA104" s="7"/>
      <c r="AB104" s="7"/>
      <c r="AC104" s="7"/>
      <c r="AD104" s="7"/>
      <c r="AE104" s="7"/>
      <c r="AG104" s="36"/>
      <c r="AH104" s="36"/>
      <c r="AI104" s="35"/>
      <c r="AJ104" s="7"/>
      <c r="AK104" s="7"/>
      <c r="AL104" s="7"/>
      <c r="AM104" s="7"/>
      <c r="AN104" s="7"/>
      <c r="AO104" s="7"/>
      <c r="AP104" s="7"/>
      <c r="AQ104" s="7"/>
      <c r="AS104" s="36"/>
      <c r="AT104" s="36"/>
      <c r="AU104" s="35"/>
      <c r="AV104" s="7"/>
      <c r="AW104" s="7"/>
      <c r="AX104" s="7"/>
      <c r="AY104" s="7"/>
      <c r="AZ104" s="7"/>
      <c r="BA104" s="7"/>
      <c r="BB104" s="7"/>
      <c r="BC104" s="7"/>
      <c r="BF104" s="7"/>
      <c r="BG104" s="36"/>
      <c r="BH104" s="36"/>
      <c r="BI104" s="36"/>
      <c r="BJ104" s="36"/>
      <c r="BK104" s="36"/>
      <c r="BL104" s="36"/>
      <c r="BM104" s="36"/>
      <c r="BN104" s="36"/>
      <c r="BO104" s="36"/>
    </row>
    <row r="105" spans="1:67" x14ac:dyDescent="0.25">
      <c r="A105" s="39"/>
      <c r="B105" s="40"/>
      <c r="U105" s="36"/>
      <c r="V105" s="36"/>
      <c r="W105" s="35"/>
      <c r="X105" s="7"/>
      <c r="Y105" s="7"/>
      <c r="Z105" s="7"/>
      <c r="AA105" s="7"/>
      <c r="AB105" s="7"/>
      <c r="AC105" s="7"/>
      <c r="AD105" s="7"/>
      <c r="AE105" s="7"/>
      <c r="AG105" s="36"/>
      <c r="AH105" s="36"/>
      <c r="AI105" s="35"/>
      <c r="AJ105" s="7"/>
      <c r="AK105" s="7"/>
      <c r="AL105" s="7"/>
      <c r="AM105" s="7"/>
      <c r="AN105" s="7"/>
      <c r="AO105" s="7"/>
      <c r="AP105" s="7"/>
      <c r="AQ105" s="7"/>
      <c r="AS105" s="36"/>
      <c r="AT105" s="36"/>
      <c r="AU105" s="35"/>
      <c r="AV105" s="7"/>
      <c r="AW105" s="7"/>
      <c r="AX105" s="7"/>
      <c r="AY105" s="7"/>
      <c r="AZ105" s="7"/>
      <c r="BA105" s="7"/>
      <c r="BB105" s="7"/>
      <c r="BC105" s="7"/>
      <c r="BF105" s="7"/>
      <c r="BG105" s="36"/>
      <c r="BH105" s="36"/>
      <c r="BI105" s="36"/>
      <c r="BJ105" s="36"/>
      <c r="BK105" s="36"/>
      <c r="BL105" s="36"/>
      <c r="BM105" s="36"/>
      <c r="BN105" s="36"/>
      <c r="BO105" s="36"/>
    </row>
    <row r="106" spans="1:67" x14ac:dyDescent="0.25">
      <c r="A106" s="39"/>
      <c r="B106" s="40"/>
      <c r="U106" s="36"/>
      <c r="V106" s="36"/>
      <c r="W106" s="35"/>
      <c r="X106" s="7"/>
      <c r="Y106" s="7"/>
      <c r="Z106" s="7"/>
      <c r="AA106" s="7"/>
      <c r="AB106" s="7"/>
      <c r="AC106" s="7"/>
      <c r="AD106" s="7"/>
      <c r="AE106" s="7"/>
      <c r="AG106" s="36"/>
      <c r="AH106" s="36"/>
      <c r="AI106" s="35"/>
      <c r="AJ106" s="7"/>
      <c r="AK106" s="7"/>
      <c r="AL106" s="7"/>
      <c r="AM106" s="7"/>
      <c r="AN106" s="7"/>
      <c r="AO106" s="7"/>
      <c r="AP106" s="7"/>
      <c r="AQ106" s="7"/>
      <c r="AS106" s="36"/>
      <c r="AT106" s="36"/>
      <c r="AU106" s="35"/>
      <c r="AV106" s="7"/>
      <c r="AW106" s="7"/>
      <c r="AX106" s="7"/>
      <c r="AY106" s="7"/>
      <c r="AZ106" s="7"/>
      <c r="BA106" s="7"/>
      <c r="BB106" s="7"/>
      <c r="BC106" s="7"/>
      <c r="BF106" s="7"/>
      <c r="BG106" s="36"/>
      <c r="BH106" s="36"/>
      <c r="BI106" s="36"/>
      <c r="BJ106" s="36"/>
      <c r="BK106" s="36"/>
      <c r="BL106" s="36"/>
      <c r="BM106" s="36"/>
      <c r="BN106" s="36"/>
      <c r="BO106" s="36"/>
    </row>
    <row r="107" spans="1:67" x14ac:dyDescent="0.25">
      <c r="A107" s="39"/>
      <c r="B107" s="40"/>
      <c r="U107" s="36"/>
      <c r="V107" s="36"/>
      <c r="W107" s="35"/>
      <c r="X107" s="7"/>
      <c r="Y107" s="7"/>
      <c r="Z107" s="7"/>
      <c r="AA107" s="7"/>
      <c r="AB107" s="7"/>
      <c r="AC107" s="7"/>
      <c r="AD107" s="7"/>
      <c r="AE107" s="7"/>
      <c r="AG107" s="36"/>
      <c r="AH107" s="36"/>
      <c r="AI107" s="35"/>
      <c r="AJ107" s="7"/>
      <c r="AK107" s="7"/>
      <c r="AL107" s="7"/>
      <c r="AM107" s="7"/>
      <c r="AN107" s="7"/>
      <c r="AO107" s="7"/>
      <c r="AP107" s="7"/>
      <c r="AQ107" s="7"/>
      <c r="AS107" s="36"/>
      <c r="AT107" s="36"/>
      <c r="AU107" s="35"/>
      <c r="AV107" s="7"/>
      <c r="AW107" s="7"/>
      <c r="AX107" s="7"/>
      <c r="AY107" s="7"/>
      <c r="AZ107" s="7"/>
      <c r="BA107" s="7"/>
      <c r="BB107" s="7"/>
      <c r="BC107" s="7"/>
      <c r="BF107" s="7"/>
      <c r="BG107" s="36"/>
      <c r="BH107" s="36"/>
      <c r="BI107" s="36"/>
      <c r="BJ107" s="36"/>
      <c r="BK107" s="36"/>
      <c r="BL107" s="36"/>
      <c r="BM107" s="36"/>
      <c r="BN107" s="36"/>
      <c r="BO107" s="36"/>
    </row>
    <row r="108" spans="1:67" x14ac:dyDescent="0.25">
      <c r="A108" s="39"/>
      <c r="B108" s="40"/>
      <c r="U108" s="36"/>
      <c r="V108" s="36"/>
      <c r="W108" s="35"/>
      <c r="X108" s="7"/>
      <c r="Y108" s="7"/>
      <c r="Z108" s="7"/>
      <c r="AA108" s="7"/>
      <c r="AB108" s="7"/>
      <c r="AC108" s="7"/>
      <c r="AD108" s="7"/>
      <c r="AE108" s="7"/>
      <c r="AG108" s="36"/>
      <c r="AH108" s="36"/>
      <c r="AI108" s="35"/>
      <c r="AJ108" s="7"/>
      <c r="AK108" s="7"/>
      <c r="AL108" s="7"/>
      <c r="AM108" s="7"/>
      <c r="AN108" s="7"/>
      <c r="AO108" s="7"/>
      <c r="AP108" s="7"/>
      <c r="AQ108" s="7"/>
      <c r="AS108" s="36"/>
      <c r="AT108" s="36"/>
      <c r="AU108" s="35"/>
      <c r="AV108" s="7"/>
      <c r="AW108" s="7"/>
      <c r="AX108" s="7"/>
      <c r="AY108" s="7"/>
      <c r="AZ108" s="7"/>
      <c r="BA108" s="7"/>
      <c r="BB108" s="7"/>
      <c r="BC108" s="7"/>
      <c r="BF108" s="7"/>
      <c r="BG108" s="36"/>
      <c r="BH108" s="36"/>
      <c r="BI108" s="36"/>
      <c r="BJ108" s="36"/>
      <c r="BK108" s="36"/>
      <c r="BL108" s="36"/>
      <c r="BM108" s="36"/>
      <c r="BN108" s="36"/>
      <c r="BO108" s="36"/>
    </row>
    <row r="109" spans="1:67" x14ac:dyDescent="0.25">
      <c r="A109" s="39"/>
      <c r="B109" s="40"/>
      <c r="U109" s="36"/>
      <c r="V109" s="36"/>
      <c r="W109" s="35"/>
      <c r="X109" s="7"/>
      <c r="Y109" s="7"/>
      <c r="Z109" s="7"/>
      <c r="AA109" s="7"/>
      <c r="AB109" s="7"/>
      <c r="AC109" s="7"/>
      <c r="AD109" s="7"/>
      <c r="AE109" s="7"/>
      <c r="AG109" s="36"/>
      <c r="AH109" s="36"/>
      <c r="AI109" s="35"/>
      <c r="AJ109" s="7"/>
      <c r="AK109" s="7"/>
      <c r="AL109" s="7"/>
      <c r="AM109" s="7"/>
      <c r="AN109" s="7"/>
      <c r="AO109" s="7"/>
      <c r="AP109" s="7"/>
      <c r="AQ109" s="7"/>
      <c r="AS109" s="36"/>
      <c r="AT109" s="36"/>
      <c r="AU109" s="35"/>
      <c r="AV109" s="7"/>
      <c r="AW109" s="7"/>
      <c r="AX109" s="7"/>
      <c r="AY109" s="7"/>
      <c r="AZ109" s="7"/>
      <c r="BA109" s="7"/>
      <c r="BB109" s="7"/>
      <c r="BC109" s="7"/>
      <c r="BF109" s="7"/>
      <c r="BG109" s="36"/>
      <c r="BH109" s="36"/>
      <c r="BI109" s="36"/>
      <c r="BJ109" s="36"/>
      <c r="BK109" s="36"/>
      <c r="BL109" s="36"/>
      <c r="BM109" s="36"/>
      <c r="BN109" s="36"/>
      <c r="BO109" s="36"/>
    </row>
    <row r="110" spans="1:67" x14ac:dyDescent="0.25">
      <c r="A110" s="39"/>
      <c r="B110" s="40"/>
      <c r="U110" s="36"/>
      <c r="V110" s="36"/>
      <c r="W110" s="35"/>
      <c r="X110" s="7"/>
      <c r="Y110" s="7"/>
      <c r="Z110" s="7"/>
      <c r="AA110" s="7"/>
      <c r="AB110" s="7"/>
      <c r="AC110" s="7"/>
      <c r="AD110" s="7"/>
      <c r="AE110" s="7"/>
      <c r="AG110" s="36"/>
      <c r="AH110" s="36"/>
      <c r="AI110" s="35"/>
      <c r="AJ110" s="7"/>
      <c r="AK110" s="7"/>
      <c r="AL110" s="7"/>
      <c r="AM110" s="7"/>
      <c r="AN110" s="7"/>
      <c r="AO110" s="7"/>
      <c r="AP110" s="7"/>
      <c r="AQ110" s="7"/>
      <c r="AS110" s="36"/>
      <c r="AT110" s="36"/>
      <c r="AU110" s="35"/>
      <c r="AV110" s="7"/>
      <c r="AW110" s="7"/>
      <c r="AX110" s="7"/>
      <c r="AY110" s="7"/>
      <c r="AZ110" s="7"/>
      <c r="BA110" s="7"/>
      <c r="BB110" s="7"/>
      <c r="BC110" s="7"/>
      <c r="BF110" s="7"/>
      <c r="BG110" s="36"/>
      <c r="BH110" s="36"/>
      <c r="BI110" s="36"/>
      <c r="BJ110" s="36"/>
      <c r="BK110" s="36"/>
      <c r="BL110" s="36"/>
      <c r="BM110" s="36"/>
      <c r="BN110" s="36"/>
      <c r="BO110" s="36"/>
    </row>
    <row r="111" spans="1:67" x14ac:dyDescent="0.25">
      <c r="A111" s="39"/>
      <c r="B111" s="40"/>
      <c r="U111" s="36"/>
      <c r="V111" s="36"/>
      <c r="W111" s="35"/>
      <c r="X111" s="7"/>
      <c r="Y111" s="7"/>
      <c r="Z111" s="7"/>
      <c r="AA111" s="7"/>
      <c r="AB111" s="7"/>
      <c r="AC111" s="7"/>
      <c r="AD111" s="7"/>
      <c r="AE111" s="7"/>
      <c r="AG111" s="36"/>
      <c r="AH111" s="36"/>
      <c r="AI111" s="35"/>
      <c r="AJ111" s="7"/>
      <c r="AK111" s="7"/>
      <c r="AL111" s="7"/>
      <c r="AM111" s="7"/>
      <c r="AN111" s="7"/>
      <c r="AO111" s="7"/>
      <c r="AP111" s="7"/>
      <c r="AQ111" s="7"/>
      <c r="AS111" s="36"/>
      <c r="AT111" s="36"/>
      <c r="AU111" s="35"/>
      <c r="AV111" s="7"/>
      <c r="AW111" s="7"/>
      <c r="AX111" s="7"/>
      <c r="AY111" s="7"/>
      <c r="AZ111" s="7"/>
      <c r="BA111" s="7"/>
      <c r="BB111" s="7"/>
      <c r="BC111" s="7"/>
      <c r="BF111" s="7"/>
      <c r="BG111" s="36"/>
      <c r="BH111" s="36"/>
      <c r="BI111" s="36"/>
      <c r="BJ111" s="36"/>
      <c r="BK111" s="36"/>
      <c r="BL111" s="36"/>
      <c r="BM111" s="36"/>
      <c r="BN111" s="36"/>
      <c r="BO111" s="36"/>
    </row>
    <row r="112" spans="1:67" x14ac:dyDescent="0.25">
      <c r="A112" s="39"/>
      <c r="B112" s="40"/>
      <c r="U112" s="36"/>
      <c r="V112" s="36"/>
      <c r="W112" s="35"/>
      <c r="X112" s="7"/>
      <c r="Y112" s="7"/>
      <c r="Z112" s="7"/>
      <c r="AA112" s="7"/>
      <c r="AB112" s="7"/>
      <c r="AC112" s="7"/>
      <c r="AD112" s="7"/>
      <c r="AE112" s="7"/>
      <c r="AG112" s="36"/>
      <c r="AH112" s="36"/>
      <c r="AI112" s="35"/>
      <c r="AJ112" s="7"/>
      <c r="AK112" s="7"/>
      <c r="AL112" s="7"/>
      <c r="AM112" s="7"/>
      <c r="AN112" s="7"/>
      <c r="AO112" s="7"/>
      <c r="AP112" s="7"/>
      <c r="AQ112" s="7"/>
      <c r="AS112" s="36"/>
      <c r="AT112" s="36"/>
      <c r="AU112" s="35"/>
      <c r="AV112" s="7"/>
      <c r="AW112" s="7"/>
      <c r="AX112" s="7"/>
      <c r="AY112" s="7"/>
      <c r="AZ112" s="7"/>
      <c r="BA112" s="7"/>
      <c r="BB112" s="7"/>
      <c r="BC112" s="7"/>
      <c r="BF112" s="7"/>
      <c r="BG112" s="36"/>
      <c r="BH112" s="36"/>
      <c r="BI112" s="36"/>
      <c r="BJ112" s="36"/>
      <c r="BK112" s="36"/>
      <c r="BL112" s="36"/>
      <c r="BM112" s="36"/>
      <c r="BN112" s="36"/>
      <c r="BO112" s="36"/>
    </row>
    <row r="113" spans="1:67" x14ac:dyDescent="0.25">
      <c r="A113" s="39"/>
      <c r="B113" s="40"/>
      <c r="U113" s="36"/>
      <c r="V113" s="36"/>
      <c r="W113" s="35"/>
      <c r="X113" s="7"/>
      <c r="Y113" s="7"/>
      <c r="Z113" s="7"/>
      <c r="AA113" s="7"/>
      <c r="AB113" s="7"/>
      <c r="AC113" s="7"/>
      <c r="AD113" s="7"/>
      <c r="AE113" s="7"/>
      <c r="AG113" s="36"/>
      <c r="AH113" s="36"/>
      <c r="AI113" s="35"/>
      <c r="AJ113" s="7"/>
      <c r="AK113" s="7"/>
      <c r="AL113" s="7"/>
      <c r="AM113" s="7"/>
      <c r="AN113" s="7"/>
      <c r="AO113" s="7"/>
      <c r="AP113" s="7"/>
      <c r="AQ113" s="7"/>
      <c r="AS113" s="36"/>
      <c r="AT113" s="36"/>
      <c r="AU113" s="35"/>
      <c r="AV113" s="7"/>
      <c r="AW113" s="7"/>
      <c r="AX113" s="7"/>
      <c r="AY113" s="7"/>
      <c r="AZ113" s="7"/>
      <c r="BA113" s="7"/>
      <c r="BB113" s="7"/>
      <c r="BC113" s="7"/>
      <c r="BF113" s="7"/>
      <c r="BG113" s="36"/>
      <c r="BH113" s="36"/>
      <c r="BI113" s="36"/>
      <c r="BJ113" s="36"/>
      <c r="BK113" s="36"/>
      <c r="BL113" s="36"/>
      <c r="BM113" s="36"/>
      <c r="BN113" s="36"/>
      <c r="BO113" s="36"/>
    </row>
    <row r="114" spans="1:67" x14ac:dyDescent="0.25">
      <c r="A114" s="39"/>
      <c r="B114" s="40"/>
      <c r="U114" s="36"/>
      <c r="V114" s="36"/>
      <c r="W114" s="35"/>
      <c r="X114" s="7"/>
      <c r="Y114" s="7"/>
      <c r="Z114" s="7"/>
      <c r="AA114" s="7"/>
      <c r="AB114" s="7"/>
      <c r="AC114" s="7"/>
      <c r="AD114" s="7"/>
      <c r="AE114" s="7"/>
      <c r="AG114" s="36"/>
      <c r="AH114" s="36"/>
      <c r="AI114" s="35"/>
      <c r="AJ114" s="7"/>
      <c r="AK114" s="7"/>
      <c r="AL114" s="7"/>
      <c r="AM114" s="7"/>
      <c r="AN114" s="7"/>
      <c r="AO114" s="7"/>
      <c r="AP114" s="7"/>
      <c r="AQ114" s="7"/>
      <c r="AS114" s="36"/>
      <c r="AT114" s="36"/>
      <c r="AU114" s="35"/>
      <c r="AV114" s="7"/>
      <c r="AW114" s="7"/>
      <c r="AX114" s="7"/>
      <c r="AY114" s="7"/>
      <c r="AZ114" s="7"/>
      <c r="BA114" s="7"/>
      <c r="BB114" s="7"/>
      <c r="BC114" s="7"/>
      <c r="BF114" s="7"/>
      <c r="BG114" s="36"/>
      <c r="BH114" s="36"/>
      <c r="BI114" s="36"/>
      <c r="BJ114" s="36"/>
      <c r="BK114" s="36"/>
      <c r="BL114" s="36"/>
      <c r="BM114" s="36"/>
      <c r="BN114" s="36"/>
      <c r="BO114" s="36"/>
    </row>
    <row r="115" spans="1:67" x14ac:dyDescent="0.25">
      <c r="A115" s="39"/>
      <c r="B115" s="40"/>
      <c r="U115" s="36"/>
      <c r="V115" s="36"/>
      <c r="W115" s="35"/>
      <c r="X115" s="7"/>
      <c r="Y115" s="7"/>
      <c r="Z115" s="7"/>
      <c r="AA115" s="7"/>
      <c r="AB115" s="7"/>
      <c r="AC115" s="7"/>
      <c r="AD115" s="7"/>
      <c r="AE115" s="7"/>
      <c r="AG115" s="36"/>
      <c r="AH115" s="36"/>
      <c r="AI115" s="35"/>
      <c r="AJ115" s="7"/>
      <c r="AK115" s="7"/>
      <c r="AL115" s="7"/>
      <c r="AM115" s="7"/>
      <c r="AN115" s="7"/>
      <c r="AO115" s="7"/>
      <c r="AP115" s="7"/>
      <c r="AQ115" s="7"/>
      <c r="AS115" s="36"/>
      <c r="AT115" s="36"/>
      <c r="AU115" s="35"/>
      <c r="AV115" s="7"/>
      <c r="AW115" s="7"/>
      <c r="AX115" s="7"/>
      <c r="AY115" s="7"/>
      <c r="AZ115" s="7"/>
      <c r="BA115" s="7"/>
      <c r="BB115" s="7"/>
      <c r="BC115" s="7"/>
      <c r="BF115" s="7"/>
      <c r="BG115" s="36"/>
      <c r="BH115" s="36"/>
      <c r="BI115" s="36"/>
      <c r="BJ115" s="36"/>
      <c r="BK115" s="36"/>
      <c r="BL115" s="36"/>
      <c r="BM115" s="36"/>
      <c r="BN115" s="36"/>
      <c r="BO115" s="36"/>
    </row>
    <row r="116" spans="1:67" x14ac:dyDescent="0.25">
      <c r="A116" s="39"/>
      <c r="B116" s="40"/>
      <c r="U116" s="36"/>
      <c r="V116" s="36"/>
      <c r="W116" s="35"/>
      <c r="X116" s="7"/>
      <c r="Y116" s="7"/>
      <c r="Z116" s="7"/>
      <c r="AA116" s="7"/>
      <c r="AB116" s="7"/>
      <c r="AC116" s="7"/>
      <c r="AD116" s="7"/>
      <c r="AE116" s="7"/>
      <c r="AG116" s="36"/>
      <c r="AH116" s="36"/>
      <c r="AI116" s="35"/>
      <c r="AJ116" s="7"/>
      <c r="AK116" s="7"/>
      <c r="AL116" s="7"/>
      <c r="AM116" s="7"/>
      <c r="AN116" s="7"/>
      <c r="AO116" s="7"/>
      <c r="AP116" s="7"/>
      <c r="AQ116" s="7"/>
      <c r="AS116" s="36"/>
      <c r="AT116" s="36"/>
      <c r="AU116" s="35"/>
      <c r="AV116" s="7"/>
      <c r="AW116" s="7"/>
      <c r="AX116" s="7"/>
      <c r="AY116" s="7"/>
      <c r="AZ116" s="7"/>
      <c r="BA116" s="7"/>
      <c r="BB116" s="7"/>
      <c r="BC116" s="7"/>
      <c r="BF116" s="7"/>
      <c r="BG116" s="36"/>
      <c r="BH116" s="36"/>
      <c r="BI116" s="36"/>
      <c r="BJ116" s="36"/>
      <c r="BK116" s="36"/>
      <c r="BL116" s="36"/>
      <c r="BM116" s="36"/>
      <c r="BN116" s="36"/>
      <c r="BO116" s="36"/>
    </row>
    <row r="117" spans="1:67" x14ac:dyDescent="0.25">
      <c r="A117" s="39"/>
      <c r="B117" s="40"/>
      <c r="U117" s="36"/>
      <c r="V117" s="36"/>
      <c r="W117" s="35"/>
      <c r="X117" s="7"/>
      <c r="Y117" s="7"/>
      <c r="Z117" s="7"/>
      <c r="AA117" s="7"/>
      <c r="AB117" s="7"/>
      <c r="AC117" s="7"/>
      <c r="AD117" s="7"/>
      <c r="AE117" s="7"/>
      <c r="AG117" s="36"/>
      <c r="AH117" s="36"/>
      <c r="AI117" s="35"/>
      <c r="AJ117" s="7"/>
      <c r="AK117" s="7"/>
      <c r="AL117" s="7"/>
      <c r="AM117" s="7"/>
      <c r="AN117" s="7"/>
      <c r="AO117" s="7"/>
      <c r="AP117" s="7"/>
      <c r="AQ117" s="7"/>
      <c r="AS117" s="36"/>
      <c r="AT117" s="36"/>
      <c r="AU117" s="35"/>
      <c r="AV117" s="7"/>
      <c r="AW117" s="7"/>
      <c r="AX117" s="7"/>
      <c r="AY117" s="7"/>
      <c r="AZ117" s="7"/>
      <c r="BA117" s="7"/>
      <c r="BB117" s="7"/>
      <c r="BC117" s="7"/>
      <c r="BF117" s="7"/>
      <c r="BG117" s="36"/>
      <c r="BH117" s="36"/>
      <c r="BI117" s="36"/>
      <c r="BJ117" s="36"/>
      <c r="BK117" s="36"/>
      <c r="BL117" s="36"/>
      <c r="BM117" s="36"/>
      <c r="BN117" s="36"/>
      <c r="BO117" s="36"/>
    </row>
    <row r="118" spans="1:67" x14ac:dyDescent="0.25">
      <c r="A118" s="39"/>
      <c r="B118" s="40"/>
      <c r="U118" s="36"/>
      <c r="V118" s="36"/>
      <c r="W118" s="35"/>
      <c r="X118" s="7"/>
      <c r="Y118" s="7"/>
      <c r="Z118" s="7"/>
      <c r="AA118" s="7"/>
      <c r="AB118" s="7"/>
      <c r="AC118" s="7"/>
      <c r="AD118" s="7"/>
      <c r="AE118" s="7"/>
      <c r="AG118" s="36"/>
      <c r="AH118" s="36"/>
      <c r="AI118" s="35"/>
      <c r="AJ118" s="7"/>
      <c r="AK118" s="7"/>
      <c r="AL118" s="7"/>
      <c r="AM118" s="7"/>
      <c r="AN118" s="7"/>
      <c r="AO118" s="7"/>
      <c r="AP118" s="7"/>
      <c r="AQ118" s="7"/>
      <c r="AS118" s="36"/>
      <c r="AT118" s="36"/>
      <c r="AU118" s="35"/>
      <c r="AV118" s="7"/>
      <c r="AW118" s="7"/>
      <c r="AX118" s="7"/>
      <c r="AY118" s="7"/>
      <c r="AZ118" s="7"/>
      <c r="BA118" s="7"/>
      <c r="BB118" s="7"/>
      <c r="BC118" s="7"/>
      <c r="BF118" s="7"/>
      <c r="BG118" s="36"/>
      <c r="BH118" s="36"/>
      <c r="BI118" s="36"/>
      <c r="BJ118" s="36"/>
      <c r="BK118" s="36"/>
      <c r="BL118" s="36"/>
      <c r="BM118" s="36"/>
      <c r="BN118" s="36"/>
      <c r="BO118" s="36"/>
    </row>
    <row r="119" spans="1:67" x14ac:dyDescent="0.25">
      <c r="A119" s="39"/>
      <c r="B119" s="40"/>
      <c r="U119" s="36"/>
      <c r="V119" s="36"/>
      <c r="W119" s="35"/>
      <c r="X119" s="7"/>
      <c r="Y119" s="7"/>
      <c r="Z119" s="7"/>
      <c r="AA119" s="7"/>
      <c r="AB119" s="7"/>
      <c r="AC119" s="7"/>
      <c r="AD119" s="7"/>
      <c r="AE119" s="7"/>
      <c r="AG119" s="36"/>
      <c r="AH119" s="36"/>
      <c r="AI119" s="35"/>
      <c r="AJ119" s="7"/>
      <c r="AK119" s="7"/>
      <c r="AL119" s="7"/>
      <c r="AM119" s="7"/>
      <c r="AN119" s="7"/>
      <c r="AO119" s="7"/>
      <c r="AP119" s="7"/>
      <c r="AQ119" s="7"/>
      <c r="AS119" s="36"/>
      <c r="AT119" s="36"/>
      <c r="AU119" s="35"/>
      <c r="AV119" s="7"/>
      <c r="AW119" s="7"/>
      <c r="AX119" s="7"/>
      <c r="AY119" s="7"/>
      <c r="AZ119" s="7"/>
      <c r="BA119" s="7"/>
      <c r="BB119" s="7"/>
      <c r="BC119" s="7"/>
      <c r="BF119" s="7"/>
      <c r="BG119" s="36"/>
      <c r="BH119" s="36"/>
      <c r="BI119" s="36"/>
      <c r="BJ119" s="36"/>
      <c r="BK119" s="36"/>
      <c r="BL119" s="36"/>
      <c r="BM119" s="36"/>
      <c r="BN119" s="36"/>
      <c r="BO119" s="36"/>
    </row>
    <row r="120" spans="1:67" x14ac:dyDescent="0.25">
      <c r="A120" s="39"/>
      <c r="B120" s="40"/>
      <c r="U120" s="36"/>
      <c r="V120" s="36"/>
      <c r="W120" s="35"/>
      <c r="X120" s="7"/>
      <c r="Y120" s="7"/>
      <c r="Z120" s="7"/>
      <c r="AA120" s="7"/>
      <c r="AB120" s="7"/>
      <c r="AC120" s="7"/>
      <c r="AD120" s="7"/>
      <c r="AE120" s="7"/>
      <c r="AG120" s="36"/>
      <c r="AH120" s="36"/>
      <c r="AI120" s="35"/>
      <c r="AJ120" s="7"/>
      <c r="AK120" s="7"/>
      <c r="AL120" s="7"/>
      <c r="AM120" s="7"/>
      <c r="AN120" s="7"/>
      <c r="AO120" s="7"/>
      <c r="AP120" s="7"/>
      <c r="AQ120" s="7"/>
      <c r="AS120" s="36"/>
      <c r="AT120" s="36"/>
      <c r="AU120" s="35"/>
      <c r="AV120" s="7"/>
      <c r="AW120" s="7"/>
      <c r="AX120" s="7"/>
      <c r="AY120" s="7"/>
      <c r="AZ120" s="7"/>
      <c r="BA120" s="7"/>
      <c r="BB120" s="7"/>
      <c r="BC120" s="7"/>
      <c r="BF120" s="7"/>
      <c r="BG120" s="36"/>
      <c r="BH120" s="36"/>
      <c r="BI120" s="36"/>
      <c r="BJ120" s="36"/>
      <c r="BK120" s="36"/>
      <c r="BL120" s="36"/>
      <c r="BM120" s="36"/>
      <c r="BN120" s="36"/>
      <c r="BO120" s="36"/>
    </row>
    <row r="121" spans="1:67" x14ac:dyDescent="0.25">
      <c r="A121" s="39"/>
      <c r="B121" s="40"/>
      <c r="U121" s="36"/>
      <c r="V121" s="36"/>
      <c r="W121" s="35"/>
      <c r="X121" s="7"/>
      <c r="Y121" s="7"/>
      <c r="Z121" s="7"/>
      <c r="AA121" s="7"/>
      <c r="AB121" s="7"/>
      <c r="AC121" s="7"/>
      <c r="AD121" s="7"/>
      <c r="AE121" s="7"/>
      <c r="AG121" s="36"/>
      <c r="AH121" s="36"/>
      <c r="AI121" s="35"/>
      <c r="AJ121" s="7"/>
      <c r="AK121" s="7"/>
      <c r="AL121" s="7"/>
      <c r="AM121" s="7"/>
      <c r="AN121" s="7"/>
      <c r="AO121" s="7"/>
      <c r="AP121" s="7"/>
      <c r="AQ121" s="7"/>
      <c r="AS121" s="36"/>
      <c r="AT121" s="36"/>
      <c r="AU121" s="35"/>
      <c r="AV121" s="7"/>
      <c r="AW121" s="7"/>
      <c r="AX121" s="7"/>
      <c r="AY121" s="7"/>
      <c r="AZ121" s="7"/>
      <c r="BA121" s="7"/>
      <c r="BB121" s="7"/>
      <c r="BC121" s="7"/>
      <c r="BF121" s="7"/>
      <c r="BG121" s="36"/>
      <c r="BH121" s="36"/>
      <c r="BI121" s="36"/>
      <c r="BJ121" s="36"/>
      <c r="BK121" s="36"/>
      <c r="BL121" s="36"/>
      <c r="BM121" s="36"/>
      <c r="BN121" s="36"/>
      <c r="BO121" s="36"/>
    </row>
    <row r="122" spans="1:67" x14ac:dyDescent="0.25">
      <c r="A122" s="39"/>
      <c r="B122" s="40"/>
      <c r="U122" s="36"/>
      <c r="V122" s="36"/>
      <c r="W122" s="35"/>
      <c r="X122" s="7"/>
      <c r="Y122" s="7"/>
      <c r="Z122" s="7"/>
      <c r="AA122" s="7"/>
      <c r="AB122" s="7"/>
      <c r="AC122" s="7"/>
      <c r="AD122" s="7"/>
      <c r="AE122" s="7"/>
      <c r="AG122" s="36"/>
      <c r="AH122" s="36"/>
      <c r="AI122" s="35"/>
      <c r="AJ122" s="7"/>
      <c r="AK122" s="7"/>
      <c r="AL122" s="7"/>
      <c r="AM122" s="7"/>
      <c r="AN122" s="7"/>
      <c r="AO122" s="7"/>
      <c r="AP122" s="7"/>
      <c r="AQ122" s="7"/>
      <c r="AS122" s="36"/>
      <c r="AT122" s="36"/>
      <c r="AU122" s="35"/>
      <c r="AV122" s="7"/>
      <c r="AW122" s="7"/>
      <c r="AX122" s="7"/>
      <c r="AY122" s="7"/>
      <c r="AZ122" s="7"/>
      <c r="BA122" s="7"/>
      <c r="BB122" s="7"/>
      <c r="BC122" s="7"/>
      <c r="BF122" s="7"/>
      <c r="BG122" s="36"/>
      <c r="BH122" s="36"/>
      <c r="BI122" s="36"/>
      <c r="BJ122" s="36"/>
      <c r="BK122" s="36"/>
      <c r="BL122" s="36"/>
      <c r="BM122" s="36"/>
      <c r="BN122" s="36"/>
      <c r="BO122" s="36"/>
    </row>
    <row r="123" spans="1:67" x14ac:dyDescent="0.25">
      <c r="A123" s="39"/>
      <c r="B123" s="40"/>
      <c r="U123" s="36"/>
      <c r="V123" s="36"/>
      <c r="W123" s="35"/>
      <c r="X123" s="7"/>
      <c r="Y123" s="7"/>
      <c r="Z123" s="7"/>
      <c r="AA123" s="7"/>
      <c r="AB123" s="7"/>
      <c r="AC123" s="7"/>
      <c r="AD123" s="7"/>
      <c r="AE123" s="7"/>
      <c r="AG123" s="36"/>
      <c r="AH123" s="36"/>
      <c r="AI123" s="35"/>
      <c r="AJ123" s="7"/>
      <c r="AK123" s="7"/>
      <c r="AL123" s="7"/>
      <c r="AM123" s="7"/>
      <c r="AN123" s="7"/>
      <c r="AO123" s="7"/>
      <c r="AP123" s="7"/>
      <c r="AQ123" s="7"/>
      <c r="AS123" s="36"/>
      <c r="AT123" s="36"/>
      <c r="AU123" s="35"/>
      <c r="AV123" s="7"/>
      <c r="AW123" s="7"/>
      <c r="AX123" s="7"/>
      <c r="AY123" s="7"/>
      <c r="AZ123" s="7"/>
      <c r="BA123" s="7"/>
      <c r="BB123" s="7"/>
      <c r="BC123" s="7"/>
      <c r="BF123" s="7"/>
      <c r="BG123" s="36"/>
      <c r="BH123" s="36"/>
      <c r="BI123" s="36"/>
      <c r="BJ123" s="36"/>
      <c r="BK123" s="36"/>
      <c r="BL123" s="36"/>
      <c r="BM123" s="36"/>
      <c r="BN123" s="36"/>
      <c r="BO123" s="36"/>
    </row>
    <row r="124" spans="1:67" x14ac:dyDescent="0.25">
      <c r="A124" s="39"/>
      <c r="B124" s="40"/>
      <c r="U124" s="36"/>
      <c r="V124" s="36"/>
      <c r="W124" s="35"/>
      <c r="X124" s="7"/>
      <c r="Y124" s="7"/>
      <c r="Z124" s="7"/>
      <c r="AA124" s="7"/>
      <c r="AB124" s="7"/>
      <c r="AC124" s="7"/>
      <c r="AD124" s="7"/>
      <c r="AE124" s="7"/>
      <c r="AG124" s="36"/>
      <c r="AH124" s="36"/>
      <c r="AI124" s="35"/>
      <c r="AJ124" s="7"/>
      <c r="AK124" s="7"/>
      <c r="AL124" s="7"/>
      <c r="AM124" s="7"/>
      <c r="AN124" s="7"/>
      <c r="AO124" s="7"/>
      <c r="AP124" s="7"/>
      <c r="AQ124" s="7"/>
      <c r="AS124" s="36"/>
      <c r="AT124" s="36"/>
      <c r="AU124" s="35"/>
      <c r="AV124" s="7"/>
      <c r="AW124" s="7"/>
      <c r="AX124" s="7"/>
      <c r="AY124" s="7"/>
      <c r="AZ124" s="7"/>
      <c r="BA124" s="7"/>
      <c r="BB124" s="7"/>
      <c r="BC124" s="7"/>
      <c r="BF124" s="7"/>
      <c r="BG124" s="36"/>
      <c r="BH124" s="36"/>
      <c r="BI124" s="36"/>
      <c r="BJ124" s="36"/>
      <c r="BK124" s="36"/>
      <c r="BL124" s="36"/>
      <c r="BM124" s="36"/>
      <c r="BN124" s="36"/>
      <c r="BO124" s="36"/>
    </row>
    <row r="125" spans="1:67" x14ac:dyDescent="0.25">
      <c r="A125" s="39"/>
      <c r="B125" s="40"/>
      <c r="U125" s="36"/>
      <c r="V125" s="36"/>
      <c r="W125" s="35"/>
      <c r="X125" s="7"/>
      <c r="Y125" s="7"/>
      <c r="Z125" s="7"/>
      <c r="AA125" s="7"/>
      <c r="AB125" s="7"/>
      <c r="AC125" s="7"/>
      <c r="AD125" s="7"/>
      <c r="AE125" s="7"/>
      <c r="AG125" s="36"/>
      <c r="AH125" s="36"/>
      <c r="AI125" s="35"/>
      <c r="AJ125" s="7"/>
      <c r="AK125" s="7"/>
      <c r="AL125" s="7"/>
      <c r="AM125" s="7"/>
      <c r="AN125" s="7"/>
      <c r="AO125" s="7"/>
      <c r="AP125" s="7"/>
      <c r="AQ125" s="7"/>
      <c r="AS125" s="36"/>
      <c r="AT125" s="36"/>
      <c r="AU125" s="35"/>
      <c r="AV125" s="7"/>
      <c r="AW125" s="7"/>
      <c r="AX125" s="7"/>
      <c r="AY125" s="7"/>
      <c r="AZ125" s="7"/>
      <c r="BA125" s="7"/>
      <c r="BB125" s="7"/>
      <c r="BC125" s="7"/>
      <c r="BF125" s="7"/>
      <c r="BG125" s="36"/>
      <c r="BH125" s="36"/>
      <c r="BI125" s="36"/>
      <c r="BJ125" s="36"/>
      <c r="BK125" s="36"/>
      <c r="BL125" s="36"/>
      <c r="BM125" s="36"/>
      <c r="BN125" s="36"/>
      <c r="BO125" s="36"/>
    </row>
    <row r="126" spans="1:67" x14ac:dyDescent="0.25">
      <c r="A126" s="39"/>
      <c r="B126" s="40"/>
      <c r="U126" s="36"/>
      <c r="V126" s="36"/>
      <c r="W126" s="35"/>
      <c r="X126" s="7"/>
      <c r="Y126" s="7"/>
      <c r="Z126" s="7"/>
      <c r="AA126" s="7"/>
      <c r="AB126" s="7"/>
      <c r="AC126" s="7"/>
      <c r="AD126" s="7"/>
      <c r="AE126" s="7"/>
      <c r="AG126" s="36"/>
      <c r="AH126" s="36"/>
      <c r="AI126" s="35"/>
      <c r="AJ126" s="7"/>
      <c r="AK126" s="7"/>
      <c r="AL126" s="7"/>
      <c r="AM126" s="7"/>
      <c r="AN126" s="7"/>
      <c r="AO126" s="7"/>
      <c r="AP126" s="7"/>
      <c r="AQ126" s="7"/>
      <c r="AS126" s="36"/>
      <c r="AT126" s="36"/>
      <c r="AU126" s="35"/>
      <c r="AV126" s="7"/>
      <c r="AW126" s="7"/>
      <c r="AX126" s="7"/>
      <c r="AY126" s="7"/>
      <c r="AZ126" s="7"/>
      <c r="BA126" s="7"/>
      <c r="BB126" s="7"/>
      <c r="BC126" s="7"/>
      <c r="BF126" s="7"/>
      <c r="BG126" s="36"/>
      <c r="BH126" s="36"/>
      <c r="BI126" s="36"/>
      <c r="BJ126" s="36"/>
      <c r="BK126" s="36"/>
      <c r="BL126" s="36"/>
      <c r="BM126" s="36"/>
      <c r="BN126" s="36"/>
      <c r="BO126" s="36"/>
    </row>
    <row r="127" spans="1:67" x14ac:dyDescent="0.25">
      <c r="A127" s="39"/>
      <c r="B127" s="40"/>
      <c r="U127" s="36"/>
      <c r="V127" s="36"/>
      <c r="W127" s="35"/>
      <c r="X127" s="7"/>
      <c r="Y127" s="7"/>
      <c r="Z127" s="7"/>
      <c r="AA127" s="7"/>
      <c r="AB127" s="7"/>
      <c r="AC127" s="7"/>
      <c r="AD127" s="7"/>
      <c r="AE127" s="7"/>
      <c r="AG127" s="36"/>
      <c r="AH127" s="36"/>
      <c r="AI127" s="35"/>
      <c r="AJ127" s="7"/>
      <c r="AK127" s="7"/>
      <c r="AL127" s="7"/>
      <c r="AM127" s="7"/>
      <c r="AN127" s="7"/>
      <c r="AO127" s="7"/>
      <c r="AP127" s="7"/>
      <c r="AQ127" s="7"/>
      <c r="AS127" s="36"/>
      <c r="AT127" s="36"/>
      <c r="AU127" s="35"/>
      <c r="AV127" s="7"/>
      <c r="AW127" s="7"/>
      <c r="AX127" s="7"/>
      <c r="AY127" s="7"/>
      <c r="AZ127" s="7"/>
      <c r="BA127" s="7"/>
      <c r="BB127" s="7"/>
      <c r="BC127" s="7"/>
      <c r="BF127" s="7"/>
      <c r="BG127" s="36"/>
      <c r="BH127" s="36"/>
      <c r="BI127" s="36"/>
      <c r="BJ127" s="36"/>
      <c r="BK127" s="36"/>
      <c r="BL127" s="36"/>
      <c r="BM127" s="36"/>
      <c r="BN127" s="36"/>
      <c r="BO127" s="36"/>
    </row>
    <row r="128" spans="1:67" x14ac:dyDescent="0.25">
      <c r="A128" s="39"/>
      <c r="B128" s="40"/>
      <c r="U128" s="36"/>
      <c r="V128" s="36"/>
      <c r="W128" s="35"/>
      <c r="X128" s="7"/>
      <c r="Y128" s="7"/>
      <c r="Z128" s="7"/>
      <c r="AA128" s="7"/>
      <c r="AB128" s="7"/>
      <c r="AC128" s="7"/>
      <c r="AD128" s="7"/>
      <c r="AE128" s="7"/>
      <c r="AG128" s="36"/>
      <c r="AH128" s="36"/>
      <c r="AI128" s="35"/>
      <c r="AJ128" s="7"/>
      <c r="AK128" s="7"/>
      <c r="AL128" s="7"/>
      <c r="AM128" s="7"/>
      <c r="AN128" s="7"/>
      <c r="AO128" s="7"/>
      <c r="AP128" s="7"/>
      <c r="AQ128" s="7"/>
      <c r="AS128" s="36"/>
      <c r="AT128" s="36"/>
      <c r="AU128" s="35"/>
      <c r="AV128" s="7"/>
      <c r="AW128" s="7"/>
      <c r="AX128" s="7"/>
      <c r="AY128" s="7"/>
      <c r="AZ128" s="7"/>
      <c r="BA128" s="7"/>
      <c r="BB128" s="7"/>
      <c r="BC128" s="7"/>
      <c r="BF128" s="7"/>
      <c r="BG128" s="36"/>
      <c r="BH128" s="36"/>
      <c r="BI128" s="36"/>
      <c r="BJ128" s="36"/>
      <c r="BK128" s="36"/>
      <c r="BL128" s="36"/>
      <c r="BM128" s="36"/>
      <c r="BN128" s="36"/>
      <c r="BO128" s="36"/>
    </row>
    <row r="129" spans="1:67" x14ac:dyDescent="0.25">
      <c r="A129" s="39"/>
      <c r="B129" s="40"/>
      <c r="U129" s="36"/>
      <c r="V129" s="36"/>
      <c r="W129" s="35"/>
      <c r="X129" s="7"/>
      <c r="Y129" s="7"/>
      <c r="Z129" s="7"/>
      <c r="AA129" s="7"/>
      <c r="AB129" s="7"/>
      <c r="AC129" s="7"/>
      <c r="AD129" s="7"/>
      <c r="AE129" s="7"/>
      <c r="AG129" s="36"/>
      <c r="AH129" s="36"/>
      <c r="AI129" s="35"/>
      <c r="AJ129" s="7"/>
      <c r="AK129" s="7"/>
      <c r="AL129" s="7"/>
      <c r="AM129" s="7"/>
      <c r="AN129" s="7"/>
      <c r="AO129" s="7"/>
      <c r="AP129" s="7"/>
      <c r="AQ129" s="7"/>
      <c r="AS129" s="36"/>
      <c r="AT129" s="36"/>
      <c r="AU129" s="35"/>
      <c r="AV129" s="7"/>
      <c r="AW129" s="7"/>
      <c r="AX129" s="7"/>
      <c r="AY129" s="7"/>
      <c r="AZ129" s="7"/>
      <c r="BA129" s="7"/>
      <c r="BB129" s="7"/>
      <c r="BC129" s="7"/>
      <c r="BF129" s="7"/>
      <c r="BG129" s="36"/>
      <c r="BH129" s="36"/>
      <c r="BI129" s="36"/>
      <c r="BJ129" s="36"/>
      <c r="BK129" s="36"/>
      <c r="BL129" s="36"/>
      <c r="BM129" s="36"/>
      <c r="BN129" s="36"/>
      <c r="BO129" s="36"/>
    </row>
    <row r="130" spans="1:67" x14ac:dyDescent="0.25">
      <c r="A130" s="39"/>
      <c r="B130" s="40"/>
      <c r="U130" s="36"/>
      <c r="V130" s="36"/>
      <c r="W130" s="35"/>
      <c r="X130" s="7"/>
      <c r="Y130" s="7"/>
      <c r="Z130" s="7"/>
      <c r="AA130" s="7"/>
      <c r="AB130" s="7"/>
      <c r="AC130" s="7"/>
      <c r="AD130" s="7"/>
      <c r="AE130" s="7"/>
      <c r="AG130" s="36"/>
      <c r="AH130" s="36"/>
      <c r="AI130" s="35"/>
      <c r="AJ130" s="7"/>
      <c r="AK130" s="7"/>
      <c r="AL130" s="7"/>
      <c r="AM130" s="7"/>
      <c r="AN130" s="7"/>
      <c r="AO130" s="7"/>
      <c r="AP130" s="7"/>
      <c r="AQ130" s="7"/>
      <c r="AS130" s="36"/>
      <c r="AT130" s="36"/>
      <c r="AU130" s="35"/>
      <c r="AV130" s="7"/>
      <c r="AW130" s="7"/>
      <c r="AX130" s="7"/>
      <c r="AY130" s="7"/>
      <c r="AZ130" s="7"/>
      <c r="BA130" s="7"/>
      <c r="BB130" s="7"/>
      <c r="BC130" s="7"/>
      <c r="BF130" s="7"/>
      <c r="BG130" s="36"/>
      <c r="BH130" s="36"/>
      <c r="BI130" s="36"/>
      <c r="BJ130" s="36"/>
      <c r="BK130" s="36"/>
      <c r="BL130" s="36"/>
      <c r="BM130" s="36"/>
      <c r="BN130" s="36"/>
      <c r="BO130" s="36"/>
    </row>
    <row r="131" spans="1:67" x14ac:dyDescent="0.25">
      <c r="A131" s="39"/>
      <c r="B131" s="40"/>
      <c r="U131" s="36"/>
      <c r="V131" s="36"/>
      <c r="W131" s="35"/>
      <c r="X131" s="7"/>
      <c r="Y131" s="7"/>
      <c r="Z131" s="7"/>
      <c r="AA131" s="7"/>
      <c r="AB131" s="7"/>
      <c r="AC131" s="7"/>
      <c r="AD131" s="7"/>
      <c r="AE131" s="7"/>
      <c r="AG131" s="36"/>
      <c r="AH131" s="36"/>
      <c r="AI131" s="35"/>
      <c r="AJ131" s="7"/>
      <c r="AK131" s="7"/>
      <c r="AL131" s="7"/>
      <c r="AM131" s="7"/>
      <c r="AN131" s="7"/>
      <c r="AO131" s="7"/>
      <c r="AP131" s="7"/>
      <c r="AQ131" s="7"/>
      <c r="AS131" s="36"/>
      <c r="AT131" s="36"/>
      <c r="AU131" s="35"/>
      <c r="AV131" s="7"/>
      <c r="AW131" s="7"/>
      <c r="AX131" s="7"/>
      <c r="AY131" s="7"/>
      <c r="AZ131" s="7"/>
      <c r="BA131" s="7"/>
      <c r="BB131" s="7"/>
      <c r="BC131" s="7"/>
      <c r="BF131" s="7"/>
      <c r="BG131" s="36"/>
      <c r="BH131" s="36"/>
      <c r="BI131" s="36"/>
      <c r="BJ131" s="36"/>
      <c r="BK131" s="36"/>
      <c r="BL131" s="36"/>
      <c r="BM131" s="36"/>
      <c r="BN131" s="36"/>
      <c r="BO131" s="36"/>
    </row>
    <row r="132" spans="1:67" x14ac:dyDescent="0.25">
      <c r="A132" s="39"/>
      <c r="B132" s="40"/>
      <c r="U132" s="36"/>
      <c r="V132" s="36"/>
      <c r="W132" s="35"/>
      <c r="X132" s="7"/>
      <c r="Y132" s="7"/>
      <c r="Z132" s="7"/>
      <c r="AA132" s="7"/>
      <c r="AB132" s="7"/>
      <c r="AC132" s="7"/>
      <c r="AD132" s="7"/>
      <c r="AE132" s="7"/>
      <c r="AG132" s="36"/>
      <c r="AH132" s="36"/>
      <c r="AI132" s="35"/>
      <c r="AJ132" s="7"/>
      <c r="AK132" s="7"/>
      <c r="AL132" s="7"/>
      <c r="AM132" s="7"/>
      <c r="AN132" s="7"/>
      <c r="AO132" s="7"/>
      <c r="AP132" s="7"/>
      <c r="AQ132" s="7"/>
      <c r="AS132" s="36"/>
      <c r="AT132" s="36"/>
      <c r="AU132" s="35"/>
      <c r="AV132" s="7"/>
      <c r="AW132" s="7"/>
      <c r="AX132" s="7"/>
      <c r="AY132" s="7"/>
      <c r="AZ132" s="7"/>
      <c r="BA132" s="7"/>
      <c r="BB132" s="7"/>
      <c r="BC132" s="7"/>
      <c r="BF132" s="7"/>
      <c r="BG132" s="36"/>
      <c r="BH132" s="36"/>
      <c r="BI132" s="36"/>
      <c r="BJ132" s="36"/>
      <c r="BK132" s="36"/>
      <c r="BL132" s="36"/>
      <c r="BM132" s="36"/>
      <c r="BN132" s="36"/>
      <c r="BO132" s="36"/>
    </row>
    <row r="133" spans="1:67" x14ac:dyDescent="0.25">
      <c r="A133" s="39"/>
      <c r="B133" s="40"/>
      <c r="U133" s="36"/>
      <c r="V133" s="36"/>
      <c r="W133" s="35"/>
      <c r="X133" s="7"/>
      <c r="Y133" s="7"/>
      <c r="Z133" s="7"/>
      <c r="AA133" s="7"/>
      <c r="AB133" s="7"/>
      <c r="AC133" s="7"/>
      <c r="AD133" s="7"/>
      <c r="AE133" s="7"/>
      <c r="AG133" s="36"/>
      <c r="AH133" s="36"/>
      <c r="AI133" s="35"/>
      <c r="AJ133" s="7"/>
      <c r="AK133" s="7"/>
      <c r="AL133" s="7"/>
      <c r="AM133" s="7"/>
      <c r="AN133" s="7"/>
      <c r="AO133" s="7"/>
      <c r="AP133" s="7"/>
      <c r="AQ133" s="7"/>
      <c r="AS133" s="36"/>
      <c r="AT133" s="36"/>
      <c r="AU133" s="35"/>
      <c r="AV133" s="7"/>
      <c r="AW133" s="7"/>
      <c r="AX133" s="7"/>
      <c r="AY133" s="7"/>
      <c r="AZ133" s="7"/>
      <c r="BA133" s="7"/>
      <c r="BB133" s="7"/>
      <c r="BC133" s="7"/>
      <c r="BF133" s="7"/>
      <c r="BG133" s="36"/>
      <c r="BH133" s="36"/>
      <c r="BI133" s="36"/>
      <c r="BJ133" s="36"/>
      <c r="BK133" s="36"/>
      <c r="BL133" s="36"/>
      <c r="BM133" s="36"/>
      <c r="BN133" s="36"/>
      <c r="BO133" s="36"/>
    </row>
    <row r="134" spans="1:67" x14ac:dyDescent="0.25">
      <c r="A134" s="39"/>
      <c r="B134" s="40"/>
      <c r="U134" s="36"/>
      <c r="V134" s="36"/>
      <c r="W134" s="35"/>
      <c r="X134" s="7"/>
      <c r="Y134" s="7"/>
      <c r="Z134" s="7"/>
      <c r="AA134" s="7"/>
      <c r="AB134" s="7"/>
      <c r="AC134" s="7"/>
      <c r="AD134" s="7"/>
      <c r="AE134" s="7"/>
      <c r="AG134" s="36"/>
      <c r="AH134" s="36"/>
      <c r="AI134" s="35"/>
      <c r="AJ134" s="7"/>
      <c r="AK134" s="7"/>
      <c r="AL134" s="7"/>
      <c r="AM134" s="7"/>
      <c r="AN134" s="7"/>
      <c r="AO134" s="7"/>
      <c r="AP134" s="7"/>
      <c r="AQ134" s="7"/>
      <c r="AS134" s="36"/>
      <c r="AT134" s="36"/>
      <c r="AU134" s="35"/>
      <c r="AV134" s="7"/>
      <c r="AW134" s="7"/>
      <c r="AX134" s="7"/>
      <c r="AY134" s="7"/>
      <c r="AZ134" s="7"/>
      <c r="BA134" s="7"/>
      <c r="BB134" s="7"/>
      <c r="BC134" s="7"/>
      <c r="BF134" s="7"/>
      <c r="BG134" s="36"/>
      <c r="BH134" s="36"/>
      <c r="BI134" s="36"/>
      <c r="BJ134" s="36"/>
      <c r="BK134" s="36"/>
      <c r="BL134" s="36"/>
      <c r="BM134" s="36"/>
      <c r="BN134" s="36"/>
      <c r="BO134" s="36"/>
    </row>
    <row r="135" spans="1:67" x14ac:dyDescent="0.25">
      <c r="A135" s="39"/>
      <c r="B135" s="40"/>
      <c r="U135" s="36"/>
      <c r="V135" s="36"/>
      <c r="W135" s="35"/>
      <c r="X135" s="7"/>
      <c r="Y135" s="7"/>
      <c r="Z135" s="7"/>
      <c r="AA135" s="7"/>
      <c r="AB135" s="7"/>
      <c r="AC135" s="7"/>
      <c r="AD135" s="7"/>
      <c r="AE135" s="7"/>
      <c r="AG135" s="36"/>
      <c r="AH135" s="36"/>
      <c r="AI135" s="35"/>
      <c r="AJ135" s="7"/>
      <c r="AK135" s="7"/>
      <c r="AL135" s="7"/>
      <c r="AM135" s="7"/>
      <c r="AN135" s="7"/>
      <c r="AO135" s="7"/>
      <c r="AP135" s="7"/>
      <c r="AQ135" s="7"/>
      <c r="AS135" s="36"/>
      <c r="AT135" s="36"/>
      <c r="AU135" s="35"/>
      <c r="AV135" s="7"/>
      <c r="AW135" s="7"/>
      <c r="AX135" s="7"/>
      <c r="AY135" s="7"/>
      <c r="AZ135" s="7"/>
      <c r="BA135" s="7"/>
      <c r="BB135" s="7"/>
      <c r="BC135" s="7"/>
      <c r="BF135" s="7"/>
      <c r="BG135" s="36"/>
      <c r="BH135" s="36"/>
      <c r="BI135" s="36"/>
      <c r="BJ135" s="36"/>
      <c r="BK135" s="36"/>
      <c r="BL135" s="36"/>
      <c r="BM135" s="36"/>
      <c r="BN135" s="36"/>
      <c r="BO135" s="36"/>
    </row>
    <row r="136" spans="1:67" x14ac:dyDescent="0.25">
      <c r="A136" s="39"/>
      <c r="B136" s="40"/>
      <c r="U136" s="36"/>
      <c r="V136" s="36"/>
      <c r="W136" s="35"/>
      <c r="X136" s="7"/>
      <c r="Y136" s="7"/>
      <c r="Z136" s="7"/>
      <c r="AA136" s="7"/>
      <c r="AB136" s="7"/>
      <c r="AC136" s="7"/>
      <c r="AD136" s="7"/>
      <c r="AE136" s="7"/>
      <c r="AG136" s="36"/>
      <c r="AH136" s="36"/>
      <c r="AI136" s="35"/>
      <c r="AJ136" s="7"/>
      <c r="AK136" s="7"/>
      <c r="AL136" s="7"/>
      <c r="AM136" s="7"/>
      <c r="AN136" s="7"/>
      <c r="AO136" s="7"/>
      <c r="AP136" s="7"/>
      <c r="AQ136" s="7"/>
      <c r="AS136" s="36"/>
      <c r="AT136" s="36"/>
      <c r="AU136" s="35"/>
      <c r="AV136" s="7"/>
      <c r="AW136" s="7"/>
      <c r="AX136" s="7"/>
      <c r="AY136" s="7"/>
      <c r="AZ136" s="7"/>
      <c r="BA136" s="7"/>
      <c r="BB136" s="7"/>
      <c r="BC136" s="7"/>
      <c r="BF136" s="7"/>
      <c r="BG136" s="36"/>
      <c r="BH136" s="36"/>
      <c r="BI136" s="36"/>
      <c r="BJ136" s="36"/>
      <c r="BK136" s="36"/>
      <c r="BL136" s="36"/>
      <c r="BM136" s="36"/>
      <c r="BN136" s="36"/>
      <c r="BO136" s="36"/>
    </row>
    <row r="137" spans="1:67" x14ac:dyDescent="0.25">
      <c r="A137" s="39"/>
      <c r="B137" s="40"/>
      <c r="U137" s="36"/>
      <c r="V137" s="36"/>
      <c r="W137" s="35"/>
      <c r="X137" s="7"/>
      <c r="Y137" s="7"/>
      <c r="Z137" s="7"/>
      <c r="AA137" s="7"/>
      <c r="AB137" s="7"/>
      <c r="AC137" s="7"/>
      <c r="AD137" s="7"/>
      <c r="AE137" s="7"/>
      <c r="AG137" s="36"/>
      <c r="AH137" s="36"/>
      <c r="AI137" s="35"/>
      <c r="AJ137" s="7"/>
      <c r="AK137" s="7"/>
      <c r="AL137" s="7"/>
      <c r="AM137" s="7"/>
      <c r="AN137" s="7"/>
      <c r="AO137" s="7"/>
      <c r="AP137" s="7"/>
      <c r="AQ137" s="7"/>
      <c r="AS137" s="36"/>
      <c r="AT137" s="36"/>
      <c r="AU137" s="35"/>
      <c r="AV137" s="7"/>
      <c r="AW137" s="7"/>
      <c r="AX137" s="7"/>
      <c r="AY137" s="7"/>
      <c r="AZ137" s="7"/>
      <c r="BA137" s="7"/>
      <c r="BB137" s="7"/>
      <c r="BC137" s="7"/>
      <c r="BF137" s="7"/>
      <c r="BG137" s="36"/>
      <c r="BH137" s="36"/>
      <c r="BI137" s="36"/>
      <c r="BJ137" s="36"/>
      <c r="BK137" s="36"/>
      <c r="BL137" s="36"/>
      <c r="BM137" s="36"/>
      <c r="BN137" s="36"/>
      <c r="BO137" s="36"/>
    </row>
    <row r="138" spans="1:67" x14ac:dyDescent="0.25">
      <c r="A138" s="39"/>
      <c r="B138" s="40"/>
      <c r="U138" s="36"/>
      <c r="V138" s="36"/>
      <c r="W138" s="35"/>
      <c r="X138" s="7"/>
      <c r="Y138" s="7"/>
      <c r="Z138" s="7"/>
      <c r="AA138" s="7"/>
      <c r="AB138" s="7"/>
      <c r="AC138" s="7"/>
      <c r="AD138" s="7"/>
      <c r="AE138" s="7"/>
      <c r="AG138" s="36"/>
      <c r="AH138" s="36"/>
      <c r="AI138" s="35"/>
      <c r="AJ138" s="7"/>
      <c r="AK138" s="7"/>
      <c r="AL138" s="7"/>
      <c r="AM138" s="7"/>
      <c r="AN138" s="7"/>
      <c r="AO138" s="7"/>
      <c r="AP138" s="7"/>
      <c r="AQ138" s="7"/>
      <c r="AS138" s="36"/>
      <c r="AT138" s="36"/>
      <c r="AU138" s="35"/>
      <c r="AV138" s="7"/>
      <c r="AW138" s="7"/>
      <c r="AX138" s="7"/>
      <c r="AY138" s="7"/>
      <c r="AZ138" s="7"/>
      <c r="BA138" s="7"/>
      <c r="BB138" s="7"/>
      <c r="BC138" s="7"/>
      <c r="BF138" s="7"/>
      <c r="BG138" s="36"/>
      <c r="BH138" s="36"/>
      <c r="BI138" s="36"/>
      <c r="BJ138" s="36"/>
      <c r="BK138" s="36"/>
      <c r="BL138" s="36"/>
      <c r="BM138" s="36"/>
      <c r="BN138" s="36"/>
      <c r="BO138" s="36"/>
    </row>
    <row r="139" spans="1:67" x14ac:dyDescent="0.25">
      <c r="A139" s="39"/>
      <c r="B139" s="40"/>
      <c r="U139" s="36"/>
      <c r="V139" s="36"/>
      <c r="W139" s="35"/>
      <c r="X139" s="7"/>
      <c r="Y139" s="7"/>
      <c r="Z139" s="7"/>
      <c r="AA139" s="7"/>
      <c r="AB139" s="7"/>
      <c r="AC139" s="7"/>
      <c r="AD139" s="7"/>
      <c r="AE139" s="7"/>
      <c r="AG139" s="36"/>
      <c r="AH139" s="36"/>
      <c r="AI139" s="35"/>
      <c r="AJ139" s="7"/>
      <c r="AK139" s="7"/>
      <c r="AL139" s="7"/>
      <c r="AM139" s="7"/>
      <c r="AN139" s="7"/>
      <c r="AO139" s="7"/>
      <c r="AP139" s="7"/>
      <c r="AQ139" s="7"/>
      <c r="AS139" s="36"/>
      <c r="AT139" s="36"/>
      <c r="AU139" s="35"/>
      <c r="AV139" s="7"/>
      <c r="AW139" s="7"/>
      <c r="AX139" s="7"/>
      <c r="AY139" s="7"/>
      <c r="AZ139" s="7"/>
      <c r="BA139" s="7"/>
      <c r="BB139" s="7"/>
      <c r="BC139" s="7"/>
      <c r="BF139" s="7"/>
      <c r="BG139" s="36"/>
      <c r="BH139" s="36"/>
      <c r="BI139" s="36"/>
      <c r="BJ139" s="36"/>
      <c r="BK139" s="36"/>
      <c r="BL139" s="36"/>
      <c r="BM139" s="36"/>
      <c r="BN139" s="36"/>
      <c r="BO139" s="36"/>
    </row>
    <row r="140" spans="1:67" x14ac:dyDescent="0.25">
      <c r="A140" s="39"/>
      <c r="B140" s="40"/>
      <c r="U140" s="36"/>
      <c r="V140" s="36"/>
      <c r="W140" s="35"/>
      <c r="X140" s="7"/>
      <c r="Y140" s="7"/>
      <c r="Z140" s="7"/>
      <c r="AA140" s="7"/>
      <c r="AB140" s="7"/>
      <c r="AC140" s="7"/>
      <c r="AD140" s="7"/>
      <c r="AE140" s="7"/>
      <c r="AG140" s="36"/>
      <c r="AH140" s="36"/>
      <c r="AI140" s="35"/>
      <c r="AJ140" s="7"/>
      <c r="AK140" s="7"/>
      <c r="AL140" s="7"/>
      <c r="AM140" s="7"/>
      <c r="AN140" s="7"/>
      <c r="AO140" s="7"/>
      <c r="AP140" s="7"/>
      <c r="AQ140" s="7"/>
      <c r="AS140" s="36"/>
      <c r="AT140" s="36"/>
      <c r="AU140" s="35"/>
      <c r="AV140" s="7"/>
      <c r="AW140" s="7"/>
      <c r="AX140" s="7"/>
      <c r="AY140" s="7"/>
      <c r="AZ140" s="7"/>
      <c r="BA140" s="7"/>
      <c r="BB140" s="7"/>
      <c r="BC140" s="7"/>
      <c r="BF140" s="7"/>
      <c r="BG140" s="36"/>
      <c r="BH140" s="36"/>
      <c r="BI140" s="36"/>
      <c r="BJ140" s="36"/>
      <c r="BK140" s="36"/>
      <c r="BL140" s="36"/>
      <c r="BM140" s="36"/>
      <c r="BN140" s="36"/>
      <c r="BO140" s="36"/>
    </row>
    <row r="141" spans="1:67" x14ac:dyDescent="0.25">
      <c r="A141" s="39"/>
      <c r="B141" s="40"/>
      <c r="U141" s="36"/>
      <c r="V141" s="36"/>
      <c r="W141" s="35"/>
      <c r="X141" s="7"/>
      <c r="Y141" s="7"/>
      <c r="Z141" s="7"/>
      <c r="AA141" s="7"/>
      <c r="AB141" s="7"/>
      <c r="AC141" s="7"/>
      <c r="AD141" s="7"/>
      <c r="AE141" s="7"/>
      <c r="AG141" s="36"/>
      <c r="AH141" s="36"/>
      <c r="AI141" s="35"/>
      <c r="AJ141" s="7"/>
      <c r="AK141" s="7"/>
      <c r="AL141" s="7"/>
      <c r="AM141" s="7"/>
      <c r="AN141" s="7"/>
      <c r="AO141" s="7"/>
      <c r="AP141" s="7"/>
      <c r="AQ141" s="7"/>
      <c r="AS141" s="36"/>
      <c r="AT141" s="36"/>
      <c r="AU141" s="35"/>
      <c r="AV141" s="7"/>
      <c r="AW141" s="7"/>
      <c r="AX141" s="7"/>
      <c r="AY141" s="7"/>
      <c r="AZ141" s="7"/>
      <c r="BA141" s="7"/>
      <c r="BB141" s="7"/>
      <c r="BC141" s="7"/>
      <c r="BF141" s="7"/>
      <c r="BG141" s="36"/>
      <c r="BH141" s="36"/>
      <c r="BI141" s="36"/>
      <c r="BJ141" s="36"/>
      <c r="BK141" s="36"/>
      <c r="BL141" s="36"/>
      <c r="BM141" s="36"/>
      <c r="BN141" s="36"/>
      <c r="BO141" s="36"/>
    </row>
    <row r="142" spans="1:67" x14ac:dyDescent="0.25">
      <c r="A142" s="39"/>
      <c r="B142" s="40"/>
      <c r="U142" s="36"/>
      <c r="V142" s="36"/>
      <c r="W142" s="35"/>
      <c r="X142" s="7"/>
      <c r="Y142" s="7"/>
      <c r="Z142" s="7"/>
      <c r="AA142" s="7"/>
      <c r="AB142" s="7"/>
      <c r="AC142" s="7"/>
      <c r="AD142" s="7"/>
      <c r="AE142" s="7"/>
      <c r="AG142" s="36"/>
      <c r="AH142" s="36"/>
      <c r="AI142" s="35"/>
      <c r="AJ142" s="7"/>
      <c r="AK142" s="7"/>
      <c r="AL142" s="7"/>
      <c r="AM142" s="7"/>
      <c r="AN142" s="7"/>
      <c r="AO142" s="7"/>
      <c r="AP142" s="7"/>
      <c r="AQ142" s="7"/>
      <c r="AS142" s="36"/>
      <c r="AT142" s="36"/>
      <c r="AU142" s="35"/>
      <c r="AV142" s="7"/>
      <c r="AW142" s="7"/>
      <c r="AX142" s="7"/>
      <c r="AY142" s="7"/>
      <c r="AZ142" s="7"/>
      <c r="BA142" s="7"/>
      <c r="BB142" s="7"/>
      <c r="BC142" s="7"/>
      <c r="BF142" s="7"/>
      <c r="BG142" s="36"/>
      <c r="BH142" s="36"/>
      <c r="BI142" s="36"/>
      <c r="BJ142" s="36"/>
      <c r="BK142" s="36"/>
      <c r="BL142" s="36"/>
      <c r="BM142" s="36"/>
      <c r="BN142" s="36"/>
      <c r="BO142" s="36"/>
    </row>
    <row r="143" spans="1:67" x14ac:dyDescent="0.25">
      <c r="A143" s="39"/>
      <c r="B143" s="40"/>
      <c r="U143" s="36"/>
      <c r="V143" s="36"/>
      <c r="W143" s="35"/>
      <c r="X143" s="7"/>
      <c r="Y143" s="7"/>
      <c r="Z143" s="7"/>
      <c r="AA143" s="7"/>
      <c r="AB143" s="7"/>
      <c r="AC143" s="7"/>
      <c r="AD143" s="7"/>
      <c r="AE143" s="7"/>
      <c r="AG143" s="36"/>
      <c r="AH143" s="36"/>
      <c r="AI143" s="35"/>
      <c r="AJ143" s="7"/>
      <c r="AK143" s="7"/>
      <c r="AL143" s="7"/>
      <c r="AM143" s="7"/>
      <c r="AN143" s="7"/>
      <c r="AO143" s="7"/>
      <c r="AP143" s="7"/>
      <c r="AQ143" s="7"/>
      <c r="AS143" s="36"/>
      <c r="AT143" s="36"/>
      <c r="AU143" s="35"/>
      <c r="AV143" s="7"/>
      <c r="AW143" s="7"/>
      <c r="AX143" s="7"/>
      <c r="AY143" s="7"/>
      <c r="AZ143" s="7"/>
      <c r="BA143" s="7"/>
      <c r="BB143" s="7"/>
      <c r="BC143" s="7"/>
      <c r="BF143" s="7"/>
      <c r="BG143" s="36"/>
      <c r="BH143" s="36"/>
      <c r="BI143" s="36"/>
      <c r="BJ143" s="36"/>
      <c r="BK143" s="36"/>
      <c r="BL143" s="36"/>
      <c r="BM143" s="36"/>
      <c r="BN143" s="36"/>
      <c r="BO143" s="36"/>
    </row>
    <row r="144" spans="1:67" x14ac:dyDescent="0.25">
      <c r="A144" s="39"/>
      <c r="B144" s="40"/>
      <c r="U144" s="36"/>
      <c r="V144" s="36"/>
      <c r="W144" s="35"/>
      <c r="X144" s="7"/>
      <c r="Y144" s="7"/>
      <c r="Z144" s="7"/>
      <c r="AA144" s="7"/>
      <c r="AB144" s="7"/>
      <c r="AC144" s="7"/>
      <c r="AD144" s="7"/>
      <c r="AE144" s="7"/>
      <c r="AG144" s="36"/>
      <c r="AH144" s="36"/>
      <c r="AI144" s="35"/>
      <c r="AJ144" s="7"/>
      <c r="AK144" s="7"/>
      <c r="AL144" s="7"/>
      <c r="AM144" s="7"/>
      <c r="AN144" s="7"/>
      <c r="AO144" s="7"/>
      <c r="AP144" s="7"/>
      <c r="AQ144" s="7"/>
      <c r="AS144" s="36"/>
      <c r="AT144" s="36"/>
      <c r="AU144" s="35"/>
      <c r="AV144" s="7"/>
      <c r="AW144" s="7"/>
      <c r="AX144" s="7"/>
      <c r="AY144" s="7"/>
      <c r="AZ144" s="7"/>
      <c r="BA144" s="7"/>
      <c r="BB144" s="7"/>
      <c r="BC144" s="7"/>
      <c r="BF144" s="7"/>
      <c r="BG144" s="36"/>
      <c r="BH144" s="36"/>
      <c r="BI144" s="36"/>
      <c r="BJ144" s="36"/>
      <c r="BK144" s="36"/>
      <c r="BL144" s="36"/>
      <c r="BM144" s="36"/>
      <c r="BN144" s="36"/>
      <c r="BO144" s="36"/>
    </row>
    <row r="145" spans="1:67" x14ac:dyDescent="0.25">
      <c r="A145" s="39"/>
      <c r="B145" s="40"/>
      <c r="U145" s="36"/>
      <c r="V145" s="36"/>
      <c r="W145" s="35"/>
      <c r="X145" s="7"/>
      <c r="Y145" s="7"/>
      <c r="Z145" s="7"/>
      <c r="AA145" s="7"/>
      <c r="AB145" s="7"/>
      <c r="AC145" s="7"/>
      <c r="AD145" s="7"/>
      <c r="AE145" s="7"/>
      <c r="AG145" s="36"/>
      <c r="AH145" s="36"/>
      <c r="AI145" s="35"/>
      <c r="AJ145" s="7"/>
      <c r="AK145" s="7"/>
      <c r="AL145" s="7"/>
      <c r="AM145" s="7"/>
      <c r="AN145" s="7"/>
      <c r="AO145" s="7"/>
      <c r="AP145" s="7"/>
      <c r="AQ145" s="7"/>
      <c r="AS145" s="36"/>
      <c r="AT145" s="36"/>
      <c r="AU145" s="35"/>
      <c r="AV145" s="7"/>
      <c r="AW145" s="7"/>
      <c r="AX145" s="7"/>
      <c r="AY145" s="7"/>
      <c r="AZ145" s="7"/>
      <c r="BA145" s="7"/>
      <c r="BB145" s="7"/>
      <c r="BC145" s="7"/>
      <c r="BF145" s="7"/>
      <c r="BG145" s="36"/>
      <c r="BH145" s="36"/>
      <c r="BI145" s="36"/>
      <c r="BJ145" s="36"/>
      <c r="BK145" s="36"/>
      <c r="BL145" s="36"/>
      <c r="BM145" s="36"/>
      <c r="BN145" s="36"/>
      <c r="BO145" s="36"/>
    </row>
    <row r="146" spans="1:67" x14ac:dyDescent="0.25">
      <c r="A146" s="39"/>
      <c r="B146" s="40"/>
      <c r="U146" s="36"/>
      <c r="V146" s="36"/>
      <c r="W146" s="35"/>
      <c r="X146" s="7"/>
      <c r="Y146" s="7"/>
      <c r="Z146" s="7"/>
      <c r="AA146" s="7"/>
      <c r="AB146" s="7"/>
      <c r="AC146" s="7"/>
      <c r="AD146" s="7"/>
      <c r="AE146" s="7"/>
      <c r="AG146" s="36"/>
      <c r="AH146" s="36"/>
      <c r="AI146" s="35"/>
      <c r="AJ146" s="7"/>
      <c r="AK146" s="7"/>
      <c r="AL146" s="7"/>
      <c r="AM146" s="7"/>
      <c r="AN146" s="7"/>
      <c r="AO146" s="7"/>
      <c r="AP146" s="7"/>
      <c r="AQ146" s="7"/>
      <c r="AS146" s="36"/>
      <c r="AT146" s="36"/>
      <c r="AU146" s="35"/>
      <c r="AV146" s="7"/>
      <c r="AW146" s="7"/>
      <c r="AX146" s="7"/>
      <c r="AY146" s="7"/>
      <c r="AZ146" s="7"/>
      <c r="BA146" s="7"/>
      <c r="BB146" s="7"/>
      <c r="BC146" s="7"/>
      <c r="BF146" s="7"/>
      <c r="BG146" s="36"/>
      <c r="BH146" s="36"/>
      <c r="BI146" s="36"/>
      <c r="BJ146" s="36"/>
      <c r="BK146" s="36"/>
      <c r="BL146" s="36"/>
      <c r="BM146" s="36"/>
      <c r="BN146" s="36"/>
      <c r="BO146" s="36"/>
    </row>
    <row r="147" spans="1:67" x14ac:dyDescent="0.25">
      <c r="A147" s="39"/>
      <c r="B147" s="40"/>
      <c r="U147" s="36"/>
      <c r="V147" s="36"/>
      <c r="W147" s="35"/>
      <c r="X147" s="7"/>
      <c r="Y147" s="7"/>
      <c r="Z147" s="7"/>
      <c r="AA147" s="7"/>
      <c r="AB147" s="7"/>
      <c r="AC147" s="7"/>
      <c r="AD147" s="7"/>
      <c r="AE147" s="7"/>
      <c r="AG147" s="36"/>
      <c r="AH147" s="36"/>
      <c r="AI147" s="35"/>
      <c r="AJ147" s="7"/>
      <c r="AK147" s="7"/>
      <c r="AL147" s="7"/>
      <c r="AM147" s="7"/>
      <c r="AN147" s="7"/>
      <c r="AO147" s="7"/>
      <c r="AP147" s="7"/>
      <c r="AQ147" s="7"/>
      <c r="AS147" s="36"/>
      <c r="AT147" s="36"/>
      <c r="AU147" s="35"/>
      <c r="AV147" s="7"/>
      <c r="AW147" s="7"/>
      <c r="AX147" s="7"/>
      <c r="AY147" s="7"/>
      <c r="AZ147" s="7"/>
      <c r="BA147" s="7"/>
      <c r="BB147" s="7"/>
      <c r="BC147" s="7"/>
      <c r="BF147" s="7"/>
      <c r="BG147" s="36"/>
      <c r="BH147" s="36"/>
      <c r="BI147" s="36"/>
      <c r="BJ147" s="36"/>
      <c r="BK147" s="36"/>
      <c r="BL147" s="36"/>
      <c r="BM147" s="36"/>
      <c r="BN147" s="36"/>
      <c r="BO147" s="36"/>
    </row>
    <row r="148" spans="1:67" x14ac:dyDescent="0.25">
      <c r="A148" s="39"/>
      <c r="B148" s="40"/>
      <c r="U148" s="36"/>
      <c r="V148" s="36"/>
      <c r="W148" s="35"/>
      <c r="X148" s="7"/>
      <c r="Y148" s="7"/>
      <c r="Z148" s="7"/>
      <c r="AA148" s="7"/>
      <c r="AB148" s="7"/>
      <c r="AC148" s="7"/>
      <c r="AD148" s="7"/>
      <c r="AE148" s="7"/>
      <c r="AG148" s="36"/>
      <c r="AH148" s="36"/>
      <c r="AI148" s="35"/>
      <c r="AJ148" s="7"/>
      <c r="AK148" s="7"/>
      <c r="AL148" s="7"/>
      <c r="AM148" s="7"/>
      <c r="AN148" s="7"/>
      <c r="AO148" s="7"/>
      <c r="AP148" s="7"/>
      <c r="AQ148" s="7"/>
      <c r="AS148" s="36"/>
      <c r="AT148" s="36"/>
      <c r="AU148" s="35"/>
      <c r="AV148" s="7"/>
      <c r="AW148" s="7"/>
      <c r="AX148" s="7"/>
      <c r="AY148" s="7"/>
      <c r="AZ148" s="7"/>
      <c r="BA148" s="7"/>
      <c r="BB148" s="7"/>
      <c r="BC148" s="7"/>
      <c r="BF148" s="7"/>
      <c r="BG148" s="36"/>
      <c r="BH148" s="36"/>
      <c r="BI148" s="36"/>
      <c r="BJ148" s="36"/>
      <c r="BK148" s="36"/>
      <c r="BL148" s="36"/>
      <c r="BM148" s="36"/>
      <c r="BN148" s="36"/>
      <c r="BO148" s="36"/>
    </row>
    <row r="149" spans="1:67" x14ac:dyDescent="0.25">
      <c r="A149" s="39"/>
      <c r="B149" s="40"/>
      <c r="U149" s="36"/>
      <c r="V149" s="36"/>
      <c r="W149" s="35"/>
      <c r="X149" s="7"/>
      <c r="Y149" s="7"/>
      <c r="Z149" s="7"/>
      <c r="AA149" s="7"/>
      <c r="AB149" s="7"/>
      <c r="AC149" s="7"/>
      <c r="AD149" s="7"/>
      <c r="AE149" s="7"/>
      <c r="AG149" s="36"/>
      <c r="AH149" s="36"/>
      <c r="AI149" s="35"/>
      <c r="AJ149" s="7"/>
      <c r="AK149" s="7"/>
      <c r="AL149" s="7"/>
      <c r="AM149" s="7"/>
      <c r="AN149" s="7"/>
      <c r="AO149" s="7"/>
      <c r="AP149" s="7"/>
      <c r="AQ149" s="7"/>
      <c r="AS149" s="36"/>
      <c r="AT149" s="36"/>
      <c r="AU149" s="35"/>
      <c r="AV149" s="7"/>
      <c r="AW149" s="7"/>
      <c r="AX149" s="7"/>
      <c r="AY149" s="7"/>
      <c r="AZ149" s="7"/>
      <c r="BA149" s="7"/>
      <c r="BB149" s="7"/>
      <c r="BC149" s="7"/>
      <c r="BF149" s="7"/>
      <c r="BG149" s="36"/>
      <c r="BH149" s="36"/>
      <c r="BI149" s="36"/>
      <c r="BJ149" s="36"/>
      <c r="BK149" s="36"/>
      <c r="BL149" s="36"/>
      <c r="BM149" s="36"/>
      <c r="BN149" s="36"/>
      <c r="BO149" s="36"/>
    </row>
    <row r="150" spans="1:67" x14ac:dyDescent="0.25">
      <c r="A150" s="39"/>
      <c r="B150" s="40"/>
      <c r="U150" s="36"/>
      <c r="V150" s="36"/>
      <c r="W150" s="35"/>
      <c r="X150" s="7"/>
      <c r="Y150" s="7"/>
      <c r="Z150" s="7"/>
      <c r="AA150" s="7"/>
      <c r="AB150" s="7"/>
      <c r="AC150" s="7"/>
      <c r="AD150" s="7"/>
      <c r="AE150" s="7"/>
      <c r="AG150" s="36"/>
      <c r="AH150" s="36"/>
      <c r="AI150" s="35"/>
      <c r="AJ150" s="7"/>
      <c r="AK150" s="7"/>
      <c r="AL150" s="7"/>
      <c r="AM150" s="7"/>
      <c r="AN150" s="7"/>
      <c r="AO150" s="7"/>
      <c r="AP150" s="7"/>
      <c r="AQ150" s="7"/>
      <c r="AS150" s="36"/>
      <c r="AT150" s="36"/>
      <c r="AU150" s="35"/>
      <c r="AV150" s="7"/>
      <c r="AW150" s="7"/>
      <c r="AX150" s="7"/>
      <c r="AY150" s="7"/>
      <c r="AZ150" s="7"/>
      <c r="BA150" s="7"/>
      <c r="BB150" s="7"/>
      <c r="BC150" s="7"/>
      <c r="BF150" s="7"/>
      <c r="BG150" s="36"/>
      <c r="BH150" s="36"/>
      <c r="BI150" s="36"/>
      <c r="BJ150" s="36"/>
      <c r="BK150" s="36"/>
      <c r="BL150" s="36"/>
      <c r="BM150" s="36"/>
      <c r="BN150" s="36"/>
      <c r="BO150" s="36"/>
    </row>
    <row r="151" spans="1:67" x14ac:dyDescent="0.25">
      <c r="A151" s="39"/>
      <c r="B151" s="40"/>
      <c r="U151" s="36"/>
      <c r="V151" s="36"/>
      <c r="W151" s="35"/>
      <c r="X151" s="7"/>
      <c r="Y151" s="7"/>
      <c r="Z151" s="7"/>
      <c r="AA151" s="7"/>
      <c r="AB151" s="7"/>
      <c r="AC151" s="7"/>
      <c r="AD151" s="7"/>
      <c r="AE151" s="7"/>
      <c r="AG151" s="36"/>
      <c r="AH151" s="36"/>
      <c r="AI151" s="35"/>
      <c r="AJ151" s="7"/>
      <c r="AK151" s="7"/>
      <c r="AL151" s="7"/>
      <c r="AM151" s="7"/>
      <c r="AN151" s="7"/>
      <c r="AO151" s="7"/>
      <c r="AP151" s="7"/>
      <c r="AQ151" s="7"/>
      <c r="AS151" s="36"/>
      <c r="AT151" s="36"/>
      <c r="AU151" s="35"/>
      <c r="AV151" s="7"/>
      <c r="AW151" s="7"/>
      <c r="AX151" s="7"/>
      <c r="AY151" s="7"/>
      <c r="AZ151" s="7"/>
      <c r="BA151" s="7"/>
      <c r="BB151" s="7"/>
      <c r="BC151" s="7"/>
      <c r="BF151" s="7"/>
      <c r="BG151" s="36"/>
      <c r="BH151" s="36"/>
      <c r="BI151" s="36"/>
      <c r="BJ151" s="36"/>
      <c r="BK151" s="36"/>
      <c r="BL151" s="36"/>
      <c r="BM151" s="36"/>
      <c r="BN151" s="36"/>
      <c r="BO151" s="36"/>
    </row>
    <row r="152" spans="1:67" x14ac:dyDescent="0.25">
      <c r="A152" s="39"/>
      <c r="B152" s="40"/>
      <c r="U152" s="36"/>
      <c r="V152" s="36"/>
      <c r="W152" s="35"/>
      <c r="X152" s="7"/>
      <c r="Y152" s="7"/>
      <c r="Z152" s="7"/>
      <c r="AA152" s="7"/>
      <c r="AB152" s="7"/>
      <c r="AC152" s="7"/>
      <c r="AD152" s="7"/>
      <c r="AE152" s="7"/>
      <c r="AG152" s="36"/>
      <c r="AH152" s="36"/>
      <c r="AI152" s="35"/>
      <c r="AJ152" s="7"/>
      <c r="AK152" s="7"/>
      <c r="AL152" s="7"/>
      <c r="AM152" s="7"/>
      <c r="AN152" s="7"/>
      <c r="AO152" s="7"/>
      <c r="AP152" s="7"/>
      <c r="AQ152" s="7"/>
      <c r="AS152" s="36"/>
      <c r="AT152" s="36"/>
      <c r="AU152" s="35"/>
      <c r="AV152" s="7"/>
      <c r="AW152" s="7"/>
      <c r="AX152" s="7"/>
      <c r="AY152" s="7"/>
      <c r="AZ152" s="7"/>
      <c r="BA152" s="7"/>
      <c r="BB152" s="7"/>
      <c r="BC152" s="7"/>
      <c r="BF152" s="7"/>
      <c r="BG152" s="36"/>
      <c r="BH152" s="36"/>
      <c r="BI152" s="36"/>
      <c r="BJ152" s="36"/>
      <c r="BK152" s="36"/>
      <c r="BL152" s="36"/>
      <c r="BM152" s="36"/>
      <c r="BN152" s="36"/>
      <c r="BO152" s="36"/>
    </row>
    <row r="153" spans="1:67" x14ac:dyDescent="0.25">
      <c r="A153" s="39"/>
      <c r="B153" s="40"/>
      <c r="U153" s="36"/>
      <c r="V153" s="36"/>
      <c r="W153" s="35"/>
      <c r="X153" s="7"/>
      <c r="Y153" s="7"/>
      <c r="Z153" s="7"/>
      <c r="AA153" s="7"/>
      <c r="AB153" s="7"/>
      <c r="AC153" s="7"/>
      <c r="AD153" s="7"/>
      <c r="AE153" s="7"/>
      <c r="AG153" s="36"/>
      <c r="AH153" s="36"/>
      <c r="AI153" s="35"/>
      <c r="AJ153" s="7"/>
      <c r="AK153" s="7"/>
      <c r="AL153" s="7"/>
      <c r="AM153" s="7"/>
      <c r="AN153" s="7"/>
      <c r="AO153" s="7"/>
      <c r="AP153" s="7"/>
      <c r="AQ153" s="7"/>
      <c r="AS153" s="36"/>
      <c r="AT153" s="36"/>
      <c r="AU153" s="35"/>
      <c r="AV153" s="7"/>
      <c r="AW153" s="7"/>
      <c r="AX153" s="7"/>
      <c r="AY153" s="7"/>
      <c r="AZ153" s="7"/>
      <c r="BA153" s="7"/>
      <c r="BB153" s="7"/>
      <c r="BC153" s="7"/>
      <c r="BF153" s="7"/>
      <c r="BG153" s="36"/>
      <c r="BH153" s="36"/>
      <c r="BI153" s="36"/>
      <c r="BJ153" s="36"/>
      <c r="BK153" s="36"/>
      <c r="BL153" s="36"/>
      <c r="BM153" s="36"/>
      <c r="BN153" s="36"/>
      <c r="BO153" s="36"/>
    </row>
    <row r="154" spans="1:67" x14ac:dyDescent="0.25">
      <c r="A154" s="39"/>
      <c r="B154" s="40"/>
      <c r="U154" s="36"/>
      <c r="V154" s="36"/>
      <c r="W154" s="35"/>
      <c r="X154" s="7"/>
      <c r="Y154" s="7"/>
      <c r="Z154" s="7"/>
      <c r="AA154" s="7"/>
      <c r="AB154" s="7"/>
      <c r="AC154" s="7"/>
      <c r="AD154" s="7"/>
      <c r="AE154" s="7"/>
      <c r="AG154" s="36"/>
      <c r="AH154" s="36"/>
      <c r="AI154" s="35"/>
      <c r="AJ154" s="7"/>
      <c r="AK154" s="7"/>
      <c r="AL154" s="7"/>
      <c r="AM154" s="7"/>
      <c r="AN154" s="7"/>
      <c r="AO154" s="7"/>
      <c r="AP154" s="7"/>
      <c r="AQ154" s="7"/>
      <c r="AS154" s="36"/>
      <c r="AT154" s="36"/>
      <c r="AU154" s="35"/>
      <c r="AV154" s="7"/>
      <c r="AW154" s="7"/>
      <c r="AX154" s="7"/>
      <c r="AY154" s="7"/>
      <c r="AZ154" s="7"/>
      <c r="BA154" s="7"/>
      <c r="BB154" s="7"/>
      <c r="BC154" s="7"/>
      <c r="BF154" s="7"/>
      <c r="BG154" s="36"/>
      <c r="BH154" s="36"/>
      <c r="BI154" s="36"/>
      <c r="BJ154" s="36"/>
      <c r="BK154" s="36"/>
      <c r="BL154" s="36"/>
      <c r="BM154" s="36"/>
      <c r="BN154" s="36"/>
      <c r="BO154" s="36"/>
    </row>
    <row r="155" spans="1:67" x14ac:dyDescent="0.25">
      <c r="A155" s="39"/>
      <c r="B155" s="40"/>
      <c r="U155" s="36"/>
      <c r="V155" s="36"/>
      <c r="W155" s="35"/>
      <c r="X155" s="7"/>
      <c r="Y155" s="7"/>
      <c r="Z155" s="7"/>
      <c r="AA155" s="7"/>
      <c r="AB155" s="7"/>
      <c r="AC155" s="7"/>
      <c r="AD155" s="7"/>
      <c r="AE155" s="7"/>
      <c r="AG155" s="36"/>
      <c r="AH155" s="36"/>
      <c r="AI155" s="35"/>
      <c r="AJ155" s="7"/>
      <c r="AK155" s="7"/>
      <c r="AL155" s="7"/>
      <c r="AM155" s="7"/>
      <c r="AN155" s="7"/>
      <c r="AO155" s="7"/>
      <c r="AP155" s="7"/>
      <c r="AQ155" s="7"/>
      <c r="AS155" s="36"/>
      <c r="AT155" s="36"/>
      <c r="AU155" s="35"/>
      <c r="AV155" s="7"/>
      <c r="AW155" s="7"/>
      <c r="AX155" s="7"/>
      <c r="AY155" s="7"/>
      <c r="AZ155" s="7"/>
      <c r="BA155" s="7"/>
      <c r="BB155" s="7"/>
      <c r="BC155" s="7"/>
      <c r="BF155" s="7"/>
      <c r="BG155" s="36"/>
      <c r="BH155" s="36"/>
      <c r="BI155" s="36"/>
      <c r="BJ155" s="36"/>
      <c r="BK155" s="36"/>
      <c r="BL155" s="36"/>
      <c r="BM155" s="36"/>
      <c r="BN155" s="36"/>
      <c r="BO155" s="36"/>
    </row>
    <row r="156" spans="1:67" x14ac:dyDescent="0.25">
      <c r="A156" s="39"/>
      <c r="B156" s="40"/>
      <c r="U156" s="36"/>
      <c r="V156" s="36"/>
      <c r="W156" s="35"/>
      <c r="X156" s="7"/>
      <c r="Y156" s="7"/>
      <c r="Z156" s="7"/>
      <c r="AA156" s="7"/>
      <c r="AB156" s="7"/>
      <c r="AC156" s="7"/>
      <c r="AD156" s="7"/>
      <c r="AE156" s="7"/>
      <c r="AG156" s="36"/>
      <c r="AH156" s="36"/>
      <c r="AI156" s="35"/>
      <c r="AJ156" s="7"/>
      <c r="AK156" s="7"/>
      <c r="AL156" s="7"/>
      <c r="AM156" s="7"/>
      <c r="AN156" s="7"/>
      <c r="AO156" s="7"/>
      <c r="AP156" s="7"/>
      <c r="AQ156" s="7"/>
      <c r="AS156" s="36"/>
      <c r="AT156" s="36"/>
      <c r="AU156" s="35"/>
      <c r="AV156" s="7"/>
      <c r="AW156" s="7"/>
      <c r="AX156" s="7"/>
      <c r="AY156" s="7"/>
      <c r="AZ156" s="7"/>
      <c r="BA156" s="7"/>
      <c r="BB156" s="7"/>
      <c r="BC156" s="7"/>
      <c r="BF156" s="7"/>
      <c r="BG156" s="36"/>
      <c r="BH156" s="36"/>
      <c r="BI156" s="36"/>
      <c r="BJ156" s="36"/>
      <c r="BK156" s="36"/>
      <c r="BL156" s="36"/>
      <c r="BM156" s="36"/>
      <c r="BN156" s="36"/>
      <c r="BO156" s="36"/>
    </row>
    <row r="157" spans="1:67" x14ac:dyDescent="0.25">
      <c r="A157" s="39"/>
      <c r="B157" s="40"/>
      <c r="U157" s="36"/>
      <c r="V157" s="36"/>
      <c r="W157" s="35"/>
      <c r="X157" s="7"/>
      <c r="Y157" s="7"/>
      <c r="Z157" s="7"/>
      <c r="AA157" s="7"/>
      <c r="AB157" s="7"/>
      <c r="AC157" s="7"/>
      <c r="AD157" s="7"/>
      <c r="AE157" s="7"/>
      <c r="AG157" s="36"/>
      <c r="AH157" s="36"/>
      <c r="AI157" s="35"/>
      <c r="AJ157" s="7"/>
      <c r="AK157" s="7"/>
      <c r="AL157" s="7"/>
      <c r="AM157" s="7"/>
      <c r="AN157" s="7"/>
      <c r="AO157" s="7"/>
      <c r="AP157" s="7"/>
      <c r="AQ157" s="7"/>
      <c r="AS157" s="36"/>
      <c r="AT157" s="36"/>
      <c r="AU157" s="35"/>
      <c r="AV157" s="7"/>
      <c r="AW157" s="7"/>
      <c r="AX157" s="7"/>
      <c r="AY157" s="7"/>
      <c r="AZ157" s="7"/>
      <c r="BA157" s="7"/>
      <c r="BB157" s="7"/>
      <c r="BC157" s="7"/>
      <c r="BF157" s="7"/>
      <c r="BG157" s="36"/>
      <c r="BH157" s="36"/>
      <c r="BI157" s="36"/>
      <c r="BJ157" s="36"/>
      <c r="BK157" s="36"/>
      <c r="BL157" s="36"/>
      <c r="BM157" s="36"/>
      <c r="BN157" s="36"/>
      <c r="BO157" s="36"/>
    </row>
    <row r="158" spans="1:67" x14ac:dyDescent="0.25">
      <c r="A158" s="39"/>
      <c r="B158" s="40"/>
      <c r="U158" s="36"/>
      <c r="V158" s="36"/>
      <c r="W158" s="35"/>
      <c r="X158" s="7"/>
      <c r="Y158" s="7"/>
      <c r="Z158" s="7"/>
      <c r="AA158" s="7"/>
      <c r="AB158" s="7"/>
      <c r="AC158" s="7"/>
      <c r="AD158" s="7"/>
      <c r="AE158" s="7"/>
      <c r="AG158" s="36"/>
      <c r="AH158" s="36"/>
      <c r="AI158" s="35"/>
      <c r="AJ158" s="7"/>
      <c r="AK158" s="7"/>
      <c r="AL158" s="7"/>
      <c r="AM158" s="7"/>
      <c r="AN158" s="7"/>
      <c r="AO158" s="7"/>
      <c r="AP158" s="7"/>
      <c r="AQ158" s="7"/>
      <c r="AS158" s="36"/>
      <c r="AT158" s="36"/>
      <c r="AU158" s="35"/>
      <c r="AV158" s="7"/>
      <c r="AW158" s="7"/>
      <c r="AX158" s="7"/>
      <c r="AY158" s="7"/>
      <c r="AZ158" s="7"/>
      <c r="BA158" s="7"/>
      <c r="BB158" s="7"/>
      <c r="BC158" s="7"/>
      <c r="BF158" s="7"/>
      <c r="BG158" s="36"/>
      <c r="BH158" s="36"/>
      <c r="BI158" s="36"/>
      <c r="BJ158" s="36"/>
      <c r="BK158" s="36"/>
      <c r="BL158" s="36"/>
      <c r="BM158" s="36"/>
      <c r="BN158" s="36"/>
      <c r="BO158" s="36"/>
    </row>
    <row r="159" spans="1:67" x14ac:dyDescent="0.25">
      <c r="A159" s="39"/>
      <c r="B159" s="40"/>
      <c r="U159" s="36"/>
      <c r="V159" s="36"/>
      <c r="W159" s="35"/>
      <c r="X159" s="7"/>
      <c r="Y159" s="7"/>
      <c r="Z159" s="7"/>
      <c r="AA159" s="7"/>
      <c r="AB159" s="7"/>
      <c r="AC159" s="7"/>
      <c r="AD159" s="7"/>
      <c r="AE159" s="7"/>
      <c r="AG159" s="36"/>
      <c r="AH159" s="36"/>
      <c r="AI159" s="35"/>
      <c r="AJ159" s="7"/>
      <c r="AK159" s="7"/>
      <c r="AL159" s="7"/>
      <c r="AM159" s="7"/>
      <c r="AN159" s="7"/>
      <c r="AO159" s="7"/>
      <c r="AP159" s="7"/>
      <c r="AQ159" s="7"/>
      <c r="AS159" s="36"/>
      <c r="AT159" s="36"/>
      <c r="AU159" s="35"/>
      <c r="AV159" s="7"/>
      <c r="AW159" s="7"/>
      <c r="AX159" s="7"/>
      <c r="AY159" s="7"/>
      <c r="AZ159" s="7"/>
      <c r="BA159" s="7"/>
      <c r="BB159" s="7"/>
      <c r="BC159" s="7"/>
      <c r="BF159" s="7"/>
      <c r="BG159" s="36"/>
      <c r="BH159" s="36"/>
      <c r="BI159" s="36"/>
      <c r="BJ159" s="36"/>
      <c r="BK159" s="36"/>
      <c r="BL159" s="36"/>
      <c r="BM159" s="36"/>
      <c r="BN159" s="36"/>
      <c r="BO159" s="36"/>
    </row>
    <row r="160" spans="1:67" x14ac:dyDescent="0.25">
      <c r="A160" s="39"/>
      <c r="B160" s="40"/>
      <c r="U160" s="36"/>
      <c r="V160" s="36"/>
      <c r="W160" s="35"/>
      <c r="X160" s="7"/>
      <c r="Y160" s="7"/>
      <c r="Z160" s="7"/>
      <c r="AA160" s="7"/>
      <c r="AB160" s="7"/>
      <c r="AC160" s="7"/>
      <c r="AD160" s="7"/>
      <c r="AE160" s="7"/>
      <c r="AG160" s="36"/>
      <c r="AH160" s="36"/>
      <c r="AI160" s="35"/>
      <c r="AJ160" s="7"/>
      <c r="AK160" s="7"/>
      <c r="AL160" s="7"/>
      <c r="AM160" s="7"/>
      <c r="AN160" s="7"/>
      <c r="AO160" s="7"/>
      <c r="AP160" s="7"/>
      <c r="AQ160" s="7"/>
      <c r="AS160" s="36"/>
      <c r="AT160" s="36"/>
      <c r="AU160" s="35"/>
      <c r="AV160" s="7"/>
      <c r="AW160" s="7"/>
      <c r="AX160" s="7"/>
      <c r="AY160" s="7"/>
      <c r="AZ160" s="7"/>
      <c r="BA160" s="7"/>
      <c r="BB160" s="7"/>
      <c r="BC160" s="7"/>
      <c r="BF160" s="7"/>
      <c r="BG160" s="36"/>
      <c r="BH160" s="36"/>
      <c r="BI160" s="36"/>
      <c r="BJ160" s="36"/>
      <c r="BK160" s="36"/>
      <c r="BL160" s="36"/>
      <c r="BM160" s="36"/>
      <c r="BN160" s="36"/>
      <c r="BO160" s="36"/>
    </row>
    <row r="161" spans="1:67" x14ac:dyDescent="0.25">
      <c r="A161" s="39"/>
      <c r="B161" s="40"/>
      <c r="U161" s="36"/>
      <c r="V161" s="36"/>
      <c r="W161" s="35"/>
      <c r="X161" s="7"/>
      <c r="Y161" s="7"/>
      <c r="Z161" s="7"/>
      <c r="AA161" s="7"/>
      <c r="AB161" s="7"/>
      <c r="AC161" s="7"/>
      <c r="AD161" s="7"/>
      <c r="AE161" s="7"/>
      <c r="AG161" s="36"/>
      <c r="AH161" s="36"/>
      <c r="AI161" s="35"/>
      <c r="AJ161" s="7"/>
      <c r="AK161" s="7"/>
      <c r="AL161" s="7"/>
      <c r="AM161" s="7"/>
      <c r="AN161" s="7"/>
      <c r="AO161" s="7"/>
      <c r="AP161" s="7"/>
      <c r="AQ161" s="7"/>
      <c r="AS161" s="36"/>
      <c r="AT161" s="36"/>
      <c r="AU161" s="35"/>
      <c r="AV161" s="7"/>
      <c r="AW161" s="7"/>
      <c r="AX161" s="7"/>
      <c r="AY161" s="7"/>
      <c r="AZ161" s="7"/>
      <c r="BA161" s="7"/>
      <c r="BB161" s="7"/>
      <c r="BC161" s="7"/>
      <c r="BF161" s="7"/>
      <c r="BG161" s="36"/>
      <c r="BH161" s="36"/>
      <c r="BI161" s="36"/>
      <c r="BJ161" s="36"/>
      <c r="BK161" s="36"/>
      <c r="BL161" s="36"/>
      <c r="BM161" s="36"/>
      <c r="BN161" s="36"/>
      <c r="BO161" s="36"/>
    </row>
    <row r="162" spans="1:67" x14ac:dyDescent="0.25">
      <c r="A162" s="39"/>
      <c r="B162" s="40"/>
      <c r="U162" s="36"/>
      <c r="V162" s="36"/>
      <c r="W162" s="35"/>
      <c r="X162" s="7"/>
      <c r="Y162" s="7"/>
      <c r="Z162" s="7"/>
      <c r="AA162" s="7"/>
      <c r="AB162" s="7"/>
      <c r="AC162" s="7"/>
      <c r="AD162" s="7"/>
      <c r="AE162" s="7"/>
      <c r="AG162" s="36"/>
      <c r="AH162" s="36"/>
      <c r="AI162" s="35"/>
      <c r="AJ162" s="7"/>
      <c r="AK162" s="7"/>
      <c r="AL162" s="7"/>
      <c r="AM162" s="7"/>
      <c r="AN162" s="7"/>
      <c r="AO162" s="7"/>
      <c r="AP162" s="7"/>
      <c r="AQ162" s="7"/>
      <c r="AS162" s="36"/>
      <c r="AT162" s="36"/>
      <c r="AU162" s="35"/>
      <c r="AV162" s="7"/>
      <c r="AW162" s="7"/>
      <c r="AX162" s="7"/>
      <c r="AY162" s="7"/>
      <c r="AZ162" s="7"/>
      <c r="BA162" s="7"/>
      <c r="BB162" s="7"/>
      <c r="BC162" s="7"/>
      <c r="BF162" s="7"/>
      <c r="BG162" s="36"/>
      <c r="BH162" s="36"/>
      <c r="BI162" s="36"/>
      <c r="BJ162" s="36"/>
      <c r="BK162" s="36"/>
      <c r="BL162" s="36"/>
      <c r="BM162" s="36"/>
      <c r="BN162" s="36"/>
      <c r="BO162" s="36"/>
    </row>
    <row r="163" spans="1:67" x14ac:dyDescent="0.25">
      <c r="A163" s="39"/>
      <c r="B163" s="40"/>
      <c r="U163" s="36"/>
      <c r="V163" s="36"/>
      <c r="W163" s="35"/>
      <c r="X163" s="7"/>
      <c r="Y163" s="7"/>
      <c r="Z163" s="7"/>
      <c r="AA163" s="7"/>
      <c r="AB163" s="7"/>
      <c r="AC163" s="7"/>
      <c r="AD163" s="7"/>
      <c r="AE163" s="7"/>
      <c r="AG163" s="36"/>
      <c r="AH163" s="36"/>
      <c r="AI163" s="35"/>
      <c r="AJ163" s="7"/>
      <c r="AK163" s="7"/>
      <c r="AL163" s="7"/>
      <c r="AM163" s="7"/>
      <c r="AN163" s="7"/>
      <c r="AO163" s="7"/>
      <c r="AP163" s="7"/>
      <c r="AQ163" s="7"/>
      <c r="AS163" s="36"/>
      <c r="AT163" s="36"/>
      <c r="AU163" s="35"/>
      <c r="AV163" s="7"/>
      <c r="AW163" s="7"/>
      <c r="AX163" s="7"/>
      <c r="AY163" s="7"/>
      <c r="AZ163" s="7"/>
      <c r="BA163" s="7"/>
      <c r="BB163" s="7"/>
      <c r="BC163" s="7"/>
      <c r="BF163" s="7"/>
      <c r="BG163" s="36"/>
      <c r="BH163" s="36"/>
      <c r="BI163" s="36"/>
      <c r="BJ163" s="36"/>
      <c r="BK163" s="36"/>
      <c r="BL163" s="36"/>
      <c r="BM163" s="36"/>
      <c r="BN163" s="36"/>
      <c r="BO163" s="36"/>
    </row>
    <row r="164" spans="1:67" x14ac:dyDescent="0.25">
      <c r="A164" s="39"/>
      <c r="B164" s="40"/>
      <c r="U164" s="36"/>
      <c r="V164" s="36"/>
      <c r="W164" s="35"/>
      <c r="X164" s="7"/>
      <c r="Y164" s="7"/>
      <c r="Z164" s="7"/>
      <c r="AA164" s="7"/>
      <c r="AB164" s="7"/>
      <c r="AC164" s="7"/>
      <c r="AD164" s="7"/>
      <c r="AE164" s="7"/>
      <c r="AG164" s="36"/>
      <c r="AH164" s="36"/>
      <c r="AI164" s="35"/>
      <c r="AJ164" s="7"/>
      <c r="AK164" s="7"/>
      <c r="AL164" s="7"/>
      <c r="AM164" s="7"/>
      <c r="AN164" s="7"/>
      <c r="AO164" s="7"/>
      <c r="AP164" s="7"/>
      <c r="AQ164" s="7"/>
      <c r="AS164" s="36"/>
      <c r="AT164" s="36"/>
      <c r="AU164" s="35"/>
      <c r="AV164" s="7"/>
      <c r="AW164" s="7"/>
      <c r="AX164" s="7"/>
      <c r="AY164" s="7"/>
      <c r="AZ164" s="7"/>
      <c r="BA164" s="7"/>
      <c r="BB164" s="7"/>
      <c r="BC164" s="7"/>
      <c r="BF164" s="7"/>
      <c r="BG164" s="36"/>
      <c r="BH164" s="36"/>
      <c r="BI164" s="36"/>
      <c r="BJ164" s="36"/>
      <c r="BK164" s="36"/>
      <c r="BL164" s="36"/>
      <c r="BM164" s="36"/>
      <c r="BN164" s="36"/>
      <c r="BO164" s="36"/>
    </row>
    <row r="165" spans="1:67" x14ac:dyDescent="0.25">
      <c r="A165" s="39"/>
      <c r="B165" s="40"/>
      <c r="U165" s="36"/>
      <c r="V165" s="36"/>
      <c r="W165" s="35"/>
      <c r="X165" s="7"/>
      <c r="Y165" s="7"/>
      <c r="Z165" s="7"/>
      <c r="AA165" s="7"/>
      <c r="AB165" s="7"/>
      <c r="AC165" s="7"/>
      <c r="AD165" s="7"/>
      <c r="AE165" s="7"/>
      <c r="AG165" s="36"/>
      <c r="AH165" s="36"/>
      <c r="AI165" s="35"/>
      <c r="AJ165" s="7"/>
      <c r="AK165" s="7"/>
      <c r="AL165" s="7"/>
      <c r="AM165" s="7"/>
      <c r="AN165" s="7"/>
      <c r="AO165" s="7"/>
      <c r="AP165" s="7"/>
      <c r="AQ165" s="7"/>
      <c r="AS165" s="36"/>
      <c r="AT165" s="36"/>
      <c r="AU165" s="35"/>
      <c r="AV165" s="7"/>
      <c r="AW165" s="7"/>
      <c r="AX165" s="7"/>
      <c r="AY165" s="7"/>
      <c r="AZ165" s="7"/>
      <c r="BA165" s="7"/>
      <c r="BB165" s="7"/>
      <c r="BC165" s="7"/>
      <c r="BF165" s="7"/>
      <c r="BG165" s="36"/>
      <c r="BH165" s="36"/>
      <c r="BI165" s="36"/>
      <c r="BJ165" s="36"/>
      <c r="BK165" s="36"/>
      <c r="BL165" s="36"/>
      <c r="BM165" s="36"/>
      <c r="BN165" s="36"/>
      <c r="BO165" s="36"/>
    </row>
    <row r="166" spans="1:67" x14ac:dyDescent="0.25">
      <c r="A166" s="39"/>
      <c r="B166" s="40"/>
      <c r="U166" s="36"/>
      <c r="V166" s="36"/>
      <c r="W166" s="35"/>
      <c r="X166" s="7"/>
      <c r="Y166" s="7"/>
      <c r="Z166" s="7"/>
      <c r="AA166" s="7"/>
      <c r="AB166" s="7"/>
      <c r="AC166" s="7"/>
      <c r="AD166" s="7"/>
      <c r="AE166" s="7"/>
      <c r="AG166" s="36"/>
      <c r="AH166" s="36"/>
      <c r="AI166" s="35"/>
      <c r="AJ166" s="7"/>
      <c r="AK166" s="7"/>
      <c r="AL166" s="7"/>
      <c r="AM166" s="7"/>
      <c r="AN166" s="7"/>
      <c r="AO166" s="7"/>
      <c r="AP166" s="7"/>
      <c r="AQ166" s="7"/>
      <c r="AS166" s="36"/>
      <c r="AT166" s="36"/>
      <c r="AU166" s="35"/>
      <c r="AV166" s="7"/>
      <c r="AW166" s="7"/>
      <c r="AX166" s="7"/>
      <c r="AY166" s="7"/>
      <c r="AZ166" s="7"/>
      <c r="BA166" s="7"/>
      <c r="BB166" s="7"/>
      <c r="BC166" s="7"/>
      <c r="BF166" s="7"/>
      <c r="BG166" s="36"/>
      <c r="BH166" s="36"/>
      <c r="BI166" s="36"/>
      <c r="BJ166" s="36"/>
      <c r="BK166" s="36"/>
      <c r="BL166" s="36"/>
      <c r="BM166" s="36"/>
      <c r="BN166" s="36"/>
      <c r="BO166" s="36"/>
    </row>
    <row r="167" spans="1:67" x14ac:dyDescent="0.25">
      <c r="A167" s="39"/>
      <c r="B167" s="40"/>
      <c r="U167" s="36"/>
      <c r="V167" s="36"/>
      <c r="W167" s="35"/>
      <c r="X167" s="7"/>
      <c r="Y167" s="7"/>
      <c r="Z167" s="7"/>
      <c r="AA167" s="7"/>
      <c r="AB167" s="7"/>
      <c r="AC167" s="7"/>
      <c r="AD167" s="7"/>
      <c r="AE167" s="7"/>
      <c r="AG167" s="36"/>
      <c r="AH167" s="36"/>
      <c r="AI167" s="35"/>
      <c r="AJ167" s="7"/>
      <c r="AK167" s="7"/>
      <c r="AL167" s="7"/>
      <c r="AM167" s="7"/>
      <c r="AN167" s="7"/>
      <c r="AO167" s="7"/>
      <c r="AP167" s="7"/>
      <c r="AQ167" s="7"/>
      <c r="AS167" s="36"/>
      <c r="AT167" s="36"/>
      <c r="AU167" s="35"/>
      <c r="AV167" s="7"/>
      <c r="AW167" s="7"/>
      <c r="AX167" s="7"/>
      <c r="AY167" s="7"/>
      <c r="AZ167" s="7"/>
      <c r="BA167" s="7"/>
      <c r="BB167" s="7"/>
      <c r="BC167" s="7"/>
      <c r="BF167" s="7"/>
      <c r="BG167" s="36"/>
      <c r="BH167" s="36"/>
      <c r="BI167" s="36"/>
      <c r="BJ167" s="36"/>
      <c r="BK167" s="36"/>
      <c r="BL167" s="36"/>
      <c r="BM167" s="36"/>
      <c r="BN167" s="36"/>
      <c r="BO167" s="36"/>
    </row>
    <row r="168" spans="1:67" x14ac:dyDescent="0.25">
      <c r="A168" s="39"/>
      <c r="B168" s="40"/>
      <c r="U168" s="36"/>
      <c r="V168" s="36"/>
      <c r="W168" s="35"/>
      <c r="X168" s="7"/>
      <c r="Y168" s="7"/>
      <c r="Z168" s="7"/>
      <c r="AA168" s="7"/>
      <c r="AB168" s="7"/>
      <c r="AC168" s="7"/>
      <c r="AD168" s="7"/>
      <c r="AE168" s="7"/>
      <c r="AG168" s="36"/>
      <c r="AH168" s="36"/>
      <c r="AI168" s="35"/>
      <c r="AJ168" s="7"/>
      <c r="AK168" s="7"/>
      <c r="AL168" s="7"/>
      <c r="AM168" s="7"/>
      <c r="AN168" s="7"/>
      <c r="AO168" s="7"/>
      <c r="AP168" s="7"/>
      <c r="AQ168" s="7"/>
      <c r="AS168" s="36"/>
      <c r="AT168" s="36"/>
      <c r="AU168" s="35"/>
      <c r="AV168" s="7"/>
      <c r="AW168" s="7"/>
      <c r="AX168" s="7"/>
      <c r="AY168" s="7"/>
      <c r="AZ168" s="7"/>
      <c r="BA168" s="7"/>
      <c r="BB168" s="7"/>
      <c r="BC168" s="7"/>
      <c r="BF168" s="7"/>
      <c r="BG168" s="36"/>
      <c r="BH168" s="36"/>
      <c r="BI168" s="36"/>
      <c r="BJ168" s="36"/>
      <c r="BK168" s="36"/>
      <c r="BL168" s="36"/>
      <c r="BM168" s="36"/>
      <c r="BN168" s="36"/>
      <c r="BO168" s="36"/>
    </row>
    <row r="169" spans="1:67" x14ac:dyDescent="0.25">
      <c r="A169" s="39"/>
      <c r="B169" s="40"/>
      <c r="U169" s="36"/>
      <c r="V169" s="36"/>
      <c r="W169" s="35"/>
      <c r="X169" s="7"/>
      <c r="Y169" s="7"/>
      <c r="Z169" s="7"/>
      <c r="AA169" s="7"/>
      <c r="AB169" s="7"/>
      <c r="AC169" s="7"/>
      <c r="AD169" s="7"/>
      <c r="AE169" s="7"/>
      <c r="AG169" s="36"/>
      <c r="AH169" s="36"/>
      <c r="AI169" s="35"/>
      <c r="AJ169" s="7"/>
      <c r="AK169" s="7"/>
      <c r="AL169" s="7"/>
      <c r="AM169" s="7"/>
      <c r="AN169" s="7"/>
      <c r="AO169" s="7"/>
      <c r="AP169" s="7"/>
      <c r="AQ169" s="7"/>
      <c r="AS169" s="36"/>
      <c r="AT169" s="36"/>
      <c r="AU169" s="35"/>
      <c r="AV169" s="7"/>
      <c r="AW169" s="7"/>
      <c r="AX169" s="7"/>
      <c r="AY169" s="7"/>
      <c r="AZ169" s="7"/>
      <c r="BA169" s="7"/>
      <c r="BB169" s="7"/>
      <c r="BC169" s="7"/>
      <c r="BF169" s="7"/>
      <c r="BG169" s="36"/>
      <c r="BH169" s="36"/>
      <c r="BI169" s="36"/>
      <c r="BJ169" s="36"/>
      <c r="BK169" s="36"/>
      <c r="BL169" s="36"/>
      <c r="BM169" s="36"/>
      <c r="BN169" s="36"/>
      <c r="BO169" s="36"/>
    </row>
    <row r="170" spans="1:67" x14ac:dyDescent="0.25">
      <c r="A170" s="39"/>
      <c r="B170" s="40"/>
      <c r="U170" s="36"/>
      <c r="V170" s="36"/>
      <c r="W170" s="35"/>
      <c r="X170" s="7"/>
      <c r="Y170" s="7"/>
      <c r="Z170" s="7"/>
      <c r="AA170" s="7"/>
      <c r="AB170" s="7"/>
      <c r="AC170" s="7"/>
      <c r="AD170" s="7"/>
      <c r="AE170" s="7"/>
      <c r="AG170" s="36"/>
      <c r="AH170" s="36"/>
      <c r="AI170" s="35"/>
      <c r="AJ170" s="7"/>
      <c r="AK170" s="7"/>
      <c r="AL170" s="7"/>
      <c r="AM170" s="7"/>
      <c r="AN170" s="7"/>
      <c r="AO170" s="7"/>
      <c r="AP170" s="7"/>
      <c r="AQ170" s="7"/>
      <c r="AS170" s="36"/>
      <c r="AT170" s="36"/>
      <c r="AU170" s="35"/>
      <c r="AV170" s="7"/>
      <c r="AW170" s="7"/>
      <c r="AX170" s="7"/>
      <c r="AY170" s="7"/>
      <c r="AZ170" s="7"/>
      <c r="BA170" s="7"/>
      <c r="BB170" s="7"/>
      <c r="BC170" s="7"/>
      <c r="BF170" s="7"/>
      <c r="BG170" s="36"/>
      <c r="BH170" s="36"/>
      <c r="BI170" s="36"/>
      <c r="BJ170" s="36"/>
      <c r="BK170" s="36"/>
      <c r="BL170" s="36"/>
      <c r="BM170" s="36"/>
      <c r="BN170" s="36"/>
      <c r="BO170" s="36"/>
    </row>
    <row r="171" spans="1:67" x14ac:dyDescent="0.25">
      <c r="A171" s="39"/>
      <c r="B171" s="40"/>
      <c r="U171" s="36"/>
      <c r="V171" s="36"/>
      <c r="W171" s="35"/>
      <c r="X171" s="7"/>
      <c r="Y171" s="7"/>
      <c r="Z171" s="7"/>
      <c r="AA171" s="7"/>
      <c r="AB171" s="7"/>
      <c r="AC171" s="7"/>
      <c r="AD171" s="7"/>
      <c r="AE171" s="7"/>
      <c r="AG171" s="36"/>
      <c r="AH171" s="36"/>
      <c r="AI171" s="35"/>
      <c r="AJ171" s="7"/>
      <c r="AK171" s="7"/>
      <c r="AL171" s="7"/>
      <c r="AM171" s="7"/>
      <c r="AN171" s="7"/>
      <c r="AO171" s="7"/>
      <c r="AP171" s="7"/>
      <c r="AQ171" s="7"/>
      <c r="AS171" s="36"/>
      <c r="AT171" s="36"/>
      <c r="AU171" s="35"/>
      <c r="AV171" s="7"/>
      <c r="AW171" s="7"/>
      <c r="AX171" s="7"/>
      <c r="AY171" s="7"/>
      <c r="AZ171" s="7"/>
      <c r="BA171" s="7"/>
      <c r="BB171" s="7"/>
      <c r="BC171" s="7"/>
      <c r="BF171" s="7"/>
      <c r="BG171" s="36"/>
      <c r="BH171" s="36"/>
      <c r="BI171" s="36"/>
      <c r="BJ171" s="36"/>
      <c r="BK171" s="36"/>
      <c r="BL171" s="36"/>
      <c r="BM171" s="36"/>
      <c r="BN171" s="36"/>
      <c r="BO171" s="36"/>
    </row>
    <row r="172" spans="1:67" x14ac:dyDescent="0.25">
      <c r="A172" s="39"/>
      <c r="B172" s="40"/>
      <c r="U172" s="36"/>
      <c r="V172" s="36"/>
      <c r="W172" s="35"/>
      <c r="X172" s="7"/>
      <c r="Y172" s="7"/>
      <c r="Z172" s="7"/>
      <c r="AA172" s="7"/>
      <c r="AB172" s="7"/>
      <c r="AC172" s="7"/>
      <c r="AD172" s="7"/>
      <c r="AE172" s="7"/>
      <c r="AG172" s="36"/>
      <c r="AH172" s="36"/>
      <c r="AI172" s="35"/>
      <c r="AJ172" s="7"/>
      <c r="AK172" s="7"/>
      <c r="AL172" s="7"/>
      <c r="AM172" s="7"/>
      <c r="AN172" s="7"/>
      <c r="AO172" s="7"/>
      <c r="AP172" s="7"/>
      <c r="AQ172" s="7"/>
      <c r="AS172" s="36"/>
      <c r="AT172" s="36"/>
      <c r="AU172" s="35"/>
      <c r="AV172" s="7"/>
      <c r="AW172" s="7"/>
      <c r="AX172" s="7"/>
      <c r="AY172" s="7"/>
      <c r="AZ172" s="7"/>
      <c r="BA172" s="7"/>
      <c r="BB172" s="7"/>
      <c r="BC172" s="7"/>
      <c r="BF172" s="7"/>
      <c r="BG172" s="36"/>
      <c r="BH172" s="36"/>
      <c r="BI172" s="36"/>
      <c r="BJ172" s="36"/>
      <c r="BK172" s="36"/>
      <c r="BL172" s="36"/>
      <c r="BM172" s="36"/>
      <c r="BN172" s="36"/>
      <c r="BO172" s="36"/>
    </row>
    <row r="173" spans="1:67" x14ac:dyDescent="0.25">
      <c r="A173" s="39"/>
      <c r="B173" s="40"/>
      <c r="U173" s="36"/>
      <c r="V173" s="36"/>
      <c r="W173" s="35"/>
      <c r="X173" s="7"/>
      <c r="Y173" s="7"/>
      <c r="Z173" s="7"/>
      <c r="AA173" s="7"/>
      <c r="AB173" s="7"/>
      <c r="AC173" s="7"/>
      <c r="AD173" s="7"/>
      <c r="AE173" s="7"/>
      <c r="AG173" s="36"/>
      <c r="AH173" s="36"/>
      <c r="AI173" s="35"/>
      <c r="AJ173" s="7"/>
      <c r="AK173" s="7"/>
      <c r="AL173" s="7"/>
      <c r="AM173" s="7"/>
      <c r="AN173" s="7"/>
      <c r="AO173" s="7"/>
      <c r="AP173" s="7"/>
      <c r="AQ173" s="7"/>
      <c r="AS173" s="36"/>
      <c r="AT173" s="36"/>
      <c r="AU173" s="35"/>
      <c r="AV173" s="7"/>
      <c r="AW173" s="7"/>
      <c r="AX173" s="7"/>
      <c r="AY173" s="7"/>
      <c r="AZ173" s="7"/>
      <c r="BA173" s="7"/>
      <c r="BB173" s="7"/>
      <c r="BC173" s="7"/>
      <c r="BF173" s="7"/>
      <c r="BG173" s="36"/>
      <c r="BH173" s="36"/>
      <c r="BI173" s="36"/>
      <c r="BJ173" s="36"/>
      <c r="BK173" s="36"/>
      <c r="BL173" s="36"/>
      <c r="BM173" s="36"/>
      <c r="BN173" s="36"/>
      <c r="BO173" s="36"/>
    </row>
    <row r="174" spans="1:67" x14ac:dyDescent="0.25">
      <c r="A174" s="39"/>
      <c r="B174" s="40"/>
      <c r="U174" s="36"/>
      <c r="V174" s="36"/>
      <c r="W174" s="35"/>
      <c r="X174" s="7"/>
      <c r="Y174" s="7"/>
      <c r="Z174" s="7"/>
      <c r="AA174" s="7"/>
      <c r="AB174" s="7"/>
      <c r="AC174" s="7"/>
      <c r="AD174" s="7"/>
      <c r="AE174" s="7"/>
      <c r="AG174" s="36"/>
      <c r="AH174" s="36"/>
      <c r="AI174" s="35"/>
      <c r="AJ174" s="7"/>
      <c r="AK174" s="7"/>
      <c r="AL174" s="7"/>
      <c r="AM174" s="7"/>
      <c r="AN174" s="7"/>
      <c r="AO174" s="7"/>
      <c r="AP174" s="7"/>
      <c r="AQ174" s="7"/>
      <c r="AS174" s="36"/>
      <c r="AT174" s="36"/>
      <c r="AU174" s="35"/>
      <c r="AV174" s="7"/>
      <c r="AW174" s="7"/>
      <c r="AX174" s="7"/>
      <c r="AY174" s="7"/>
      <c r="AZ174" s="7"/>
      <c r="BA174" s="7"/>
      <c r="BB174" s="7"/>
      <c r="BC174" s="7"/>
      <c r="BF174" s="7"/>
      <c r="BG174" s="36"/>
      <c r="BH174" s="36"/>
      <c r="BI174" s="36"/>
      <c r="BJ174" s="36"/>
      <c r="BK174" s="36"/>
      <c r="BL174" s="36"/>
      <c r="BM174" s="36"/>
      <c r="BN174" s="36"/>
      <c r="BO174" s="36"/>
    </row>
    <row r="175" spans="1:67" x14ac:dyDescent="0.25">
      <c r="A175" s="39"/>
      <c r="B175" s="40"/>
      <c r="U175" s="36"/>
      <c r="V175" s="36"/>
      <c r="W175" s="35"/>
      <c r="X175" s="7"/>
      <c r="Y175" s="7"/>
      <c r="Z175" s="7"/>
      <c r="AA175" s="7"/>
      <c r="AB175" s="7"/>
      <c r="AC175" s="7"/>
      <c r="AD175" s="7"/>
      <c r="AE175" s="7"/>
      <c r="AG175" s="36"/>
      <c r="AH175" s="36"/>
      <c r="AI175" s="35"/>
      <c r="AJ175" s="7"/>
      <c r="AK175" s="7"/>
      <c r="AL175" s="7"/>
      <c r="AM175" s="7"/>
      <c r="AN175" s="7"/>
      <c r="AO175" s="7"/>
      <c r="AP175" s="7"/>
      <c r="AQ175" s="7"/>
      <c r="AS175" s="36"/>
      <c r="AT175" s="36"/>
      <c r="AU175" s="35"/>
      <c r="AV175" s="7"/>
      <c r="AW175" s="7"/>
      <c r="AX175" s="7"/>
      <c r="AY175" s="7"/>
      <c r="AZ175" s="7"/>
      <c r="BA175" s="7"/>
      <c r="BB175" s="7"/>
      <c r="BC175" s="7"/>
      <c r="BF175" s="7"/>
      <c r="BG175" s="36"/>
      <c r="BH175" s="36"/>
      <c r="BI175" s="36"/>
      <c r="BJ175" s="36"/>
      <c r="BK175" s="36"/>
      <c r="BL175" s="36"/>
      <c r="BM175" s="36"/>
      <c r="BN175" s="36"/>
      <c r="BO175" s="36"/>
    </row>
    <row r="176" spans="1:67" x14ac:dyDescent="0.25">
      <c r="A176" s="39"/>
      <c r="B176" s="40"/>
      <c r="U176" s="36"/>
      <c r="V176" s="36"/>
      <c r="W176" s="35"/>
      <c r="X176" s="7"/>
      <c r="Y176" s="7"/>
      <c r="Z176" s="7"/>
      <c r="AA176" s="7"/>
      <c r="AB176" s="7"/>
      <c r="AC176" s="7"/>
      <c r="AD176" s="7"/>
      <c r="AE176" s="7"/>
      <c r="AG176" s="36"/>
      <c r="AH176" s="36"/>
      <c r="AI176" s="35"/>
      <c r="AJ176" s="7"/>
      <c r="AK176" s="7"/>
      <c r="AL176" s="7"/>
      <c r="AM176" s="7"/>
      <c r="AN176" s="7"/>
      <c r="AO176" s="7"/>
      <c r="AP176" s="7"/>
      <c r="AQ176" s="7"/>
      <c r="AS176" s="36"/>
      <c r="AT176" s="36"/>
      <c r="AU176" s="35"/>
      <c r="AV176" s="7"/>
      <c r="AW176" s="7"/>
      <c r="AX176" s="7"/>
      <c r="AY176" s="7"/>
      <c r="AZ176" s="7"/>
      <c r="BA176" s="7"/>
      <c r="BB176" s="7"/>
      <c r="BC176" s="7"/>
      <c r="BF176" s="7"/>
      <c r="BG176" s="36"/>
      <c r="BH176" s="36"/>
      <c r="BI176" s="36"/>
      <c r="BJ176" s="36"/>
      <c r="BK176" s="36"/>
      <c r="BL176" s="36"/>
      <c r="BM176" s="36"/>
      <c r="BN176" s="36"/>
      <c r="BO176" s="36"/>
    </row>
    <row r="177" spans="1:67" x14ac:dyDescent="0.25">
      <c r="A177" s="39"/>
      <c r="B177" s="40"/>
      <c r="U177" s="36"/>
      <c r="V177" s="36"/>
      <c r="W177" s="35"/>
      <c r="X177" s="7"/>
      <c r="Y177" s="7"/>
      <c r="Z177" s="7"/>
      <c r="AA177" s="7"/>
      <c r="AB177" s="7"/>
      <c r="AC177" s="7"/>
      <c r="AD177" s="7"/>
      <c r="AE177" s="7"/>
      <c r="AG177" s="36"/>
      <c r="AH177" s="36"/>
      <c r="AI177" s="35"/>
      <c r="AJ177" s="7"/>
      <c r="AK177" s="7"/>
      <c r="AL177" s="7"/>
      <c r="AM177" s="7"/>
      <c r="AN177" s="7"/>
      <c r="AO177" s="7"/>
      <c r="AP177" s="7"/>
      <c r="AQ177" s="7"/>
      <c r="AS177" s="36"/>
      <c r="AT177" s="36"/>
      <c r="AU177" s="35"/>
      <c r="AV177" s="7"/>
      <c r="AW177" s="7"/>
      <c r="AX177" s="7"/>
      <c r="AY177" s="7"/>
      <c r="AZ177" s="7"/>
      <c r="BA177" s="7"/>
      <c r="BB177" s="7"/>
      <c r="BC177" s="7"/>
      <c r="BF177" s="7"/>
      <c r="BG177" s="36"/>
      <c r="BH177" s="36"/>
      <c r="BI177" s="36"/>
      <c r="BJ177" s="36"/>
      <c r="BK177" s="36"/>
      <c r="BL177" s="36"/>
      <c r="BM177" s="36"/>
      <c r="BN177" s="36"/>
      <c r="BO177" s="36"/>
    </row>
    <row r="178" spans="1:67" x14ac:dyDescent="0.25">
      <c r="A178" s="39"/>
      <c r="B178" s="40"/>
      <c r="U178" s="36"/>
      <c r="V178" s="36"/>
      <c r="W178" s="35"/>
      <c r="X178" s="7"/>
      <c r="Y178" s="7"/>
      <c r="Z178" s="7"/>
      <c r="AA178" s="7"/>
      <c r="AB178" s="7"/>
      <c r="AC178" s="7"/>
      <c r="AD178" s="7"/>
      <c r="AE178" s="7"/>
      <c r="AG178" s="36"/>
      <c r="AH178" s="36"/>
      <c r="AI178" s="35"/>
      <c r="AJ178" s="7"/>
      <c r="AK178" s="7"/>
      <c r="AL178" s="7"/>
      <c r="AM178" s="7"/>
      <c r="AN178" s="7"/>
      <c r="AO178" s="7"/>
      <c r="AP178" s="7"/>
      <c r="AQ178" s="7"/>
      <c r="AS178" s="36"/>
      <c r="AT178" s="36"/>
      <c r="AU178" s="35"/>
      <c r="AV178" s="7"/>
      <c r="AW178" s="7"/>
      <c r="AX178" s="7"/>
      <c r="AY178" s="7"/>
      <c r="AZ178" s="7"/>
      <c r="BA178" s="7"/>
      <c r="BB178" s="7"/>
      <c r="BC178" s="7"/>
      <c r="BF178" s="7"/>
      <c r="BG178" s="36"/>
      <c r="BH178" s="36"/>
      <c r="BI178" s="36"/>
      <c r="BJ178" s="36"/>
      <c r="BK178" s="36"/>
      <c r="BL178" s="36"/>
      <c r="BM178" s="36"/>
      <c r="BN178" s="36"/>
      <c r="BO178" s="36"/>
    </row>
    <row r="179" spans="1:67" x14ac:dyDescent="0.25">
      <c r="A179" s="39"/>
      <c r="B179" s="40"/>
      <c r="U179" s="36"/>
      <c r="V179" s="36"/>
      <c r="W179" s="35"/>
      <c r="X179" s="7"/>
      <c r="Y179" s="7"/>
      <c r="Z179" s="7"/>
      <c r="AA179" s="7"/>
      <c r="AB179" s="7"/>
      <c r="AC179" s="7"/>
      <c r="AD179" s="7"/>
      <c r="AE179" s="7"/>
      <c r="AG179" s="36"/>
      <c r="AH179" s="36"/>
      <c r="AI179" s="35"/>
      <c r="AJ179" s="7"/>
      <c r="AK179" s="7"/>
      <c r="AL179" s="7"/>
      <c r="AM179" s="7"/>
      <c r="AN179" s="7"/>
      <c r="AO179" s="7"/>
      <c r="AP179" s="7"/>
      <c r="AQ179" s="7"/>
      <c r="AS179" s="36"/>
      <c r="AT179" s="36"/>
      <c r="AU179" s="35"/>
      <c r="AV179" s="7"/>
      <c r="AW179" s="7"/>
      <c r="AX179" s="7"/>
      <c r="AY179" s="7"/>
      <c r="AZ179" s="7"/>
      <c r="BA179" s="7"/>
      <c r="BB179" s="7"/>
      <c r="BC179" s="7"/>
      <c r="BF179" s="7"/>
      <c r="BG179" s="36"/>
      <c r="BH179" s="36"/>
      <c r="BI179" s="36"/>
      <c r="BJ179" s="36"/>
      <c r="BK179" s="36"/>
      <c r="BL179" s="36"/>
      <c r="BM179" s="36"/>
      <c r="BN179" s="36"/>
      <c r="BO179" s="36"/>
    </row>
    <row r="180" spans="1:67" x14ac:dyDescent="0.25">
      <c r="A180" s="39"/>
      <c r="B180" s="40"/>
      <c r="U180" s="36"/>
      <c r="V180" s="36"/>
      <c r="W180" s="35"/>
      <c r="X180" s="7"/>
      <c r="Y180" s="7"/>
      <c r="Z180" s="7"/>
      <c r="AA180" s="7"/>
      <c r="AB180" s="7"/>
      <c r="AC180" s="7"/>
      <c r="AD180" s="7"/>
      <c r="AE180" s="7"/>
      <c r="AG180" s="36"/>
      <c r="AH180" s="36"/>
      <c r="AI180" s="35"/>
      <c r="AJ180" s="7"/>
      <c r="AK180" s="7"/>
      <c r="AL180" s="7"/>
      <c r="AM180" s="7"/>
      <c r="AN180" s="7"/>
      <c r="AO180" s="7"/>
      <c r="AP180" s="7"/>
      <c r="AQ180" s="7"/>
      <c r="AS180" s="36"/>
      <c r="AT180" s="36"/>
      <c r="AU180" s="35"/>
      <c r="AV180" s="7"/>
      <c r="AW180" s="7"/>
      <c r="AX180" s="7"/>
      <c r="AY180" s="7"/>
      <c r="AZ180" s="7"/>
      <c r="BA180" s="7"/>
      <c r="BB180" s="7"/>
      <c r="BC180" s="7"/>
      <c r="BF180" s="7"/>
      <c r="BG180" s="36"/>
      <c r="BH180" s="36"/>
      <c r="BI180" s="36"/>
      <c r="BJ180" s="36"/>
      <c r="BK180" s="36"/>
      <c r="BL180" s="36"/>
      <c r="BM180" s="36"/>
      <c r="BN180" s="36"/>
      <c r="BO180" s="36"/>
    </row>
    <row r="181" spans="1:67" x14ac:dyDescent="0.25">
      <c r="A181" s="39"/>
      <c r="B181" s="40"/>
      <c r="U181" s="36"/>
      <c r="V181" s="36"/>
      <c r="W181" s="35"/>
      <c r="X181" s="7"/>
      <c r="Y181" s="7"/>
      <c r="Z181" s="7"/>
      <c r="AA181" s="7"/>
      <c r="AB181" s="7"/>
      <c r="AC181" s="7"/>
      <c r="AD181" s="7"/>
      <c r="AE181" s="7"/>
      <c r="AG181" s="36"/>
      <c r="AH181" s="36"/>
      <c r="AI181" s="35"/>
      <c r="AJ181" s="7"/>
      <c r="AK181" s="7"/>
      <c r="AL181" s="7"/>
      <c r="AM181" s="7"/>
      <c r="AN181" s="7"/>
      <c r="AO181" s="7"/>
      <c r="AP181" s="7"/>
      <c r="AQ181" s="7"/>
      <c r="AS181" s="36"/>
      <c r="AT181" s="36"/>
      <c r="AU181" s="35"/>
      <c r="AV181" s="7"/>
      <c r="AW181" s="7"/>
      <c r="AX181" s="7"/>
      <c r="AY181" s="7"/>
      <c r="AZ181" s="7"/>
      <c r="BA181" s="7"/>
      <c r="BB181" s="7"/>
      <c r="BC181" s="7"/>
      <c r="BF181" s="7"/>
      <c r="BG181" s="36"/>
      <c r="BH181" s="36"/>
      <c r="BI181" s="36"/>
      <c r="BJ181" s="36"/>
      <c r="BK181" s="36"/>
      <c r="BL181" s="36"/>
      <c r="BM181" s="36"/>
      <c r="BN181" s="36"/>
      <c r="BO181" s="36"/>
    </row>
    <row r="182" spans="1:67" x14ac:dyDescent="0.25">
      <c r="A182" s="39"/>
      <c r="B182" s="40"/>
      <c r="U182" s="36"/>
      <c r="V182" s="36"/>
      <c r="W182" s="35"/>
      <c r="X182" s="7"/>
      <c r="Y182" s="7"/>
      <c r="Z182" s="7"/>
      <c r="AA182" s="7"/>
      <c r="AB182" s="7"/>
      <c r="AC182" s="7"/>
      <c r="AD182" s="7"/>
      <c r="AE182" s="7"/>
      <c r="AG182" s="36"/>
      <c r="AH182" s="36"/>
      <c r="AI182" s="35"/>
      <c r="AJ182" s="7"/>
      <c r="AK182" s="7"/>
      <c r="AL182" s="7"/>
      <c r="AM182" s="7"/>
      <c r="AN182" s="7"/>
      <c r="AO182" s="7"/>
      <c r="AP182" s="7"/>
      <c r="AQ182" s="7"/>
      <c r="AS182" s="36"/>
      <c r="AT182" s="36"/>
      <c r="AU182" s="35"/>
      <c r="AV182" s="7"/>
      <c r="AW182" s="7"/>
      <c r="AX182" s="7"/>
      <c r="AY182" s="7"/>
      <c r="AZ182" s="7"/>
      <c r="BA182" s="7"/>
      <c r="BB182" s="7"/>
      <c r="BC182" s="7"/>
      <c r="BF182" s="7"/>
      <c r="BG182" s="36"/>
      <c r="BH182" s="36"/>
      <c r="BI182" s="36"/>
      <c r="BJ182" s="36"/>
      <c r="BK182" s="36"/>
      <c r="BL182" s="36"/>
      <c r="BM182" s="36"/>
      <c r="BN182" s="36"/>
      <c r="BO182" s="36"/>
    </row>
    <row r="183" spans="1:67" x14ac:dyDescent="0.25">
      <c r="A183" s="39"/>
      <c r="B183" s="40"/>
      <c r="U183" s="36"/>
      <c r="V183" s="36"/>
      <c r="W183" s="35"/>
      <c r="X183" s="7"/>
      <c r="Y183" s="7"/>
      <c r="Z183" s="7"/>
      <c r="AA183" s="7"/>
      <c r="AB183" s="7"/>
      <c r="AC183" s="7"/>
      <c r="AD183" s="7"/>
      <c r="AE183" s="7"/>
      <c r="AG183" s="36"/>
      <c r="AH183" s="36"/>
      <c r="AI183" s="35"/>
      <c r="AJ183" s="7"/>
      <c r="AK183" s="7"/>
      <c r="AL183" s="7"/>
      <c r="AM183" s="7"/>
      <c r="AN183" s="7"/>
      <c r="AO183" s="7"/>
      <c r="AP183" s="7"/>
      <c r="AQ183" s="7"/>
      <c r="AS183" s="36"/>
      <c r="AT183" s="36"/>
      <c r="AU183" s="35"/>
      <c r="AV183" s="7"/>
      <c r="AW183" s="7"/>
      <c r="AX183" s="7"/>
      <c r="AY183" s="7"/>
      <c r="AZ183" s="7"/>
      <c r="BA183" s="7"/>
      <c r="BB183" s="7"/>
      <c r="BC183" s="7"/>
      <c r="BF183" s="7"/>
      <c r="BG183" s="36"/>
      <c r="BH183" s="36"/>
      <c r="BI183" s="36"/>
      <c r="BJ183" s="36"/>
      <c r="BK183" s="36"/>
      <c r="BL183" s="36"/>
      <c r="BM183" s="36"/>
      <c r="BN183" s="36"/>
      <c r="BO183" s="36"/>
    </row>
    <row r="184" spans="1:67" x14ac:dyDescent="0.25">
      <c r="A184" s="39"/>
      <c r="B184" s="40"/>
      <c r="U184" s="36"/>
      <c r="V184" s="36"/>
      <c r="W184" s="35"/>
      <c r="X184" s="7"/>
      <c r="Y184" s="7"/>
      <c r="Z184" s="7"/>
      <c r="AA184" s="7"/>
      <c r="AB184" s="7"/>
      <c r="AC184" s="7"/>
      <c r="AD184" s="7"/>
      <c r="AE184" s="7"/>
      <c r="AG184" s="36"/>
      <c r="AH184" s="36"/>
      <c r="AI184" s="35"/>
      <c r="AJ184" s="7"/>
      <c r="AK184" s="7"/>
      <c r="AL184" s="7"/>
      <c r="AM184" s="7"/>
      <c r="AN184" s="7"/>
      <c r="AO184" s="7"/>
      <c r="AP184" s="7"/>
      <c r="AQ184" s="7"/>
      <c r="AS184" s="36"/>
      <c r="AT184" s="36"/>
      <c r="AU184" s="35"/>
      <c r="AV184" s="7"/>
      <c r="AW184" s="7"/>
      <c r="AX184" s="7"/>
      <c r="AY184" s="7"/>
      <c r="AZ184" s="7"/>
      <c r="BA184" s="7"/>
      <c r="BB184" s="7"/>
      <c r="BC184" s="7"/>
      <c r="BF184" s="7"/>
      <c r="BG184" s="36"/>
      <c r="BH184" s="36"/>
      <c r="BI184" s="36"/>
      <c r="BJ184" s="36"/>
      <c r="BK184" s="36"/>
      <c r="BL184" s="36"/>
      <c r="BM184" s="36"/>
      <c r="BN184" s="36"/>
      <c r="BO184" s="36"/>
    </row>
    <row r="185" spans="1:67" x14ac:dyDescent="0.25">
      <c r="A185" s="39"/>
      <c r="B185" s="40"/>
      <c r="U185" s="36"/>
      <c r="V185" s="36"/>
      <c r="W185" s="35"/>
      <c r="X185" s="7"/>
      <c r="Y185" s="7"/>
      <c r="Z185" s="7"/>
      <c r="AA185" s="7"/>
      <c r="AB185" s="7"/>
      <c r="AC185" s="7"/>
      <c r="AD185" s="7"/>
      <c r="AE185" s="7"/>
      <c r="AG185" s="36"/>
      <c r="AH185" s="36"/>
      <c r="AI185" s="35"/>
      <c r="AJ185" s="7"/>
      <c r="AK185" s="7"/>
      <c r="AL185" s="7"/>
      <c r="AM185" s="7"/>
      <c r="AN185" s="7"/>
      <c r="AO185" s="7"/>
      <c r="AP185" s="7"/>
      <c r="AQ185" s="7"/>
      <c r="AS185" s="36"/>
      <c r="AT185" s="36"/>
      <c r="AU185" s="35"/>
      <c r="AV185" s="7"/>
      <c r="AW185" s="7"/>
      <c r="AX185" s="7"/>
      <c r="AY185" s="7"/>
      <c r="AZ185" s="7"/>
      <c r="BA185" s="7"/>
      <c r="BB185" s="7"/>
      <c r="BC185" s="7"/>
      <c r="BF185" s="7"/>
      <c r="BG185" s="36"/>
      <c r="BH185" s="36"/>
      <c r="BI185" s="36"/>
      <c r="BJ185" s="36"/>
      <c r="BK185" s="36"/>
      <c r="BL185" s="36"/>
      <c r="BM185" s="36"/>
      <c r="BN185" s="36"/>
      <c r="BO185" s="36"/>
    </row>
    <row r="186" spans="1:67" x14ac:dyDescent="0.25">
      <c r="A186" s="39"/>
      <c r="B186" s="40"/>
      <c r="U186" s="36"/>
      <c r="V186" s="36"/>
      <c r="W186" s="35"/>
      <c r="X186" s="7"/>
      <c r="Y186" s="7"/>
      <c r="Z186" s="7"/>
      <c r="AA186" s="7"/>
      <c r="AB186" s="7"/>
      <c r="AC186" s="7"/>
      <c r="AD186" s="7"/>
      <c r="AE186" s="7"/>
      <c r="AG186" s="36"/>
      <c r="AH186" s="36"/>
      <c r="AI186" s="35"/>
      <c r="AJ186" s="7"/>
      <c r="AK186" s="7"/>
      <c r="AL186" s="7"/>
      <c r="AM186" s="7"/>
      <c r="AN186" s="7"/>
      <c r="AO186" s="7"/>
      <c r="AP186" s="7"/>
      <c r="AQ186" s="7"/>
      <c r="AS186" s="36"/>
      <c r="AT186" s="36"/>
      <c r="AU186" s="35"/>
      <c r="AV186" s="7"/>
      <c r="AW186" s="7"/>
      <c r="AX186" s="7"/>
      <c r="AY186" s="7"/>
      <c r="AZ186" s="7"/>
      <c r="BA186" s="7"/>
      <c r="BB186" s="7"/>
      <c r="BC186" s="7"/>
      <c r="BF186" s="7"/>
      <c r="BG186" s="36"/>
      <c r="BH186" s="36"/>
      <c r="BI186" s="36"/>
      <c r="BJ186" s="36"/>
      <c r="BK186" s="36"/>
      <c r="BL186" s="36"/>
      <c r="BM186" s="36"/>
      <c r="BN186" s="36"/>
      <c r="BO186" s="36"/>
    </row>
    <row r="187" spans="1:67" x14ac:dyDescent="0.25">
      <c r="A187" s="39"/>
      <c r="B187" s="40"/>
      <c r="U187" s="36"/>
      <c r="V187" s="36"/>
      <c r="W187" s="35"/>
      <c r="X187" s="7"/>
      <c r="Y187" s="7"/>
      <c r="Z187" s="7"/>
      <c r="AA187" s="7"/>
      <c r="AB187" s="7"/>
      <c r="AC187" s="7"/>
      <c r="AD187" s="7"/>
      <c r="AE187" s="7"/>
      <c r="AG187" s="36"/>
      <c r="AH187" s="36"/>
      <c r="AI187" s="35"/>
      <c r="AJ187" s="7"/>
      <c r="AK187" s="7"/>
      <c r="AL187" s="7"/>
      <c r="AM187" s="7"/>
      <c r="AN187" s="7"/>
      <c r="AO187" s="7"/>
      <c r="AP187" s="7"/>
      <c r="AQ187" s="7"/>
      <c r="AS187" s="36"/>
      <c r="AT187" s="36"/>
      <c r="AU187" s="35"/>
      <c r="AV187" s="7"/>
      <c r="AW187" s="7"/>
      <c r="AX187" s="7"/>
      <c r="AY187" s="7"/>
      <c r="AZ187" s="7"/>
      <c r="BA187" s="7"/>
      <c r="BB187" s="7"/>
      <c r="BC187" s="7"/>
      <c r="BF187" s="7"/>
      <c r="BG187" s="36"/>
      <c r="BH187" s="36"/>
      <c r="BI187" s="36"/>
      <c r="BJ187" s="36"/>
      <c r="BK187" s="36"/>
      <c r="BL187" s="36"/>
      <c r="BM187" s="36"/>
      <c r="BN187" s="36"/>
      <c r="BO187" s="36"/>
    </row>
    <row r="188" spans="1:67" x14ac:dyDescent="0.25">
      <c r="A188" s="39"/>
      <c r="B188" s="40"/>
      <c r="U188" s="36"/>
      <c r="V188" s="36"/>
      <c r="W188" s="35"/>
      <c r="X188" s="7"/>
      <c r="Y188" s="7"/>
      <c r="Z188" s="7"/>
      <c r="AA188" s="7"/>
      <c r="AB188" s="7"/>
      <c r="AC188" s="7"/>
      <c r="AD188" s="7"/>
      <c r="AE188" s="7"/>
      <c r="AG188" s="36"/>
      <c r="AH188" s="36"/>
      <c r="AI188" s="35"/>
      <c r="AJ188" s="7"/>
      <c r="AK188" s="7"/>
      <c r="AL188" s="7"/>
      <c r="AM188" s="7"/>
      <c r="AN188" s="7"/>
      <c r="AO188" s="7"/>
      <c r="AP188" s="7"/>
      <c r="AQ188" s="7"/>
      <c r="AS188" s="36"/>
      <c r="AT188" s="36"/>
      <c r="AU188" s="35"/>
      <c r="AV188" s="7"/>
      <c r="AW188" s="7"/>
      <c r="AX188" s="7"/>
      <c r="AY188" s="7"/>
      <c r="AZ188" s="7"/>
      <c r="BA188" s="7"/>
      <c r="BB188" s="7"/>
      <c r="BC188" s="7"/>
      <c r="BF188" s="7"/>
      <c r="BG188" s="36"/>
      <c r="BH188" s="36"/>
      <c r="BI188" s="36"/>
      <c r="BJ188" s="36"/>
      <c r="BK188" s="36"/>
      <c r="BL188" s="36"/>
      <c r="BM188" s="36"/>
      <c r="BN188" s="36"/>
      <c r="BO188" s="36"/>
    </row>
    <row r="189" spans="1:67" x14ac:dyDescent="0.25">
      <c r="A189" s="39"/>
      <c r="B189" s="40"/>
      <c r="U189" s="36"/>
      <c r="V189" s="36"/>
      <c r="W189" s="35"/>
      <c r="X189" s="7"/>
      <c r="Y189" s="7"/>
      <c r="Z189" s="7"/>
      <c r="AA189" s="7"/>
      <c r="AB189" s="7"/>
      <c r="AC189" s="7"/>
      <c r="AD189" s="7"/>
      <c r="AE189" s="7"/>
      <c r="AG189" s="36"/>
      <c r="AH189" s="36"/>
      <c r="AI189" s="35"/>
      <c r="AJ189" s="7"/>
      <c r="AK189" s="7"/>
      <c r="AL189" s="7"/>
      <c r="AM189" s="7"/>
      <c r="AN189" s="7"/>
      <c r="AO189" s="7"/>
      <c r="AP189" s="7"/>
      <c r="AQ189" s="7"/>
      <c r="AS189" s="36"/>
      <c r="AT189" s="36"/>
      <c r="AU189" s="35"/>
      <c r="AV189" s="7"/>
      <c r="AW189" s="7"/>
      <c r="AX189" s="7"/>
      <c r="AY189" s="7"/>
      <c r="AZ189" s="7"/>
      <c r="BA189" s="7"/>
      <c r="BB189" s="7"/>
      <c r="BC189" s="7"/>
      <c r="BF189" s="7"/>
      <c r="BG189" s="36"/>
      <c r="BH189" s="36"/>
      <c r="BI189" s="36"/>
      <c r="BJ189" s="36"/>
      <c r="BK189" s="36"/>
      <c r="BL189" s="36"/>
      <c r="BM189" s="36"/>
      <c r="BN189" s="36"/>
      <c r="BO189" s="36"/>
    </row>
    <row r="190" spans="1:67" x14ac:dyDescent="0.25">
      <c r="A190" s="39"/>
      <c r="B190" s="40"/>
      <c r="U190" s="36"/>
      <c r="V190" s="36"/>
      <c r="W190" s="35"/>
      <c r="X190" s="7"/>
      <c r="Y190" s="7"/>
      <c r="Z190" s="7"/>
      <c r="AA190" s="7"/>
      <c r="AB190" s="7"/>
      <c r="AC190" s="7"/>
      <c r="AD190" s="7"/>
      <c r="AE190" s="7"/>
      <c r="AG190" s="36"/>
      <c r="AH190" s="36"/>
      <c r="AI190" s="35"/>
      <c r="AJ190" s="7"/>
      <c r="AK190" s="7"/>
      <c r="AL190" s="7"/>
      <c r="AM190" s="7"/>
      <c r="AN190" s="7"/>
      <c r="AO190" s="7"/>
      <c r="AP190" s="7"/>
      <c r="AQ190" s="7"/>
      <c r="AS190" s="36"/>
      <c r="AT190" s="36"/>
      <c r="AU190" s="35"/>
      <c r="AV190" s="7"/>
      <c r="AW190" s="7"/>
      <c r="AX190" s="7"/>
      <c r="AY190" s="7"/>
      <c r="AZ190" s="7"/>
      <c r="BA190" s="7"/>
      <c r="BB190" s="7"/>
      <c r="BC190" s="7"/>
      <c r="BF190" s="7"/>
      <c r="BG190" s="36"/>
      <c r="BH190" s="36"/>
      <c r="BI190" s="36"/>
      <c r="BJ190" s="36"/>
      <c r="BK190" s="36"/>
      <c r="BL190" s="36"/>
      <c r="BM190" s="36"/>
      <c r="BN190" s="36"/>
      <c r="BO190" s="36"/>
    </row>
    <row r="191" spans="1:67" x14ac:dyDescent="0.25">
      <c r="A191" s="39"/>
      <c r="B191" s="40"/>
      <c r="U191" s="36"/>
      <c r="V191" s="36"/>
      <c r="W191" s="35"/>
      <c r="X191" s="7"/>
      <c r="Y191" s="7"/>
      <c r="Z191" s="7"/>
      <c r="AA191" s="7"/>
      <c r="AB191" s="7"/>
      <c r="AC191" s="7"/>
      <c r="AD191" s="7"/>
      <c r="AE191" s="7"/>
      <c r="AG191" s="36"/>
      <c r="AH191" s="36"/>
      <c r="AI191" s="35"/>
      <c r="AJ191" s="7"/>
      <c r="AK191" s="7"/>
      <c r="AL191" s="7"/>
      <c r="AM191" s="7"/>
      <c r="AN191" s="7"/>
      <c r="AO191" s="7"/>
      <c r="AP191" s="7"/>
      <c r="AQ191" s="7"/>
      <c r="AS191" s="36"/>
      <c r="AT191" s="36"/>
      <c r="AU191" s="35"/>
      <c r="AV191" s="7"/>
      <c r="AW191" s="7"/>
      <c r="AX191" s="7"/>
      <c r="AY191" s="7"/>
      <c r="AZ191" s="7"/>
      <c r="BA191" s="7"/>
      <c r="BB191" s="7"/>
      <c r="BC191" s="7"/>
      <c r="BF191" s="7"/>
      <c r="BG191" s="36"/>
      <c r="BH191" s="36"/>
      <c r="BI191" s="36"/>
      <c r="BJ191" s="36"/>
      <c r="BK191" s="36"/>
      <c r="BL191" s="36"/>
      <c r="BM191" s="36"/>
      <c r="BN191" s="36"/>
      <c r="BO191" s="36"/>
    </row>
    <row r="192" spans="1:67" x14ac:dyDescent="0.25">
      <c r="A192" s="39"/>
      <c r="B192" s="40"/>
      <c r="U192" s="36"/>
      <c r="V192" s="36"/>
      <c r="W192" s="35"/>
      <c r="X192" s="7"/>
      <c r="Y192" s="7"/>
      <c r="Z192" s="7"/>
      <c r="AA192" s="7"/>
      <c r="AB192" s="7"/>
      <c r="AC192" s="7"/>
      <c r="AD192" s="7"/>
      <c r="AE192" s="7"/>
      <c r="AG192" s="36"/>
      <c r="AH192" s="36"/>
      <c r="AI192" s="35"/>
      <c r="AJ192" s="7"/>
      <c r="AK192" s="7"/>
      <c r="AL192" s="7"/>
      <c r="AM192" s="7"/>
      <c r="AN192" s="7"/>
      <c r="AO192" s="7"/>
      <c r="AP192" s="7"/>
      <c r="AQ192" s="7"/>
      <c r="AS192" s="36"/>
      <c r="AT192" s="36"/>
      <c r="AU192" s="35"/>
      <c r="AV192" s="7"/>
      <c r="AW192" s="7"/>
      <c r="AX192" s="7"/>
      <c r="AY192" s="7"/>
      <c r="AZ192" s="7"/>
      <c r="BA192" s="7"/>
      <c r="BB192" s="7"/>
      <c r="BC192" s="7"/>
      <c r="BF192" s="7"/>
      <c r="BG192" s="36"/>
      <c r="BH192" s="36"/>
      <c r="BI192" s="36"/>
      <c r="BJ192" s="36"/>
      <c r="BK192" s="36"/>
      <c r="BL192" s="36"/>
      <c r="BM192" s="36"/>
      <c r="BN192" s="36"/>
      <c r="BO192" s="36"/>
    </row>
    <row r="193" spans="1:67" x14ac:dyDescent="0.25">
      <c r="A193" s="39"/>
      <c r="B193" s="40"/>
      <c r="U193" s="36"/>
      <c r="V193" s="36"/>
      <c r="W193" s="35"/>
      <c r="X193" s="7"/>
      <c r="Y193" s="7"/>
      <c r="Z193" s="7"/>
      <c r="AA193" s="7"/>
      <c r="AB193" s="7"/>
      <c r="AC193" s="7"/>
      <c r="AD193" s="7"/>
      <c r="AE193" s="7"/>
      <c r="AG193" s="36"/>
      <c r="AH193" s="36"/>
      <c r="AI193" s="35"/>
      <c r="AJ193" s="7"/>
      <c r="AK193" s="7"/>
      <c r="AL193" s="7"/>
      <c r="AM193" s="7"/>
      <c r="AN193" s="7"/>
      <c r="AO193" s="7"/>
      <c r="AP193" s="7"/>
      <c r="AQ193" s="7"/>
      <c r="AS193" s="36"/>
      <c r="AT193" s="36"/>
      <c r="AU193" s="35"/>
      <c r="AV193" s="7"/>
      <c r="AW193" s="7"/>
      <c r="AX193" s="7"/>
      <c r="AY193" s="7"/>
      <c r="AZ193" s="7"/>
      <c r="BA193" s="7"/>
      <c r="BB193" s="7"/>
      <c r="BC193" s="7"/>
      <c r="BF193" s="7"/>
      <c r="BG193" s="36"/>
      <c r="BH193" s="36"/>
      <c r="BI193" s="36"/>
      <c r="BJ193" s="36"/>
      <c r="BK193" s="36"/>
      <c r="BL193" s="36"/>
      <c r="BM193" s="36"/>
      <c r="BN193" s="36"/>
      <c r="BO193" s="36"/>
    </row>
    <row r="194" spans="1:67" x14ac:dyDescent="0.25">
      <c r="A194" s="39"/>
      <c r="B194" s="40"/>
      <c r="U194" s="36"/>
      <c r="V194" s="36"/>
      <c r="W194" s="35"/>
      <c r="X194" s="7"/>
      <c r="Y194" s="7"/>
      <c r="Z194" s="7"/>
      <c r="AA194" s="7"/>
      <c r="AB194" s="7"/>
      <c r="AC194" s="7"/>
      <c r="AD194" s="7"/>
      <c r="AE194" s="7"/>
      <c r="AG194" s="36"/>
      <c r="AH194" s="36"/>
      <c r="AI194" s="35"/>
      <c r="AJ194" s="7"/>
      <c r="AK194" s="7"/>
      <c r="AL194" s="7"/>
      <c r="AM194" s="7"/>
      <c r="AN194" s="7"/>
      <c r="AO194" s="7"/>
      <c r="AP194" s="7"/>
      <c r="AQ194" s="7"/>
      <c r="AS194" s="36"/>
      <c r="AT194" s="36"/>
      <c r="AU194" s="35"/>
      <c r="AV194" s="7"/>
      <c r="AW194" s="7"/>
      <c r="AX194" s="7"/>
      <c r="AY194" s="7"/>
      <c r="AZ194" s="7"/>
      <c r="BA194" s="7"/>
      <c r="BB194" s="7"/>
      <c r="BC194" s="7"/>
      <c r="BF194" s="7"/>
      <c r="BG194" s="36"/>
      <c r="BH194" s="36"/>
      <c r="BI194" s="36"/>
      <c r="BJ194" s="36"/>
      <c r="BK194" s="36"/>
      <c r="BL194" s="36"/>
      <c r="BM194" s="36"/>
      <c r="BN194" s="36"/>
      <c r="BO194" s="36"/>
    </row>
    <row r="195" spans="1:67" x14ac:dyDescent="0.25">
      <c r="A195" s="39"/>
      <c r="B195" s="40"/>
      <c r="U195" s="36"/>
      <c r="V195" s="36"/>
      <c r="W195" s="35"/>
      <c r="X195" s="7"/>
      <c r="Y195" s="7"/>
      <c r="Z195" s="7"/>
      <c r="AA195" s="7"/>
      <c r="AB195" s="7"/>
      <c r="AC195" s="7"/>
      <c r="AD195" s="7"/>
      <c r="AE195" s="7"/>
      <c r="AG195" s="36"/>
      <c r="AH195" s="36"/>
      <c r="AI195" s="35"/>
      <c r="AJ195" s="7"/>
      <c r="AK195" s="7"/>
      <c r="AL195" s="7"/>
      <c r="AM195" s="7"/>
      <c r="AN195" s="7"/>
      <c r="AO195" s="7"/>
      <c r="AP195" s="7"/>
      <c r="AQ195" s="7"/>
      <c r="AS195" s="36"/>
      <c r="AT195" s="36"/>
      <c r="AU195" s="35"/>
      <c r="AV195" s="7"/>
      <c r="AW195" s="7"/>
      <c r="AX195" s="7"/>
      <c r="AY195" s="7"/>
      <c r="AZ195" s="7"/>
      <c r="BA195" s="7"/>
      <c r="BB195" s="7"/>
      <c r="BC195" s="7"/>
      <c r="BF195" s="7"/>
      <c r="BG195" s="36"/>
      <c r="BH195" s="36"/>
      <c r="BI195" s="36"/>
      <c r="BJ195" s="36"/>
      <c r="BK195" s="36"/>
      <c r="BL195" s="36"/>
      <c r="BM195" s="36"/>
      <c r="BN195" s="36"/>
      <c r="BO195" s="36"/>
    </row>
    <row r="196" spans="1:67" x14ac:dyDescent="0.25">
      <c r="A196" s="39"/>
      <c r="B196" s="40"/>
      <c r="U196" s="36"/>
      <c r="V196" s="36"/>
      <c r="W196" s="35"/>
      <c r="X196" s="7"/>
      <c r="Y196" s="7"/>
      <c r="Z196" s="7"/>
      <c r="AA196" s="7"/>
      <c r="AB196" s="7"/>
      <c r="AC196" s="7"/>
      <c r="AD196" s="7"/>
      <c r="AE196" s="7"/>
      <c r="AG196" s="36"/>
      <c r="AH196" s="36"/>
      <c r="AI196" s="35"/>
      <c r="AJ196" s="7"/>
      <c r="AK196" s="7"/>
      <c r="AL196" s="7"/>
      <c r="AM196" s="7"/>
      <c r="AN196" s="7"/>
      <c r="AO196" s="7"/>
      <c r="AP196" s="7"/>
      <c r="AQ196" s="7"/>
      <c r="AS196" s="36"/>
      <c r="AT196" s="36"/>
      <c r="AU196" s="35"/>
      <c r="AV196" s="7"/>
      <c r="AW196" s="7"/>
      <c r="AX196" s="7"/>
      <c r="AY196" s="7"/>
      <c r="AZ196" s="7"/>
      <c r="BA196" s="7"/>
      <c r="BB196" s="7"/>
      <c r="BC196" s="7"/>
      <c r="BF196" s="7"/>
      <c r="BG196" s="36"/>
      <c r="BH196" s="36"/>
      <c r="BI196" s="36"/>
      <c r="BJ196" s="36"/>
      <c r="BK196" s="36"/>
      <c r="BL196" s="36"/>
      <c r="BM196" s="36"/>
      <c r="BN196" s="36"/>
      <c r="BO196" s="36"/>
    </row>
    <row r="197" spans="1:67" x14ac:dyDescent="0.25">
      <c r="A197" s="39"/>
      <c r="B197" s="40"/>
      <c r="U197" s="36"/>
      <c r="V197" s="36"/>
      <c r="W197" s="35"/>
      <c r="X197" s="7"/>
      <c r="Y197" s="7"/>
      <c r="Z197" s="7"/>
      <c r="AA197" s="7"/>
      <c r="AB197" s="7"/>
      <c r="AC197" s="7"/>
      <c r="AD197" s="7"/>
      <c r="AE197" s="7"/>
      <c r="AG197" s="36"/>
      <c r="AH197" s="36"/>
      <c r="AI197" s="35"/>
      <c r="AJ197" s="7"/>
      <c r="AK197" s="7"/>
      <c r="AL197" s="7"/>
      <c r="AM197" s="7"/>
      <c r="AN197" s="7"/>
      <c r="AO197" s="7"/>
      <c r="AP197" s="7"/>
      <c r="AQ197" s="7"/>
      <c r="AS197" s="36"/>
      <c r="AT197" s="36"/>
      <c r="AU197" s="35"/>
      <c r="AV197" s="7"/>
      <c r="AW197" s="7"/>
      <c r="AX197" s="7"/>
      <c r="AY197" s="7"/>
      <c r="AZ197" s="7"/>
      <c r="BA197" s="7"/>
      <c r="BB197" s="7"/>
      <c r="BC197" s="7"/>
      <c r="BF197" s="7"/>
      <c r="BG197" s="36"/>
      <c r="BH197" s="36"/>
      <c r="BI197" s="36"/>
      <c r="BJ197" s="36"/>
      <c r="BK197" s="36"/>
      <c r="BL197" s="36"/>
      <c r="BM197" s="36"/>
      <c r="BN197" s="36"/>
      <c r="BO197" s="36"/>
    </row>
    <row r="198" spans="1:67" x14ac:dyDescent="0.25">
      <c r="A198" s="39"/>
      <c r="B198" s="40"/>
      <c r="U198" s="36"/>
      <c r="V198" s="36"/>
      <c r="W198" s="35"/>
      <c r="X198" s="7"/>
      <c r="Y198" s="7"/>
      <c r="Z198" s="7"/>
      <c r="AA198" s="7"/>
      <c r="AB198" s="7"/>
      <c r="AC198" s="7"/>
      <c r="AD198" s="7"/>
      <c r="AE198" s="7"/>
      <c r="AG198" s="36"/>
      <c r="AH198" s="36"/>
      <c r="AI198" s="35"/>
      <c r="AJ198" s="7"/>
      <c r="AK198" s="7"/>
      <c r="AL198" s="7"/>
      <c r="AM198" s="7"/>
      <c r="AN198" s="7"/>
      <c r="AO198" s="7"/>
      <c r="AP198" s="7"/>
      <c r="AQ198" s="7"/>
      <c r="AS198" s="36"/>
      <c r="AT198" s="36"/>
      <c r="AU198" s="35"/>
      <c r="AV198" s="7"/>
      <c r="AW198" s="7"/>
      <c r="AX198" s="7"/>
      <c r="AY198" s="7"/>
      <c r="AZ198" s="7"/>
      <c r="BA198" s="7"/>
      <c r="BB198" s="7"/>
      <c r="BC198" s="7"/>
      <c r="BF198" s="7"/>
      <c r="BG198" s="36"/>
      <c r="BH198" s="36"/>
      <c r="BI198" s="36"/>
      <c r="BJ198" s="36"/>
      <c r="BK198" s="36"/>
      <c r="BL198" s="36"/>
      <c r="BM198" s="36"/>
      <c r="BN198" s="36"/>
      <c r="BO198" s="36"/>
    </row>
    <row r="199" spans="1:67" x14ac:dyDescent="0.25">
      <c r="A199" s="39"/>
      <c r="B199" s="40"/>
      <c r="U199" s="36"/>
      <c r="V199" s="36"/>
      <c r="W199" s="35"/>
      <c r="X199" s="7"/>
      <c r="Y199" s="7"/>
      <c r="Z199" s="7"/>
      <c r="AA199" s="7"/>
      <c r="AB199" s="7"/>
      <c r="AC199" s="7"/>
      <c r="AD199" s="7"/>
      <c r="AE199" s="7"/>
      <c r="AG199" s="36"/>
      <c r="AH199" s="36"/>
      <c r="AI199" s="35"/>
      <c r="AJ199" s="7"/>
      <c r="AK199" s="7"/>
      <c r="AL199" s="7"/>
      <c r="AM199" s="7"/>
      <c r="AN199" s="7"/>
      <c r="AO199" s="7"/>
      <c r="AP199" s="7"/>
      <c r="AQ199" s="7"/>
      <c r="AS199" s="36"/>
      <c r="AT199" s="36"/>
      <c r="AU199" s="35"/>
      <c r="AV199" s="7"/>
      <c r="AW199" s="7"/>
      <c r="AX199" s="7"/>
      <c r="AY199" s="7"/>
      <c r="AZ199" s="7"/>
      <c r="BA199" s="7"/>
      <c r="BB199" s="7"/>
      <c r="BC199" s="7"/>
      <c r="BF199" s="7"/>
      <c r="BG199" s="36"/>
      <c r="BH199" s="36"/>
      <c r="BI199" s="36"/>
      <c r="BJ199" s="36"/>
      <c r="BK199" s="36"/>
      <c r="BL199" s="36"/>
      <c r="BM199" s="36"/>
      <c r="BN199" s="36"/>
      <c r="BO199" s="36"/>
    </row>
    <row r="200" spans="1:67" x14ac:dyDescent="0.25">
      <c r="A200" s="39"/>
      <c r="B200" s="40"/>
      <c r="U200" s="36"/>
      <c r="V200" s="36"/>
      <c r="W200" s="35"/>
      <c r="X200" s="7"/>
      <c r="Y200" s="7"/>
      <c r="Z200" s="7"/>
      <c r="AA200" s="7"/>
      <c r="AB200" s="7"/>
      <c r="AC200" s="7"/>
      <c r="AD200" s="7"/>
      <c r="AE200" s="7"/>
      <c r="AG200" s="36"/>
      <c r="AH200" s="36"/>
      <c r="AI200" s="35"/>
      <c r="AJ200" s="7"/>
      <c r="AK200" s="7"/>
      <c r="AL200" s="7"/>
      <c r="AM200" s="7"/>
      <c r="AN200" s="7"/>
      <c r="AO200" s="7"/>
      <c r="AP200" s="7"/>
      <c r="AQ200" s="7"/>
      <c r="AS200" s="36"/>
      <c r="AT200" s="36"/>
      <c r="AU200" s="35"/>
      <c r="AV200" s="7"/>
      <c r="AW200" s="7"/>
      <c r="AX200" s="7"/>
      <c r="AY200" s="7"/>
      <c r="AZ200" s="7"/>
      <c r="BA200" s="7"/>
      <c r="BB200" s="7"/>
      <c r="BC200" s="7"/>
      <c r="BF200" s="7"/>
      <c r="BG200" s="36"/>
      <c r="BH200" s="36"/>
      <c r="BI200" s="36"/>
      <c r="BJ200" s="36"/>
      <c r="BK200" s="36"/>
      <c r="BL200" s="36"/>
      <c r="BM200" s="36"/>
      <c r="BN200" s="36"/>
      <c r="BO200" s="36"/>
    </row>
    <row r="201" spans="1:67" x14ac:dyDescent="0.25">
      <c r="A201" s="39"/>
      <c r="B201" s="40"/>
      <c r="U201" s="36"/>
      <c r="V201" s="36"/>
      <c r="W201" s="35"/>
      <c r="X201" s="7"/>
      <c r="Y201" s="7"/>
      <c r="Z201" s="7"/>
      <c r="AA201" s="7"/>
      <c r="AB201" s="7"/>
      <c r="AC201" s="7"/>
      <c r="AD201" s="7"/>
      <c r="AE201" s="7"/>
      <c r="AG201" s="36"/>
      <c r="AH201" s="36"/>
      <c r="AI201" s="35"/>
      <c r="AJ201" s="7"/>
      <c r="AK201" s="7"/>
      <c r="AL201" s="7"/>
      <c r="AM201" s="7"/>
      <c r="AN201" s="7"/>
      <c r="AO201" s="7"/>
      <c r="AP201" s="7"/>
      <c r="AQ201" s="7"/>
      <c r="AS201" s="36"/>
      <c r="AT201" s="36"/>
      <c r="AU201" s="35"/>
      <c r="AV201" s="7"/>
      <c r="AW201" s="7"/>
      <c r="AX201" s="7"/>
      <c r="AY201" s="7"/>
      <c r="AZ201" s="7"/>
      <c r="BA201" s="7"/>
      <c r="BB201" s="7"/>
      <c r="BC201" s="7"/>
      <c r="BF201" s="7"/>
      <c r="BG201" s="36"/>
      <c r="BH201" s="36"/>
      <c r="BI201" s="36"/>
      <c r="BJ201" s="36"/>
      <c r="BK201" s="36"/>
      <c r="BL201" s="36"/>
      <c r="BM201" s="36"/>
      <c r="BN201" s="36"/>
      <c r="BO201" s="36"/>
    </row>
    <row r="202" spans="1:67" x14ac:dyDescent="0.25">
      <c r="A202" s="39"/>
      <c r="B202" s="40"/>
      <c r="U202" s="36"/>
      <c r="V202" s="36"/>
      <c r="W202" s="35"/>
      <c r="X202" s="7"/>
      <c r="Y202" s="7"/>
      <c r="Z202" s="7"/>
      <c r="AA202" s="7"/>
      <c r="AB202" s="7"/>
      <c r="AC202" s="7"/>
      <c r="AD202" s="7"/>
      <c r="AE202" s="7"/>
      <c r="AG202" s="36"/>
      <c r="AH202" s="36"/>
      <c r="AI202" s="35"/>
      <c r="AJ202" s="7"/>
      <c r="AK202" s="7"/>
      <c r="AL202" s="7"/>
      <c r="AM202" s="7"/>
      <c r="AN202" s="7"/>
      <c r="AO202" s="7"/>
      <c r="AP202" s="7"/>
      <c r="AQ202" s="7"/>
      <c r="AS202" s="36"/>
      <c r="AT202" s="36"/>
      <c r="AU202" s="35"/>
      <c r="AV202" s="7"/>
      <c r="AW202" s="7"/>
      <c r="AX202" s="7"/>
      <c r="AY202" s="7"/>
      <c r="AZ202" s="7"/>
      <c r="BA202" s="7"/>
      <c r="BB202" s="7"/>
      <c r="BC202" s="7"/>
      <c r="BF202" s="7"/>
      <c r="BG202" s="36"/>
      <c r="BH202" s="36"/>
      <c r="BI202" s="36"/>
      <c r="BJ202" s="36"/>
      <c r="BK202" s="36"/>
      <c r="BL202" s="36"/>
      <c r="BM202" s="36"/>
      <c r="BN202" s="36"/>
      <c r="BO202" s="36"/>
    </row>
    <row r="203" spans="1:67" x14ac:dyDescent="0.25">
      <c r="A203" s="39"/>
      <c r="B203" s="40"/>
      <c r="U203" s="36"/>
      <c r="V203" s="36"/>
      <c r="W203" s="35"/>
      <c r="X203" s="7"/>
      <c r="Y203" s="7"/>
      <c r="Z203" s="7"/>
      <c r="AA203" s="7"/>
      <c r="AB203" s="7"/>
      <c r="AC203" s="7"/>
      <c r="AD203" s="7"/>
      <c r="AE203" s="7"/>
      <c r="AG203" s="36"/>
      <c r="AH203" s="36"/>
      <c r="AI203" s="35"/>
      <c r="AJ203" s="7"/>
      <c r="AK203" s="7"/>
      <c r="AL203" s="7"/>
      <c r="AM203" s="7"/>
      <c r="AN203" s="7"/>
      <c r="AO203" s="7"/>
      <c r="AP203" s="7"/>
      <c r="AQ203" s="7"/>
      <c r="AS203" s="36"/>
      <c r="AT203" s="36"/>
      <c r="AU203" s="35"/>
      <c r="AV203" s="7"/>
      <c r="AW203" s="7"/>
      <c r="AX203" s="7"/>
      <c r="AY203" s="7"/>
      <c r="AZ203" s="7"/>
      <c r="BA203" s="7"/>
      <c r="BB203" s="7"/>
      <c r="BC203" s="7"/>
      <c r="BF203" s="7"/>
      <c r="BG203" s="36"/>
      <c r="BH203" s="36"/>
      <c r="BI203" s="36"/>
      <c r="BJ203" s="36"/>
      <c r="BK203" s="36"/>
      <c r="BL203" s="36"/>
      <c r="BM203" s="36"/>
      <c r="BN203" s="36"/>
      <c r="BO203" s="36"/>
    </row>
    <row r="204" spans="1:67" x14ac:dyDescent="0.25">
      <c r="A204" s="39"/>
      <c r="B204" s="40"/>
      <c r="U204" s="36"/>
      <c r="V204" s="36"/>
      <c r="W204" s="35"/>
      <c r="X204" s="7"/>
      <c r="Y204" s="7"/>
      <c r="Z204" s="7"/>
      <c r="AA204" s="7"/>
      <c r="AB204" s="7"/>
      <c r="AC204" s="7"/>
      <c r="AD204" s="7"/>
      <c r="AE204" s="7"/>
      <c r="AG204" s="36"/>
      <c r="AH204" s="36"/>
      <c r="AI204" s="35"/>
      <c r="AJ204" s="7"/>
      <c r="AK204" s="7"/>
      <c r="AL204" s="7"/>
      <c r="AM204" s="7"/>
      <c r="AN204" s="7"/>
      <c r="AO204" s="7"/>
      <c r="AP204" s="7"/>
      <c r="AQ204" s="7"/>
      <c r="AS204" s="36"/>
      <c r="AT204" s="36"/>
      <c r="AU204" s="35"/>
      <c r="AV204" s="7"/>
      <c r="AW204" s="7"/>
      <c r="AX204" s="7"/>
      <c r="AY204" s="7"/>
      <c r="AZ204" s="7"/>
      <c r="BA204" s="7"/>
      <c r="BB204" s="7"/>
      <c r="BC204" s="7"/>
      <c r="BF204" s="7"/>
      <c r="BG204" s="36"/>
      <c r="BH204" s="36"/>
      <c r="BI204" s="36"/>
      <c r="BJ204" s="36"/>
      <c r="BK204" s="36"/>
      <c r="BL204" s="36"/>
      <c r="BM204" s="36"/>
      <c r="BN204" s="36"/>
      <c r="BO204" s="36"/>
    </row>
    <row r="205" spans="1:67" x14ac:dyDescent="0.25">
      <c r="A205" s="39"/>
      <c r="B205" s="40"/>
      <c r="U205" s="36"/>
      <c r="V205" s="36"/>
      <c r="W205" s="35"/>
      <c r="X205" s="7"/>
      <c r="Y205" s="7"/>
      <c r="Z205" s="7"/>
      <c r="AA205" s="7"/>
      <c r="AB205" s="7"/>
      <c r="AC205" s="7"/>
      <c r="AD205" s="7"/>
      <c r="AE205" s="7"/>
      <c r="AG205" s="36"/>
      <c r="AH205" s="36"/>
      <c r="AI205" s="35"/>
      <c r="AJ205" s="7"/>
      <c r="AK205" s="7"/>
      <c r="AL205" s="7"/>
      <c r="AM205" s="7"/>
      <c r="AN205" s="7"/>
      <c r="AO205" s="7"/>
      <c r="AP205" s="7"/>
      <c r="AQ205" s="7"/>
      <c r="AS205" s="36"/>
      <c r="AT205" s="36"/>
      <c r="AU205" s="35"/>
      <c r="AV205" s="7"/>
      <c r="AW205" s="7"/>
      <c r="AX205" s="7"/>
      <c r="AY205" s="7"/>
      <c r="AZ205" s="7"/>
      <c r="BA205" s="7"/>
      <c r="BB205" s="7"/>
      <c r="BC205" s="7"/>
      <c r="BF205" s="7"/>
      <c r="BG205" s="36"/>
      <c r="BH205" s="36"/>
      <c r="BI205" s="36"/>
      <c r="BJ205" s="36"/>
      <c r="BK205" s="36"/>
      <c r="BL205" s="36"/>
      <c r="BM205" s="36"/>
      <c r="BN205" s="36"/>
      <c r="BO205" s="36"/>
    </row>
    <row r="206" spans="1:67" x14ac:dyDescent="0.25">
      <c r="A206" s="39"/>
      <c r="B206" s="40"/>
      <c r="U206" s="36"/>
      <c r="V206" s="36"/>
      <c r="W206" s="35"/>
      <c r="X206" s="7"/>
      <c r="Y206" s="7"/>
      <c r="Z206" s="7"/>
      <c r="AA206" s="7"/>
      <c r="AB206" s="7"/>
      <c r="AC206" s="7"/>
      <c r="AD206" s="7"/>
      <c r="AE206" s="7"/>
      <c r="AG206" s="36"/>
      <c r="AH206" s="36"/>
      <c r="AI206" s="35"/>
      <c r="AJ206" s="7"/>
      <c r="AK206" s="7"/>
      <c r="AL206" s="7"/>
      <c r="AM206" s="7"/>
      <c r="AN206" s="7"/>
      <c r="AO206" s="7"/>
      <c r="AP206" s="7"/>
      <c r="AQ206" s="7"/>
      <c r="AS206" s="36"/>
      <c r="AT206" s="36"/>
      <c r="AU206" s="35"/>
      <c r="AV206" s="7"/>
      <c r="AW206" s="7"/>
      <c r="AX206" s="7"/>
      <c r="AY206" s="7"/>
      <c r="AZ206" s="7"/>
      <c r="BA206" s="7"/>
      <c r="BB206" s="7"/>
      <c r="BC206" s="7"/>
      <c r="BF206" s="7"/>
      <c r="BG206" s="36"/>
      <c r="BH206" s="36"/>
      <c r="BI206" s="36"/>
      <c r="BJ206" s="36"/>
      <c r="BK206" s="36"/>
      <c r="BL206" s="36"/>
      <c r="BM206" s="36"/>
      <c r="BN206" s="36"/>
      <c r="BO206" s="36"/>
    </row>
    <row r="207" spans="1:67" x14ac:dyDescent="0.25">
      <c r="A207" s="39"/>
      <c r="B207" s="40"/>
      <c r="U207" s="36"/>
      <c r="V207" s="36"/>
      <c r="W207" s="35"/>
      <c r="X207" s="7"/>
      <c r="Y207" s="7"/>
      <c r="Z207" s="7"/>
      <c r="AA207" s="7"/>
      <c r="AB207" s="7"/>
      <c r="AC207" s="7"/>
      <c r="AD207" s="7"/>
      <c r="AE207" s="7"/>
      <c r="AG207" s="36"/>
      <c r="AH207" s="36"/>
      <c r="AI207" s="35"/>
      <c r="AJ207" s="7"/>
      <c r="AK207" s="7"/>
      <c r="AL207" s="7"/>
      <c r="AM207" s="7"/>
      <c r="AN207" s="7"/>
      <c r="AO207" s="7"/>
      <c r="AP207" s="7"/>
      <c r="AQ207" s="7"/>
      <c r="AS207" s="36"/>
      <c r="AT207" s="36"/>
      <c r="AU207" s="35"/>
      <c r="AV207" s="7"/>
      <c r="AW207" s="7"/>
      <c r="AX207" s="7"/>
      <c r="AY207" s="7"/>
      <c r="AZ207" s="7"/>
      <c r="BA207" s="7"/>
      <c r="BB207" s="7"/>
      <c r="BC207" s="7"/>
      <c r="BF207" s="7"/>
      <c r="BG207" s="36"/>
      <c r="BH207" s="36"/>
      <c r="BI207" s="36"/>
      <c r="BJ207" s="36"/>
      <c r="BK207" s="36"/>
      <c r="BL207" s="36"/>
      <c r="BM207" s="36"/>
      <c r="BN207" s="36"/>
      <c r="BO207" s="36"/>
    </row>
    <row r="208" spans="1:67" x14ac:dyDescent="0.25">
      <c r="A208" s="39"/>
      <c r="B208" s="40"/>
      <c r="U208" s="36"/>
      <c r="V208" s="36"/>
      <c r="W208" s="35"/>
      <c r="X208" s="7"/>
      <c r="Y208" s="7"/>
      <c r="Z208" s="7"/>
      <c r="AA208" s="7"/>
      <c r="AB208" s="7"/>
      <c r="AC208" s="7"/>
      <c r="AD208" s="7"/>
      <c r="AE208" s="7"/>
      <c r="AG208" s="36"/>
      <c r="AH208" s="36"/>
      <c r="AI208" s="35"/>
      <c r="AJ208" s="7"/>
      <c r="AK208" s="7"/>
      <c r="AL208" s="7"/>
      <c r="AM208" s="7"/>
      <c r="AN208" s="7"/>
      <c r="AO208" s="7"/>
      <c r="AP208" s="7"/>
      <c r="AQ208" s="7"/>
      <c r="AS208" s="36"/>
      <c r="AT208" s="36"/>
      <c r="AU208" s="35"/>
      <c r="AV208" s="7"/>
      <c r="AW208" s="7"/>
      <c r="AX208" s="7"/>
      <c r="AY208" s="7"/>
      <c r="AZ208" s="7"/>
      <c r="BA208" s="7"/>
      <c r="BB208" s="7"/>
      <c r="BC208" s="7"/>
      <c r="BF208" s="7"/>
      <c r="BG208" s="36"/>
      <c r="BH208" s="36"/>
      <c r="BI208" s="36"/>
      <c r="BJ208" s="36"/>
      <c r="BK208" s="36"/>
      <c r="BL208" s="36"/>
      <c r="BM208" s="36"/>
      <c r="BN208" s="36"/>
      <c r="BO208" s="36"/>
    </row>
    <row r="209" spans="1:67" x14ac:dyDescent="0.25">
      <c r="A209" s="39"/>
      <c r="B209" s="40"/>
      <c r="U209" s="36"/>
      <c r="V209" s="36"/>
      <c r="W209" s="35"/>
      <c r="X209" s="7"/>
      <c r="Y209" s="7"/>
      <c r="Z209" s="7"/>
      <c r="AA209" s="7"/>
      <c r="AB209" s="7"/>
      <c r="AC209" s="7"/>
      <c r="AD209" s="7"/>
      <c r="AE209" s="7"/>
      <c r="AG209" s="36"/>
      <c r="AH209" s="36"/>
      <c r="AI209" s="35"/>
      <c r="AJ209" s="7"/>
      <c r="AK209" s="7"/>
      <c r="AL209" s="7"/>
      <c r="AM209" s="7"/>
      <c r="AN209" s="7"/>
      <c r="AO209" s="7"/>
      <c r="AP209" s="7"/>
      <c r="AQ209" s="7"/>
      <c r="AS209" s="36"/>
      <c r="AT209" s="36"/>
      <c r="AU209" s="35"/>
      <c r="AV209" s="7"/>
      <c r="AW209" s="7"/>
      <c r="AX209" s="7"/>
      <c r="AY209" s="7"/>
      <c r="AZ209" s="7"/>
      <c r="BA209" s="7"/>
      <c r="BB209" s="7"/>
      <c r="BC209" s="7"/>
      <c r="BF209" s="7"/>
      <c r="BG209" s="36"/>
      <c r="BH209" s="36"/>
      <c r="BI209" s="36"/>
      <c r="BJ209" s="36"/>
      <c r="BK209" s="36"/>
      <c r="BL209" s="36"/>
      <c r="BM209" s="36"/>
      <c r="BN209" s="36"/>
      <c r="BO209" s="36"/>
    </row>
    <row r="210" spans="1:67" x14ac:dyDescent="0.25">
      <c r="A210" s="39"/>
      <c r="B210" s="40"/>
      <c r="U210" s="36"/>
      <c r="V210" s="36"/>
      <c r="W210" s="35"/>
      <c r="X210" s="7"/>
      <c r="Y210" s="7"/>
      <c r="Z210" s="7"/>
      <c r="AA210" s="7"/>
      <c r="AB210" s="7"/>
      <c r="AC210" s="7"/>
      <c r="AD210" s="7"/>
      <c r="AE210" s="7"/>
      <c r="AG210" s="36"/>
      <c r="AH210" s="36"/>
      <c r="AI210" s="35"/>
      <c r="AJ210" s="7"/>
      <c r="AK210" s="7"/>
      <c r="AL210" s="7"/>
      <c r="AM210" s="7"/>
      <c r="AN210" s="7"/>
      <c r="AO210" s="7"/>
      <c r="AP210" s="7"/>
      <c r="AQ210" s="7"/>
      <c r="AS210" s="36"/>
      <c r="AT210" s="36"/>
      <c r="AU210" s="35"/>
      <c r="AV210" s="7"/>
      <c r="AW210" s="7"/>
      <c r="AX210" s="7"/>
      <c r="AY210" s="7"/>
      <c r="AZ210" s="7"/>
      <c r="BA210" s="7"/>
      <c r="BB210" s="7"/>
      <c r="BC210" s="7"/>
      <c r="BF210" s="7"/>
      <c r="BG210" s="36"/>
      <c r="BH210" s="36"/>
      <c r="BI210" s="36"/>
      <c r="BJ210" s="36"/>
      <c r="BK210" s="36"/>
      <c r="BL210" s="36"/>
      <c r="BM210" s="36"/>
      <c r="BN210" s="36"/>
      <c r="BO210" s="36"/>
    </row>
    <row r="211" spans="1:67" x14ac:dyDescent="0.25">
      <c r="A211" s="39"/>
      <c r="B211" s="40"/>
      <c r="U211" s="36"/>
      <c r="V211" s="36"/>
      <c r="W211" s="35"/>
      <c r="X211" s="7"/>
      <c r="Y211" s="7"/>
      <c r="Z211" s="7"/>
      <c r="AA211" s="7"/>
      <c r="AB211" s="7"/>
      <c r="AC211" s="7"/>
      <c r="AD211" s="7"/>
      <c r="AE211" s="7"/>
      <c r="AG211" s="36"/>
      <c r="AH211" s="36"/>
      <c r="AI211" s="35"/>
      <c r="AJ211" s="7"/>
      <c r="AK211" s="7"/>
      <c r="AL211" s="7"/>
      <c r="AM211" s="7"/>
      <c r="AN211" s="7"/>
      <c r="AO211" s="7"/>
      <c r="AP211" s="7"/>
      <c r="AQ211" s="7"/>
      <c r="AS211" s="36"/>
      <c r="AT211" s="36"/>
      <c r="AU211" s="35"/>
      <c r="AV211" s="7"/>
      <c r="AW211" s="7"/>
      <c r="AX211" s="7"/>
      <c r="AY211" s="7"/>
      <c r="AZ211" s="7"/>
      <c r="BA211" s="7"/>
      <c r="BB211" s="7"/>
      <c r="BC211" s="7"/>
      <c r="BF211" s="7"/>
      <c r="BG211" s="36"/>
      <c r="BH211" s="36"/>
      <c r="BI211" s="36"/>
      <c r="BJ211" s="36"/>
      <c r="BK211" s="36"/>
      <c r="BL211" s="36"/>
      <c r="BM211" s="36"/>
      <c r="BN211" s="36"/>
      <c r="BO211" s="36"/>
    </row>
    <row r="212" spans="1:67" x14ac:dyDescent="0.25">
      <c r="A212" s="39"/>
      <c r="B212" s="40"/>
      <c r="U212" s="36"/>
      <c r="V212" s="36"/>
      <c r="W212" s="35"/>
      <c r="X212" s="7"/>
      <c r="Y212" s="7"/>
      <c r="Z212" s="7"/>
      <c r="AA212" s="7"/>
      <c r="AB212" s="7"/>
      <c r="AC212" s="7"/>
      <c r="AD212" s="7"/>
      <c r="AE212" s="7"/>
      <c r="AG212" s="36"/>
      <c r="AH212" s="36"/>
      <c r="AI212" s="35"/>
      <c r="AJ212" s="7"/>
      <c r="AK212" s="7"/>
      <c r="AL212" s="7"/>
      <c r="AM212" s="7"/>
      <c r="AN212" s="7"/>
      <c r="AO212" s="7"/>
      <c r="AP212" s="7"/>
      <c r="AQ212" s="7"/>
      <c r="AS212" s="36"/>
      <c r="AT212" s="36"/>
      <c r="AU212" s="35"/>
      <c r="AV212" s="7"/>
      <c r="AW212" s="7"/>
      <c r="AX212" s="7"/>
      <c r="AY212" s="7"/>
      <c r="AZ212" s="7"/>
      <c r="BA212" s="7"/>
      <c r="BB212" s="7"/>
      <c r="BC212" s="7"/>
      <c r="BF212" s="7"/>
      <c r="BG212" s="36"/>
      <c r="BH212" s="36"/>
      <c r="BI212" s="36"/>
      <c r="BJ212" s="36"/>
      <c r="BK212" s="36"/>
      <c r="BL212" s="36"/>
      <c r="BM212" s="36"/>
      <c r="BN212" s="36"/>
      <c r="BO212" s="36"/>
    </row>
    <row r="213" spans="1:67" x14ac:dyDescent="0.25">
      <c r="A213" s="39"/>
      <c r="B213" s="40"/>
      <c r="U213" s="36"/>
      <c r="V213" s="36"/>
      <c r="W213" s="35"/>
      <c r="X213" s="7"/>
      <c r="Y213" s="7"/>
      <c r="Z213" s="7"/>
      <c r="AA213" s="7"/>
      <c r="AB213" s="7"/>
      <c r="AC213" s="7"/>
      <c r="AD213" s="7"/>
      <c r="AE213" s="7"/>
      <c r="AG213" s="36"/>
      <c r="AH213" s="36"/>
      <c r="AI213" s="35"/>
      <c r="AJ213" s="7"/>
      <c r="AK213" s="7"/>
      <c r="AL213" s="7"/>
      <c r="AM213" s="7"/>
      <c r="AN213" s="7"/>
      <c r="AO213" s="7"/>
      <c r="AP213" s="7"/>
      <c r="AQ213" s="7"/>
      <c r="AS213" s="36"/>
      <c r="AT213" s="36"/>
      <c r="AU213" s="35"/>
      <c r="AV213" s="7"/>
      <c r="AW213" s="7"/>
      <c r="AX213" s="7"/>
      <c r="AY213" s="7"/>
      <c r="AZ213" s="7"/>
      <c r="BA213" s="7"/>
      <c r="BB213" s="7"/>
      <c r="BC213" s="7"/>
      <c r="BF213" s="7"/>
      <c r="BG213" s="36"/>
      <c r="BH213" s="36"/>
      <c r="BI213" s="36"/>
      <c r="BJ213" s="36"/>
      <c r="BK213" s="36"/>
      <c r="BL213" s="36"/>
      <c r="BM213" s="36"/>
      <c r="BN213" s="36"/>
      <c r="BO213" s="36"/>
    </row>
    <row r="214" spans="1:67" x14ac:dyDescent="0.25">
      <c r="A214" s="39"/>
      <c r="B214" s="40"/>
      <c r="U214" s="36"/>
      <c r="V214" s="36"/>
      <c r="W214" s="35"/>
      <c r="X214" s="7"/>
      <c r="Y214" s="7"/>
      <c r="Z214" s="7"/>
      <c r="AA214" s="7"/>
      <c r="AB214" s="7"/>
      <c r="AC214" s="7"/>
      <c r="AD214" s="7"/>
      <c r="AE214" s="7"/>
      <c r="AG214" s="36"/>
      <c r="AH214" s="36"/>
      <c r="AI214" s="35"/>
      <c r="AJ214" s="7"/>
      <c r="AK214" s="7"/>
      <c r="AL214" s="7"/>
      <c r="AM214" s="7"/>
      <c r="AN214" s="7"/>
      <c r="AO214" s="7"/>
      <c r="AP214" s="7"/>
      <c r="AQ214" s="7"/>
      <c r="AS214" s="36"/>
      <c r="AT214" s="36"/>
      <c r="AU214" s="35"/>
      <c r="AV214" s="7"/>
      <c r="AW214" s="7"/>
      <c r="AX214" s="7"/>
      <c r="AY214" s="7"/>
      <c r="AZ214" s="7"/>
      <c r="BA214" s="7"/>
      <c r="BB214" s="7"/>
      <c r="BC214" s="7"/>
      <c r="BF214" s="7"/>
      <c r="BG214" s="36"/>
      <c r="BH214" s="36"/>
      <c r="BI214" s="36"/>
      <c r="BJ214" s="36"/>
      <c r="BK214" s="36"/>
      <c r="BL214" s="36"/>
      <c r="BM214" s="36"/>
      <c r="BN214" s="36"/>
      <c r="BO214" s="36"/>
    </row>
    <row r="215" spans="1:67" x14ac:dyDescent="0.25">
      <c r="A215" s="39"/>
      <c r="B215" s="40"/>
      <c r="U215" s="36"/>
      <c r="V215" s="36"/>
      <c r="W215" s="35"/>
      <c r="X215" s="7"/>
      <c r="Y215" s="7"/>
      <c r="Z215" s="7"/>
      <c r="AA215" s="7"/>
      <c r="AB215" s="7"/>
      <c r="AC215" s="7"/>
      <c r="AD215" s="7"/>
      <c r="AE215" s="7"/>
      <c r="AG215" s="36"/>
      <c r="AH215" s="36"/>
      <c r="AI215" s="35"/>
      <c r="AJ215" s="7"/>
      <c r="AK215" s="7"/>
      <c r="AL215" s="7"/>
      <c r="AM215" s="7"/>
      <c r="AN215" s="7"/>
      <c r="AO215" s="7"/>
      <c r="AP215" s="7"/>
      <c r="AQ215" s="7"/>
      <c r="AS215" s="36"/>
      <c r="AT215" s="36"/>
      <c r="AU215" s="35"/>
      <c r="AV215" s="7"/>
      <c r="AW215" s="7"/>
      <c r="AX215" s="7"/>
      <c r="AY215" s="7"/>
      <c r="AZ215" s="7"/>
      <c r="BA215" s="7"/>
      <c r="BB215" s="7"/>
      <c r="BC215" s="7"/>
      <c r="BF215" s="7"/>
      <c r="BG215" s="36"/>
      <c r="BH215" s="36"/>
      <c r="BI215" s="36"/>
      <c r="BJ215" s="36"/>
      <c r="BK215" s="36"/>
      <c r="BL215" s="36"/>
      <c r="BM215" s="36"/>
      <c r="BN215" s="36"/>
      <c r="BO215" s="36"/>
    </row>
    <row r="216" spans="1:67" x14ac:dyDescent="0.25">
      <c r="A216" s="39"/>
      <c r="B216" s="40"/>
      <c r="U216" s="36"/>
      <c r="V216" s="36"/>
      <c r="W216" s="35"/>
      <c r="X216" s="7"/>
      <c r="Y216" s="7"/>
      <c r="Z216" s="7"/>
      <c r="AA216" s="7"/>
      <c r="AB216" s="7"/>
      <c r="AC216" s="7"/>
      <c r="AD216" s="7"/>
      <c r="AE216" s="7"/>
      <c r="AG216" s="36"/>
      <c r="AH216" s="36"/>
      <c r="AI216" s="35"/>
      <c r="AJ216" s="7"/>
      <c r="AK216" s="7"/>
      <c r="AL216" s="7"/>
      <c r="AM216" s="7"/>
      <c r="AN216" s="7"/>
      <c r="AO216" s="7"/>
      <c r="AP216" s="7"/>
      <c r="AQ216" s="7"/>
      <c r="AS216" s="36"/>
      <c r="AT216" s="36"/>
      <c r="AU216" s="35"/>
      <c r="AV216" s="7"/>
      <c r="AW216" s="7"/>
      <c r="AX216" s="7"/>
      <c r="AY216" s="7"/>
      <c r="AZ216" s="7"/>
      <c r="BA216" s="7"/>
      <c r="BB216" s="7"/>
      <c r="BC216" s="7"/>
      <c r="BF216" s="7"/>
      <c r="BG216" s="36"/>
      <c r="BH216" s="36"/>
      <c r="BI216" s="36"/>
      <c r="BJ216" s="36"/>
      <c r="BK216" s="36"/>
      <c r="BL216" s="36"/>
      <c r="BM216" s="36"/>
      <c r="BN216" s="36"/>
      <c r="BO216" s="36"/>
    </row>
    <row r="217" spans="1:67" x14ac:dyDescent="0.25">
      <c r="A217" s="39"/>
      <c r="B217" s="40"/>
      <c r="U217" s="36"/>
      <c r="V217" s="36"/>
      <c r="W217" s="35"/>
      <c r="X217" s="7"/>
      <c r="Y217" s="7"/>
      <c r="Z217" s="7"/>
      <c r="AA217" s="7"/>
      <c r="AB217" s="7"/>
      <c r="AC217" s="7"/>
      <c r="AD217" s="7"/>
      <c r="AE217" s="7"/>
      <c r="AG217" s="36"/>
      <c r="AH217" s="36"/>
      <c r="AI217" s="35"/>
      <c r="AJ217" s="7"/>
      <c r="AK217" s="7"/>
      <c r="AL217" s="7"/>
      <c r="AM217" s="7"/>
      <c r="AN217" s="7"/>
      <c r="AO217" s="7"/>
      <c r="AP217" s="7"/>
      <c r="AQ217" s="7"/>
      <c r="AS217" s="36"/>
      <c r="AT217" s="36"/>
      <c r="AU217" s="35"/>
      <c r="AV217" s="7"/>
      <c r="AW217" s="7"/>
      <c r="AX217" s="7"/>
      <c r="AY217" s="7"/>
      <c r="AZ217" s="7"/>
      <c r="BA217" s="7"/>
      <c r="BB217" s="7"/>
      <c r="BC217" s="7"/>
      <c r="BF217" s="7"/>
      <c r="BG217" s="36"/>
      <c r="BH217" s="36"/>
      <c r="BI217" s="36"/>
      <c r="BJ217" s="36"/>
      <c r="BK217" s="36"/>
      <c r="BL217" s="36"/>
      <c r="BM217" s="36"/>
      <c r="BN217" s="36"/>
      <c r="BO217" s="36"/>
    </row>
    <row r="218" spans="1:67" x14ac:dyDescent="0.25">
      <c r="A218" s="39"/>
      <c r="B218" s="40"/>
      <c r="U218" s="36"/>
      <c r="V218" s="36"/>
      <c r="W218" s="35"/>
      <c r="X218" s="7"/>
      <c r="Y218" s="7"/>
      <c r="Z218" s="7"/>
      <c r="AA218" s="7"/>
      <c r="AB218" s="7"/>
      <c r="AC218" s="7"/>
      <c r="AD218" s="7"/>
      <c r="AE218" s="7"/>
      <c r="AG218" s="36"/>
      <c r="AH218" s="36"/>
      <c r="AI218" s="35"/>
      <c r="AJ218" s="7"/>
      <c r="AK218" s="7"/>
      <c r="AL218" s="7"/>
      <c r="AM218" s="7"/>
      <c r="AN218" s="7"/>
      <c r="AO218" s="7"/>
      <c r="AP218" s="7"/>
      <c r="AQ218" s="7"/>
      <c r="AS218" s="36"/>
      <c r="AT218" s="36"/>
      <c r="AU218" s="35"/>
      <c r="AV218" s="7"/>
      <c r="AW218" s="7"/>
      <c r="AX218" s="7"/>
      <c r="AY218" s="7"/>
      <c r="AZ218" s="7"/>
      <c r="BA218" s="7"/>
      <c r="BB218" s="7"/>
      <c r="BC218" s="7"/>
      <c r="BF218" s="7"/>
      <c r="BG218" s="36"/>
      <c r="BH218" s="36"/>
      <c r="BI218" s="36"/>
      <c r="BJ218" s="36"/>
      <c r="BK218" s="36"/>
      <c r="BL218" s="36"/>
      <c r="BM218" s="36"/>
      <c r="BN218" s="36"/>
      <c r="BO218" s="36"/>
    </row>
    <row r="219" spans="1:67" x14ac:dyDescent="0.25">
      <c r="A219" s="39"/>
      <c r="B219" s="40"/>
      <c r="U219" s="36"/>
      <c r="V219" s="36"/>
      <c r="W219" s="35"/>
      <c r="X219" s="7"/>
      <c r="Y219" s="7"/>
      <c r="Z219" s="7"/>
      <c r="AA219" s="7"/>
      <c r="AB219" s="7"/>
      <c r="AC219" s="7"/>
      <c r="AD219" s="7"/>
      <c r="AE219" s="7"/>
      <c r="AG219" s="36"/>
      <c r="AH219" s="36"/>
      <c r="AI219" s="35"/>
      <c r="AJ219" s="7"/>
      <c r="AK219" s="7"/>
      <c r="AL219" s="7"/>
      <c r="AM219" s="7"/>
      <c r="AN219" s="7"/>
      <c r="AO219" s="7"/>
      <c r="AP219" s="7"/>
      <c r="AQ219" s="7"/>
      <c r="AS219" s="36"/>
      <c r="AT219" s="36"/>
      <c r="AU219" s="35"/>
      <c r="AV219" s="7"/>
      <c r="AW219" s="7"/>
      <c r="AX219" s="7"/>
      <c r="AY219" s="7"/>
      <c r="AZ219" s="7"/>
      <c r="BA219" s="7"/>
      <c r="BB219" s="7"/>
      <c r="BC219" s="7"/>
      <c r="BF219" s="7"/>
      <c r="BG219" s="36"/>
      <c r="BH219" s="36"/>
      <c r="BI219" s="36"/>
      <c r="BJ219" s="36"/>
      <c r="BK219" s="36"/>
      <c r="BL219" s="36"/>
      <c r="BM219" s="36"/>
      <c r="BN219" s="36"/>
      <c r="BO219" s="36"/>
    </row>
    <row r="220" spans="1:67" x14ac:dyDescent="0.25">
      <c r="A220" s="39"/>
      <c r="B220" s="40"/>
      <c r="U220" s="36"/>
      <c r="V220" s="36"/>
      <c r="W220" s="35"/>
      <c r="X220" s="7"/>
      <c r="Y220" s="7"/>
      <c r="Z220" s="7"/>
      <c r="AA220" s="7"/>
      <c r="AB220" s="7"/>
      <c r="AC220" s="7"/>
      <c r="AD220" s="7"/>
      <c r="AE220" s="7"/>
      <c r="AG220" s="36"/>
      <c r="AH220" s="36"/>
      <c r="AI220" s="35"/>
      <c r="AJ220" s="7"/>
      <c r="AK220" s="7"/>
      <c r="AL220" s="7"/>
      <c r="AM220" s="7"/>
      <c r="AN220" s="7"/>
      <c r="AO220" s="7"/>
      <c r="AP220" s="7"/>
      <c r="AQ220" s="7"/>
      <c r="AS220" s="36"/>
      <c r="AT220" s="36"/>
      <c r="AU220" s="35"/>
      <c r="AV220" s="7"/>
      <c r="AW220" s="7"/>
      <c r="AX220" s="7"/>
      <c r="AY220" s="7"/>
      <c r="AZ220" s="7"/>
      <c r="BA220" s="7"/>
      <c r="BB220" s="7"/>
      <c r="BC220" s="7"/>
      <c r="BF220" s="7"/>
      <c r="BG220" s="36"/>
      <c r="BH220" s="36"/>
      <c r="BI220" s="36"/>
      <c r="BJ220" s="36"/>
      <c r="BK220" s="36"/>
      <c r="BL220" s="36"/>
      <c r="BM220" s="36"/>
      <c r="BN220" s="36"/>
      <c r="BO220" s="36"/>
    </row>
    <row r="221" spans="1:67" x14ac:dyDescent="0.25">
      <c r="A221" s="39"/>
      <c r="B221" s="40"/>
      <c r="U221" s="36"/>
      <c r="V221" s="36"/>
      <c r="W221" s="35"/>
      <c r="X221" s="7"/>
      <c r="Y221" s="7"/>
      <c r="Z221" s="7"/>
      <c r="AA221" s="7"/>
      <c r="AB221" s="7"/>
      <c r="AC221" s="7"/>
      <c r="AD221" s="7"/>
      <c r="AE221" s="7"/>
      <c r="AG221" s="36"/>
      <c r="AH221" s="36"/>
      <c r="AI221" s="35"/>
      <c r="AJ221" s="7"/>
      <c r="AK221" s="7"/>
      <c r="AL221" s="7"/>
      <c r="AM221" s="7"/>
      <c r="AN221" s="7"/>
      <c r="AO221" s="7"/>
      <c r="AP221" s="7"/>
      <c r="AQ221" s="7"/>
      <c r="AS221" s="36"/>
      <c r="AT221" s="36"/>
      <c r="AU221" s="35"/>
      <c r="AV221" s="7"/>
      <c r="AW221" s="7"/>
      <c r="AX221" s="7"/>
      <c r="AY221" s="7"/>
      <c r="AZ221" s="7"/>
      <c r="BA221" s="7"/>
      <c r="BB221" s="7"/>
      <c r="BC221" s="7"/>
      <c r="BF221" s="7"/>
      <c r="BG221" s="36"/>
      <c r="BH221" s="36"/>
      <c r="BI221" s="36"/>
      <c r="BJ221" s="36"/>
      <c r="BK221" s="36"/>
      <c r="BL221" s="36"/>
      <c r="BM221" s="36"/>
      <c r="BN221" s="36"/>
      <c r="BO221" s="36"/>
    </row>
    <row r="222" spans="1:67" x14ac:dyDescent="0.25">
      <c r="A222" s="39"/>
      <c r="B222" s="40"/>
      <c r="U222" s="36"/>
      <c r="V222" s="36"/>
      <c r="W222" s="35"/>
      <c r="X222" s="7"/>
      <c r="Y222" s="7"/>
      <c r="Z222" s="7"/>
      <c r="AA222" s="7"/>
      <c r="AB222" s="7"/>
      <c r="AC222" s="7"/>
      <c r="AD222" s="7"/>
      <c r="AE222" s="7"/>
      <c r="AG222" s="36"/>
      <c r="AH222" s="36"/>
      <c r="AI222" s="35"/>
      <c r="AJ222" s="7"/>
      <c r="AK222" s="7"/>
      <c r="AL222" s="7"/>
      <c r="AM222" s="7"/>
      <c r="AN222" s="7"/>
      <c r="AO222" s="7"/>
      <c r="AP222" s="7"/>
      <c r="AQ222" s="7"/>
      <c r="AS222" s="36"/>
      <c r="AT222" s="36"/>
      <c r="AU222" s="35"/>
      <c r="AV222" s="7"/>
      <c r="AW222" s="7"/>
      <c r="AX222" s="7"/>
      <c r="AY222" s="7"/>
      <c r="AZ222" s="7"/>
      <c r="BA222" s="7"/>
      <c r="BB222" s="7"/>
      <c r="BC222" s="7"/>
      <c r="BF222" s="7"/>
      <c r="BG222" s="36"/>
      <c r="BH222" s="36"/>
      <c r="BI222" s="36"/>
      <c r="BJ222" s="36"/>
      <c r="BK222" s="36"/>
      <c r="BL222" s="36"/>
      <c r="BM222" s="36"/>
      <c r="BN222" s="36"/>
      <c r="BO222" s="36"/>
    </row>
    <row r="223" spans="1:67" x14ac:dyDescent="0.25">
      <c r="A223" s="39"/>
      <c r="B223" s="40"/>
      <c r="U223" s="36"/>
      <c r="V223" s="36"/>
      <c r="W223" s="35"/>
      <c r="X223" s="7"/>
      <c r="Y223" s="7"/>
      <c r="Z223" s="7"/>
      <c r="AA223" s="7"/>
      <c r="AB223" s="7"/>
      <c r="AC223" s="7"/>
      <c r="AD223" s="7"/>
      <c r="AE223" s="7"/>
      <c r="AG223" s="36"/>
      <c r="AH223" s="36"/>
      <c r="AI223" s="35"/>
      <c r="AJ223" s="7"/>
      <c r="AK223" s="7"/>
      <c r="AL223" s="7"/>
      <c r="AM223" s="7"/>
      <c r="AN223" s="7"/>
      <c r="AO223" s="7"/>
      <c r="AP223" s="7"/>
      <c r="AQ223" s="7"/>
      <c r="AS223" s="36"/>
      <c r="AT223" s="36"/>
      <c r="AU223" s="35"/>
      <c r="AV223" s="7"/>
      <c r="AW223" s="7"/>
      <c r="AX223" s="7"/>
      <c r="AY223" s="7"/>
      <c r="AZ223" s="7"/>
      <c r="BA223" s="7"/>
      <c r="BB223" s="7"/>
      <c r="BC223" s="7"/>
      <c r="BF223" s="7"/>
      <c r="BG223" s="36"/>
      <c r="BH223" s="36"/>
      <c r="BI223" s="36"/>
      <c r="BJ223" s="36"/>
      <c r="BK223" s="36"/>
      <c r="BL223" s="36"/>
      <c r="BM223" s="36"/>
      <c r="BN223" s="36"/>
      <c r="BO223" s="36"/>
    </row>
    <row r="224" spans="1:67" x14ac:dyDescent="0.25">
      <c r="A224" s="39"/>
      <c r="B224" s="40"/>
      <c r="U224" s="36"/>
      <c r="V224" s="36"/>
      <c r="W224" s="35"/>
      <c r="X224" s="7"/>
      <c r="Y224" s="7"/>
      <c r="Z224" s="7"/>
      <c r="AA224" s="7"/>
      <c r="AB224" s="7"/>
      <c r="AC224" s="7"/>
      <c r="AD224" s="7"/>
      <c r="AE224" s="7"/>
      <c r="AG224" s="36"/>
      <c r="AH224" s="36"/>
      <c r="AI224" s="35"/>
      <c r="AJ224" s="7"/>
      <c r="AK224" s="7"/>
      <c r="AL224" s="7"/>
      <c r="AM224" s="7"/>
      <c r="AN224" s="7"/>
      <c r="AO224" s="7"/>
      <c r="AP224" s="7"/>
      <c r="AQ224" s="7"/>
      <c r="AS224" s="36"/>
      <c r="AT224" s="36"/>
      <c r="AU224" s="35"/>
      <c r="AV224" s="7"/>
      <c r="AW224" s="7"/>
      <c r="AX224" s="7"/>
      <c r="AY224" s="7"/>
      <c r="AZ224" s="7"/>
      <c r="BA224" s="7"/>
      <c r="BB224" s="7"/>
      <c r="BC224" s="7"/>
      <c r="BF224" s="7"/>
      <c r="BG224" s="36"/>
      <c r="BH224" s="36"/>
      <c r="BI224" s="36"/>
      <c r="BJ224" s="36"/>
      <c r="BK224" s="36"/>
      <c r="BL224" s="36"/>
      <c r="BM224" s="36"/>
      <c r="BN224" s="36"/>
      <c r="BO224" s="36"/>
    </row>
    <row r="225" spans="1:67" x14ac:dyDescent="0.25">
      <c r="A225" s="39"/>
      <c r="B225" s="40"/>
      <c r="U225" s="36"/>
      <c r="V225" s="36"/>
      <c r="W225" s="35"/>
      <c r="X225" s="7"/>
      <c r="Y225" s="7"/>
      <c r="Z225" s="7"/>
      <c r="AA225" s="7"/>
      <c r="AB225" s="7"/>
      <c r="AC225" s="7"/>
      <c r="AD225" s="7"/>
      <c r="AE225" s="7"/>
      <c r="AG225" s="36"/>
      <c r="AH225" s="36"/>
      <c r="AI225" s="35"/>
      <c r="AJ225" s="7"/>
      <c r="AK225" s="7"/>
      <c r="AL225" s="7"/>
      <c r="AM225" s="7"/>
      <c r="AN225" s="7"/>
      <c r="AO225" s="7"/>
      <c r="AP225" s="7"/>
      <c r="AQ225" s="7"/>
      <c r="AS225" s="36"/>
      <c r="AT225" s="36"/>
      <c r="AU225" s="35"/>
      <c r="AV225" s="7"/>
      <c r="AW225" s="7"/>
      <c r="AX225" s="7"/>
      <c r="AY225" s="7"/>
      <c r="AZ225" s="7"/>
      <c r="BA225" s="7"/>
      <c r="BB225" s="7"/>
      <c r="BC225" s="7"/>
      <c r="BF225" s="7"/>
      <c r="BG225" s="36"/>
      <c r="BH225" s="36"/>
      <c r="BI225" s="36"/>
      <c r="BJ225" s="36"/>
      <c r="BK225" s="36"/>
      <c r="BL225" s="36"/>
      <c r="BM225" s="36"/>
      <c r="BN225" s="36"/>
      <c r="BO225" s="36"/>
    </row>
    <row r="226" spans="1:67" x14ac:dyDescent="0.25">
      <c r="A226" s="39"/>
      <c r="B226" s="40"/>
      <c r="U226" s="36"/>
      <c r="V226" s="36"/>
      <c r="W226" s="35"/>
      <c r="X226" s="7"/>
      <c r="Y226" s="7"/>
      <c r="Z226" s="7"/>
      <c r="AA226" s="7"/>
      <c r="AB226" s="7"/>
      <c r="AC226" s="7"/>
      <c r="AD226" s="7"/>
      <c r="AE226" s="7"/>
      <c r="AG226" s="36"/>
      <c r="AH226" s="36"/>
      <c r="AI226" s="35"/>
      <c r="AJ226" s="7"/>
      <c r="AK226" s="7"/>
      <c r="AL226" s="7"/>
      <c r="AM226" s="7"/>
      <c r="AN226" s="7"/>
      <c r="AO226" s="7"/>
      <c r="AP226" s="7"/>
      <c r="AQ226" s="7"/>
      <c r="AS226" s="36"/>
      <c r="AT226" s="36"/>
      <c r="AU226" s="35"/>
      <c r="AV226" s="7"/>
      <c r="AW226" s="7"/>
      <c r="AX226" s="7"/>
      <c r="AY226" s="7"/>
      <c r="AZ226" s="7"/>
      <c r="BA226" s="7"/>
      <c r="BB226" s="7"/>
      <c r="BC226" s="7"/>
      <c r="BF226" s="7"/>
      <c r="BG226" s="36"/>
      <c r="BH226" s="36"/>
      <c r="BI226" s="36"/>
      <c r="BJ226" s="36"/>
      <c r="BK226" s="36"/>
      <c r="BL226" s="36"/>
      <c r="BM226" s="36"/>
      <c r="BN226" s="36"/>
      <c r="BO226" s="36"/>
    </row>
    <row r="227" spans="1:67" x14ac:dyDescent="0.25">
      <c r="A227" s="39"/>
      <c r="B227" s="40"/>
      <c r="U227" s="36"/>
      <c r="V227" s="36"/>
      <c r="W227" s="35"/>
      <c r="X227" s="7"/>
      <c r="Y227" s="7"/>
      <c r="Z227" s="7"/>
      <c r="AA227" s="7"/>
      <c r="AB227" s="7"/>
      <c r="AC227" s="7"/>
      <c r="AD227" s="7"/>
      <c r="AE227" s="7"/>
      <c r="AG227" s="36"/>
      <c r="AH227" s="36"/>
      <c r="AI227" s="35"/>
      <c r="AJ227" s="7"/>
      <c r="AK227" s="7"/>
      <c r="AL227" s="7"/>
      <c r="AM227" s="7"/>
      <c r="AN227" s="7"/>
      <c r="AO227" s="7"/>
      <c r="AP227" s="7"/>
      <c r="AQ227" s="7"/>
      <c r="AS227" s="36"/>
      <c r="AT227" s="36"/>
      <c r="AU227" s="35"/>
      <c r="AV227" s="7"/>
      <c r="AW227" s="7"/>
      <c r="AX227" s="7"/>
      <c r="AY227" s="7"/>
      <c r="AZ227" s="7"/>
      <c r="BA227" s="7"/>
      <c r="BB227" s="7"/>
      <c r="BC227" s="7"/>
      <c r="BF227" s="7"/>
      <c r="BG227" s="36"/>
      <c r="BH227" s="36"/>
      <c r="BI227" s="36"/>
      <c r="BJ227" s="36"/>
      <c r="BK227" s="36"/>
      <c r="BL227" s="36"/>
      <c r="BM227" s="36"/>
      <c r="BN227" s="36"/>
      <c r="BO227" s="36"/>
    </row>
    <row r="228" spans="1:67" x14ac:dyDescent="0.25">
      <c r="A228" s="39"/>
      <c r="B228" s="40"/>
      <c r="U228" s="36"/>
      <c r="V228" s="36"/>
      <c r="W228" s="35"/>
      <c r="X228" s="7"/>
      <c r="Y228" s="7"/>
      <c r="Z228" s="7"/>
      <c r="AA228" s="7"/>
      <c r="AB228" s="7"/>
      <c r="AC228" s="7"/>
      <c r="AD228" s="7"/>
      <c r="AE228" s="7"/>
      <c r="AG228" s="36"/>
      <c r="AH228" s="36"/>
      <c r="AI228" s="35"/>
      <c r="AJ228" s="7"/>
      <c r="AK228" s="7"/>
      <c r="AL228" s="7"/>
      <c r="AM228" s="7"/>
      <c r="AN228" s="7"/>
      <c r="AO228" s="7"/>
      <c r="AP228" s="7"/>
      <c r="AQ228" s="7"/>
      <c r="AS228" s="36"/>
      <c r="AT228" s="36"/>
      <c r="AU228" s="35"/>
      <c r="AV228" s="7"/>
      <c r="AW228" s="7"/>
      <c r="AX228" s="7"/>
      <c r="AY228" s="7"/>
      <c r="AZ228" s="7"/>
      <c r="BA228" s="7"/>
      <c r="BB228" s="7"/>
      <c r="BC228" s="7"/>
      <c r="BF228" s="7"/>
      <c r="BG228" s="36"/>
      <c r="BH228" s="36"/>
      <c r="BI228" s="36"/>
      <c r="BJ228" s="36"/>
      <c r="BK228" s="36"/>
      <c r="BL228" s="36"/>
      <c r="BM228" s="36"/>
      <c r="BN228" s="36"/>
      <c r="BO228" s="36"/>
    </row>
    <row r="229" spans="1:67" x14ac:dyDescent="0.25">
      <c r="A229" s="39"/>
      <c r="B229" s="40"/>
      <c r="U229" s="36"/>
      <c r="V229" s="36"/>
      <c r="W229" s="35"/>
      <c r="X229" s="7"/>
      <c r="Y229" s="7"/>
      <c r="Z229" s="7"/>
      <c r="AA229" s="7"/>
      <c r="AB229" s="7"/>
      <c r="AC229" s="7"/>
      <c r="AD229" s="7"/>
      <c r="AE229" s="7"/>
      <c r="AG229" s="36"/>
      <c r="AH229" s="36"/>
      <c r="AI229" s="35"/>
      <c r="AJ229" s="7"/>
      <c r="AK229" s="7"/>
      <c r="AL229" s="7"/>
      <c r="AM229" s="7"/>
      <c r="AN229" s="7"/>
      <c r="AO229" s="7"/>
      <c r="AP229" s="7"/>
      <c r="AQ229" s="7"/>
      <c r="AS229" s="36"/>
      <c r="AT229" s="36"/>
      <c r="AU229" s="35"/>
      <c r="AV229" s="7"/>
      <c r="AW229" s="7"/>
      <c r="AX229" s="7"/>
      <c r="AY229" s="7"/>
      <c r="AZ229" s="7"/>
      <c r="BA229" s="7"/>
      <c r="BB229" s="7"/>
      <c r="BC229" s="7"/>
      <c r="BF229" s="7"/>
      <c r="BG229" s="36"/>
      <c r="BH229" s="36"/>
      <c r="BI229" s="36"/>
      <c r="BJ229" s="36"/>
      <c r="BK229" s="36"/>
      <c r="BL229" s="36"/>
      <c r="BM229" s="36"/>
      <c r="BN229" s="36"/>
      <c r="BO229" s="36"/>
    </row>
    <row r="230" spans="1:67" x14ac:dyDescent="0.25">
      <c r="A230" s="39"/>
      <c r="B230" s="40"/>
      <c r="U230" s="36"/>
      <c r="V230" s="36"/>
      <c r="W230" s="35"/>
      <c r="X230" s="7"/>
      <c r="Y230" s="7"/>
      <c r="Z230" s="7"/>
      <c r="AA230" s="7"/>
      <c r="AB230" s="7"/>
      <c r="AC230" s="7"/>
      <c r="AD230" s="7"/>
      <c r="AE230" s="7"/>
      <c r="AG230" s="36"/>
      <c r="AH230" s="36"/>
      <c r="AI230" s="35"/>
      <c r="AJ230" s="7"/>
      <c r="AK230" s="7"/>
      <c r="AL230" s="7"/>
      <c r="AM230" s="7"/>
      <c r="AN230" s="7"/>
      <c r="AO230" s="7"/>
      <c r="AP230" s="7"/>
      <c r="AQ230" s="7"/>
      <c r="AS230" s="36"/>
      <c r="AT230" s="36"/>
      <c r="AU230" s="35"/>
      <c r="AV230" s="7"/>
      <c r="AW230" s="7"/>
      <c r="AX230" s="7"/>
      <c r="AY230" s="7"/>
      <c r="AZ230" s="7"/>
      <c r="BA230" s="7"/>
      <c r="BB230" s="7"/>
      <c r="BC230" s="7"/>
      <c r="BF230" s="7"/>
      <c r="BG230" s="36"/>
      <c r="BH230" s="36"/>
      <c r="BI230" s="36"/>
      <c r="BJ230" s="36"/>
      <c r="BK230" s="36"/>
      <c r="BL230" s="36"/>
      <c r="BM230" s="36"/>
      <c r="BN230" s="36"/>
      <c r="BO230" s="36"/>
    </row>
    <row r="231" spans="1:67" x14ac:dyDescent="0.25">
      <c r="A231" s="39"/>
      <c r="B231" s="40"/>
      <c r="U231" s="36"/>
      <c r="V231" s="36"/>
      <c r="W231" s="35"/>
      <c r="X231" s="7"/>
      <c r="Y231" s="7"/>
      <c r="Z231" s="7"/>
      <c r="AA231" s="7"/>
      <c r="AB231" s="7"/>
      <c r="AC231" s="7"/>
      <c r="AD231" s="7"/>
      <c r="AE231" s="7"/>
      <c r="AG231" s="36"/>
      <c r="AH231" s="36"/>
      <c r="AI231" s="35"/>
      <c r="AJ231" s="7"/>
      <c r="AK231" s="7"/>
      <c r="AL231" s="7"/>
      <c r="AM231" s="7"/>
      <c r="AN231" s="7"/>
      <c r="AO231" s="7"/>
      <c r="AP231" s="7"/>
      <c r="AQ231" s="7"/>
      <c r="AS231" s="36"/>
      <c r="AT231" s="36"/>
      <c r="AU231" s="35"/>
      <c r="AV231" s="7"/>
      <c r="AW231" s="7"/>
      <c r="AX231" s="7"/>
      <c r="AY231" s="7"/>
      <c r="AZ231" s="7"/>
      <c r="BA231" s="7"/>
      <c r="BB231" s="7"/>
      <c r="BC231" s="7"/>
      <c r="BF231" s="7"/>
      <c r="BG231" s="36"/>
      <c r="BH231" s="36"/>
      <c r="BI231" s="36"/>
      <c r="BJ231" s="36"/>
      <c r="BK231" s="36"/>
      <c r="BL231" s="36"/>
      <c r="BM231" s="36"/>
      <c r="BN231" s="36"/>
      <c r="BO231" s="36"/>
    </row>
    <row r="232" spans="1:67" x14ac:dyDescent="0.25">
      <c r="A232" s="39"/>
      <c r="B232" s="40"/>
      <c r="U232" s="36"/>
      <c r="V232" s="36"/>
      <c r="W232" s="35"/>
      <c r="X232" s="7"/>
      <c r="Y232" s="7"/>
      <c r="Z232" s="7"/>
      <c r="AA232" s="7"/>
      <c r="AB232" s="7"/>
      <c r="AC232" s="7"/>
      <c r="AD232" s="7"/>
      <c r="AE232" s="7"/>
      <c r="AG232" s="36"/>
      <c r="AH232" s="36"/>
      <c r="AI232" s="35"/>
      <c r="AJ232" s="7"/>
      <c r="AK232" s="7"/>
      <c r="AL232" s="7"/>
      <c r="AM232" s="7"/>
      <c r="AN232" s="7"/>
      <c r="AO232" s="7"/>
      <c r="AP232" s="7"/>
      <c r="AQ232" s="7"/>
      <c r="AS232" s="36"/>
      <c r="AT232" s="36"/>
      <c r="AU232" s="35"/>
      <c r="AV232" s="7"/>
      <c r="AW232" s="7"/>
      <c r="AX232" s="7"/>
      <c r="AY232" s="7"/>
      <c r="AZ232" s="7"/>
      <c r="BA232" s="7"/>
      <c r="BB232" s="7"/>
      <c r="BC232" s="7"/>
      <c r="BF232" s="7"/>
      <c r="BG232" s="36"/>
      <c r="BH232" s="36"/>
      <c r="BI232" s="36"/>
      <c r="BJ232" s="36"/>
      <c r="BK232" s="36"/>
      <c r="BL232" s="36"/>
      <c r="BM232" s="36"/>
      <c r="BN232" s="36"/>
      <c r="BO232" s="36"/>
    </row>
    <row r="233" spans="1:67" x14ac:dyDescent="0.25">
      <c r="A233" s="39"/>
      <c r="B233" s="40"/>
      <c r="U233" s="36"/>
      <c r="V233" s="36"/>
      <c r="W233" s="35"/>
      <c r="X233" s="7"/>
      <c r="Y233" s="7"/>
      <c r="Z233" s="7"/>
      <c r="AA233" s="7"/>
      <c r="AB233" s="7"/>
      <c r="AC233" s="7"/>
      <c r="AD233" s="7"/>
      <c r="AE233" s="7"/>
      <c r="AG233" s="36"/>
      <c r="AH233" s="36"/>
      <c r="AI233" s="35"/>
      <c r="AJ233" s="7"/>
      <c r="AK233" s="7"/>
      <c r="AL233" s="7"/>
      <c r="AM233" s="7"/>
      <c r="AN233" s="7"/>
      <c r="AO233" s="7"/>
      <c r="AP233" s="7"/>
      <c r="AQ233" s="7"/>
      <c r="AS233" s="36"/>
      <c r="AT233" s="36"/>
      <c r="AU233" s="35"/>
      <c r="AV233" s="7"/>
      <c r="AW233" s="7"/>
      <c r="AX233" s="7"/>
      <c r="AY233" s="7"/>
      <c r="AZ233" s="7"/>
      <c r="BA233" s="7"/>
      <c r="BB233" s="7"/>
      <c r="BC233" s="7"/>
      <c r="BF233" s="7"/>
      <c r="BG233" s="36"/>
      <c r="BH233" s="36"/>
      <c r="BI233" s="36"/>
      <c r="BJ233" s="36"/>
      <c r="BK233" s="36"/>
      <c r="BL233" s="36"/>
      <c r="BM233" s="36"/>
      <c r="BN233" s="36"/>
      <c r="BO233" s="36"/>
    </row>
    <row r="234" spans="1:67" x14ac:dyDescent="0.25">
      <c r="A234" s="39"/>
      <c r="B234" s="40"/>
      <c r="U234" s="36"/>
      <c r="V234" s="36"/>
      <c r="W234" s="35"/>
      <c r="X234" s="7"/>
      <c r="Y234" s="7"/>
      <c r="Z234" s="7"/>
      <c r="AA234" s="7"/>
      <c r="AB234" s="7"/>
      <c r="AC234" s="7"/>
      <c r="AD234" s="7"/>
      <c r="AE234" s="7"/>
      <c r="AG234" s="36"/>
      <c r="AH234" s="36"/>
      <c r="AI234" s="35"/>
      <c r="AJ234" s="7"/>
      <c r="AK234" s="7"/>
      <c r="AL234" s="7"/>
      <c r="AM234" s="7"/>
      <c r="AN234" s="7"/>
      <c r="AO234" s="7"/>
      <c r="AP234" s="7"/>
      <c r="AQ234" s="7"/>
      <c r="AS234" s="36"/>
      <c r="AT234" s="36"/>
      <c r="AU234" s="35"/>
      <c r="AV234" s="7"/>
      <c r="AW234" s="7"/>
      <c r="AX234" s="7"/>
      <c r="AY234" s="7"/>
      <c r="AZ234" s="7"/>
      <c r="BA234" s="7"/>
      <c r="BB234" s="7"/>
      <c r="BC234" s="7"/>
      <c r="BF234" s="7"/>
      <c r="BG234" s="36"/>
      <c r="BH234" s="36"/>
      <c r="BI234" s="36"/>
      <c r="BJ234" s="36"/>
      <c r="BK234" s="36"/>
      <c r="BL234" s="36"/>
      <c r="BM234" s="36"/>
      <c r="BN234" s="36"/>
      <c r="BO234" s="36"/>
    </row>
    <row r="235" spans="1:67" x14ac:dyDescent="0.25">
      <c r="A235" s="39"/>
      <c r="B235" s="40"/>
      <c r="U235" s="36"/>
      <c r="V235" s="36"/>
      <c r="W235" s="35"/>
      <c r="X235" s="7"/>
      <c r="Y235" s="7"/>
      <c r="Z235" s="7"/>
      <c r="AA235" s="7"/>
      <c r="AB235" s="7"/>
      <c r="AC235" s="7"/>
      <c r="AD235" s="7"/>
      <c r="AE235" s="7"/>
      <c r="AG235" s="36"/>
      <c r="AH235" s="36"/>
      <c r="AI235" s="35"/>
      <c r="AJ235" s="7"/>
      <c r="AK235" s="7"/>
      <c r="AL235" s="7"/>
      <c r="AM235" s="7"/>
      <c r="AN235" s="7"/>
      <c r="AO235" s="7"/>
      <c r="AP235" s="7"/>
      <c r="AQ235" s="7"/>
      <c r="AS235" s="36"/>
      <c r="AT235" s="36"/>
      <c r="AU235" s="35"/>
      <c r="AV235" s="7"/>
      <c r="AW235" s="7"/>
      <c r="AX235" s="7"/>
      <c r="AY235" s="7"/>
      <c r="AZ235" s="7"/>
      <c r="BA235" s="7"/>
      <c r="BB235" s="7"/>
      <c r="BC235" s="7"/>
      <c r="BF235" s="7"/>
      <c r="BG235" s="36"/>
      <c r="BH235" s="36"/>
      <c r="BI235" s="36"/>
      <c r="BJ235" s="36"/>
      <c r="BK235" s="36"/>
      <c r="BL235" s="36"/>
      <c r="BM235" s="36"/>
      <c r="BN235" s="36"/>
      <c r="BO235" s="36"/>
    </row>
    <row r="236" spans="1:67" x14ac:dyDescent="0.25">
      <c r="A236" s="39"/>
      <c r="B236" s="40"/>
      <c r="U236" s="36"/>
      <c r="V236" s="36"/>
      <c r="W236" s="35"/>
      <c r="X236" s="7"/>
      <c r="Y236" s="7"/>
      <c r="Z236" s="7"/>
      <c r="AA236" s="7"/>
      <c r="AB236" s="7"/>
      <c r="AC236" s="7"/>
      <c r="AD236" s="7"/>
      <c r="AE236" s="7"/>
      <c r="AG236" s="36"/>
      <c r="AH236" s="36"/>
      <c r="AI236" s="35"/>
      <c r="AJ236" s="7"/>
      <c r="AK236" s="7"/>
      <c r="AL236" s="7"/>
      <c r="AM236" s="7"/>
      <c r="AN236" s="7"/>
      <c r="AO236" s="7"/>
      <c r="AP236" s="7"/>
      <c r="AQ236" s="7"/>
      <c r="AS236" s="36"/>
      <c r="AT236" s="36"/>
      <c r="AU236" s="35"/>
      <c r="AV236" s="7"/>
      <c r="AW236" s="7"/>
      <c r="AX236" s="7"/>
      <c r="AY236" s="7"/>
      <c r="AZ236" s="7"/>
      <c r="BA236" s="7"/>
      <c r="BB236" s="7"/>
      <c r="BC236" s="7"/>
      <c r="BF236" s="7"/>
      <c r="BG236" s="36"/>
      <c r="BH236" s="36"/>
      <c r="BI236" s="36"/>
      <c r="BJ236" s="36"/>
      <c r="BK236" s="36"/>
      <c r="BL236" s="36"/>
      <c r="BM236" s="36"/>
      <c r="BN236" s="36"/>
      <c r="BO236" s="36"/>
    </row>
    <row r="237" spans="1:67" x14ac:dyDescent="0.25">
      <c r="A237" s="39"/>
      <c r="B237" s="40"/>
      <c r="U237" s="36"/>
      <c r="V237" s="36"/>
      <c r="W237" s="35"/>
      <c r="X237" s="7"/>
      <c r="Y237" s="7"/>
      <c r="Z237" s="7"/>
      <c r="AA237" s="7"/>
      <c r="AB237" s="7"/>
      <c r="AC237" s="7"/>
      <c r="AD237" s="7"/>
      <c r="AE237" s="7"/>
      <c r="AG237" s="36"/>
      <c r="AH237" s="36"/>
      <c r="AI237" s="35"/>
      <c r="AJ237" s="7"/>
      <c r="AK237" s="7"/>
      <c r="AL237" s="7"/>
      <c r="AM237" s="7"/>
      <c r="AN237" s="7"/>
      <c r="AO237" s="7"/>
      <c r="AP237" s="7"/>
      <c r="AQ237" s="7"/>
      <c r="AS237" s="36"/>
      <c r="AT237" s="36"/>
      <c r="AU237" s="35"/>
      <c r="AV237" s="7"/>
      <c r="AW237" s="7"/>
      <c r="AX237" s="7"/>
      <c r="AY237" s="7"/>
      <c r="AZ237" s="7"/>
      <c r="BA237" s="7"/>
      <c r="BB237" s="7"/>
      <c r="BC237" s="7"/>
      <c r="BF237" s="7"/>
      <c r="BG237" s="36"/>
      <c r="BH237" s="36"/>
      <c r="BI237" s="36"/>
      <c r="BJ237" s="36"/>
      <c r="BK237" s="36"/>
      <c r="BL237" s="36"/>
      <c r="BM237" s="36"/>
      <c r="BN237" s="36"/>
      <c r="BO237" s="36"/>
    </row>
    <row r="238" spans="1:67" x14ac:dyDescent="0.25">
      <c r="A238" s="39"/>
      <c r="B238" s="40"/>
      <c r="U238" s="36"/>
      <c r="V238" s="36"/>
      <c r="W238" s="35"/>
      <c r="X238" s="7"/>
      <c r="Y238" s="7"/>
      <c r="Z238" s="7"/>
      <c r="AA238" s="7"/>
      <c r="AB238" s="7"/>
      <c r="AC238" s="7"/>
      <c r="AD238" s="7"/>
      <c r="AE238" s="7"/>
      <c r="AG238" s="36"/>
      <c r="AH238" s="36"/>
      <c r="AI238" s="35"/>
      <c r="AJ238" s="7"/>
      <c r="AK238" s="7"/>
      <c r="AL238" s="7"/>
      <c r="AM238" s="7"/>
      <c r="AN238" s="7"/>
      <c r="AO238" s="7"/>
      <c r="AP238" s="7"/>
      <c r="AQ238" s="7"/>
      <c r="AS238" s="36"/>
      <c r="AT238" s="36"/>
      <c r="AU238" s="35"/>
      <c r="AV238" s="7"/>
      <c r="AW238" s="7"/>
      <c r="AX238" s="7"/>
      <c r="AY238" s="7"/>
      <c r="AZ238" s="7"/>
      <c r="BA238" s="7"/>
      <c r="BB238" s="7"/>
      <c r="BC238" s="7"/>
      <c r="BF238" s="7"/>
      <c r="BG238" s="36"/>
      <c r="BH238" s="36"/>
      <c r="BI238" s="36"/>
      <c r="BJ238" s="36"/>
      <c r="BK238" s="36"/>
      <c r="BL238" s="36"/>
      <c r="BM238" s="36"/>
      <c r="BN238" s="36"/>
      <c r="BO238" s="36"/>
    </row>
    <row r="239" spans="1:67" x14ac:dyDescent="0.25">
      <c r="A239" s="39"/>
      <c r="B239" s="40"/>
      <c r="U239" s="36"/>
      <c r="V239" s="36"/>
      <c r="W239" s="35"/>
      <c r="X239" s="7"/>
      <c r="Y239" s="7"/>
      <c r="Z239" s="7"/>
      <c r="AA239" s="7"/>
      <c r="AB239" s="7"/>
      <c r="AC239" s="7"/>
      <c r="AD239" s="7"/>
      <c r="AE239" s="7"/>
      <c r="AG239" s="36"/>
      <c r="AH239" s="36"/>
      <c r="AI239" s="35"/>
      <c r="AJ239" s="7"/>
      <c r="AK239" s="7"/>
      <c r="AL239" s="7"/>
      <c r="AM239" s="7"/>
      <c r="AN239" s="7"/>
      <c r="AO239" s="7"/>
      <c r="AP239" s="7"/>
      <c r="AQ239" s="7"/>
      <c r="AS239" s="36"/>
      <c r="AT239" s="36"/>
      <c r="AU239" s="35"/>
      <c r="AV239" s="7"/>
      <c r="AW239" s="7"/>
      <c r="AX239" s="7"/>
      <c r="AY239" s="7"/>
      <c r="AZ239" s="7"/>
      <c r="BA239" s="7"/>
      <c r="BB239" s="7"/>
      <c r="BC239" s="7"/>
      <c r="BF239" s="7"/>
      <c r="BG239" s="36"/>
      <c r="BH239" s="36"/>
      <c r="BI239" s="36"/>
      <c r="BJ239" s="36"/>
      <c r="BK239" s="36"/>
      <c r="BL239" s="36"/>
      <c r="BM239" s="36"/>
      <c r="BN239" s="36"/>
      <c r="BO239" s="36"/>
    </row>
    <row r="240" spans="1:67" x14ac:dyDescent="0.25">
      <c r="A240" s="39"/>
      <c r="B240" s="40"/>
      <c r="U240" s="36"/>
      <c r="V240" s="36"/>
      <c r="W240" s="35"/>
      <c r="X240" s="7"/>
      <c r="Y240" s="7"/>
      <c r="Z240" s="7"/>
      <c r="AA240" s="7"/>
      <c r="AB240" s="7"/>
      <c r="AC240" s="7"/>
      <c r="AD240" s="7"/>
      <c r="AE240" s="7"/>
      <c r="AG240" s="36"/>
      <c r="AH240" s="36"/>
      <c r="AI240" s="35"/>
      <c r="AJ240" s="7"/>
      <c r="AK240" s="7"/>
      <c r="AL240" s="7"/>
      <c r="AM240" s="7"/>
      <c r="AN240" s="7"/>
      <c r="AO240" s="7"/>
      <c r="AP240" s="7"/>
      <c r="AQ240" s="7"/>
      <c r="AS240" s="36"/>
      <c r="AT240" s="36"/>
      <c r="AU240" s="35"/>
      <c r="AV240" s="7"/>
      <c r="AW240" s="7"/>
      <c r="AX240" s="7"/>
      <c r="AY240" s="7"/>
      <c r="AZ240" s="7"/>
      <c r="BA240" s="7"/>
      <c r="BB240" s="7"/>
      <c r="BC240" s="7"/>
      <c r="BF240" s="7"/>
      <c r="BG240" s="36"/>
      <c r="BH240" s="36"/>
      <c r="BI240" s="36"/>
      <c r="BJ240" s="36"/>
      <c r="BK240" s="36"/>
      <c r="BL240" s="36"/>
      <c r="BM240" s="36"/>
      <c r="BN240" s="36"/>
      <c r="BO240" s="36"/>
    </row>
    <row r="241" spans="1:67" x14ac:dyDescent="0.25">
      <c r="A241" s="39"/>
      <c r="B241" s="40"/>
      <c r="U241" s="36"/>
      <c r="V241" s="36"/>
      <c r="W241" s="35"/>
      <c r="X241" s="7"/>
      <c r="Y241" s="7"/>
      <c r="Z241" s="7"/>
      <c r="AA241" s="7"/>
      <c r="AB241" s="7"/>
      <c r="AC241" s="7"/>
      <c r="AD241" s="7"/>
      <c r="AE241" s="7"/>
      <c r="AG241" s="36"/>
      <c r="AH241" s="36"/>
      <c r="AI241" s="35"/>
      <c r="AJ241" s="7"/>
      <c r="AK241" s="7"/>
      <c r="AL241" s="7"/>
      <c r="AM241" s="7"/>
      <c r="AN241" s="7"/>
      <c r="AO241" s="7"/>
      <c r="AP241" s="7"/>
      <c r="AQ241" s="7"/>
      <c r="AS241" s="36"/>
      <c r="AT241" s="36"/>
      <c r="AU241" s="35"/>
      <c r="AV241" s="7"/>
      <c r="AW241" s="7"/>
      <c r="AX241" s="7"/>
      <c r="AY241" s="7"/>
      <c r="AZ241" s="7"/>
      <c r="BA241" s="7"/>
      <c r="BB241" s="7"/>
      <c r="BC241" s="7"/>
      <c r="BF241" s="7"/>
      <c r="BG241" s="36"/>
      <c r="BH241" s="36"/>
      <c r="BI241" s="36"/>
      <c r="BJ241" s="36"/>
      <c r="BK241" s="36"/>
      <c r="BL241" s="36"/>
      <c r="BM241" s="36"/>
      <c r="BN241" s="36"/>
      <c r="BO241" s="36"/>
    </row>
    <row r="242" spans="1:67" x14ac:dyDescent="0.25">
      <c r="A242" s="39"/>
      <c r="B242" s="40"/>
      <c r="U242" s="36"/>
      <c r="V242" s="36"/>
      <c r="W242" s="35"/>
      <c r="X242" s="7"/>
      <c r="Y242" s="7"/>
      <c r="Z242" s="7"/>
      <c r="AA242" s="7"/>
      <c r="AB242" s="7"/>
      <c r="AC242" s="7"/>
      <c r="AD242" s="7"/>
      <c r="AE242" s="7"/>
      <c r="AG242" s="36"/>
      <c r="AH242" s="36"/>
      <c r="AI242" s="35"/>
      <c r="AJ242" s="7"/>
      <c r="AK242" s="7"/>
      <c r="AL242" s="7"/>
      <c r="AM242" s="7"/>
      <c r="AN242" s="7"/>
      <c r="AO242" s="7"/>
      <c r="AP242" s="7"/>
      <c r="AQ242" s="7"/>
      <c r="AS242" s="36"/>
      <c r="AT242" s="36"/>
      <c r="AU242" s="35"/>
      <c r="AV242" s="7"/>
      <c r="AW242" s="7"/>
      <c r="AX242" s="7"/>
      <c r="AY242" s="7"/>
      <c r="AZ242" s="7"/>
      <c r="BA242" s="7"/>
      <c r="BB242" s="7"/>
      <c r="BC242" s="7"/>
      <c r="BF242" s="7"/>
      <c r="BG242" s="36"/>
      <c r="BH242" s="36"/>
      <c r="BI242" s="36"/>
      <c r="BJ242" s="36"/>
      <c r="BK242" s="36"/>
      <c r="BL242" s="36"/>
      <c r="BM242" s="36"/>
      <c r="BN242" s="36"/>
      <c r="BO242" s="36"/>
    </row>
    <row r="243" spans="1:67" x14ac:dyDescent="0.25">
      <c r="A243" s="39"/>
      <c r="B243" s="40"/>
      <c r="U243" s="36"/>
      <c r="V243" s="36"/>
      <c r="W243" s="35"/>
      <c r="X243" s="7"/>
      <c r="Y243" s="7"/>
      <c r="Z243" s="7"/>
      <c r="AA243" s="7"/>
      <c r="AB243" s="7"/>
      <c r="AC243" s="7"/>
      <c r="AD243" s="7"/>
      <c r="AE243" s="7"/>
      <c r="AG243" s="36"/>
      <c r="AH243" s="36"/>
      <c r="AI243" s="35"/>
      <c r="AJ243" s="7"/>
      <c r="AK243" s="7"/>
      <c r="AL243" s="7"/>
      <c r="AM243" s="7"/>
      <c r="AN243" s="7"/>
      <c r="AO243" s="7"/>
      <c r="AP243" s="7"/>
      <c r="AQ243" s="7"/>
      <c r="AS243" s="36"/>
      <c r="AT243" s="36"/>
      <c r="AU243" s="35"/>
      <c r="AV243" s="7"/>
      <c r="AW243" s="7"/>
      <c r="AX243" s="7"/>
      <c r="AY243" s="7"/>
      <c r="AZ243" s="7"/>
      <c r="BA243" s="7"/>
      <c r="BB243" s="7"/>
      <c r="BC243" s="7"/>
      <c r="BF243" s="7"/>
      <c r="BG243" s="36"/>
      <c r="BH243" s="36"/>
      <c r="BI243" s="36"/>
      <c r="BJ243" s="36"/>
      <c r="BK243" s="36"/>
      <c r="BL243" s="36"/>
      <c r="BM243" s="36"/>
      <c r="BN243" s="36"/>
      <c r="BO243" s="36"/>
    </row>
    <row r="244" spans="1:67" x14ac:dyDescent="0.25">
      <c r="A244" s="39"/>
      <c r="B244" s="40"/>
      <c r="U244" s="36"/>
      <c r="V244" s="36"/>
      <c r="W244" s="35"/>
      <c r="X244" s="7"/>
      <c r="Y244" s="7"/>
      <c r="Z244" s="7"/>
      <c r="AA244" s="7"/>
      <c r="AB244" s="7"/>
      <c r="AC244" s="7"/>
      <c r="AD244" s="7"/>
      <c r="AE244" s="7"/>
      <c r="AG244" s="36"/>
      <c r="AH244" s="36"/>
      <c r="AI244" s="35"/>
      <c r="AJ244" s="7"/>
      <c r="AK244" s="7"/>
      <c r="AL244" s="7"/>
      <c r="AM244" s="7"/>
      <c r="AN244" s="7"/>
      <c r="AO244" s="7"/>
      <c r="AP244" s="7"/>
      <c r="AQ244" s="7"/>
      <c r="AS244" s="36"/>
      <c r="AT244" s="36"/>
      <c r="AU244" s="35"/>
      <c r="AV244" s="7"/>
      <c r="AW244" s="7"/>
      <c r="AX244" s="7"/>
      <c r="AY244" s="7"/>
      <c r="AZ244" s="7"/>
      <c r="BA244" s="7"/>
      <c r="BB244" s="7"/>
      <c r="BC244" s="7"/>
      <c r="BF244" s="7"/>
      <c r="BG244" s="36"/>
      <c r="BH244" s="36"/>
      <c r="BI244" s="36"/>
      <c r="BJ244" s="36"/>
      <c r="BK244" s="36"/>
      <c r="BL244" s="36"/>
      <c r="BM244" s="36"/>
      <c r="BN244" s="36"/>
      <c r="BO244" s="36"/>
    </row>
    <row r="245" spans="1:67" x14ac:dyDescent="0.25">
      <c r="A245" s="39"/>
      <c r="B245" s="40"/>
      <c r="U245" s="36"/>
      <c r="V245" s="36"/>
      <c r="W245" s="35"/>
      <c r="X245" s="7"/>
      <c r="Y245" s="7"/>
      <c r="Z245" s="7"/>
      <c r="AA245" s="7"/>
      <c r="AB245" s="7"/>
      <c r="AC245" s="7"/>
      <c r="AD245" s="7"/>
      <c r="AE245" s="7"/>
      <c r="AG245" s="36"/>
      <c r="AH245" s="36"/>
      <c r="AI245" s="35"/>
      <c r="AJ245" s="7"/>
      <c r="AK245" s="7"/>
      <c r="AL245" s="7"/>
      <c r="AM245" s="7"/>
      <c r="AN245" s="7"/>
      <c r="AO245" s="7"/>
      <c r="AP245" s="7"/>
      <c r="AQ245" s="7"/>
      <c r="AS245" s="36"/>
      <c r="AT245" s="36"/>
      <c r="AU245" s="35"/>
      <c r="AV245" s="7"/>
      <c r="AW245" s="7"/>
      <c r="AX245" s="7"/>
      <c r="AY245" s="7"/>
      <c r="AZ245" s="7"/>
      <c r="BA245" s="7"/>
      <c r="BB245" s="7"/>
      <c r="BC245" s="7"/>
      <c r="BF245" s="7"/>
      <c r="BG245" s="36"/>
      <c r="BH245" s="36"/>
      <c r="BI245" s="36"/>
      <c r="BJ245" s="36"/>
      <c r="BK245" s="36"/>
      <c r="BL245" s="36"/>
      <c r="BM245" s="36"/>
      <c r="BN245" s="36"/>
      <c r="BO245" s="36"/>
    </row>
    <row r="246" spans="1:67" x14ac:dyDescent="0.25">
      <c r="A246" s="39"/>
      <c r="B246" s="40"/>
      <c r="U246" s="36"/>
      <c r="V246" s="36"/>
      <c r="W246" s="35"/>
      <c r="X246" s="7"/>
      <c r="Y246" s="7"/>
      <c r="Z246" s="7"/>
      <c r="AA246" s="7"/>
      <c r="AB246" s="7"/>
      <c r="AC246" s="7"/>
      <c r="AD246" s="7"/>
      <c r="AE246" s="7"/>
      <c r="AG246" s="36"/>
      <c r="AH246" s="36"/>
      <c r="AI246" s="35"/>
      <c r="AJ246" s="7"/>
      <c r="AK246" s="7"/>
      <c r="AL246" s="7"/>
      <c r="AM246" s="7"/>
      <c r="AN246" s="7"/>
      <c r="AO246" s="7"/>
      <c r="AP246" s="7"/>
      <c r="AQ246" s="7"/>
      <c r="AS246" s="36"/>
      <c r="AT246" s="36"/>
      <c r="AU246" s="35"/>
      <c r="AV246" s="7"/>
      <c r="AW246" s="7"/>
      <c r="AX246" s="7"/>
      <c r="AY246" s="7"/>
      <c r="AZ246" s="7"/>
      <c r="BA246" s="7"/>
      <c r="BB246" s="7"/>
      <c r="BC246" s="7"/>
      <c r="BF246" s="7"/>
      <c r="BG246" s="36"/>
      <c r="BH246" s="36"/>
      <c r="BI246" s="36"/>
      <c r="BJ246" s="36"/>
      <c r="BK246" s="36"/>
      <c r="BL246" s="36"/>
      <c r="BM246" s="36"/>
      <c r="BN246" s="36"/>
      <c r="BO246" s="36"/>
    </row>
    <row r="247" spans="1:67" x14ac:dyDescent="0.25">
      <c r="A247" s="39"/>
      <c r="B247" s="40"/>
      <c r="U247" s="36"/>
      <c r="V247" s="36"/>
      <c r="W247" s="35"/>
      <c r="X247" s="7"/>
      <c r="Y247" s="7"/>
      <c r="Z247" s="7"/>
      <c r="AA247" s="7"/>
      <c r="AB247" s="7"/>
      <c r="AC247" s="7"/>
      <c r="AD247" s="7"/>
      <c r="AE247" s="7"/>
      <c r="AG247" s="36"/>
      <c r="AH247" s="36"/>
      <c r="AI247" s="35"/>
      <c r="AJ247" s="7"/>
      <c r="AK247" s="7"/>
      <c r="AL247" s="7"/>
      <c r="AM247" s="7"/>
      <c r="AN247" s="7"/>
      <c r="AO247" s="7"/>
      <c r="AP247" s="7"/>
      <c r="AQ247" s="7"/>
      <c r="AS247" s="36"/>
      <c r="AT247" s="36"/>
      <c r="AU247" s="35"/>
      <c r="AV247" s="7"/>
      <c r="AW247" s="7"/>
      <c r="AX247" s="7"/>
      <c r="AY247" s="7"/>
      <c r="AZ247" s="7"/>
      <c r="BA247" s="7"/>
      <c r="BB247" s="7"/>
      <c r="BC247" s="7"/>
      <c r="BF247" s="7"/>
      <c r="BG247" s="36"/>
      <c r="BH247" s="36"/>
      <c r="BI247" s="36"/>
      <c r="BJ247" s="36"/>
      <c r="BK247" s="36"/>
      <c r="BL247" s="36"/>
      <c r="BM247" s="36"/>
      <c r="BN247" s="36"/>
      <c r="BO247" s="36"/>
    </row>
    <row r="248" spans="1:67" x14ac:dyDescent="0.25">
      <c r="A248" s="39"/>
      <c r="B248" s="40"/>
      <c r="U248" s="36"/>
      <c r="V248" s="36"/>
      <c r="W248" s="35"/>
      <c r="X248" s="7"/>
      <c r="Y248" s="7"/>
      <c r="Z248" s="7"/>
      <c r="AA248" s="7"/>
      <c r="AB248" s="7"/>
      <c r="AC248" s="7"/>
      <c r="AD248" s="7"/>
      <c r="AE248" s="7"/>
      <c r="AG248" s="36"/>
      <c r="AH248" s="36"/>
      <c r="AI248" s="35"/>
      <c r="AJ248" s="7"/>
      <c r="AK248" s="7"/>
      <c r="AL248" s="7"/>
      <c r="AM248" s="7"/>
      <c r="AN248" s="7"/>
      <c r="AO248" s="7"/>
      <c r="AP248" s="7"/>
      <c r="AQ248" s="7"/>
      <c r="AS248" s="36"/>
      <c r="AT248" s="36"/>
      <c r="AU248" s="35"/>
      <c r="AV248" s="7"/>
      <c r="AW248" s="7"/>
      <c r="AX248" s="7"/>
      <c r="AY248" s="7"/>
      <c r="AZ248" s="7"/>
      <c r="BA248" s="7"/>
      <c r="BB248" s="7"/>
      <c r="BC248" s="7"/>
      <c r="BF248" s="7"/>
      <c r="BG248" s="36"/>
      <c r="BH248" s="36"/>
      <c r="BI248" s="36"/>
      <c r="BJ248" s="36"/>
      <c r="BK248" s="36"/>
      <c r="BL248" s="36"/>
      <c r="BM248" s="36"/>
      <c r="BN248" s="36"/>
      <c r="BO248" s="36"/>
    </row>
    <row r="249" spans="1:67" x14ac:dyDescent="0.25">
      <c r="A249" s="39"/>
      <c r="B249" s="40"/>
      <c r="U249" s="36"/>
      <c r="V249" s="36"/>
      <c r="W249" s="35"/>
      <c r="X249" s="7"/>
      <c r="Y249" s="7"/>
      <c r="Z249" s="7"/>
      <c r="AA249" s="7"/>
      <c r="AB249" s="7"/>
      <c r="AC249" s="7"/>
      <c r="AD249" s="7"/>
      <c r="AE249" s="7"/>
      <c r="AG249" s="36"/>
      <c r="AH249" s="36"/>
      <c r="AI249" s="35"/>
      <c r="AJ249" s="7"/>
      <c r="AK249" s="7"/>
      <c r="AL249" s="7"/>
      <c r="AM249" s="7"/>
      <c r="AN249" s="7"/>
      <c r="AO249" s="7"/>
      <c r="AP249" s="7"/>
      <c r="AQ249" s="7"/>
      <c r="AS249" s="36"/>
      <c r="AT249" s="36"/>
      <c r="AU249" s="35"/>
      <c r="AV249" s="7"/>
      <c r="AW249" s="7"/>
      <c r="AX249" s="7"/>
      <c r="AY249" s="7"/>
      <c r="AZ249" s="7"/>
      <c r="BA249" s="7"/>
      <c r="BB249" s="7"/>
      <c r="BC249" s="7"/>
      <c r="BF249" s="7"/>
      <c r="BG249" s="36"/>
      <c r="BH249" s="36"/>
      <c r="BI249" s="36"/>
      <c r="BJ249" s="36"/>
      <c r="BK249" s="36"/>
      <c r="BL249" s="36"/>
      <c r="BM249" s="36"/>
      <c r="BN249" s="36"/>
      <c r="BO249" s="36"/>
    </row>
    <row r="250" spans="1:67" x14ac:dyDescent="0.25">
      <c r="A250" s="39"/>
      <c r="B250" s="40"/>
      <c r="U250" s="36"/>
      <c r="V250" s="36"/>
      <c r="W250" s="35"/>
      <c r="X250" s="7"/>
      <c r="Y250" s="7"/>
      <c r="Z250" s="7"/>
      <c r="AA250" s="7"/>
      <c r="AB250" s="7"/>
      <c r="AC250" s="7"/>
      <c r="AD250" s="7"/>
      <c r="AE250" s="7"/>
      <c r="AG250" s="36"/>
      <c r="AH250" s="36"/>
      <c r="AI250" s="35"/>
      <c r="AJ250" s="7"/>
      <c r="AK250" s="7"/>
      <c r="AL250" s="7"/>
      <c r="AM250" s="7"/>
      <c r="AN250" s="7"/>
      <c r="AO250" s="7"/>
      <c r="AP250" s="7"/>
      <c r="AQ250" s="7"/>
      <c r="AS250" s="36"/>
      <c r="AT250" s="36"/>
      <c r="AU250" s="35"/>
      <c r="AV250" s="7"/>
      <c r="AW250" s="7"/>
      <c r="AX250" s="7"/>
      <c r="AY250" s="7"/>
      <c r="AZ250" s="7"/>
      <c r="BA250" s="7"/>
      <c r="BB250" s="7"/>
      <c r="BC250" s="7"/>
      <c r="BF250" s="7"/>
      <c r="BG250" s="36"/>
      <c r="BH250" s="36"/>
      <c r="BI250" s="36"/>
      <c r="BJ250" s="36"/>
      <c r="BK250" s="36"/>
      <c r="BL250" s="36"/>
      <c r="BM250" s="36"/>
      <c r="BN250" s="36"/>
      <c r="BO250" s="36"/>
    </row>
    <row r="251" spans="1:67" x14ac:dyDescent="0.25">
      <c r="A251" s="39"/>
      <c r="B251" s="40"/>
      <c r="U251" s="36"/>
      <c r="V251" s="36"/>
      <c r="W251" s="35"/>
      <c r="X251" s="7"/>
      <c r="Y251" s="7"/>
      <c r="Z251" s="7"/>
      <c r="AA251" s="7"/>
      <c r="AB251" s="7"/>
      <c r="AC251" s="7"/>
      <c r="AD251" s="7"/>
      <c r="AE251" s="7"/>
      <c r="AG251" s="36"/>
      <c r="AH251" s="36"/>
      <c r="AI251" s="35"/>
      <c r="AJ251" s="7"/>
      <c r="AK251" s="7"/>
      <c r="AL251" s="7"/>
      <c r="AM251" s="7"/>
      <c r="AN251" s="7"/>
      <c r="AO251" s="7"/>
      <c r="AP251" s="7"/>
      <c r="AQ251" s="7"/>
      <c r="AS251" s="36"/>
      <c r="AT251" s="36"/>
      <c r="AU251" s="35"/>
      <c r="AV251" s="7"/>
      <c r="AW251" s="7"/>
      <c r="AX251" s="7"/>
      <c r="AY251" s="7"/>
      <c r="AZ251" s="7"/>
      <c r="BA251" s="7"/>
      <c r="BB251" s="7"/>
      <c r="BC251" s="7"/>
      <c r="BF251" s="7"/>
      <c r="BG251" s="36"/>
      <c r="BH251" s="36"/>
      <c r="BI251" s="36"/>
      <c r="BJ251" s="36"/>
      <c r="BK251" s="36"/>
      <c r="BL251" s="36"/>
      <c r="BM251" s="36"/>
      <c r="BN251" s="36"/>
      <c r="BO251" s="36"/>
    </row>
    <row r="252" spans="1:67" x14ac:dyDescent="0.25">
      <c r="A252" s="39"/>
      <c r="B252" s="40"/>
      <c r="U252" s="36"/>
      <c r="V252" s="36"/>
      <c r="W252" s="35"/>
      <c r="X252" s="7"/>
      <c r="Y252" s="7"/>
      <c r="Z252" s="7"/>
      <c r="AA252" s="7"/>
      <c r="AB252" s="7"/>
      <c r="AC252" s="7"/>
      <c r="AD252" s="7"/>
      <c r="AE252" s="7"/>
      <c r="AG252" s="36"/>
      <c r="AH252" s="36"/>
      <c r="AI252" s="35"/>
      <c r="AJ252" s="7"/>
      <c r="AK252" s="7"/>
      <c r="AL252" s="7"/>
      <c r="AM252" s="7"/>
      <c r="AN252" s="7"/>
      <c r="AO252" s="7"/>
      <c r="AP252" s="7"/>
      <c r="AQ252" s="7"/>
      <c r="AS252" s="36"/>
      <c r="AT252" s="36"/>
      <c r="AU252" s="35"/>
      <c r="AV252" s="7"/>
      <c r="AW252" s="7"/>
      <c r="AX252" s="7"/>
      <c r="AY252" s="7"/>
      <c r="AZ252" s="7"/>
      <c r="BA252" s="7"/>
      <c r="BB252" s="7"/>
      <c r="BC252" s="7"/>
      <c r="BF252" s="7"/>
      <c r="BG252" s="36"/>
      <c r="BH252" s="36"/>
      <c r="BI252" s="36"/>
      <c r="BJ252" s="36"/>
      <c r="BK252" s="36"/>
      <c r="BL252" s="36"/>
      <c r="BM252" s="36"/>
      <c r="BN252" s="36"/>
      <c r="BO252" s="36"/>
    </row>
    <row r="253" spans="1:67" x14ac:dyDescent="0.25">
      <c r="A253" s="39"/>
      <c r="B253" s="40"/>
      <c r="U253" s="36"/>
      <c r="V253" s="36"/>
      <c r="W253" s="35"/>
      <c r="X253" s="7"/>
      <c r="Y253" s="7"/>
      <c r="Z253" s="7"/>
      <c r="AA253" s="7"/>
      <c r="AB253" s="7"/>
      <c r="AC253" s="7"/>
      <c r="AD253" s="7"/>
      <c r="AE253" s="7"/>
      <c r="AG253" s="36"/>
      <c r="AH253" s="36"/>
      <c r="AI253" s="35"/>
      <c r="AJ253" s="7"/>
      <c r="AK253" s="7"/>
      <c r="AL253" s="7"/>
      <c r="AM253" s="7"/>
      <c r="AN253" s="7"/>
      <c r="AO253" s="7"/>
      <c r="AP253" s="7"/>
      <c r="AQ253" s="7"/>
      <c r="AS253" s="36"/>
      <c r="AT253" s="36"/>
      <c r="AU253" s="35"/>
      <c r="AV253" s="7"/>
      <c r="AW253" s="7"/>
      <c r="AX253" s="7"/>
      <c r="AY253" s="7"/>
      <c r="AZ253" s="7"/>
      <c r="BA253" s="7"/>
      <c r="BB253" s="7"/>
      <c r="BC253" s="7"/>
      <c r="BF253" s="7"/>
      <c r="BG253" s="36"/>
      <c r="BH253" s="36"/>
      <c r="BI253" s="36"/>
      <c r="BJ253" s="36"/>
      <c r="BK253" s="36"/>
      <c r="BL253" s="36"/>
      <c r="BM253" s="36"/>
      <c r="BN253" s="36"/>
      <c r="BO253" s="36"/>
    </row>
    <row r="254" spans="1:67" x14ac:dyDescent="0.25">
      <c r="A254" s="39"/>
      <c r="B254" s="40"/>
      <c r="U254" s="36"/>
      <c r="V254" s="36"/>
      <c r="W254" s="35"/>
      <c r="X254" s="7"/>
      <c r="Y254" s="7"/>
      <c r="Z254" s="7"/>
      <c r="AA254" s="7"/>
      <c r="AB254" s="7"/>
      <c r="AC254" s="7"/>
      <c r="AD254" s="7"/>
      <c r="AE254" s="7"/>
      <c r="AG254" s="36"/>
      <c r="AH254" s="36"/>
      <c r="AI254" s="35"/>
      <c r="AJ254" s="7"/>
      <c r="AK254" s="7"/>
      <c r="AL254" s="7"/>
      <c r="AM254" s="7"/>
      <c r="AN254" s="7"/>
      <c r="AO254" s="7"/>
      <c r="AP254" s="7"/>
      <c r="AQ254" s="7"/>
      <c r="AS254" s="36"/>
      <c r="AT254" s="36"/>
      <c r="AU254" s="35"/>
      <c r="AV254" s="7"/>
      <c r="AW254" s="7"/>
      <c r="AX254" s="7"/>
      <c r="AY254" s="7"/>
      <c r="AZ254" s="7"/>
      <c r="BA254" s="7"/>
      <c r="BB254" s="7"/>
      <c r="BC254" s="7"/>
      <c r="BF254" s="7"/>
      <c r="BG254" s="36"/>
      <c r="BH254" s="36"/>
      <c r="BI254" s="36"/>
      <c r="BJ254" s="36"/>
      <c r="BK254" s="36"/>
      <c r="BL254" s="36"/>
      <c r="BM254" s="36"/>
      <c r="BN254" s="36"/>
      <c r="BO254" s="36"/>
    </row>
    <row r="255" spans="1:67" x14ac:dyDescent="0.25">
      <c r="A255" s="39"/>
      <c r="B255" s="40"/>
      <c r="U255" s="36"/>
      <c r="V255" s="36"/>
      <c r="W255" s="35"/>
      <c r="X255" s="7"/>
      <c r="Y255" s="7"/>
      <c r="Z255" s="7"/>
      <c r="AA255" s="7"/>
      <c r="AB255" s="7"/>
      <c r="AC255" s="7"/>
      <c r="AD255" s="7"/>
      <c r="AE255" s="7"/>
      <c r="AG255" s="36"/>
      <c r="AH255" s="36"/>
      <c r="AI255" s="35"/>
      <c r="AJ255" s="7"/>
      <c r="AK255" s="7"/>
      <c r="AL255" s="7"/>
      <c r="AM255" s="7"/>
      <c r="AN255" s="7"/>
      <c r="AO255" s="7"/>
      <c r="AP255" s="7"/>
      <c r="AQ255" s="7"/>
      <c r="AS255" s="36"/>
      <c r="AT255" s="36"/>
      <c r="AU255" s="35"/>
      <c r="AV255" s="7"/>
      <c r="AW255" s="7"/>
      <c r="AX255" s="7"/>
      <c r="AY255" s="7"/>
      <c r="AZ255" s="7"/>
      <c r="BA255" s="7"/>
      <c r="BB255" s="7"/>
      <c r="BC255" s="7"/>
      <c r="BF255" s="7"/>
      <c r="BG255" s="36"/>
      <c r="BH255" s="36"/>
      <c r="BI255" s="36"/>
      <c r="BJ255" s="36"/>
      <c r="BK255" s="36"/>
      <c r="BL255" s="36"/>
      <c r="BM255" s="36"/>
      <c r="BN255" s="36"/>
      <c r="BO255" s="36"/>
    </row>
    <row r="256" spans="1:67" x14ac:dyDescent="0.25">
      <c r="A256" s="39"/>
      <c r="B256" s="40"/>
      <c r="U256" s="36"/>
      <c r="V256" s="36"/>
      <c r="W256" s="35"/>
      <c r="X256" s="7"/>
      <c r="Y256" s="7"/>
      <c r="Z256" s="7"/>
      <c r="AA256" s="7"/>
      <c r="AB256" s="7"/>
      <c r="AC256" s="7"/>
      <c r="AD256" s="7"/>
      <c r="AE256" s="7"/>
      <c r="AG256" s="36"/>
      <c r="AH256" s="36"/>
      <c r="AI256" s="35"/>
      <c r="AJ256" s="7"/>
      <c r="AK256" s="7"/>
      <c r="AL256" s="7"/>
      <c r="AM256" s="7"/>
      <c r="AN256" s="7"/>
      <c r="AO256" s="7"/>
      <c r="AP256" s="7"/>
      <c r="AQ256" s="7"/>
      <c r="AS256" s="36"/>
      <c r="AT256" s="36"/>
      <c r="AU256" s="35"/>
      <c r="AV256" s="7"/>
      <c r="AW256" s="7"/>
      <c r="AX256" s="7"/>
      <c r="AY256" s="7"/>
      <c r="AZ256" s="7"/>
      <c r="BA256" s="7"/>
      <c r="BB256" s="7"/>
      <c r="BC256" s="7"/>
      <c r="BF256" s="7"/>
      <c r="BG256" s="36"/>
      <c r="BH256" s="36"/>
      <c r="BI256" s="36"/>
      <c r="BJ256" s="36"/>
      <c r="BK256" s="36"/>
      <c r="BL256" s="36"/>
      <c r="BM256" s="36"/>
      <c r="BN256" s="36"/>
      <c r="BO256" s="36"/>
    </row>
    <row r="257" spans="1:67" x14ac:dyDescent="0.25">
      <c r="A257" s="39"/>
      <c r="B257" s="40"/>
      <c r="U257" s="36"/>
      <c r="V257" s="36"/>
      <c r="W257" s="35"/>
      <c r="X257" s="7"/>
      <c r="Y257" s="7"/>
      <c r="Z257" s="7"/>
      <c r="AA257" s="7"/>
      <c r="AB257" s="7"/>
      <c r="AC257" s="7"/>
      <c r="AD257" s="7"/>
      <c r="AE257" s="7"/>
      <c r="AG257" s="36"/>
      <c r="AH257" s="36"/>
      <c r="AI257" s="35"/>
      <c r="AJ257" s="7"/>
      <c r="AK257" s="7"/>
      <c r="AL257" s="7"/>
      <c r="AM257" s="7"/>
      <c r="AN257" s="7"/>
      <c r="AO257" s="7"/>
      <c r="AP257" s="7"/>
      <c r="AQ257" s="7"/>
      <c r="AS257" s="36"/>
      <c r="AT257" s="36"/>
      <c r="AU257" s="35"/>
      <c r="AV257" s="7"/>
      <c r="AW257" s="7"/>
      <c r="AX257" s="7"/>
      <c r="AY257" s="7"/>
      <c r="AZ257" s="7"/>
      <c r="BA257" s="7"/>
      <c r="BB257" s="7"/>
      <c r="BC257" s="7"/>
      <c r="BF257" s="7"/>
      <c r="BG257" s="36"/>
      <c r="BH257" s="36"/>
      <c r="BI257" s="36"/>
      <c r="BJ257" s="36"/>
      <c r="BK257" s="36"/>
      <c r="BL257" s="36"/>
      <c r="BM257" s="36"/>
      <c r="BN257" s="36"/>
      <c r="BO257" s="36"/>
    </row>
    <row r="258" spans="1:67" x14ac:dyDescent="0.25">
      <c r="A258" s="39"/>
      <c r="B258" s="40"/>
      <c r="U258" s="36"/>
      <c r="V258" s="36"/>
      <c r="W258" s="35"/>
      <c r="X258" s="7"/>
      <c r="Y258" s="7"/>
      <c r="Z258" s="7"/>
      <c r="AA258" s="7"/>
      <c r="AB258" s="7"/>
      <c r="AC258" s="7"/>
      <c r="AD258" s="7"/>
      <c r="AE258" s="7"/>
      <c r="AG258" s="36"/>
      <c r="AH258" s="36"/>
      <c r="AI258" s="35"/>
      <c r="AJ258" s="7"/>
      <c r="AK258" s="7"/>
      <c r="AL258" s="7"/>
      <c r="AM258" s="7"/>
      <c r="AN258" s="7"/>
      <c r="AO258" s="7"/>
      <c r="AP258" s="7"/>
      <c r="AQ258" s="7"/>
      <c r="AS258" s="36"/>
      <c r="AT258" s="36"/>
      <c r="AU258" s="35"/>
      <c r="AV258" s="7"/>
      <c r="AW258" s="7"/>
      <c r="AX258" s="7"/>
      <c r="AY258" s="7"/>
      <c r="AZ258" s="7"/>
      <c r="BA258" s="7"/>
      <c r="BB258" s="7"/>
      <c r="BC258" s="7"/>
      <c r="BF258" s="7"/>
      <c r="BG258" s="36"/>
      <c r="BH258" s="36"/>
      <c r="BI258" s="36"/>
      <c r="BJ258" s="36"/>
      <c r="BK258" s="36"/>
      <c r="BL258" s="36"/>
      <c r="BM258" s="36"/>
      <c r="BN258" s="36"/>
      <c r="BO258" s="36"/>
    </row>
    <row r="259" spans="1:67" x14ac:dyDescent="0.25">
      <c r="A259" s="39"/>
      <c r="B259" s="40"/>
      <c r="U259" s="36"/>
      <c r="V259" s="36"/>
      <c r="W259" s="35"/>
      <c r="X259" s="7"/>
      <c r="Y259" s="7"/>
      <c r="Z259" s="7"/>
      <c r="AA259" s="7"/>
      <c r="AB259" s="7"/>
      <c r="AC259" s="7"/>
      <c r="AD259" s="7"/>
      <c r="AE259" s="7"/>
      <c r="AG259" s="36"/>
      <c r="AH259" s="36"/>
      <c r="AI259" s="35"/>
      <c r="AJ259" s="7"/>
      <c r="AK259" s="7"/>
      <c r="AL259" s="7"/>
      <c r="AM259" s="7"/>
      <c r="AN259" s="7"/>
      <c r="AO259" s="7"/>
      <c r="AP259" s="7"/>
      <c r="AQ259" s="7"/>
      <c r="AS259" s="36"/>
      <c r="AT259" s="36"/>
      <c r="AU259" s="35"/>
      <c r="AV259" s="7"/>
      <c r="AW259" s="7"/>
      <c r="AX259" s="7"/>
      <c r="AY259" s="7"/>
      <c r="AZ259" s="7"/>
      <c r="BA259" s="7"/>
      <c r="BB259" s="7"/>
      <c r="BC259" s="7"/>
      <c r="BF259" s="7"/>
      <c r="BG259" s="36"/>
      <c r="BH259" s="36"/>
      <c r="BI259" s="36"/>
      <c r="BJ259" s="36"/>
      <c r="BK259" s="36"/>
      <c r="BL259" s="36"/>
      <c r="BM259" s="36"/>
      <c r="BN259" s="36"/>
      <c r="BO259" s="36"/>
    </row>
    <row r="260" spans="1:67" x14ac:dyDescent="0.25">
      <c r="A260" s="39"/>
      <c r="B260" s="40"/>
      <c r="U260" s="36"/>
      <c r="V260" s="36"/>
      <c r="W260" s="35"/>
      <c r="X260" s="7"/>
      <c r="Y260" s="7"/>
      <c r="Z260" s="7"/>
      <c r="AA260" s="7"/>
      <c r="AB260" s="7"/>
      <c r="AC260" s="7"/>
      <c r="AD260" s="7"/>
      <c r="AE260" s="7"/>
      <c r="AG260" s="36"/>
      <c r="AH260" s="36"/>
      <c r="AI260" s="35"/>
      <c r="AJ260" s="7"/>
      <c r="AK260" s="7"/>
      <c r="AL260" s="7"/>
      <c r="AM260" s="7"/>
      <c r="AN260" s="7"/>
      <c r="AO260" s="7"/>
      <c r="AP260" s="7"/>
      <c r="AQ260" s="7"/>
      <c r="AS260" s="36"/>
      <c r="AT260" s="36"/>
      <c r="AU260" s="35"/>
      <c r="AV260" s="7"/>
      <c r="AW260" s="7"/>
      <c r="AX260" s="7"/>
      <c r="AY260" s="7"/>
      <c r="AZ260" s="7"/>
      <c r="BA260" s="7"/>
      <c r="BB260" s="7"/>
      <c r="BC260" s="7"/>
      <c r="BF260" s="7"/>
      <c r="BG260" s="36"/>
      <c r="BH260" s="36"/>
      <c r="BI260" s="36"/>
      <c r="BJ260" s="36"/>
      <c r="BK260" s="36"/>
      <c r="BL260" s="36"/>
      <c r="BM260" s="36"/>
      <c r="BN260" s="36"/>
      <c r="BO260" s="36"/>
    </row>
    <row r="261" spans="1:67" x14ac:dyDescent="0.25">
      <c r="A261" s="39"/>
      <c r="B261" s="40"/>
      <c r="U261" s="36"/>
      <c r="V261" s="36"/>
      <c r="W261" s="35"/>
      <c r="X261" s="7"/>
      <c r="Y261" s="7"/>
      <c r="Z261" s="7"/>
      <c r="AA261" s="7"/>
      <c r="AB261" s="7"/>
      <c r="AC261" s="7"/>
      <c r="AD261" s="7"/>
      <c r="AE261" s="7"/>
      <c r="AG261" s="36"/>
      <c r="AH261" s="36"/>
      <c r="AI261" s="35"/>
      <c r="AJ261" s="7"/>
      <c r="AK261" s="7"/>
      <c r="AL261" s="7"/>
      <c r="AM261" s="7"/>
      <c r="AN261" s="7"/>
      <c r="AO261" s="7"/>
      <c r="AP261" s="7"/>
      <c r="AQ261" s="7"/>
      <c r="AS261" s="36"/>
      <c r="AT261" s="36"/>
      <c r="AU261" s="35"/>
      <c r="AV261" s="7"/>
      <c r="AW261" s="7"/>
      <c r="AX261" s="7"/>
      <c r="AY261" s="7"/>
      <c r="AZ261" s="7"/>
      <c r="BA261" s="7"/>
      <c r="BB261" s="7"/>
      <c r="BC261" s="7"/>
      <c r="BF261" s="7"/>
      <c r="BG261" s="36"/>
      <c r="BH261" s="36"/>
      <c r="BI261" s="36"/>
      <c r="BJ261" s="36"/>
      <c r="BK261" s="36"/>
      <c r="BL261" s="36"/>
      <c r="BM261" s="36"/>
      <c r="BN261" s="36"/>
      <c r="BO261" s="36"/>
    </row>
    <row r="262" spans="1:67" x14ac:dyDescent="0.25">
      <c r="A262" s="39"/>
      <c r="B262" s="40"/>
      <c r="U262" s="36"/>
      <c r="V262" s="36"/>
      <c r="W262" s="35"/>
      <c r="X262" s="7"/>
      <c r="Y262" s="7"/>
      <c r="Z262" s="7"/>
      <c r="AA262" s="7"/>
      <c r="AB262" s="7"/>
      <c r="AC262" s="7"/>
      <c r="AD262" s="7"/>
      <c r="AE262" s="7"/>
      <c r="AG262" s="36"/>
      <c r="AH262" s="36"/>
      <c r="AI262" s="35"/>
      <c r="AJ262" s="7"/>
      <c r="AK262" s="7"/>
      <c r="AL262" s="7"/>
      <c r="AM262" s="7"/>
      <c r="AN262" s="7"/>
      <c r="AO262" s="7"/>
      <c r="AP262" s="7"/>
      <c r="AQ262" s="7"/>
      <c r="AS262" s="36"/>
      <c r="AT262" s="36"/>
      <c r="AU262" s="35"/>
      <c r="AV262" s="7"/>
      <c r="AW262" s="7"/>
      <c r="AX262" s="7"/>
      <c r="AY262" s="7"/>
      <c r="AZ262" s="7"/>
      <c r="BA262" s="7"/>
      <c r="BB262" s="7"/>
      <c r="BC262" s="7"/>
      <c r="BF262" s="7"/>
      <c r="BG262" s="36"/>
      <c r="BH262" s="36"/>
      <c r="BI262" s="36"/>
      <c r="BJ262" s="36"/>
      <c r="BK262" s="36"/>
      <c r="BL262" s="36"/>
      <c r="BM262" s="36"/>
      <c r="BN262" s="36"/>
      <c r="BO262" s="36"/>
    </row>
    <row r="263" spans="1:67" x14ac:dyDescent="0.25">
      <c r="A263" s="39"/>
      <c r="B263" s="40"/>
      <c r="U263" s="36"/>
      <c r="V263" s="36"/>
      <c r="W263" s="35"/>
      <c r="X263" s="7"/>
      <c r="Y263" s="7"/>
      <c r="Z263" s="7"/>
      <c r="AA263" s="7"/>
      <c r="AB263" s="7"/>
      <c r="AC263" s="7"/>
      <c r="AD263" s="7"/>
      <c r="AE263" s="7"/>
      <c r="AG263" s="36"/>
      <c r="AH263" s="36"/>
      <c r="AI263" s="35"/>
      <c r="AJ263" s="7"/>
      <c r="AK263" s="7"/>
      <c r="AL263" s="7"/>
      <c r="AM263" s="7"/>
      <c r="AN263" s="7"/>
      <c r="AO263" s="7"/>
      <c r="AP263" s="7"/>
      <c r="AQ263" s="7"/>
      <c r="AS263" s="36"/>
      <c r="AT263" s="36"/>
      <c r="AU263" s="35"/>
      <c r="AV263" s="7"/>
      <c r="AW263" s="7"/>
      <c r="AX263" s="7"/>
      <c r="AY263" s="7"/>
      <c r="AZ263" s="7"/>
      <c r="BA263" s="7"/>
      <c r="BB263" s="7"/>
      <c r="BC263" s="7"/>
      <c r="BF263" s="7"/>
      <c r="BG263" s="36"/>
      <c r="BH263" s="36"/>
      <c r="BI263" s="36"/>
      <c r="BJ263" s="36"/>
      <c r="BK263" s="36"/>
      <c r="BL263" s="36"/>
      <c r="BM263" s="36"/>
      <c r="BN263" s="36"/>
      <c r="BO263" s="36"/>
    </row>
    <row r="264" spans="1:67" x14ac:dyDescent="0.25">
      <c r="A264" s="39"/>
      <c r="B264" s="40"/>
      <c r="U264" s="36"/>
      <c r="V264" s="36"/>
      <c r="W264" s="35"/>
      <c r="X264" s="7"/>
      <c r="Y264" s="7"/>
      <c r="Z264" s="7"/>
      <c r="AA264" s="7"/>
      <c r="AB264" s="7"/>
      <c r="AC264" s="7"/>
      <c r="AD264" s="7"/>
      <c r="AE264" s="7"/>
      <c r="AG264" s="36"/>
      <c r="AH264" s="36"/>
      <c r="AI264" s="35"/>
      <c r="AJ264" s="7"/>
      <c r="AK264" s="7"/>
      <c r="AL264" s="7"/>
      <c r="AM264" s="7"/>
      <c r="AN264" s="7"/>
      <c r="AO264" s="7"/>
      <c r="AP264" s="7"/>
      <c r="AQ264" s="7"/>
      <c r="AS264" s="36"/>
      <c r="AT264" s="36"/>
      <c r="AU264" s="35"/>
      <c r="AV264" s="7"/>
      <c r="AW264" s="7"/>
      <c r="AX264" s="7"/>
      <c r="AY264" s="7"/>
      <c r="AZ264" s="7"/>
      <c r="BA264" s="7"/>
      <c r="BB264" s="7"/>
      <c r="BC264" s="7"/>
      <c r="BF264" s="7"/>
      <c r="BG264" s="36"/>
      <c r="BH264" s="36"/>
      <c r="BI264" s="36"/>
      <c r="BJ264" s="36"/>
      <c r="BK264" s="36"/>
      <c r="BL264" s="36"/>
      <c r="BM264" s="36"/>
      <c r="BN264" s="36"/>
      <c r="BO264" s="36"/>
    </row>
    <row r="265" spans="1:67" x14ac:dyDescent="0.25">
      <c r="A265" s="39"/>
      <c r="B265" s="40"/>
      <c r="U265" s="36"/>
      <c r="V265" s="36"/>
      <c r="W265" s="35"/>
      <c r="X265" s="7"/>
      <c r="Y265" s="7"/>
      <c r="Z265" s="7"/>
      <c r="AA265" s="7"/>
      <c r="AB265" s="7"/>
      <c r="AC265" s="7"/>
      <c r="AD265" s="7"/>
      <c r="AE265" s="7"/>
      <c r="AG265" s="36"/>
      <c r="AH265" s="36"/>
      <c r="AI265" s="35"/>
      <c r="AJ265" s="7"/>
      <c r="AK265" s="7"/>
      <c r="AL265" s="7"/>
      <c r="AM265" s="7"/>
      <c r="AN265" s="7"/>
      <c r="AO265" s="7"/>
      <c r="AP265" s="7"/>
      <c r="AQ265" s="7"/>
      <c r="AS265" s="36"/>
      <c r="AT265" s="36"/>
      <c r="AU265" s="35"/>
      <c r="AV265" s="7"/>
      <c r="AW265" s="7"/>
      <c r="AX265" s="7"/>
      <c r="AY265" s="7"/>
      <c r="AZ265" s="7"/>
      <c r="BA265" s="7"/>
      <c r="BB265" s="7"/>
      <c r="BC265" s="7"/>
      <c r="BF265" s="7"/>
      <c r="BG265" s="36"/>
      <c r="BH265" s="36"/>
      <c r="BI265" s="36"/>
      <c r="BJ265" s="36"/>
      <c r="BK265" s="36"/>
      <c r="BL265" s="36"/>
      <c r="BM265" s="36"/>
      <c r="BN265" s="36"/>
      <c r="BO265" s="36"/>
    </row>
    <row r="266" spans="1:67" x14ac:dyDescent="0.25">
      <c r="A266" s="39"/>
      <c r="B266" s="40"/>
      <c r="U266" s="36"/>
      <c r="V266" s="36"/>
      <c r="W266" s="35"/>
      <c r="X266" s="7"/>
      <c r="Y266" s="7"/>
      <c r="Z266" s="7"/>
      <c r="AA266" s="7"/>
      <c r="AB266" s="7"/>
      <c r="AC266" s="7"/>
      <c r="AD266" s="7"/>
      <c r="AE266" s="7"/>
      <c r="AG266" s="36"/>
      <c r="AH266" s="36"/>
      <c r="AI266" s="35"/>
      <c r="AJ266" s="7"/>
      <c r="AK266" s="7"/>
      <c r="AL266" s="7"/>
      <c r="AM266" s="7"/>
      <c r="AN266" s="7"/>
      <c r="AO266" s="7"/>
      <c r="AP266" s="7"/>
      <c r="AQ266" s="7"/>
      <c r="AS266" s="36"/>
      <c r="AT266" s="36"/>
      <c r="AU266" s="35"/>
      <c r="AV266" s="7"/>
      <c r="AW266" s="7"/>
      <c r="AX266" s="7"/>
      <c r="AY266" s="7"/>
      <c r="AZ266" s="7"/>
      <c r="BA266" s="7"/>
      <c r="BB266" s="7"/>
      <c r="BC266" s="7"/>
      <c r="BF266" s="7"/>
      <c r="BG266" s="36"/>
      <c r="BH266" s="36"/>
      <c r="BI266" s="36"/>
      <c r="BJ266" s="36"/>
      <c r="BK266" s="36"/>
      <c r="BL266" s="36"/>
      <c r="BM266" s="36"/>
      <c r="BN266" s="36"/>
      <c r="BO266" s="36"/>
    </row>
    <row r="267" spans="1:67" x14ac:dyDescent="0.25">
      <c r="A267" s="39"/>
      <c r="B267" s="40"/>
      <c r="U267" s="36"/>
      <c r="V267" s="36"/>
      <c r="W267" s="35"/>
      <c r="X267" s="7"/>
      <c r="Y267" s="7"/>
      <c r="Z267" s="7"/>
      <c r="AA267" s="7"/>
      <c r="AB267" s="7"/>
      <c r="AC267" s="7"/>
      <c r="AD267" s="7"/>
      <c r="AE267" s="7"/>
      <c r="AG267" s="36"/>
      <c r="AH267" s="36"/>
      <c r="AI267" s="35"/>
      <c r="AJ267" s="7"/>
      <c r="AK267" s="7"/>
      <c r="AL267" s="7"/>
      <c r="AM267" s="7"/>
      <c r="AN267" s="7"/>
      <c r="AO267" s="7"/>
      <c r="AP267" s="7"/>
      <c r="AQ267" s="7"/>
      <c r="AS267" s="36"/>
      <c r="AT267" s="36"/>
      <c r="AU267" s="35"/>
      <c r="AV267" s="7"/>
      <c r="AW267" s="7"/>
      <c r="AX267" s="7"/>
      <c r="AY267" s="7"/>
      <c r="AZ267" s="7"/>
      <c r="BA267" s="7"/>
      <c r="BB267" s="7"/>
      <c r="BC267" s="7"/>
      <c r="BF267" s="7"/>
      <c r="BG267" s="36"/>
      <c r="BH267" s="36"/>
      <c r="BI267" s="36"/>
      <c r="BJ267" s="36"/>
      <c r="BK267" s="36"/>
      <c r="BL267" s="36"/>
      <c r="BM267" s="36"/>
      <c r="BN267" s="36"/>
      <c r="BO267" s="36"/>
    </row>
    <row r="268" spans="1:67" x14ac:dyDescent="0.25">
      <c r="A268" s="39"/>
      <c r="B268" s="40"/>
      <c r="U268" s="36"/>
      <c r="V268" s="36"/>
      <c r="W268" s="35"/>
      <c r="X268" s="7"/>
      <c r="Y268" s="7"/>
      <c r="Z268" s="7"/>
      <c r="AA268" s="7"/>
      <c r="AB268" s="7"/>
      <c r="AC268" s="7"/>
      <c r="AD268" s="7"/>
      <c r="AE268" s="7"/>
      <c r="AG268" s="36"/>
      <c r="AH268" s="36"/>
      <c r="AI268" s="35"/>
      <c r="AJ268" s="7"/>
      <c r="AK268" s="7"/>
      <c r="AL268" s="7"/>
      <c r="AM268" s="7"/>
      <c r="AN268" s="7"/>
      <c r="AO268" s="7"/>
      <c r="AP268" s="7"/>
      <c r="AQ268" s="7"/>
      <c r="AS268" s="36"/>
      <c r="AT268" s="36"/>
      <c r="AU268" s="35"/>
      <c r="AV268" s="7"/>
      <c r="AW268" s="7"/>
      <c r="AX268" s="7"/>
      <c r="AY268" s="7"/>
      <c r="AZ268" s="7"/>
      <c r="BA268" s="7"/>
      <c r="BB268" s="7"/>
      <c r="BC268" s="7"/>
      <c r="BF268" s="7"/>
      <c r="BG268" s="36"/>
      <c r="BH268" s="36"/>
      <c r="BI268" s="36"/>
      <c r="BJ268" s="36"/>
      <c r="BK268" s="36"/>
      <c r="BL268" s="36"/>
      <c r="BM268" s="36"/>
      <c r="BN268" s="36"/>
      <c r="BO268" s="36"/>
    </row>
    <row r="269" spans="1:67" x14ac:dyDescent="0.25">
      <c r="A269" s="39"/>
      <c r="B269" s="40"/>
      <c r="U269" s="36"/>
      <c r="V269" s="36"/>
      <c r="W269" s="35"/>
      <c r="X269" s="7"/>
      <c r="Y269" s="7"/>
      <c r="Z269" s="7"/>
      <c r="AA269" s="7"/>
      <c r="AB269" s="7"/>
      <c r="AC269" s="7"/>
      <c r="AD269" s="7"/>
      <c r="AE269" s="7"/>
      <c r="AG269" s="36"/>
      <c r="AH269" s="36"/>
      <c r="AI269" s="35"/>
      <c r="AJ269" s="7"/>
      <c r="AK269" s="7"/>
      <c r="AL269" s="7"/>
      <c r="AM269" s="7"/>
      <c r="AN269" s="7"/>
      <c r="AO269" s="7"/>
      <c r="AP269" s="7"/>
      <c r="AQ269" s="7"/>
      <c r="AS269" s="36"/>
      <c r="AT269" s="36"/>
      <c r="AU269" s="35"/>
      <c r="AV269" s="7"/>
      <c r="AW269" s="7"/>
      <c r="AX269" s="7"/>
      <c r="AY269" s="7"/>
      <c r="AZ269" s="7"/>
      <c r="BA269" s="7"/>
      <c r="BB269" s="7"/>
      <c r="BC269" s="7"/>
      <c r="BF269" s="7"/>
      <c r="BG269" s="36"/>
      <c r="BH269" s="36"/>
      <c r="BI269" s="36"/>
      <c r="BJ269" s="36"/>
      <c r="BK269" s="36"/>
      <c r="BL269" s="36"/>
      <c r="BM269" s="36"/>
      <c r="BN269" s="36"/>
      <c r="BO269" s="36"/>
    </row>
    <row r="270" spans="1:67" x14ac:dyDescent="0.25">
      <c r="A270" s="39"/>
      <c r="B270" s="40"/>
      <c r="U270" s="36"/>
      <c r="V270" s="36"/>
      <c r="W270" s="35"/>
      <c r="X270" s="7"/>
      <c r="Y270" s="7"/>
      <c r="Z270" s="7"/>
      <c r="AA270" s="7"/>
      <c r="AB270" s="7"/>
      <c r="AC270" s="7"/>
      <c r="AD270" s="7"/>
      <c r="AE270" s="7"/>
      <c r="AG270" s="36"/>
      <c r="AH270" s="36"/>
      <c r="AI270" s="35"/>
      <c r="AJ270" s="7"/>
      <c r="AK270" s="7"/>
      <c r="AL270" s="7"/>
      <c r="AM270" s="7"/>
      <c r="AN270" s="7"/>
      <c r="AO270" s="7"/>
      <c r="AP270" s="7"/>
      <c r="AQ270" s="7"/>
      <c r="AS270" s="36"/>
      <c r="AT270" s="36"/>
      <c r="AU270" s="35"/>
      <c r="AV270" s="7"/>
      <c r="AW270" s="7"/>
      <c r="AX270" s="7"/>
      <c r="AY270" s="7"/>
      <c r="AZ270" s="7"/>
      <c r="BA270" s="7"/>
      <c r="BB270" s="7"/>
      <c r="BC270" s="7"/>
      <c r="BF270" s="7"/>
      <c r="BG270" s="36"/>
      <c r="BH270" s="36"/>
      <c r="BI270" s="36"/>
      <c r="BJ270" s="36"/>
      <c r="BK270" s="36"/>
      <c r="BL270" s="36"/>
      <c r="BM270" s="36"/>
      <c r="BN270" s="36"/>
      <c r="BO270" s="36"/>
    </row>
    <row r="271" spans="1:67" x14ac:dyDescent="0.25">
      <c r="A271" s="39"/>
      <c r="B271" s="40"/>
      <c r="U271" s="36"/>
      <c r="V271" s="36"/>
      <c r="W271" s="35"/>
      <c r="X271" s="7"/>
      <c r="Y271" s="7"/>
      <c r="Z271" s="7"/>
      <c r="AA271" s="7"/>
      <c r="AB271" s="7"/>
      <c r="AC271" s="7"/>
      <c r="AD271" s="7"/>
      <c r="AE271" s="7"/>
      <c r="AG271" s="36"/>
      <c r="AH271" s="36"/>
      <c r="AI271" s="35"/>
      <c r="AJ271" s="7"/>
      <c r="AK271" s="7"/>
      <c r="AL271" s="7"/>
      <c r="AM271" s="7"/>
      <c r="AN271" s="7"/>
      <c r="AO271" s="7"/>
      <c r="AP271" s="7"/>
      <c r="AQ271" s="7"/>
      <c r="AS271" s="36"/>
      <c r="AT271" s="36"/>
      <c r="AU271" s="35"/>
      <c r="AV271" s="7"/>
      <c r="AW271" s="7"/>
      <c r="AX271" s="7"/>
      <c r="AY271" s="7"/>
      <c r="AZ271" s="7"/>
      <c r="BA271" s="7"/>
      <c r="BB271" s="7"/>
      <c r="BC271" s="7"/>
      <c r="BF271" s="7"/>
      <c r="BG271" s="36"/>
      <c r="BH271" s="36"/>
      <c r="BI271" s="36"/>
      <c r="BJ271" s="36"/>
      <c r="BK271" s="36"/>
      <c r="BL271" s="36"/>
      <c r="BM271" s="36"/>
      <c r="BN271" s="36"/>
      <c r="BO271" s="36"/>
    </row>
    <row r="272" spans="1:67" x14ac:dyDescent="0.25">
      <c r="A272" s="39"/>
      <c r="B272" s="40"/>
      <c r="U272" s="36"/>
      <c r="V272" s="36"/>
      <c r="W272" s="35"/>
      <c r="X272" s="7"/>
      <c r="Y272" s="7"/>
      <c r="Z272" s="7"/>
      <c r="AA272" s="7"/>
      <c r="AB272" s="7"/>
      <c r="AC272" s="7"/>
      <c r="AD272" s="7"/>
      <c r="AE272" s="7"/>
      <c r="AG272" s="36"/>
      <c r="AH272" s="36"/>
      <c r="AI272" s="35"/>
      <c r="AJ272" s="7"/>
      <c r="AK272" s="7"/>
      <c r="AL272" s="7"/>
      <c r="AM272" s="7"/>
      <c r="AN272" s="7"/>
      <c r="AO272" s="7"/>
      <c r="AP272" s="7"/>
      <c r="AQ272" s="7"/>
      <c r="AS272" s="36"/>
      <c r="AT272" s="36"/>
      <c r="AU272" s="35"/>
      <c r="AV272" s="7"/>
      <c r="AW272" s="7"/>
      <c r="AX272" s="7"/>
      <c r="AY272" s="7"/>
      <c r="AZ272" s="7"/>
      <c r="BA272" s="7"/>
      <c r="BB272" s="7"/>
      <c r="BC272" s="7"/>
      <c r="BF272" s="7"/>
      <c r="BG272" s="36"/>
      <c r="BH272" s="36"/>
      <c r="BI272" s="36"/>
      <c r="BJ272" s="36"/>
      <c r="BK272" s="36"/>
      <c r="BL272" s="36"/>
      <c r="BM272" s="36"/>
      <c r="BN272" s="36"/>
      <c r="BO272" s="36"/>
    </row>
    <row r="273" spans="1:67" x14ac:dyDescent="0.25">
      <c r="A273" s="39"/>
      <c r="B273" s="40"/>
      <c r="U273" s="36"/>
      <c r="V273" s="36"/>
      <c r="W273" s="35"/>
      <c r="X273" s="7"/>
      <c r="Y273" s="7"/>
      <c r="Z273" s="7"/>
      <c r="AA273" s="7"/>
      <c r="AB273" s="7"/>
      <c r="AC273" s="7"/>
      <c r="AD273" s="7"/>
      <c r="AE273" s="7"/>
      <c r="AG273" s="36"/>
      <c r="AH273" s="36"/>
      <c r="AI273" s="35"/>
      <c r="AJ273" s="7"/>
      <c r="AK273" s="7"/>
      <c r="AL273" s="7"/>
      <c r="AM273" s="7"/>
      <c r="AN273" s="7"/>
      <c r="AO273" s="7"/>
      <c r="AP273" s="7"/>
      <c r="AQ273" s="7"/>
      <c r="AS273" s="36"/>
      <c r="AT273" s="36"/>
      <c r="AU273" s="35"/>
      <c r="AV273" s="7"/>
      <c r="AW273" s="7"/>
      <c r="AX273" s="7"/>
      <c r="AY273" s="7"/>
      <c r="AZ273" s="7"/>
      <c r="BA273" s="7"/>
      <c r="BB273" s="7"/>
      <c r="BC273" s="7"/>
      <c r="BF273" s="7"/>
      <c r="BG273" s="36"/>
      <c r="BH273" s="36"/>
      <c r="BI273" s="36"/>
      <c r="BJ273" s="36"/>
      <c r="BK273" s="36"/>
      <c r="BL273" s="36"/>
      <c r="BM273" s="36"/>
      <c r="BN273" s="36"/>
      <c r="BO273" s="36"/>
    </row>
    <row r="274" spans="1:67" x14ac:dyDescent="0.25">
      <c r="A274" s="39"/>
      <c r="B274" s="40"/>
      <c r="U274" s="36"/>
      <c r="V274" s="36"/>
      <c r="W274" s="35"/>
      <c r="X274" s="7"/>
      <c r="Y274" s="7"/>
      <c r="Z274" s="7"/>
      <c r="AA274" s="7"/>
      <c r="AB274" s="7"/>
      <c r="AC274" s="7"/>
      <c r="AD274" s="7"/>
      <c r="AE274" s="7"/>
      <c r="AG274" s="36"/>
      <c r="AH274" s="36"/>
      <c r="AI274" s="35"/>
      <c r="AJ274" s="7"/>
      <c r="AK274" s="7"/>
      <c r="AL274" s="7"/>
      <c r="AM274" s="7"/>
      <c r="AN274" s="7"/>
      <c r="AO274" s="7"/>
      <c r="AP274" s="7"/>
      <c r="AQ274" s="7"/>
      <c r="AS274" s="36"/>
      <c r="AT274" s="36"/>
      <c r="AU274" s="35"/>
      <c r="AV274" s="7"/>
      <c r="AW274" s="7"/>
      <c r="AX274" s="7"/>
      <c r="AY274" s="7"/>
      <c r="AZ274" s="7"/>
      <c r="BA274" s="7"/>
      <c r="BB274" s="7"/>
      <c r="BC274" s="7"/>
      <c r="BF274" s="7"/>
      <c r="BG274" s="36"/>
      <c r="BH274" s="36"/>
      <c r="BI274" s="36"/>
      <c r="BJ274" s="36"/>
      <c r="BK274" s="36"/>
      <c r="BL274" s="36"/>
      <c r="BM274" s="36"/>
      <c r="BN274" s="36"/>
      <c r="BO274" s="36"/>
    </row>
    <row r="275" spans="1:67" x14ac:dyDescent="0.25">
      <c r="A275" s="39"/>
      <c r="B275" s="40"/>
      <c r="U275" s="36"/>
      <c r="V275" s="36"/>
      <c r="W275" s="35"/>
      <c r="X275" s="7"/>
      <c r="Y275" s="7"/>
      <c r="Z275" s="7"/>
      <c r="AA275" s="7"/>
      <c r="AB275" s="7"/>
      <c r="AC275" s="7"/>
      <c r="AD275" s="7"/>
      <c r="AE275" s="7"/>
      <c r="AG275" s="36"/>
      <c r="AH275" s="36"/>
      <c r="AI275" s="35"/>
      <c r="AJ275" s="7"/>
      <c r="AK275" s="7"/>
      <c r="AL275" s="7"/>
      <c r="AM275" s="7"/>
      <c r="AN275" s="7"/>
      <c r="AO275" s="7"/>
      <c r="AP275" s="7"/>
      <c r="AQ275" s="7"/>
      <c r="AS275" s="36"/>
      <c r="AT275" s="36"/>
      <c r="AU275" s="35"/>
      <c r="AV275" s="7"/>
      <c r="AW275" s="7"/>
      <c r="AX275" s="7"/>
      <c r="AY275" s="7"/>
      <c r="AZ275" s="7"/>
      <c r="BA275" s="7"/>
      <c r="BB275" s="7"/>
      <c r="BC275" s="7"/>
      <c r="BF275" s="7"/>
      <c r="BG275" s="36"/>
      <c r="BH275" s="36"/>
      <c r="BI275" s="36"/>
      <c r="BJ275" s="36"/>
      <c r="BK275" s="36"/>
      <c r="BL275" s="36"/>
      <c r="BM275" s="36"/>
      <c r="BN275" s="36"/>
      <c r="BO275" s="36"/>
    </row>
    <row r="276" spans="1:67" x14ac:dyDescent="0.25">
      <c r="A276" s="39"/>
      <c r="B276" s="40"/>
      <c r="U276" s="36"/>
      <c r="V276" s="36"/>
      <c r="W276" s="35"/>
      <c r="X276" s="7"/>
      <c r="Y276" s="7"/>
      <c r="Z276" s="7"/>
      <c r="AA276" s="7"/>
      <c r="AB276" s="7"/>
      <c r="AC276" s="7"/>
      <c r="AD276" s="7"/>
      <c r="AE276" s="7"/>
      <c r="AG276" s="36"/>
      <c r="AH276" s="36"/>
      <c r="AI276" s="35"/>
      <c r="AJ276" s="7"/>
      <c r="AK276" s="7"/>
      <c r="AL276" s="7"/>
      <c r="AM276" s="7"/>
      <c r="AN276" s="7"/>
      <c r="AO276" s="7"/>
      <c r="AP276" s="7"/>
      <c r="AQ276" s="7"/>
      <c r="AS276" s="36"/>
      <c r="AT276" s="36"/>
      <c r="AU276" s="35"/>
      <c r="AV276" s="7"/>
      <c r="AW276" s="7"/>
      <c r="AX276" s="7"/>
      <c r="AY276" s="7"/>
      <c r="AZ276" s="7"/>
      <c r="BA276" s="7"/>
      <c r="BB276" s="7"/>
      <c r="BC276" s="7"/>
      <c r="BF276" s="7"/>
      <c r="BG276" s="36"/>
      <c r="BH276" s="36"/>
      <c r="BI276" s="36"/>
      <c r="BJ276" s="36"/>
      <c r="BK276" s="36"/>
      <c r="BL276" s="36"/>
      <c r="BM276" s="36"/>
      <c r="BN276" s="36"/>
      <c r="BO276" s="36"/>
    </row>
    <row r="277" spans="1:67" x14ac:dyDescent="0.25">
      <c r="A277" s="39"/>
      <c r="B277" s="40"/>
      <c r="U277" s="36"/>
      <c r="V277" s="36"/>
      <c r="W277" s="35"/>
      <c r="X277" s="7"/>
      <c r="Y277" s="7"/>
      <c r="Z277" s="7"/>
      <c r="AA277" s="7"/>
      <c r="AB277" s="7"/>
      <c r="AC277" s="7"/>
      <c r="AD277" s="7"/>
      <c r="AE277" s="7"/>
      <c r="AG277" s="36"/>
      <c r="AH277" s="36"/>
      <c r="AI277" s="35"/>
      <c r="AJ277" s="7"/>
      <c r="AK277" s="7"/>
      <c r="AL277" s="7"/>
      <c r="AM277" s="7"/>
      <c r="AN277" s="7"/>
      <c r="AO277" s="7"/>
      <c r="AP277" s="7"/>
      <c r="AQ277" s="7"/>
      <c r="AS277" s="36"/>
      <c r="AT277" s="36"/>
      <c r="AU277" s="35"/>
      <c r="AV277" s="7"/>
      <c r="AW277" s="7"/>
      <c r="AX277" s="7"/>
      <c r="AY277" s="7"/>
      <c r="AZ277" s="7"/>
      <c r="BA277" s="7"/>
      <c r="BB277" s="7"/>
      <c r="BC277" s="7"/>
      <c r="BF277" s="7"/>
      <c r="BG277" s="36"/>
      <c r="BH277" s="36"/>
      <c r="BI277" s="36"/>
      <c r="BJ277" s="36"/>
      <c r="BK277" s="36"/>
      <c r="BL277" s="36"/>
      <c r="BM277" s="36"/>
      <c r="BN277" s="36"/>
      <c r="BO277" s="36"/>
    </row>
    <row r="278" spans="1:67" x14ac:dyDescent="0.25">
      <c r="A278" s="39"/>
      <c r="B278" s="40"/>
      <c r="U278" s="36"/>
      <c r="V278" s="36"/>
      <c r="W278" s="35"/>
      <c r="X278" s="7"/>
      <c r="Y278" s="7"/>
      <c r="Z278" s="7"/>
      <c r="AA278" s="7"/>
      <c r="AB278" s="7"/>
      <c r="AC278" s="7"/>
      <c r="AD278" s="7"/>
      <c r="AE278" s="7"/>
      <c r="AG278" s="36"/>
      <c r="AH278" s="36"/>
      <c r="AI278" s="35"/>
      <c r="AJ278" s="7"/>
      <c r="AK278" s="7"/>
      <c r="AL278" s="7"/>
      <c r="AM278" s="7"/>
      <c r="AN278" s="7"/>
      <c r="AO278" s="7"/>
      <c r="AP278" s="7"/>
      <c r="AQ278" s="7"/>
      <c r="AS278" s="36"/>
      <c r="AT278" s="36"/>
      <c r="AU278" s="35"/>
      <c r="AV278" s="7"/>
      <c r="AW278" s="7"/>
      <c r="AX278" s="7"/>
      <c r="AY278" s="7"/>
      <c r="AZ278" s="7"/>
      <c r="BA278" s="7"/>
      <c r="BB278" s="7"/>
      <c r="BC278" s="7"/>
      <c r="BF278" s="7"/>
      <c r="BG278" s="36"/>
      <c r="BH278" s="36"/>
      <c r="BI278" s="36"/>
      <c r="BJ278" s="36"/>
      <c r="BK278" s="36"/>
      <c r="BL278" s="36"/>
      <c r="BM278" s="36"/>
      <c r="BN278" s="36"/>
      <c r="BO278" s="36"/>
    </row>
    <row r="279" spans="1:67" x14ac:dyDescent="0.25">
      <c r="A279" s="39"/>
      <c r="B279" s="40"/>
      <c r="U279" s="36"/>
      <c r="V279" s="36"/>
      <c r="W279" s="35"/>
      <c r="X279" s="7"/>
      <c r="Y279" s="7"/>
      <c r="Z279" s="7"/>
      <c r="AA279" s="7"/>
      <c r="AB279" s="7"/>
      <c r="AC279" s="7"/>
      <c r="AD279" s="7"/>
      <c r="AE279" s="7"/>
      <c r="AG279" s="36"/>
      <c r="AH279" s="36"/>
      <c r="AI279" s="35"/>
      <c r="AJ279" s="7"/>
      <c r="AK279" s="7"/>
      <c r="AL279" s="7"/>
      <c r="AM279" s="7"/>
      <c r="AN279" s="7"/>
      <c r="AO279" s="7"/>
      <c r="AP279" s="7"/>
      <c r="AQ279" s="7"/>
      <c r="AS279" s="36"/>
      <c r="AT279" s="36"/>
      <c r="AU279" s="35"/>
      <c r="AV279" s="7"/>
      <c r="AW279" s="7"/>
      <c r="AX279" s="7"/>
      <c r="AY279" s="7"/>
      <c r="AZ279" s="7"/>
      <c r="BA279" s="7"/>
      <c r="BB279" s="7"/>
      <c r="BC279" s="7"/>
      <c r="BF279" s="7"/>
      <c r="BG279" s="36"/>
      <c r="BH279" s="36"/>
      <c r="BI279" s="36"/>
      <c r="BJ279" s="36"/>
      <c r="BK279" s="36"/>
      <c r="BL279" s="36"/>
      <c r="BM279" s="36"/>
      <c r="BN279" s="36"/>
      <c r="BO279" s="36"/>
    </row>
    <row r="280" spans="1:67" x14ac:dyDescent="0.25">
      <c r="A280" s="39"/>
      <c r="B280" s="40"/>
      <c r="U280" s="36"/>
      <c r="V280" s="36"/>
      <c r="W280" s="35"/>
      <c r="X280" s="7"/>
      <c r="Y280" s="7"/>
      <c r="Z280" s="7"/>
      <c r="AA280" s="7"/>
      <c r="AB280" s="7"/>
      <c r="AC280" s="7"/>
      <c r="AD280" s="7"/>
      <c r="AE280" s="7"/>
      <c r="AG280" s="36"/>
      <c r="AH280" s="36"/>
      <c r="AI280" s="35"/>
      <c r="AJ280" s="7"/>
      <c r="AK280" s="7"/>
      <c r="AL280" s="7"/>
      <c r="AM280" s="7"/>
      <c r="AN280" s="7"/>
      <c r="AO280" s="7"/>
      <c r="AP280" s="7"/>
      <c r="AQ280" s="7"/>
      <c r="AS280" s="36"/>
      <c r="AT280" s="36"/>
      <c r="AU280" s="35"/>
      <c r="AV280" s="7"/>
      <c r="AW280" s="7"/>
      <c r="AX280" s="7"/>
      <c r="AY280" s="7"/>
      <c r="AZ280" s="7"/>
      <c r="BA280" s="7"/>
      <c r="BB280" s="7"/>
      <c r="BC280" s="7"/>
      <c r="BF280" s="7"/>
      <c r="BG280" s="36"/>
      <c r="BH280" s="36"/>
      <c r="BI280" s="36"/>
      <c r="BJ280" s="36"/>
      <c r="BK280" s="36"/>
      <c r="BL280" s="36"/>
      <c r="BM280" s="36"/>
      <c r="BN280" s="36"/>
      <c r="BO280" s="36"/>
    </row>
    <row r="281" spans="1:67" x14ac:dyDescent="0.25">
      <c r="A281" s="39"/>
      <c r="B281" s="40"/>
      <c r="U281" s="36"/>
      <c r="V281" s="36"/>
      <c r="W281" s="35"/>
      <c r="X281" s="7"/>
      <c r="Y281" s="7"/>
      <c r="Z281" s="7"/>
      <c r="AA281" s="7"/>
      <c r="AB281" s="7"/>
      <c r="AC281" s="7"/>
      <c r="AD281" s="7"/>
      <c r="AE281" s="7"/>
      <c r="AG281" s="36"/>
      <c r="AH281" s="36"/>
      <c r="AI281" s="35"/>
      <c r="AJ281" s="7"/>
      <c r="AK281" s="7"/>
      <c r="AL281" s="7"/>
      <c r="AM281" s="7"/>
      <c r="AN281" s="7"/>
      <c r="AO281" s="7"/>
      <c r="AP281" s="7"/>
      <c r="AQ281" s="7"/>
      <c r="AS281" s="36"/>
      <c r="AT281" s="36"/>
      <c r="AU281" s="35"/>
      <c r="AV281" s="7"/>
      <c r="AW281" s="7"/>
      <c r="AX281" s="7"/>
      <c r="AY281" s="7"/>
      <c r="AZ281" s="7"/>
      <c r="BA281" s="7"/>
      <c r="BB281" s="7"/>
      <c r="BC281" s="7"/>
      <c r="BF281" s="7"/>
      <c r="BG281" s="36"/>
      <c r="BH281" s="36"/>
      <c r="BI281" s="36"/>
      <c r="BJ281" s="36"/>
      <c r="BK281" s="36"/>
      <c r="BL281" s="36"/>
      <c r="BM281" s="36"/>
      <c r="BN281" s="36"/>
      <c r="BO281" s="36"/>
    </row>
    <row r="282" spans="1:67" x14ac:dyDescent="0.25">
      <c r="A282" s="39"/>
      <c r="B282" s="40"/>
      <c r="U282" s="36"/>
      <c r="V282" s="36"/>
      <c r="W282" s="35"/>
      <c r="X282" s="7"/>
      <c r="Y282" s="7"/>
      <c r="Z282" s="7"/>
      <c r="AA282" s="7"/>
      <c r="AB282" s="7"/>
      <c r="AC282" s="7"/>
      <c r="AD282" s="7"/>
      <c r="AE282" s="7"/>
      <c r="AG282" s="36"/>
      <c r="AH282" s="36"/>
      <c r="AI282" s="35"/>
      <c r="AJ282" s="7"/>
      <c r="AK282" s="7"/>
      <c r="AL282" s="7"/>
      <c r="AM282" s="7"/>
      <c r="AN282" s="7"/>
      <c r="AO282" s="7"/>
      <c r="AP282" s="7"/>
      <c r="AQ282" s="7"/>
      <c r="AS282" s="36"/>
      <c r="AT282" s="36"/>
      <c r="AU282" s="35"/>
      <c r="AV282" s="7"/>
      <c r="AW282" s="7"/>
      <c r="AX282" s="7"/>
      <c r="AY282" s="7"/>
      <c r="AZ282" s="7"/>
      <c r="BA282" s="7"/>
      <c r="BB282" s="7"/>
      <c r="BC282" s="7"/>
      <c r="BF282" s="7"/>
      <c r="BG282" s="36"/>
      <c r="BH282" s="36"/>
      <c r="BI282" s="36"/>
      <c r="BJ282" s="36"/>
      <c r="BK282" s="36"/>
      <c r="BL282" s="36"/>
      <c r="BM282" s="36"/>
      <c r="BN282" s="36"/>
      <c r="BO282" s="36"/>
    </row>
    <row r="283" spans="1:67" x14ac:dyDescent="0.25">
      <c r="A283" s="39"/>
      <c r="B283" s="40"/>
      <c r="U283" s="36"/>
      <c r="V283" s="36"/>
      <c r="W283" s="35"/>
      <c r="X283" s="7"/>
      <c r="Y283" s="7"/>
      <c r="Z283" s="7"/>
      <c r="AA283" s="7"/>
      <c r="AB283" s="7"/>
      <c r="AC283" s="7"/>
      <c r="AD283" s="7"/>
      <c r="AE283" s="7"/>
      <c r="AG283" s="36"/>
      <c r="AH283" s="36"/>
      <c r="AI283" s="35"/>
      <c r="AJ283" s="7"/>
      <c r="AK283" s="7"/>
      <c r="AL283" s="7"/>
      <c r="AM283" s="7"/>
      <c r="AN283" s="7"/>
      <c r="AO283" s="7"/>
      <c r="AP283" s="7"/>
      <c r="AQ283" s="7"/>
      <c r="AS283" s="36"/>
      <c r="AT283" s="36"/>
      <c r="AU283" s="35"/>
      <c r="AV283" s="7"/>
      <c r="AW283" s="7"/>
      <c r="AX283" s="7"/>
      <c r="AY283" s="7"/>
      <c r="AZ283" s="7"/>
      <c r="BA283" s="7"/>
      <c r="BB283" s="7"/>
      <c r="BC283" s="7"/>
      <c r="BF283" s="7"/>
      <c r="BG283" s="36"/>
      <c r="BH283" s="36"/>
      <c r="BI283" s="36"/>
      <c r="BJ283" s="36"/>
      <c r="BK283" s="36"/>
      <c r="BL283" s="36"/>
      <c r="BM283" s="36"/>
      <c r="BN283" s="36"/>
      <c r="BO283" s="36"/>
    </row>
    <row r="284" spans="1:67" x14ac:dyDescent="0.25">
      <c r="A284" s="39"/>
      <c r="B284" s="40"/>
      <c r="U284" s="36"/>
      <c r="V284" s="36"/>
      <c r="W284" s="35"/>
      <c r="X284" s="7"/>
      <c r="Y284" s="7"/>
      <c r="Z284" s="7"/>
      <c r="AA284" s="7"/>
      <c r="AB284" s="7"/>
      <c r="AC284" s="7"/>
      <c r="AD284" s="7"/>
      <c r="AE284" s="7"/>
      <c r="AG284" s="36"/>
      <c r="AH284" s="36"/>
      <c r="AI284" s="35"/>
      <c r="AJ284" s="7"/>
      <c r="AK284" s="7"/>
      <c r="AL284" s="7"/>
      <c r="AM284" s="7"/>
      <c r="AN284" s="7"/>
      <c r="AO284" s="7"/>
      <c r="AP284" s="7"/>
      <c r="AQ284" s="7"/>
      <c r="AS284" s="36"/>
      <c r="AT284" s="36"/>
      <c r="AU284" s="35"/>
      <c r="AV284" s="7"/>
      <c r="AW284" s="7"/>
      <c r="AX284" s="7"/>
      <c r="AY284" s="7"/>
      <c r="AZ284" s="7"/>
      <c r="BA284" s="7"/>
      <c r="BB284" s="7"/>
      <c r="BC284" s="7"/>
      <c r="BF284" s="7"/>
      <c r="BG284" s="36"/>
      <c r="BH284" s="36"/>
      <c r="BI284" s="36"/>
      <c r="BJ284" s="36"/>
      <c r="BK284" s="36"/>
      <c r="BL284" s="36"/>
      <c r="BM284" s="36"/>
      <c r="BN284" s="36"/>
      <c r="BO284" s="36"/>
    </row>
    <row r="285" spans="1:67" x14ac:dyDescent="0.25">
      <c r="A285" s="39"/>
      <c r="B285" s="40"/>
      <c r="U285" s="36"/>
      <c r="V285" s="36"/>
      <c r="W285" s="35"/>
      <c r="X285" s="7"/>
      <c r="Y285" s="7"/>
      <c r="Z285" s="7"/>
      <c r="AA285" s="7"/>
      <c r="AB285" s="7"/>
      <c r="AC285" s="7"/>
      <c r="AD285" s="7"/>
      <c r="AE285" s="7"/>
      <c r="AG285" s="36"/>
      <c r="AH285" s="36"/>
      <c r="AI285" s="35"/>
      <c r="AJ285" s="7"/>
      <c r="AK285" s="7"/>
      <c r="AL285" s="7"/>
      <c r="AM285" s="7"/>
      <c r="AN285" s="7"/>
      <c r="AO285" s="7"/>
      <c r="AP285" s="7"/>
      <c r="AQ285" s="7"/>
      <c r="AS285" s="36"/>
      <c r="AT285" s="36"/>
      <c r="AU285" s="35"/>
      <c r="AV285" s="7"/>
      <c r="AW285" s="7"/>
      <c r="AX285" s="7"/>
      <c r="AY285" s="7"/>
      <c r="AZ285" s="7"/>
      <c r="BA285" s="7"/>
      <c r="BB285" s="7"/>
      <c r="BC285" s="7"/>
      <c r="BF285" s="7"/>
      <c r="BG285" s="36"/>
      <c r="BH285" s="36"/>
      <c r="BI285" s="36"/>
      <c r="BJ285" s="36"/>
      <c r="BK285" s="36"/>
      <c r="BL285" s="36"/>
      <c r="BM285" s="36"/>
      <c r="BN285" s="36"/>
      <c r="BO285" s="36"/>
    </row>
    <row r="286" spans="1:67" x14ac:dyDescent="0.25">
      <c r="A286" s="39"/>
      <c r="B286" s="40"/>
      <c r="U286" s="36"/>
      <c r="V286" s="36"/>
      <c r="W286" s="35"/>
      <c r="X286" s="7"/>
      <c r="Y286" s="7"/>
      <c r="Z286" s="7"/>
      <c r="AA286" s="7"/>
      <c r="AB286" s="7"/>
      <c r="AC286" s="7"/>
      <c r="AD286" s="7"/>
      <c r="AE286" s="7"/>
      <c r="AG286" s="36"/>
      <c r="AH286" s="36"/>
      <c r="AI286" s="35"/>
      <c r="AJ286" s="7"/>
      <c r="AK286" s="7"/>
      <c r="AL286" s="7"/>
      <c r="AM286" s="7"/>
      <c r="AN286" s="7"/>
      <c r="AO286" s="7"/>
      <c r="AP286" s="7"/>
      <c r="AQ286" s="7"/>
      <c r="AS286" s="36"/>
      <c r="AT286" s="36"/>
      <c r="AU286" s="35"/>
      <c r="AV286" s="7"/>
      <c r="AW286" s="7"/>
      <c r="AX286" s="7"/>
      <c r="AY286" s="7"/>
      <c r="AZ286" s="7"/>
      <c r="BA286" s="7"/>
      <c r="BB286" s="7"/>
      <c r="BC286" s="7"/>
      <c r="BF286" s="7"/>
      <c r="BG286" s="36"/>
      <c r="BH286" s="36"/>
      <c r="BI286" s="36"/>
      <c r="BJ286" s="36"/>
      <c r="BK286" s="36"/>
      <c r="BL286" s="36"/>
      <c r="BM286" s="36"/>
      <c r="BN286" s="36"/>
      <c r="BO286" s="36"/>
    </row>
    <row r="287" spans="1:67" x14ac:dyDescent="0.25">
      <c r="A287" s="39"/>
      <c r="B287" s="40"/>
      <c r="U287" s="36"/>
      <c r="V287" s="36"/>
      <c r="W287" s="35"/>
      <c r="X287" s="7"/>
      <c r="Y287" s="7"/>
      <c r="Z287" s="7"/>
      <c r="AA287" s="7"/>
      <c r="AB287" s="7"/>
      <c r="AC287" s="7"/>
      <c r="AD287" s="7"/>
      <c r="AE287" s="7"/>
      <c r="AG287" s="36"/>
      <c r="AH287" s="36"/>
      <c r="AI287" s="35"/>
      <c r="AJ287" s="7"/>
      <c r="AK287" s="7"/>
      <c r="AL287" s="7"/>
      <c r="AM287" s="7"/>
      <c r="AN287" s="7"/>
      <c r="AO287" s="7"/>
      <c r="AP287" s="7"/>
      <c r="AQ287" s="7"/>
      <c r="AS287" s="36"/>
      <c r="AT287" s="36"/>
      <c r="AU287" s="35"/>
      <c r="AV287" s="7"/>
      <c r="AW287" s="7"/>
      <c r="AX287" s="7"/>
      <c r="AY287" s="7"/>
      <c r="AZ287" s="7"/>
      <c r="BA287" s="7"/>
      <c r="BB287" s="7"/>
      <c r="BC287" s="7"/>
      <c r="BF287" s="7"/>
      <c r="BG287" s="36"/>
      <c r="BH287" s="36"/>
      <c r="BI287" s="36"/>
      <c r="BJ287" s="36"/>
      <c r="BK287" s="36"/>
      <c r="BL287" s="36"/>
      <c r="BM287" s="36"/>
      <c r="BN287" s="36"/>
      <c r="BO287" s="36"/>
    </row>
    <row r="288" spans="1:67" x14ac:dyDescent="0.25">
      <c r="A288" s="39"/>
      <c r="B288" s="40"/>
      <c r="U288" s="36"/>
      <c r="V288" s="36"/>
      <c r="W288" s="35"/>
      <c r="X288" s="7"/>
      <c r="Y288" s="7"/>
      <c r="Z288" s="7"/>
      <c r="AA288" s="7"/>
      <c r="AB288" s="7"/>
      <c r="AC288" s="7"/>
      <c r="AD288" s="7"/>
      <c r="AE288" s="7"/>
      <c r="AG288" s="36"/>
      <c r="AH288" s="36"/>
      <c r="AI288" s="35"/>
      <c r="AJ288" s="7"/>
      <c r="AK288" s="7"/>
      <c r="AL288" s="7"/>
      <c r="AM288" s="7"/>
      <c r="AN288" s="7"/>
      <c r="AO288" s="7"/>
      <c r="AP288" s="7"/>
      <c r="AQ288" s="7"/>
      <c r="AS288" s="36"/>
      <c r="AT288" s="36"/>
      <c r="AU288" s="35"/>
      <c r="AV288" s="7"/>
      <c r="AW288" s="7"/>
      <c r="AX288" s="7"/>
      <c r="AY288" s="7"/>
      <c r="AZ288" s="7"/>
      <c r="BA288" s="7"/>
      <c r="BB288" s="7"/>
      <c r="BC288" s="7"/>
      <c r="BF288" s="7"/>
      <c r="BG288" s="36"/>
      <c r="BH288" s="36"/>
      <c r="BI288" s="36"/>
      <c r="BJ288" s="36"/>
      <c r="BK288" s="36"/>
      <c r="BL288" s="36"/>
      <c r="BM288" s="36"/>
      <c r="BN288" s="36"/>
      <c r="BO288" s="36"/>
    </row>
    <row r="289" spans="1:67" x14ac:dyDescent="0.25">
      <c r="A289" s="39"/>
      <c r="B289" s="40"/>
      <c r="U289" s="36"/>
      <c r="V289" s="36"/>
      <c r="W289" s="35"/>
      <c r="X289" s="7"/>
      <c r="Y289" s="7"/>
      <c r="Z289" s="7"/>
      <c r="AA289" s="7"/>
      <c r="AB289" s="7"/>
      <c r="AC289" s="7"/>
      <c r="AD289" s="7"/>
      <c r="AE289" s="7"/>
      <c r="AG289" s="36"/>
      <c r="AH289" s="36"/>
      <c r="AI289" s="35"/>
      <c r="AJ289" s="7"/>
      <c r="AK289" s="7"/>
      <c r="AL289" s="7"/>
      <c r="AM289" s="7"/>
      <c r="AN289" s="7"/>
      <c r="AO289" s="7"/>
      <c r="AP289" s="7"/>
      <c r="AQ289" s="7"/>
      <c r="AS289" s="36"/>
      <c r="AT289" s="36"/>
      <c r="AU289" s="35"/>
      <c r="AV289" s="7"/>
      <c r="AW289" s="7"/>
      <c r="AX289" s="7"/>
      <c r="AY289" s="7"/>
      <c r="AZ289" s="7"/>
      <c r="BA289" s="7"/>
      <c r="BB289" s="7"/>
      <c r="BC289" s="7"/>
      <c r="BF289" s="7"/>
      <c r="BG289" s="36"/>
      <c r="BH289" s="36"/>
      <c r="BI289" s="36"/>
      <c r="BJ289" s="36"/>
      <c r="BK289" s="36"/>
      <c r="BL289" s="36"/>
      <c r="BM289" s="36"/>
      <c r="BN289" s="36"/>
      <c r="BO289" s="36"/>
    </row>
    <row r="290" spans="1:67" x14ac:dyDescent="0.25">
      <c r="A290" s="39"/>
      <c r="B290" s="40"/>
      <c r="U290" s="36"/>
      <c r="V290" s="36"/>
      <c r="W290" s="35"/>
      <c r="X290" s="7"/>
      <c r="Y290" s="7"/>
      <c r="Z290" s="7"/>
      <c r="AA290" s="7"/>
      <c r="AB290" s="7"/>
      <c r="AC290" s="7"/>
      <c r="AD290" s="7"/>
      <c r="AE290" s="7"/>
      <c r="AG290" s="36"/>
      <c r="AH290" s="36"/>
      <c r="AI290" s="35"/>
      <c r="AJ290" s="7"/>
      <c r="AK290" s="7"/>
      <c r="AL290" s="7"/>
      <c r="AM290" s="7"/>
      <c r="AN290" s="7"/>
      <c r="AO290" s="7"/>
      <c r="AP290" s="7"/>
      <c r="AQ290" s="7"/>
      <c r="AS290" s="36"/>
      <c r="AT290" s="36"/>
      <c r="AU290" s="35"/>
      <c r="AV290" s="7"/>
      <c r="AW290" s="7"/>
      <c r="AX290" s="7"/>
      <c r="AY290" s="7"/>
      <c r="AZ290" s="7"/>
      <c r="BA290" s="7"/>
      <c r="BB290" s="7"/>
      <c r="BC290" s="7"/>
      <c r="BF290" s="7"/>
      <c r="BG290" s="36"/>
      <c r="BH290" s="36"/>
      <c r="BI290" s="36"/>
      <c r="BJ290" s="36"/>
      <c r="BK290" s="36"/>
      <c r="BL290" s="36"/>
      <c r="BM290" s="36"/>
      <c r="BN290" s="36"/>
      <c r="BO290" s="36"/>
    </row>
    <row r="291" spans="1:67" x14ac:dyDescent="0.25">
      <c r="A291" s="39"/>
      <c r="B291" s="40"/>
      <c r="U291" s="36"/>
      <c r="V291" s="36"/>
      <c r="W291" s="35"/>
      <c r="X291" s="7"/>
      <c r="Y291" s="7"/>
      <c r="Z291" s="7"/>
      <c r="AA291" s="7"/>
      <c r="AB291" s="7"/>
      <c r="AC291" s="7"/>
      <c r="AD291" s="7"/>
      <c r="AE291" s="7"/>
      <c r="AG291" s="36"/>
      <c r="AH291" s="36"/>
      <c r="AI291" s="35"/>
      <c r="AJ291" s="7"/>
      <c r="AK291" s="7"/>
      <c r="AL291" s="7"/>
      <c r="AM291" s="7"/>
      <c r="AN291" s="7"/>
      <c r="AO291" s="7"/>
      <c r="AP291" s="7"/>
      <c r="AQ291" s="7"/>
      <c r="AS291" s="36"/>
      <c r="AT291" s="36"/>
      <c r="AU291" s="35"/>
      <c r="AV291" s="7"/>
      <c r="AW291" s="7"/>
      <c r="AX291" s="7"/>
      <c r="AY291" s="7"/>
      <c r="AZ291" s="7"/>
      <c r="BA291" s="7"/>
      <c r="BB291" s="7"/>
      <c r="BC291" s="7"/>
      <c r="BF291" s="7"/>
      <c r="BG291" s="36"/>
      <c r="BH291" s="36"/>
      <c r="BI291" s="36"/>
      <c r="BJ291" s="36"/>
      <c r="BK291" s="36"/>
      <c r="BL291" s="36"/>
      <c r="BM291" s="36"/>
      <c r="BN291" s="36"/>
      <c r="BO291" s="36"/>
    </row>
    <row r="292" spans="1:67" x14ac:dyDescent="0.25">
      <c r="A292" s="39"/>
      <c r="B292" s="40"/>
      <c r="U292" s="36"/>
      <c r="V292" s="36"/>
      <c r="W292" s="35"/>
      <c r="X292" s="7"/>
      <c r="Y292" s="7"/>
      <c r="Z292" s="7"/>
      <c r="AA292" s="7"/>
      <c r="AB292" s="7"/>
      <c r="AC292" s="7"/>
      <c r="AD292" s="7"/>
      <c r="AE292" s="7"/>
      <c r="AG292" s="36"/>
      <c r="AH292" s="36"/>
      <c r="AI292" s="35"/>
      <c r="AJ292" s="7"/>
      <c r="AK292" s="7"/>
      <c r="AL292" s="7"/>
      <c r="AM292" s="7"/>
      <c r="AN292" s="7"/>
      <c r="AO292" s="7"/>
      <c r="AP292" s="7"/>
      <c r="AQ292" s="7"/>
      <c r="AS292" s="36"/>
      <c r="AT292" s="36"/>
      <c r="AU292" s="35"/>
      <c r="AV292" s="7"/>
      <c r="AW292" s="7"/>
      <c r="AX292" s="7"/>
      <c r="AY292" s="7"/>
      <c r="AZ292" s="7"/>
      <c r="BA292" s="7"/>
      <c r="BB292" s="7"/>
      <c r="BC292" s="7"/>
      <c r="BF292" s="7"/>
      <c r="BG292" s="36"/>
      <c r="BH292" s="36"/>
      <c r="BI292" s="36"/>
      <c r="BJ292" s="36"/>
      <c r="BK292" s="36"/>
      <c r="BL292" s="36"/>
      <c r="BM292" s="36"/>
      <c r="BN292" s="36"/>
      <c r="BO292" s="36"/>
    </row>
    <row r="293" spans="1:67" x14ac:dyDescent="0.25">
      <c r="A293" s="39"/>
      <c r="B293" s="40"/>
      <c r="U293" s="36"/>
      <c r="V293" s="36"/>
      <c r="W293" s="35"/>
      <c r="X293" s="7"/>
      <c r="Y293" s="7"/>
      <c r="Z293" s="7"/>
      <c r="AA293" s="7"/>
      <c r="AB293" s="7"/>
      <c r="AC293" s="7"/>
      <c r="AD293" s="7"/>
      <c r="AE293" s="7"/>
      <c r="AG293" s="36"/>
      <c r="AH293" s="36"/>
      <c r="AI293" s="35"/>
      <c r="AJ293" s="7"/>
      <c r="AK293" s="7"/>
      <c r="AL293" s="7"/>
      <c r="AM293" s="7"/>
      <c r="AN293" s="7"/>
      <c r="AO293" s="7"/>
      <c r="AP293" s="7"/>
      <c r="AQ293" s="7"/>
      <c r="AS293" s="36"/>
      <c r="AT293" s="36"/>
      <c r="AU293" s="35"/>
      <c r="AV293" s="7"/>
      <c r="AW293" s="7"/>
      <c r="AX293" s="7"/>
      <c r="AY293" s="7"/>
      <c r="AZ293" s="7"/>
      <c r="BA293" s="7"/>
      <c r="BB293" s="7"/>
      <c r="BC293" s="7"/>
      <c r="BF293" s="7"/>
      <c r="BG293" s="36"/>
      <c r="BH293" s="36"/>
      <c r="BI293" s="36"/>
      <c r="BJ293" s="36"/>
      <c r="BK293" s="36"/>
      <c r="BL293" s="36"/>
      <c r="BM293" s="36"/>
      <c r="BN293" s="36"/>
      <c r="BO293" s="36"/>
    </row>
    <row r="294" spans="1:67" x14ac:dyDescent="0.25">
      <c r="A294" s="39"/>
      <c r="B294" s="40"/>
      <c r="U294" s="36"/>
      <c r="V294" s="36"/>
      <c r="W294" s="35"/>
      <c r="X294" s="7"/>
      <c r="Y294" s="7"/>
      <c r="Z294" s="7"/>
      <c r="AA294" s="7"/>
      <c r="AB294" s="7"/>
      <c r="AC294" s="7"/>
      <c r="AD294" s="7"/>
      <c r="AE294" s="7"/>
      <c r="AG294" s="36"/>
      <c r="AH294" s="36"/>
      <c r="AI294" s="35"/>
      <c r="AJ294" s="7"/>
      <c r="AK294" s="7"/>
      <c r="AL294" s="7"/>
      <c r="AM294" s="7"/>
      <c r="AN294" s="7"/>
      <c r="AO294" s="7"/>
      <c r="AP294" s="7"/>
      <c r="AQ294" s="7"/>
      <c r="AS294" s="36"/>
      <c r="AT294" s="36"/>
      <c r="AU294" s="35"/>
      <c r="AV294" s="7"/>
      <c r="AW294" s="7"/>
      <c r="AX294" s="7"/>
      <c r="AY294" s="7"/>
      <c r="AZ294" s="7"/>
      <c r="BA294" s="7"/>
      <c r="BB294" s="7"/>
      <c r="BC294" s="7"/>
      <c r="BF294" s="7"/>
      <c r="BG294" s="36"/>
      <c r="BH294" s="36"/>
      <c r="BI294" s="36"/>
      <c r="BJ294" s="36"/>
      <c r="BK294" s="36"/>
      <c r="BL294" s="36"/>
      <c r="BM294" s="36"/>
      <c r="BN294" s="36"/>
      <c r="BO294" s="36"/>
    </row>
    <row r="295" spans="1:67" x14ac:dyDescent="0.25">
      <c r="A295" s="39"/>
      <c r="B295" s="40"/>
      <c r="U295" s="36"/>
      <c r="V295" s="36"/>
      <c r="W295" s="35"/>
      <c r="X295" s="7"/>
      <c r="Y295" s="7"/>
      <c r="Z295" s="7"/>
      <c r="AA295" s="7"/>
      <c r="AB295" s="7"/>
      <c r="AC295" s="7"/>
      <c r="AD295" s="7"/>
      <c r="AE295" s="7"/>
      <c r="AG295" s="36"/>
      <c r="AH295" s="36"/>
      <c r="AI295" s="35"/>
      <c r="AJ295" s="7"/>
      <c r="AK295" s="7"/>
      <c r="AL295" s="7"/>
      <c r="AM295" s="7"/>
      <c r="AN295" s="7"/>
      <c r="AO295" s="7"/>
      <c r="AP295" s="7"/>
      <c r="AQ295" s="7"/>
      <c r="AS295" s="36"/>
      <c r="AT295" s="36"/>
      <c r="AU295" s="35"/>
      <c r="AV295" s="7"/>
      <c r="AW295" s="7"/>
      <c r="AX295" s="7"/>
      <c r="AY295" s="7"/>
      <c r="AZ295" s="7"/>
      <c r="BA295" s="7"/>
      <c r="BB295" s="7"/>
      <c r="BC295" s="7"/>
      <c r="BF295" s="7"/>
      <c r="BG295" s="36"/>
      <c r="BH295" s="36"/>
      <c r="BI295" s="36"/>
      <c r="BJ295" s="36"/>
      <c r="BK295" s="36"/>
      <c r="BL295" s="36"/>
      <c r="BM295" s="36"/>
      <c r="BN295" s="36"/>
      <c r="BO295" s="36"/>
    </row>
    <row r="296" spans="1:67" x14ac:dyDescent="0.25">
      <c r="A296" s="39"/>
      <c r="B296" s="40"/>
      <c r="U296" s="36"/>
      <c r="V296" s="36"/>
      <c r="W296" s="35"/>
      <c r="X296" s="7"/>
      <c r="Y296" s="7"/>
      <c r="Z296" s="7"/>
      <c r="AA296" s="7"/>
      <c r="AB296" s="7"/>
      <c r="AC296" s="7"/>
      <c r="AD296" s="7"/>
      <c r="AE296" s="7"/>
      <c r="AG296" s="36"/>
      <c r="AH296" s="36"/>
      <c r="AI296" s="35"/>
      <c r="AJ296" s="7"/>
      <c r="AK296" s="7"/>
      <c r="AL296" s="7"/>
      <c r="AM296" s="7"/>
      <c r="AN296" s="7"/>
      <c r="AO296" s="7"/>
      <c r="AP296" s="7"/>
      <c r="AQ296" s="7"/>
      <c r="AS296" s="36"/>
      <c r="AT296" s="36"/>
      <c r="AU296" s="35"/>
      <c r="AV296" s="7"/>
      <c r="AW296" s="7"/>
      <c r="AX296" s="7"/>
      <c r="AY296" s="7"/>
      <c r="AZ296" s="7"/>
      <c r="BA296" s="7"/>
      <c r="BB296" s="7"/>
      <c r="BC296" s="7"/>
      <c r="BF296" s="7"/>
      <c r="BG296" s="36"/>
      <c r="BH296" s="36"/>
      <c r="BI296" s="36"/>
      <c r="BJ296" s="36"/>
      <c r="BK296" s="36"/>
      <c r="BL296" s="36"/>
      <c r="BM296" s="36"/>
      <c r="BN296" s="36"/>
      <c r="BO296" s="36"/>
    </row>
    <row r="297" spans="1:67" x14ac:dyDescent="0.25">
      <c r="A297" s="39"/>
      <c r="B297" s="40"/>
      <c r="U297" s="36"/>
      <c r="V297" s="36"/>
      <c r="W297" s="35"/>
      <c r="X297" s="7"/>
      <c r="Y297" s="7"/>
      <c r="Z297" s="7"/>
      <c r="AA297" s="7"/>
      <c r="AB297" s="7"/>
      <c r="AC297" s="7"/>
      <c r="AD297" s="7"/>
      <c r="AE297" s="7"/>
      <c r="AG297" s="36"/>
      <c r="AH297" s="36"/>
      <c r="AI297" s="35"/>
      <c r="AJ297" s="7"/>
      <c r="AK297" s="7"/>
      <c r="AL297" s="7"/>
      <c r="AM297" s="7"/>
      <c r="AN297" s="7"/>
      <c r="AO297" s="7"/>
      <c r="AP297" s="7"/>
      <c r="AQ297" s="7"/>
      <c r="AS297" s="36"/>
      <c r="AT297" s="36"/>
      <c r="AU297" s="35"/>
      <c r="AV297" s="7"/>
      <c r="AW297" s="7"/>
      <c r="AX297" s="7"/>
      <c r="AY297" s="7"/>
      <c r="AZ297" s="7"/>
      <c r="BA297" s="7"/>
      <c r="BB297" s="7"/>
      <c r="BC297" s="7"/>
      <c r="BF297" s="7"/>
      <c r="BG297" s="36"/>
      <c r="BH297" s="36"/>
      <c r="BI297" s="36"/>
      <c r="BJ297" s="36"/>
      <c r="BK297" s="36"/>
      <c r="BL297" s="36"/>
      <c r="BM297" s="36"/>
      <c r="BN297" s="36"/>
      <c r="BO297" s="36"/>
    </row>
    <row r="298" spans="1:67" x14ac:dyDescent="0.25">
      <c r="A298" s="39"/>
      <c r="B298" s="40"/>
      <c r="U298" s="36"/>
      <c r="V298" s="36"/>
      <c r="W298" s="35"/>
      <c r="X298" s="7"/>
      <c r="Y298" s="7"/>
      <c r="Z298" s="7"/>
      <c r="AA298" s="7"/>
      <c r="AB298" s="7"/>
      <c r="AC298" s="7"/>
      <c r="AD298" s="7"/>
      <c r="AE298" s="7"/>
      <c r="AG298" s="36"/>
      <c r="AH298" s="36"/>
      <c r="AI298" s="35"/>
      <c r="AJ298" s="7"/>
      <c r="AK298" s="7"/>
      <c r="AL298" s="7"/>
      <c r="AM298" s="7"/>
      <c r="AN298" s="7"/>
      <c r="AO298" s="7"/>
      <c r="AP298" s="7"/>
      <c r="AQ298" s="7"/>
      <c r="AS298" s="36"/>
      <c r="AT298" s="36"/>
      <c r="AU298" s="35"/>
      <c r="AV298" s="7"/>
      <c r="AW298" s="7"/>
      <c r="AX298" s="7"/>
      <c r="AY298" s="7"/>
      <c r="AZ298" s="7"/>
      <c r="BA298" s="7"/>
      <c r="BB298" s="7"/>
      <c r="BC298" s="7"/>
      <c r="BF298" s="7"/>
      <c r="BG298" s="36"/>
      <c r="BH298" s="36"/>
      <c r="BI298" s="36"/>
      <c r="BJ298" s="36"/>
      <c r="BK298" s="36"/>
      <c r="BL298" s="36"/>
      <c r="BM298" s="36"/>
      <c r="BN298" s="36"/>
      <c r="BO298" s="36"/>
    </row>
    <row r="299" spans="1:67" x14ac:dyDescent="0.25">
      <c r="A299" s="39"/>
      <c r="B299" s="40"/>
      <c r="U299" s="36"/>
      <c r="V299" s="36"/>
      <c r="W299" s="35"/>
      <c r="X299" s="7"/>
      <c r="Y299" s="7"/>
      <c r="Z299" s="7"/>
      <c r="AA299" s="7"/>
      <c r="AB299" s="7"/>
      <c r="AC299" s="7"/>
      <c r="AD299" s="7"/>
      <c r="AE299" s="7"/>
      <c r="AG299" s="36"/>
      <c r="AH299" s="36"/>
      <c r="AI299" s="35"/>
      <c r="AJ299" s="7"/>
      <c r="AK299" s="7"/>
      <c r="AL299" s="7"/>
      <c r="AM299" s="7"/>
      <c r="AN299" s="7"/>
      <c r="AO299" s="7"/>
      <c r="AP299" s="7"/>
      <c r="AQ299" s="7"/>
      <c r="AS299" s="36"/>
      <c r="AT299" s="36"/>
      <c r="AU299" s="35"/>
      <c r="AV299" s="7"/>
      <c r="AW299" s="7"/>
      <c r="AX299" s="7"/>
      <c r="AY299" s="7"/>
      <c r="AZ299" s="7"/>
      <c r="BA299" s="7"/>
      <c r="BB299" s="7"/>
      <c r="BC299" s="7"/>
      <c r="BF299" s="7"/>
      <c r="BG299" s="36"/>
      <c r="BH299" s="36"/>
      <c r="BI299" s="36"/>
      <c r="BJ299" s="36"/>
      <c r="BK299" s="36"/>
      <c r="BL299" s="36"/>
      <c r="BM299" s="36"/>
      <c r="BN299" s="36"/>
      <c r="BO299" s="36"/>
    </row>
    <row r="300" spans="1:67" x14ac:dyDescent="0.25">
      <c r="A300" s="39"/>
      <c r="B300" s="40"/>
      <c r="U300" s="36"/>
      <c r="V300" s="36"/>
      <c r="W300" s="35"/>
      <c r="X300" s="7"/>
      <c r="Y300" s="7"/>
      <c r="Z300" s="7"/>
      <c r="AA300" s="7"/>
      <c r="AB300" s="7"/>
      <c r="AC300" s="7"/>
      <c r="AD300" s="7"/>
      <c r="AE300" s="7"/>
      <c r="AG300" s="36"/>
      <c r="AH300" s="36"/>
      <c r="AI300" s="35"/>
      <c r="AJ300" s="7"/>
      <c r="AK300" s="7"/>
      <c r="AL300" s="7"/>
      <c r="AM300" s="7"/>
      <c r="AN300" s="7"/>
      <c r="AO300" s="7"/>
      <c r="AP300" s="7"/>
      <c r="AQ300" s="7"/>
      <c r="AS300" s="36"/>
      <c r="AT300" s="36"/>
      <c r="AU300" s="35"/>
      <c r="AV300" s="7"/>
      <c r="AW300" s="7"/>
      <c r="AX300" s="7"/>
      <c r="AY300" s="7"/>
      <c r="AZ300" s="7"/>
      <c r="BA300" s="7"/>
      <c r="BB300" s="7"/>
      <c r="BC300" s="7"/>
      <c r="BF300" s="7"/>
      <c r="BG300" s="36"/>
      <c r="BH300" s="36"/>
      <c r="BI300" s="36"/>
      <c r="BJ300" s="36"/>
      <c r="BK300" s="36"/>
      <c r="BL300" s="36"/>
      <c r="BM300" s="36"/>
      <c r="BN300" s="36"/>
      <c r="BO300" s="36"/>
    </row>
    <row r="301" spans="1:67" x14ac:dyDescent="0.25">
      <c r="A301" s="39"/>
      <c r="B301" s="40"/>
      <c r="U301" s="36"/>
      <c r="V301" s="36"/>
      <c r="W301" s="35"/>
      <c r="X301" s="7"/>
      <c r="Y301" s="7"/>
      <c r="Z301" s="7"/>
      <c r="AA301" s="7"/>
      <c r="AB301" s="7"/>
      <c r="AC301" s="7"/>
      <c r="AD301" s="7"/>
      <c r="AE301" s="7"/>
      <c r="AG301" s="36"/>
      <c r="AH301" s="36"/>
      <c r="AI301" s="35"/>
      <c r="AJ301" s="7"/>
      <c r="AK301" s="7"/>
      <c r="AL301" s="7"/>
      <c r="AM301" s="7"/>
      <c r="AN301" s="7"/>
      <c r="AO301" s="7"/>
      <c r="AP301" s="7"/>
      <c r="AQ301" s="7"/>
      <c r="AS301" s="36"/>
      <c r="AT301" s="36"/>
      <c r="AU301" s="35"/>
      <c r="AV301" s="7"/>
      <c r="AW301" s="7"/>
      <c r="AX301" s="7"/>
      <c r="AY301" s="7"/>
      <c r="AZ301" s="7"/>
      <c r="BA301" s="7"/>
      <c r="BB301" s="7"/>
      <c r="BC301" s="7"/>
      <c r="BF301" s="7"/>
      <c r="BG301" s="36"/>
      <c r="BH301" s="36"/>
      <c r="BI301" s="36"/>
      <c r="BJ301" s="36"/>
      <c r="BK301" s="36"/>
      <c r="BL301" s="36"/>
      <c r="BM301" s="36"/>
      <c r="BN301" s="36"/>
      <c r="BO301" s="36"/>
    </row>
    <row r="302" spans="1:67" x14ac:dyDescent="0.25">
      <c r="A302" s="39"/>
      <c r="B302" s="40"/>
      <c r="U302" s="36"/>
      <c r="V302" s="36"/>
      <c r="W302" s="35"/>
      <c r="X302" s="7"/>
      <c r="Y302" s="7"/>
      <c r="Z302" s="7"/>
      <c r="AA302" s="7"/>
      <c r="AB302" s="7"/>
      <c r="AC302" s="7"/>
      <c r="AD302" s="7"/>
      <c r="AE302" s="7"/>
      <c r="AG302" s="36"/>
      <c r="AH302" s="36"/>
      <c r="AI302" s="35"/>
      <c r="AJ302" s="7"/>
      <c r="AK302" s="7"/>
      <c r="AL302" s="7"/>
      <c r="AM302" s="7"/>
      <c r="AN302" s="7"/>
      <c r="AO302" s="7"/>
      <c r="AP302" s="7"/>
      <c r="AQ302" s="7"/>
      <c r="AS302" s="36"/>
      <c r="AT302" s="36"/>
      <c r="AU302" s="35"/>
      <c r="AV302" s="7"/>
      <c r="AW302" s="7"/>
      <c r="AX302" s="7"/>
      <c r="AY302" s="7"/>
      <c r="AZ302" s="7"/>
      <c r="BA302" s="7"/>
      <c r="BB302" s="7"/>
      <c r="BC302" s="7"/>
      <c r="BF302" s="7"/>
      <c r="BG302" s="36"/>
      <c r="BH302" s="36"/>
      <c r="BI302" s="36"/>
      <c r="BJ302" s="36"/>
      <c r="BK302" s="36"/>
      <c r="BL302" s="36"/>
      <c r="BM302" s="36"/>
      <c r="BN302" s="36"/>
      <c r="BO302" s="36"/>
    </row>
    <row r="303" spans="1:67" x14ac:dyDescent="0.25">
      <c r="A303" s="39"/>
      <c r="B303" s="40"/>
      <c r="U303" s="36"/>
      <c r="V303" s="36"/>
      <c r="W303" s="35"/>
      <c r="X303" s="7"/>
      <c r="Y303" s="7"/>
      <c r="Z303" s="7"/>
      <c r="AA303" s="7"/>
      <c r="AB303" s="7"/>
      <c r="AC303" s="7"/>
      <c r="AD303" s="7"/>
      <c r="AE303" s="7"/>
      <c r="AG303" s="36"/>
      <c r="AH303" s="36"/>
      <c r="AI303" s="35"/>
      <c r="AJ303" s="7"/>
      <c r="AK303" s="7"/>
      <c r="AL303" s="7"/>
      <c r="AM303" s="7"/>
      <c r="AN303" s="7"/>
      <c r="AO303" s="7"/>
      <c r="AP303" s="7"/>
      <c r="AQ303" s="7"/>
      <c r="AS303" s="36"/>
      <c r="AT303" s="36"/>
      <c r="AU303" s="35"/>
      <c r="AV303" s="7"/>
      <c r="AW303" s="7"/>
      <c r="AX303" s="7"/>
      <c r="AY303" s="7"/>
      <c r="AZ303" s="7"/>
      <c r="BA303" s="7"/>
      <c r="BB303" s="7"/>
      <c r="BC303" s="7"/>
      <c r="BF303" s="7"/>
      <c r="BG303" s="36"/>
      <c r="BH303" s="36"/>
      <c r="BI303" s="36"/>
      <c r="BJ303" s="36"/>
      <c r="BK303" s="36"/>
      <c r="BL303" s="36"/>
      <c r="BM303" s="36"/>
      <c r="BN303" s="36"/>
      <c r="BO303" s="36"/>
    </row>
    <row r="304" spans="1:67" x14ac:dyDescent="0.25">
      <c r="A304" s="39"/>
      <c r="B304" s="40"/>
      <c r="U304" s="36"/>
      <c r="V304" s="36"/>
      <c r="W304" s="35"/>
      <c r="X304" s="7"/>
      <c r="Y304" s="7"/>
      <c r="Z304" s="7"/>
      <c r="AA304" s="7"/>
      <c r="AB304" s="7"/>
      <c r="AC304" s="7"/>
      <c r="AD304" s="7"/>
      <c r="AE304" s="7"/>
      <c r="AG304" s="36"/>
      <c r="AH304" s="36"/>
      <c r="AI304" s="35"/>
      <c r="AJ304" s="7"/>
      <c r="AK304" s="7"/>
      <c r="AL304" s="7"/>
      <c r="AM304" s="7"/>
      <c r="AN304" s="7"/>
      <c r="AO304" s="7"/>
      <c r="AP304" s="7"/>
      <c r="AQ304" s="7"/>
      <c r="AS304" s="36"/>
      <c r="AT304" s="36"/>
      <c r="AU304" s="35"/>
      <c r="AV304" s="7"/>
      <c r="AW304" s="7"/>
      <c r="AX304" s="7"/>
      <c r="AY304" s="7"/>
      <c r="AZ304" s="7"/>
      <c r="BA304" s="7"/>
      <c r="BB304" s="7"/>
      <c r="BC304" s="7"/>
      <c r="BF304" s="7"/>
      <c r="BG304" s="36"/>
      <c r="BH304" s="36"/>
      <c r="BI304" s="36"/>
      <c r="BJ304" s="36"/>
      <c r="BK304" s="36"/>
      <c r="BL304" s="36"/>
      <c r="BM304" s="36"/>
      <c r="BN304" s="36"/>
      <c r="BO304" s="36"/>
    </row>
    <row r="305" spans="1:67" x14ac:dyDescent="0.25">
      <c r="A305" s="39"/>
      <c r="B305" s="40"/>
      <c r="U305" s="36"/>
      <c r="V305" s="36"/>
      <c r="W305" s="35"/>
      <c r="X305" s="7"/>
      <c r="Y305" s="7"/>
      <c r="Z305" s="7"/>
      <c r="AA305" s="7"/>
      <c r="AB305" s="7"/>
      <c r="AC305" s="7"/>
      <c r="AD305" s="7"/>
      <c r="AE305" s="7"/>
      <c r="AG305" s="36"/>
      <c r="AH305" s="36"/>
      <c r="AI305" s="35"/>
      <c r="AJ305" s="7"/>
      <c r="AK305" s="7"/>
      <c r="AL305" s="7"/>
      <c r="AM305" s="7"/>
      <c r="AN305" s="7"/>
      <c r="AO305" s="7"/>
      <c r="AP305" s="7"/>
      <c r="AQ305" s="7"/>
      <c r="AS305" s="36"/>
      <c r="AT305" s="36"/>
      <c r="AU305" s="35"/>
      <c r="AV305" s="7"/>
      <c r="AW305" s="7"/>
      <c r="AX305" s="7"/>
      <c r="AY305" s="7"/>
      <c r="AZ305" s="7"/>
      <c r="BA305" s="7"/>
      <c r="BB305" s="7"/>
      <c r="BC305" s="7"/>
      <c r="BF305" s="7"/>
      <c r="BG305" s="36"/>
      <c r="BH305" s="36"/>
      <c r="BI305" s="36"/>
      <c r="BJ305" s="36"/>
      <c r="BK305" s="36"/>
      <c r="BL305" s="36"/>
      <c r="BM305" s="36"/>
      <c r="BN305" s="36"/>
      <c r="BO305" s="36"/>
    </row>
    <row r="306" spans="1:67" x14ac:dyDescent="0.25">
      <c r="A306" s="39"/>
      <c r="B306" s="40"/>
      <c r="U306" s="36"/>
      <c r="V306" s="36"/>
      <c r="W306" s="35"/>
      <c r="X306" s="7"/>
      <c r="Y306" s="7"/>
      <c r="Z306" s="7"/>
      <c r="AA306" s="7"/>
      <c r="AB306" s="7"/>
      <c r="AC306" s="7"/>
      <c r="AD306" s="7"/>
      <c r="AE306" s="7"/>
      <c r="AG306" s="36"/>
      <c r="AH306" s="36"/>
      <c r="AI306" s="35"/>
      <c r="AJ306" s="7"/>
      <c r="AK306" s="7"/>
      <c r="AL306" s="7"/>
      <c r="AM306" s="7"/>
      <c r="AN306" s="7"/>
      <c r="AO306" s="7"/>
      <c r="AP306" s="7"/>
      <c r="AQ306" s="7"/>
      <c r="AS306" s="36"/>
      <c r="AT306" s="36"/>
      <c r="AU306" s="35"/>
      <c r="AV306" s="7"/>
      <c r="AW306" s="7"/>
      <c r="AX306" s="7"/>
      <c r="AY306" s="7"/>
      <c r="AZ306" s="7"/>
      <c r="BA306" s="7"/>
      <c r="BB306" s="7"/>
      <c r="BC306" s="7"/>
      <c r="BF306" s="7"/>
      <c r="BG306" s="36"/>
      <c r="BH306" s="36"/>
      <c r="BI306" s="36"/>
      <c r="BJ306" s="36"/>
      <c r="BK306" s="36"/>
      <c r="BL306" s="36"/>
      <c r="BM306" s="36"/>
      <c r="BN306" s="36"/>
      <c r="BO306" s="36"/>
    </row>
    <row r="307" spans="1:67" x14ac:dyDescent="0.25">
      <c r="A307" s="39"/>
      <c r="B307" s="40"/>
      <c r="U307" s="36"/>
      <c r="V307" s="36"/>
      <c r="W307" s="35"/>
      <c r="X307" s="7"/>
      <c r="Y307" s="7"/>
      <c r="Z307" s="7"/>
      <c r="AA307" s="7"/>
      <c r="AB307" s="7"/>
      <c r="AC307" s="7"/>
      <c r="AD307" s="7"/>
      <c r="AE307" s="7"/>
      <c r="AG307" s="36"/>
      <c r="AH307" s="36"/>
      <c r="AI307" s="35"/>
      <c r="AJ307" s="7"/>
      <c r="AK307" s="7"/>
      <c r="AL307" s="7"/>
      <c r="AM307" s="7"/>
      <c r="AN307" s="7"/>
      <c r="AO307" s="7"/>
      <c r="AP307" s="7"/>
      <c r="AQ307" s="7"/>
      <c r="AS307" s="36"/>
      <c r="AT307" s="36"/>
      <c r="AU307" s="35"/>
      <c r="AV307" s="7"/>
      <c r="AW307" s="7"/>
      <c r="AX307" s="7"/>
      <c r="AY307" s="7"/>
      <c r="AZ307" s="7"/>
      <c r="BA307" s="7"/>
      <c r="BB307" s="7"/>
      <c r="BC307" s="7"/>
      <c r="BF307" s="7"/>
      <c r="BG307" s="36"/>
      <c r="BH307" s="36"/>
      <c r="BI307" s="36"/>
      <c r="BJ307" s="36"/>
      <c r="BK307" s="36"/>
      <c r="BL307" s="36"/>
      <c r="BM307" s="36"/>
      <c r="BN307" s="36"/>
      <c r="BO307" s="36"/>
    </row>
    <row r="308" spans="1:67" x14ac:dyDescent="0.25">
      <c r="A308" s="39"/>
      <c r="B308" s="40"/>
      <c r="U308" s="36"/>
      <c r="V308" s="36"/>
      <c r="W308" s="35"/>
      <c r="X308" s="7"/>
      <c r="Y308" s="7"/>
      <c r="Z308" s="7"/>
      <c r="AA308" s="7"/>
      <c r="AB308" s="7"/>
      <c r="AC308" s="7"/>
      <c r="AD308" s="7"/>
      <c r="AE308" s="7"/>
      <c r="AG308" s="36"/>
      <c r="AH308" s="36"/>
      <c r="AI308" s="35"/>
      <c r="AJ308" s="7"/>
      <c r="AK308" s="7"/>
      <c r="AL308" s="7"/>
      <c r="AM308" s="7"/>
      <c r="AN308" s="7"/>
      <c r="AO308" s="7"/>
      <c r="AP308" s="7"/>
      <c r="AQ308" s="7"/>
      <c r="AS308" s="36"/>
      <c r="AT308" s="36"/>
      <c r="AU308" s="35"/>
      <c r="AV308" s="7"/>
      <c r="AW308" s="7"/>
      <c r="AX308" s="7"/>
      <c r="AY308" s="7"/>
      <c r="AZ308" s="7"/>
      <c r="BA308" s="7"/>
      <c r="BB308" s="7"/>
      <c r="BC308" s="7"/>
      <c r="BF308" s="7"/>
      <c r="BG308" s="36"/>
      <c r="BH308" s="36"/>
      <c r="BI308" s="36"/>
      <c r="BJ308" s="36"/>
      <c r="BK308" s="36"/>
      <c r="BL308" s="36"/>
      <c r="BM308" s="36"/>
      <c r="BN308" s="36"/>
      <c r="BO308" s="36"/>
    </row>
    <row r="309" spans="1:67" x14ac:dyDescent="0.25">
      <c r="A309" s="39"/>
      <c r="B309" s="40"/>
      <c r="U309" s="36"/>
      <c r="V309" s="36"/>
      <c r="W309" s="35"/>
      <c r="X309" s="7"/>
      <c r="Y309" s="7"/>
      <c r="Z309" s="7"/>
      <c r="AA309" s="7"/>
      <c r="AB309" s="7"/>
      <c r="AC309" s="7"/>
      <c r="AD309" s="7"/>
      <c r="AE309" s="7"/>
      <c r="AG309" s="36"/>
      <c r="AH309" s="36"/>
      <c r="AI309" s="35"/>
      <c r="AJ309" s="7"/>
      <c r="AK309" s="7"/>
      <c r="AL309" s="7"/>
      <c r="AM309" s="7"/>
      <c r="AN309" s="7"/>
      <c r="AO309" s="7"/>
      <c r="AP309" s="7"/>
      <c r="AQ309" s="7"/>
      <c r="AS309" s="36"/>
      <c r="AT309" s="36"/>
      <c r="AU309" s="35"/>
      <c r="AV309" s="7"/>
      <c r="AW309" s="7"/>
      <c r="AX309" s="7"/>
      <c r="AY309" s="7"/>
      <c r="AZ309" s="7"/>
      <c r="BA309" s="7"/>
      <c r="BB309" s="7"/>
      <c r="BC309" s="7"/>
      <c r="BF309" s="7"/>
      <c r="BG309" s="36"/>
      <c r="BH309" s="36"/>
      <c r="BI309" s="36"/>
      <c r="BJ309" s="36"/>
      <c r="BK309" s="36"/>
      <c r="BL309" s="36"/>
      <c r="BM309" s="36"/>
      <c r="BN309" s="36"/>
      <c r="BO309" s="36"/>
    </row>
    <row r="310" spans="1:67" x14ac:dyDescent="0.25">
      <c r="A310" s="39"/>
      <c r="B310" s="40"/>
      <c r="U310" s="36"/>
      <c r="V310" s="36"/>
      <c r="W310" s="35"/>
      <c r="X310" s="7"/>
      <c r="Y310" s="7"/>
      <c r="Z310" s="7"/>
      <c r="AA310" s="7"/>
      <c r="AB310" s="7"/>
      <c r="AC310" s="7"/>
      <c r="AD310" s="7"/>
      <c r="AE310" s="7"/>
      <c r="AG310" s="36"/>
      <c r="AH310" s="36"/>
      <c r="AI310" s="35"/>
      <c r="AJ310" s="7"/>
      <c r="AK310" s="7"/>
      <c r="AL310" s="7"/>
      <c r="AM310" s="7"/>
      <c r="AN310" s="7"/>
      <c r="AO310" s="7"/>
      <c r="AP310" s="7"/>
      <c r="AQ310" s="7"/>
      <c r="AS310" s="36"/>
      <c r="AT310" s="36"/>
      <c r="AU310" s="35"/>
      <c r="AV310" s="7"/>
      <c r="AW310" s="7"/>
      <c r="AX310" s="7"/>
      <c r="AY310" s="7"/>
      <c r="AZ310" s="7"/>
      <c r="BA310" s="7"/>
      <c r="BB310" s="7"/>
      <c r="BC310" s="7"/>
      <c r="BF310" s="7"/>
      <c r="BG310" s="36"/>
      <c r="BH310" s="36"/>
      <c r="BI310" s="36"/>
      <c r="BJ310" s="36"/>
      <c r="BK310" s="36"/>
      <c r="BL310" s="36"/>
      <c r="BM310" s="36"/>
      <c r="BN310" s="36"/>
      <c r="BO310" s="36"/>
    </row>
    <row r="311" spans="1:67" x14ac:dyDescent="0.25">
      <c r="A311" s="39"/>
      <c r="B311" s="40"/>
      <c r="U311" s="36"/>
      <c r="V311" s="36"/>
      <c r="W311" s="35"/>
      <c r="X311" s="7"/>
      <c r="Y311" s="7"/>
      <c r="Z311" s="7"/>
      <c r="AA311" s="7"/>
      <c r="AB311" s="7"/>
      <c r="AC311" s="7"/>
      <c r="AD311" s="7"/>
      <c r="AE311" s="7"/>
      <c r="AG311" s="36"/>
      <c r="AH311" s="36"/>
      <c r="AI311" s="35"/>
      <c r="AJ311" s="7"/>
      <c r="AK311" s="7"/>
      <c r="AL311" s="7"/>
      <c r="AM311" s="7"/>
      <c r="AN311" s="7"/>
      <c r="AO311" s="7"/>
      <c r="AP311" s="7"/>
      <c r="AQ311" s="7"/>
      <c r="AS311" s="36"/>
      <c r="AT311" s="36"/>
      <c r="AU311" s="35"/>
      <c r="AV311" s="7"/>
      <c r="AW311" s="7"/>
      <c r="AX311" s="7"/>
      <c r="AY311" s="7"/>
      <c r="AZ311" s="7"/>
      <c r="BA311" s="7"/>
      <c r="BB311" s="7"/>
      <c r="BC311" s="7"/>
      <c r="BF311" s="7"/>
      <c r="BG311" s="36"/>
      <c r="BH311" s="36"/>
      <c r="BI311" s="36"/>
      <c r="BJ311" s="36"/>
      <c r="BK311" s="36"/>
      <c r="BL311" s="36"/>
      <c r="BM311" s="36"/>
      <c r="BN311" s="36"/>
      <c r="BO311" s="36"/>
    </row>
    <row r="312" spans="1:67" x14ac:dyDescent="0.25">
      <c r="A312" s="39"/>
      <c r="B312" s="40"/>
      <c r="U312" s="36"/>
      <c r="V312" s="36"/>
      <c r="W312" s="35"/>
      <c r="X312" s="7"/>
      <c r="Y312" s="7"/>
      <c r="Z312" s="7"/>
      <c r="AA312" s="7"/>
      <c r="AB312" s="7"/>
      <c r="AC312" s="7"/>
      <c r="AD312" s="7"/>
      <c r="AE312" s="7"/>
      <c r="AG312" s="36"/>
      <c r="AH312" s="36"/>
      <c r="AI312" s="35"/>
      <c r="AJ312" s="7"/>
      <c r="AK312" s="7"/>
      <c r="AL312" s="7"/>
      <c r="AM312" s="7"/>
      <c r="AN312" s="7"/>
      <c r="AO312" s="7"/>
      <c r="AP312" s="7"/>
      <c r="AQ312" s="7"/>
      <c r="AS312" s="36"/>
      <c r="AT312" s="36"/>
      <c r="AU312" s="35"/>
      <c r="AV312" s="7"/>
      <c r="AW312" s="7"/>
      <c r="AX312" s="7"/>
      <c r="AY312" s="7"/>
      <c r="AZ312" s="7"/>
      <c r="BA312" s="7"/>
      <c r="BB312" s="7"/>
      <c r="BC312" s="7"/>
      <c r="BF312" s="7"/>
      <c r="BG312" s="36"/>
      <c r="BH312" s="36"/>
      <c r="BI312" s="36"/>
      <c r="BJ312" s="36"/>
      <c r="BK312" s="36"/>
      <c r="BL312" s="36"/>
      <c r="BM312" s="36"/>
      <c r="BN312" s="36"/>
      <c r="BO312" s="36"/>
    </row>
    <row r="313" spans="1:67" x14ac:dyDescent="0.25">
      <c r="A313" s="39"/>
      <c r="B313" s="40"/>
      <c r="U313" s="36"/>
      <c r="V313" s="36"/>
      <c r="W313" s="35"/>
      <c r="X313" s="7"/>
      <c r="Y313" s="7"/>
      <c r="Z313" s="7"/>
      <c r="AA313" s="7"/>
      <c r="AB313" s="7"/>
      <c r="AC313" s="7"/>
      <c r="AD313" s="7"/>
      <c r="AE313" s="7"/>
      <c r="AG313" s="36"/>
      <c r="AH313" s="36"/>
      <c r="AI313" s="35"/>
      <c r="AJ313" s="7"/>
      <c r="AK313" s="7"/>
      <c r="AL313" s="7"/>
      <c r="AM313" s="7"/>
      <c r="AN313" s="7"/>
      <c r="AO313" s="7"/>
      <c r="AP313" s="7"/>
      <c r="AQ313" s="7"/>
      <c r="AS313" s="36"/>
      <c r="AT313" s="36"/>
      <c r="AU313" s="35"/>
      <c r="AV313" s="7"/>
      <c r="AW313" s="7"/>
      <c r="AX313" s="7"/>
      <c r="AY313" s="7"/>
      <c r="AZ313" s="7"/>
      <c r="BA313" s="7"/>
      <c r="BB313" s="7"/>
      <c r="BC313" s="7"/>
      <c r="BF313" s="7"/>
      <c r="BG313" s="36"/>
      <c r="BH313" s="36"/>
      <c r="BI313" s="36"/>
      <c r="BJ313" s="36"/>
      <c r="BK313" s="36"/>
      <c r="BL313" s="36"/>
      <c r="BM313" s="36"/>
      <c r="BN313" s="36"/>
      <c r="BO313" s="36"/>
    </row>
    <row r="314" spans="1:67" x14ac:dyDescent="0.25">
      <c r="A314" s="39"/>
      <c r="B314" s="40"/>
      <c r="U314" s="36"/>
      <c r="V314" s="36"/>
      <c r="W314" s="35"/>
      <c r="X314" s="7"/>
      <c r="Y314" s="7"/>
      <c r="Z314" s="7"/>
      <c r="AA314" s="7"/>
      <c r="AB314" s="7"/>
      <c r="AC314" s="7"/>
      <c r="AD314" s="7"/>
      <c r="AE314" s="7"/>
      <c r="AG314" s="36"/>
      <c r="AH314" s="36"/>
      <c r="AI314" s="35"/>
      <c r="AJ314" s="7"/>
      <c r="AK314" s="7"/>
      <c r="AL314" s="7"/>
      <c r="AM314" s="7"/>
      <c r="AN314" s="7"/>
      <c r="AO314" s="7"/>
      <c r="AP314" s="7"/>
      <c r="AQ314" s="7"/>
      <c r="AS314" s="36"/>
      <c r="AT314" s="36"/>
      <c r="AU314" s="35"/>
      <c r="AV314" s="7"/>
      <c r="AW314" s="7"/>
      <c r="AX314" s="7"/>
      <c r="AY314" s="7"/>
      <c r="AZ314" s="7"/>
      <c r="BA314" s="7"/>
      <c r="BB314" s="7"/>
      <c r="BC314" s="7"/>
      <c r="BF314" s="7"/>
      <c r="BG314" s="36"/>
      <c r="BH314" s="36"/>
      <c r="BI314" s="36"/>
      <c r="BJ314" s="36"/>
      <c r="BK314" s="36"/>
      <c r="BL314" s="36"/>
      <c r="BM314" s="36"/>
      <c r="BN314" s="36"/>
      <c r="BO314" s="36"/>
    </row>
    <row r="315" spans="1:67" x14ac:dyDescent="0.25">
      <c r="A315" s="39"/>
      <c r="B315" s="40"/>
      <c r="U315" s="36"/>
      <c r="V315" s="36"/>
      <c r="W315" s="35"/>
      <c r="X315" s="7"/>
      <c r="Y315" s="7"/>
      <c r="Z315" s="7"/>
      <c r="AA315" s="7"/>
      <c r="AB315" s="7"/>
      <c r="AC315" s="7"/>
      <c r="AD315" s="7"/>
      <c r="AE315" s="7"/>
      <c r="AG315" s="36"/>
      <c r="AH315" s="36"/>
      <c r="AI315" s="35"/>
      <c r="AJ315" s="7"/>
      <c r="AK315" s="7"/>
      <c r="AL315" s="7"/>
      <c r="AM315" s="7"/>
      <c r="AN315" s="7"/>
      <c r="AO315" s="7"/>
      <c r="AP315" s="7"/>
      <c r="AQ315" s="7"/>
      <c r="AS315" s="36"/>
      <c r="AT315" s="36"/>
      <c r="AU315" s="35"/>
      <c r="AV315" s="7"/>
      <c r="AW315" s="7"/>
      <c r="AX315" s="7"/>
      <c r="AY315" s="7"/>
      <c r="AZ315" s="7"/>
      <c r="BA315" s="7"/>
      <c r="BB315" s="7"/>
      <c r="BC315" s="7"/>
      <c r="BF315" s="7"/>
      <c r="BG315" s="36"/>
      <c r="BH315" s="36"/>
      <c r="BI315" s="36"/>
      <c r="BJ315" s="36"/>
      <c r="BK315" s="36"/>
      <c r="BL315" s="36"/>
      <c r="BM315" s="36"/>
      <c r="BN315" s="36"/>
      <c r="BO315" s="36"/>
    </row>
    <row r="316" spans="1:67" x14ac:dyDescent="0.25">
      <c r="A316" s="39"/>
      <c r="B316" s="40"/>
      <c r="U316" s="36"/>
      <c r="V316" s="36"/>
      <c r="W316" s="35"/>
      <c r="X316" s="7"/>
      <c r="Y316" s="7"/>
      <c r="Z316" s="7"/>
      <c r="AA316" s="7"/>
      <c r="AB316" s="7"/>
      <c r="AC316" s="7"/>
      <c r="AD316" s="7"/>
      <c r="AE316" s="7"/>
      <c r="AG316" s="36"/>
      <c r="AH316" s="36"/>
      <c r="AI316" s="35"/>
      <c r="AJ316" s="7"/>
      <c r="AK316" s="7"/>
      <c r="AL316" s="7"/>
      <c r="AM316" s="7"/>
      <c r="AN316" s="7"/>
      <c r="AO316" s="7"/>
      <c r="AP316" s="7"/>
      <c r="AQ316" s="7"/>
      <c r="AS316" s="36"/>
      <c r="AT316" s="36"/>
      <c r="AU316" s="35"/>
      <c r="AV316" s="7"/>
      <c r="AW316" s="7"/>
      <c r="AX316" s="7"/>
      <c r="AY316" s="7"/>
      <c r="AZ316" s="7"/>
      <c r="BA316" s="7"/>
      <c r="BB316" s="7"/>
      <c r="BC316" s="7"/>
      <c r="BF316" s="7"/>
      <c r="BG316" s="36"/>
      <c r="BH316" s="36"/>
      <c r="BI316" s="36"/>
      <c r="BJ316" s="36"/>
      <c r="BK316" s="36"/>
      <c r="BL316" s="36"/>
      <c r="BM316" s="36"/>
      <c r="BN316" s="36"/>
      <c r="BO316" s="36"/>
    </row>
    <row r="317" spans="1:67" x14ac:dyDescent="0.25">
      <c r="A317" s="39"/>
      <c r="B317" s="40"/>
      <c r="U317" s="36"/>
      <c r="V317" s="36"/>
      <c r="W317" s="35"/>
      <c r="X317" s="7"/>
      <c r="Y317" s="7"/>
      <c r="Z317" s="7"/>
      <c r="AA317" s="7"/>
      <c r="AB317" s="7"/>
      <c r="AC317" s="7"/>
      <c r="AD317" s="7"/>
      <c r="AE317" s="7"/>
      <c r="AG317" s="36"/>
      <c r="AH317" s="36"/>
      <c r="AI317" s="35"/>
      <c r="AJ317" s="7"/>
      <c r="AK317" s="7"/>
      <c r="AL317" s="7"/>
      <c r="AM317" s="7"/>
      <c r="AN317" s="7"/>
      <c r="AO317" s="7"/>
      <c r="AP317" s="7"/>
      <c r="AQ317" s="7"/>
      <c r="AS317" s="36"/>
      <c r="AT317" s="36"/>
      <c r="AU317" s="35"/>
      <c r="AV317" s="7"/>
      <c r="AW317" s="7"/>
      <c r="AX317" s="7"/>
      <c r="AY317" s="7"/>
      <c r="AZ317" s="7"/>
      <c r="BA317" s="7"/>
      <c r="BB317" s="7"/>
      <c r="BC317" s="7"/>
      <c r="BF317" s="7"/>
      <c r="BG317" s="36"/>
      <c r="BH317" s="36"/>
      <c r="BI317" s="36"/>
      <c r="BJ317" s="36"/>
      <c r="BK317" s="36"/>
      <c r="BL317" s="36"/>
      <c r="BM317" s="36"/>
      <c r="BN317" s="36"/>
      <c r="BO317" s="36"/>
    </row>
    <row r="318" spans="1:67" x14ac:dyDescent="0.25">
      <c r="A318" s="39"/>
      <c r="B318" s="40"/>
      <c r="U318" s="36"/>
      <c r="V318" s="36"/>
      <c r="W318" s="35"/>
      <c r="X318" s="7"/>
      <c r="Y318" s="7"/>
      <c r="Z318" s="7"/>
      <c r="AA318" s="7"/>
      <c r="AB318" s="7"/>
      <c r="AC318" s="7"/>
      <c r="AD318" s="7"/>
      <c r="AE318" s="7"/>
      <c r="AG318" s="36"/>
      <c r="AH318" s="36"/>
      <c r="AI318" s="35"/>
      <c r="AJ318" s="7"/>
      <c r="AK318" s="7"/>
      <c r="AL318" s="7"/>
      <c r="AM318" s="7"/>
      <c r="AN318" s="7"/>
      <c r="AO318" s="7"/>
      <c r="AP318" s="7"/>
      <c r="AQ318" s="7"/>
      <c r="AS318" s="36"/>
      <c r="AT318" s="36"/>
      <c r="AU318" s="35"/>
      <c r="AV318" s="7"/>
      <c r="AW318" s="7"/>
      <c r="AX318" s="7"/>
      <c r="AY318" s="7"/>
      <c r="AZ318" s="7"/>
      <c r="BA318" s="7"/>
      <c r="BB318" s="7"/>
      <c r="BC318" s="7"/>
      <c r="BF318" s="7"/>
      <c r="BG318" s="36"/>
      <c r="BH318" s="36"/>
      <c r="BI318" s="36"/>
      <c r="BJ318" s="36"/>
      <c r="BK318" s="36"/>
      <c r="BL318" s="36"/>
      <c r="BM318" s="36"/>
      <c r="BN318" s="36"/>
      <c r="BO318" s="36"/>
    </row>
    <row r="319" spans="1:67" x14ac:dyDescent="0.25">
      <c r="A319" s="39"/>
      <c r="B319" s="40"/>
      <c r="U319" s="36"/>
      <c r="V319" s="36"/>
      <c r="W319" s="35"/>
      <c r="X319" s="7"/>
      <c r="Y319" s="7"/>
      <c r="Z319" s="7"/>
      <c r="AA319" s="7"/>
      <c r="AB319" s="7"/>
      <c r="AC319" s="7"/>
      <c r="AD319" s="7"/>
      <c r="AE319" s="7"/>
      <c r="AG319" s="36"/>
      <c r="AH319" s="36"/>
      <c r="AI319" s="35"/>
      <c r="AJ319" s="7"/>
      <c r="AK319" s="7"/>
      <c r="AL319" s="7"/>
      <c r="AM319" s="7"/>
      <c r="AN319" s="7"/>
      <c r="AO319" s="7"/>
      <c r="AP319" s="7"/>
      <c r="AQ319" s="7"/>
      <c r="AS319" s="36"/>
      <c r="AT319" s="36"/>
      <c r="AU319" s="35"/>
      <c r="AV319" s="7"/>
      <c r="AW319" s="7"/>
      <c r="AX319" s="7"/>
      <c r="AY319" s="7"/>
      <c r="AZ319" s="7"/>
      <c r="BA319" s="7"/>
      <c r="BB319" s="7"/>
      <c r="BC319" s="7"/>
      <c r="BF319" s="7"/>
      <c r="BG319" s="36"/>
      <c r="BH319" s="36"/>
      <c r="BI319" s="36"/>
      <c r="BJ319" s="36"/>
      <c r="BK319" s="36"/>
      <c r="BL319" s="36"/>
      <c r="BM319" s="36"/>
      <c r="BN319" s="36"/>
      <c r="BO319" s="36"/>
    </row>
    <row r="320" spans="1:67" x14ac:dyDescent="0.25">
      <c r="A320" s="39"/>
      <c r="B320" s="40"/>
      <c r="U320" s="36"/>
      <c r="V320" s="36"/>
      <c r="W320" s="35"/>
      <c r="X320" s="7"/>
      <c r="Y320" s="7"/>
      <c r="Z320" s="7"/>
      <c r="AA320" s="7"/>
      <c r="AB320" s="7"/>
      <c r="AC320" s="7"/>
      <c r="AD320" s="7"/>
      <c r="AE320" s="7"/>
      <c r="AG320" s="36"/>
      <c r="AH320" s="36"/>
      <c r="AI320" s="35"/>
      <c r="AJ320" s="7"/>
      <c r="AK320" s="7"/>
      <c r="AL320" s="7"/>
      <c r="AM320" s="7"/>
      <c r="AN320" s="7"/>
      <c r="AO320" s="7"/>
      <c r="AP320" s="7"/>
      <c r="AQ320" s="7"/>
      <c r="AS320" s="36"/>
      <c r="AT320" s="36"/>
      <c r="AU320" s="35"/>
      <c r="AV320" s="7"/>
      <c r="AW320" s="7"/>
      <c r="AX320" s="7"/>
      <c r="AY320" s="7"/>
      <c r="AZ320" s="7"/>
      <c r="BA320" s="7"/>
      <c r="BB320" s="7"/>
      <c r="BC320" s="7"/>
      <c r="BF320" s="7"/>
      <c r="BG320" s="36"/>
      <c r="BH320" s="36"/>
      <c r="BI320" s="36"/>
      <c r="BJ320" s="36"/>
      <c r="BK320" s="36"/>
      <c r="BL320" s="36"/>
      <c r="BM320" s="36"/>
      <c r="BN320" s="36"/>
      <c r="BO320" s="36"/>
    </row>
    <row r="321" spans="1:67" x14ac:dyDescent="0.25">
      <c r="A321" s="39"/>
      <c r="B321" s="40"/>
      <c r="U321" s="36"/>
      <c r="V321" s="36"/>
      <c r="W321" s="35"/>
      <c r="X321" s="7"/>
      <c r="Y321" s="7"/>
      <c r="Z321" s="7"/>
      <c r="AA321" s="7"/>
      <c r="AB321" s="7"/>
      <c r="AC321" s="7"/>
      <c r="AD321" s="7"/>
      <c r="AE321" s="7"/>
      <c r="AG321" s="36"/>
      <c r="AH321" s="36"/>
      <c r="AI321" s="35"/>
      <c r="AJ321" s="7"/>
      <c r="AK321" s="7"/>
      <c r="AL321" s="7"/>
      <c r="AM321" s="7"/>
      <c r="AN321" s="7"/>
      <c r="AO321" s="7"/>
      <c r="AP321" s="7"/>
      <c r="AQ321" s="7"/>
      <c r="AS321" s="36"/>
      <c r="AT321" s="36"/>
      <c r="AU321" s="35"/>
      <c r="AV321" s="7"/>
      <c r="AW321" s="7"/>
      <c r="AX321" s="7"/>
      <c r="AY321" s="7"/>
      <c r="AZ321" s="7"/>
      <c r="BA321" s="7"/>
      <c r="BB321" s="7"/>
      <c r="BC321" s="7"/>
      <c r="BF321" s="7"/>
      <c r="BG321" s="36"/>
      <c r="BH321" s="36"/>
      <c r="BI321" s="36"/>
      <c r="BJ321" s="36"/>
      <c r="BK321" s="36"/>
      <c r="BL321" s="36"/>
      <c r="BM321" s="36"/>
      <c r="BN321" s="36"/>
      <c r="BO321" s="36"/>
    </row>
    <row r="322" spans="1:67" x14ac:dyDescent="0.25">
      <c r="A322" s="39"/>
      <c r="B322" s="40"/>
      <c r="U322" s="36"/>
      <c r="V322" s="36"/>
      <c r="W322" s="35"/>
      <c r="X322" s="7"/>
      <c r="Y322" s="7"/>
      <c r="Z322" s="7"/>
      <c r="AA322" s="7"/>
      <c r="AB322" s="7"/>
      <c r="AC322" s="7"/>
      <c r="AD322" s="7"/>
      <c r="AE322" s="7"/>
      <c r="AG322" s="36"/>
      <c r="AH322" s="36"/>
      <c r="AI322" s="35"/>
      <c r="AJ322" s="7"/>
      <c r="AK322" s="7"/>
      <c r="AL322" s="7"/>
      <c r="AM322" s="7"/>
      <c r="AN322" s="7"/>
      <c r="AO322" s="7"/>
      <c r="AP322" s="7"/>
      <c r="AQ322" s="7"/>
      <c r="AS322" s="36"/>
      <c r="AT322" s="36"/>
      <c r="AU322" s="35"/>
      <c r="AV322" s="7"/>
      <c r="AW322" s="7"/>
      <c r="AX322" s="7"/>
      <c r="AY322" s="7"/>
      <c r="AZ322" s="7"/>
      <c r="BA322" s="7"/>
      <c r="BB322" s="7"/>
      <c r="BC322" s="7"/>
      <c r="BF322" s="7"/>
      <c r="BG322" s="36"/>
      <c r="BH322" s="36"/>
      <c r="BI322" s="36"/>
      <c r="BJ322" s="36"/>
      <c r="BK322" s="36"/>
      <c r="BL322" s="36"/>
      <c r="BM322" s="36"/>
      <c r="BN322" s="36"/>
      <c r="BO322" s="36"/>
    </row>
    <row r="323" spans="1:67" x14ac:dyDescent="0.25">
      <c r="A323" s="39"/>
      <c r="B323" s="40"/>
      <c r="U323" s="36"/>
      <c r="V323" s="36"/>
      <c r="W323" s="35"/>
      <c r="X323" s="7"/>
      <c r="Y323" s="7"/>
      <c r="Z323" s="7"/>
      <c r="AA323" s="7"/>
      <c r="AB323" s="7"/>
      <c r="AC323" s="7"/>
      <c r="AD323" s="7"/>
      <c r="AE323" s="7"/>
      <c r="AG323" s="36"/>
      <c r="AH323" s="36"/>
      <c r="AI323" s="35"/>
      <c r="AJ323" s="7"/>
      <c r="AK323" s="7"/>
      <c r="AL323" s="7"/>
      <c r="AM323" s="7"/>
      <c r="AN323" s="7"/>
      <c r="AO323" s="7"/>
      <c r="AP323" s="7"/>
      <c r="AQ323" s="7"/>
      <c r="AS323" s="36"/>
      <c r="AT323" s="36"/>
      <c r="AU323" s="35"/>
      <c r="AV323" s="7"/>
      <c r="AW323" s="7"/>
      <c r="AX323" s="7"/>
      <c r="AY323" s="7"/>
      <c r="AZ323" s="7"/>
      <c r="BA323" s="7"/>
      <c r="BB323" s="7"/>
      <c r="BC323" s="7"/>
      <c r="BF323" s="7"/>
      <c r="BG323" s="36"/>
      <c r="BH323" s="36"/>
      <c r="BI323" s="36"/>
      <c r="BJ323" s="36"/>
      <c r="BK323" s="36"/>
      <c r="BL323" s="36"/>
      <c r="BM323" s="36"/>
      <c r="BN323" s="36"/>
      <c r="BO323" s="36"/>
    </row>
    <row r="324" spans="1:67" x14ac:dyDescent="0.25">
      <c r="A324" s="39"/>
      <c r="B324" s="40"/>
      <c r="U324" s="36"/>
      <c r="V324" s="36"/>
      <c r="W324" s="35"/>
      <c r="X324" s="7"/>
      <c r="Y324" s="7"/>
      <c r="Z324" s="7"/>
      <c r="AA324" s="7"/>
      <c r="AB324" s="7"/>
      <c r="AC324" s="7"/>
      <c r="AD324" s="7"/>
      <c r="AE324" s="7"/>
      <c r="AG324" s="36"/>
      <c r="AH324" s="36"/>
      <c r="AI324" s="35"/>
      <c r="AJ324" s="7"/>
      <c r="AK324" s="7"/>
      <c r="AL324" s="7"/>
      <c r="AM324" s="7"/>
      <c r="AN324" s="7"/>
      <c r="AO324" s="7"/>
      <c r="AP324" s="7"/>
      <c r="AQ324" s="7"/>
      <c r="AS324" s="36"/>
      <c r="AT324" s="36"/>
      <c r="AU324" s="35"/>
      <c r="AV324" s="7"/>
      <c r="AW324" s="7"/>
      <c r="AX324" s="7"/>
      <c r="AY324" s="7"/>
      <c r="AZ324" s="7"/>
      <c r="BA324" s="7"/>
      <c r="BB324" s="7"/>
      <c r="BC324" s="7"/>
      <c r="BF324" s="7"/>
      <c r="BG324" s="36"/>
      <c r="BH324" s="36"/>
      <c r="BI324" s="36"/>
      <c r="BJ324" s="36"/>
      <c r="BK324" s="36"/>
      <c r="BL324" s="36"/>
      <c r="BM324" s="36"/>
      <c r="BN324" s="36"/>
      <c r="BO324" s="36"/>
    </row>
    <row r="325" spans="1:67" x14ac:dyDescent="0.25">
      <c r="A325" s="39"/>
      <c r="B325" s="40"/>
      <c r="U325" s="36"/>
      <c r="V325" s="36"/>
      <c r="W325" s="35"/>
      <c r="X325" s="7"/>
      <c r="Y325" s="7"/>
      <c r="Z325" s="7"/>
      <c r="AA325" s="7"/>
      <c r="AB325" s="7"/>
      <c r="AC325" s="7"/>
      <c r="AD325" s="7"/>
      <c r="AE325" s="7"/>
      <c r="AG325" s="36"/>
      <c r="AH325" s="36"/>
      <c r="AI325" s="35"/>
      <c r="AJ325" s="7"/>
      <c r="AK325" s="7"/>
      <c r="AL325" s="7"/>
      <c r="AM325" s="7"/>
      <c r="AN325" s="7"/>
      <c r="AO325" s="7"/>
      <c r="AP325" s="7"/>
      <c r="AQ325" s="7"/>
      <c r="AS325" s="36"/>
      <c r="AT325" s="36"/>
      <c r="AU325" s="35"/>
      <c r="AV325" s="7"/>
      <c r="AW325" s="7"/>
      <c r="AX325" s="7"/>
      <c r="AY325" s="7"/>
      <c r="AZ325" s="7"/>
      <c r="BA325" s="7"/>
      <c r="BB325" s="7"/>
      <c r="BC325" s="7"/>
      <c r="BF325" s="7"/>
      <c r="BG325" s="36"/>
      <c r="BH325" s="36"/>
      <c r="BI325" s="36"/>
      <c r="BJ325" s="36"/>
      <c r="BK325" s="36"/>
      <c r="BL325" s="36"/>
      <c r="BM325" s="36"/>
      <c r="BN325" s="36"/>
      <c r="BO325" s="36"/>
    </row>
    <row r="326" spans="1:67" x14ac:dyDescent="0.25">
      <c r="A326" s="39"/>
      <c r="B326" s="40"/>
      <c r="U326" s="36"/>
      <c r="V326" s="36"/>
      <c r="W326" s="35"/>
      <c r="X326" s="7"/>
      <c r="Y326" s="7"/>
      <c r="Z326" s="7"/>
      <c r="AA326" s="7"/>
      <c r="AB326" s="7"/>
      <c r="AC326" s="7"/>
      <c r="AD326" s="7"/>
      <c r="AE326" s="7"/>
      <c r="AG326" s="36"/>
      <c r="AH326" s="36"/>
      <c r="AI326" s="35"/>
      <c r="AJ326" s="7"/>
      <c r="AK326" s="7"/>
      <c r="AL326" s="7"/>
      <c r="AM326" s="7"/>
      <c r="AN326" s="7"/>
      <c r="AO326" s="7"/>
      <c r="AP326" s="7"/>
      <c r="AQ326" s="7"/>
      <c r="AS326" s="36"/>
      <c r="AT326" s="36"/>
      <c r="AU326" s="35"/>
      <c r="AV326" s="7"/>
      <c r="AW326" s="7"/>
      <c r="AX326" s="7"/>
      <c r="AY326" s="7"/>
      <c r="AZ326" s="7"/>
      <c r="BA326" s="7"/>
      <c r="BB326" s="7"/>
      <c r="BC326" s="7"/>
      <c r="BF326" s="7"/>
      <c r="BG326" s="36"/>
      <c r="BH326" s="36"/>
      <c r="BI326" s="36"/>
      <c r="BJ326" s="36"/>
      <c r="BK326" s="36"/>
      <c r="BL326" s="36"/>
      <c r="BM326" s="36"/>
      <c r="BN326" s="36"/>
      <c r="BO326" s="36"/>
    </row>
    <row r="327" spans="1:67" x14ac:dyDescent="0.25">
      <c r="A327" s="39"/>
      <c r="B327" s="40"/>
      <c r="U327" s="36"/>
      <c r="V327" s="36"/>
      <c r="W327" s="35"/>
      <c r="X327" s="7"/>
      <c r="Y327" s="7"/>
      <c r="Z327" s="7"/>
      <c r="AA327" s="7"/>
      <c r="AB327" s="7"/>
      <c r="AC327" s="7"/>
      <c r="AD327" s="7"/>
      <c r="AE327" s="7"/>
      <c r="AG327" s="36"/>
      <c r="AH327" s="36"/>
      <c r="AI327" s="35"/>
      <c r="AJ327" s="7"/>
      <c r="AK327" s="7"/>
      <c r="AL327" s="7"/>
      <c r="AM327" s="7"/>
      <c r="AN327" s="7"/>
      <c r="AO327" s="7"/>
      <c r="AP327" s="7"/>
      <c r="AQ327" s="7"/>
      <c r="AS327" s="36"/>
      <c r="AT327" s="36"/>
      <c r="AU327" s="35"/>
      <c r="AV327" s="7"/>
      <c r="AW327" s="7"/>
      <c r="AX327" s="7"/>
      <c r="AY327" s="7"/>
      <c r="AZ327" s="7"/>
      <c r="BA327" s="7"/>
      <c r="BB327" s="7"/>
      <c r="BC327" s="7"/>
      <c r="BF327" s="7"/>
      <c r="BG327" s="36"/>
      <c r="BH327" s="36"/>
      <c r="BI327" s="36"/>
      <c r="BJ327" s="36"/>
      <c r="BK327" s="36"/>
      <c r="BL327" s="36"/>
      <c r="BM327" s="36"/>
      <c r="BN327" s="36"/>
      <c r="BO327" s="36"/>
    </row>
    <row r="328" spans="1:67" x14ac:dyDescent="0.25">
      <c r="A328" s="39"/>
      <c r="B328" s="40"/>
      <c r="U328" s="36"/>
      <c r="V328" s="36"/>
      <c r="W328" s="35"/>
      <c r="X328" s="7"/>
      <c r="Y328" s="7"/>
      <c r="Z328" s="7"/>
      <c r="AA328" s="7"/>
      <c r="AB328" s="7"/>
      <c r="AC328" s="7"/>
      <c r="AD328" s="7"/>
      <c r="AE328" s="7"/>
      <c r="AG328" s="36"/>
      <c r="AH328" s="36"/>
      <c r="AI328" s="35"/>
      <c r="AJ328" s="7"/>
      <c r="AK328" s="7"/>
      <c r="AL328" s="7"/>
      <c r="AM328" s="7"/>
      <c r="AN328" s="7"/>
      <c r="AO328" s="7"/>
      <c r="AP328" s="7"/>
      <c r="AQ328" s="7"/>
      <c r="AS328" s="36"/>
      <c r="AT328" s="36"/>
      <c r="AU328" s="35"/>
      <c r="AV328" s="7"/>
      <c r="AW328" s="7"/>
      <c r="AX328" s="7"/>
      <c r="AY328" s="7"/>
      <c r="AZ328" s="7"/>
      <c r="BA328" s="7"/>
      <c r="BB328" s="7"/>
      <c r="BC328" s="7"/>
      <c r="BF328" s="7"/>
      <c r="BG328" s="36"/>
      <c r="BH328" s="36"/>
      <c r="BI328" s="36"/>
      <c r="BJ328" s="36"/>
      <c r="BK328" s="36"/>
      <c r="BL328" s="36"/>
      <c r="BM328" s="36"/>
      <c r="BN328" s="36"/>
      <c r="BO328" s="36"/>
    </row>
    <row r="329" spans="1:67" x14ac:dyDescent="0.25">
      <c r="A329" s="39"/>
      <c r="B329" s="40"/>
      <c r="U329" s="36"/>
      <c r="V329" s="36"/>
      <c r="W329" s="35"/>
      <c r="X329" s="7"/>
      <c r="Y329" s="7"/>
      <c r="Z329" s="7"/>
      <c r="AA329" s="7"/>
      <c r="AB329" s="7"/>
      <c r="AC329" s="7"/>
      <c r="AD329" s="7"/>
      <c r="AE329" s="7"/>
      <c r="AG329" s="36"/>
      <c r="AH329" s="36"/>
      <c r="AI329" s="35"/>
      <c r="AJ329" s="7"/>
      <c r="AK329" s="7"/>
      <c r="AL329" s="7"/>
      <c r="AM329" s="7"/>
      <c r="AN329" s="7"/>
      <c r="AO329" s="7"/>
      <c r="AP329" s="7"/>
      <c r="AQ329" s="7"/>
      <c r="AS329" s="36"/>
      <c r="AT329" s="36"/>
      <c r="AU329" s="35"/>
      <c r="AV329" s="7"/>
      <c r="AW329" s="7"/>
      <c r="AX329" s="7"/>
      <c r="AY329" s="7"/>
      <c r="AZ329" s="7"/>
      <c r="BA329" s="7"/>
      <c r="BB329" s="7"/>
      <c r="BC329" s="7"/>
      <c r="BF329" s="7"/>
      <c r="BG329" s="36"/>
      <c r="BH329" s="36"/>
      <c r="BI329" s="36"/>
      <c r="BJ329" s="36"/>
      <c r="BK329" s="36"/>
      <c r="BL329" s="36"/>
      <c r="BM329" s="36"/>
      <c r="BN329" s="36"/>
      <c r="BO329" s="36"/>
    </row>
    <row r="330" spans="1:67" x14ac:dyDescent="0.25">
      <c r="A330" s="39"/>
      <c r="B330" s="40"/>
      <c r="U330" s="36"/>
      <c r="V330" s="36"/>
      <c r="W330" s="35"/>
      <c r="X330" s="7"/>
      <c r="Y330" s="7"/>
      <c r="Z330" s="7"/>
      <c r="AA330" s="7"/>
      <c r="AB330" s="7"/>
      <c r="AC330" s="7"/>
      <c r="AD330" s="7"/>
      <c r="AE330" s="7"/>
      <c r="AG330" s="36"/>
      <c r="AH330" s="36"/>
      <c r="AI330" s="35"/>
      <c r="AJ330" s="7"/>
      <c r="AK330" s="7"/>
      <c r="AL330" s="7"/>
      <c r="AM330" s="7"/>
      <c r="AN330" s="7"/>
      <c r="AO330" s="7"/>
      <c r="AP330" s="7"/>
      <c r="AQ330" s="7"/>
      <c r="AS330" s="36"/>
      <c r="AT330" s="36"/>
      <c r="AU330" s="35"/>
      <c r="AV330" s="7"/>
      <c r="AW330" s="7"/>
      <c r="AX330" s="7"/>
      <c r="AY330" s="7"/>
      <c r="AZ330" s="7"/>
      <c r="BA330" s="7"/>
      <c r="BB330" s="7"/>
      <c r="BC330" s="7"/>
      <c r="BF330" s="7"/>
      <c r="BG330" s="36"/>
      <c r="BH330" s="36"/>
      <c r="BI330" s="36"/>
      <c r="BJ330" s="36"/>
      <c r="BK330" s="36"/>
      <c r="BL330" s="36"/>
      <c r="BM330" s="36"/>
      <c r="BN330" s="36"/>
      <c r="BO330" s="36"/>
    </row>
    <row r="331" spans="1:67" x14ac:dyDescent="0.25">
      <c r="A331" s="39"/>
      <c r="B331" s="40"/>
      <c r="U331" s="36"/>
      <c r="V331" s="36"/>
      <c r="W331" s="35"/>
      <c r="X331" s="7"/>
      <c r="Y331" s="7"/>
      <c r="Z331" s="7"/>
      <c r="AA331" s="7"/>
      <c r="AB331" s="7"/>
      <c r="AC331" s="7"/>
      <c r="AD331" s="7"/>
      <c r="AE331" s="7"/>
      <c r="AG331" s="36"/>
      <c r="AH331" s="36"/>
      <c r="AI331" s="35"/>
      <c r="AJ331" s="7"/>
      <c r="AK331" s="7"/>
      <c r="AL331" s="7"/>
      <c r="AM331" s="7"/>
      <c r="AN331" s="7"/>
      <c r="AO331" s="7"/>
      <c r="AP331" s="7"/>
      <c r="AQ331" s="7"/>
      <c r="AS331" s="36"/>
      <c r="AT331" s="36"/>
      <c r="AU331" s="35"/>
      <c r="AV331" s="7"/>
      <c r="AW331" s="7"/>
      <c r="AX331" s="7"/>
      <c r="AY331" s="7"/>
      <c r="AZ331" s="7"/>
      <c r="BA331" s="7"/>
      <c r="BB331" s="7"/>
      <c r="BC331" s="7"/>
      <c r="BF331" s="7"/>
      <c r="BG331" s="36"/>
      <c r="BH331" s="36"/>
      <c r="BI331" s="36"/>
      <c r="BJ331" s="36"/>
      <c r="BK331" s="36"/>
      <c r="BL331" s="36"/>
      <c r="BM331" s="36"/>
      <c r="BN331" s="36"/>
      <c r="BO331" s="36"/>
    </row>
    <row r="332" spans="1:67" x14ac:dyDescent="0.25">
      <c r="A332" s="39"/>
      <c r="B332" s="40"/>
      <c r="U332" s="36"/>
      <c r="V332" s="36"/>
      <c r="W332" s="35"/>
      <c r="X332" s="7"/>
      <c r="Y332" s="7"/>
      <c r="Z332" s="7"/>
      <c r="AA332" s="7"/>
      <c r="AB332" s="7"/>
      <c r="AC332" s="7"/>
      <c r="AD332" s="7"/>
      <c r="AE332" s="7"/>
      <c r="AG332" s="36"/>
      <c r="AH332" s="36"/>
      <c r="AI332" s="35"/>
      <c r="AJ332" s="7"/>
      <c r="AK332" s="7"/>
      <c r="AL332" s="7"/>
      <c r="AM332" s="7"/>
      <c r="AN332" s="7"/>
      <c r="AO332" s="7"/>
      <c r="AP332" s="7"/>
      <c r="AQ332" s="7"/>
      <c r="AS332" s="36"/>
      <c r="AT332" s="36"/>
      <c r="AU332" s="35"/>
      <c r="AV332" s="7"/>
      <c r="AW332" s="7"/>
      <c r="AX332" s="7"/>
      <c r="AY332" s="7"/>
      <c r="AZ332" s="7"/>
      <c r="BA332" s="7"/>
      <c r="BB332" s="7"/>
      <c r="BC332" s="7"/>
      <c r="BF332" s="7"/>
      <c r="BG332" s="36"/>
      <c r="BH332" s="36"/>
      <c r="BI332" s="36"/>
      <c r="BJ332" s="36"/>
      <c r="BK332" s="36"/>
      <c r="BL332" s="36"/>
      <c r="BM332" s="36"/>
      <c r="BN332" s="36"/>
      <c r="BO332" s="36"/>
    </row>
    <row r="333" spans="1:67" x14ac:dyDescent="0.25">
      <c r="A333" s="39"/>
      <c r="B333" s="40"/>
      <c r="U333" s="36"/>
      <c r="V333" s="36"/>
      <c r="W333" s="35"/>
      <c r="X333" s="7"/>
      <c r="Y333" s="7"/>
      <c r="Z333" s="7"/>
      <c r="AA333" s="7"/>
      <c r="AB333" s="7"/>
      <c r="AC333" s="7"/>
      <c r="AD333" s="7"/>
      <c r="AE333" s="7"/>
      <c r="AG333" s="36"/>
      <c r="AH333" s="36"/>
      <c r="AI333" s="35"/>
      <c r="AJ333" s="7"/>
      <c r="AK333" s="7"/>
      <c r="AL333" s="7"/>
      <c r="AM333" s="7"/>
      <c r="AN333" s="7"/>
      <c r="AO333" s="7"/>
      <c r="AP333" s="7"/>
      <c r="AQ333" s="7"/>
      <c r="AS333" s="36"/>
      <c r="AT333" s="36"/>
      <c r="AU333" s="35"/>
      <c r="AV333" s="7"/>
      <c r="AW333" s="7"/>
      <c r="AX333" s="7"/>
      <c r="AY333" s="7"/>
      <c r="AZ333" s="7"/>
      <c r="BA333" s="7"/>
      <c r="BB333" s="7"/>
      <c r="BC333" s="7"/>
      <c r="BF333" s="7"/>
      <c r="BG333" s="36"/>
      <c r="BH333" s="36"/>
      <c r="BI333" s="36"/>
      <c r="BJ333" s="36"/>
      <c r="BK333" s="36"/>
      <c r="BL333" s="36"/>
      <c r="BM333" s="36"/>
      <c r="BN333" s="36"/>
      <c r="BO333" s="36"/>
    </row>
    <row r="334" spans="1:67" x14ac:dyDescent="0.25">
      <c r="A334" s="39"/>
      <c r="B334" s="40"/>
      <c r="U334" s="36"/>
      <c r="V334" s="36"/>
      <c r="W334" s="35"/>
      <c r="X334" s="7"/>
      <c r="Y334" s="7"/>
      <c r="Z334" s="7"/>
      <c r="AA334" s="7"/>
      <c r="AB334" s="7"/>
      <c r="AC334" s="7"/>
      <c r="AD334" s="7"/>
      <c r="AE334" s="7"/>
      <c r="AG334" s="36"/>
      <c r="AH334" s="36"/>
      <c r="AI334" s="35"/>
      <c r="AJ334" s="7"/>
      <c r="AK334" s="7"/>
      <c r="AL334" s="7"/>
      <c r="AM334" s="7"/>
      <c r="AN334" s="7"/>
      <c r="AO334" s="7"/>
      <c r="AP334" s="7"/>
      <c r="AQ334" s="7"/>
      <c r="AS334" s="36"/>
      <c r="AT334" s="36"/>
      <c r="AU334" s="35"/>
      <c r="AV334" s="7"/>
      <c r="AW334" s="7"/>
      <c r="AX334" s="7"/>
      <c r="AY334" s="7"/>
      <c r="AZ334" s="7"/>
      <c r="BA334" s="7"/>
      <c r="BB334" s="7"/>
      <c r="BC334" s="7"/>
      <c r="BF334" s="7"/>
      <c r="BG334" s="36"/>
      <c r="BH334" s="36"/>
      <c r="BI334" s="36"/>
      <c r="BJ334" s="36"/>
      <c r="BK334" s="36"/>
      <c r="BL334" s="36"/>
      <c r="BM334" s="36"/>
      <c r="BN334" s="36"/>
      <c r="BO334" s="36"/>
    </row>
    <row r="335" spans="1:67" x14ac:dyDescent="0.25">
      <c r="A335" s="39"/>
      <c r="B335" s="40"/>
      <c r="U335" s="36"/>
      <c r="V335" s="36"/>
      <c r="W335" s="35"/>
      <c r="X335" s="7"/>
      <c r="Y335" s="7"/>
      <c r="Z335" s="7"/>
      <c r="AA335" s="7"/>
      <c r="AB335" s="7"/>
      <c r="AC335" s="7"/>
      <c r="AD335" s="7"/>
      <c r="AE335" s="7"/>
      <c r="AG335" s="36"/>
      <c r="AH335" s="36"/>
      <c r="AI335" s="35"/>
      <c r="AJ335" s="7"/>
      <c r="AK335" s="7"/>
      <c r="AL335" s="7"/>
      <c r="AM335" s="7"/>
      <c r="AN335" s="7"/>
      <c r="AO335" s="7"/>
      <c r="AP335" s="7"/>
      <c r="AQ335" s="7"/>
      <c r="AS335" s="36"/>
      <c r="AT335" s="36"/>
      <c r="AU335" s="35"/>
      <c r="AV335" s="7"/>
      <c r="AW335" s="7"/>
      <c r="AX335" s="7"/>
      <c r="AY335" s="7"/>
      <c r="AZ335" s="7"/>
      <c r="BA335" s="7"/>
      <c r="BB335" s="7"/>
      <c r="BC335" s="7"/>
      <c r="BF335" s="7"/>
      <c r="BG335" s="36"/>
      <c r="BH335" s="36"/>
      <c r="BI335" s="36"/>
      <c r="BJ335" s="36"/>
      <c r="BK335" s="36"/>
      <c r="BL335" s="36"/>
      <c r="BM335" s="36"/>
      <c r="BN335" s="36"/>
      <c r="BO335" s="36"/>
    </row>
    <row r="336" spans="1:67" x14ac:dyDescent="0.25">
      <c r="A336" s="39"/>
      <c r="B336" s="40"/>
      <c r="U336" s="36"/>
      <c r="V336" s="36"/>
      <c r="W336" s="35"/>
      <c r="X336" s="7"/>
      <c r="Y336" s="7"/>
      <c r="Z336" s="7"/>
      <c r="AA336" s="7"/>
      <c r="AB336" s="7"/>
      <c r="AC336" s="7"/>
      <c r="AD336" s="7"/>
      <c r="AE336" s="7"/>
      <c r="AG336" s="36"/>
      <c r="AH336" s="36"/>
      <c r="AI336" s="35"/>
      <c r="AJ336" s="7"/>
      <c r="AK336" s="7"/>
      <c r="AL336" s="7"/>
      <c r="AM336" s="7"/>
      <c r="AN336" s="7"/>
      <c r="AO336" s="7"/>
      <c r="AP336" s="7"/>
      <c r="AQ336" s="7"/>
      <c r="AS336" s="36"/>
      <c r="AT336" s="36"/>
      <c r="AU336" s="35"/>
      <c r="AV336" s="7"/>
      <c r="AW336" s="7"/>
      <c r="AX336" s="7"/>
      <c r="AY336" s="7"/>
      <c r="AZ336" s="7"/>
      <c r="BA336" s="7"/>
      <c r="BB336" s="7"/>
      <c r="BC336" s="7"/>
      <c r="BF336" s="7"/>
      <c r="BG336" s="36"/>
      <c r="BH336" s="36"/>
      <c r="BI336" s="36"/>
      <c r="BJ336" s="36"/>
      <c r="BK336" s="36"/>
      <c r="BL336" s="36"/>
      <c r="BM336" s="36"/>
      <c r="BN336" s="36"/>
      <c r="BO336" s="36"/>
    </row>
    <row r="337" spans="1:67" x14ac:dyDescent="0.25">
      <c r="A337" s="39"/>
      <c r="B337" s="40"/>
      <c r="U337" s="36"/>
      <c r="V337" s="36"/>
      <c r="W337" s="35"/>
      <c r="X337" s="7"/>
      <c r="Y337" s="7"/>
      <c r="Z337" s="7"/>
      <c r="AA337" s="7"/>
      <c r="AB337" s="7"/>
      <c r="AC337" s="7"/>
      <c r="AD337" s="7"/>
      <c r="AE337" s="7"/>
      <c r="AG337" s="36"/>
      <c r="AH337" s="36"/>
      <c r="AI337" s="35"/>
      <c r="AJ337" s="7"/>
      <c r="AK337" s="7"/>
      <c r="AL337" s="7"/>
      <c r="AM337" s="7"/>
      <c r="AN337" s="7"/>
      <c r="AO337" s="7"/>
      <c r="AP337" s="7"/>
      <c r="AQ337" s="7"/>
      <c r="AS337" s="36"/>
      <c r="AT337" s="36"/>
      <c r="AU337" s="35"/>
      <c r="AV337" s="7"/>
      <c r="AW337" s="7"/>
      <c r="AX337" s="7"/>
      <c r="AY337" s="7"/>
      <c r="AZ337" s="7"/>
      <c r="BA337" s="7"/>
      <c r="BB337" s="7"/>
      <c r="BC337" s="7"/>
      <c r="BF337" s="7"/>
      <c r="BG337" s="36"/>
      <c r="BH337" s="36"/>
      <c r="BI337" s="36"/>
      <c r="BJ337" s="36"/>
      <c r="BK337" s="36"/>
      <c r="BL337" s="36"/>
      <c r="BM337" s="36"/>
      <c r="BN337" s="36"/>
      <c r="BO337" s="36"/>
    </row>
    <row r="338" spans="1:67" x14ac:dyDescent="0.25">
      <c r="A338" s="39"/>
      <c r="B338" s="40"/>
      <c r="U338" s="36"/>
      <c r="V338" s="36"/>
      <c r="W338" s="35"/>
      <c r="X338" s="7"/>
      <c r="Y338" s="7"/>
      <c r="Z338" s="7"/>
      <c r="AA338" s="7"/>
      <c r="AB338" s="7"/>
      <c r="AC338" s="7"/>
      <c r="AD338" s="7"/>
      <c r="AE338" s="7"/>
      <c r="AG338" s="36"/>
      <c r="AH338" s="36"/>
      <c r="AI338" s="35"/>
      <c r="AJ338" s="7"/>
      <c r="AK338" s="7"/>
      <c r="AL338" s="7"/>
      <c r="AM338" s="7"/>
      <c r="AN338" s="7"/>
      <c r="AO338" s="7"/>
      <c r="AP338" s="7"/>
      <c r="AQ338" s="7"/>
      <c r="AS338" s="36"/>
      <c r="AT338" s="36"/>
      <c r="AU338" s="35"/>
      <c r="AV338" s="7"/>
      <c r="AW338" s="7"/>
      <c r="AX338" s="7"/>
      <c r="AY338" s="7"/>
      <c r="AZ338" s="7"/>
      <c r="BA338" s="7"/>
      <c r="BB338" s="7"/>
      <c r="BC338" s="7"/>
      <c r="BF338" s="7"/>
      <c r="BG338" s="36"/>
      <c r="BH338" s="36"/>
      <c r="BI338" s="36"/>
      <c r="BJ338" s="36"/>
      <c r="BK338" s="36"/>
      <c r="BL338" s="36"/>
      <c r="BM338" s="36"/>
      <c r="BN338" s="36"/>
      <c r="BO338" s="36"/>
    </row>
    <row r="339" spans="1:67" x14ac:dyDescent="0.25">
      <c r="A339" s="39"/>
      <c r="B339" s="40"/>
      <c r="U339" s="36"/>
      <c r="V339" s="36"/>
      <c r="W339" s="35"/>
      <c r="X339" s="7"/>
      <c r="Y339" s="7"/>
      <c r="Z339" s="7"/>
      <c r="AA339" s="7"/>
      <c r="AB339" s="7"/>
      <c r="AC339" s="7"/>
      <c r="AD339" s="7"/>
      <c r="AE339" s="7"/>
      <c r="AG339" s="36"/>
      <c r="AH339" s="36"/>
      <c r="AI339" s="35"/>
      <c r="AJ339" s="7"/>
      <c r="AK339" s="7"/>
      <c r="AL339" s="7"/>
      <c r="AM339" s="7"/>
      <c r="AN339" s="7"/>
      <c r="AO339" s="7"/>
      <c r="AP339" s="7"/>
      <c r="AQ339" s="7"/>
      <c r="AS339" s="36"/>
      <c r="AT339" s="36"/>
      <c r="AU339" s="35"/>
      <c r="AV339" s="7"/>
      <c r="AW339" s="7"/>
      <c r="AX339" s="7"/>
      <c r="AY339" s="7"/>
      <c r="AZ339" s="7"/>
      <c r="BA339" s="7"/>
      <c r="BB339" s="7"/>
      <c r="BC339" s="7"/>
      <c r="BF339" s="7"/>
      <c r="BG339" s="36"/>
      <c r="BH339" s="36"/>
      <c r="BI339" s="36"/>
      <c r="BJ339" s="36"/>
      <c r="BK339" s="36"/>
      <c r="BL339" s="36"/>
      <c r="BM339" s="36"/>
      <c r="BN339" s="36"/>
      <c r="BO339" s="36"/>
    </row>
    <row r="340" spans="1:67" x14ac:dyDescent="0.25">
      <c r="A340" s="39"/>
      <c r="B340" s="40"/>
      <c r="U340" s="36"/>
      <c r="V340" s="36"/>
      <c r="W340" s="35"/>
      <c r="X340" s="7"/>
      <c r="Y340" s="7"/>
      <c r="Z340" s="7"/>
      <c r="AA340" s="7"/>
      <c r="AB340" s="7"/>
      <c r="AC340" s="7"/>
      <c r="AD340" s="7"/>
      <c r="AE340" s="7"/>
      <c r="AG340" s="36"/>
      <c r="AH340" s="36"/>
      <c r="AI340" s="35"/>
      <c r="AJ340" s="7"/>
      <c r="AK340" s="7"/>
      <c r="AL340" s="7"/>
      <c r="AM340" s="7"/>
      <c r="AN340" s="7"/>
      <c r="AO340" s="7"/>
      <c r="AP340" s="7"/>
      <c r="AQ340" s="7"/>
      <c r="AS340" s="36"/>
      <c r="AT340" s="36"/>
      <c r="AU340" s="35"/>
      <c r="AV340" s="7"/>
      <c r="AW340" s="7"/>
      <c r="AX340" s="7"/>
      <c r="AY340" s="7"/>
      <c r="AZ340" s="7"/>
      <c r="BA340" s="7"/>
      <c r="BB340" s="7"/>
      <c r="BC340" s="7"/>
      <c r="BF340" s="7"/>
      <c r="BG340" s="36"/>
      <c r="BH340" s="36"/>
      <c r="BI340" s="36"/>
      <c r="BJ340" s="36"/>
      <c r="BK340" s="36"/>
      <c r="BL340" s="36"/>
      <c r="BM340" s="36"/>
      <c r="BN340" s="36"/>
      <c r="BO340" s="36"/>
    </row>
    <row r="341" spans="1:67" x14ac:dyDescent="0.25">
      <c r="A341" s="39"/>
      <c r="B341" s="40"/>
      <c r="U341" s="36"/>
      <c r="V341" s="36"/>
      <c r="W341" s="35"/>
      <c r="X341" s="7"/>
      <c r="Y341" s="7"/>
      <c r="Z341" s="7"/>
      <c r="AA341" s="7"/>
      <c r="AB341" s="7"/>
      <c r="AC341" s="7"/>
      <c r="AD341" s="7"/>
      <c r="AE341" s="7"/>
      <c r="AG341" s="36"/>
      <c r="AH341" s="36"/>
      <c r="AI341" s="35"/>
      <c r="AJ341" s="7"/>
      <c r="AK341" s="7"/>
      <c r="AL341" s="7"/>
      <c r="AM341" s="7"/>
      <c r="AN341" s="7"/>
      <c r="AO341" s="7"/>
      <c r="AP341" s="7"/>
      <c r="AQ341" s="7"/>
      <c r="AS341" s="36"/>
      <c r="AT341" s="36"/>
      <c r="AU341" s="35"/>
      <c r="AV341" s="7"/>
      <c r="AW341" s="7"/>
      <c r="AX341" s="7"/>
      <c r="AY341" s="7"/>
      <c r="AZ341" s="7"/>
      <c r="BA341" s="7"/>
      <c r="BB341" s="7"/>
      <c r="BC341" s="7"/>
      <c r="BF341" s="7"/>
      <c r="BG341" s="36"/>
      <c r="BH341" s="36"/>
      <c r="BI341" s="36"/>
      <c r="BJ341" s="36"/>
      <c r="BK341" s="36"/>
      <c r="BL341" s="36"/>
      <c r="BM341" s="36"/>
      <c r="BN341" s="36"/>
      <c r="BO341" s="36"/>
    </row>
    <row r="342" spans="1:67" x14ac:dyDescent="0.25">
      <c r="A342" s="39"/>
      <c r="B342" s="40"/>
      <c r="U342" s="36"/>
      <c r="V342" s="36"/>
      <c r="W342" s="35"/>
      <c r="X342" s="7"/>
      <c r="Y342" s="7"/>
      <c r="Z342" s="7"/>
      <c r="AA342" s="7"/>
      <c r="AB342" s="7"/>
      <c r="AC342" s="7"/>
      <c r="AD342" s="7"/>
      <c r="AE342" s="7"/>
      <c r="AG342" s="36"/>
      <c r="AH342" s="36"/>
      <c r="AI342" s="35"/>
      <c r="AJ342" s="7"/>
      <c r="AK342" s="7"/>
      <c r="AL342" s="7"/>
      <c r="AM342" s="7"/>
      <c r="AN342" s="7"/>
      <c r="AO342" s="7"/>
      <c r="AP342" s="7"/>
      <c r="AQ342" s="7"/>
      <c r="AS342" s="36"/>
      <c r="AT342" s="36"/>
      <c r="AU342" s="35"/>
      <c r="AV342" s="7"/>
      <c r="AW342" s="7"/>
      <c r="AX342" s="7"/>
      <c r="AY342" s="7"/>
      <c r="AZ342" s="7"/>
      <c r="BA342" s="7"/>
      <c r="BB342" s="7"/>
      <c r="BC342" s="7"/>
      <c r="BF342" s="7"/>
      <c r="BG342" s="36"/>
      <c r="BH342" s="36"/>
      <c r="BI342" s="36"/>
      <c r="BJ342" s="36"/>
      <c r="BK342" s="36"/>
      <c r="BL342" s="36"/>
      <c r="BM342" s="36"/>
      <c r="BN342" s="36"/>
      <c r="BO342" s="36"/>
    </row>
    <row r="343" spans="1:67" x14ac:dyDescent="0.25">
      <c r="A343" s="39"/>
      <c r="B343" s="40"/>
      <c r="U343" s="36"/>
      <c r="V343" s="36"/>
      <c r="W343" s="35"/>
      <c r="X343" s="7"/>
      <c r="Y343" s="7"/>
      <c r="Z343" s="7"/>
      <c r="AA343" s="7"/>
      <c r="AB343" s="7"/>
      <c r="AC343" s="7"/>
      <c r="AD343" s="7"/>
      <c r="AE343" s="7"/>
      <c r="AG343" s="36"/>
      <c r="AH343" s="36"/>
      <c r="AI343" s="35"/>
      <c r="AJ343" s="7"/>
      <c r="AK343" s="7"/>
      <c r="AL343" s="7"/>
      <c r="AM343" s="7"/>
      <c r="AN343" s="7"/>
      <c r="AO343" s="7"/>
      <c r="AP343" s="7"/>
      <c r="AQ343" s="7"/>
      <c r="AS343" s="36"/>
      <c r="AT343" s="36"/>
      <c r="AU343" s="35"/>
      <c r="AV343" s="7"/>
      <c r="AW343" s="7"/>
      <c r="AX343" s="7"/>
      <c r="AY343" s="7"/>
      <c r="AZ343" s="7"/>
      <c r="BA343" s="7"/>
      <c r="BB343" s="7"/>
      <c r="BC343" s="7"/>
      <c r="BF343" s="7"/>
      <c r="BG343" s="36"/>
      <c r="BH343" s="36"/>
      <c r="BI343" s="36"/>
      <c r="BJ343" s="36"/>
      <c r="BK343" s="36"/>
      <c r="BL343" s="36"/>
      <c r="BM343" s="36"/>
      <c r="BN343" s="36"/>
      <c r="BO343" s="36"/>
    </row>
    <row r="344" spans="1:67" x14ac:dyDescent="0.25">
      <c r="A344" s="39"/>
      <c r="B344" s="40"/>
      <c r="U344" s="36"/>
      <c r="V344" s="36"/>
      <c r="W344" s="35"/>
      <c r="X344" s="7"/>
      <c r="Y344" s="7"/>
      <c r="Z344" s="7"/>
      <c r="AA344" s="7"/>
      <c r="AB344" s="7"/>
      <c r="AC344" s="7"/>
      <c r="AD344" s="7"/>
      <c r="AE344" s="7"/>
      <c r="AG344" s="36"/>
      <c r="AH344" s="36"/>
      <c r="AI344" s="35"/>
      <c r="AJ344" s="7"/>
      <c r="AK344" s="7"/>
      <c r="AL344" s="7"/>
      <c r="AM344" s="7"/>
      <c r="AN344" s="7"/>
      <c r="AO344" s="7"/>
      <c r="AP344" s="7"/>
      <c r="AQ344" s="7"/>
      <c r="AS344" s="36"/>
      <c r="AT344" s="36"/>
      <c r="AU344" s="35"/>
      <c r="AV344" s="7"/>
      <c r="AW344" s="7"/>
      <c r="AX344" s="7"/>
      <c r="AY344" s="7"/>
      <c r="AZ344" s="7"/>
      <c r="BA344" s="7"/>
      <c r="BB344" s="7"/>
      <c r="BC344" s="7"/>
      <c r="BF344" s="7"/>
      <c r="BG344" s="36"/>
      <c r="BH344" s="36"/>
      <c r="BI344" s="36"/>
      <c r="BJ344" s="36"/>
      <c r="BK344" s="36"/>
      <c r="BL344" s="36"/>
      <c r="BM344" s="36"/>
      <c r="BN344" s="36"/>
      <c r="BO344" s="36"/>
    </row>
    <row r="345" spans="1:67" x14ac:dyDescent="0.25">
      <c r="A345" s="39"/>
      <c r="B345" s="40"/>
      <c r="U345" s="36"/>
      <c r="V345" s="36"/>
      <c r="W345" s="35"/>
      <c r="X345" s="7"/>
      <c r="Y345" s="7"/>
      <c r="Z345" s="7"/>
      <c r="AA345" s="7"/>
      <c r="AB345" s="7"/>
      <c r="AC345" s="7"/>
      <c r="AD345" s="7"/>
      <c r="AE345" s="7"/>
      <c r="AG345" s="36"/>
      <c r="AH345" s="36"/>
      <c r="AI345" s="35"/>
      <c r="AJ345" s="7"/>
      <c r="AK345" s="7"/>
      <c r="AL345" s="7"/>
      <c r="AM345" s="7"/>
      <c r="AN345" s="7"/>
      <c r="AO345" s="7"/>
      <c r="AP345" s="7"/>
      <c r="AQ345" s="7"/>
      <c r="AS345" s="36"/>
      <c r="AT345" s="36"/>
      <c r="AU345" s="35"/>
      <c r="AV345" s="7"/>
      <c r="AW345" s="7"/>
      <c r="AX345" s="7"/>
      <c r="AY345" s="7"/>
      <c r="AZ345" s="7"/>
      <c r="BA345" s="7"/>
      <c r="BB345" s="7"/>
      <c r="BC345" s="7"/>
      <c r="BF345" s="7"/>
      <c r="BG345" s="36"/>
      <c r="BH345" s="36"/>
      <c r="BI345" s="36"/>
      <c r="BJ345" s="36"/>
      <c r="BK345" s="36"/>
      <c r="BL345" s="36"/>
      <c r="BM345" s="36"/>
      <c r="BN345" s="36"/>
      <c r="BO345" s="36"/>
    </row>
    <row r="346" spans="1:67" x14ac:dyDescent="0.25">
      <c r="A346" s="39"/>
      <c r="B346" s="40"/>
      <c r="U346" s="36"/>
      <c r="V346" s="36"/>
      <c r="W346" s="35"/>
      <c r="X346" s="7"/>
      <c r="Y346" s="7"/>
      <c r="Z346" s="7"/>
      <c r="AA346" s="7"/>
      <c r="AB346" s="7"/>
      <c r="AC346" s="7"/>
      <c r="AD346" s="7"/>
      <c r="AE346" s="7"/>
      <c r="AG346" s="36"/>
      <c r="AH346" s="36"/>
      <c r="AI346" s="35"/>
      <c r="AJ346" s="7"/>
      <c r="AK346" s="7"/>
      <c r="AL346" s="7"/>
      <c r="AM346" s="7"/>
      <c r="AN346" s="7"/>
      <c r="AO346" s="7"/>
      <c r="AP346" s="7"/>
      <c r="AQ346" s="7"/>
      <c r="AS346" s="36"/>
      <c r="AT346" s="36"/>
      <c r="AU346" s="35"/>
      <c r="AV346" s="7"/>
      <c r="AW346" s="7"/>
      <c r="AX346" s="7"/>
      <c r="AY346" s="7"/>
      <c r="AZ346" s="7"/>
      <c r="BA346" s="7"/>
      <c r="BB346" s="7"/>
      <c r="BC346" s="7"/>
      <c r="BF346" s="7"/>
      <c r="BG346" s="36"/>
      <c r="BH346" s="36"/>
      <c r="BI346" s="36"/>
      <c r="BJ346" s="36"/>
      <c r="BK346" s="36"/>
      <c r="BL346" s="36"/>
      <c r="BM346" s="36"/>
      <c r="BN346" s="36"/>
      <c r="BO346" s="36"/>
    </row>
    <row r="347" spans="1:67" x14ac:dyDescent="0.25">
      <c r="A347" s="39"/>
      <c r="B347" s="40"/>
      <c r="U347" s="36"/>
      <c r="V347" s="36"/>
      <c r="W347" s="35"/>
      <c r="X347" s="7"/>
      <c r="Y347" s="7"/>
      <c r="Z347" s="7"/>
      <c r="AA347" s="7"/>
      <c r="AB347" s="7"/>
      <c r="AC347" s="7"/>
      <c r="AD347" s="7"/>
      <c r="AE347" s="7"/>
      <c r="AG347" s="36"/>
      <c r="AH347" s="36"/>
      <c r="AI347" s="35"/>
      <c r="AJ347" s="7"/>
      <c r="AK347" s="7"/>
      <c r="AL347" s="7"/>
      <c r="AM347" s="7"/>
      <c r="AN347" s="7"/>
      <c r="AO347" s="7"/>
      <c r="AP347" s="7"/>
      <c r="AQ347" s="7"/>
      <c r="AS347" s="36"/>
      <c r="AT347" s="36"/>
      <c r="AU347" s="35"/>
      <c r="AV347" s="7"/>
      <c r="AW347" s="7"/>
      <c r="AX347" s="7"/>
      <c r="AY347" s="7"/>
      <c r="AZ347" s="7"/>
      <c r="BA347" s="7"/>
      <c r="BB347" s="7"/>
      <c r="BC347" s="7"/>
      <c r="BF347" s="7"/>
      <c r="BG347" s="36"/>
      <c r="BH347" s="36"/>
      <c r="BI347" s="36"/>
      <c r="BJ347" s="36"/>
      <c r="BK347" s="36"/>
      <c r="BL347" s="36"/>
      <c r="BM347" s="36"/>
      <c r="BN347" s="36"/>
      <c r="BO347" s="36"/>
    </row>
    <row r="348" spans="1:67" x14ac:dyDescent="0.25">
      <c r="A348" s="39"/>
      <c r="B348" s="40"/>
      <c r="U348" s="36"/>
      <c r="V348" s="36"/>
      <c r="W348" s="35"/>
      <c r="X348" s="7"/>
      <c r="Y348" s="7"/>
      <c r="Z348" s="7"/>
      <c r="AA348" s="7"/>
      <c r="AB348" s="7"/>
      <c r="AC348" s="7"/>
      <c r="AD348" s="7"/>
      <c r="AE348" s="7"/>
      <c r="AG348" s="36"/>
      <c r="AH348" s="36"/>
      <c r="AI348" s="35"/>
      <c r="AJ348" s="7"/>
      <c r="AK348" s="7"/>
      <c r="AL348" s="7"/>
      <c r="AM348" s="7"/>
      <c r="AN348" s="7"/>
      <c r="AO348" s="7"/>
      <c r="AP348" s="7"/>
      <c r="AQ348" s="7"/>
      <c r="AS348" s="36"/>
      <c r="AT348" s="36"/>
      <c r="AU348" s="35"/>
      <c r="AV348" s="7"/>
      <c r="AW348" s="7"/>
      <c r="AX348" s="7"/>
      <c r="AY348" s="7"/>
      <c r="AZ348" s="7"/>
      <c r="BA348" s="7"/>
      <c r="BB348" s="7"/>
      <c r="BC348" s="7"/>
      <c r="BF348" s="7"/>
      <c r="BG348" s="36"/>
      <c r="BH348" s="36"/>
      <c r="BI348" s="36"/>
      <c r="BJ348" s="36"/>
      <c r="BK348" s="36"/>
      <c r="BL348" s="36"/>
      <c r="BM348" s="36"/>
      <c r="BN348" s="36"/>
      <c r="BO348" s="36"/>
    </row>
    <row r="349" spans="1:67" x14ac:dyDescent="0.25">
      <c r="A349" s="39"/>
      <c r="B349" s="40"/>
      <c r="U349" s="36"/>
      <c r="V349" s="36"/>
      <c r="W349" s="35"/>
      <c r="X349" s="7"/>
      <c r="Y349" s="7"/>
      <c r="Z349" s="7"/>
      <c r="AA349" s="7"/>
      <c r="AB349" s="7"/>
      <c r="AC349" s="7"/>
      <c r="AD349" s="7"/>
      <c r="AE349" s="7"/>
      <c r="AG349" s="36"/>
      <c r="AH349" s="36"/>
      <c r="AI349" s="35"/>
      <c r="AJ349" s="7"/>
      <c r="AK349" s="7"/>
      <c r="AL349" s="7"/>
      <c r="AM349" s="7"/>
      <c r="AN349" s="7"/>
      <c r="AO349" s="7"/>
      <c r="AP349" s="7"/>
      <c r="AQ349" s="7"/>
      <c r="AS349" s="36"/>
      <c r="AT349" s="36"/>
      <c r="AU349" s="35"/>
      <c r="AV349" s="7"/>
      <c r="AW349" s="7"/>
      <c r="AX349" s="7"/>
      <c r="AY349" s="7"/>
      <c r="AZ349" s="7"/>
      <c r="BA349" s="7"/>
      <c r="BB349" s="7"/>
      <c r="BC349" s="7"/>
      <c r="BF349" s="7"/>
      <c r="BG349" s="36"/>
      <c r="BH349" s="36"/>
      <c r="BI349" s="36"/>
      <c r="BJ349" s="36"/>
      <c r="BK349" s="36"/>
      <c r="BL349" s="36"/>
      <c r="BM349" s="36"/>
      <c r="BN349" s="36"/>
      <c r="BO349" s="36"/>
    </row>
    <row r="350" spans="1:67" x14ac:dyDescent="0.25">
      <c r="A350" s="39"/>
      <c r="B350" s="40"/>
      <c r="U350" s="36"/>
      <c r="V350" s="36"/>
      <c r="W350" s="35"/>
      <c r="X350" s="7"/>
      <c r="Y350" s="7"/>
      <c r="Z350" s="7"/>
      <c r="AA350" s="7"/>
      <c r="AB350" s="7"/>
      <c r="AC350" s="7"/>
      <c r="AD350" s="7"/>
      <c r="AE350" s="7"/>
      <c r="AG350" s="36"/>
      <c r="AH350" s="36"/>
      <c r="AI350" s="35"/>
      <c r="AJ350" s="7"/>
      <c r="AK350" s="7"/>
      <c r="AL350" s="7"/>
      <c r="AM350" s="7"/>
      <c r="AN350" s="7"/>
      <c r="AO350" s="7"/>
      <c r="AP350" s="7"/>
      <c r="AQ350" s="7"/>
      <c r="AS350" s="36"/>
      <c r="AT350" s="36"/>
      <c r="AU350" s="35"/>
      <c r="AV350" s="7"/>
      <c r="AW350" s="7"/>
      <c r="AX350" s="7"/>
      <c r="AY350" s="7"/>
      <c r="AZ350" s="7"/>
      <c r="BA350" s="7"/>
      <c r="BB350" s="7"/>
      <c r="BC350" s="7"/>
      <c r="BF350" s="7"/>
      <c r="BG350" s="36"/>
      <c r="BH350" s="36"/>
      <c r="BI350" s="36"/>
      <c r="BJ350" s="36"/>
      <c r="BK350" s="36"/>
      <c r="BL350" s="36"/>
      <c r="BM350" s="36"/>
      <c r="BN350" s="36"/>
      <c r="BO350" s="36"/>
    </row>
    <row r="351" spans="1:67" x14ac:dyDescent="0.25">
      <c r="A351" s="39"/>
      <c r="B351" s="40"/>
      <c r="U351" s="36"/>
      <c r="V351" s="36"/>
      <c r="W351" s="35"/>
      <c r="X351" s="7"/>
      <c r="Y351" s="7"/>
      <c r="Z351" s="7"/>
      <c r="AA351" s="7"/>
      <c r="AB351" s="7"/>
      <c r="AC351" s="7"/>
      <c r="AD351" s="7"/>
      <c r="AE351" s="7"/>
      <c r="AG351" s="36"/>
      <c r="AH351" s="36"/>
      <c r="AI351" s="35"/>
      <c r="AJ351" s="7"/>
      <c r="AK351" s="7"/>
      <c r="AL351" s="7"/>
      <c r="AM351" s="7"/>
      <c r="AN351" s="7"/>
      <c r="AO351" s="7"/>
      <c r="AP351" s="7"/>
      <c r="AQ351" s="7"/>
      <c r="AS351" s="36"/>
      <c r="AT351" s="36"/>
      <c r="AU351" s="35"/>
      <c r="AV351" s="7"/>
      <c r="AW351" s="7"/>
      <c r="AX351" s="7"/>
      <c r="AY351" s="7"/>
      <c r="AZ351" s="7"/>
      <c r="BA351" s="7"/>
      <c r="BB351" s="7"/>
      <c r="BC351" s="7"/>
      <c r="BF351" s="7"/>
      <c r="BG351" s="36"/>
      <c r="BH351" s="36"/>
      <c r="BI351" s="36"/>
      <c r="BJ351" s="36"/>
      <c r="BK351" s="36"/>
      <c r="BL351" s="36"/>
      <c r="BM351" s="36"/>
      <c r="BN351" s="36"/>
      <c r="BO351" s="36"/>
    </row>
    <row r="352" spans="1:67" x14ac:dyDescent="0.25">
      <c r="A352" s="39"/>
      <c r="B352" s="40"/>
      <c r="U352" s="36"/>
      <c r="V352" s="36"/>
      <c r="W352" s="35"/>
      <c r="X352" s="7"/>
      <c r="Y352" s="7"/>
      <c r="Z352" s="7"/>
      <c r="AA352" s="7"/>
      <c r="AB352" s="7"/>
      <c r="AC352" s="7"/>
      <c r="AD352" s="7"/>
      <c r="AE352" s="7"/>
      <c r="AG352" s="36"/>
      <c r="AH352" s="36"/>
      <c r="AI352" s="35"/>
      <c r="AJ352" s="7"/>
      <c r="AK352" s="7"/>
      <c r="AL352" s="7"/>
      <c r="AM352" s="7"/>
      <c r="AN352" s="7"/>
      <c r="AO352" s="7"/>
      <c r="AP352" s="7"/>
      <c r="AQ352" s="7"/>
      <c r="AS352" s="36"/>
      <c r="AT352" s="36"/>
      <c r="AU352" s="35"/>
      <c r="AV352" s="7"/>
      <c r="AW352" s="7"/>
      <c r="AX352" s="7"/>
      <c r="AY352" s="7"/>
      <c r="AZ352" s="7"/>
      <c r="BA352" s="7"/>
      <c r="BB352" s="7"/>
      <c r="BC352" s="7"/>
      <c r="BF352" s="7"/>
      <c r="BG352" s="36"/>
      <c r="BH352" s="36"/>
      <c r="BI352" s="36"/>
      <c r="BJ352" s="36"/>
      <c r="BK352" s="36"/>
      <c r="BL352" s="36"/>
      <c r="BM352" s="36"/>
      <c r="BN352" s="36"/>
      <c r="BO352" s="36"/>
    </row>
    <row r="353" spans="1:67" x14ac:dyDescent="0.25">
      <c r="A353" s="39"/>
      <c r="B353" s="40"/>
      <c r="U353" s="36"/>
      <c r="V353" s="36"/>
      <c r="W353" s="35"/>
      <c r="X353" s="7"/>
      <c r="Y353" s="7"/>
      <c r="Z353" s="7"/>
      <c r="AA353" s="7"/>
      <c r="AB353" s="7"/>
      <c r="AC353" s="7"/>
      <c r="AD353" s="7"/>
      <c r="AE353" s="7"/>
      <c r="AG353" s="36"/>
      <c r="AH353" s="36"/>
      <c r="AI353" s="35"/>
      <c r="AJ353" s="7"/>
      <c r="AK353" s="7"/>
      <c r="AL353" s="7"/>
      <c r="AM353" s="7"/>
      <c r="AN353" s="7"/>
      <c r="AO353" s="7"/>
      <c r="AP353" s="7"/>
      <c r="AQ353" s="7"/>
      <c r="AS353" s="36"/>
      <c r="AT353" s="36"/>
      <c r="AU353" s="35"/>
      <c r="AV353" s="7"/>
      <c r="AW353" s="7"/>
      <c r="AX353" s="7"/>
      <c r="AY353" s="7"/>
      <c r="AZ353" s="7"/>
      <c r="BA353" s="7"/>
      <c r="BB353" s="7"/>
      <c r="BC353" s="7"/>
      <c r="BF353" s="7"/>
      <c r="BG353" s="36"/>
      <c r="BH353" s="36"/>
      <c r="BI353" s="36"/>
      <c r="BJ353" s="36"/>
      <c r="BK353" s="36"/>
      <c r="BL353" s="36"/>
      <c r="BM353" s="36"/>
      <c r="BN353" s="36"/>
      <c r="BO353" s="36"/>
    </row>
    <row r="354" spans="1:67" x14ac:dyDescent="0.25">
      <c r="A354" s="39"/>
      <c r="B354" s="40"/>
      <c r="U354" s="36"/>
      <c r="V354" s="36"/>
      <c r="W354" s="35"/>
      <c r="X354" s="7"/>
      <c r="Y354" s="7"/>
      <c r="Z354" s="7"/>
      <c r="AA354" s="7"/>
      <c r="AB354" s="7"/>
      <c r="AC354" s="7"/>
      <c r="AD354" s="7"/>
      <c r="AE354" s="7"/>
      <c r="AG354" s="36"/>
      <c r="AH354" s="36"/>
      <c r="AI354" s="35"/>
      <c r="AJ354" s="7"/>
      <c r="AK354" s="7"/>
      <c r="AL354" s="7"/>
      <c r="AM354" s="7"/>
      <c r="AN354" s="7"/>
      <c r="AO354" s="7"/>
      <c r="AP354" s="7"/>
      <c r="AQ354" s="7"/>
      <c r="AS354" s="36"/>
      <c r="AT354" s="36"/>
      <c r="AU354" s="35"/>
      <c r="AV354" s="7"/>
      <c r="AW354" s="7"/>
      <c r="AX354" s="7"/>
      <c r="AY354" s="7"/>
      <c r="AZ354" s="7"/>
      <c r="BA354" s="7"/>
      <c r="BB354" s="7"/>
      <c r="BC354" s="7"/>
      <c r="BF354" s="7"/>
      <c r="BG354" s="36"/>
      <c r="BH354" s="36"/>
      <c r="BI354" s="36"/>
      <c r="BJ354" s="36"/>
      <c r="BK354" s="36"/>
      <c r="BL354" s="36"/>
      <c r="BM354" s="36"/>
      <c r="BN354" s="36"/>
      <c r="BO354" s="36"/>
    </row>
    <row r="355" spans="1:67" x14ac:dyDescent="0.25">
      <c r="A355" s="39"/>
      <c r="B355" s="40"/>
      <c r="U355" s="36"/>
      <c r="V355" s="36"/>
      <c r="W355" s="35"/>
      <c r="X355" s="7"/>
      <c r="Y355" s="7"/>
      <c r="Z355" s="7"/>
      <c r="AA355" s="7"/>
      <c r="AB355" s="7"/>
      <c r="AC355" s="7"/>
      <c r="AD355" s="7"/>
      <c r="AE355" s="7"/>
      <c r="AG355" s="36"/>
      <c r="AH355" s="36"/>
      <c r="AI355" s="35"/>
      <c r="AJ355" s="7"/>
      <c r="AK355" s="7"/>
      <c r="AL355" s="7"/>
      <c r="AM355" s="7"/>
      <c r="AN355" s="7"/>
      <c r="AO355" s="7"/>
      <c r="AP355" s="7"/>
      <c r="AQ355" s="7"/>
      <c r="AS355" s="36"/>
      <c r="AT355" s="36"/>
      <c r="AU355" s="35"/>
      <c r="AV355" s="7"/>
      <c r="AW355" s="7"/>
      <c r="AX355" s="7"/>
      <c r="AY355" s="7"/>
      <c r="AZ355" s="7"/>
      <c r="BA355" s="7"/>
      <c r="BB355" s="7"/>
      <c r="BC355" s="7"/>
      <c r="BF355" s="7"/>
      <c r="BG355" s="36"/>
      <c r="BH355" s="36"/>
      <c r="BI355" s="36"/>
      <c r="BJ355" s="36"/>
      <c r="BK355" s="36"/>
      <c r="BL355" s="36"/>
      <c r="BM355" s="36"/>
      <c r="BN355" s="36"/>
      <c r="BO355" s="36"/>
    </row>
    <row r="356" spans="1:67" x14ac:dyDescent="0.25">
      <c r="A356" s="39"/>
      <c r="B356" s="40"/>
      <c r="U356" s="36"/>
      <c r="V356" s="36"/>
      <c r="W356" s="35"/>
      <c r="X356" s="7"/>
      <c r="Y356" s="7"/>
      <c r="Z356" s="7"/>
      <c r="AA356" s="7"/>
      <c r="AB356" s="7"/>
      <c r="AC356" s="7"/>
      <c r="AD356" s="7"/>
      <c r="AE356" s="7"/>
      <c r="AG356" s="36"/>
      <c r="AH356" s="36"/>
      <c r="AI356" s="35"/>
      <c r="AJ356" s="7"/>
      <c r="AK356" s="7"/>
      <c r="AL356" s="7"/>
      <c r="AM356" s="7"/>
      <c r="AN356" s="7"/>
      <c r="AO356" s="7"/>
      <c r="AP356" s="7"/>
      <c r="AQ356" s="7"/>
      <c r="AS356" s="36"/>
      <c r="AT356" s="36"/>
      <c r="AU356" s="35"/>
      <c r="AV356" s="7"/>
      <c r="AW356" s="7"/>
      <c r="AX356" s="7"/>
      <c r="AY356" s="7"/>
      <c r="AZ356" s="7"/>
      <c r="BA356" s="7"/>
      <c r="BB356" s="7"/>
      <c r="BC356" s="7"/>
      <c r="BF356" s="7"/>
      <c r="BG356" s="36"/>
      <c r="BH356" s="36"/>
      <c r="BI356" s="36"/>
      <c r="BJ356" s="36"/>
      <c r="BK356" s="36"/>
      <c r="BL356" s="36"/>
      <c r="BM356" s="36"/>
      <c r="BN356" s="36"/>
      <c r="BO356" s="36"/>
    </row>
    <row r="357" spans="1:67" x14ac:dyDescent="0.25">
      <c r="A357" s="39"/>
      <c r="B357" s="40"/>
      <c r="U357" s="36"/>
      <c r="V357" s="36"/>
      <c r="W357" s="35"/>
      <c r="X357" s="7"/>
      <c r="Y357" s="7"/>
      <c r="Z357" s="7"/>
      <c r="AA357" s="7"/>
      <c r="AB357" s="7"/>
      <c r="AC357" s="7"/>
      <c r="AD357" s="7"/>
      <c r="AE357" s="7"/>
      <c r="AG357" s="36"/>
      <c r="AH357" s="36"/>
      <c r="AI357" s="35"/>
      <c r="AJ357" s="7"/>
      <c r="AK357" s="7"/>
      <c r="AL357" s="7"/>
      <c r="AM357" s="7"/>
      <c r="AN357" s="7"/>
      <c r="AO357" s="7"/>
      <c r="AP357" s="7"/>
      <c r="AQ357" s="7"/>
      <c r="AS357" s="36"/>
      <c r="AT357" s="36"/>
      <c r="AU357" s="35"/>
      <c r="AV357" s="7"/>
      <c r="AW357" s="7"/>
      <c r="AX357" s="7"/>
      <c r="AY357" s="7"/>
      <c r="AZ357" s="7"/>
      <c r="BA357" s="7"/>
      <c r="BB357" s="7"/>
      <c r="BC357" s="7"/>
      <c r="BF357" s="7"/>
      <c r="BG357" s="36"/>
      <c r="BH357" s="36"/>
      <c r="BI357" s="36"/>
      <c r="BJ357" s="36"/>
      <c r="BK357" s="36"/>
      <c r="BL357" s="36"/>
      <c r="BM357" s="36"/>
      <c r="BN357" s="36"/>
      <c r="BO357" s="36"/>
    </row>
    <row r="358" spans="1:67" x14ac:dyDescent="0.25">
      <c r="A358" s="39"/>
      <c r="B358" s="40"/>
      <c r="U358" s="36"/>
      <c r="V358" s="36"/>
      <c r="W358" s="35"/>
      <c r="X358" s="7"/>
      <c r="Y358" s="7"/>
      <c r="Z358" s="7"/>
      <c r="AA358" s="7"/>
      <c r="AB358" s="7"/>
      <c r="AC358" s="7"/>
      <c r="AD358" s="7"/>
      <c r="AE358" s="7"/>
      <c r="AG358" s="36"/>
      <c r="AH358" s="36"/>
      <c r="AI358" s="35"/>
      <c r="AJ358" s="7"/>
      <c r="AK358" s="7"/>
      <c r="AL358" s="7"/>
      <c r="AM358" s="7"/>
      <c r="AN358" s="7"/>
      <c r="AO358" s="7"/>
      <c r="AP358" s="7"/>
      <c r="AQ358" s="7"/>
      <c r="AS358" s="36"/>
      <c r="AT358" s="36"/>
      <c r="AU358" s="35"/>
      <c r="AV358" s="7"/>
      <c r="AW358" s="7"/>
      <c r="AX358" s="7"/>
      <c r="AY358" s="7"/>
      <c r="AZ358" s="7"/>
      <c r="BA358" s="7"/>
      <c r="BB358" s="7"/>
      <c r="BC358" s="7"/>
      <c r="BF358" s="7"/>
      <c r="BG358" s="36"/>
      <c r="BH358" s="36"/>
      <c r="BI358" s="36"/>
      <c r="BJ358" s="36"/>
      <c r="BK358" s="36"/>
      <c r="BL358" s="36"/>
      <c r="BM358" s="36"/>
      <c r="BN358" s="36"/>
      <c r="BO358" s="36"/>
    </row>
    <row r="359" spans="1:67" x14ac:dyDescent="0.25">
      <c r="A359" s="39"/>
      <c r="B359" s="40"/>
      <c r="U359" s="36"/>
      <c r="V359" s="36"/>
      <c r="W359" s="35"/>
      <c r="X359" s="7"/>
      <c r="Y359" s="7"/>
      <c r="Z359" s="7"/>
      <c r="AA359" s="7"/>
      <c r="AB359" s="7"/>
      <c r="AC359" s="7"/>
      <c r="AD359" s="7"/>
      <c r="AE359" s="7"/>
      <c r="AG359" s="36"/>
      <c r="AH359" s="36"/>
      <c r="AI359" s="35"/>
      <c r="AJ359" s="7"/>
      <c r="AK359" s="7"/>
      <c r="AL359" s="7"/>
      <c r="AM359" s="7"/>
      <c r="AN359" s="7"/>
      <c r="AO359" s="7"/>
      <c r="AP359" s="7"/>
      <c r="AQ359" s="7"/>
      <c r="AS359" s="36"/>
      <c r="AT359" s="36"/>
      <c r="AU359" s="35"/>
      <c r="AV359" s="7"/>
      <c r="AW359" s="7"/>
      <c r="AX359" s="7"/>
      <c r="AY359" s="7"/>
      <c r="AZ359" s="7"/>
      <c r="BA359" s="7"/>
      <c r="BB359" s="7"/>
      <c r="BC359" s="7"/>
      <c r="BF359" s="7"/>
      <c r="BG359" s="36"/>
      <c r="BH359" s="36"/>
      <c r="BI359" s="36"/>
      <c r="BJ359" s="36"/>
      <c r="BK359" s="36"/>
      <c r="BL359" s="36"/>
      <c r="BM359" s="36"/>
      <c r="BN359" s="36"/>
      <c r="BO359" s="36"/>
    </row>
    <row r="360" spans="1:67" x14ac:dyDescent="0.25">
      <c r="A360" s="39"/>
      <c r="B360" s="40"/>
      <c r="U360" s="36"/>
      <c r="V360" s="36"/>
      <c r="W360" s="35"/>
      <c r="X360" s="7"/>
      <c r="Y360" s="7"/>
      <c r="Z360" s="7"/>
      <c r="AA360" s="7"/>
      <c r="AB360" s="7"/>
      <c r="AC360" s="7"/>
      <c r="AD360" s="7"/>
      <c r="AE360" s="7"/>
      <c r="AG360" s="36"/>
      <c r="AH360" s="36"/>
      <c r="AI360" s="35"/>
      <c r="AJ360" s="7"/>
      <c r="AK360" s="7"/>
      <c r="AL360" s="7"/>
      <c r="AM360" s="7"/>
      <c r="AN360" s="7"/>
      <c r="AO360" s="7"/>
      <c r="AP360" s="7"/>
      <c r="AQ360" s="7"/>
      <c r="AS360" s="36"/>
      <c r="AT360" s="36"/>
      <c r="AU360" s="35"/>
      <c r="AV360" s="7"/>
      <c r="AW360" s="7"/>
      <c r="AX360" s="7"/>
      <c r="AY360" s="7"/>
      <c r="AZ360" s="7"/>
      <c r="BA360" s="7"/>
      <c r="BB360" s="7"/>
      <c r="BC360" s="7"/>
      <c r="BF360" s="7"/>
      <c r="BG360" s="36"/>
      <c r="BH360" s="36"/>
      <c r="BI360" s="36"/>
      <c r="BJ360" s="36"/>
      <c r="BK360" s="36"/>
      <c r="BL360" s="36"/>
      <c r="BM360" s="36"/>
      <c r="BN360" s="36"/>
      <c r="BO360" s="36"/>
    </row>
    <row r="361" spans="1:67" x14ac:dyDescent="0.25">
      <c r="A361" s="39"/>
      <c r="B361" s="40"/>
      <c r="U361" s="36"/>
      <c r="V361" s="36"/>
      <c r="W361" s="35"/>
      <c r="X361" s="7"/>
      <c r="Y361" s="7"/>
      <c r="Z361" s="7"/>
      <c r="AA361" s="7"/>
      <c r="AB361" s="7"/>
      <c r="AC361" s="7"/>
      <c r="AD361" s="7"/>
      <c r="AE361" s="7"/>
      <c r="AG361" s="36"/>
      <c r="AH361" s="36"/>
      <c r="AI361" s="35"/>
      <c r="AJ361" s="7"/>
      <c r="AK361" s="7"/>
      <c r="AL361" s="7"/>
      <c r="AM361" s="7"/>
      <c r="AN361" s="7"/>
      <c r="AO361" s="7"/>
      <c r="AP361" s="7"/>
      <c r="AQ361" s="7"/>
      <c r="AS361" s="36"/>
      <c r="AT361" s="36"/>
      <c r="AU361" s="35"/>
      <c r="AV361" s="7"/>
      <c r="AW361" s="7"/>
      <c r="AX361" s="7"/>
      <c r="AY361" s="7"/>
      <c r="AZ361" s="7"/>
      <c r="BA361" s="7"/>
      <c r="BB361" s="7"/>
      <c r="BC361" s="7"/>
      <c r="BF361" s="7"/>
      <c r="BG361" s="36"/>
      <c r="BH361" s="36"/>
      <c r="BI361" s="36"/>
      <c r="BJ361" s="36"/>
      <c r="BK361" s="36"/>
      <c r="BL361" s="36"/>
      <c r="BM361" s="36"/>
      <c r="BN361" s="36"/>
      <c r="BO361" s="36"/>
    </row>
    <row r="362" spans="1:67" x14ac:dyDescent="0.25">
      <c r="A362" s="39"/>
      <c r="B362" s="40"/>
      <c r="U362" s="36"/>
      <c r="V362" s="36"/>
      <c r="W362" s="35"/>
      <c r="X362" s="7"/>
      <c r="Y362" s="7"/>
      <c r="Z362" s="7"/>
      <c r="AA362" s="7"/>
      <c r="AB362" s="7"/>
      <c r="AC362" s="7"/>
      <c r="AD362" s="7"/>
      <c r="AE362" s="7"/>
      <c r="AG362" s="36"/>
      <c r="AH362" s="36"/>
      <c r="AI362" s="35"/>
      <c r="AJ362" s="7"/>
      <c r="AK362" s="7"/>
      <c r="AL362" s="7"/>
      <c r="AM362" s="7"/>
      <c r="AN362" s="7"/>
      <c r="AO362" s="7"/>
      <c r="AP362" s="7"/>
      <c r="AQ362" s="7"/>
      <c r="AS362" s="36"/>
      <c r="AT362" s="36"/>
      <c r="AU362" s="35"/>
      <c r="AV362" s="7"/>
      <c r="AW362" s="7"/>
      <c r="AX362" s="7"/>
      <c r="AY362" s="7"/>
      <c r="AZ362" s="7"/>
      <c r="BA362" s="7"/>
      <c r="BB362" s="7"/>
      <c r="BC362" s="7"/>
      <c r="BF362" s="7"/>
      <c r="BG362" s="36"/>
      <c r="BH362" s="36"/>
      <c r="BI362" s="36"/>
      <c r="BJ362" s="36"/>
      <c r="BK362" s="36"/>
      <c r="BL362" s="36"/>
      <c r="BM362" s="36"/>
      <c r="BN362" s="36"/>
      <c r="BO362" s="36"/>
    </row>
    <row r="363" spans="1:67" x14ac:dyDescent="0.25">
      <c r="A363" s="39"/>
      <c r="B363" s="40"/>
      <c r="U363" s="36"/>
      <c r="V363" s="36"/>
      <c r="W363" s="35"/>
      <c r="X363" s="7"/>
      <c r="Y363" s="7"/>
      <c r="Z363" s="7"/>
      <c r="AA363" s="7"/>
      <c r="AB363" s="7"/>
      <c r="AC363" s="7"/>
      <c r="AD363" s="7"/>
      <c r="AE363" s="7"/>
      <c r="AG363" s="36"/>
      <c r="AH363" s="36"/>
      <c r="AI363" s="35"/>
      <c r="AJ363" s="7"/>
      <c r="AK363" s="7"/>
      <c r="AL363" s="7"/>
      <c r="AM363" s="7"/>
      <c r="AN363" s="7"/>
      <c r="AO363" s="7"/>
      <c r="AP363" s="7"/>
      <c r="AQ363" s="7"/>
      <c r="AS363" s="36"/>
      <c r="AT363" s="36"/>
      <c r="AU363" s="35"/>
      <c r="AV363" s="7"/>
      <c r="AW363" s="7"/>
      <c r="AX363" s="7"/>
      <c r="AY363" s="7"/>
      <c r="AZ363" s="7"/>
      <c r="BA363" s="7"/>
      <c r="BB363" s="7"/>
      <c r="BC363" s="7"/>
      <c r="BF363" s="7"/>
      <c r="BG363" s="36"/>
      <c r="BH363" s="36"/>
      <c r="BI363" s="36"/>
      <c r="BJ363" s="36"/>
      <c r="BK363" s="36"/>
      <c r="BL363" s="36"/>
      <c r="BM363" s="36"/>
      <c r="BN363" s="36"/>
      <c r="BO363" s="36"/>
    </row>
    <row r="364" spans="1:67" x14ac:dyDescent="0.25">
      <c r="A364" s="39"/>
      <c r="B364" s="40"/>
      <c r="U364" s="36"/>
      <c r="V364" s="36"/>
      <c r="W364" s="35"/>
      <c r="X364" s="7"/>
      <c r="Y364" s="7"/>
      <c r="Z364" s="7"/>
      <c r="AA364" s="7"/>
      <c r="AB364" s="7"/>
      <c r="AC364" s="7"/>
      <c r="AD364" s="7"/>
      <c r="AE364" s="7"/>
      <c r="AG364" s="36"/>
      <c r="AH364" s="36"/>
      <c r="AI364" s="35"/>
      <c r="AJ364" s="7"/>
      <c r="AK364" s="7"/>
      <c r="AL364" s="7"/>
      <c r="AM364" s="7"/>
      <c r="AN364" s="7"/>
      <c r="AO364" s="7"/>
      <c r="AP364" s="7"/>
      <c r="AQ364" s="7"/>
      <c r="AS364" s="36"/>
      <c r="AT364" s="36"/>
      <c r="AU364" s="35"/>
      <c r="AV364" s="7"/>
      <c r="AW364" s="7"/>
      <c r="AX364" s="7"/>
      <c r="AY364" s="7"/>
      <c r="AZ364" s="7"/>
      <c r="BA364" s="7"/>
      <c r="BB364" s="7"/>
      <c r="BC364" s="7"/>
      <c r="BF364" s="7"/>
      <c r="BG364" s="36"/>
      <c r="BH364" s="36"/>
      <c r="BI364" s="36"/>
      <c r="BJ364" s="36"/>
      <c r="BK364" s="36"/>
      <c r="BL364" s="36"/>
      <c r="BM364" s="36"/>
      <c r="BN364" s="36"/>
      <c r="BO364" s="36"/>
    </row>
    <row r="365" spans="1:67" x14ac:dyDescent="0.25">
      <c r="A365" s="39"/>
      <c r="B365" s="40"/>
      <c r="U365" s="36"/>
      <c r="V365" s="36"/>
      <c r="W365" s="35"/>
      <c r="X365" s="7"/>
      <c r="Y365" s="7"/>
      <c r="Z365" s="7"/>
      <c r="AA365" s="7"/>
      <c r="AB365" s="7"/>
      <c r="AC365" s="7"/>
      <c r="AD365" s="7"/>
      <c r="AE365" s="7"/>
      <c r="AG365" s="36"/>
      <c r="AH365" s="36"/>
      <c r="AI365" s="35"/>
      <c r="AJ365" s="7"/>
      <c r="AK365" s="7"/>
      <c r="AL365" s="7"/>
      <c r="AM365" s="7"/>
      <c r="AN365" s="7"/>
      <c r="AO365" s="7"/>
      <c r="AP365" s="7"/>
      <c r="AQ365" s="7"/>
      <c r="AS365" s="36"/>
      <c r="AT365" s="36"/>
      <c r="AU365" s="35"/>
      <c r="AV365" s="7"/>
      <c r="AW365" s="7"/>
      <c r="AX365" s="7"/>
      <c r="AY365" s="7"/>
      <c r="AZ365" s="7"/>
      <c r="BA365" s="7"/>
      <c r="BB365" s="7"/>
      <c r="BC365" s="7"/>
      <c r="BF365" s="7"/>
      <c r="BG365" s="36"/>
      <c r="BH365" s="36"/>
      <c r="BI365" s="36"/>
      <c r="BJ365" s="36"/>
      <c r="BK365" s="36"/>
      <c r="BL365" s="36"/>
      <c r="BM365" s="36"/>
      <c r="BN365" s="36"/>
      <c r="BO365" s="36"/>
    </row>
    <row r="366" spans="1:67" x14ac:dyDescent="0.25">
      <c r="A366" s="39"/>
      <c r="B366" s="40"/>
      <c r="U366" s="36"/>
      <c r="V366" s="36"/>
      <c r="W366" s="35"/>
      <c r="X366" s="7"/>
      <c r="Y366" s="7"/>
      <c r="Z366" s="7"/>
      <c r="AA366" s="7"/>
      <c r="AB366" s="7"/>
      <c r="AC366" s="7"/>
      <c r="AD366" s="7"/>
      <c r="AE366" s="7"/>
      <c r="AG366" s="36"/>
      <c r="AH366" s="36"/>
      <c r="AI366" s="35"/>
      <c r="AJ366" s="7"/>
      <c r="AK366" s="7"/>
      <c r="AL366" s="7"/>
      <c r="AM366" s="7"/>
      <c r="AN366" s="7"/>
      <c r="AO366" s="7"/>
      <c r="AP366" s="7"/>
      <c r="AQ366" s="7"/>
      <c r="AS366" s="36"/>
      <c r="AT366" s="36"/>
      <c r="AU366" s="35"/>
      <c r="AV366" s="7"/>
      <c r="AW366" s="7"/>
      <c r="AX366" s="7"/>
      <c r="AY366" s="7"/>
      <c r="AZ366" s="7"/>
      <c r="BA366" s="7"/>
      <c r="BB366" s="7"/>
      <c r="BC366" s="7"/>
      <c r="BF366" s="7"/>
      <c r="BG366" s="36"/>
      <c r="BH366" s="36"/>
      <c r="BI366" s="36"/>
      <c r="BJ366" s="36"/>
      <c r="BK366" s="36"/>
      <c r="BL366" s="36"/>
      <c r="BM366" s="36"/>
      <c r="BN366" s="36"/>
      <c r="BO366" s="36"/>
    </row>
    <row r="367" spans="1:67" x14ac:dyDescent="0.25">
      <c r="A367" s="39"/>
      <c r="B367" s="40"/>
      <c r="U367" s="36"/>
      <c r="V367" s="36"/>
      <c r="W367" s="35"/>
      <c r="X367" s="7"/>
      <c r="Y367" s="7"/>
      <c r="Z367" s="7"/>
      <c r="AA367" s="7"/>
      <c r="AB367" s="7"/>
      <c r="AC367" s="7"/>
      <c r="AD367" s="7"/>
      <c r="AE367" s="7"/>
      <c r="AG367" s="36"/>
      <c r="AH367" s="36"/>
      <c r="AI367" s="35"/>
      <c r="AJ367" s="7"/>
      <c r="AK367" s="7"/>
      <c r="AL367" s="7"/>
      <c r="AM367" s="7"/>
      <c r="AN367" s="7"/>
      <c r="AO367" s="7"/>
      <c r="AP367" s="7"/>
      <c r="AQ367" s="7"/>
      <c r="AS367" s="36"/>
      <c r="AT367" s="36"/>
      <c r="AU367" s="35"/>
      <c r="AV367" s="7"/>
      <c r="AW367" s="7"/>
      <c r="AX367" s="7"/>
      <c r="AY367" s="7"/>
      <c r="AZ367" s="7"/>
      <c r="BA367" s="7"/>
      <c r="BB367" s="7"/>
      <c r="BC367" s="7"/>
      <c r="BF367" s="7"/>
      <c r="BG367" s="36"/>
      <c r="BH367" s="36"/>
      <c r="BI367" s="36"/>
      <c r="BJ367" s="36"/>
      <c r="BK367" s="36"/>
      <c r="BL367" s="36"/>
      <c r="BM367" s="36"/>
      <c r="BN367" s="36"/>
      <c r="BO367" s="36"/>
    </row>
    <row r="368" spans="1:67" x14ac:dyDescent="0.25">
      <c r="A368" s="39"/>
      <c r="B368" s="40"/>
      <c r="U368" s="36"/>
      <c r="V368" s="36"/>
      <c r="W368" s="35"/>
      <c r="X368" s="7"/>
      <c r="Y368" s="7"/>
      <c r="Z368" s="7"/>
      <c r="AA368" s="7"/>
      <c r="AB368" s="7"/>
      <c r="AC368" s="7"/>
      <c r="AD368" s="7"/>
      <c r="AE368" s="7"/>
      <c r="AG368" s="36"/>
      <c r="AH368" s="36"/>
      <c r="AI368" s="35"/>
      <c r="AJ368" s="7"/>
      <c r="AK368" s="7"/>
      <c r="AL368" s="7"/>
      <c r="AM368" s="7"/>
      <c r="AN368" s="7"/>
      <c r="AO368" s="7"/>
      <c r="AP368" s="7"/>
      <c r="AQ368" s="7"/>
      <c r="AS368" s="36"/>
      <c r="AT368" s="36"/>
      <c r="AU368" s="35"/>
      <c r="AV368" s="7"/>
      <c r="AW368" s="7"/>
      <c r="AX368" s="7"/>
      <c r="AY368" s="7"/>
      <c r="AZ368" s="7"/>
      <c r="BA368" s="7"/>
      <c r="BB368" s="7"/>
      <c r="BC368" s="7"/>
      <c r="BF368" s="7"/>
      <c r="BG368" s="36"/>
      <c r="BH368" s="36"/>
      <c r="BI368" s="36"/>
      <c r="BJ368" s="36"/>
      <c r="BK368" s="36"/>
      <c r="BL368" s="36"/>
      <c r="BM368" s="36"/>
      <c r="BN368" s="36"/>
      <c r="BO368" s="36"/>
    </row>
    <row r="369" spans="1:67" x14ac:dyDescent="0.25">
      <c r="A369" s="39"/>
      <c r="B369" s="40"/>
      <c r="U369" s="36"/>
      <c r="V369" s="36"/>
      <c r="W369" s="35"/>
      <c r="X369" s="7"/>
      <c r="Y369" s="7"/>
      <c r="Z369" s="7"/>
      <c r="AA369" s="7"/>
      <c r="AB369" s="7"/>
      <c r="AC369" s="7"/>
      <c r="AD369" s="7"/>
      <c r="AE369" s="7"/>
      <c r="AG369" s="36"/>
      <c r="AH369" s="36"/>
      <c r="AI369" s="35"/>
      <c r="AJ369" s="7"/>
      <c r="AK369" s="7"/>
      <c r="AL369" s="7"/>
      <c r="AM369" s="7"/>
      <c r="AN369" s="7"/>
      <c r="AO369" s="7"/>
      <c r="AP369" s="7"/>
      <c r="AQ369" s="7"/>
      <c r="AS369" s="36"/>
      <c r="AT369" s="36"/>
      <c r="AU369" s="35"/>
      <c r="AV369" s="7"/>
      <c r="AW369" s="7"/>
      <c r="AX369" s="7"/>
      <c r="AY369" s="7"/>
      <c r="AZ369" s="7"/>
      <c r="BA369" s="7"/>
      <c r="BB369" s="7"/>
      <c r="BC369" s="7"/>
      <c r="BF369" s="7"/>
      <c r="BG369" s="36"/>
      <c r="BH369" s="36"/>
      <c r="BI369" s="36"/>
      <c r="BJ369" s="36"/>
      <c r="BK369" s="36"/>
      <c r="BL369" s="36"/>
      <c r="BM369" s="36"/>
      <c r="BN369" s="36"/>
      <c r="BO369" s="36"/>
    </row>
    <row r="370" spans="1:67" x14ac:dyDescent="0.25">
      <c r="A370" s="39"/>
      <c r="B370" s="40"/>
      <c r="U370" s="36"/>
      <c r="V370" s="36"/>
      <c r="W370" s="35"/>
      <c r="X370" s="7"/>
      <c r="Y370" s="7"/>
      <c r="Z370" s="7"/>
      <c r="AA370" s="7"/>
      <c r="AB370" s="7"/>
      <c r="AC370" s="7"/>
      <c r="AD370" s="7"/>
      <c r="AE370" s="7"/>
      <c r="AG370" s="36"/>
      <c r="AH370" s="36"/>
      <c r="AI370" s="35"/>
      <c r="AJ370" s="7"/>
      <c r="AK370" s="7"/>
      <c r="AL370" s="7"/>
      <c r="AM370" s="7"/>
      <c r="AN370" s="7"/>
      <c r="AO370" s="7"/>
      <c r="AP370" s="7"/>
      <c r="AQ370" s="7"/>
      <c r="AS370" s="36"/>
      <c r="AT370" s="36"/>
      <c r="AU370" s="35"/>
      <c r="AV370" s="7"/>
      <c r="AW370" s="7"/>
      <c r="AX370" s="7"/>
      <c r="AY370" s="7"/>
      <c r="AZ370" s="7"/>
      <c r="BA370" s="7"/>
      <c r="BB370" s="7"/>
      <c r="BC370" s="7"/>
      <c r="BF370" s="7"/>
      <c r="BG370" s="36"/>
      <c r="BH370" s="36"/>
      <c r="BI370" s="36"/>
      <c r="BJ370" s="36"/>
      <c r="BK370" s="36"/>
      <c r="BL370" s="36"/>
      <c r="BM370" s="36"/>
      <c r="BN370" s="36"/>
      <c r="BO370" s="36"/>
    </row>
    <row r="371" spans="1:67" x14ac:dyDescent="0.25">
      <c r="A371" s="39"/>
      <c r="B371" s="40"/>
      <c r="U371" s="36"/>
      <c r="V371" s="36"/>
      <c r="W371" s="35"/>
      <c r="X371" s="7"/>
      <c r="Y371" s="7"/>
      <c r="Z371" s="7"/>
      <c r="AA371" s="7"/>
      <c r="AB371" s="7"/>
      <c r="AC371" s="7"/>
      <c r="AD371" s="7"/>
      <c r="AE371" s="7"/>
      <c r="AG371" s="36"/>
      <c r="AH371" s="36"/>
      <c r="AI371" s="35"/>
      <c r="AJ371" s="7"/>
      <c r="AK371" s="7"/>
      <c r="AL371" s="7"/>
      <c r="AM371" s="7"/>
      <c r="AN371" s="7"/>
      <c r="AO371" s="7"/>
      <c r="AP371" s="7"/>
      <c r="AQ371" s="7"/>
      <c r="AS371" s="36"/>
      <c r="AT371" s="36"/>
      <c r="AU371" s="35"/>
      <c r="AV371" s="7"/>
      <c r="AW371" s="7"/>
      <c r="AX371" s="7"/>
      <c r="AY371" s="7"/>
      <c r="AZ371" s="7"/>
      <c r="BA371" s="7"/>
      <c r="BB371" s="7"/>
      <c r="BC371" s="7"/>
      <c r="BF371" s="7"/>
      <c r="BG371" s="36"/>
      <c r="BH371" s="36"/>
      <c r="BI371" s="36"/>
      <c r="BJ371" s="36"/>
      <c r="BK371" s="36"/>
      <c r="BL371" s="36"/>
      <c r="BM371" s="36"/>
      <c r="BN371" s="36"/>
      <c r="BO371" s="36"/>
    </row>
    <row r="372" spans="1:67" x14ac:dyDescent="0.25">
      <c r="A372" s="39"/>
      <c r="B372" s="40"/>
      <c r="U372" s="36"/>
      <c r="V372" s="36"/>
      <c r="W372" s="35"/>
      <c r="X372" s="7"/>
      <c r="Y372" s="7"/>
      <c r="Z372" s="7"/>
      <c r="AA372" s="7"/>
      <c r="AB372" s="7"/>
      <c r="AC372" s="7"/>
      <c r="AD372" s="7"/>
      <c r="AE372" s="7"/>
      <c r="AG372" s="36"/>
      <c r="AH372" s="36"/>
      <c r="AI372" s="35"/>
      <c r="AJ372" s="7"/>
      <c r="AK372" s="7"/>
      <c r="AL372" s="7"/>
      <c r="AM372" s="7"/>
      <c r="AN372" s="7"/>
      <c r="AO372" s="7"/>
      <c r="AP372" s="7"/>
      <c r="AQ372" s="7"/>
      <c r="AS372" s="36"/>
      <c r="AT372" s="36"/>
      <c r="AU372" s="35"/>
      <c r="AV372" s="7"/>
      <c r="AW372" s="7"/>
      <c r="AX372" s="7"/>
      <c r="AY372" s="7"/>
      <c r="AZ372" s="7"/>
      <c r="BA372" s="7"/>
      <c r="BB372" s="7"/>
      <c r="BC372" s="7"/>
      <c r="BF372" s="7"/>
      <c r="BG372" s="36"/>
      <c r="BH372" s="36"/>
      <c r="BI372" s="36"/>
      <c r="BJ372" s="36"/>
      <c r="BK372" s="36"/>
      <c r="BL372" s="36"/>
      <c r="BM372" s="36"/>
      <c r="BN372" s="36"/>
      <c r="BO372" s="36"/>
    </row>
    <row r="373" spans="1:67" x14ac:dyDescent="0.25">
      <c r="A373" s="39"/>
      <c r="B373" s="40"/>
      <c r="U373" s="36"/>
      <c r="V373" s="36"/>
      <c r="W373" s="35"/>
      <c r="X373" s="7"/>
      <c r="Y373" s="7"/>
      <c r="Z373" s="7"/>
      <c r="AA373" s="7"/>
      <c r="AB373" s="7"/>
      <c r="AC373" s="7"/>
      <c r="AD373" s="7"/>
      <c r="AE373" s="7"/>
      <c r="AG373" s="36"/>
      <c r="AH373" s="36"/>
      <c r="AI373" s="35"/>
      <c r="AJ373" s="7"/>
      <c r="AK373" s="7"/>
      <c r="AL373" s="7"/>
      <c r="AM373" s="7"/>
      <c r="AN373" s="7"/>
      <c r="AO373" s="7"/>
      <c r="AP373" s="7"/>
      <c r="AQ373" s="7"/>
      <c r="AS373" s="36"/>
      <c r="AT373" s="36"/>
      <c r="AU373" s="35"/>
      <c r="AV373" s="7"/>
      <c r="AW373" s="7"/>
      <c r="AX373" s="7"/>
      <c r="AY373" s="7"/>
      <c r="AZ373" s="7"/>
      <c r="BA373" s="7"/>
      <c r="BB373" s="7"/>
      <c r="BC373" s="7"/>
      <c r="BF373" s="7"/>
      <c r="BG373" s="36"/>
      <c r="BH373" s="36"/>
      <c r="BI373" s="36"/>
      <c r="BJ373" s="36"/>
      <c r="BK373" s="36"/>
      <c r="BL373" s="36"/>
      <c r="BM373" s="36"/>
      <c r="BN373" s="36"/>
      <c r="BO373" s="36"/>
    </row>
    <row r="374" spans="1:67" x14ac:dyDescent="0.25">
      <c r="A374" s="39"/>
      <c r="B374" s="40"/>
      <c r="U374" s="36"/>
      <c r="V374" s="36"/>
      <c r="W374" s="35"/>
      <c r="X374" s="7"/>
      <c r="Y374" s="7"/>
      <c r="Z374" s="7"/>
      <c r="AA374" s="7"/>
      <c r="AB374" s="7"/>
      <c r="AC374" s="7"/>
      <c r="AD374" s="7"/>
      <c r="AE374" s="7"/>
      <c r="AG374" s="36"/>
      <c r="AH374" s="36"/>
      <c r="AI374" s="35"/>
      <c r="AJ374" s="7"/>
      <c r="AK374" s="7"/>
      <c r="AL374" s="7"/>
      <c r="AM374" s="7"/>
      <c r="AN374" s="7"/>
      <c r="AO374" s="7"/>
      <c r="AP374" s="7"/>
      <c r="AQ374" s="7"/>
      <c r="AS374" s="36"/>
      <c r="AT374" s="36"/>
      <c r="AU374" s="35"/>
      <c r="AV374" s="7"/>
      <c r="AW374" s="7"/>
      <c r="AX374" s="7"/>
      <c r="AY374" s="7"/>
      <c r="AZ374" s="7"/>
      <c r="BA374" s="7"/>
      <c r="BB374" s="7"/>
      <c r="BC374" s="7"/>
      <c r="BF374" s="7"/>
      <c r="BG374" s="36"/>
      <c r="BH374" s="36"/>
      <c r="BI374" s="36"/>
      <c r="BJ374" s="36"/>
      <c r="BK374" s="36"/>
      <c r="BL374" s="36"/>
      <c r="BM374" s="36"/>
      <c r="BN374" s="36"/>
      <c r="BO374" s="36"/>
    </row>
    <row r="375" spans="1:67" x14ac:dyDescent="0.25">
      <c r="A375" s="39"/>
      <c r="B375" s="40"/>
      <c r="U375" s="36"/>
      <c r="V375" s="36"/>
      <c r="W375" s="35"/>
      <c r="X375" s="7"/>
      <c r="Y375" s="7"/>
      <c r="Z375" s="7"/>
      <c r="AA375" s="7"/>
      <c r="AB375" s="7"/>
      <c r="AC375" s="7"/>
      <c r="AD375" s="7"/>
      <c r="AE375" s="7"/>
      <c r="AG375" s="36"/>
      <c r="AH375" s="36"/>
      <c r="AI375" s="35"/>
      <c r="AJ375" s="7"/>
      <c r="AK375" s="7"/>
      <c r="AL375" s="7"/>
      <c r="AM375" s="7"/>
      <c r="AN375" s="7"/>
      <c r="AO375" s="7"/>
      <c r="AP375" s="7"/>
      <c r="AQ375" s="7"/>
      <c r="AS375" s="36"/>
      <c r="AT375" s="36"/>
      <c r="AU375" s="35"/>
      <c r="AV375" s="7"/>
      <c r="AW375" s="7"/>
      <c r="AX375" s="7"/>
      <c r="AY375" s="7"/>
      <c r="AZ375" s="7"/>
      <c r="BA375" s="7"/>
      <c r="BB375" s="7"/>
      <c r="BC375" s="7"/>
      <c r="BF375" s="7"/>
      <c r="BG375" s="36"/>
      <c r="BH375" s="36"/>
      <c r="BI375" s="36"/>
      <c r="BJ375" s="36"/>
      <c r="BK375" s="36"/>
      <c r="BL375" s="36"/>
      <c r="BM375" s="36"/>
      <c r="BN375" s="36"/>
      <c r="BO375" s="36"/>
    </row>
    <row r="376" spans="1:67" x14ac:dyDescent="0.25">
      <c r="A376" s="39"/>
      <c r="B376" s="40"/>
      <c r="U376" s="36"/>
      <c r="V376" s="36"/>
      <c r="W376" s="35"/>
      <c r="X376" s="7"/>
      <c r="Y376" s="7"/>
      <c r="Z376" s="7"/>
      <c r="AA376" s="7"/>
      <c r="AB376" s="7"/>
      <c r="AC376" s="7"/>
      <c r="AD376" s="7"/>
      <c r="AE376" s="7"/>
      <c r="AG376" s="36"/>
      <c r="AH376" s="36"/>
      <c r="AI376" s="35"/>
      <c r="AJ376" s="7"/>
      <c r="AK376" s="7"/>
      <c r="AL376" s="7"/>
      <c r="AM376" s="7"/>
      <c r="AN376" s="7"/>
      <c r="AO376" s="7"/>
      <c r="AP376" s="7"/>
      <c r="AQ376" s="7"/>
      <c r="AS376" s="36"/>
      <c r="AT376" s="36"/>
      <c r="AU376" s="35"/>
      <c r="AV376" s="7"/>
      <c r="AW376" s="7"/>
      <c r="AX376" s="7"/>
      <c r="AY376" s="7"/>
      <c r="AZ376" s="7"/>
      <c r="BA376" s="7"/>
      <c r="BB376" s="7"/>
      <c r="BC376" s="7"/>
      <c r="BF376" s="7"/>
      <c r="BG376" s="36"/>
      <c r="BH376" s="36"/>
      <c r="BI376" s="36"/>
      <c r="BJ376" s="36"/>
      <c r="BK376" s="36"/>
      <c r="BL376" s="36"/>
      <c r="BM376" s="36"/>
      <c r="BN376" s="36"/>
      <c r="BO376" s="36"/>
    </row>
    <row r="377" spans="1:67" x14ac:dyDescent="0.25">
      <c r="A377" s="39"/>
      <c r="B377" s="40"/>
      <c r="U377" s="36"/>
      <c r="V377" s="36"/>
      <c r="W377" s="35"/>
      <c r="X377" s="7"/>
      <c r="Y377" s="7"/>
      <c r="Z377" s="7"/>
      <c r="AA377" s="7"/>
      <c r="AB377" s="7"/>
      <c r="AC377" s="7"/>
      <c r="AD377" s="7"/>
      <c r="AE377" s="7"/>
      <c r="AG377" s="36"/>
      <c r="AH377" s="36"/>
      <c r="AI377" s="35"/>
      <c r="AJ377" s="7"/>
      <c r="AK377" s="7"/>
      <c r="AL377" s="7"/>
      <c r="AM377" s="7"/>
      <c r="AN377" s="7"/>
      <c r="AO377" s="7"/>
      <c r="AP377" s="7"/>
      <c r="AQ377" s="7"/>
      <c r="AS377" s="36"/>
      <c r="AT377" s="36"/>
      <c r="AU377" s="35"/>
      <c r="AV377" s="7"/>
      <c r="AW377" s="7"/>
      <c r="AX377" s="7"/>
      <c r="AY377" s="7"/>
      <c r="AZ377" s="7"/>
      <c r="BA377" s="7"/>
      <c r="BB377" s="7"/>
      <c r="BC377" s="7"/>
      <c r="BF377" s="7"/>
      <c r="BG377" s="36"/>
      <c r="BH377" s="36"/>
      <c r="BI377" s="36"/>
      <c r="BJ377" s="36"/>
      <c r="BK377" s="36"/>
      <c r="BL377" s="36"/>
      <c r="BM377" s="36"/>
      <c r="BN377" s="36"/>
      <c r="BO377" s="36"/>
    </row>
    <row r="378" spans="1:67" x14ac:dyDescent="0.25">
      <c r="A378" s="39"/>
      <c r="B378" s="40"/>
      <c r="U378" s="36"/>
      <c r="V378" s="36"/>
      <c r="W378" s="35"/>
      <c r="X378" s="7"/>
      <c r="Y378" s="7"/>
      <c r="Z378" s="7"/>
      <c r="AA378" s="7"/>
      <c r="AB378" s="7"/>
      <c r="AC378" s="7"/>
      <c r="AD378" s="7"/>
      <c r="AE378" s="7"/>
      <c r="AG378" s="36"/>
      <c r="AH378" s="36"/>
      <c r="AI378" s="35"/>
      <c r="AJ378" s="7"/>
      <c r="AK378" s="7"/>
      <c r="AL378" s="7"/>
      <c r="AM378" s="7"/>
      <c r="AN378" s="7"/>
      <c r="AO378" s="7"/>
      <c r="AP378" s="7"/>
      <c r="AQ378" s="7"/>
      <c r="AS378" s="36"/>
      <c r="AT378" s="36"/>
      <c r="AU378" s="35"/>
      <c r="AV378" s="7"/>
      <c r="AW378" s="7"/>
      <c r="AX378" s="7"/>
      <c r="AY378" s="7"/>
      <c r="AZ378" s="7"/>
      <c r="BA378" s="7"/>
      <c r="BB378" s="7"/>
      <c r="BC378" s="7"/>
      <c r="BF378" s="7"/>
      <c r="BG378" s="36"/>
      <c r="BH378" s="36"/>
      <c r="BI378" s="36"/>
      <c r="BJ378" s="36"/>
      <c r="BK378" s="36"/>
      <c r="BL378" s="36"/>
      <c r="BM378" s="36"/>
      <c r="BN378" s="36"/>
      <c r="BO378" s="36"/>
    </row>
    <row r="379" spans="1:67" x14ac:dyDescent="0.25">
      <c r="A379" s="39"/>
      <c r="B379" s="40"/>
      <c r="U379" s="36"/>
      <c r="V379" s="36"/>
      <c r="W379" s="35"/>
      <c r="X379" s="7"/>
      <c r="Y379" s="7"/>
      <c r="Z379" s="7"/>
      <c r="AA379" s="7"/>
      <c r="AB379" s="7"/>
      <c r="AC379" s="7"/>
      <c r="AD379" s="7"/>
      <c r="AE379" s="7"/>
      <c r="AG379" s="36"/>
      <c r="AH379" s="36"/>
      <c r="AI379" s="35"/>
      <c r="AJ379" s="7"/>
      <c r="AK379" s="7"/>
      <c r="AL379" s="7"/>
      <c r="AM379" s="7"/>
      <c r="AN379" s="7"/>
      <c r="AO379" s="7"/>
      <c r="AP379" s="7"/>
      <c r="AQ379" s="7"/>
      <c r="AS379" s="36"/>
      <c r="AT379" s="36"/>
      <c r="AU379" s="35"/>
      <c r="AV379" s="7"/>
      <c r="AW379" s="7"/>
      <c r="AX379" s="7"/>
      <c r="AY379" s="7"/>
      <c r="AZ379" s="7"/>
      <c r="BA379" s="7"/>
      <c r="BB379" s="7"/>
      <c r="BC379" s="7"/>
      <c r="BF379" s="7"/>
      <c r="BG379" s="36"/>
      <c r="BH379" s="36"/>
      <c r="BI379" s="36"/>
      <c r="BJ379" s="36"/>
      <c r="BK379" s="36"/>
      <c r="BL379" s="36"/>
      <c r="BM379" s="36"/>
      <c r="BN379" s="36"/>
      <c r="BO379" s="36"/>
    </row>
    <row r="380" spans="1:67" x14ac:dyDescent="0.25">
      <c r="A380" s="39"/>
      <c r="B380" s="40"/>
      <c r="U380" s="36"/>
      <c r="V380" s="36"/>
      <c r="W380" s="35"/>
      <c r="X380" s="7"/>
      <c r="Y380" s="7"/>
      <c r="Z380" s="7"/>
      <c r="AA380" s="7"/>
      <c r="AB380" s="7"/>
      <c r="AC380" s="7"/>
      <c r="AD380" s="7"/>
      <c r="AE380" s="7"/>
      <c r="AG380" s="36"/>
      <c r="AH380" s="36"/>
      <c r="AI380" s="35"/>
      <c r="AJ380" s="7"/>
      <c r="AK380" s="7"/>
      <c r="AL380" s="7"/>
      <c r="AM380" s="7"/>
      <c r="AN380" s="7"/>
      <c r="AO380" s="7"/>
      <c r="AP380" s="7"/>
      <c r="AQ380" s="7"/>
      <c r="AS380" s="36"/>
      <c r="AT380" s="36"/>
      <c r="AU380" s="35"/>
      <c r="AV380" s="7"/>
      <c r="AW380" s="7"/>
      <c r="AX380" s="7"/>
      <c r="AY380" s="7"/>
      <c r="AZ380" s="7"/>
      <c r="BA380" s="7"/>
      <c r="BB380" s="7"/>
      <c r="BC380" s="7"/>
      <c r="BF380" s="7"/>
      <c r="BG380" s="36"/>
      <c r="BH380" s="36"/>
      <c r="BI380" s="36"/>
      <c r="BJ380" s="36"/>
      <c r="BK380" s="36"/>
      <c r="BL380" s="36"/>
      <c r="BM380" s="36"/>
      <c r="BN380" s="36"/>
      <c r="BO380" s="36"/>
    </row>
    <row r="381" spans="1:67" x14ac:dyDescent="0.25">
      <c r="A381" s="39"/>
      <c r="B381" s="40"/>
      <c r="U381" s="36"/>
      <c r="V381" s="36"/>
      <c r="W381" s="35"/>
      <c r="X381" s="7"/>
      <c r="Y381" s="7"/>
      <c r="Z381" s="7"/>
      <c r="AA381" s="7"/>
      <c r="AB381" s="7"/>
      <c r="AC381" s="7"/>
      <c r="AD381" s="7"/>
      <c r="AE381" s="7"/>
      <c r="AG381" s="36"/>
      <c r="AH381" s="36"/>
      <c r="AI381" s="35"/>
      <c r="AJ381" s="7"/>
      <c r="AK381" s="7"/>
      <c r="AL381" s="7"/>
      <c r="AM381" s="7"/>
      <c r="AN381" s="7"/>
      <c r="AO381" s="7"/>
      <c r="AP381" s="7"/>
      <c r="AQ381" s="7"/>
      <c r="AS381" s="36"/>
      <c r="AT381" s="36"/>
      <c r="AU381" s="35"/>
      <c r="AV381" s="7"/>
      <c r="AW381" s="7"/>
      <c r="AX381" s="7"/>
      <c r="AY381" s="7"/>
      <c r="AZ381" s="7"/>
      <c r="BA381" s="7"/>
      <c r="BB381" s="7"/>
      <c r="BC381" s="7"/>
      <c r="BF381" s="7"/>
      <c r="BG381" s="36"/>
      <c r="BH381" s="36"/>
      <c r="BI381" s="36"/>
      <c r="BJ381" s="36"/>
      <c r="BK381" s="36"/>
      <c r="BL381" s="36"/>
      <c r="BM381" s="36"/>
      <c r="BN381" s="36"/>
      <c r="BO381" s="36"/>
    </row>
    <row r="382" spans="1:67" x14ac:dyDescent="0.25">
      <c r="A382" s="39"/>
      <c r="B382" s="40"/>
      <c r="U382" s="36"/>
      <c r="V382" s="36"/>
      <c r="W382" s="35"/>
      <c r="X382" s="7"/>
      <c r="Y382" s="7"/>
      <c r="Z382" s="7"/>
      <c r="AA382" s="7"/>
      <c r="AB382" s="7"/>
      <c r="AC382" s="7"/>
      <c r="AD382" s="7"/>
      <c r="AE382" s="7"/>
      <c r="AG382" s="36"/>
      <c r="AH382" s="36"/>
      <c r="AI382" s="35"/>
      <c r="AJ382" s="7"/>
      <c r="AK382" s="7"/>
      <c r="AL382" s="7"/>
      <c r="AM382" s="7"/>
      <c r="AN382" s="7"/>
      <c r="AO382" s="7"/>
      <c r="AP382" s="7"/>
      <c r="AQ382" s="7"/>
      <c r="AS382" s="36"/>
      <c r="AT382" s="36"/>
      <c r="AU382" s="35"/>
      <c r="AV382" s="7"/>
      <c r="AW382" s="7"/>
      <c r="AX382" s="7"/>
      <c r="AY382" s="7"/>
      <c r="AZ382" s="7"/>
      <c r="BA382" s="7"/>
      <c r="BB382" s="7"/>
      <c r="BC382" s="7"/>
      <c r="BF382" s="7"/>
      <c r="BG382" s="36"/>
      <c r="BH382" s="36"/>
      <c r="BI382" s="36"/>
      <c r="BJ382" s="36"/>
      <c r="BK382" s="36"/>
      <c r="BL382" s="36"/>
      <c r="BM382" s="36"/>
      <c r="BN382" s="36"/>
      <c r="BO382" s="36"/>
    </row>
    <row r="383" spans="1:67" x14ac:dyDescent="0.25">
      <c r="A383" s="39"/>
      <c r="B383" s="40"/>
      <c r="U383" s="36"/>
      <c r="V383" s="36"/>
      <c r="W383" s="35"/>
      <c r="X383" s="7"/>
      <c r="Y383" s="7"/>
      <c r="Z383" s="7"/>
      <c r="AA383" s="7"/>
      <c r="AB383" s="7"/>
      <c r="AC383" s="7"/>
      <c r="AD383" s="7"/>
      <c r="AE383" s="7"/>
      <c r="AG383" s="36"/>
      <c r="AH383" s="36"/>
      <c r="AI383" s="35"/>
      <c r="AJ383" s="7"/>
      <c r="AK383" s="7"/>
      <c r="AL383" s="7"/>
      <c r="AM383" s="7"/>
      <c r="AN383" s="7"/>
      <c r="AO383" s="7"/>
      <c r="AP383" s="7"/>
      <c r="AQ383" s="7"/>
      <c r="AS383" s="36"/>
      <c r="AT383" s="36"/>
      <c r="AU383" s="35"/>
      <c r="AV383" s="7"/>
      <c r="AW383" s="7"/>
      <c r="AX383" s="7"/>
      <c r="AY383" s="7"/>
      <c r="AZ383" s="7"/>
      <c r="BA383" s="7"/>
      <c r="BB383" s="7"/>
      <c r="BC383" s="7"/>
      <c r="BF383" s="7"/>
      <c r="BG383" s="36"/>
      <c r="BH383" s="36"/>
      <c r="BI383" s="36"/>
      <c r="BJ383" s="36"/>
      <c r="BK383" s="36"/>
      <c r="BL383" s="36"/>
      <c r="BM383" s="36"/>
      <c r="BN383" s="36"/>
      <c r="BO383" s="36"/>
    </row>
    <row r="384" spans="1:67" x14ac:dyDescent="0.25">
      <c r="A384" s="39"/>
      <c r="B384" s="40"/>
      <c r="U384" s="36"/>
      <c r="V384" s="36"/>
      <c r="W384" s="35"/>
      <c r="X384" s="7"/>
      <c r="Y384" s="7"/>
      <c r="Z384" s="7"/>
      <c r="AA384" s="7"/>
      <c r="AB384" s="7"/>
      <c r="AC384" s="7"/>
      <c r="AD384" s="7"/>
      <c r="AE384" s="7"/>
      <c r="AG384" s="36"/>
      <c r="AH384" s="36"/>
      <c r="AI384" s="35"/>
      <c r="AJ384" s="7"/>
      <c r="AK384" s="7"/>
      <c r="AL384" s="7"/>
      <c r="AM384" s="7"/>
      <c r="AN384" s="7"/>
      <c r="AO384" s="7"/>
      <c r="AP384" s="7"/>
      <c r="AQ384" s="7"/>
      <c r="AS384" s="36"/>
      <c r="AT384" s="36"/>
      <c r="AU384" s="35"/>
      <c r="AV384" s="7"/>
      <c r="AW384" s="7"/>
      <c r="AX384" s="7"/>
      <c r="AY384" s="7"/>
      <c r="AZ384" s="7"/>
      <c r="BA384" s="7"/>
      <c r="BB384" s="7"/>
      <c r="BC384" s="7"/>
      <c r="BF384" s="7"/>
      <c r="BG384" s="36"/>
      <c r="BH384" s="36"/>
      <c r="BI384" s="36"/>
      <c r="BJ384" s="36"/>
      <c r="BK384" s="36"/>
      <c r="BL384" s="36"/>
      <c r="BM384" s="36"/>
      <c r="BN384" s="36"/>
      <c r="BO384" s="36"/>
    </row>
    <row r="385" spans="1:67" x14ac:dyDescent="0.25">
      <c r="A385" s="39"/>
      <c r="B385" s="40"/>
      <c r="U385" s="36"/>
      <c r="V385" s="36"/>
      <c r="W385" s="35"/>
      <c r="X385" s="7"/>
      <c r="Y385" s="7"/>
      <c r="Z385" s="7"/>
      <c r="AA385" s="7"/>
      <c r="AB385" s="7"/>
      <c r="AC385" s="7"/>
      <c r="AD385" s="7"/>
      <c r="AE385" s="7"/>
      <c r="AG385" s="36"/>
      <c r="AH385" s="36"/>
      <c r="AI385" s="35"/>
      <c r="AJ385" s="7"/>
      <c r="AK385" s="7"/>
      <c r="AL385" s="7"/>
      <c r="AM385" s="7"/>
      <c r="AN385" s="7"/>
      <c r="AO385" s="7"/>
      <c r="AP385" s="7"/>
      <c r="AQ385" s="7"/>
      <c r="AS385" s="36"/>
      <c r="AT385" s="36"/>
      <c r="AU385" s="35"/>
      <c r="AV385" s="7"/>
      <c r="AW385" s="7"/>
      <c r="AX385" s="7"/>
      <c r="AY385" s="7"/>
      <c r="AZ385" s="7"/>
      <c r="BA385" s="7"/>
      <c r="BB385" s="7"/>
      <c r="BC385" s="7"/>
      <c r="BF385" s="7"/>
      <c r="BG385" s="36"/>
      <c r="BH385" s="36"/>
      <c r="BI385" s="36"/>
      <c r="BJ385" s="36"/>
      <c r="BK385" s="36"/>
      <c r="BL385" s="36"/>
      <c r="BM385" s="36"/>
      <c r="BN385" s="36"/>
      <c r="BO385" s="36"/>
    </row>
    <row r="386" spans="1:67" x14ac:dyDescent="0.25">
      <c r="A386" s="39"/>
      <c r="B386" s="40"/>
      <c r="U386" s="36"/>
      <c r="V386" s="36"/>
      <c r="W386" s="35"/>
      <c r="X386" s="7"/>
      <c r="Y386" s="7"/>
      <c r="Z386" s="7"/>
      <c r="AA386" s="7"/>
      <c r="AB386" s="7"/>
      <c r="AC386" s="7"/>
      <c r="AD386" s="7"/>
      <c r="AE386" s="7"/>
      <c r="AG386" s="36"/>
      <c r="AH386" s="36"/>
      <c r="AI386" s="35"/>
      <c r="AJ386" s="7"/>
      <c r="AK386" s="7"/>
      <c r="AL386" s="7"/>
      <c r="AM386" s="7"/>
      <c r="AN386" s="7"/>
      <c r="AO386" s="7"/>
      <c r="AP386" s="7"/>
      <c r="AQ386" s="7"/>
      <c r="AS386" s="36"/>
      <c r="AT386" s="36"/>
      <c r="AU386" s="35"/>
      <c r="AV386" s="7"/>
      <c r="AW386" s="7"/>
      <c r="AX386" s="7"/>
      <c r="AY386" s="7"/>
      <c r="AZ386" s="7"/>
      <c r="BA386" s="7"/>
      <c r="BB386" s="7"/>
      <c r="BC386" s="7"/>
      <c r="BF386" s="7"/>
      <c r="BG386" s="36"/>
      <c r="BH386" s="36"/>
      <c r="BI386" s="36"/>
      <c r="BJ386" s="36"/>
      <c r="BK386" s="36"/>
      <c r="BL386" s="36"/>
      <c r="BM386" s="36"/>
      <c r="BN386" s="36"/>
      <c r="BO386" s="36"/>
    </row>
    <row r="387" spans="1:67" x14ac:dyDescent="0.25">
      <c r="A387" s="39"/>
      <c r="B387" s="40"/>
      <c r="U387" s="36"/>
      <c r="V387" s="36"/>
      <c r="W387" s="35"/>
      <c r="X387" s="7"/>
      <c r="Y387" s="7"/>
      <c r="Z387" s="7"/>
      <c r="AA387" s="7"/>
      <c r="AB387" s="7"/>
      <c r="AC387" s="7"/>
      <c r="AD387" s="7"/>
      <c r="AE387" s="7"/>
      <c r="AG387" s="36"/>
      <c r="AH387" s="36"/>
      <c r="AI387" s="35"/>
      <c r="AJ387" s="7"/>
      <c r="AK387" s="7"/>
      <c r="AL387" s="7"/>
      <c r="AM387" s="7"/>
      <c r="AN387" s="7"/>
      <c r="AO387" s="7"/>
      <c r="AP387" s="7"/>
      <c r="AQ387" s="7"/>
      <c r="AS387" s="36"/>
      <c r="AT387" s="36"/>
      <c r="AU387" s="35"/>
      <c r="AV387" s="7"/>
      <c r="AW387" s="7"/>
      <c r="AX387" s="7"/>
      <c r="AY387" s="7"/>
      <c r="AZ387" s="7"/>
      <c r="BA387" s="7"/>
      <c r="BB387" s="7"/>
      <c r="BC387" s="7"/>
      <c r="BF387" s="7"/>
      <c r="BG387" s="36"/>
      <c r="BH387" s="36"/>
      <c r="BI387" s="36"/>
      <c r="BJ387" s="36"/>
      <c r="BK387" s="36"/>
      <c r="BL387" s="36"/>
      <c r="BM387" s="36"/>
      <c r="BN387" s="36"/>
      <c r="BO387" s="36"/>
    </row>
    <row r="388" spans="1:67" x14ac:dyDescent="0.25">
      <c r="A388" s="39"/>
      <c r="B388" s="40"/>
      <c r="U388" s="36"/>
      <c r="V388" s="36"/>
      <c r="W388" s="35"/>
      <c r="X388" s="7"/>
      <c r="Y388" s="7"/>
      <c r="Z388" s="7"/>
      <c r="AA388" s="7"/>
      <c r="AB388" s="7"/>
      <c r="AC388" s="7"/>
      <c r="AD388" s="7"/>
      <c r="AE388" s="7"/>
      <c r="AG388" s="36"/>
      <c r="AH388" s="36"/>
      <c r="AI388" s="35"/>
      <c r="AJ388" s="7"/>
      <c r="AK388" s="7"/>
      <c r="AL388" s="7"/>
      <c r="AM388" s="7"/>
      <c r="AN388" s="7"/>
      <c r="AO388" s="7"/>
      <c r="AP388" s="7"/>
      <c r="AQ388" s="7"/>
      <c r="AS388" s="36"/>
      <c r="AT388" s="36"/>
      <c r="AU388" s="35"/>
      <c r="AV388" s="7"/>
      <c r="AW388" s="7"/>
      <c r="AX388" s="7"/>
      <c r="AY388" s="7"/>
      <c r="AZ388" s="7"/>
      <c r="BA388" s="7"/>
      <c r="BB388" s="7"/>
      <c r="BC388" s="7"/>
      <c r="BF388" s="7"/>
      <c r="BG388" s="36"/>
      <c r="BH388" s="36"/>
      <c r="BI388" s="36"/>
      <c r="BJ388" s="36"/>
      <c r="BK388" s="36"/>
      <c r="BL388" s="36"/>
      <c r="BM388" s="36"/>
      <c r="BN388" s="36"/>
      <c r="BO388" s="36"/>
    </row>
    <row r="389" spans="1:67" x14ac:dyDescent="0.25">
      <c r="A389" s="39"/>
      <c r="B389" s="40"/>
      <c r="U389" s="36"/>
      <c r="V389" s="36"/>
      <c r="W389" s="35"/>
      <c r="X389" s="7"/>
      <c r="Y389" s="7"/>
      <c r="Z389" s="7"/>
      <c r="AA389" s="7"/>
      <c r="AB389" s="7"/>
      <c r="AC389" s="7"/>
      <c r="AD389" s="7"/>
      <c r="AE389" s="7"/>
      <c r="AG389" s="36"/>
      <c r="AH389" s="36"/>
      <c r="AI389" s="35"/>
      <c r="AJ389" s="7"/>
      <c r="AK389" s="7"/>
      <c r="AL389" s="7"/>
      <c r="AM389" s="7"/>
      <c r="AN389" s="7"/>
      <c r="AO389" s="7"/>
      <c r="AP389" s="7"/>
      <c r="AQ389" s="7"/>
      <c r="AS389" s="36"/>
      <c r="AT389" s="36"/>
      <c r="AU389" s="35"/>
      <c r="AV389" s="7"/>
      <c r="AW389" s="7"/>
      <c r="AX389" s="7"/>
      <c r="AY389" s="7"/>
      <c r="AZ389" s="7"/>
      <c r="BA389" s="7"/>
      <c r="BB389" s="7"/>
      <c r="BC389" s="7"/>
      <c r="BF389" s="7"/>
      <c r="BG389" s="36"/>
      <c r="BH389" s="36"/>
      <c r="BI389" s="36"/>
      <c r="BJ389" s="36"/>
      <c r="BK389" s="36"/>
      <c r="BL389" s="36"/>
      <c r="BM389" s="36"/>
      <c r="BN389" s="36"/>
      <c r="BO389" s="36"/>
    </row>
    <row r="390" spans="1:67" x14ac:dyDescent="0.25">
      <c r="A390" s="39"/>
      <c r="B390" s="40"/>
      <c r="U390" s="36"/>
      <c r="V390" s="36"/>
      <c r="W390" s="35"/>
      <c r="X390" s="7"/>
      <c r="Y390" s="7"/>
      <c r="Z390" s="7"/>
      <c r="AA390" s="7"/>
      <c r="AB390" s="7"/>
      <c r="AC390" s="7"/>
      <c r="AD390" s="7"/>
      <c r="AE390" s="7"/>
      <c r="AG390" s="36"/>
      <c r="AH390" s="36"/>
      <c r="AI390" s="35"/>
      <c r="AJ390" s="7"/>
      <c r="AK390" s="7"/>
      <c r="AL390" s="7"/>
      <c r="AM390" s="7"/>
      <c r="AN390" s="7"/>
      <c r="AO390" s="7"/>
      <c r="AP390" s="7"/>
      <c r="AQ390" s="7"/>
      <c r="AS390" s="36"/>
      <c r="AT390" s="36"/>
      <c r="AU390" s="35"/>
      <c r="AV390" s="7"/>
      <c r="AW390" s="7"/>
      <c r="AX390" s="7"/>
      <c r="AY390" s="7"/>
      <c r="AZ390" s="7"/>
      <c r="BA390" s="7"/>
      <c r="BB390" s="7"/>
      <c r="BC390" s="7"/>
      <c r="BF390" s="7"/>
      <c r="BG390" s="36"/>
      <c r="BH390" s="36"/>
      <c r="BI390" s="36"/>
      <c r="BJ390" s="36"/>
      <c r="BK390" s="36"/>
      <c r="BL390" s="36"/>
      <c r="BM390" s="36"/>
      <c r="BN390" s="36"/>
      <c r="BO390" s="36"/>
    </row>
    <row r="391" spans="1:67" x14ac:dyDescent="0.25">
      <c r="A391" s="39"/>
      <c r="B391" s="40"/>
      <c r="U391" s="36"/>
      <c r="V391" s="36"/>
      <c r="W391" s="35"/>
      <c r="X391" s="7"/>
      <c r="Y391" s="7"/>
      <c r="Z391" s="7"/>
      <c r="AA391" s="7"/>
      <c r="AB391" s="7"/>
      <c r="AC391" s="7"/>
      <c r="AD391" s="7"/>
      <c r="AE391" s="7"/>
      <c r="AG391" s="36"/>
      <c r="AH391" s="36"/>
      <c r="AI391" s="35"/>
      <c r="AJ391" s="7"/>
      <c r="AK391" s="7"/>
      <c r="AL391" s="7"/>
      <c r="AM391" s="7"/>
      <c r="AN391" s="7"/>
      <c r="AO391" s="7"/>
      <c r="AP391" s="7"/>
      <c r="AQ391" s="7"/>
      <c r="AS391" s="36"/>
      <c r="AT391" s="36"/>
      <c r="AU391" s="35"/>
      <c r="AV391" s="7"/>
      <c r="AW391" s="7"/>
      <c r="AX391" s="7"/>
      <c r="AY391" s="7"/>
      <c r="AZ391" s="7"/>
      <c r="BA391" s="7"/>
      <c r="BB391" s="7"/>
      <c r="BC391" s="7"/>
      <c r="BF391" s="7"/>
      <c r="BG391" s="36"/>
      <c r="BH391" s="36"/>
      <c r="BI391" s="36"/>
      <c r="BJ391" s="36"/>
      <c r="BK391" s="36"/>
      <c r="BL391" s="36"/>
      <c r="BM391" s="36"/>
      <c r="BN391" s="36"/>
      <c r="BO391" s="36"/>
    </row>
    <row r="392" spans="1:67" x14ac:dyDescent="0.25">
      <c r="A392" s="39"/>
      <c r="B392" s="40"/>
      <c r="U392" s="36"/>
      <c r="V392" s="36"/>
      <c r="W392" s="35"/>
      <c r="X392" s="7"/>
      <c r="Y392" s="7"/>
      <c r="Z392" s="7"/>
      <c r="AA392" s="7"/>
      <c r="AB392" s="7"/>
      <c r="AC392" s="7"/>
      <c r="AD392" s="7"/>
      <c r="AE392" s="7"/>
      <c r="AG392" s="36"/>
      <c r="AH392" s="36"/>
      <c r="AI392" s="35"/>
      <c r="AJ392" s="7"/>
      <c r="AK392" s="7"/>
      <c r="AL392" s="7"/>
      <c r="AM392" s="7"/>
      <c r="AN392" s="7"/>
      <c r="AO392" s="7"/>
      <c r="AP392" s="7"/>
      <c r="AQ392" s="7"/>
      <c r="AS392" s="36"/>
      <c r="AT392" s="36"/>
      <c r="AU392" s="35"/>
      <c r="AV392" s="7"/>
      <c r="AW392" s="7"/>
      <c r="AX392" s="7"/>
      <c r="AY392" s="7"/>
      <c r="AZ392" s="7"/>
      <c r="BA392" s="7"/>
      <c r="BB392" s="7"/>
      <c r="BC392" s="7"/>
      <c r="BF392" s="7"/>
      <c r="BG392" s="36"/>
      <c r="BH392" s="36"/>
      <c r="BI392" s="36"/>
      <c r="BJ392" s="36"/>
      <c r="BK392" s="36"/>
      <c r="BL392" s="36"/>
      <c r="BM392" s="36"/>
      <c r="BN392" s="36"/>
      <c r="BO392" s="36"/>
    </row>
    <row r="393" spans="1:67" x14ac:dyDescent="0.25">
      <c r="A393" s="39"/>
      <c r="B393" s="40"/>
      <c r="U393" s="36"/>
      <c r="V393" s="36"/>
      <c r="W393" s="35"/>
      <c r="X393" s="7"/>
      <c r="Y393" s="7"/>
      <c r="Z393" s="7"/>
      <c r="AA393" s="7"/>
      <c r="AB393" s="7"/>
      <c r="AC393" s="7"/>
      <c r="AD393" s="7"/>
      <c r="AE393" s="7"/>
      <c r="AG393" s="36"/>
      <c r="AH393" s="36"/>
      <c r="AI393" s="35"/>
      <c r="AJ393" s="7"/>
      <c r="AK393" s="7"/>
      <c r="AL393" s="7"/>
      <c r="AM393" s="7"/>
      <c r="AN393" s="7"/>
      <c r="AO393" s="7"/>
      <c r="AP393" s="7"/>
      <c r="AQ393" s="7"/>
      <c r="AS393" s="36"/>
      <c r="AT393" s="36"/>
      <c r="AU393" s="35"/>
      <c r="AV393" s="7"/>
      <c r="AW393" s="7"/>
      <c r="AX393" s="7"/>
      <c r="AY393" s="7"/>
      <c r="AZ393" s="7"/>
      <c r="BA393" s="7"/>
      <c r="BB393" s="7"/>
      <c r="BC393" s="7"/>
      <c r="BF393" s="7"/>
      <c r="BG393" s="36"/>
      <c r="BH393" s="36"/>
      <c r="BI393" s="36"/>
      <c r="BJ393" s="36"/>
      <c r="BK393" s="36"/>
      <c r="BL393" s="36"/>
      <c r="BM393" s="36"/>
      <c r="BN393" s="36"/>
      <c r="BO393" s="36"/>
    </row>
    <row r="394" spans="1:67" x14ac:dyDescent="0.25">
      <c r="A394" s="39"/>
      <c r="B394" s="40"/>
      <c r="U394" s="36"/>
      <c r="V394" s="36"/>
      <c r="W394" s="35"/>
      <c r="X394" s="7"/>
      <c r="Y394" s="7"/>
      <c r="Z394" s="7"/>
      <c r="AA394" s="7"/>
      <c r="AB394" s="7"/>
      <c r="AC394" s="7"/>
      <c r="AD394" s="7"/>
      <c r="AE394" s="7"/>
      <c r="AG394" s="36"/>
      <c r="AH394" s="36"/>
      <c r="AI394" s="35"/>
      <c r="AJ394" s="7"/>
      <c r="AK394" s="7"/>
      <c r="AL394" s="7"/>
      <c r="AM394" s="7"/>
      <c r="AN394" s="7"/>
      <c r="AO394" s="7"/>
      <c r="AP394" s="7"/>
      <c r="AQ394" s="7"/>
      <c r="AS394" s="36"/>
      <c r="AT394" s="36"/>
      <c r="AU394" s="35"/>
      <c r="AV394" s="7"/>
      <c r="AW394" s="7"/>
      <c r="AX394" s="7"/>
      <c r="AY394" s="7"/>
      <c r="AZ394" s="7"/>
      <c r="BA394" s="7"/>
      <c r="BB394" s="7"/>
      <c r="BC394" s="7"/>
      <c r="BF394" s="7"/>
      <c r="BG394" s="36"/>
      <c r="BH394" s="36"/>
      <c r="BI394" s="36"/>
      <c r="BJ394" s="36"/>
      <c r="BK394" s="36"/>
      <c r="BL394" s="36"/>
      <c r="BM394" s="36"/>
      <c r="BN394" s="36"/>
      <c r="BO394" s="36"/>
    </row>
    <row r="395" spans="1:67" x14ac:dyDescent="0.25">
      <c r="A395" s="39"/>
      <c r="B395" s="40"/>
      <c r="U395" s="36"/>
      <c r="V395" s="36"/>
      <c r="W395" s="35"/>
      <c r="X395" s="7"/>
      <c r="Y395" s="7"/>
      <c r="Z395" s="7"/>
      <c r="AA395" s="7"/>
      <c r="AB395" s="7"/>
      <c r="AC395" s="7"/>
      <c r="AD395" s="7"/>
      <c r="AE395" s="7"/>
      <c r="AG395" s="36"/>
      <c r="AH395" s="36"/>
      <c r="AI395" s="35"/>
      <c r="AJ395" s="7"/>
      <c r="AK395" s="7"/>
      <c r="AL395" s="7"/>
      <c r="AM395" s="7"/>
      <c r="AN395" s="7"/>
      <c r="AO395" s="7"/>
      <c r="AP395" s="7"/>
      <c r="AQ395" s="7"/>
      <c r="AS395" s="36"/>
      <c r="AT395" s="36"/>
      <c r="AU395" s="35"/>
      <c r="AV395" s="7"/>
      <c r="AW395" s="7"/>
      <c r="AX395" s="7"/>
      <c r="AY395" s="7"/>
      <c r="AZ395" s="7"/>
      <c r="BA395" s="7"/>
      <c r="BB395" s="7"/>
      <c r="BC395" s="7"/>
      <c r="BF395" s="7"/>
      <c r="BG395" s="36"/>
      <c r="BH395" s="36"/>
      <c r="BI395" s="36"/>
      <c r="BJ395" s="36"/>
      <c r="BK395" s="36"/>
      <c r="BL395" s="36"/>
      <c r="BM395" s="36"/>
      <c r="BN395" s="36"/>
      <c r="BO395" s="36"/>
    </row>
    <row r="396" spans="1:67" x14ac:dyDescent="0.25">
      <c r="A396" s="39"/>
      <c r="B396" s="40"/>
      <c r="U396" s="36"/>
      <c r="V396" s="36"/>
      <c r="W396" s="35"/>
      <c r="X396" s="7"/>
      <c r="Y396" s="7"/>
      <c r="Z396" s="7"/>
      <c r="AA396" s="7"/>
      <c r="AB396" s="7"/>
      <c r="AC396" s="7"/>
      <c r="AD396" s="7"/>
      <c r="AE396" s="7"/>
      <c r="AG396" s="36"/>
      <c r="AH396" s="36"/>
      <c r="AI396" s="35"/>
      <c r="AJ396" s="7"/>
      <c r="AK396" s="7"/>
      <c r="AL396" s="7"/>
      <c r="AM396" s="7"/>
      <c r="AN396" s="7"/>
      <c r="AO396" s="7"/>
      <c r="AP396" s="7"/>
      <c r="AQ396" s="7"/>
      <c r="AS396" s="36"/>
      <c r="AT396" s="36"/>
      <c r="AU396" s="35"/>
      <c r="AV396" s="7"/>
      <c r="AW396" s="7"/>
      <c r="AX396" s="7"/>
      <c r="AY396" s="7"/>
      <c r="AZ396" s="7"/>
      <c r="BA396" s="7"/>
      <c r="BB396" s="7"/>
      <c r="BC396" s="7"/>
      <c r="BF396" s="7"/>
      <c r="BG396" s="36"/>
      <c r="BH396" s="36"/>
      <c r="BI396" s="36"/>
      <c r="BJ396" s="36"/>
      <c r="BK396" s="36"/>
      <c r="BL396" s="36"/>
      <c r="BM396" s="36"/>
      <c r="BN396" s="36"/>
      <c r="BO396" s="36"/>
    </row>
    <row r="397" spans="1:67" x14ac:dyDescent="0.25">
      <c r="A397" s="39"/>
      <c r="B397" s="40"/>
      <c r="U397" s="36"/>
      <c r="V397" s="36"/>
      <c r="W397" s="35"/>
      <c r="X397" s="7"/>
      <c r="Y397" s="7"/>
      <c r="Z397" s="7"/>
      <c r="AA397" s="7"/>
      <c r="AB397" s="7"/>
      <c r="AC397" s="7"/>
      <c r="AD397" s="7"/>
      <c r="AE397" s="7"/>
      <c r="AG397" s="36"/>
      <c r="AH397" s="36"/>
      <c r="AI397" s="35"/>
      <c r="AJ397" s="7"/>
      <c r="AK397" s="7"/>
      <c r="AL397" s="7"/>
      <c r="AM397" s="7"/>
      <c r="AN397" s="7"/>
      <c r="AO397" s="7"/>
      <c r="AP397" s="7"/>
      <c r="AQ397" s="7"/>
      <c r="AS397" s="36"/>
      <c r="AT397" s="36"/>
      <c r="AU397" s="35"/>
      <c r="AV397" s="7"/>
      <c r="AW397" s="7"/>
      <c r="AX397" s="7"/>
      <c r="AY397" s="7"/>
      <c r="AZ397" s="7"/>
      <c r="BA397" s="7"/>
      <c r="BB397" s="7"/>
      <c r="BC397" s="7"/>
      <c r="BF397" s="7"/>
      <c r="BG397" s="36"/>
      <c r="BH397" s="36"/>
      <c r="BI397" s="36"/>
      <c r="BJ397" s="36"/>
      <c r="BK397" s="36"/>
      <c r="BL397" s="36"/>
      <c r="BM397" s="36"/>
      <c r="BN397" s="36"/>
      <c r="BO397" s="36"/>
    </row>
    <row r="398" spans="1:67" x14ac:dyDescent="0.25">
      <c r="A398" s="39"/>
      <c r="B398" s="40"/>
      <c r="U398" s="36"/>
      <c r="V398" s="36"/>
      <c r="W398" s="35"/>
      <c r="X398" s="7"/>
      <c r="Y398" s="7"/>
      <c r="Z398" s="7"/>
      <c r="AA398" s="7"/>
      <c r="AB398" s="7"/>
      <c r="AC398" s="7"/>
      <c r="AD398" s="7"/>
      <c r="AE398" s="7"/>
      <c r="AG398" s="36"/>
      <c r="AH398" s="36"/>
      <c r="AI398" s="35"/>
      <c r="AJ398" s="7"/>
      <c r="AK398" s="7"/>
      <c r="AL398" s="7"/>
      <c r="AM398" s="7"/>
      <c r="AN398" s="7"/>
      <c r="AO398" s="7"/>
      <c r="AP398" s="7"/>
      <c r="AQ398" s="7"/>
      <c r="AS398" s="36"/>
      <c r="AT398" s="36"/>
      <c r="AU398" s="35"/>
      <c r="AV398" s="7"/>
      <c r="AW398" s="7"/>
      <c r="AX398" s="7"/>
      <c r="AY398" s="7"/>
      <c r="AZ398" s="7"/>
      <c r="BA398" s="7"/>
      <c r="BB398" s="7"/>
      <c r="BC398" s="7"/>
      <c r="BF398" s="7"/>
      <c r="BG398" s="36"/>
      <c r="BH398" s="36"/>
      <c r="BI398" s="36"/>
      <c r="BJ398" s="36"/>
      <c r="BK398" s="36"/>
      <c r="BL398" s="36"/>
      <c r="BM398" s="36"/>
      <c r="BN398" s="36"/>
      <c r="BO398" s="36"/>
    </row>
    <row r="399" spans="1:67" x14ac:dyDescent="0.25">
      <c r="A399" s="39"/>
      <c r="B399" s="40"/>
      <c r="U399" s="36"/>
      <c r="V399" s="36"/>
      <c r="W399" s="35"/>
      <c r="X399" s="7"/>
      <c r="Y399" s="7"/>
      <c r="Z399" s="7"/>
      <c r="AA399" s="7"/>
      <c r="AB399" s="7"/>
      <c r="AC399" s="7"/>
      <c r="AD399" s="7"/>
      <c r="AE399" s="7"/>
      <c r="AG399" s="36"/>
      <c r="AH399" s="36"/>
      <c r="AI399" s="35"/>
      <c r="AJ399" s="7"/>
      <c r="AK399" s="7"/>
      <c r="AL399" s="7"/>
      <c r="AM399" s="7"/>
      <c r="AN399" s="7"/>
      <c r="AO399" s="7"/>
      <c r="AP399" s="7"/>
      <c r="AQ399" s="7"/>
      <c r="AS399" s="36"/>
      <c r="AT399" s="36"/>
      <c r="AU399" s="35"/>
      <c r="AV399" s="7"/>
      <c r="AW399" s="7"/>
      <c r="AX399" s="7"/>
      <c r="AY399" s="7"/>
      <c r="AZ399" s="7"/>
      <c r="BA399" s="7"/>
      <c r="BB399" s="7"/>
      <c r="BC399" s="7"/>
      <c r="BF399" s="7"/>
      <c r="BG399" s="36"/>
      <c r="BH399" s="36"/>
      <c r="BI399" s="36"/>
      <c r="BJ399" s="36"/>
      <c r="BK399" s="36"/>
      <c r="BL399" s="36"/>
      <c r="BM399" s="36"/>
      <c r="BN399" s="36"/>
      <c r="BO399" s="36"/>
    </row>
    <row r="400" spans="1:67" x14ac:dyDescent="0.25">
      <c r="A400" s="39"/>
      <c r="B400" s="40"/>
      <c r="U400" s="36"/>
      <c r="V400" s="36"/>
      <c r="W400" s="35"/>
      <c r="X400" s="7"/>
      <c r="Y400" s="7"/>
      <c r="Z400" s="7"/>
      <c r="AA400" s="7"/>
      <c r="AB400" s="7"/>
      <c r="AC400" s="7"/>
      <c r="AD400" s="7"/>
      <c r="AE400" s="7"/>
      <c r="AG400" s="36"/>
      <c r="AH400" s="36"/>
      <c r="AI400" s="35"/>
      <c r="AJ400" s="7"/>
      <c r="AK400" s="7"/>
      <c r="AL400" s="7"/>
      <c r="AM400" s="7"/>
      <c r="AN400" s="7"/>
      <c r="AO400" s="7"/>
      <c r="AP400" s="7"/>
      <c r="AQ400" s="7"/>
      <c r="AS400" s="36"/>
      <c r="AT400" s="36"/>
      <c r="AU400" s="35"/>
      <c r="AV400" s="7"/>
      <c r="AW400" s="7"/>
      <c r="AX400" s="7"/>
      <c r="AY400" s="7"/>
      <c r="AZ400" s="7"/>
      <c r="BA400" s="7"/>
      <c r="BB400" s="7"/>
      <c r="BC400" s="7"/>
      <c r="BF400" s="7"/>
      <c r="BG400" s="36"/>
      <c r="BH400" s="36"/>
      <c r="BI400" s="36"/>
      <c r="BJ400" s="36"/>
      <c r="BK400" s="36"/>
      <c r="BL400" s="36"/>
      <c r="BM400" s="36"/>
      <c r="BN400" s="36"/>
      <c r="BO400" s="36"/>
    </row>
    <row r="401" spans="1:67" x14ac:dyDescent="0.25">
      <c r="A401" s="39"/>
      <c r="B401" s="40"/>
      <c r="U401" s="36"/>
      <c r="V401" s="36"/>
      <c r="W401" s="35"/>
      <c r="X401" s="7"/>
      <c r="Y401" s="7"/>
      <c r="Z401" s="7"/>
      <c r="AA401" s="7"/>
      <c r="AB401" s="7"/>
      <c r="AC401" s="7"/>
      <c r="AD401" s="7"/>
      <c r="AE401" s="7"/>
      <c r="AG401" s="36"/>
      <c r="AH401" s="36"/>
      <c r="AI401" s="35"/>
      <c r="AJ401" s="7"/>
      <c r="AK401" s="7"/>
      <c r="AL401" s="7"/>
      <c r="AM401" s="7"/>
      <c r="AN401" s="7"/>
      <c r="AO401" s="7"/>
      <c r="AP401" s="7"/>
      <c r="AQ401" s="7"/>
      <c r="AS401" s="36"/>
      <c r="AT401" s="36"/>
      <c r="AU401" s="35"/>
      <c r="AV401" s="7"/>
      <c r="AW401" s="7"/>
      <c r="AX401" s="7"/>
      <c r="AY401" s="7"/>
      <c r="AZ401" s="7"/>
      <c r="BA401" s="7"/>
      <c r="BB401" s="7"/>
      <c r="BC401" s="7"/>
      <c r="BF401" s="7"/>
      <c r="BG401" s="36"/>
      <c r="BH401" s="36"/>
      <c r="BI401" s="36"/>
      <c r="BJ401" s="36"/>
      <c r="BK401" s="36"/>
      <c r="BL401" s="36"/>
      <c r="BM401" s="36"/>
      <c r="BN401" s="36"/>
      <c r="BO401" s="36"/>
    </row>
    <row r="402" spans="1:67" x14ac:dyDescent="0.25">
      <c r="A402" s="39"/>
      <c r="B402" s="40"/>
      <c r="U402" s="36"/>
      <c r="V402" s="36"/>
      <c r="W402" s="35"/>
      <c r="X402" s="7"/>
      <c r="Y402" s="7"/>
      <c r="Z402" s="7"/>
      <c r="AA402" s="7"/>
      <c r="AB402" s="7"/>
      <c r="AC402" s="7"/>
      <c r="AD402" s="7"/>
      <c r="AE402" s="7"/>
      <c r="AG402" s="36"/>
      <c r="AH402" s="36"/>
      <c r="AI402" s="35"/>
      <c r="AJ402" s="7"/>
      <c r="AK402" s="7"/>
      <c r="AL402" s="7"/>
      <c r="AM402" s="7"/>
      <c r="AN402" s="7"/>
      <c r="AO402" s="7"/>
      <c r="AP402" s="7"/>
      <c r="AQ402" s="7"/>
      <c r="AS402" s="36"/>
      <c r="AT402" s="36"/>
      <c r="AU402" s="35"/>
      <c r="AV402" s="7"/>
      <c r="AW402" s="7"/>
      <c r="AX402" s="7"/>
      <c r="AY402" s="7"/>
      <c r="AZ402" s="7"/>
      <c r="BA402" s="7"/>
      <c r="BB402" s="7"/>
      <c r="BC402" s="7"/>
      <c r="BF402" s="7"/>
      <c r="BG402" s="36"/>
      <c r="BH402" s="36"/>
      <c r="BI402" s="36"/>
      <c r="BJ402" s="36"/>
      <c r="BK402" s="36"/>
      <c r="BL402" s="36"/>
      <c r="BM402" s="36"/>
      <c r="BN402" s="36"/>
      <c r="BO402" s="36"/>
    </row>
    <row r="403" spans="1:67" x14ac:dyDescent="0.25">
      <c r="A403" s="39"/>
      <c r="B403" s="40"/>
      <c r="U403" s="36"/>
      <c r="V403" s="36"/>
      <c r="W403" s="35"/>
      <c r="X403" s="7"/>
      <c r="Y403" s="7"/>
      <c r="Z403" s="7"/>
      <c r="AA403" s="7"/>
      <c r="AB403" s="7"/>
      <c r="AC403" s="7"/>
      <c r="AD403" s="7"/>
      <c r="AE403" s="7"/>
      <c r="AG403" s="36"/>
      <c r="AH403" s="36"/>
      <c r="AI403" s="35"/>
      <c r="AJ403" s="7"/>
      <c r="AK403" s="7"/>
      <c r="AL403" s="7"/>
      <c r="AM403" s="7"/>
      <c r="AN403" s="7"/>
      <c r="AO403" s="7"/>
      <c r="AP403" s="7"/>
      <c r="AQ403" s="7"/>
      <c r="AS403" s="36"/>
      <c r="AT403" s="36"/>
      <c r="AU403" s="35"/>
      <c r="AV403" s="7"/>
      <c r="AW403" s="7"/>
      <c r="AX403" s="7"/>
      <c r="AY403" s="7"/>
      <c r="AZ403" s="7"/>
      <c r="BA403" s="7"/>
      <c r="BB403" s="7"/>
      <c r="BC403" s="7"/>
      <c r="BF403" s="7"/>
      <c r="BG403" s="36"/>
      <c r="BH403" s="36"/>
      <c r="BI403" s="36"/>
      <c r="BJ403" s="36"/>
      <c r="BK403" s="36"/>
      <c r="BL403" s="36"/>
      <c r="BM403" s="36"/>
      <c r="BN403" s="36"/>
      <c r="BO403" s="36"/>
    </row>
    <row r="404" spans="1:67" x14ac:dyDescent="0.25">
      <c r="A404" s="39"/>
      <c r="B404" s="40"/>
      <c r="U404" s="36"/>
      <c r="V404" s="36"/>
      <c r="W404" s="35"/>
      <c r="X404" s="7"/>
      <c r="Y404" s="7"/>
      <c r="Z404" s="7"/>
      <c r="AA404" s="7"/>
      <c r="AB404" s="7"/>
      <c r="AC404" s="7"/>
      <c r="AD404" s="7"/>
      <c r="AE404" s="7"/>
      <c r="AG404" s="36"/>
      <c r="AH404" s="36"/>
      <c r="AI404" s="35"/>
      <c r="AJ404" s="7"/>
      <c r="AK404" s="7"/>
      <c r="AL404" s="7"/>
      <c r="AM404" s="7"/>
      <c r="AN404" s="7"/>
      <c r="AO404" s="7"/>
      <c r="AP404" s="7"/>
      <c r="AQ404" s="7"/>
      <c r="AS404" s="36"/>
      <c r="AT404" s="36"/>
      <c r="AU404" s="35"/>
      <c r="AV404" s="7"/>
      <c r="AW404" s="7"/>
      <c r="AX404" s="7"/>
      <c r="AY404" s="7"/>
      <c r="AZ404" s="7"/>
      <c r="BA404" s="7"/>
      <c r="BB404" s="7"/>
      <c r="BC404" s="7"/>
      <c r="BF404" s="7"/>
      <c r="BG404" s="36"/>
      <c r="BH404" s="36"/>
      <c r="BI404" s="36"/>
      <c r="BJ404" s="36"/>
      <c r="BK404" s="36"/>
      <c r="BL404" s="36"/>
      <c r="BM404" s="36"/>
      <c r="BN404" s="36"/>
      <c r="BO404" s="36"/>
    </row>
    <row r="405" spans="1:67" x14ac:dyDescent="0.25">
      <c r="A405" s="39"/>
      <c r="B405" s="40"/>
      <c r="U405" s="36"/>
      <c r="V405" s="36"/>
      <c r="W405" s="35"/>
      <c r="X405" s="7"/>
      <c r="Y405" s="7"/>
      <c r="Z405" s="7"/>
      <c r="AA405" s="7"/>
      <c r="AB405" s="7"/>
      <c r="AC405" s="7"/>
      <c r="AD405" s="7"/>
      <c r="AE405" s="7"/>
      <c r="AG405" s="36"/>
      <c r="AH405" s="36"/>
      <c r="AI405" s="35"/>
      <c r="AJ405" s="7"/>
      <c r="AK405" s="7"/>
      <c r="AL405" s="7"/>
      <c r="AM405" s="7"/>
      <c r="AN405" s="7"/>
      <c r="AO405" s="7"/>
      <c r="AP405" s="7"/>
      <c r="AQ405" s="7"/>
      <c r="AS405" s="36"/>
      <c r="AT405" s="36"/>
      <c r="AU405" s="35"/>
      <c r="AV405" s="7"/>
      <c r="AW405" s="7"/>
      <c r="AX405" s="7"/>
      <c r="AY405" s="7"/>
      <c r="AZ405" s="7"/>
      <c r="BA405" s="7"/>
      <c r="BB405" s="7"/>
      <c r="BC405" s="7"/>
      <c r="BF405" s="7"/>
      <c r="BG405" s="36"/>
      <c r="BH405" s="36"/>
      <c r="BI405" s="36"/>
      <c r="BJ405" s="36"/>
      <c r="BK405" s="36"/>
      <c r="BL405" s="36"/>
      <c r="BM405" s="36"/>
      <c r="BN405" s="36"/>
      <c r="BO405" s="36"/>
    </row>
    <row r="406" spans="1:67" x14ac:dyDescent="0.25">
      <c r="A406" s="39"/>
      <c r="B406" s="40"/>
      <c r="U406" s="36"/>
      <c r="V406" s="36"/>
      <c r="W406" s="35"/>
      <c r="X406" s="7"/>
      <c r="Y406" s="7"/>
      <c r="Z406" s="7"/>
      <c r="AA406" s="7"/>
      <c r="AB406" s="7"/>
      <c r="AC406" s="7"/>
      <c r="AD406" s="7"/>
      <c r="AE406" s="7"/>
      <c r="AG406" s="36"/>
      <c r="AH406" s="36"/>
      <c r="AI406" s="35"/>
      <c r="AJ406" s="7"/>
      <c r="AK406" s="7"/>
      <c r="AL406" s="7"/>
      <c r="AM406" s="7"/>
      <c r="AN406" s="7"/>
      <c r="AO406" s="7"/>
      <c r="AP406" s="7"/>
      <c r="AQ406" s="7"/>
      <c r="AS406" s="36"/>
      <c r="AT406" s="36"/>
      <c r="AU406" s="35"/>
      <c r="AV406" s="7"/>
      <c r="AW406" s="7"/>
      <c r="AX406" s="7"/>
      <c r="AY406" s="7"/>
      <c r="AZ406" s="7"/>
      <c r="BA406" s="7"/>
      <c r="BB406" s="7"/>
      <c r="BC406" s="7"/>
      <c r="BF406" s="7"/>
      <c r="BG406" s="36"/>
      <c r="BH406" s="36"/>
      <c r="BI406" s="36"/>
      <c r="BJ406" s="36"/>
      <c r="BK406" s="36"/>
      <c r="BL406" s="36"/>
      <c r="BM406" s="36"/>
      <c r="BN406" s="36"/>
      <c r="BO406" s="36"/>
    </row>
    <row r="407" spans="1:67" x14ac:dyDescent="0.25">
      <c r="A407" s="39"/>
      <c r="B407" s="40"/>
      <c r="U407" s="36"/>
      <c r="V407" s="36"/>
      <c r="W407" s="35"/>
      <c r="X407" s="7"/>
      <c r="Y407" s="7"/>
      <c r="Z407" s="7"/>
      <c r="AA407" s="7"/>
      <c r="AB407" s="7"/>
      <c r="AC407" s="7"/>
      <c r="AD407" s="7"/>
      <c r="AE407" s="7"/>
      <c r="AG407" s="36"/>
      <c r="AH407" s="36"/>
      <c r="AI407" s="35"/>
      <c r="AJ407" s="7"/>
      <c r="AK407" s="7"/>
      <c r="AL407" s="7"/>
      <c r="AM407" s="7"/>
      <c r="AN407" s="7"/>
      <c r="AO407" s="7"/>
      <c r="AP407" s="7"/>
      <c r="AQ407" s="7"/>
      <c r="AS407" s="36"/>
      <c r="AT407" s="36"/>
      <c r="AU407" s="35"/>
      <c r="AV407" s="7"/>
      <c r="AW407" s="7"/>
      <c r="AX407" s="7"/>
      <c r="AY407" s="7"/>
      <c r="AZ407" s="7"/>
      <c r="BA407" s="7"/>
      <c r="BB407" s="7"/>
      <c r="BC407" s="7"/>
      <c r="BF407" s="7"/>
      <c r="BG407" s="36"/>
      <c r="BH407" s="36"/>
      <c r="BI407" s="36"/>
      <c r="BJ407" s="36"/>
      <c r="BK407" s="36"/>
      <c r="BL407" s="36"/>
      <c r="BM407" s="36"/>
      <c r="BN407" s="36"/>
      <c r="BO407" s="36"/>
    </row>
    <row r="408" spans="1:67" x14ac:dyDescent="0.25">
      <c r="A408" s="39"/>
      <c r="B408" s="40"/>
      <c r="U408" s="36"/>
      <c r="V408" s="36"/>
      <c r="W408" s="35"/>
      <c r="X408" s="7"/>
      <c r="Y408" s="7"/>
      <c r="Z408" s="7"/>
      <c r="AA408" s="7"/>
      <c r="AB408" s="7"/>
      <c r="AC408" s="7"/>
      <c r="AD408" s="7"/>
      <c r="AE408" s="7"/>
      <c r="AG408" s="36"/>
      <c r="AH408" s="36"/>
      <c r="AI408" s="35"/>
      <c r="AJ408" s="7"/>
      <c r="AK408" s="7"/>
      <c r="AL408" s="7"/>
      <c r="AM408" s="7"/>
      <c r="AN408" s="7"/>
      <c r="AO408" s="7"/>
      <c r="AP408" s="7"/>
      <c r="AQ408" s="7"/>
      <c r="AS408" s="36"/>
      <c r="AT408" s="36"/>
      <c r="AU408" s="35"/>
      <c r="AV408" s="7"/>
      <c r="AW408" s="7"/>
      <c r="AX408" s="7"/>
      <c r="AY408" s="7"/>
      <c r="AZ408" s="7"/>
      <c r="BA408" s="7"/>
      <c r="BB408" s="7"/>
      <c r="BC408" s="7"/>
      <c r="BF408" s="7"/>
      <c r="BG408" s="36"/>
      <c r="BH408" s="36"/>
      <c r="BI408" s="36"/>
      <c r="BJ408" s="36"/>
      <c r="BK408" s="36"/>
      <c r="BL408" s="36"/>
      <c r="BM408" s="36"/>
      <c r="BN408" s="36"/>
      <c r="BO408" s="36"/>
    </row>
    <row r="409" spans="1:67" x14ac:dyDescent="0.25">
      <c r="A409" s="39"/>
      <c r="B409" s="40"/>
      <c r="U409" s="36"/>
      <c r="V409" s="36"/>
      <c r="W409" s="35"/>
      <c r="X409" s="7"/>
      <c r="Y409" s="7"/>
      <c r="Z409" s="7"/>
      <c r="AA409" s="7"/>
      <c r="AB409" s="7"/>
      <c r="AC409" s="7"/>
      <c r="AD409" s="7"/>
      <c r="AE409" s="7"/>
      <c r="AG409" s="36"/>
      <c r="AH409" s="36"/>
      <c r="AI409" s="35"/>
      <c r="AJ409" s="7"/>
      <c r="AK409" s="7"/>
      <c r="AL409" s="7"/>
      <c r="AM409" s="7"/>
      <c r="AN409" s="7"/>
      <c r="AO409" s="7"/>
      <c r="AP409" s="7"/>
      <c r="AQ409" s="7"/>
      <c r="AS409" s="36"/>
      <c r="AT409" s="36"/>
      <c r="AU409" s="35"/>
      <c r="AV409" s="7"/>
      <c r="AW409" s="7"/>
      <c r="AX409" s="7"/>
      <c r="AY409" s="7"/>
      <c r="AZ409" s="7"/>
      <c r="BA409" s="7"/>
      <c r="BB409" s="7"/>
      <c r="BC409" s="7"/>
      <c r="BF409" s="7"/>
      <c r="BG409" s="36"/>
      <c r="BH409" s="36"/>
      <c r="BI409" s="36"/>
      <c r="BJ409" s="36"/>
      <c r="BK409" s="36"/>
      <c r="BL409" s="36"/>
      <c r="BM409" s="36"/>
      <c r="BN409" s="36"/>
      <c r="BO409" s="36"/>
    </row>
    <row r="410" spans="1:67" x14ac:dyDescent="0.25">
      <c r="A410" s="39"/>
      <c r="B410" s="40"/>
      <c r="U410" s="36"/>
      <c r="V410" s="36"/>
      <c r="W410" s="35"/>
      <c r="X410" s="7"/>
      <c r="Y410" s="7"/>
      <c r="Z410" s="7"/>
      <c r="AA410" s="7"/>
      <c r="AB410" s="7"/>
      <c r="AC410" s="7"/>
      <c r="AD410" s="7"/>
      <c r="AE410" s="7"/>
      <c r="AG410" s="36"/>
      <c r="AH410" s="36"/>
      <c r="AI410" s="35"/>
      <c r="AJ410" s="7"/>
      <c r="AK410" s="7"/>
      <c r="AL410" s="7"/>
      <c r="AM410" s="7"/>
      <c r="AN410" s="7"/>
      <c r="AO410" s="7"/>
      <c r="AP410" s="7"/>
      <c r="AQ410" s="7"/>
      <c r="AS410" s="36"/>
      <c r="AT410" s="36"/>
      <c r="AU410" s="35"/>
      <c r="AV410" s="7"/>
      <c r="AW410" s="7"/>
      <c r="AX410" s="7"/>
      <c r="AY410" s="7"/>
      <c r="AZ410" s="7"/>
      <c r="BA410" s="7"/>
      <c r="BB410" s="7"/>
      <c r="BC410" s="7"/>
      <c r="BF410" s="7"/>
      <c r="BG410" s="36"/>
      <c r="BH410" s="36"/>
      <c r="BI410" s="36"/>
      <c r="BJ410" s="36"/>
      <c r="BK410" s="36"/>
      <c r="BL410" s="36"/>
      <c r="BM410" s="36"/>
      <c r="BN410" s="36"/>
      <c r="BO410" s="36"/>
    </row>
    <row r="411" spans="1:67" x14ac:dyDescent="0.25">
      <c r="A411" s="39"/>
      <c r="B411" s="40"/>
      <c r="U411" s="36"/>
      <c r="V411" s="36"/>
      <c r="W411" s="35"/>
      <c r="X411" s="7"/>
      <c r="Y411" s="7"/>
      <c r="Z411" s="7"/>
      <c r="AA411" s="7"/>
      <c r="AB411" s="7"/>
      <c r="AC411" s="7"/>
      <c r="AD411" s="7"/>
      <c r="AE411" s="7"/>
      <c r="AG411" s="36"/>
      <c r="AH411" s="36"/>
      <c r="AI411" s="35"/>
      <c r="AJ411" s="7"/>
      <c r="AK411" s="7"/>
      <c r="AL411" s="7"/>
      <c r="AM411" s="7"/>
      <c r="AN411" s="7"/>
      <c r="AO411" s="7"/>
      <c r="AP411" s="7"/>
      <c r="AQ411" s="7"/>
      <c r="AS411" s="36"/>
      <c r="AT411" s="36"/>
      <c r="AU411" s="35"/>
      <c r="AV411" s="7"/>
      <c r="AW411" s="7"/>
      <c r="AX411" s="7"/>
      <c r="AY411" s="7"/>
      <c r="AZ411" s="7"/>
      <c r="BA411" s="7"/>
      <c r="BB411" s="7"/>
      <c r="BC411" s="7"/>
      <c r="BF411" s="7"/>
      <c r="BG411" s="36"/>
      <c r="BH411" s="36"/>
      <c r="BI411" s="36"/>
      <c r="BJ411" s="36"/>
      <c r="BK411" s="36"/>
      <c r="BL411" s="36"/>
      <c r="BM411" s="36"/>
      <c r="BN411" s="36"/>
      <c r="BO411" s="36"/>
    </row>
    <row r="412" spans="1:67" x14ac:dyDescent="0.25">
      <c r="A412" s="39"/>
      <c r="B412" s="40"/>
      <c r="U412" s="36"/>
      <c r="V412" s="36"/>
      <c r="W412" s="35"/>
      <c r="X412" s="7"/>
      <c r="Y412" s="7"/>
      <c r="Z412" s="7"/>
      <c r="AA412" s="7"/>
      <c r="AB412" s="7"/>
      <c r="AC412" s="7"/>
      <c r="AD412" s="7"/>
      <c r="AE412" s="7"/>
      <c r="AG412" s="36"/>
      <c r="AH412" s="36"/>
      <c r="AI412" s="35"/>
      <c r="AJ412" s="7"/>
      <c r="AK412" s="7"/>
      <c r="AL412" s="7"/>
      <c r="AM412" s="7"/>
      <c r="AN412" s="7"/>
      <c r="AO412" s="7"/>
      <c r="AP412" s="7"/>
      <c r="AQ412" s="7"/>
      <c r="AS412" s="36"/>
      <c r="AT412" s="36"/>
      <c r="AU412" s="35"/>
      <c r="AV412" s="7"/>
      <c r="AW412" s="7"/>
      <c r="AX412" s="7"/>
      <c r="AY412" s="7"/>
      <c r="AZ412" s="7"/>
      <c r="BA412" s="7"/>
      <c r="BB412" s="7"/>
      <c r="BC412" s="7"/>
      <c r="BF412" s="7"/>
      <c r="BG412" s="36"/>
      <c r="BH412" s="36"/>
      <c r="BI412" s="36"/>
      <c r="BJ412" s="36"/>
      <c r="BK412" s="36"/>
      <c r="BL412" s="36"/>
      <c r="BM412" s="36"/>
      <c r="BN412" s="36"/>
      <c r="BO412" s="36"/>
    </row>
    <row r="413" spans="1:67" x14ac:dyDescent="0.25">
      <c r="A413" s="39"/>
      <c r="B413" s="40"/>
      <c r="U413" s="36"/>
      <c r="V413" s="36"/>
      <c r="W413" s="35"/>
      <c r="X413" s="7"/>
      <c r="Y413" s="7"/>
      <c r="Z413" s="7"/>
      <c r="AA413" s="7"/>
      <c r="AB413" s="7"/>
      <c r="AC413" s="7"/>
      <c r="AD413" s="7"/>
      <c r="AE413" s="7"/>
      <c r="AG413" s="36"/>
      <c r="AH413" s="36"/>
      <c r="AI413" s="35"/>
      <c r="AJ413" s="7"/>
      <c r="AK413" s="7"/>
      <c r="AL413" s="7"/>
      <c r="AM413" s="7"/>
      <c r="AN413" s="7"/>
      <c r="AO413" s="7"/>
      <c r="AP413" s="7"/>
      <c r="AQ413" s="7"/>
      <c r="AS413" s="36"/>
      <c r="AT413" s="36"/>
      <c r="AU413" s="35"/>
      <c r="AV413" s="7"/>
      <c r="AW413" s="7"/>
      <c r="AX413" s="7"/>
      <c r="AY413" s="7"/>
      <c r="AZ413" s="7"/>
      <c r="BA413" s="7"/>
      <c r="BB413" s="7"/>
      <c r="BC413" s="7"/>
      <c r="BF413" s="7"/>
      <c r="BG413" s="36"/>
      <c r="BH413" s="36"/>
      <c r="BI413" s="36"/>
      <c r="BJ413" s="36"/>
      <c r="BK413" s="36"/>
      <c r="BL413" s="36"/>
      <c r="BM413" s="36"/>
      <c r="BN413" s="36"/>
      <c r="BO413" s="36"/>
    </row>
    <row r="414" spans="1:67" x14ac:dyDescent="0.25">
      <c r="A414" s="39"/>
      <c r="B414" s="40"/>
      <c r="U414" s="36"/>
      <c r="V414" s="36"/>
      <c r="W414" s="35"/>
      <c r="X414" s="7"/>
      <c r="Y414" s="7"/>
      <c r="Z414" s="7"/>
      <c r="AA414" s="7"/>
      <c r="AB414" s="7"/>
      <c r="AC414" s="7"/>
      <c r="AD414" s="7"/>
      <c r="AE414" s="7"/>
      <c r="AG414" s="36"/>
      <c r="AH414" s="36"/>
      <c r="AI414" s="35"/>
      <c r="AJ414" s="7"/>
      <c r="AK414" s="7"/>
      <c r="AL414" s="7"/>
      <c r="AM414" s="7"/>
      <c r="AN414" s="7"/>
      <c r="AO414" s="7"/>
      <c r="AP414" s="7"/>
      <c r="AQ414" s="7"/>
      <c r="AS414" s="36"/>
      <c r="AT414" s="36"/>
      <c r="AU414" s="35"/>
      <c r="AV414" s="7"/>
      <c r="AW414" s="7"/>
      <c r="AX414" s="7"/>
      <c r="AY414" s="7"/>
      <c r="AZ414" s="7"/>
      <c r="BA414" s="7"/>
      <c r="BB414" s="7"/>
      <c r="BC414" s="7"/>
      <c r="BF414" s="7"/>
      <c r="BG414" s="36"/>
      <c r="BH414" s="36"/>
      <c r="BI414" s="36"/>
      <c r="BJ414" s="36"/>
      <c r="BK414" s="36"/>
      <c r="BL414" s="36"/>
      <c r="BM414" s="36"/>
      <c r="BN414" s="36"/>
      <c r="BO414" s="36"/>
    </row>
    <row r="415" spans="1:67" x14ac:dyDescent="0.25">
      <c r="A415" s="39"/>
      <c r="B415" s="40"/>
      <c r="U415" s="36"/>
      <c r="V415" s="36"/>
      <c r="W415" s="35"/>
      <c r="X415" s="7"/>
      <c r="Y415" s="7"/>
      <c r="Z415" s="7"/>
      <c r="AA415" s="7"/>
      <c r="AB415" s="7"/>
      <c r="AC415" s="7"/>
      <c r="AD415" s="7"/>
      <c r="AE415" s="7"/>
      <c r="AG415" s="36"/>
      <c r="AH415" s="36"/>
      <c r="AI415" s="35"/>
      <c r="AJ415" s="7"/>
      <c r="AK415" s="7"/>
      <c r="AL415" s="7"/>
      <c r="AM415" s="7"/>
      <c r="AN415" s="7"/>
      <c r="AO415" s="7"/>
      <c r="AP415" s="7"/>
      <c r="AQ415" s="7"/>
      <c r="AS415" s="36"/>
      <c r="AT415" s="36"/>
      <c r="AU415" s="35"/>
      <c r="AV415" s="7"/>
      <c r="AW415" s="7"/>
      <c r="AX415" s="7"/>
      <c r="AY415" s="7"/>
      <c r="AZ415" s="7"/>
      <c r="BA415" s="7"/>
      <c r="BB415" s="7"/>
      <c r="BC415" s="7"/>
      <c r="BF415" s="7"/>
      <c r="BG415" s="36"/>
      <c r="BH415" s="36"/>
      <c r="BI415" s="36"/>
      <c r="BJ415" s="36"/>
      <c r="BK415" s="36"/>
      <c r="BL415" s="36"/>
      <c r="BM415" s="36"/>
      <c r="BN415" s="36"/>
      <c r="BO415" s="36"/>
    </row>
    <row r="416" spans="1:67" x14ac:dyDescent="0.25">
      <c r="A416" s="39"/>
      <c r="B416" s="40"/>
      <c r="U416" s="36"/>
      <c r="V416" s="36"/>
      <c r="W416" s="35"/>
      <c r="X416" s="7"/>
      <c r="Y416" s="7"/>
      <c r="Z416" s="7"/>
      <c r="AA416" s="7"/>
      <c r="AB416" s="7"/>
      <c r="AC416" s="7"/>
      <c r="AD416" s="7"/>
      <c r="AE416" s="7"/>
      <c r="AG416" s="36"/>
      <c r="AH416" s="36"/>
      <c r="AI416" s="35"/>
      <c r="AJ416" s="7"/>
      <c r="AK416" s="7"/>
      <c r="AL416" s="7"/>
      <c r="AM416" s="7"/>
      <c r="AN416" s="7"/>
      <c r="AO416" s="7"/>
      <c r="AP416" s="7"/>
      <c r="AQ416" s="7"/>
      <c r="AS416" s="36"/>
      <c r="AT416" s="36"/>
      <c r="AU416" s="35"/>
      <c r="AV416" s="7"/>
      <c r="AW416" s="7"/>
      <c r="AX416" s="7"/>
      <c r="AY416" s="7"/>
      <c r="AZ416" s="7"/>
      <c r="BA416" s="7"/>
      <c r="BB416" s="7"/>
      <c r="BC416" s="7"/>
      <c r="BF416" s="7"/>
      <c r="BG416" s="36"/>
      <c r="BH416" s="36"/>
      <c r="BI416" s="36"/>
      <c r="BJ416" s="36"/>
      <c r="BK416" s="36"/>
      <c r="BL416" s="36"/>
      <c r="BM416" s="36"/>
      <c r="BN416" s="36"/>
      <c r="BO416" s="36"/>
    </row>
    <row r="417" spans="1:67" x14ac:dyDescent="0.25">
      <c r="A417" s="39"/>
      <c r="B417" s="40"/>
      <c r="U417" s="36"/>
      <c r="V417" s="36"/>
      <c r="W417" s="35"/>
      <c r="X417" s="7"/>
      <c r="Y417" s="7"/>
      <c r="Z417" s="7"/>
      <c r="AA417" s="7"/>
      <c r="AB417" s="7"/>
      <c r="AC417" s="7"/>
      <c r="AD417" s="7"/>
      <c r="AE417" s="7"/>
      <c r="AG417" s="36"/>
      <c r="AH417" s="36"/>
      <c r="AI417" s="35"/>
      <c r="AJ417" s="7"/>
      <c r="AK417" s="7"/>
      <c r="AL417" s="7"/>
      <c r="AM417" s="7"/>
      <c r="AN417" s="7"/>
      <c r="AO417" s="7"/>
      <c r="AP417" s="7"/>
      <c r="AQ417" s="7"/>
      <c r="AS417" s="36"/>
      <c r="AT417" s="36"/>
      <c r="AU417" s="35"/>
      <c r="AV417" s="7"/>
      <c r="AW417" s="7"/>
      <c r="AX417" s="7"/>
      <c r="AY417" s="7"/>
      <c r="AZ417" s="7"/>
      <c r="BA417" s="7"/>
      <c r="BB417" s="7"/>
      <c r="BC417" s="7"/>
      <c r="BF417" s="7"/>
      <c r="BG417" s="36"/>
      <c r="BH417" s="36"/>
      <c r="BI417" s="36"/>
      <c r="BJ417" s="36"/>
      <c r="BK417" s="36"/>
      <c r="BL417" s="36"/>
      <c r="BM417" s="36"/>
      <c r="BN417" s="36"/>
      <c r="BO417" s="36"/>
    </row>
    <row r="418" spans="1:67" x14ac:dyDescent="0.25">
      <c r="A418" s="39"/>
      <c r="B418" s="40"/>
      <c r="U418" s="36"/>
      <c r="V418" s="36"/>
      <c r="W418" s="35"/>
      <c r="X418" s="7"/>
      <c r="Y418" s="7"/>
      <c r="Z418" s="7"/>
      <c r="AA418" s="7"/>
      <c r="AB418" s="7"/>
      <c r="AC418" s="7"/>
      <c r="AD418" s="7"/>
      <c r="AE418" s="7"/>
      <c r="AG418" s="36"/>
      <c r="AH418" s="36"/>
      <c r="AI418" s="35"/>
      <c r="AJ418" s="7"/>
      <c r="AK418" s="7"/>
      <c r="AL418" s="7"/>
      <c r="AM418" s="7"/>
      <c r="AN418" s="7"/>
      <c r="AO418" s="7"/>
      <c r="AP418" s="7"/>
      <c r="AQ418" s="7"/>
      <c r="AS418" s="36"/>
      <c r="AT418" s="36"/>
      <c r="AU418" s="35"/>
      <c r="AV418" s="7"/>
      <c r="AW418" s="7"/>
      <c r="AX418" s="7"/>
      <c r="AY418" s="7"/>
      <c r="AZ418" s="7"/>
      <c r="BA418" s="7"/>
      <c r="BB418" s="7"/>
      <c r="BC418" s="7"/>
      <c r="BF418" s="7"/>
      <c r="BG418" s="36"/>
      <c r="BH418" s="36"/>
      <c r="BI418" s="36"/>
      <c r="BJ418" s="36"/>
      <c r="BK418" s="36"/>
      <c r="BL418" s="36"/>
      <c r="BM418" s="36"/>
      <c r="BN418" s="36"/>
      <c r="BO418" s="36"/>
    </row>
    <row r="419" spans="1:67" x14ac:dyDescent="0.25">
      <c r="A419" s="39"/>
      <c r="B419" s="40"/>
      <c r="U419" s="36"/>
      <c r="V419" s="36"/>
      <c r="W419" s="35"/>
      <c r="X419" s="7"/>
      <c r="Y419" s="7"/>
      <c r="Z419" s="7"/>
      <c r="AA419" s="7"/>
      <c r="AB419" s="7"/>
      <c r="AC419" s="7"/>
      <c r="AD419" s="7"/>
      <c r="AE419" s="7"/>
      <c r="AG419" s="36"/>
      <c r="AH419" s="36"/>
      <c r="AI419" s="35"/>
      <c r="AJ419" s="7"/>
      <c r="AK419" s="7"/>
      <c r="AL419" s="7"/>
      <c r="AM419" s="7"/>
      <c r="AN419" s="7"/>
      <c r="AO419" s="7"/>
      <c r="AP419" s="7"/>
      <c r="AQ419" s="7"/>
      <c r="AS419" s="36"/>
      <c r="AT419" s="36"/>
      <c r="AU419" s="35"/>
      <c r="AV419" s="7"/>
      <c r="AW419" s="7"/>
      <c r="AX419" s="7"/>
      <c r="AY419" s="7"/>
      <c r="AZ419" s="7"/>
      <c r="BA419" s="7"/>
      <c r="BB419" s="7"/>
      <c r="BC419" s="7"/>
      <c r="BF419" s="7"/>
      <c r="BG419" s="36"/>
      <c r="BH419" s="36"/>
      <c r="BI419" s="36"/>
      <c r="BJ419" s="36"/>
      <c r="BK419" s="36"/>
      <c r="BL419" s="36"/>
      <c r="BM419" s="36"/>
      <c r="BN419" s="36"/>
      <c r="BO419" s="36"/>
    </row>
    <row r="420" spans="1:67" x14ac:dyDescent="0.25">
      <c r="A420" s="39"/>
      <c r="B420" s="40"/>
      <c r="U420" s="36"/>
      <c r="V420" s="36"/>
      <c r="W420" s="35"/>
      <c r="X420" s="7"/>
      <c r="Y420" s="7"/>
      <c r="Z420" s="7"/>
      <c r="AA420" s="7"/>
      <c r="AB420" s="7"/>
      <c r="AC420" s="7"/>
      <c r="AD420" s="7"/>
      <c r="AE420" s="7"/>
      <c r="AG420" s="36"/>
      <c r="AH420" s="36"/>
      <c r="AI420" s="35"/>
      <c r="AJ420" s="7"/>
      <c r="AK420" s="7"/>
      <c r="AL420" s="7"/>
      <c r="AM420" s="7"/>
      <c r="AN420" s="7"/>
      <c r="AO420" s="7"/>
      <c r="AP420" s="7"/>
      <c r="AQ420" s="7"/>
      <c r="AS420" s="36"/>
      <c r="AT420" s="36"/>
      <c r="AU420" s="35"/>
      <c r="AV420" s="7"/>
      <c r="AW420" s="7"/>
      <c r="AX420" s="7"/>
      <c r="AY420" s="7"/>
      <c r="AZ420" s="7"/>
      <c r="BA420" s="7"/>
      <c r="BB420" s="7"/>
      <c r="BC420" s="7"/>
      <c r="BF420" s="7"/>
      <c r="BG420" s="36"/>
      <c r="BH420" s="36"/>
      <c r="BI420" s="36"/>
      <c r="BJ420" s="36"/>
      <c r="BK420" s="36"/>
      <c r="BL420" s="36"/>
      <c r="BM420" s="36"/>
      <c r="BN420" s="36"/>
      <c r="BO420" s="36"/>
    </row>
    <row r="421" spans="1:67" x14ac:dyDescent="0.25">
      <c r="A421" s="39"/>
      <c r="B421" s="40"/>
      <c r="U421" s="36"/>
      <c r="V421" s="36"/>
      <c r="W421" s="35"/>
      <c r="X421" s="7"/>
      <c r="Y421" s="7"/>
      <c r="Z421" s="7"/>
      <c r="AA421" s="7"/>
      <c r="AB421" s="7"/>
      <c r="AC421" s="7"/>
      <c r="AD421" s="7"/>
      <c r="AE421" s="7"/>
      <c r="AG421" s="36"/>
      <c r="AH421" s="36"/>
      <c r="AI421" s="35"/>
      <c r="AJ421" s="7"/>
      <c r="AK421" s="7"/>
      <c r="AL421" s="7"/>
      <c r="AM421" s="7"/>
      <c r="AN421" s="7"/>
      <c r="AO421" s="7"/>
      <c r="AP421" s="7"/>
      <c r="AQ421" s="7"/>
      <c r="AS421" s="36"/>
      <c r="AT421" s="36"/>
      <c r="AU421" s="35"/>
      <c r="AV421" s="7"/>
      <c r="AW421" s="7"/>
      <c r="AX421" s="7"/>
      <c r="AY421" s="7"/>
      <c r="AZ421" s="7"/>
      <c r="BA421" s="7"/>
      <c r="BB421" s="7"/>
      <c r="BC421" s="7"/>
      <c r="BF421" s="7"/>
      <c r="BG421" s="36"/>
      <c r="BH421" s="36"/>
      <c r="BI421" s="36"/>
      <c r="BJ421" s="36"/>
      <c r="BK421" s="36"/>
      <c r="BL421" s="36"/>
      <c r="BM421" s="36"/>
      <c r="BN421" s="36"/>
      <c r="BO421" s="36"/>
    </row>
    <row r="422" spans="1:67" x14ac:dyDescent="0.25">
      <c r="A422" s="39"/>
      <c r="B422" s="40"/>
      <c r="U422" s="36"/>
      <c r="V422" s="36"/>
      <c r="W422" s="35"/>
      <c r="X422" s="7"/>
      <c r="Y422" s="7"/>
      <c r="Z422" s="7"/>
      <c r="AA422" s="7"/>
      <c r="AB422" s="7"/>
      <c r="AC422" s="7"/>
      <c r="AD422" s="7"/>
      <c r="AE422" s="7"/>
      <c r="AG422" s="36"/>
      <c r="AH422" s="36"/>
      <c r="AI422" s="35"/>
      <c r="AJ422" s="7"/>
      <c r="AK422" s="7"/>
      <c r="AL422" s="7"/>
      <c r="AM422" s="7"/>
      <c r="AN422" s="7"/>
      <c r="AO422" s="7"/>
      <c r="AP422" s="7"/>
      <c r="AQ422" s="7"/>
      <c r="AS422" s="36"/>
      <c r="AT422" s="36"/>
      <c r="AU422" s="35"/>
      <c r="AV422" s="7"/>
      <c r="AW422" s="7"/>
      <c r="AX422" s="7"/>
      <c r="AY422" s="7"/>
      <c r="AZ422" s="7"/>
      <c r="BA422" s="7"/>
      <c r="BB422" s="7"/>
      <c r="BC422" s="7"/>
      <c r="BF422" s="7"/>
      <c r="BG422" s="36"/>
      <c r="BH422" s="36"/>
      <c r="BI422" s="36"/>
      <c r="BJ422" s="36"/>
      <c r="BK422" s="36"/>
      <c r="BL422" s="36"/>
      <c r="BM422" s="36"/>
      <c r="BN422" s="36"/>
      <c r="BO422" s="36"/>
    </row>
    <row r="423" spans="1:67" x14ac:dyDescent="0.25">
      <c r="A423" s="39"/>
      <c r="B423" s="40"/>
      <c r="U423" s="36"/>
      <c r="V423" s="36"/>
      <c r="W423" s="35"/>
      <c r="X423" s="7"/>
      <c r="Y423" s="7"/>
      <c r="Z423" s="7"/>
      <c r="AA423" s="7"/>
      <c r="AB423" s="7"/>
      <c r="AC423" s="7"/>
      <c r="AD423" s="7"/>
      <c r="AE423" s="7"/>
      <c r="AG423" s="36"/>
      <c r="AH423" s="36"/>
      <c r="AI423" s="35"/>
      <c r="AJ423" s="7"/>
      <c r="AK423" s="7"/>
      <c r="AL423" s="7"/>
      <c r="AM423" s="7"/>
      <c r="AN423" s="7"/>
      <c r="AO423" s="7"/>
      <c r="AP423" s="7"/>
      <c r="AQ423" s="7"/>
      <c r="AS423" s="36"/>
      <c r="AT423" s="36"/>
      <c r="AU423" s="35"/>
      <c r="AV423" s="7"/>
      <c r="AW423" s="7"/>
      <c r="AX423" s="7"/>
      <c r="AY423" s="7"/>
      <c r="AZ423" s="7"/>
      <c r="BA423" s="7"/>
      <c r="BB423" s="7"/>
      <c r="BC423" s="7"/>
      <c r="BF423" s="7"/>
      <c r="BG423" s="36"/>
      <c r="BH423" s="36"/>
      <c r="BI423" s="36"/>
      <c r="BJ423" s="36"/>
      <c r="BK423" s="36"/>
      <c r="BL423" s="36"/>
      <c r="BM423" s="36"/>
      <c r="BN423" s="36"/>
      <c r="BO423" s="36"/>
    </row>
    <row r="424" spans="1:67" x14ac:dyDescent="0.25">
      <c r="A424" s="39"/>
      <c r="B424" s="40"/>
      <c r="U424" s="36"/>
      <c r="V424" s="36"/>
      <c r="W424" s="35"/>
      <c r="X424" s="7"/>
      <c r="Y424" s="7"/>
      <c r="Z424" s="7"/>
      <c r="AA424" s="7"/>
      <c r="AB424" s="7"/>
      <c r="AC424" s="7"/>
      <c r="AD424" s="7"/>
      <c r="AE424" s="7"/>
      <c r="AG424" s="36"/>
      <c r="AH424" s="36"/>
      <c r="AI424" s="35"/>
      <c r="AJ424" s="7"/>
      <c r="AK424" s="7"/>
      <c r="AL424" s="7"/>
      <c r="AM424" s="7"/>
      <c r="AN424" s="7"/>
      <c r="AO424" s="7"/>
      <c r="AP424" s="7"/>
      <c r="AQ424" s="7"/>
      <c r="AS424" s="36"/>
      <c r="AT424" s="36"/>
      <c r="AU424" s="35"/>
      <c r="AV424" s="7"/>
      <c r="AW424" s="7"/>
      <c r="AX424" s="7"/>
      <c r="AY424" s="7"/>
      <c r="AZ424" s="7"/>
      <c r="BA424" s="7"/>
      <c r="BB424" s="7"/>
      <c r="BC424" s="7"/>
      <c r="BF424" s="7"/>
      <c r="BG424" s="36"/>
      <c r="BH424" s="36"/>
      <c r="BI424" s="36"/>
      <c r="BJ424" s="36"/>
      <c r="BK424" s="36"/>
      <c r="BL424" s="36"/>
      <c r="BM424" s="36"/>
      <c r="BN424" s="36"/>
      <c r="BO424" s="36"/>
    </row>
    <row r="425" spans="1:67" x14ac:dyDescent="0.25">
      <c r="A425" s="39"/>
      <c r="B425" s="40"/>
      <c r="U425" s="36"/>
      <c r="V425" s="36"/>
      <c r="W425" s="35"/>
      <c r="X425" s="7"/>
      <c r="Y425" s="7"/>
      <c r="Z425" s="7"/>
      <c r="AA425" s="7"/>
      <c r="AB425" s="7"/>
      <c r="AC425" s="7"/>
      <c r="AD425" s="7"/>
      <c r="AE425" s="7"/>
      <c r="AG425" s="36"/>
      <c r="AH425" s="36"/>
      <c r="AI425" s="35"/>
      <c r="AJ425" s="7"/>
      <c r="AK425" s="7"/>
      <c r="AL425" s="7"/>
      <c r="AM425" s="7"/>
      <c r="AN425" s="7"/>
      <c r="AO425" s="7"/>
      <c r="AP425" s="7"/>
      <c r="AQ425" s="7"/>
      <c r="AS425" s="36"/>
      <c r="AT425" s="36"/>
      <c r="AU425" s="35"/>
      <c r="AV425" s="7"/>
      <c r="AW425" s="7"/>
      <c r="AX425" s="7"/>
      <c r="AY425" s="7"/>
      <c r="AZ425" s="7"/>
      <c r="BA425" s="7"/>
      <c r="BB425" s="7"/>
      <c r="BC425" s="7"/>
      <c r="BF425" s="7"/>
      <c r="BG425" s="36"/>
      <c r="BH425" s="36"/>
      <c r="BI425" s="36"/>
      <c r="BJ425" s="36"/>
      <c r="BK425" s="36"/>
      <c r="BL425" s="36"/>
      <c r="BM425" s="36"/>
      <c r="BN425" s="36"/>
      <c r="BO425" s="36"/>
    </row>
    <row r="426" spans="1:67" x14ac:dyDescent="0.25">
      <c r="A426" s="39"/>
      <c r="B426" s="40"/>
      <c r="U426" s="36"/>
      <c r="V426" s="36"/>
      <c r="W426" s="35"/>
      <c r="X426" s="7"/>
      <c r="Y426" s="7"/>
      <c r="Z426" s="7"/>
      <c r="AA426" s="7"/>
      <c r="AB426" s="7"/>
      <c r="AC426" s="7"/>
      <c r="AD426" s="7"/>
      <c r="AE426" s="7"/>
      <c r="AG426" s="36"/>
      <c r="AH426" s="36"/>
      <c r="AI426" s="35"/>
      <c r="AJ426" s="7"/>
      <c r="AK426" s="7"/>
      <c r="AL426" s="7"/>
      <c r="AM426" s="7"/>
      <c r="AN426" s="7"/>
      <c r="AO426" s="7"/>
      <c r="AP426" s="7"/>
      <c r="AQ426" s="7"/>
      <c r="AS426" s="36"/>
      <c r="AT426" s="36"/>
      <c r="AU426" s="35"/>
      <c r="AV426" s="7"/>
      <c r="AW426" s="7"/>
      <c r="AX426" s="7"/>
      <c r="AY426" s="7"/>
      <c r="AZ426" s="7"/>
      <c r="BA426" s="7"/>
      <c r="BB426" s="7"/>
      <c r="BC426" s="7"/>
      <c r="BF426" s="7"/>
      <c r="BG426" s="36"/>
      <c r="BH426" s="36"/>
      <c r="BI426" s="36"/>
      <c r="BJ426" s="36"/>
      <c r="BK426" s="36"/>
      <c r="BL426" s="36"/>
      <c r="BM426" s="36"/>
      <c r="BN426" s="36"/>
      <c r="BO426" s="36"/>
    </row>
    <row r="427" spans="1:67" x14ac:dyDescent="0.25">
      <c r="A427" s="39"/>
      <c r="B427" s="40"/>
      <c r="U427" s="36"/>
      <c r="V427" s="36"/>
      <c r="W427" s="35"/>
      <c r="X427" s="7"/>
      <c r="Y427" s="7"/>
      <c r="Z427" s="7"/>
      <c r="AA427" s="7"/>
      <c r="AB427" s="7"/>
      <c r="AC427" s="7"/>
      <c r="AD427" s="7"/>
      <c r="AE427" s="7"/>
      <c r="AG427" s="36"/>
      <c r="AH427" s="36"/>
      <c r="AI427" s="35"/>
      <c r="AJ427" s="7"/>
      <c r="AK427" s="7"/>
      <c r="AL427" s="7"/>
      <c r="AM427" s="7"/>
      <c r="AN427" s="7"/>
      <c r="AO427" s="7"/>
      <c r="AP427" s="7"/>
      <c r="AQ427" s="7"/>
      <c r="AS427" s="36"/>
      <c r="AT427" s="36"/>
      <c r="AU427" s="35"/>
      <c r="AV427" s="7"/>
      <c r="AW427" s="7"/>
      <c r="AX427" s="7"/>
      <c r="AY427" s="7"/>
      <c r="AZ427" s="7"/>
      <c r="BA427" s="7"/>
      <c r="BB427" s="7"/>
      <c r="BC427" s="7"/>
      <c r="BF427" s="7"/>
      <c r="BG427" s="36"/>
      <c r="BH427" s="36"/>
      <c r="BI427" s="36"/>
      <c r="BJ427" s="36"/>
      <c r="BK427" s="36"/>
      <c r="BL427" s="36"/>
      <c r="BM427" s="36"/>
      <c r="BN427" s="36"/>
      <c r="BO427" s="36"/>
    </row>
    <row r="428" spans="1:67" x14ac:dyDescent="0.25">
      <c r="A428" s="39"/>
      <c r="B428" s="40"/>
      <c r="U428" s="36"/>
      <c r="V428" s="36"/>
      <c r="W428" s="35"/>
      <c r="X428" s="7"/>
      <c r="Y428" s="7"/>
      <c r="Z428" s="7"/>
      <c r="AA428" s="7"/>
      <c r="AB428" s="7"/>
      <c r="AC428" s="7"/>
      <c r="AD428" s="7"/>
      <c r="AE428" s="7"/>
      <c r="AG428" s="36"/>
      <c r="AH428" s="36"/>
      <c r="AI428" s="35"/>
      <c r="AJ428" s="7"/>
      <c r="AK428" s="7"/>
      <c r="AL428" s="7"/>
      <c r="AM428" s="7"/>
      <c r="AN428" s="7"/>
      <c r="AO428" s="7"/>
      <c r="AP428" s="7"/>
      <c r="AQ428" s="7"/>
      <c r="AS428" s="36"/>
      <c r="AT428" s="36"/>
      <c r="AU428" s="35"/>
      <c r="AV428" s="7"/>
      <c r="AW428" s="7"/>
      <c r="AX428" s="7"/>
      <c r="AY428" s="7"/>
      <c r="AZ428" s="7"/>
      <c r="BA428" s="7"/>
      <c r="BB428" s="7"/>
      <c r="BC428" s="7"/>
      <c r="BF428" s="7"/>
      <c r="BG428" s="36"/>
      <c r="BH428" s="36"/>
      <c r="BI428" s="36"/>
      <c r="BJ428" s="36"/>
      <c r="BK428" s="36"/>
      <c r="BL428" s="36"/>
      <c r="BM428" s="36"/>
      <c r="BN428" s="36"/>
      <c r="BO428" s="36"/>
    </row>
    <row r="429" spans="1:67" x14ac:dyDescent="0.25">
      <c r="A429" s="39"/>
      <c r="B429" s="40"/>
      <c r="U429" s="36"/>
      <c r="V429" s="36"/>
      <c r="W429" s="35"/>
      <c r="X429" s="7"/>
      <c r="Y429" s="7"/>
      <c r="Z429" s="7"/>
      <c r="AA429" s="7"/>
      <c r="AB429" s="7"/>
      <c r="AC429" s="7"/>
      <c r="AD429" s="7"/>
      <c r="AE429" s="7"/>
      <c r="AG429" s="36"/>
      <c r="AH429" s="36"/>
      <c r="AI429" s="35"/>
      <c r="AJ429" s="7"/>
      <c r="AK429" s="7"/>
      <c r="AL429" s="7"/>
      <c r="AM429" s="7"/>
      <c r="AN429" s="7"/>
      <c r="AO429" s="7"/>
      <c r="AP429" s="7"/>
      <c r="AQ429" s="7"/>
      <c r="AS429" s="36"/>
      <c r="AT429" s="36"/>
      <c r="AU429" s="35"/>
      <c r="AV429" s="7"/>
      <c r="AW429" s="7"/>
      <c r="AX429" s="7"/>
      <c r="AY429" s="7"/>
      <c r="AZ429" s="7"/>
      <c r="BA429" s="7"/>
      <c r="BB429" s="7"/>
      <c r="BC429" s="7"/>
      <c r="BF429" s="7"/>
      <c r="BG429" s="36"/>
      <c r="BH429" s="36"/>
      <c r="BI429" s="36"/>
      <c r="BJ429" s="36"/>
      <c r="BK429" s="36"/>
      <c r="BL429" s="36"/>
      <c r="BM429" s="36"/>
      <c r="BN429" s="36"/>
      <c r="BO429" s="36"/>
    </row>
    <row r="430" spans="1:67" x14ac:dyDescent="0.25">
      <c r="A430" s="39"/>
      <c r="B430" s="40"/>
      <c r="U430" s="36"/>
      <c r="V430" s="36"/>
      <c r="W430" s="35"/>
      <c r="X430" s="7"/>
      <c r="Y430" s="7"/>
      <c r="Z430" s="7"/>
      <c r="AA430" s="7"/>
      <c r="AB430" s="7"/>
      <c r="AC430" s="7"/>
      <c r="AD430" s="7"/>
      <c r="AE430" s="7"/>
      <c r="AG430" s="36"/>
      <c r="AH430" s="36"/>
      <c r="AI430" s="35"/>
      <c r="AJ430" s="7"/>
      <c r="AK430" s="7"/>
      <c r="AL430" s="7"/>
      <c r="AM430" s="7"/>
      <c r="AN430" s="7"/>
      <c r="AO430" s="7"/>
      <c r="AP430" s="7"/>
      <c r="AQ430" s="7"/>
      <c r="AS430" s="36"/>
      <c r="AT430" s="36"/>
      <c r="AU430" s="35"/>
      <c r="AV430" s="7"/>
      <c r="AW430" s="7"/>
      <c r="AX430" s="7"/>
      <c r="AY430" s="7"/>
      <c r="AZ430" s="7"/>
      <c r="BA430" s="7"/>
      <c r="BB430" s="7"/>
      <c r="BC430" s="7"/>
      <c r="BF430" s="7"/>
      <c r="BG430" s="36"/>
      <c r="BH430" s="36"/>
      <c r="BI430" s="36"/>
      <c r="BJ430" s="36"/>
      <c r="BK430" s="36"/>
      <c r="BL430" s="36"/>
      <c r="BM430" s="36"/>
      <c r="BN430" s="36"/>
      <c r="BO430" s="36"/>
    </row>
    <row r="431" spans="1:67" x14ac:dyDescent="0.25">
      <c r="A431" s="39"/>
      <c r="B431" s="40"/>
      <c r="U431" s="36"/>
      <c r="V431" s="36"/>
      <c r="W431" s="35"/>
      <c r="X431" s="7"/>
      <c r="Y431" s="7"/>
      <c r="Z431" s="7"/>
      <c r="AA431" s="7"/>
      <c r="AB431" s="7"/>
      <c r="AC431" s="7"/>
      <c r="AD431" s="7"/>
      <c r="AE431" s="7"/>
      <c r="AG431" s="36"/>
      <c r="AH431" s="36"/>
      <c r="AI431" s="35"/>
      <c r="AJ431" s="7"/>
      <c r="AK431" s="7"/>
      <c r="AL431" s="7"/>
      <c r="AM431" s="7"/>
      <c r="AN431" s="7"/>
      <c r="AO431" s="7"/>
      <c r="AP431" s="7"/>
      <c r="AQ431" s="7"/>
      <c r="AS431" s="36"/>
      <c r="AT431" s="36"/>
      <c r="AU431" s="35"/>
      <c r="AV431" s="7"/>
      <c r="AW431" s="7"/>
      <c r="AX431" s="7"/>
      <c r="AY431" s="7"/>
      <c r="AZ431" s="7"/>
      <c r="BA431" s="7"/>
      <c r="BB431" s="7"/>
      <c r="BC431" s="7"/>
      <c r="BF431" s="7"/>
      <c r="BG431" s="36"/>
      <c r="BH431" s="36"/>
      <c r="BI431" s="36"/>
      <c r="BJ431" s="36"/>
      <c r="BK431" s="36"/>
      <c r="BL431" s="36"/>
      <c r="BM431" s="36"/>
      <c r="BN431" s="36"/>
      <c r="BO431" s="36"/>
    </row>
    <row r="432" spans="1:67" x14ac:dyDescent="0.25">
      <c r="A432" s="39"/>
      <c r="B432" s="40"/>
      <c r="U432" s="36"/>
      <c r="V432" s="36"/>
      <c r="W432" s="35"/>
      <c r="X432" s="7"/>
      <c r="Y432" s="7"/>
      <c r="Z432" s="7"/>
      <c r="AA432" s="7"/>
      <c r="AB432" s="7"/>
      <c r="AC432" s="7"/>
      <c r="AD432" s="7"/>
      <c r="AE432" s="7"/>
      <c r="AG432" s="36"/>
      <c r="AH432" s="36"/>
      <c r="AI432" s="35"/>
      <c r="AJ432" s="7"/>
      <c r="AK432" s="7"/>
      <c r="AL432" s="7"/>
      <c r="AM432" s="7"/>
      <c r="AN432" s="7"/>
      <c r="AO432" s="7"/>
      <c r="AP432" s="7"/>
      <c r="AQ432" s="7"/>
      <c r="AS432" s="36"/>
      <c r="AT432" s="36"/>
      <c r="AU432" s="35"/>
      <c r="AV432" s="7"/>
      <c r="AW432" s="7"/>
      <c r="AX432" s="7"/>
      <c r="AY432" s="7"/>
      <c r="AZ432" s="7"/>
      <c r="BA432" s="7"/>
      <c r="BB432" s="7"/>
      <c r="BC432" s="7"/>
      <c r="BF432" s="7"/>
      <c r="BG432" s="36"/>
      <c r="BH432" s="36"/>
      <c r="BI432" s="36"/>
      <c r="BJ432" s="36"/>
      <c r="BK432" s="36"/>
      <c r="BL432" s="36"/>
      <c r="BM432" s="36"/>
      <c r="BN432" s="36"/>
      <c r="BO432" s="36"/>
    </row>
    <row r="433" spans="1:67" x14ac:dyDescent="0.25">
      <c r="A433" s="39"/>
      <c r="B433" s="40"/>
      <c r="U433" s="36"/>
      <c r="V433" s="36"/>
      <c r="W433" s="35"/>
      <c r="X433" s="7"/>
      <c r="Y433" s="7"/>
      <c r="Z433" s="7"/>
      <c r="AA433" s="7"/>
      <c r="AB433" s="7"/>
      <c r="AC433" s="7"/>
      <c r="AD433" s="7"/>
      <c r="AE433" s="7"/>
      <c r="AG433" s="36"/>
      <c r="AH433" s="36"/>
      <c r="AI433" s="35"/>
      <c r="AJ433" s="7"/>
      <c r="AK433" s="7"/>
      <c r="AL433" s="7"/>
      <c r="AM433" s="7"/>
      <c r="AN433" s="7"/>
      <c r="AO433" s="7"/>
      <c r="AP433" s="7"/>
      <c r="AQ433" s="7"/>
      <c r="AS433" s="36"/>
      <c r="AT433" s="36"/>
      <c r="AU433" s="35"/>
      <c r="AV433" s="7"/>
      <c r="AW433" s="7"/>
      <c r="AX433" s="7"/>
      <c r="AY433" s="7"/>
      <c r="AZ433" s="7"/>
      <c r="BA433" s="7"/>
      <c r="BB433" s="7"/>
      <c r="BC433" s="7"/>
      <c r="BF433" s="7"/>
      <c r="BG433" s="36"/>
      <c r="BH433" s="36"/>
      <c r="BI433" s="36"/>
      <c r="BJ433" s="36"/>
      <c r="BK433" s="36"/>
      <c r="BL433" s="36"/>
      <c r="BM433" s="36"/>
      <c r="BN433" s="36"/>
      <c r="BO433" s="36"/>
    </row>
    <row r="434" spans="1:67" x14ac:dyDescent="0.25">
      <c r="A434" s="39"/>
      <c r="B434" s="40"/>
      <c r="U434" s="36"/>
      <c r="V434" s="36"/>
      <c r="W434" s="35"/>
      <c r="X434" s="7"/>
      <c r="Y434" s="7"/>
      <c r="Z434" s="7"/>
      <c r="AA434" s="7"/>
      <c r="AB434" s="7"/>
      <c r="AC434" s="7"/>
      <c r="AD434" s="7"/>
      <c r="AE434" s="7"/>
      <c r="AG434" s="36"/>
      <c r="AH434" s="36"/>
      <c r="AI434" s="35"/>
      <c r="AJ434" s="7"/>
      <c r="AK434" s="7"/>
      <c r="AL434" s="7"/>
      <c r="AM434" s="7"/>
      <c r="AN434" s="7"/>
      <c r="AO434" s="7"/>
      <c r="AP434" s="7"/>
      <c r="AQ434" s="7"/>
      <c r="AS434" s="36"/>
      <c r="AT434" s="36"/>
      <c r="AU434" s="35"/>
      <c r="AV434" s="7"/>
      <c r="AW434" s="7"/>
      <c r="AX434" s="7"/>
      <c r="AY434" s="7"/>
      <c r="AZ434" s="7"/>
      <c r="BA434" s="7"/>
      <c r="BB434" s="7"/>
      <c r="BC434" s="7"/>
      <c r="BF434" s="7"/>
      <c r="BG434" s="36"/>
      <c r="BH434" s="36"/>
      <c r="BI434" s="36"/>
      <c r="BJ434" s="36"/>
      <c r="BK434" s="36"/>
      <c r="BL434" s="36"/>
      <c r="BM434" s="36"/>
      <c r="BN434" s="36"/>
      <c r="BO434" s="36"/>
    </row>
    <row r="435" spans="1:67" x14ac:dyDescent="0.25">
      <c r="A435" s="39"/>
      <c r="B435" s="40"/>
      <c r="U435" s="36"/>
      <c r="V435" s="36"/>
      <c r="W435" s="35"/>
      <c r="X435" s="7"/>
      <c r="Y435" s="7"/>
      <c r="Z435" s="7"/>
      <c r="AA435" s="7"/>
      <c r="AB435" s="7"/>
      <c r="AC435" s="7"/>
      <c r="AD435" s="7"/>
      <c r="AE435" s="7"/>
      <c r="AG435" s="36"/>
      <c r="AH435" s="36"/>
      <c r="AI435" s="35"/>
      <c r="AJ435" s="7"/>
      <c r="AK435" s="7"/>
      <c r="AL435" s="7"/>
      <c r="AM435" s="7"/>
      <c r="AN435" s="7"/>
      <c r="AO435" s="7"/>
      <c r="AP435" s="7"/>
      <c r="AQ435" s="7"/>
      <c r="AS435" s="36"/>
      <c r="AT435" s="36"/>
      <c r="AU435" s="35"/>
      <c r="AV435" s="7"/>
      <c r="AW435" s="7"/>
      <c r="AX435" s="7"/>
      <c r="AY435" s="7"/>
      <c r="AZ435" s="7"/>
      <c r="BA435" s="7"/>
      <c r="BB435" s="7"/>
      <c r="BC435" s="7"/>
      <c r="BF435" s="7"/>
      <c r="BG435" s="36"/>
      <c r="BH435" s="36"/>
      <c r="BI435" s="36"/>
      <c r="BJ435" s="36"/>
      <c r="BK435" s="36"/>
      <c r="BL435" s="36"/>
      <c r="BM435" s="36"/>
      <c r="BN435" s="36"/>
      <c r="BO435" s="36"/>
    </row>
    <row r="436" spans="1:67" x14ac:dyDescent="0.25">
      <c r="A436" s="39"/>
      <c r="B436" s="40"/>
      <c r="U436" s="36"/>
      <c r="V436" s="36"/>
      <c r="W436" s="35"/>
      <c r="X436" s="7"/>
      <c r="Y436" s="7"/>
      <c r="Z436" s="7"/>
      <c r="AA436" s="7"/>
      <c r="AB436" s="7"/>
      <c r="AC436" s="7"/>
      <c r="AD436" s="7"/>
      <c r="AE436" s="7"/>
      <c r="AG436" s="36"/>
      <c r="AH436" s="36"/>
      <c r="AI436" s="35"/>
      <c r="AJ436" s="7"/>
      <c r="AK436" s="7"/>
      <c r="AL436" s="7"/>
      <c r="AM436" s="7"/>
      <c r="AN436" s="7"/>
      <c r="AO436" s="7"/>
      <c r="AP436" s="7"/>
      <c r="AQ436" s="7"/>
      <c r="AS436" s="36"/>
      <c r="AT436" s="36"/>
      <c r="AU436" s="35"/>
      <c r="AV436" s="7"/>
      <c r="AW436" s="7"/>
      <c r="AX436" s="7"/>
      <c r="AY436" s="7"/>
      <c r="AZ436" s="7"/>
      <c r="BA436" s="7"/>
      <c r="BB436" s="7"/>
      <c r="BC436" s="7"/>
      <c r="BF436" s="7"/>
      <c r="BG436" s="36"/>
      <c r="BH436" s="36"/>
      <c r="BI436" s="36"/>
      <c r="BJ436" s="36"/>
      <c r="BK436" s="36"/>
      <c r="BL436" s="36"/>
      <c r="BM436" s="36"/>
      <c r="BN436" s="36"/>
      <c r="BO436" s="36"/>
    </row>
    <row r="437" spans="1:67" x14ac:dyDescent="0.25">
      <c r="A437" s="39"/>
      <c r="B437" s="40"/>
      <c r="U437" s="36"/>
      <c r="V437" s="36"/>
      <c r="W437" s="35"/>
      <c r="X437" s="7"/>
      <c r="Y437" s="7"/>
      <c r="Z437" s="7"/>
      <c r="AA437" s="7"/>
      <c r="AB437" s="7"/>
      <c r="AC437" s="7"/>
      <c r="AD437" s="7"/>
      <c r="AE437" s="7"/>
      <c r="AG437" s="36"/>
      <c r="AH437" s="36"/>
      <c r="AI437" s="35"/>
      <c r="AJ437" s="7"/>
      <c r="AK437" s="7"/>
      <c r="AL437" s="7"/>
      <c r="AM437" s="7"/>
      <c r="AN437" s="7"/>
      <c r="AO437" s="7"/>
      <c r="AP437" s="7"/>
      <c r="AQ437" s="7"/>
      <c r="AS437" s="36"/>
      <c r="AT437" s="36"/>
      <c r="AU437" s="35"/>
      <c r="AV437" s="7"/>
      <c r="AW437" s="7"/>
      <c r="AX437" s="7"/>
      <c r="AY437" s="7"/>
      <c r="AZ437" s="7"/>
      <c r="BA437" s="7"/>
      <c r="BB437" s="7"/>
      <c r="BC437" s="7"/>
      <c r="BF437" s="7"/>
      <c r="BG437" s="36"/>
      <c r="BH437" s="36"/>
      <c r="BI437" s="36"/>
      <c r="BJ437" s="36"/>
      <c r="BK437" s="36"/>
      <c r="BL437" s="36"/>
      <c r="BM437" s="36"/>
      <c r="BN437" s="36"/>
      <c r="BO437" s="36"/>
    </row>
    <row r="438" spans="1:67" x14ac:dyDescent="0.25">
      <c r="A438" s="39"/>
      <c r="B438" s="40"/>
      <c r="U438" s="36"/>
      <c r="V438" s="36"/>
      <c r="W438" s="35"/>
      <c r="X438" s="7"/>
      <c r="Y438" s="7"/>
      <c r="Z438" s="7"/>
      <c r="AA438" s="7"/>
      <c r="AB438" s="7"/>
      <c r="AC438" s="7"/>
      <c r="AD438" s="7"/>
      <c r="AE438" s="7"/>
      <c r="AG438" s="36"/>
      <c r="AH438" s="36"/>
      <c r="AI438" s="35"/>
      <c r="AJ438" s="7"/>
      <c r="AK438" s="7"/>
      <c r="AL438" s="7"/>
      <c r="AM438" s="7"/>
      <c r="AN438" s="7"/>
      <c r="AO438" s="7"/>
      <c r="AP438" s="7"/>
      <c r="AQ438" s="7"/>
      <c r="AS438" s="36"/>
      <c r="AT438" s="36"/>
      <c r="AU438" s="35"/>
      <c r="AV438" s="7"/>
      <c r="AW438" s="7"/>
      <c r="AX438" s="7"/>
      <c r="AY438" s="7"/>
      <c r="AZ438" s="7"/>
      <c r="BA438" s="7"/>
      <c r="BB438" s="7"/>
      <c r="BC438" s="7"/>
      <c r="BF438" s="7"/>
      <c r="BG438" s="36"/>
      <c r="BH438" s="36"/>
      <c r="BI438" s="36"/>
      <c r="BJ438" s="36"/>
      <c r="BK438" s="36"/>
      <c r="BL438" s="36"/>
      <c r="BM438" s="36"/>
      <c r="BN438" s="36"/>
      <c r="BO438" s="36"/>
    </row>
    <row r="439" spans="1:67" x14ac:dyDescent="0.25">
      <c r="A439" s="39"/>
      <c r="B439" s="40"/>
      <c r="U439" s="36"/>
      <c r="V439" s="36"/>
      <c r="W439" s="35"/>
      <c r="X439" s="7"/>
      <c r="Y439" s="7"/>
      <c r="Z439" s="7"/>
      <c r="AA439" s="7"/>
      <c r="AB439" s="7"/>
      <c r="AC439" s="7"/>
      <c r="AD439" s="7"/>
      <c r="AE439" s="7"/>
      <c r="AG439" s="36"/>
      <c r="AH439" s="36"/>
      <c r="AI439" s="35"/>
      <c r="AJ439" s="7"/>
      <c r="AK439" s="7"/>
      <c r="AL439" s="7"/>
      <c r="AM439" s="7"/>
      <c r="AN439" s="7"/>
      <c r="AO439" s="7"/>
      <c r="AP439" s="7"/>
      <c r="AQ439" s="7"/>
      <c r="AS439" s="36"/>
      <c r="AT439" s="36"/>
      <c r="AU439" s="35"/>
      <c r="AV439" s="7"/>
      <c r="AW439" s="7"/>
      <c r="AX439" s="7"/>
      <c r="AY439" s="7"/>
      <c r="AZ439" s="7"/>
      <c r="BA439" s="7"/>
      <c r="BB439" s="7"/>
      <c r="BC439" s="7"/>
      <c r="BF439" s="7"/>
      <c r="BG439" s="36"/>
      <c r="BH439" s="36"/>
      <c r="BI439" s="36"/>
      <c r="BJ439" s="36"/>
      <c r="BK439" s="36"/>
      <c r="BL439" s="36"/>
      <c r="BM439" s="36"/>
      <c r="BN439" s="36"/>
      <c r="BO439" s="36"/>
    </row>
    <row r="440" spans="1:67" x14ac:dyDescent="0.25">
      <c r="A440" s="39"/>
      <c r="B440" s="40"/>
      <c r="U440" s="36"/>
      <c r="V440" s="36"/>
      <c r="W440" s="35"/>
      <c r="X440" s="7"/>
      <c r="Y440" s="7"/>
      <c r="Z440" s="7"/>
      <c r="AA440" s="7"/>
      <c r="AB440" s="7"/>
      <c r="AC440" s="7"/>
      <c r="AD440" s="7"/>
      <c r="AE440" s="7"/>
      <c r="AG440" s="36"/>
      <c r="AH440" s="36"/>
      <c r="AI440" s="35"/>
      <c r="AJ440" s="7"/>
      <c r="AK440" s="7"/>
      <c r="AL440" s="7"/>
      <c r="AM440" s="7"/>
      <c r="AN440" s="7"/>
      <c r="AO440" s="7"/>
      <c r="AP440" s="7"/>
      <c r="AQ440" s="7"/>
      <c r="AS440" s="36"/>
      <c r="AT440" s="36"/>
      <c r="AU440" s="35"/>
      <c r="AV440" s="7"/>
      <c r="AW440" s="7"/>
      <c r="AX440" s="7"/>
      <c r="AY440" s="7"/>
      <c r="AZ440" s="7"/>
      <c r="BA440" s="7"/>
      <c r="BB440" s="7"/>
      <c r="BC440" s="7"/>
      <c r="BF440" s="7"/>
      <c r="BG440" s="36"/>
      <c r="BH440" s="36"/>
      <c r="BI440" s="36"/>
      <c r="BJ440" s="36"/>
      <c r="BK440" s="36"/>
      <c r="BL440" s="36"/>
      <c r="BM440" s="36"/>
      <c r="BN440" s="36"/>
      <c r="BO440" s="36"/>
    </row>
    <row r="441" spans="1:67" x14ac:dyDescent="0.25">
      <c r="A441" s="39"/>
      <c r="B441" s="40"/>
      <c r="U441" s="36"/>
      <c r="V441" s="36"/>
      <c r="W441" s="35"/>
      <c r="X441" s="7"/>
      <c r="Y441" s="7"/>
      <c r="Z441" s="7"/>
      <c r="AA441" s="7"/>
      <c r="AB441" s="7"/>
      <c r="AC441" s="7"/>
      <c r="AD441" s="7"/>
      <c r="AE441" s="7"/>
      <c r="AG441" s="36"/>
      <c r="AH441" s="36"/>
      <c r="AI441" s="35"/>
      <c r="AJ441" s="7"/>
      <c r="AK441" s="7"/>
      <c r="AL441" s="7"/>
      <c r="AM441" s="7"/>
      <c r="AN441" s="7"/>
      <c r="AO441" s="7"/>
      <c r="AP441" s="7"/>
      <c r="AQ441" s="7"/>
      <c r="AS441" s="36"/>
      <c r="AT441" s="36"/>
      <c r="AU441" s="35"/>
      <c r="AV441" s="7"/>
      <c r="AW441" s="7"/>
      <c r="AX441" s="7"/>
      <c r="AY441" s="7"/>
      <c r="AZ441" s="7"/>
      <c r="BA441" s="7"/>
      <c r="BB441" s="7"/>
      <c r="BC441" s="7"/>
      <c r="BF441" s="7"/>
      <c r="BG441" s="36"/>
      <c r="BH441" s="36"/>
      <c r="BI441" s="36"/>
      <c r="BJ441" s="36"/>
      <c r="BK441" s="36"/>
      <c r="BL441" s="36"/>
      <c r="BM441" s="36"/>
      <c r="BN441" s="36"/>
      <c r="BO441" s="36"/>
    </row>
    <row r="442" spans="1:67" x14ac:dyDescent="0.25">
      <c r="A442" s="39"/>
      <c r="B442" s="40"/>
      <c r="U442" s="36"/>
      <c r="V442" s="36"/>
      <c r="W442" s="35"/>
      <c r="X442" s="7"/>
      <c r="Y442" s="7"/>
      <c r="Z442" s="7"/>
      <c r="AA442" s="7"/>
      <c r="AB442" s="7"/>
      <c r="AC442" s="7"/>
      <c r="AD442" s="7"/>
      <c r="AE442" s="7"/>
      <c r="AG442" s="36"/>
      <c r="AH442" s="36"/>
      <c r="AI442" s="35"/>
      <c r="AJ442" s="7"/>
      <c r="AK442" s="7"/>
      <c r="AL442" s="7"/>
      <c r="AM442" s="7"/>
      <c r="AN442" s="7"/>
      <c r="AO442" s="7"/>
      <c r="AP442" s="7"/>
      <c r="AQ442" s="7"/>
      <c r="AS442" s="36"/>
      <c r="AT442" s="36"/>
      <c r="AU442" s="35"/>
      <c r="AV442" s="7"/>
      <c r="AW442" s="7"/>
      <c r="AX442" s="7"/>
      <c r="AY442" s="7"/>
      <c r="AZ442" s="7"/>
      <c r="BA442" s="7"/>
      <c r="BB442" s="7"/>
      <c r="BC442" s="7"/>
      <c r="BF442" s="7"/>
      <c r="BG442" s="36"/>
      <c r="BH442" s="36"/>
      <c r="BI442" s="36"/>
      <c r="BJ442" s="36"/>
      <c r="BK442" s="36"/>
      <c r="BL442" s="36"/>
      <c r="BM442" s="36"/>
      <c r="BN442" s="36"/>
      <c r="BO442" s="36"/>
    </row>
    <row r="443" spans="1:67" x14ac:dyDescent="0.25">
      <c r="A443" s="39"/>
      <c r="B443" s="40"/>
      <c r="U443" s="36"/>
      <c r="V443" s="36"/>
      <c r="W443" s="35"/>
      <c r="X443" s="7"/>
      <c r="Y443" s="7"/>
      <c r="Z443" s="7"/>
      <c r="AA443" s="7"/>
      <c r="AB443" s="7"/>
      <c r="AC443" s="7"/>
      <c r="AD443" s="7"/>
      <c r="AE443" s="7"/>
      <c r="AG443" s="36"/>
      <c r="AH443" s="36"/>
      <c r="AI443" s="35"/>
      <c r="AJ443" s="7"/>
      <c r="AK443" s="7"/>
      <c r="AL443" s="7"/>
      <c r="AM443" s="7"/>
      <c r="AN443" s="7"/>
      <c r="AO443" s="7"/>
      <c r="AP443" s="7"/>
      <c r="AQ443" s="7"/>
      <c r="AS443" s="36"/>
      <c r="AT443" s="36"/>
      <c r="AU443" s="35"/>
      <c r="AV443" s="7"/>
      <c r="AW443" s="7"/>
      <c r="AX443" s="7"/>
      <c r="AY443" s="7"/>
      <c r="AZ443" s="7"/>
      <c r="BA443" s="7"/>
      <c r="BB443" s="7"/>
      <c r="BC443" s="7"/>
      <c r="BF443" s="7"/>
      <c r="BG443" s="36"/>
      <c r="BH443" s="36"/>
      <c r="BI443" s="36"/>
      <c r="BJ443" s="36"/>
      <c r="BK443" s="36"/>
      <c r="BL443" s="36"/>
      <c r="BM443" s="36"/>
      <c r="BN443" s="36"/>
      <c r="BO443" s="36"/>
    </row>
    <row r="444" spans="1:67" x14ac:dyDescent="0.25">
      <c r="A444" s="39"/>
      <c r="B444" s="40"/>
      <c r="U444" s="36"/>
      <c r="V444" s="36"/>
      <c r="W444" s="35"/>
      <c r="X444" s="7"/>
      <c r="Y444" s="7"/>
      <c r="Z444" s="7"/>
      <c r="AA444" s="7"/>
      <c r="AB444" s="7"/>
      <c r="AC444" s="7"/>
      <c r="AD444" s="7"/>
      <c r="AE444" s="7"/>
      <c r="AG444" s="36"/>
      <c r="AH444" s="36"/>
      <c r="AI444" s="35"/>
      <c r="AJ444" s="7"/>
      <c r="AK444" s="7"/>
      <c r="AL444" s="7"/>
      <c r="AM444" s="7"/>
      <c r="AN444" s="7"/>
      <c r="AO444" s="7"/>
      <c r="AP444" s="7"/>
      <c r="AQ444" s="7"/>
      <c r="AS444" s="36"/>
      <c r="AT444" s="36"/>
      <c r="AU444" s="35"/>
      <c r="AV444" s="7"/>
      <c r="AW444" s="7"/>
      <c r="AX444" s="7"/>
      <c r="AY444" s="7"/>
      <c r="AZ444" s="7"/>
      <c r="BA444" s="7"/>
      <c r="BB444" s="7"/>
      <c r="BC444" s="7"/>
      <c r="BF444" s="7"/>
      <c r="BG444" s="36"/>
      <c r="BH444" s="36"/>
      <c r="BI444" s="36"/>
      <c r="BJ444" s="36"/>
      <c r="BK444" s="36"/>
      <c r="BL444" s="36"/>
      <c r="BM444" s="36"/>
      <c r="BN444" s="36"/>
      <c r="BO444" s="36"/>
    </row>
    <row r="445" spans="1:67" x14ac:dyDescent="0.25">
      <c r="A445" s="39"/>
      <c r="B445" s="40"/>
      <c r="U445" s="36"/>
      <c r="V445" s="36"/>
      <c r="W445" s="35"/>
      <c r="X445" s="7"/>
      <c r="Y445" s="7"/>
      <c r="Z445" s="7"/>
      <c r="AA445" s="7"/>
      <c r="AB445" s="7"/>
      <c r="AC445" s="7"/>
      <c r="AD445" s="7"/>
      <c r="AE445" s="7"/>
      <c r="AG445" s="36"/>
      <c r="AH445" s="36"/>
      <c r="AI445" s="35"/>
      <c r="AJ445" s="7"/>
      <c r="AK445" s="7"/>
      <c r="AL445" s="7"/>
      <c r="AM445" s="7"/>
      <c r="AN445" s="7"/>
      <c r="AO445" s="7"/>
      <c r="AP445" s="7"/>
      <c r="AQ445" s="7"/>
      <c r="AS445" s="36"/>
      <c r="AT445" s="36"/>
      <c r="AU445" s="35"/>
      <c r="AV445" s="7"/>
      <c r="AW445" s="7"/>
      <c r="AX445" s="7"/>
      <c r="AY445" s="7"/>
      <c r="AZ445" s="7"/>
      <c r="BA445" s="7"/>
      <c r="BB445" s="7"/>
      <c r="BC445" s="7"/>
      <c r="BF445" s="7"/>
      <c r="BG445" s="36"/>
      <c r="BH445" s="36"/>
      <c r="BI445" s="36"/>
      <c r="BJ445" s="36"/>
      <c r="BK445" s="36"/>
      <c r="BL445" s="36"/>
      <c r="BM445" s="36"/>
      <c r="BN445" s="36"/>
      <c r="BO445" s="36"/>
    </row>
    <row r="446" spans="1:67" x14ac:dyDescent="0.25">
      <c r="A446" s="39"/>
      <c r="B446" s="40"/>
      <c r="U446" s="36"/>
      <c r="V446" s="36"/>
      <c r="W446" s="35"/>
      <c r="X446" s="7"/>
      <c r="Y446" s="7"/>
      <c r="Z446" s="7"/>
      <c r="AA446" s="7"/>
      <c r="AB446" s="7"/>
      <c r="AC446" s="7"/>
      <c r="AD446" s="7"/>
      <c r="AE446" s="7"/>
      <c r="AG446" s="36"/>
      <c r="AH446" s="36"/>
      <c r="AI446" s="35"/>
      <c r="AJ446" s="7"/>
      <c r="AK446" s="7"/>
      <c r="AL446" s="7"/>
      <c r="AM446" s="7"/>
      <c r="AN446" s="7"/>
      <c r="AO446" s="7"/>
      <c r="AP446" s="7"/>
      <c r="AQ446" s="7"/>
      <c r="AS446" s="36"/>
      <c r="AT446" s="36"/>
      <c r="AU446" s="35"/>
      <c r="AV446" s="7"/>
      <c r="AW446" s="7"/>
      <c r="AX446" s="7"/>
      <c r="AY446" s="7"/>
      <c r="AZ446" s="7"/>
      <c r="BA446" s="7"/>
      <c r="BB446" s="7"/>
      <c r="BC446" s="7"/>
      <c r="BF446" s="7"/>
      <c r="BG446" s="36"/>
      <c r="BH446" s="36"/>
      <c r="BI446" s="36"/>
      <c r="BJ446" s="36"/>
      <c r="BK446" s="36"/>
      <c r="BL446" s="36"/>
      <c r="BM446" s="36"/>
      <c r="BN446" s="36"/>
      <c r="BO446" s="36"/>
    </row>
    <row r="447" spans="1:67" x14ac:dyDescent="0.25">
      <c r="A447" s="39"/>
      <c r="B447" s="40"/>
      <c r="U447" s="36"/>
      <c r="V447" s="36"/>
      <c r="W447" s="35"/>
      <c r="X447" s="7"/>
      <c r="Y447" s="7"/>
      <c r="Z447" s="7"/>
      <c r="AA447" s="7"/>
      <c r="AB447" s="7"/>
      <c r="AC447" s="7"/>
      <c r="AD447" s="7"/>
      <c r="AE447" s="7"/>
      <c r="AG447" s="36"/>
      <c r="AH447" s="36"/>
      <c r="AI447" s="35"/>
      <c r="AJ447" s="7"/>
      <c r="AK447" s="7"/>
      <c r="AL447" s="7"/>
      <c r="AM447" s="7"/>
      <c r="AN447" s="7"/>
      <c r="AO447" s="7"/>
      <c r="AP447" s="7"/>
      <c r="AQ447" s="7"/>
      <c r="AS447" s="36"/>
      <c r="AT447" s="36"/>
      <c r="AU447" s="35"/>
      <c r="AV447" s="7"/>
      <c r="AW447" s="7"/>
      <c r="AX447" s="7"/>
      <c r="AY447" s="7"/>
      <c r="AZ447" s="7"/>
      <c r="BA447" s="7"/>
      <c r="BB447" s="7"/>
      <c r="BC447" s="7"/>
      <c r="BF447" s="7"/>
      <c r="BG447" s="36"/>
      <c r="BH447" s="36"/>
      <c r="BI447" s="36"/>
      <c r="BJ447" s="36"/>
      <c r="BK447" s="36"/>
      <c r="BL447" s="36"/>
      <c r="BM447" s="36"/>
      <c r="BN447" s="36"/>
      <c r="BO447" s="36"/>
    </row>
    <row r="448" spans="1:67" x14ac:dyDescent="0.25">
      <c r="A448" s="39"/>
      <c r="B448" s="40"/>
      <c r="U448" s="36"/>
      <c r="V448" s="36"/>
      <c r="W448" s="35"/>
      <c r="X448" s="7"/>
      <c r="Y448" s="7"/>
      <c r="Z448" s="7"/>
      <c r="AA448" s="7"/>
      <c r="AB448" s="7"/>
      <c r="AC448" s="7"/>
      <c r="AD448" s="7"/>
      <c r="AE448" s="7"/>
      <c r="AG448" s="36"/>
      <c r="AH448" s="36"/>
      <c r="AI448" s="35"/>
      <c r="AJ448" s="7"/>
      <c r="AK448" s="7"/>
      <c r="AL448" s="7"/>
      <c r="AM448" s="7"/>
      <c r="AN448" s="7"/>
      <c r="AO448" s="7"/>
      <c r="AP448" s="7"/>
      <c r="AQ448" s="7"/>
      <c r="AS448" s="36"/>
      <c r="AT448" s="36"/>
      <c r="AU448" s="35"/>
      <c r="AV448" s="7"/>
      <c r="AW448" s="7"/>
      <c r="AX448" s="7"/>
      <c r="AY448" s="7"/>
      <c r="AZ448" s="7"/>
      <c r="BA448" s="7"/>
      <c r="BB448" s="7"/>
      <c r="BC448" s="7"/>
      <c r="BF448" s="7"/>
      <c r="BG448" s="36"/>
      <c r="BH448" s="36"/>
      <c r="BI448" s="36"/>
      <c r="BJ448" s="36"/>
      <c r="BK448" s="36"/>
      <c r="BL448" s="36"/>
      <c r="BM448" s="36"/>
      <c r="BN448" s="36"/>
      <c r="BO448" s="36"/>
    </row>
    <row r="449" spans="1:67" x14ac:dyDescent="0.25">
      <c r="A449" s="39"/>
      <c r="B449" s="40"/>
      <c r="U449" s="36"/>
      <c r="V449" s="36"/>
      <c r="W449" s="35"/>
      <c r="X449" s="7"/>
      <c r="Y449" s="7"/>
      <c r="Z449" s="7"/>
      <c r="AA449" s="7"/>
      <c r="AB449" s="7"/>
      <c r="AC449" s="7"/>
      <c r="AD449" s="7"/>
      <c r="AE449" s="7"/>
      <c r="AG449" s="36"/>
      <c r="AH449" s="36"/>
      <c r="AI449" s="35"/>
      <c r="AJ449" s="7"/>
      <c r="AK449" s="7"/>
      <c r="AL449" s="7"/>
      <c r="AM449" s="7"/>
      <c r="AN449" s="7"/>
      <c r="AO449" s="7"/>
      <c r="AP449" s="7"/>
      <c r="AQ449" s="7"/>
      <c r="AS449" s="36"/>
      <c r="AT449" s="36"/>
      <c r="AU449" s="35"/>
      <c r="AV449" s="7"/>
      <c r="AW449" s="7"/>
      <c r="AX449" s="7"/>
      <c r="AY449" s="7"/>
      <c r="AZ449" s="7"/>
      <c r="BA449" s="7"/>
      <c r="BB449" s="7"/>
      <c r="BC449" s="7"/>
      <c r="BF449" s="7"/>
      <c r="BG449" s="36"/>
      <c r="BH449" s="36"/>
      <c r="BI449" s="36"/>
      <c r="BJ449" s="36"/>
      <c r="BK449" s="36"/>
      <c r="BL449" s="36"/>
      <c r="BM449" s="36"/>
      <c r="BN449" s="36"/>
      <c r="BO449" s="36"/>
    </row>
    <row r="450" spans="1:67" x14ac:dyDescent="0.25">
      <c r="A450" s="39"/>
      <c r="B450" s="40"/>
      <c r="U450" s="36"/>
      <c r="V450" s="36"/>
      <c r="W450" s="35"/>
      <c r="X450" s="7"/>
      <c r="Y450" s="7"/>
      <c r="Z450" s="7"/>
      <c r="AA450" s="7"/>
      <c r="AB450" s="7"/>
      <c r="AC450" s="7"/>
      <c r="AD450" s="7"/>
      <c r="AE450" s="7"/>
      <c r="AG450" s="36"/>
      <c r="AH450" s="36"/>
      <c r="AI450" s="35"/>
      <c r="AJ450" s="7"/>
      <c r="AK450" s="7"/>
      <c r="AL450" s="7"/>
      <c r="AM450" s="7"/>
      <c r="AN450" s="7"/>
      <c r="AO450" s="7"/>
      <c r="AP450" s="7"/>
      <c r="AQ450" s="7"/>
      <c r="AS450" s="36"/>
      <c r="AT450" s="36"/>
      <c r="AU450" s="35"/>
      <c r="AV450" s="7"/>
      <c r="AW450" s="7"/>
      <c r="AX450" s="7"/>
      <c r="AY450" s="7"/>
      <c r="AZ450" s="7"/>
      <c r="BA450" s="7"/>
      <c r="BB450" s="7"/>
      <c r="BC450" s="7"/>
      <c r="BF450" s="7"/>
      <c r="BG450" s="36"/>
      <c r="BH450" s="36"/>
      <c r="BI450" s="36"/>
      <c r="BJ450" s="36"/>
      <c r="BK450" s="36"/>
      <c r="BL450" s="36"/>
      <c r="BM450" s="36"/>
      <c r="BN450" s="36"/>
      <c r="BO450" s="36"/>
    </row>
    <row r="451" spans="1:67" x14ac:dyDescent="0.25">
      <c r="A451" s="39"/>
      <c r="B451" s="40"/>
      <c r="U451" s="36"/>
      <c r="V451" s="36"/>
      <c r="W451" s="35"/>
      <c r="X451" s="7"/>
      <c r="Y451" s="7"/>
      <c r="Z451" s="7"/>
      <c r="AA451" s="7"/>
      <c r="AB451" s="7"/>
      <c r="AC451" s="7"/>
      <c r="AD451" s="7"/>
      <c r="AE451" s="7"/>
      <c r="AG451" s="36"/>
      <c r="AH451" s="36"/>
      <c r="AI451" s="35"/>
      <c r="AJ451" s="7"/>
      <c r="AK451" s="7"/>
      <c r="AL451" s="7"/>
      <c r="AM451" s="7"/>
      <c r="AN451" s="7"/>
      <c r="AO451" s="7"/>
      <c r="AP451" s="7"/>
      <c r="AQ451" s="7"/>
      <c r="AS451" s="36"/>
      <c r="AT451" s="36"/>
      <c r="AU451" s="35"/>
      <c r="AV451" s="7"/>
      <c r="AW451" s="7"/>
      <c r="AX451" s="7"/>
      <c r="AY451" s="7"/>
      <c r="AZ451" s="7"/>
      <c r="BA451" s="7"/>
      <c r="BB451" s="7"/>
      <c r="BC451" s="7"/>
      <c r="BF451" s="7"/>
      <c r="BG451" s="36"/>
      <c r="BH451" s="36"/>
      <c r="BI451" s="36"/>
      <c r="BJ451" s="36"/>
      <c r="BK451" s="36"/>
      <c r="BL451" s="36"/>
      <c r="BM451" s="36"/>
      <c r="BN451" s="36"/>
      <c r="BO451" s="36"/>
    </row>
    <row r="452" spans="1:67" x14ac:dyDescent="0.25">
      <c r="A452" s="39"/>
      <c r="B452" s="40"/>
      <c r="U452" s="36"/>
      <c r="V452" s="36"/>
      <c r="W452" s="35"/>
      <c r="X452" s="7"/>
      <c r="Y452" s="7"/>
      <c r="Z452" s="7"/>
      <c r="AA452" s="7"/>
      <c r="AB452" s="7"/>
      <c r="AC452" s="7"/>
      <c r="AD452" s="7"/>
      <c r="AE452" s="7"/>
      <c r="AG452" s="36"/>
      <c r="AH452" s="36"/>
      <c r="AI452" s="35"/>
      <c r="AJ452" s="7"/>
      <c r="AK452" s="7"/>
      <c r="AL452" s="7"/>
      <c r="AM452" s="7"/>
      <c r="AN452" s="7"/>
      <c r="AO452" s="7"/>
      <c r="AP452" s="7"/>
      <c r="AQ452" s="7"/>
      <c r="AS452" s="36"/>
      <c r="AT452" s="36"/>
      <c r="AU452" s="35"/>
      <c r="AV452" s="7"/>
      <c r="AW452" s="7"/>
      <c r="AX452" s="7"/>
      <c r="AY452" s="7"/>
      <c r="AZ452" s="7"/>
      <c r="BA452" s="7"/>
      <c r="BB452" s="7"/>
      <c r="BC452" s="7"/>
      <c r="BF452" s="7"/>
      <c r="BG452" s="36"/>
      <c r="BH452" s="36"/>
      <c r="BI452" s="36"/>
      <c r="BJ452" s="36"/>
      <c r="BK452" s="36"/>
      <c r="BL452" s="36"/>
      <c r="BM452" s="36"/>
      <c r="BN452" s="36"/>
      <c r="BO452" s="36"/>
    </row>
    <row r="453" spans="1:67" x14ac:dyDescent="0.25">
      <c r="A453" s="39"/>
      <c r="B453" s="40"/>
      <c r="U453" s="36"/>
      <c r="V453" s="36"/>
      <c r="W453" s="35"/>
      <c r="X453" s="7"/>
      <c r="Y453" s="7"/>
      <c r="Z453" s="7"/>
      <c r="AA453" s="7"/>
      <c r="AB453" s="7"/>
      <c r="AC453" s="7"/>
      <c r="AD453" s="7"/>
      <c r="AE453" s="7"/>
      <c r="AG453" s="36"/>
      <c r="AH453" s="36"/>
      <c r="AI453" s="35"/>
      <c r="AJ453" s="7"/>
      <c r="AK453" s="7"/>
      <c r="AL453" s="7"/>
      <c r="AM453" s="7"/>
      <c r="AN453" s="7"/>
      <c r="AO453" s="7"/>
      <c r="AP453" s="7"/>
      <c r="AQ453" s="7"/>
      <c r="AS453" s="36"/>
      <c r="AT453" s="36"/>
      <c r="AU453" s="35"/>
      <c r="AV453" s="7"/>
      <c r="AW453" s="7"/>
      <c r="AX453" s="7"/>
      <c r="AY453" s="7"/>
      <c r="AZ453" s="7"/>
      <c r="BA453" s="7"/>
      <c r="BB453" s="7"/>
      <c r="BC453" s="7"/>
      <c r="BF453" s="7"/>
      <c r="BG453" s="36"/>
      <c r="BH453" s="36"/>
      <c r="BI453" s="36"/>
      <c r="BJ453" s="36"/>
      <c r="BK453" s="36"/>
      <c r="BL453" s="36"/>
      <c r="BM453" s="36"/>
      <c r="BN453" s="36"/>
      <c r="BO453" s="36"/>
    </row>
    <row r="454" spans="1:67" x14ac:dyDescent="0.25">
      <c r="A454" s="39"/>
      <c r="B454" s="40"/>
      <c r="U454" s="36"/>
      <c r="V454" s="36"/>
      <c r="W454" s="35"/>
      <c r="X454" s="7"/>
      <c r="Y454" s="7"/>
      <c r="Z454" s="7"/>
      <c r="AA454" s="7"/>
      <c r="AB454" s="7"/>
      <c r="AC454" s="7"/>
      <c r="AD454" s="7"/>
      <c r="AE454" s="7"/>
      <c r="AG454" s="36"/>
      <c r="AH454" s="36"/>
      <c r="AI454" s="35"/>
      <c r="AJ454" s="7"/>
      <c r="AK454" s="7"/>
      <c r="AL454" s="7"/>
      <c r="AM454" s="7"/>
      <c r="AN454" s="7"/>
      <c r="AO454" s="7"/>
      <c r="AP454" s="7"/>
      <c r="AQ454" s="7"/>
      <c r="AS454" s="36"/>
      <c r="AT454" s="36"/>
      <c r="AU454" s="35"/>
      <c r="AV454" s="7"/>
      <c r="AW454" s="7"/>
      <c r="AX454" s="7"/>
      <c r="AY454" s="7"/>
      <c r="AZ454" s="7"/>
      <c r="BA454" s="7"/>
      <c r="BB454" s="7"/>
      <c r="BC454" s="7"/>
      <c r="BF454" s="7"/>
      <c r="BG454" s="36"/>
      <c r="BH454" s="36"/>
      <c r="BI454" s="36"/>
      <c r="BJ454" s="36"/>
      <c r="BK454" s="36"/>
      <c r="BL454" s="36"/>
      <c r="BM454" s="36"/>
      <c r="BN454" s="36"/>
      <c r="BO454" s="36"/>
    </row>
    <row r="455" spans="1:67" x14ac:dyDescent="0.25">
      <c r="A455" s="39"/>
      <c r="B455" s="40"/>
      <c r="U455" s="36"/>
      <c r="V455" s="36"/>
      <c r="W455" s="35"/>
      <c r="X455" s="7"/>
      <c r="Y455" s="7"/>
      <c r="Z455" s="7"/>
      <c r="AA455" s="7"/>
      <c r="AB455" s="7"/>
      <c r="AC455" s="7"/>
      <c r="AD455" s="7"/>
      <c r="AE455" s="7"/>
      <c r="AG455" s="36"/>
      <c r="AH455" s="36"/>
      <c r="AI455" s="35"/>
      <c r="AJ455" s="7"/>
      <c r="AK455" s="7"/>
      <c r="AL455" s="7"/>
      <c r="AM455" s="7"/>
      <c r="AN455" s="7"/>
      <c r="AO455" s="7"/>
      <c r="AP455" s="7"/>
      <c r="AQ455" s="7"/>
      <c r="AS455" s="36"/>
      <c r="AT455" s="36"/>
      <c r="AU455" s="35"/>
      <c r="AV455" s="7"/>
      <c r="AW455" s="7"/>
      <c r="AX455" s="7"/>
      <c r="AY455" s="7"/>
      <c r="AZ455" s="7"/>
      <c r="BA455" s="7"/>
      <c r="BB455" s="7"/>
      <c r="BC455" s="7"/>
      <c r="BF455" s="7"/>
      <c r="BG455" s="36"/>
      <c r="BH455" s="36"/>
      <c r="BI455" s="36"/>
      <c r="BJ455" s="36"/>
      <c r="BK455" s="36"/>
      <c r="BL455" s="36"/>
      <c r="BM455" s="36"/>
      <c r="BN455" s="36"/>
      <c r="BO455" s="36"/>
    </row>
    <row r="456" spans="1:67" x14ac:dyDescent="0.25">
      <c r="A456" s="39"/>
      <c r="B456" s="40"/>
      <c r="U456" s="36"/>
      <c r="V456" s="36"/>
      <c r="W456" s="35"/>
      <c r="X456" s="7"/>
      <c r="Y456" s="7"/>
      <c r="Z456" s="7"/>
      <c r="AA456" s="7"/>
      <c r="AB456" s="7"/>
      <c r="AC456" s="7"/>
      <c r="AD456" s="7"/>
      <c r="AE456" s="7"/>
      <c r="AG456" s="36"/>
      <c r="AH456" s="36"/>
      <c r="AI456" s="35"/>
      <c r="AJ456" s="7"/>
      <c r="AK456" s="7"/>
      <c r="AL456" s="7"/>
      <c r="AM456" s="7"/>
      <c r="AN456" s="7"/>
      <c r="AO456" s="7"/>
      <c r="AP456" s="7"/>
      <c r="AQ456" s="7"/>
      <c r="AS456" s="36"/>
      <c r="AT456" s="36"/>
      <c r="AU456" s="35"/>
      <c r="AV456" s="7"/>
      <c r="AW456" s="7"/>
      <c r="AX456" s="7"/>
      <c r="AY456" s="7"/>
      <c r="AZ456" s="7"/>
      <c r="BA456" s="7"/>
      <c r="BB456" s="7"/>
      <c r="BC456" s="7"/>
      <c r="BF456" s="7"/>
      <c r="BG456" s="36"/>
      <c r="BH456" s="36"/>
      <c r="BI456" s="36"/>
      <c r="BJ456" s="36"/>
      <c r="BK456" s="36"/>
      <c r="BL456" s="36"/>
      <c r="BM456" s="36"/>
      <c r="BN456" s="36"/>
      <c r="BO456" s="36"/>
    </row>
    <row r="457" spans="1:67" x14ac:dyDescent="0.25">
      <c r="A457" s="39"/>
      <c r="B457" s="40"/>
      <c r="U457" s="36"/>
      <c r="V457" s="36"/>
      <c r="W457" s="35"/>
      <c r="X457" s="7"/>
      <c r="Y457" s="7"/>
      <c r="Z457" s="7"/>
      <c r="AA457" s="7"/>
      <c r="AB457" s="7"/>
      <c r="AC457" s="7"/>
      <c r="AD457" s="7"/>
      <c r="AE457" s="7"/>
      <c r="AG457" s="36"/>
      <c r="AH457" s="36"/>
      <c r="AI457" s="35"/>
      <c r="AJ457" s="7"/>
      <c r="AK457" s="7"/>
      <c r="AL457" s="7"/>
      <c r="AM457" s="7"/>
      <c r="AN457" s="7"/>
      <c r="AO457" s="7"/>
      <c r="AP457" s="7"/>
      <c r="AQ457" s="7"/>
      <c r="AS457" s="36"/>
      <c r="AT457" s="36"/>
      <c r="AU457" s="35"/>
      <c r="AV457" s="7"/>
      <c r="AW457" s="7"/>
      <c r="AX457" s="7"/>
      <c r="AY457" s="7"/>
      <c r="AZ457" s="7"/>
      <c r="BA457" s="7"/>
      <c r="BB457" s="7"/>
      <c r="BC457" s="7"/>
      <c r="BF457" s="7"/>
      <c r="BG457" s="36"/>
      <c r="BH457" s="36"/>
      <c r="BI457" s="36"/>
      <c r="BJ457" s="36"/>
      <c r="BK457" s="36"/>
      <c r="BL457" s="36"/>
      <c r="BM457" s="36"/>
      <c r="BN457" s="36"/>
      <c r="BO457" s="36"/>
    </row>
    <row r="458" spans="1:67" x14ac:dyDescent="0.25">
      <c r="A458" s="39"/>
      <c r="B458" s="40"/>
      <c r="U458" s="36"/>
      <c r="V458" s="36"/>
      <c r="W458" s="35"/>
      <c r="X458" s="7"/>
      <c r="Y458" s="7"/>
      <c r="Z458" s="7"/>
      <c r="AA458" s="7"/>
      <c r="AB458" s="7"/>
      <c r="AC458" s="7"/>
      <c r="AD458" s="7"/>
      <c r="AE458" s="7"/>
      <c r="AG458" s="36"/>
      <c r="AH458" s="36"/>
      <c r="AI458" s="35"/>
      <c r="AJ458" s="7"/>
      <c r="AK458" s="7"/>
      <c r="AL458" s="7"/>
      <c r="AM458" s="7"/>
      <c r="AN458" s="7"/>
      <c r="AO458" s="7"/>
      <c r="AP458" s="7"/>
      <c r="AQ458" s="7"/>
      <c r="AS458" s="36"/>
      <c r="AT458" s="36"/>
      <c r="AU458" s="35"/>
      <c r="AV458" s="7"/>
      <c r="AW458" s="7"/>
      <c r="AX458" s="7"/>
      <c r="AY458" s="7"/>
      <c r="AZ458" s="7"/>
      <c r="BA458" s="7"/>
      <c r="BB458" s="7"/>
      <c r="BC458" s="7"/>
      <c r="BF458" s="7"/>
      <c r="BG458" s="36"/>
      <c r="BH458" s="36"/>
      <c r="BI458" s="36"/>
      <c r="BJ458" s="36"/>
      <c r="BK458" s="36"/>
      <c r="BL458" s="36"/>
      <c r="BM458" s="36"/>
      <c r="BN458" s="36"/>
      <c r="BO458" s="36"/>
    </row>
    <row r="459" spans="1:67" x14ac:dyDescent="0.25">
      <c r="A459" s="39"/>
      <c r="B459" s="40"/>
      <c r="U459" s="36"/>
      <c r="V459" s="36"/>
      <c r="W459" s="35"/>
      <c r="X459" s="7"/>
      <c r="Y459" s="7"/>
      <c r="Z459" s="7"/>
      <c r="AA459" s="7"/>
      <c r="AB459" s="7"/>
      <c r="AC459" s="7"/>
      <c r="AD459" s="7"/>
      <c r="AE459" s="7"/>
      <c r="AG459" s="36"/>
      <c r="AH459" s="36"/>
      <c r="AI459" s="35"/>
      <c r="AJ459" s="7"/>
      <c r="AK459" s="7"/>
      <c r="AL459" s="7"/>
      <c r="AM459" s="7"/>
      <c r="AN459" s="7"/>
      <c r="AO459" s="7"/>
      <c r="AP459" s="7"/>
      <c r="AQ459" s="7"/>
      <c r="AS459" s="36"/>
      <c r="AT459" s="36"/>
      <c r="AU459" s="35"/>
      <c r="AV459" s="7"/>
      <c r="AW459" s="7"/>
      <c r="AX459" s="7"/>
      <c r="AY459" s="7"/>
      <c r="AZ459" s="7"/>
      <c r="BA459" s="7"/>
      <c r="BB459" s="7"/>
      <c r="BC459" s="7"/>
      <c r="BF459" s="7"/>
      <c r="BG459" s="36"/>
      <c r="BH459" s="36"/>
      <c r="BI459" s="36"/>
      <c r="BJ459" s="36"/>
      <c r="BK459" s="36"/>
      <c r="BL459" s="36"/>
      <c r="BM459" s="36"/>
      <c r="BN459" s="36"/>
      <c r="BO459" s="36"/>
    </row>
    <row r="460" spans="1:67" x14ac:dyDescent="0.25">
      <c r="A460" s="39"/>
      <c r="B460" s="40"/>
      <c r="U460" s="36"/>
      <c r="V460" s="36"/>
      <c r="W460" s="35"/>
      <c r="X460" s="7"/>
      <c r="Y460" s="7"/>
      <c r="Z460" s="7"/>
      <c r="AA460" s="7"/>
      <c r="AB460" s="7"/>
      <c r="AC460" s="7"/>
      <c r="AD460" s="7"/>
      <c r="AE460" s="7"/>
      <c r="AG460" s="36"/>
      <c r="AH460" s="36"/>
      <c r="AI460" s="35"/>
      <c r="AJ460" s="7"/>
      <c r="AK460" s="7"/>
      <c r="AL460" s="7"/>
      <c r="AM460" s="7"/>
      <c r="AN460" s="7"/>
      <c r="AO460" s="7"/>
      <c r="AP460" s="7"/>
      <c r="AQ460" s="7"/>
      <c r="AS460" s="36"/>
      <c r="AT460" s="36"/>
      <c r="AU460" s="35"/>
      <c r="AV460" s="7"/>
      <c r="AW460" s="7"/>
      <c r="AX460" s="7"/>
      <c r="AY460" s="7"/>
      <c r="AZ460" s="7"/>
      <c r="BA460" s="7"/>
      <c r="BB460" s="7"/>
      <c r="BC460" s="7"/>
      <c r="BF460" s="7"/>
      <c r="BG460" s="36"/>
      <c r="BH460" s="36"/>
      <c r="BI460" s="36"/>
      <c r="BJ460" s="36"/>
      <c r="BK460" s="36"/>
      <c r="BL460" s="36"/>
      <c r="BM460" s="36"/>
      <c r="BN460" s="36"/>
      <c r="BO460" s="36"/>
    </row>
    <row r="461" spans="1:67" x14ac:dyDescent="0.25">
      <c r="A461" s="39"/>
      <c r="B461" s="40"/>
      <c r="U461" s="36"/>
      <c r="V461" s="36"/>
      <c r="W461" s="35"/>
      <c r="X461" s="7"/>
      <c r="Y461" s="7"/>
      <c r="Z461" s="7"/>
      <c r="AA461" s="7"/>
      <c r="AB461" s="7"/>
      <c r="AC461" s="7"/>
      <c r="AD461" s="7"/>
      <c r="AE461" s="7"/>
      <c r="AG461" s="36"/>
      <c r="AH461" s="36"/>
      <c r="AI461" s="35"/>
      <c r="AJ461" s="7"/>
      <c r="AK461" s="7"/>
      <c r="AL461" s="7"/>
      <c r="AM461" s="7"/>
      <c r="AN461" s="7"/>
      <c r="AO461" s="7"/>
      <c r="AP461" s="7"/>
      <c r="AQ461" s="7"/>
      <c r="AS461" s="36"/>
      <c r="AT461" s="36"/>
      <c r="AU461" s="35"/>
      <c r="AV461" s="7"/>
      <c r="AW461" s="7"/>
      <c r="AX461" s="7"/>
      <c r="AY461" s="7"/>
      <c r="AZ461" s="7"/>
      <c r="BA461" s="7"/>
      <c r="BB461" s="7"/>
      <c r="BC461" s="7"/>
      <c r="BF461" s="7"/>
      <c r="BG461" s="36"/>
      <c r="BH461" s="36"/>
      <c r="BI461" s="36"/>
      <c r="BJ461" s="36"/>
      <c r="BK461" s="36"/>
      <c r="BL461" s="36"/>
      <c r="BM461" s="36"/>
      <c r="BN461" s="36"/>
      <c r="BO461" s="36"/>
    </row>
    <row r="462" spans="1:67" x14ac:dyDescent="0.25">
      <c r="A462" s="39"/>
      <c r="B462" s="40"/>
      <c r="U462" s="36"/>
      <c r="V462" s="36"/>
      <c r="W462" s="35"/>
      <c r="X462" s="7"/>
      <c r="Y462" s="7"/>
      <c r="Z462" s="7"/>
      <c r="AA462" s="7"/>
      <c r="AB462" s="7"/>
      <c r="AC462" s="7"/>
      <c r="AD462" s="7"/>
      <c r="AE462" s="7"/>
      <c r="AG462" s="36"/>
      <c r="AH462" s="36"/>
      <c r="AI462" s="35"/>
      <c r="AJ462" s="7"/>
      <c r="AK462" s="7"/>
      <c r="AL462" s="7"/>
      <c r="AM462" s="7"/>
      <c r="AN462" s="7"/>
      <c r="AO462" s="7"/>
      <c r="AP462" s="7"/>
      <c r="AQ462" s="7"/>
      <c r="AS462" s="36"/>
      <c r="AT462" s="36"/>
      <c r="AU462" s="35"/>
      <c r="AV462" s="7"/>
      <c r="AW462" s="7"/>
      <c r="AX462" s="7"/>
      <c r="AY462" s="7"/>
      <c r="AZ462" s="7"/>
      <c r="BA462" s="7"/>
      <c r="BB462" s="7"/>
      <c r="BC462" s="7"/>
      <c r="BF462" s="7"/>
      <c r="BG462" s="36"/>
      <c r="BH462" s="36"/>
      <c r="BI462" s="36"/>
      <c r="BJ462" s="36"/>
      <c r="BK462" s="36"/>
      <c r="BL462" s="36"/>
      <c r="BM462" s="36"/>
      <c r="BN462" s="36"/>
      <c r="BO462" s="36"/>
    </row>
    <row r="463" spans="1:67" x14ac:dyDescent="0.25">
      <c r="A463" s="39"/>
      <c r="B463" s="40"/>
      <c r="U463" s="36"/>
      <c r="V463" s="36"/>
      <c r="W463" s="35"/>
      <c r="X463" s="7"/>
      <c r="Y463" s="7"/>
      <c r="Z463" s="7"/>
      <c r="AA463" s="7"/>
      <c r="AB463" s="7"/>
      <c r="AC463" s="7"/>
      <c r="AD463" s="7"/>
      <c r="AE463" s="7"/>
      <c r="AG463" s="36"/>
      <c r="AH463" s="36"/>
      <c r="AI463" s="35"/>
      <c r="AJ463" s="7"/>
      <c r="AK463" s="7"/>
      <c r="AL463" s="7"/>
      <c r="AM463" s="7"/>
      <c r="AN463" s="7"/>
      <c r="AO463" s="7"/>
      <c r="AP463" s="7"/>
      <c r="AQ463" s="7"/>
      <c r="AS463" s="36"/>
      <c r="AT463" s="36"/>
      <c r="AU463" s="35"/>
      <c r="AV463" s="7"/>
      <c r="AW463" s="7"/>
      <c r="AX463" s="7"/>
      <c r="AY463" s="7"/>
      <c r="AZ463" s="7"/>
      <c r="BA463" s="7"/>
      <c r="BB463" s="7"/>
      <c r="BC463" s="7"/>
      <c r="BF463" s="7"/>
      <c r="BG463" s="36"/>
      <c r="BH463" s="36"/>
      <c r="BI463" s="36"/>
      <c r="BJ463" s="36"/>
      <c r="BK463" s="36"/>
      <c r="BL463" s="36"/>
      <c r="BM463" s="36"/>
      <c r="BN463" s="36"/>
      <c r="BO463" s="36"/>
    </row>
    <row r="464" spans="1:67" x14ac:dyDescent="0.25">
      <c r="A464" s="39"/>
      <c r="B464" s="40"/>
      <c r="U464" s="36"/>
      <c r="V464" s="36"/>
      <c r="W464" s="35"/>
      <c r="X464" s="7"/>
      <c r="Y464" s="7"/>
      <c r="Z464" s="7"/>
      <c r="AA464" s="7"/>
      <c r="AB464" s="7"/>
      <c r="AC464" s="7"/>
      <c r="AD464" s="7"/>
      <c r="AE464" s="7"/>
      <c r="AG464" s="36"/>
      <c r="AH464" s="36"/>
      <c r="AI464" s="35"/>
      <c r="AJ464" s="7"/>
      <c r="AK464" s="7"/>
      <c r="AL464" s="7"/>
      <c r="AM464" s="7"/>
      <c r="AN464" s="7"/>
      <c r="AO464" s="7"/>
      <c r="AP464" s="7"/>
      <c r="AQ464" s="7"/>
      <c r="AS464" s="36"/>
      <c r="AT464" s="36"/>
      <c r="AU464" s="35"/>
      <c r="AV464" s="7"/>
      <c r="AW464" s="7"/>
      <c r="AX464" s="7"/>
      <c r="AY464" s="7"/>
      <c r="AZ464" s="7"/>
      <c r="BA464" s="7"/>
      <c r="BB464" s="7"/>
      <c r="BC464" s="7"/>
      <c r="BF464" s="7"/>
      <c r="BG464" s="36"/>
      <c r="BH464" s="36"/>
      <c r="BI464" s="36"/>
      <c r="BJ464" s="36"/>
      <c r="BK464" s="36"/>
      <c r="BL464" s="36"/>
      <c r="BM464" s="36"/>
      <c r="BN464" s="36"/>
      <c r="BO464" s="36"/>
    </row>
    <row r="465" spans="1:67" x14ac:dyDescent="0.25">
      <c r="A465" s="39"/>
      <c r="B465" s="40"/>
      <c r="U465" s="36"/>
      <c r="V465" s="36"/>
      <c r="W465" s="35"/>
      <c r="X465" s="7"/>
      <c r="Y465" s="7"/>
      <c r="Z465" s="7"/>
      <c r="AA465" s="7"/>
      <c r="AB465" s="7"/>
      <c r="AC465" s="7"/>
      <c r="AD465" s="7"/>
      <c r="AE465" s="7"/>
      <c r="AG465" s="36"/>
      <c r="AH465" s="36"/>
      <c r="AI465" s="35"/>
      <c r="AJ465" s="7"/>
      <c r="AK465" s="7"/>
      <c r="AL465" s="7"/>
      <c r="AM465" s="7"/>
      <c r="AN465" s="7"/>
      <c r="AO465" s="7"/>
      <c r="AP465" s="7"/>
      <c r="AQ465" s="7"/>
      <c r="AS465" s="36"/>
      <c r="AT465" s="36"/>
      <c r="AU465" s="35"/>
      <c r="AV465" s="7"/>
      <c r="AW465" s="7"/>
      <c r="AX465" s="7"/>
      <c r="AY465" s="7"/>
      <c r="AZ465" s="7"/>
      <c r="BA465" s="7"/>
      <c r="BB465" s="7"/>
      <c r="BC465" s="7"/>
      <c r="BF465" s="7"/>
      <c r="BG465" s="36"/>
      <c r="BH465" s="36"/>
      <c r="BI465" s="36"/>
      <c r="BJ465" s="36"/>
      <c r="BK465" s="36"/>
      <c r="BL465" s="36"/>
      <c r="BM465" s="36"/>
      <c r="BN465" s="36"/>
      <c r="BO465" s="36"/>
    </row>
    <row r="466" spans="1:67" x14ac:dyDescent="0.25">
      <c r="A466" s="39"/>
      <c r="B466" s="40"/>
      <c r="U466" s="36"/>
      <c r="V466" s="36"/>
      <c r="W466" s="35"/>
      <c r="X466" s="7"/>
      <c r="Y466" s="7"/>
      <c r="Z466" s="7"/>
      <c r="AA466" s="7"/>
      <c r="AB466" s="7"/>
      <c r="AC466" s="7"/>
      <c r="AD466" s="7"/>
      <c r="AE466" s="7"/>
      <c r="AG466" s="36"/>
      <c r="AH466" s="36"/>
      <c r="AI466" s="35"/>
      <c r="AJ466" s="7"/>
      <c r="AK466" s="7"/>
      <c r="AL466" s="7"/>
      <c r="AM466" s="7"/>
      <c r="AN466" s="7"/>
      <c r="AO466" s="7"/>
      <c r="AP466" s="7"/>
      <c r="AQ466" s="7"/>
      <c r="AS466" s="36"/>
      <c r="AT466" s="36"/>
      <c r="AU466" s="35"/>
      <c r="AV466" s="7"/>
      <c r="AW466" s="7"/>
      <c r="AX466" s="7"/>
      <c r="AY466" s="7"/>
      <c r="AZ466" s="7"/>
      <c r="BA466" s="7"/>
      <c r="BB466" s="7"/>
      <c r="BC466" s="7"/>
      <c r="BF466" s="7"/>
      <c r="BG466" s="36"/>
      <c r="BH466" s="36"/>
      <c r="BI466" s="36"/>
      <c r="BJ466" s="36"/>
      <c r="BK466" s="36"/>
      <c r="BL466" s="36"/>
      <c r="BM466" s="36"/>
      <c r="BN466" s="36"/>
      <c r="BO466" s="36"/>
    </row>
    <row r="467" spans="1:67" x14ac:dyDescent="0.25">
      <c r="A467" s="39"/>
      <c r="B467" s="40"/>
      <c r="U467" s="36"/>
      <c r="V467" s="36"/>
      <c r="W467" s="35"/>
      <c r="X467" s="7"/>
      <c r="Y467" s="7"/>
      <c r="Z467" s="7"/>
      <c r="AA467" s="7"/>
      <c r="AB467" s="7"/>
      <c r="AC467" s="7"/>
      <c r="AD467" s="7"/>
      <c r="AE467" s="7"/>
      <c r="AG467" s="36"/>
      <c r="AH467" s="36"/>
      <c r="AI467" s="35"/>
      <c r="AJ467" s="7"/>
      <c r="AK467" s="7"/>
      <c r="AL467" s="7"/>
      <c r="AM467" s="7"/>
      <c r="AN467" s="7"/>
      <c r="AO467" s="7"/>
      <c r="AP467" s="7"/>
      <c r="AQ467" s="7"/>
      <c r="AS467" s="36"/>
      <c r="AT467" s="36"/>
      <c r="AU467" s="35"/>
      <c r="AV467" s="7"/>
      <c r="AW467" s="7"/>
      <c r="AX467" s="7"/>
      <c r="AY467" s="7"/>
      <c r="AZ467" s="7"/>
      <c r="BA467" s="7"/>
      <c r="BB467" s="7"/>
      <c r="BC467" s="7"/>
      <c r="BF467" s="7"/>
      <c r="BG467" s="36"/>
      <c r="BH467" s="36"/>
      <c r="BI467" s="36"/>
      <c r="BJ467" s="36"/>
      <c r="BK467" s="36"/>
      <c r="BL467" s="36"/>
      <c r="BM467" s="36"/>
      <c r="BN467" s="36"/>
      <c r="BO467" s="36"/>
    </row>
    <row r="468" spans="1:67" x14ac:dyDescent="0.25">
      <c r="A468" s="39"/>
      <c r="B468" s="40"/>
      <c r="U468" s="36"/>
      <c r="V468" s="36"/>
      <c r="W468" s="35"/>
      <c r="X468" s="7"/>
      <c r="Y468" s="7"/>
      <c r="Z468" s="7"/>
      <c r="AA468" s="7"/>
      <c r="AB468" s="7"/>
      <c r="AC468" s="7"/>
      <c r="AD468" s="7"/>
      <c r="AE468" s="7"/>
      <c r="AG468" s="36"/>
      <c r="AH468" s="36"/>
      <c r="AI468" s="35"/>
      <c r="AJ468" s="7"/>
      <c r="AK468" s="7"/>
      <c r="AL468" s="7"/>
      <c r="AM468" s="7"/>
      <c r="AN468" s="7"/>
      <c r="AO468" s="7"/>
      <c r="AP468" s="7"/>
      <c r="AQ468" s="7"/>
      <c r="AS468" s="36"/>
      <c r="AT468" s="36"/>
      <c r="AU468" s="35"/>
      <c r="AV468" s="7"/>
      <c r="AW468" s="7"/>
      <c r="AX468" s="7"/>
      <c r="AY468" s="7"/>
      <c r="AZ468" s="7"/>
      <c r="BA468" s="7"/>
      <c r="BB468" s="7"/>
      <c r="BC468" s="7"/>
      <c r="BF468" s="7"/>
      <c r="BG468" s="36"/>
      <c r="BH468" s="36"/>
      <c r="BI468" s="36"/>
      <c r="BJ468" s="36"/>
      <c r="BK468" s="36"/>
      <c r="BL468" s="36"/>
      <c r="BM468" s="36"/>
      <c r="BN468" s="36"/>
      <c r="BO468" s="36"/>
    </row>
    <row r="469" spans="1:67" x14ac:dyDescent="0.25">
      <c r="A469" s="39"/>
      <c r="B469" s="40"/>
      <c r="U469" s="36"/>
      <c r="V469" s="36"/>
      <c r="W469" s="35"/>
      <c r="X469" s="7"/>
      <c r="Y469" s="7"/>
      <c r="Z469" s="7"/>
      <c r="AA469" s="7"/>
      <c r="AB469" s="7"/>
      <c r="AC469" s="7"/>
      <c r="AD469" s="7"/>
      <c r="AE469" s="7"/>
      <c r="AG469" s="36"/>
      <c r="AH469" s="36"/>
      <c r="AI469" s="35"/>
      <c r="AJ469" s="7"/>
      <c r="AK469" s="7"/>
      <c r="AL469" s="7"/>
      <c r="AM469" s="7"/>
      <c r="AN469" s="7"/>
      <c r="AO469" s="7"/>
      <c r="AP469" s="7"/>
      <c r="AQ469" s="7"/>
      <c r="AS469" s="36"/>
      <c r="AT469" s="36"/>
      <c r="AU469" s="35"/>
      <c r="AV469" s="7"/>
      <c r="AW469" s="7"/>
      <c r="AX469" s="7"/>
      <c r="AY469" s="7"/>
      <c r="AZ469" s="7"/>
      <c r="BA469" s="7"/>
      <c r="BB469" s="7"/>
      <c r="BC469" s="7"/>
      <c r="BF469" s="7"/>
      <c r="BG469" s="36"/>
      <c r="BH469" s="36"/>
      <c r="BI469" s="36"/>
      <c r="BJ469" s="36"/>
      <c r="BK469" s="36"/>
      <c r="BL469" s="36"/>
      <c r="BM469" s="36"/>
      <c r="BN469" s="36"/>
      <c r="BO469" s="36"/>
    </row>
    <row r="470" spans="1:67" x14ac:dyDescent="0.25">
      <c r="A470" s="39"/>
      <c r="B470" s="40"/>
      <c r="U470" s="36"/>
      <c r="V470" s="36"/>
      <c r="W470" s="35"/>
      <c r="X470" s="7"/>
      <c r="Y470" s="7"/>
      <c r="Z470" s="7"/>
      <c r="AA470" s="7"/>
      <c r="AB470" s="7"/>
      <c r="AC470" s="7"/>
      <c r="AD470" s="7"/>
      <c r="AE470" s="7"/>
      <c r="AG470" s="36"/>
      <c r="AH470" s="36"/>
      <c r="AI470" s="35"/>
      <c r="AJ470" s="7"/>
      <c r="AK470" s="7"/>
      <c r="AL470" s="7"/>
      <c r="AM470" s="7"/>
      <c r="AN470" s="7"/>
      <c r="AO470" s="7"/>
      <c r="AP470" s="7"/>
      <c r="AQ470" s="7"/>
      <c r="AS470" s="36"/>
      <c r="AT470" s="36"/>
      <c r="AU470" s="35"/>
      <c r="AV470" s="7"/>
      <c r="AW470" s="7"/>
      <c r="AX470" s="7"/>
      <c r="AY470" s="7"/>
      <c r="AZ470" s="7"/>
      <c r="BA470" s="7"/>
      <c r="BB470" s="7"/>
      <c r="BC470" s="7"/>
      <c r="BF470" s="7"/>
      <c r="BG470" s="36"/>
      <c r="BH470" s="36"/>
      <c r="BI470" s="36"/>
      <c r="BJ470" s="36"/>
      <c r="BK470" s="36"/>
      <c r="BL470" s="36"/>
      <c r="BM470" s="36"/>
      <c r="BN470" s="36"/>
      <c r="BO470" s="36"/>
    </row>
    <row r="471" spans="1:67" x14ac:dyDescent="0.25">
      <c r="A471" s="39"/>
      <c r="B471" s="40"/>
      <c r="U471" s="36"/>
      <c r="V471" s="36"/>
      <c r="W471" s="35"/>
      <c r="X471" s="7"/>
      <c r="Y471" s="7"/>
      <c r="Z471" s="7"/>
      <c r="AA471" s="7"/>
      <c r="AB471" s="7"/>
      <c r="AC471" s="7"/>
      <c r="AD471" s="7"/>
      <c r="AE471" s="7"/>
      <c r="AG471" s="36"/>
      <c r="AH471" s="36"/>
      <c r="AI471" s="35"/>
      <c r="AJ471" s="7"/>
      <c r="AK471" s="7"/>
      <c r="AL471" s="7"/>
      <c r="AM471" s="7"/>
      <c r="AN471" s="7"/>
      <c r="AO471" s="7"/>
      <c r="AP471" s="7"/>
      <c r="AQ471" s="7"/>
      <c r="AS471" s="36"/>
      <c r="AT471" s="36"/>
      <c r="AU471" s="35"/>
      <c r="AV471" s="7"/>
      <c r="AW471" s="7"/>
      <c r="AX471" s="7"/>
      <c r="AY471" s="7"/>
      <c r="AZ471" s="7"/>
      <c r="BA471" s="7"/>
      <c r="BB471" s="7"/>
      <c r="BC471" s="7"/>
      <c r="BF471" s="7"/>
      <c r="BG471" s="36"/>
      <c r="BH471" s="36"/>
      <c r="BI471" s="36"/>
      <c r="BJ471" s="36"/>
      <c r="BK471" s="36"/>
      <c r="BL471" s="36"/>
      <c r="BM471" s="36"/>
      <c r="BN471" s="36"/>
      <c r="BO471" s="36"/>
    </row>
    <row r="472" spans="1:67" x14ac:dyDescent="0.25">
      <c r="A472" s="39"/>
      <c r="B472" s="40"/>
      <c r="U472" s="36"/>
      <c r="V472" s="36"/>
      <c r="W472" s="35"/>
      <c r="X472" s="7"/>
      <c r="Y472" s="7"/>
      <c r="Z472" s="7"/>
      <c r="AA472" s="7"/>
      <c r="AB472" s="7"/>
      <c r="AC472" s="7"/>
      <c r="AD472" s="7"/>
      <c r="AE472" s="7"/>
      <c r="AG472" s="36"/>
      <c r="AH472" s="36"/>
      <c r="AI472" s="35"/>
      <c r="AJ472" s="7"/>
      <c r="AK472" s="7"/>
      <c r="AL472" s="7"/>
      <c r="AM472" s="7"/>
      <c r="AN472" s="7"/>
      <c r="AO472" s="7"/>
      <c r="AP472" s="7"/>
      <c r="AQ472" s="7"/>
      <c r="AS472" s="36"/>
      <c r="AT472" s="36"/>
      <c r="AU472" s="35"/>
      <c r="AV472" s="7"/>
      <c r="AW472" s="7"/>
      <c r="AX472" s="7"/>
      <c r="AY472" s="7"/>
      <c r="AZ472" s="7"/>
      <c r="BA472" s="7"/>
      <c r="BB472" s="7"/>
      <c r="BC472" s="7"/>
      <c r="BF472" s="7"/>
      <c r="BG472" s="36"/>
      <c r="BH472" s="36"/>
      <c r="BI472" s="36"/>
      <c r="BJ472" s="36"/>
      <c r="BK472" s="36"/>
      <c r="BL472" s="36"/>
      <c r="BM472" s="36"/>
      <c r="BN472" s="36"/>
      <c r="BO472" s="36"/>
    </row>
    <row r="473" spans="1:67" x14ac:dyDescent="0.25">
      <c r="A473" s="39"/>
      <c r="B473" s="40"/>
      <c r="U473" s="36"/>
      <c r="V473" s="36"/>
      <c r="W473" s="35"/>
      <c r="X473" s="7"/>
      <c r="Y473" s="7"/>
      <c r="Z473" s="7"/>
      <c r="AA473" s="7"/>
      <c r="AB473" s="7"/>
      <c r="AC473" s="7"/>
      <c r="AD473" s="7"/>
      <c r="AE473" s="7"/>
      <c r="AG473" s="36"/>
      <c r="AH473" s="36"/>
      <c r="AI473" s="35"/>
      <c r="AJ473" s="7"/>
      <c r="AK473" s="7"/>
      <c r="AL473" s="7"/>
      <c r="AM473" s="7"/>
      <c r="AN473" s="7"/>
      <c r="AO473" s="7"/>
      <c r="AP473" s="7"/>
      <c r="AQ473" s="7"/>
      <c r="AS473" s="36"/>
      <c r="AT473" s="36"/>
      <c r="AU473" s="35"/>
      <c r="AV473" s="7"/>
      <c r="AW473" s="7"/>
      <c r="AX473" s="7"/>
      <c r="AY473" s="7"/>
      <c r="AZ473" s="7"/>
      <c r="BA473" s="7"/>
      <c r="BB473" s="7"/>
      <c r="BC473" s="7"/>
      <c r="BF473" s="7"/>
      <c r="BG473" s="36"/>
      <c r="BH473" s="36"/>
      <c r="BI473" s="36"/>
      <c r="BJ473" s="36"/>
      <c r="BK473" s="36"/>
      <c r="BL473" s="36"/>
      <c r="BM473" s="36"/>
      <c r="BN473" s="36"/>
      <c r="BO473" s="36"/>
    </row>
    <row r="474" spans="1:67" x14ac:dyDescent="0.25">
      <c r="A474" s="39"/>
      <c r="B474" s="40"/>
      <c r="U474" s="36"/>
      <c r="V474" s="36"/>
      <c r="W474" s="35"/>
      <c r="X474" s="7"/>
      <c r="Y474" s="7"/>
      <c r="Z474" s="7"/>
      <c r="AA474" s="7"/>
      <c r="AB474" s="7"/>
      <c r="AC474" s="7"/>
      <c r="AD474" s="7"/>
      <c r="AE474" s="7"/>
      <c r="AG474" s="36"/>
      <c r="AH474" s="36"/>
      <c r="AI474" s="35"/>
      <c r="AJ474" s="7"/>
      <c r="AK474" s="7"/>
      <c r="AL474" s="7"/>
      <c r="AM474" s="7"/>
      <c r="AN474" s="7"/>
      <c r="AO474" s="7"/>
      <c r="AP474" s="7"/>
      <c r="AQ474" s="7"/>
      <c r="AS474" s="36"/>
      <c r="AT474" s="36"/>
      <c r="AU474" s="35"/>
      <c r="AV474" s="7"/>
      <c r="AW474" s="7"/>
      <c r="AX474" s="7"/>
      <c r="AY474" s="7"/>
      <c r="AZ474" s="7"/>
      <c r="BA474" s="7"/>
      <c r="BB474" s="7"/>
      <c r="BC474" s="7"/>
      <c r="BF474" s="7"/>
      <c r="BG474" s="36"/>
      <c r="BH474" s="36"/>
      <c r="BI474" s="36"/>
      <c r="BJ474" s="36"/>
      <c r="BK474" s="36"/>
      <c r="BL474" s="36"/>
      <c r="BM474" s="36"/>
      <c r="BN474" s="36"/>
      <c r="BO474" s="36"/>
    </row>
    <row r="475" spans="1:67" x14ac:dyDescent="0.25">
      <c r="A475" s="39"/>
      <c r="B475" s="40"/>
      <c r="U475" s="36"/>
      <c r="V475" s="36"/>
      <c r="W475" s="35"/>
      <c r="X475" s="7"/>
      <c r="Y475" s="7"/>
      <c r="Z475" s="7"/>
      <c r="AA475" s="7"/>
      <c r="AB475" s="7"/>
      <c r="AC475" s="7"/>
      <c r="AD475" s="7"/>
      <c r="AE475" s="7"/>
      <c r="AG475" s="36"/>
      <c r="AH475" s="36"/>
      <c r="AI475" s="35"/>
      <c r="AJ475" s="7"/>
      <c r="AK475" s="7"/>
      <c r="AL475" s="7"/>
      <c r="AM475" s="7"/>
      <c r="AN475" s="7"/>
      <c r="AO475" s="7"/>
      <c r="AP475" s="7"/>
      <c r="AQ475" s="7"/>
      <c r="AS475" s="36"/>
      <c r="AT475" s="36"/>
      <c r="AU475" s="35"/>
      <c r="AV475" s="7"/>
      <c r="AW475" s="7"/>
      <c r="AX475" s="7"/>
      <c r="AY475" s="7"/>
      <c r="AZ475" s="7"/>
      <c r="BA475" s="7"/>
      <c r="BB475" s="7"/>
      <c r="BC475" s="7"/>
      <c r="BF475" s="7"/>
      <c r="BG475" s="36"/>
      <c r="BH475" s="36"/>
      <c r="BI475" s="36"/>
      <c r="BJ475" s="36"/>
      <c r="BK475" s="36"/>
      <c r="BL475" s="36"/>
      <c r="BM475" s="36"/>
      <c r="BN475" s="36"/>
      <c r="BO475" s="36"/>
    </row>
    <row r="476" spans="1:67" x14ac:dyDescent="0.25">
      <c r="A476" s="39"/>
      <c r="B476" s="40"/>
      <c r="U476" s="36"/>
      <c r="V476" s="36"/>
      <c r="W476" s="35"/>
      <c r="X476" s="7"/>
      <c r="Y476" s="7"/>
      <c r="Z476" s="7"/>
      <c r="AA476" s="7"/>
      <c r="AB476" s="7"/>
      <c r="AC476" s="7"/>
      <c r="AD476" s="7"/>
      <c r="AE476" s="7"/>
      <c r="AG476" s="36"/>
      <c r="AH476" s="36"/>
      <c r="AI476" s="35"/>
      <c r="AJ476" s="7"/>
      <c r="AK476" s="7"/>
      <c r="AL476" s="7"/>
      <c r="AM476" s="7"/>
      <c r="AN476" s="7"/>
      <c r="AO476" s="7"/>
      <c r="AP476" s="7"/>
      <c r="AQ476" s="7"/>
      <c r="AS476" s="36"/>
      <c r="AT476" s="36"/>
      <c r="AU476" s="35"/>
      <c r="AV476" s="7"/>
      <c r="AW476" s="7"/>
      <c r="AX476" s="7"/>
      <c r="AY476" s="7"/>
      <c r="AZ476" s="7"/>
      <c r="BA476" s="7"/>
      <c r="BB476" s="7"/>
      <c r="BC476" s="7"/>
      <c r="BF476" s="7"/>
      <c r="BG476" s="36"/>
      <c r="BH476" s="36"/>
      <c r="BI476" s="36"/>
      <c r="BJ476" s="36"/>
      <c r="BK476" s="36"/>
      <c r="BL476" s="36"/>
      <c r="BM476" s="36"/>
      <c r="BN476" s="36"/>
      <c r="BO476" s="36"/>
    </row>
    <row r="477" spans="1:67" x14ac:dyDescent="0.25">
      <c r="A477" s="39"/>
      <c r="B477" s="40"/>
      <c r="U477" s="36"/>
      <c r="V477" s="36"/>
      <c r="W477" s="35"/>
      <c r="X477" s="7"/>
      <c r="Y477" s="7"/>
      <c r="Z477" s="7"/>
      <c r="AA477" s="7"/>
      <c r="AB477" s="7"/>
      <c r="AC477" s="7"/>
      <c r="AD477" s="7"/>
      <c r="AE477" s="7"/>
      <c r="AG477" s="36"/>
      <c r="AH477" s="36"/>
      <c r="AI477" s="35"/>
      <c r="AJ477" s="7"/>
      <c r="AK477" s="7"/>
      <c r="AL477" s="7"/>
      <c r="AM477" s="7"/>
      <c r="AN477" s="7"/>
      <c r="AO477" s="7"/>
      <c r="AP477" s="7"/>
      <c r="AQ477" s="7"/>
      <c r="AS477" s="36"/>
      <c r="AT477" s="36"/>
      <c r="AU477" s="35"/>
      <c r="AV477" s="7"/>
      <c r="AW477" s="7"/>
      <c r="AX477" s="7"/>
      <c r="AY477" s="7"/>
      <c r="AZ477" s="7"/>
      <c r="BA477" s="7"/>
      <c r="BB477" s="7"/>
      <c r="BC477" s="7"/>
      <c r="BF477" s="7"/>
      <c r="BG477" s="36"/>
      <c r="BH477" s="36"/>
      <c r="BI477" s="36"/>
      <c r="BJ477" s="36"/>
      <c r="BK477" s="36"/>
      <c r="BL477" s="36"/>
      <c r="BM477" s="36"/>
      <c r="BN477" s="36"/>
      <c r="BO477" s="36"/>
    </row>
    <row r="478" spans="1:67" x14ac:dyDescent="0.25">
      <c r="A478" s="39"/>
      <c r="B478" s="40"/>
      <c r="U478" s="36"/>
      <c r="V478" s="36"/>
      <c r="W478" s="35"/>
      <c r="X478" s="7"/>
      <c r="Y478" s="7"/>
      <c r="Z478" s="7"/>
      <c r="AA478" s="7"/>
      <c r="AB478" s="7"/>
      <c r="AC478" s="7"/>
      <c r="AD478" s="7"/>
      <c r="AE478" s="7"/>
      <c r="AG478" s="36"/>
      <c r="AH478" s="36"/>
      <c r="AI478" s="35"/>
      <c r="AJ478" s="7"/>
      <c r="AK478" s="7"/>
      <c r="AL478" s="7"/>
      <c r="AM478" s="7"/>
      <c r="AN478" s="7"/>
      <c r="AO478" s="7"/>
      <c r="AP478" s="7"/>
      <c r="AQ478" s="7"/>
      <c r="AS478" s="36"/>
      <c r="AT478" s="36"/>
      <c r="AU478" s="35"/>
      <c r="AV478" s="7"/>
      <c r="AW478" s="7"/>
      <c r="AX478" s="7"/>
      <c r="AY478" s="7"/>
      <c r="AZ478" s="7"/>
      <c r="BA478" s="7"/>
      <c r="BB478" s="7"/>
      <c r="BC478" s="7"/>
      <c r="BF478" s="7"/>
      <c r="BG478" s="36"/>
      <c r="BH478" s="36"/>
      <c r="BI478" s="36"/>
      <c r="BJ478" s="36"/>
      <c r="BK478" s="36"/>
      <c r="BL478" s="36"/>
      <c r="BM478" s="36"/>
      <c r="BN478" s="36"/>
      <c r="BO478" s="36"/>
    </row>
    <row r="479" spans="1:67" x14ac:dyDescent="0.25">
      <c r="A479" s="39"/>
      <c r="B479" s="40"/>
      <c r="U479" s="36"/>
      <c r="V479" s="36"/>
      <c r="W479" s="35"/>
      <c r="X479" s="7"/>
      <c r="Y479" s="7"/>
      <c r="Z479" s="7"/>
      <c r="AA479" s="7"/>
      <c r="AB479" s="7"/>
      <c r="AC479" s="7"/>
      <c r="AD479" s="7"/>
      <c r="AE479" s="7"/>
      <c r="AG479" s="36"/>
      <c r="AH479" s="36"/>
      <c r="AI479" s="35"/>
      <c r="AJ479" s="7"/>
      <c r="AK479" s="7"/>
      <c r="AL479" s="7"/>
      <c r="AM479" s="7"/>
      <c r="AN479" s="7"/>
      <c r="AO479" s="7"/>
      <c r="AP479" s="7"/>
      <c r="AQ479" s="7"/>
      <c r="AS479" s="36"/>
      <c r="AT479" s="36"/>
      <c r="AU479" s="35"/>
      <c r="AV479" s="7"/>
      <c r="AW479" s="7"/>
      <c r="AX479" s="7"/>
      <c r="AY479" s="7"/>
      <c r="AZ479" s="7"/>
      <c r="BA479" s="7"/>
      <c r="BB479" s="7"/>
      <c r="BC479" s="7"/>
      <c r="BF479" s="7"/>
      <c r="BG479" s="36"/>
      <c r="BH479" s="36"/>
      <c r="BI479" s="36"/>
      <c r="BJ479" s="36"/>
      <c r="BK479" s="36"/>
      <c r="BL479" s="36"/>
      <c r="BM479" s="36"/>
      <c r="BN479" s="36"/>
      <c r="BO479" s="36"/>
    </row>
    <row r="480" spans="1:67" x14ac:dyDescent="0.25">
      <c r="A480" s="39"/>
      <c r="B480" s="40"/>
      <c r="U480" s="36"/>
      <c r="V480" s="36"/>
      <c r="W480" s="35"/>
      <c r="X480" s="7"/>
      <c r="Y480" s="7"/>
      <c r="Z480" s="7"/>
      <c r="AA480" s="7"/>
      <c r="AB480" s="7"/>
      <c r="AC480" s="7"/>
      <c r="AD480" s="7"/>
      <c r="AE480" s="7"/>
      <c r="AG480" s="36"/>
      <c r="AH480" s="36"/>
      <c r="AI480" s="35"/>
      <c r="AJ480" s="7"/>
      <c r="AK480" s="7"/>
      <c r="AL480" s="7"/>
      <c r="AM480" s="7"/>
      <c r="AN480" s="7"/>
      <c r="AO480" s="7"/>
      <c r="AP480" s="7"/>
      <c r="AQ480" s="7"/>
      <c r="AS480" s="36"/>
      <c r="AT480" s="36"/>
      <c r="AU480" s="35"/>
      <c r="AV480" s="7"/>
      <c r="AW480" s="7"/>
      <c r="AX480" s="7"/>
      <c r="AY480" s="7"/>
      <c r="AZ480" s="7"/>
      <c r="BA480" s="7"/>
      <c r="BB480" s="7"/>
      <c r="BC480" s="7"/>
      <c r="BF480" s="7"/>
      <c r="BG480" s="36"/>
      <c r="BH480" s="36"/>
      <c r="BI480" s="36"/>
      <c r="BJ480" s="36"/>
      <c r="BK480" s="36"/>
      <c r="BL480" s="36"/>
      <c r="BM480" s="36"/>
      <c r="BN480" s="36"/>
      <c r="BO480" s="36"/>
    </row>
    <row r="481" spans="1:67" x14ac:dyDescent="0.25">
      <c r="A481" s="39"/>
      <c r="B481" s="40"/>
      <c r="U481" s="36"/>
      <c r="V481" s="36"/>
      <c r="W481" s="35"/>
      <c r="X481" s="7"/>
      <c r="Y481" s="7"/>
      <c r="Z481" s="7"/>
      <c r="AA481" s="7"/>
      <c r="AB481" s="7"/>
      <c r="AC481" s="7"/>
      <c r="AD481" s="7"/>
      <c r="AE481" s="7"/>
      <c r="AG481" s="36"/>
      <c r="AH481" s="36"/>
      <c r="AI481" s="35"/>
      <c r="AJ481" s="7"/>
      <c r="AK481" s="7"/>
      <c r="AL481" s="7"/>
      <c r="AM481" s="7"/>
      <c r="AN481" s="7"/>
      <c r="AO481" s="7"/>
      <c r="AP481" s="7"/>
      <c r="AQ481" s="7"/>
      <c r="AS481" s="36"/>
      <c r="AT481" s="36"/>
      <c r="AU481" s="35"/>
      <c r="AV481" s="7"/>
      <c r="AW481" s="7"/>
      <c r="AX481" s="7"/>
      <c r="AY481" s="7"/>
      <c r="AZ481" s="7"/>
      <c r="BA481" s="7"/>
      <c r="BB481" s="7"/>
      <c r="BC481" s="7"/>
      <c r="BF481" s="7"/>
      <c r="BG481" s="36"/>
      <c r="BH481" s="36"/>
      <c r="BI481" s="36"/>
      <c r="BJ481" s="36"/>
      <c r="BK481" s="36"/>
      <c r="BL481" s="36"/>
      <c r="BM481" s="36"/>
      <c r="BN481" s="36"/>
      <c r="BO481" s="36"/>
    </row>
    <row r="482" spans="1:67" x14ac:dyDescent="0.25">
      <c r="A482" s="39"/>
      <c r="B482" s="40"/>
      <c r="U482" s="36"/>
      <c r="V482" s="36"/>
      <c r="W482" s="35"/>
      <c r="X482" s="7"/>
      <c r="Y482" s="7"/>
      <c r="Z482" s="7"/>
      <c r="AA482" s="7"/>
      <c r="AB482" s="7"/>
      <c r="AC482" s="7"/>
      <c r="AD482" s="7"/>
      <c r="AE482" s="7"/>
      <c r="AG482" s="36"/>
      <c r="AH482" s="36"/>
      <c r="AI482" s="35"/>
      <c r="AJ482" s="7"/>
      <c r="AK482" s="7"/>
      <c r="AL482" s="7"/>
      <c r="AM482" s="7"/>
      <c r="AN482" s="7"/>
      <c r="AO482" s="7"/>
      <c r="AP482" s="7"/>
      <c r="AQ482" s="7"/>
      <c r="AS482" s="36"/>
      <c r="AT482" s="36"/>
      <c r="AU482" s="35"/>
      <c r="AV482" s="7"/>
      <c r="AW482" s="7"/>
      <c r="AX482" s="7"/>
      <c r="AY482" s="7"/>
      <c r="AZ482" s="7"/>
      <c r="BA482" s="7"/>
      <c r="BB482" s="7"/>
      <c r="BC482" s="7"/>
      <c r="BF482" s="7"/>
      <c r="BG482" s="36"/>
      <c r="BH482" s="36"/>
      <c r="BI482" s="36"/>
      <c r="BJ482" s="36"/>
      <c r="BK482" s="36"/>
      <c r="BL482" s="36"/>
      <c r="BM482" s="36"/>
      <c r="BN482" s="36"/>
      <c r="BO482" s="36"/>
    </row>
    <row r="483" spans="1:67" x14ac:dyDescent="0.25">
      <c r="A483" s="39"/>
      <c r="B483" s="40"/>
      <c r="U483" s="36"/>
      <c r="V483" s="36"/>
      <c r="W483" s="35"/>
      <c r="X483" s="7"/>
      <c r="Y483" s="7"/>
      <c r="Z483" s="7"/>
      <c r="AA483" s="7"/>
      <c r="AB483" s="7"/>
      <c r="AC483" s="7"/>
      <c r="AD483" s="7"/>
      <c r="AE483" s="7"/>
      <c r="AG483" s="36"/>
      <c r="AH483" s="36"/>
      <c r="AI483" s="35"/>
      <c r="AJ483" s="7"/>
      <c r="AK483" s="7"/>
      <c r="AL483" s="7"/>
      <c r="AM483" s="7"/>
      <c r="AN483" s="7"/>
      <c r="AO483" s="7"/>
      <c r="AP483" s="7"/>
      <c r="AQ483" s="7"/>
      <c r="AS483" s="36"/>
      <c r="AT483" s="36"/>
      <c r="AU483" s="35"/>
      <c r="AV483" s="7"/>
      <c r="AW483" s="7"/>
      <c r="AX483" s="7"/>
      <c r="AY483" s="7"/>
      <c r="AZ483" s="7"/>
      <c r="BA483" s="7"/>
      <c r="BB483" s="7"/>
      <c r="BC483" s="7"/>
      <c r="BF483" s="7"/>
      <c r="BG483" s="36"/>
      <c r="BH483" s="36"/>
      <c r="BI483" s="36"/>
      <c r="BJ483" s="36"/>
      <c r="BK483" s="36"/>
      <c r="BL483" s="36"/>
      <c r="BM483" s="36"/>
      <c r="BN483" s="36"/>
      <c r="BO483" s="36"/>
    </row>
    <row r="484" spans="1:67" x14ac:dyDescent="0.25">
      <c r="A484" s="39"/>
      <c r="B484" s="40"/>
      <c r="U484" s="36"/>
      <c r="V484" s="36"/>
      <c r="W484" s="35"/>
      <c r="X484" s="7"/>
      <c r="Y484" s="7"/>
      <c r="Z484" s="7"/>
      <c r="AA484" s="7"/>
      <c r="AB484" s="7"/>
      <c r="AC484" s="7"/>
      <c r="AD484" s="7"/>
      <c r="AE484" s="7"/>
      <c r="AG484" s="36"/>
      <c r="AH484" s="36"/>
      <c r="AI484" s="35"/>
      <c r="AJ484" s="7"/>
      <c r="AK484" s="7"/>
      <c r="AL484" s="7"/>
      <c r="AM484" s="7"/>
      <c r="AN484" s="7"/>
      <c r="AO484" s="7"/>
      <c r="AP484" s="7"/>
      <c r="AQ484" s="7"/>
      <c r="AS484" s="36"/>
      <c r="AT484" s="36"/>
      <c r="AU484" s="35"/>
      <c r="AV484" s="7"/>
      <c r="AW484" s="7"/>
      <c r="AX484" s="7"/>
      <c r="AY484" s="7"/>
      <c r="AZ484" s="7"/>
      <c r="BA484" s="7"/>
      <c r="BB484" s="7"/>
      <c r="BC484" s="7"/>
      <c r="BF484" s="7"/>
      <c r="BG484" s="36"/>
      <c r="BH484" s="36"/>
      <c r="BI484" s="36"/>
      <c r="BJ484" s="36"/>
      <c r="BK484" s="36"/>
      <c r="BL484" s="36"/>
      <c r="BM484" s="36"/>
      <c r="BN484" s="36"/>
      <c r="BO484" s="36"/>
    </row>
    <row r="485" spans="1:67" x14ac:dyDescent="0.25">
      <c r="A485" s="39"/>
      <c r="B485" s="40"/>
      <c r="U485" s="36"/>
      <c r="V485" s="36"/>
      <c r="W485" s="35"/>
      <c r="X485" s="7"/>
      <c r="Y485" s="7"/>
      <c r="Z485" s="7"/>
      <c r="AA485" s="7"/>
      <c r="AB485" s="7"/>
      <c r="AC485" s="7"/>
      <c r="AD485" s="7"/>
      <c r="AE485" s="7"/>
      <c r="AG485" s="36"/>
      <c r="AH485" s="36"/>
      <c r="AI485" s="35"/>
      <c r="AJ485" s="7"/>
      <c r="AK485" s="7"/>
      <c r="AL485" s="7"/>
      <c r="AM485" s="7"/>
      <c r="AN485" s="7"/>
      <c r="AO485" s="7"/>
      <c r="AP485" s="7"/>
      <c r="AQ485" s="7"/>
      <c r="AS485" s="36"/>
      <c r="AT485" s="36"/>
      <c r="AU485" s="35"/>
      <c r="AV485" s="7"/>
      <c r="AW485" s="7"/>
      <c r="AX485" s="7"/>
      <c r="AY485" s="7"/>
      <c r="AZ485" s="7"/>
      <c r="BA485" s="7"/>
      <c r="BB485" s="7"/>
      <c r="BC485" s="7"/>
      <c r="BF485" s="7"/>
      <c r="BG485" s="36"/>
      <c r="BH485" s="36"/>
      <c r="BI485" s="36"/>
      <c r="BJ485" s="36"/>
      <c r="BK485" s="36"/>
      <c r="BL485" s="36"/>
      <c r="BM485" s="36"/>
      <c r="BN485" s="36"/>
      <c r="BO485" s="36"/>
    </row>
    <row r="486" spans="1:67" x14ac:dyDescent="0.25">
      <c r="A486" s="39"/>
      <c r="B486" s="40"/>
      <c r="U486" s="36"/>
      <c r="V486" s="36"/>
      <c r="W486" s="35"/>
      <c r="X486" s="7"/>
      <c r="Y486" s="7"/>
      <c r="Z486" s="7"/>
      <c r="AA486" s="7"/>
      <c r="AB486" s="7"/>
      <c r="AC486" s="7"/>
      <c r="AD486" s="7"/>
      <c r="AE486" s="7"/>
      <c r="AG486" s="36"/>
      <c r="AH486" s="36"/>
      <c r="AI486" s="35"/>
      <c r="AJ486" s="7"/>
      <c r="AK486" s="7"/>
      <c r="AL486" s="7"/>
      <c r="AM486" s="7"/>
      <c r="AN486" s="7"/>
      <c r="AO486" s="7"/>
      <c r="AP486" s="7"/>
      <c r="AQ486" s="7"/>
      <c r="AS486" s="36"/>
      <c r="AT486" s="36"/>
      <c r="AU486" s="35"/>
      <c r="AV486" s="7"/>
      <c r="AW486" s="7"/>
      <c r="AX486" s="7"/>
      <c r="AY486" s="7"/>
      <c r="AZ486" s="7"/>
      <c r="BA486" s="7"/>
      <c r="BB486" s="7"/>
      <c r="BC486" s="7"/>
      <c r="BF486" s="7"/>
      <c r="BG486" s="36"/>
      <c r="BH486" s="36"/>
      <c r="BI486" s="36"/>
      <c r="BJ486" s="36"/>
      <c r="BK486" s="36"/>
      <c r="BL486" s="36"/>
      <c r="BM486" s="36"/>
      <c r="BN486" s="36"/>
      <c r="BO486" s="36"/>
    </row>
    <row r="487" spans="1:67" x14ac:dyDescent="0.25">
      <c r="A487" s="39"/>
      <c r="B487" s="40"/>
      <c r="U487" s="36"/>
      <c r="V487" s="36"/>
      <c r="W487" s="35"/>
      <c r="X487" s="7"/>
      <c r="Y487" s="7"/>
      <c r="Z487" s="7"/>
      <c r="AA487" s="7"/>
      <c r="AB487" s="7"/>
      <c r="AC487" s="7"/>
      <c r="AD487" s="7"/>
      <c r="AE487" s="7"/>
      <c r="AG487" s="36"/>
      <c r="AH487" s="36"/>
      <c r="AI487" s="35"/>
      <c r="AJ487" s="7"/>
      <c r="AK487" s="7"/>
      <c r="AL487" s="7"/>
      <c r="AM487" s="7"/>
      <c r="AN487" s="7"/>
      <c r="AO487" s="7"/>
      <c r="AP487" s="7"/>
      <c r="AQ487" s="7"/>
      <c r="AS487" s="36"/>
      <c r="AT487" s="36"/>
      <c r="AU487" s="35"/>
      <c r="AV487" s="7"/>
      <c r="AW487" s="7"/>
      <c r="AX487" s="7"/>
      <c r="AY487" s="7"/>
      <c r="AZ487" s="7"/>
      <c r="BA487" s="7"/>
      <c r="BB487" s="7"/>
      <c r="BC487" s="7"/>
      <c r="BF487" s="7"/>
      <c r="BG487" s="36"/>
      <c r="BH487" s="36"/>
      <c r="BI487" s="36"/>
      <c r="BJ487" s="36"/>
      <c r="BK487" s="36"/>
      <c r="BL487" s="36"/>
      <c r="BM487" s="36"/>
      <c r="BN487" s="36"/>
      <c r="BO487" s="36"/>
    </row>
    <row r="488" spans="1:67" x14ac:dyDescent="0.25">
      <c r="A488" s="39"/>
      <c r="B488" s="40"/>
      <c r="U488" s="36"/>
      <c r="V488" s="36"/>
      <c r="W488" s="35"/>
      <c r="X488" s="7"/>
      <c r="Y488" s="7"/>
      <c r="Z488" s="7"/>
      <c r="AA488" s="7"/>
      <c r="AB488" s="7"/>
      <c r="AC488" s="7"/>
      <c r="AD488" s="7"/>
      <c r="AE488" s="7"/>
      <c r="AG488" s="36"/>
      <c r="AH488" s="36"/>
      <c r="AI488" s="35"/>
      <c r="AJ488" s="7"/>
      <c r="AK488" s="7"/>
      <c r="AL488" s="7"/>
      <c r="AM488" s="7"/>
      <c r="AN488" s="7"/>
      <c r="AO488" s="7"/>
      <c r="AP488" s="7"/>
      <c r="AQ488" s="7"/>
      <c r="AS488" s="36"/>
      <c r="AT488" s="36"/>
      <c r="AU488" s="35"/>
      <c r="AV488" s="7"/>
      <c r="AW488" s="7"/>
      <c r="AX488" s="7"/>
      <c r="AY488" s="7"/>
      <c r="AZ488" s="7"/>
      <c r="BA488" s="7"/>
      <c r="BB488" s="7"/>
      <c r="BC488" s="7"/>
      <c r="BF488" s="7"/>
      <c r="BG488" s="36"/>
      <c r="BH488" s="36"/>
      <c r="BI488" s="36"/>
      <c r="BJ488" s="36"/>
      <c r="BK488" s="36"/>
      <c r="BL488" s="36"/>
      <c r="BM488" s="36"/>
      <c r="BN488" s="36"/>
      <c r="BO488" s="36"/>
    </row>
    <row r="489" spans="1:67" x14ac:dyDescent="0.25">
      <c r="A489" s="39"/>
      <c r="B489" s="40"/>
      <c r="U489" s="36"/>
      <c r="V489" s="36"/>
      <c r="W489" s="35"/>
      <c r="X489" s="7"/>
      <c r="Y489" s="7"/>
      <c r="Z489" s="7"/>
      <c r="AA489" s="7"/>
      <c r="AB489" s="7"/>
      <c r="AC489" s="7"/>
      <c r="AD489" s="7"/>
      <c r="AE489" s="7"/>
      <c r="AG489" s="36"/>
      <c r="AH489" s="36"/>
      <c r="AI489" s="35"/>
      <c r="AJ489" s="7"/>
      <c r="AK489" s="7"/>
      <c r="AL489" s="7"/>
      <c r="AM489" s="7"/>
      <c r="AN489" s="7"/>
      <c r="AO489" s="7"/>
      <c r="AP489" s="7"/>
      <c r="AQ489" s="7"/>
      <c r="AS489" s="36"/>
      <c r="AT489" s="36"/>
      <c r="AU489" s="35"/>
      <c r="AV489" s="7"/>
      <c r="AW489" s="7"/>
      <c r="AX489" s="7"/>
      <c r="AY489" s="7"/>
      <c r="AZ489" s="7"/>
      <c r="BA489" s="7"/>
      <c r="BB489" s="7"/>
      <c r="BC489" s="7"/>
      <c r="BF489" s="7"/>
      <c r="BG489" s="36"/>
      <c r="BH489" s="36"/>
      <c r="BI489" s="36"/>
      <c r="BJ489" s="36"/>
      <c r="BK489" s="36"/>
      <c r="BL489" s="36"/>
      <c r="BM489" s="36"/>
      <c r="BN489" s="36"/>
      <c r="BO489" s="36"/>
    </row>
    <row r="490" spans="1:67" x14ac:dyDescent="0.25">
      <c r="A490" s="39"/>
      <c r="B490" s="40"/>
      <c r="U490" s="36"/>
      <c r="V490" s="36"/>
      <c r="W490" s="35"/>
      <c r="X490" s="7"/>
      <c r="Y490" s="7"/>
      <c r="Z490" s="7"/>
      <c r="AA490" s="7"/>
      <c r="AB490" s="7"/>
      <c r="AC490" s="7"/>
      <c r="AD490" s="7"/>
      <c r="AE490" s="7"/>
      <c r="AG490" s="36"/>
      <c r="AH490" s="36"/>
      <c r="AI490" s="35"/>
      <c r="AJ490" s="7"/>
      <c r="AK490" s="7"/>
      <c r="AL490" s="7"/>
      <c r="AM490" s="7"/>
      <c r="AN490" s="7"/>
      <c r="AO490" s="7"/>
      <c r="AP490" s="7"/>
      <c r="AQ490" s="7"/>
      <c r="AS490" s="36"/>
      <c r="AT490" s="36"/>
      <c r="AU490" s="35"/>
      <c r="AV490" s="7"/>
      <c r="AW490" s="7"/>
      <c r="AX490" s="7"/>
      <c r="AY490" s="7"/>
      <c r="AZ490" s="7"/>
      <c r="BA490" s="7"/>
      <c r="BB490" s="7"/>
      <c r="BC490" s="7"/>
      <c r="BF490" s="7"/>
      <c r="BG490" s="36"/>
      <c r="BH490" s="36"/>
      <c r="BI490" s="36"/>
      <c r="BJ490" s="36"/>
      <c r="BK490" s="36"/>
      <c r="BL490" s="36"/>
      <c r="BM490" s="36"/>
      <c r="BN490" s="36"/>
      <c r="BO490" s="36"/>
    </row>
    <row r="491" spans="1:67" x14ac:dyDescent="0.25">
      <c r="A491" s="39"/>
      <c r="B491" s="40"/>
      <c r="U491" s="36"/>
      <c r="V491" s="36"/>
      <c r="W491" s="35"/>
      <c r="X491" s="7"/>
      <c r="Y491" s="7"/>
      <c r="Z491" s="7"/>
      <c r="AA491" s="7"/>
      <c r="AB491" s="7"/>
      <c r="AC491" s="7"/>
      <c r="AD491" s="7"/>
      <c r="AE491" s="7"/>
      <c r="AG491" s="36"/>
      <c r="AH491" s="36"/>
      <c r="AI491" s="35"/>
      <c r="AJ491" s="7"/>
      <c r="AK491" s="7"/>
      <c r="AL491" s="7"/>
      <c r="AM491" s="7"/>
      <c r="AN491" s="7"/>
      <c r="AO491" s="7"/>
      <c r="AP491" s="7"/>
      <c r="AQ491" s="7"/>
      <c r="AS491" s="36"/>
      <c r="AT491" s="36"/>
      <c r="AU491" s="35"/>
      <c r="AV491" s="7"/>
      <c r="AW491" s="7"/>
      <c r="AX491" s="7"/>
      <c r="AY491" s="7"/>
      <c r="AZ491" s="7"/>
      <c r="BA491" s="7"/>
      <c r="BB491" s="7"/>
      <c r="BC491" s="7"/>
      <c r="BF491" s="7"/>
      <c r="BG491" s="36"/>
      <c r="BH491" s="36"/>
      <c r="BI491" s="36"/>
      <c r="BJ491" s="36"/>
      <c r="BK491" s="36"/>
      <c r="BL491" s="36"/>
      <c r="BM491" s="36"/>
      <c r="BN491" s="36"/>
      <c r="BO491" s="36"/>
    </row>
    <row r="492" spans="1:67" x14ac:dyDescent="0.25">
      <c r="A492" s="39"/>
      <c r="B492" s="40"/>
      <c r="U492" s="36"/>
      <c r="V492" s="36"/>
      <c r="W492" s="35"/>
      <c r="X492" s="7"/>
      <c r="Y492" s="7"/>
      <c r="Z492" s="7"/>
      <c r="AA492" s="7"/>
      <c r="AB492" s="7"/>
      <c r="AC492" s="7"/>
      <c r="AD492" s="7"/>
      <c r="AE492" s="7"/>
      <c r="AG492" s="36"/>
      <c r="AH492" s="36"/>
      <c r="AI492" s="35"/>
      <c r="AJ492" s="7"/>
      <c r="AK492" s="7"/>
      <c r="AL492" s="7"/>
      <c r="AM492" s="7"/>
      <c r="AN492" s="7"/>
      <c r="AO492" s="7"/>
      <c r="AP492" s="7"/>
      <c r="AQ492" s="7"/>
      <c r="AS492" s="36"/>
      <c r="AT492" s="36"/>
      <c r="AU492" s="35"/>
      <c r="AV492" s="7"/>
      <c r="AW492" s="7"/>
      <c r="AX492" s="7"/>
      <c r="AY492" s="7"/>
      <c r="AZ492" s="7"/>
      <c r="BA492" s="7"/>
      <c r="BB492" s="7"/>
      <c r="BC492" s="7"/>
      <c r="BF492" s="7"/>
      <c r="BG492" s="36"/>
      <c r="BH492" s="36"/>
      <c r="BI492" s="36"/>
      <c r="BJ492" s="36"/>
      <c r="BK492" s="36"/>
      <c r="BL492" s="36"/>
      <c r="BM492" s="36"/>
      <c r="BN492" s="36"/>
      <c r="BO492" s="36"/>
    </row>
    <row r="493" spans="1:67" x14ac:dyDescent="0.25">
      <c r="A493" s="39"/>
      <c r="B493" s="40"/>
      <c r="U493" s="36"/>
      <c r="V493" s="36"/>
      <c r="W493" s="35"/>
      <c r="X493" s="7"/>
      <c r="Y493" s="7"/>
      <c r="Z493" s="7"/>
      <c r="AA493" s="7"/>
      <c r="AB493" s="7"/>
      <c r="AC493" s="7"/>
      <c r="AD493" s="7"/>
      <c r="AE493" s="7"/>
      <c r="AG493" s="36"/>
      <c r="AH493" s="36"/>
      <c r="AI493" s="35"/>
      <c r="AJ493" s="7"/>
      <c r="AK493" s="7"/>
      <c r="AL493" s="7"/>
      <c r="AM493" s="7"/>
      <c r="AN493" s="7"/>
      <c r="AO493" s="7"/>
      <c r="AP493" s="7"/>
      <c r="AQ493" s="7"/>
      <c r="AS493" s="36"/>
      <c r="AT493" s="36"/>
      <c r="AU493" s="35"/>
      <c r="AV493" s="7"/>
      <c r="AW493" s="7"/>
      <c r="AX493" s="7"/>
      <c r="AY493" s="7"/>
      <c r="AZ493" s="7"/>
      <c r="BA493" s="7"/>
      <c r="BB493" s="7"/>
      <c r="BC493" s="7"/>
      <c r="BF493" s="7"/>
      <c r="BG493" s="36"/>
      <c r="BH493" s="36"/>
      <c r="BI493" s="36"/>
      <c r="BJ493" s="36"/>
      <c r="BK493" s="36"/>
      <c r="BL493" s="36"/>
      <c r="BM493" s="36"/>
      <c r="BN493" s="36"/>
      <c r="BO493" s="36"/>
    </row>
    <row r="494" spans="1:67" x14ac:dyDescent="0.25">
      <c r="A494" s="39"/>
      <c r="B494" s="40"/>
      <c r="U494" s="36"/>
      <c r="V494" s="36"/>
      <c r="W494" s="35"/>
      <c r="X494" s="7"/>
      <c r="Y494" s="7"/>
      <c r="Z494" s="7"/>
      <c r="AA494" s="7"/>
      <c r="AB494" s="7"/>
      <c r="AC494" s="7"/>
      <c r="AD494" s="7"/>
      <c r="AE494" s="7"/>
      <c r="AG494" s="36"/>
      <c r="AH494" s="36"/>
      <c r="AI494" s="35"/>
      <c r="AJ494" s="7"/>
      <c r="AK494" s="7"/>
      <c r="AL494" s="7"/>
      <c r="AM494" s="7"/>
      <c r="AN494" s="7"/>
      <c r="AO494" s="7"/>
      <c r="AP494" s="7"/>
      <c r="AQ494" s="7"/>
      <c r="AS494" s="36"/>
      <c r="AT494" s="36"/>
      <c r="AU494" s="35"/>
      <c r="AV494" s="7"/>
      <c r="AW494" s="7"/>
      <c r="AX494" s="7"/>
      <c r="AY494" s="7"/>
      <c r="AZ494" s="7"/>
      <c r="BA494" s="7"/>
      <c r="BB494" s="7"/>
      <c r="BC494" s="7"/>
      <c r="BF494" s="7"/>
      <c r="BG494" s="36"/>
      <c r="BH494" s="36"/>
      <c r="BI494" s="36"/>
      <c r="BJ494" s="36"/>
      <c r="BK494" s="36"/>
      <c r="BL494" s="36"/>
      <c r="BM494" s="36"/>
      <c r="BN494" s="36"/>
      <c r="BO494" s="36"/>
    </row>
    <row r="495" spans="1:67" x14ac:dyDescent="0.25">
      <c r="A495" s="39"/>
      <c r="B495" s="40"/>
      <c r="U495" s="36"/>
      <c r="V495" s="36"/>
      <c r="W495" s="35"/>
      <c r="X495" s="7"/>
      <c r="Y495" s="7"/>
      <c r="Z495" s="7"/>
      <c r="AA495" s="7"/>
      <c r="AB495" s="7"/>
      <c r="AC495" s="7"/>
      <c r="AD495" s="7"/>
      <c r="AE495" s="7"/>
      <c r="AG495" s="36"/>
      <c r="AH495" s="36"/>
      <c r="AI495" s="35"/>
      <c r="AJ495" s="7"/>
      <c r="AK495" s="7"/>
      <c r="AL495" s="7"/>
      <c r="AM495" s="7"/>
      <c r="AN495" s="7"/>
      <c r="AO495" s="7"/>
      <c r="AP495" s="7"/>
      <c r="AQ495" s="7"/>
      <c r="AS495" s="36"/>
      <c r="AT495" s="36"/>
      <c r="AU495" s="35"/>
      <c r="AV495" s="7"/>
      <c r="AW495" s="7"/>
      <c r="AX495" s="7"/>
      <c r="AY495" s="7"/>
      <c r="AZ495" s="7"/>
      <c r="BA495" s="7"/>
      <c r="BB495" s="7"/>
      <c r="BC495" s="7"/>
      <c r="BF495" s="7"/>
      <c r="BG495" s="36"/>
      <c r="BH495" s="36"/>
      <c r="BI495" s="36"/>
      <c r="BJ495" s="36"/>
      <c r="BK495" s="36"/>
      <c r="BL495" s="36"/>
      <c r="BM495" s="36"/>
      <c r="BN495" s="36"/>
      <c r="BO495" s="36"/>
    </row>
    <row r="496" spans="1:67" x14ac:dyDescent="0.25">
      <c r="A496" s="39"/>
      <c r="B496" s="40"/>
      <c r="U496" s="36"/>
      <c r="V496" s="36"/>
      <c r="W496" s="35"/>
      <c r="X496" s="7"/>
      <c r="Y496" s="7"/>
      <c r="Z496" s="7"/>
      <c r="AA496" s="7"/>
      <c r="AB496" s="7"/>
      <c r="AC496" s="7"/>
      <c r="AD496" s="7"/>
      <c r="AE496" s="7"/>
      <c r="AG496" s="36"/>
      <c r="AH496" s="36"/>
      <c r="AI496" s="35"/>
      <c r="AJ496" s="7"/>
      <c r="AK496" s="7"/>
      <c r="AL496" s="7"/>
      <c r="AM496" s="7"/>
      <c r="AN496" s="7"/>
      <c r="AO496" s="7"/>
      <c r="AP496" s="7"/>
      <c r="AQ496" s="7"/>
      <c r="AS496" s="36"/>
      <c r="AT496" s="36"/>
      <c r="AU496" s="35"/>
      <c r="AV496" s="7"/>
      <c r="AW496" s="7"/>
      <c r="AX496" s="7"/>
      <c r="AY496" s="7"/>
      <c r="AZ496" s="7"/>
      <c r="BA496" s="7"/>
      <c r="BB496" s="7"/>
      <c r="BC496" s="7"/>
      <c r="BF496" s="7"/>
      <c r="BG496" s="36"/>
      <c r="BH496" s="36"/>
      <c r="BI496" s="36"/>
      <c r="BJ496" s="36"/>
      <c r="BK496" s="36"/>
      <c r="BL496" s="36"/>
      <c r="BM496" s="36"/>
      <c r="BN496" s="36"/>
      <c r="BO496" s="36"/>
    </row>
    <row r="497" spans="1:67" x14ac:dyDescent="0.25">
      <c r="A497" s="39"/>
      <c r="B497" s="40"/>
      <c r="U497" s="36"/>
      <c r="V497" s="36"/>
      <c r="W497" s="35"/>
      <c r="X497" s="7"/>
      <c r="Y497" s="7"/>
      <c r="Z497" s="7"/>
      <c r="AA497" s="7"/>
      <c r="AB497" s="7"/>
      <c r="AC497" s="7"/>
      <c r="AD497" s="7"/>
      <c r="AE497" s="7"/>
      <c r="AG497" s="36"/>
      <c r="AH497" s="36"/>
      <c r="AI497" s="35"/>
      <c r="AJ497" s="7"/>
      <c r="AK497" s="7"/>
      <c r="AL497" s="7"/>
      <c r="AM497" s="7"/>
      <c r="AN497" s="7"/>
      <c r="AO497" s="7"/>
      <c r="AP497" s="7"/>
      <c r="AQ497" s="7"/>
      <c r="AS497" s="36"/>
      <c r="AT497" s="36"/>
      <c r="AU497" s="35"/>
      <c r="AV497" s="7"/>
      <c r="AW497" s="7"/>
      <c r="AX497" s="7"/>
      <c r="AY497" s="7"/>
      <c r="AZ497" s="7"/>
      <c r="BA497" s="7"/>
      <c r="BB497" s="7"/>
      <c r="BC497" s="7"/>
      <c r="BF497" s="7"/>
      <c r="BG497" s="36"/>
      <c r="BH497" s="36"/>
      <c r="BI497" s="36"/>
      <c r="BJ497" s="36"/>
      <c r="BK497" s="36"/>
      <c r="BL497" s="36"/>
      <c r="BM497" s="36"/>
      <c r="BN497" s="36"/>
      <c r="BO497" s="36"/>
    </row>
    <row r="498" spans="1:67" x14ac:dyDescent="0.25">
      <c r="A498" s="39"/>
      <c r="B498" s="40"/>
      <c r="U498" s="36"/>
      <c r="V498" s="36"/>
      <c r="W498" s="35"/>
      <c r="X498" s="7"/>
      <c r="Y498" s="7"/>
      <c r="Z498" s="7"/>
      <c r="AA498" s="7"/>
      <c r="AB498" s="7"/>
      <c r="AC498" s="7"/>
      <c r="AD498" s="7"/>
      <c r="AE498" s="7"/>
      <c r="AG498" s="36"/>
      <c r="AH498" s="36"/>
      <c r="AI498" s="35"/>
      <c r="AJ498" s="7"/>
      <c r="AK498" s="7"/>
      <c r="AL498" s="7"/>
      <c r="AM498" s="7"/>
      <c r="AN498" s="7"/>
      <c r="AO498" s="7"/>
      <c r="AP498" s="7"/>
      <c r="AQ498" s="7"/>
      <c r="AS498" s="36"/>
      <c r="AT498" s="36"/>
      <c r="AU498" s="35"/>
      <c r="AV498" s="7"/>
      <c r="AW498" s="7"/>
      <c r="AX498" s="7"/>
      <c r="AY498" s="7"/>
      <c r="AZ498" s="7"/>
      <c r="BA498" s="7"/>
      <c r="BB498" s="7"/>
      <c r="BC498" s="7"/>
      <c r="BF498" s="7"/>
      <c r="BG498" s="36"/>
      <c r="BH498" s="36"/>
      <c r="BI498" s="36"/>
      <c r="BJ498" s="36"/>
      <c r="BK498" s="36"/>
      <c r="BL498" s="36"/>
      <c r="BM498" s="36"/>
      <c r="BN498" s="36"/>
      <c r="BO498" s="36"/>
    </row>
    <row r="499" spans="1:67" x14ac:dyDescent="0.25">
      <c r="A499" s="39"/>
      <c r="B499" s="40"/>
      <c r="U499" s="36"/>
      <c r="V499" s="36"/>
      <c r="W499" s="35"/>
      <c r="X499" s="7"/>
      <c r="Y499" s="7"/>
      <c r="Z499" s="7"/>
      <c r="AA499" s="7"/>
      <c r="AB499" s="7"/>
      <c r="AC499" s="7"/>
      <c r="AD499" s="7"/>
      <c r="AE499" s="7"/>
      <c r="AG499" s="36"/>
      <c r="AH499" s="36"/>
      <c r="AI499" s="35"/>
      <c r="AJ499" s="7"/>
      <c r="AK499" s="7"/>
      <c r="AL499" s="7"/>
      <c r="AM499" s="7"/>
      <c r="AN499" s="7"/>
      <c r="AO499" s="7"/>
      <c r="AP499" s="7"/>
      <c r="AQ499" s="7"/>
      <c r="AS499" s="36"/>
      <c r="AT499" s="36"/>
      <c r="AU499" s="35"/>
      <c r="AV499" s="7"/>
      <c r="AW499" s="7"/>
      <c r="AX499" s="7"/>
      <c r="AY499" s="7"/>
      <c r="AZ499" s="7"/>
      <c r="BA499" s="7"/>
      <c r="BB499" s="7"/>
      <c r="BC499" s="7"/>
      <c r="BF499" s="7"/>
      <c r="BG499" s="36"/>
      <c r="BH499" s="36"/>
      <c r="BI499" s="36"/>
      <c r="BJ499" s="36"/>
      <c r="BK499" s="36"/>
      <c r="BL499" s="36"/>
      <c r="BM499" s="36"/>
      <c r="BN499" s="36"/>
      <c r="BO499" s="36"/>
    </row>
    <row r="500" spans="1:67" x14ac:dyDescent="0.25">
      <c r="A500" s="39"/>
      <c r="B500" s="40"/>
      <c r="U500" s="36"/>
      <c r="V500" s="36"/>
      <c r="W500" s="35"/>
      <c r="X500" s="7"/>
      <c r="Y500" s="7"/>
      <c r="Z500" s="7"/>
      <c r="AA500" s="7"/>
      <c r="AB500" s="7"/>
      <c r="AC500" s="7"/>
      <c r="AD500" s="7"/>
      <c r="AE500" s="7"/>
      <c r="AG500" s="36"/>
      <c r="AH500" s="36"/>
      <c r="AI500" s="35"/>
      <c r="AJ500" s="7"/>
      <c r="AK500" s="7"/>
      <c r="AL500" s="7"/>
      <c r="AM500" s="7"/>
      <c r="AN500" s="7"/>
      <c r="AO500" s="7"/>
      <c r="AP500" s="7"/>
      <c r="AQ500" s="7"/>
      <c r="AS500" s="36"/>
      <c r="AT500" s="36"/>
      <c r="AU500" s="35"/>
      <c r="AV500" s="7"/>
      <c r="AW500" s="7"/>
      <c r="AX500" s="7"/>
      <c r="AY500" s="7"/>
      <c r="AZ500" s="7"/>
      <c r="BA500" s="7"/>
      <c r="BB500" s="7"/>
      <c r="BC500" s="7"/>
      <c r="BF500" s="7"/>
      <c r="BG500" s="36"/>
      <c r="BH500" s="36"/>
      <c r="BI500" s="36"/>
      <c r="BJ500" s="36"/>
      <c r="BK500" s="36"/>
      <c r="BL500" s="36"/>
      <c r="BM500" s="36"/>
      <c r="BN500" s="36"/>
      <c r="BO500" s="36"/>
    </row>
    <row r="501" spans="1:67" x14ac:dyDescent="0.25">
      <c r="A501" s="39"/>
      <c r="B501" s="40"/>
      <c r="U501" s="36"/>
      <c r="V501" s="36"/>
      <c r="W501" s="35"/>
      <c r="X501" s="7"/>
      <c r="Y501" s="7"/>
      <c r="Z501" s="7"/>
      <c r="AA501" s="7"/>
      <c r="AB501" s="7"/>
      <c r="AC501" s="7"/>
      <c r="AD501" s="7"/>
      <c r="AE501" s="7"/>
      <c r="AG501" s="36"/>
      <c r="AH501" s="36"/>
      <c r="AI501" s="35"/>
      <c r="AJ501" s="7"/>
      <c r="AK501" s="7"/>
      <c r="AL501" s="7"/>
      <c r="AM501" s="7"/>
      <c r="AN501" s="7"/>
      <c r="AO501" s="7"/>
      <c r="AP501" s="7"/>
      <c r="AQ501" s="7"/>
      <c r="AS501" s="36"/>
      <c r="AT501" s="36"/>
      <c r="AU501" s="35"/>
      <c r="AV501" s="7"/>
      <c r="AW501" s="7"/>
      <c r="AX501" s="7"/>
      <c r="AY501" s="7"/>
      <c r="AZ501" s="7"/>
      <c r="BA501" s="7"/>
      <c r="BB501" s="7"/>
      <c r="BC501" s="7"/>
      <c r="BF501" s="7"/>
      <c r="BG501" s="36"/>
      <c r="BH501" s="36"/>
      <c r="BI501" s="36"/>
      <c r="BJ501" s="36"/>
      <c r="BK501" s="36"/>
      <c r="BL501" s="36"/>
      <c r="BM501" s="36"/>
      <c r="BN501" s="36"/>
      <c r="BO501" s="36"/>
    </row>
    <row r="502" spans="1:67" x14ac:dyDescent="0.25">
      <c r="A502" s="39"/>
      <c r="B502" s="40"/>
      <c r="U502" s="36"/>
      <c r="V502" s="36"/>
      <c r="W502" s="35"/>
      <c r="X502" s="7"/>
      <c r="Y502" s="7"/>
      <c r="Z502" s="7"/>
      <c r="AA502" s="7"/>
      <c r="AB502" s="7"/>
      <c r="AC502" s="7"/>
      <c r="AD502" s="7"/>
      <c r="AE502" s="7"/>
      <c r="AG502" s="36"/>
      <c r="AH502" s="36"/>
      <c r="AI502" s="35"/>
      <c r="AJ502" s="7"/>
      <c r="AK502" s="7"/>
      <c r="AL502" s="7"/>
      <c r="AM502" s="7"/>
      <c r="AN502" s="7"/>
      <c r="AO502" s="7"/>
      <c r="AP502" s="7"/>
      <c r="AQ502" s="7"/>
      <c r="AS502" s="36"/>
      <c r="AT502" s="36"/>
      <c r="AU502" s="35"/>
      <c r="AV502" s="7"/>
      <c r="AW502" s="7"/>
      <c r="AX502" s="7"/>
      <c r="AY502" s="7"/>
      <c r="AZ502" s="7"/>
      <c r="BA502" s="7"/>
      <c r="BB502" s="7"/>
      <c r="BC502" s="7"/>
      <c r="BF502" s="7"/>
      <c r="BG502" s="36"/>
      <c r="BH502" s="36"/>
      <c r="BI502" s="36"/>
      <c r="BJ502" s="36"/>
      <c r="BK502" s="36"/>
      <c r="BL502" s="36"/>
      <c r="BM502" s="36"/>
      <c r="BN502" s="36"/>
      <c r="BO502" s="36"/>
    </row>
    <row r="503" spans="1:67" x14ac:dyDescent="0.25">
      <c r="A503" s="39"/>
      <c r="B503" s="40"/>
      <c r="U503" s="36"/>
      <c r="V503" s="36"/>
      <c r="W503" s="35"/>
      <c r="X503" s="7"/>
      <c r="Y503" s="7"/>
      <c r="Z503" s="7"/>
      <c r="AA503" s="7"/>
      <c r="AB503" s="7"/>
      <c r="AC503" s="7"/>
      <c r="AD503" s="7"/>
      <c r="AE503" s="7"/>
      <c r="AG503" s="36"/>
      <c r="AH503" s="36"/>
      <c r="AI503" s="35"/>
      <c r="AJ503" s="7"/>
      <c r="AK503" s="7"/>
      <c r="AL503" s="7"/>
      <c r="AM503" s="7"/>
      <c r="AN503" s="7"/>
      <c r="AO503" s="7"/>
      <c r="AP503" s="7"/>
      <c r="AQ503" s="7"/>
      <c r="AS503" s="36"/>
      <c r="AT503" s="36"/>
      <c r="AU503" s="35"/>
      <c r="AV503" s="7"/>
      <c r="AW503" s="7"/>
      <c r="AX503" s="7"/>
      <c r="AY503" s="7"/>
      <c r="AZ503" s="7"/>
      <c r="BA503" s="7"/>
      <c r="BB503" s="7"/>
      <c r="BC503" s="7"/>
      <c r="BF503" s="7"/>
      <c r="BG503" s="36"/>
      <c r="BH503" s="36"/>
      <c r="BI503" s="36"/>
      <c r="BJ503" s="36"/>
      <c r="BK503" s="36"/>
      <c r="BL503" s="36"/>
      <c r="BM503" s="36"/>
      <c r="BN503" s="36"/>
      <c r="BO503" s="36"/>
    </row>
    <row r="504" spans="1:67" x14ac:dyDescent="0.25">
      <c r="A504" s="39"/>
      <c r="B504" s="40"/>
      <c r="U504" s="36"/>
      <c r="V504" s="36"/>
      <c r="W504" s="35"/>
      <c r="X504" s="7"/>
      <c r="Y504" s="7"/>
      <c r="Z504" s="7"/>
      <c r="AA504" s="7"/>
      <c r="AB504" s="7"/>
      <c r="AC504" s="7"/>
      <c r="AD504" s="7"/>
      <c r="AE504" s="7"/>
      <c r="AG504" s="36"/>
      <c r="AH504" s="36"/>
      <c r="AI504" s="35"/>
      <c r="AJ504" s="7"/>
      <c r="AK504" s="7"/>
      <c r="AL504" s="7"/>
      <c r="AM504" s="7"/>
      <c r="AN504" s="7"/>
      <c r="AO504" s="7"/>
      <c r="AP504" s="7"/>
      <c r="AQ504" s="7"/>
      <c r="AS504" s="36"/>
      <c r="AT504" s="36"/>
      <c r="AU504" s="35"/>
      <c r="AV504" s="7"/>
      <c r="AW504" s="7"/>
      <c r="AX504" s="7"/>
      <c r="AY504" s="7"/>
      <c r="AZ504" s="7"/>
      <c r="BA504" s="7"/>
      <c r="BB504" s="7"/>
      <c r="BC504" s="7"/>
      <c r="BF504" s="7"/>
      <c r="BG504" s="36"/>
      <c r="BH504" s="36"/>
      <c r="BI504" s="36"/>
      <c r="BJ504" s="36"/>
      <c r="BK504" s="36"/>
      <c r="BL504" s="36"/>
      <c r="BM504" s="36"/>
      <c r="BN504" s="36"/>
      <c r="BO504" s="36"/>
    </row>
    <row r="505" spans="1:67" x14ac:dyDescent="0.25">
      <c r="A505" s="39"/>
      <c r="B505" s="40"/>
      <c r="U505" s="36"/>
      <c r="V505" s="36"/>
      <c r="W505" s="35"/>
      <c r="X505" s="7"/>
      <c r="Y505" s="7"/>
      <c r="Z505" s="7"/>
      <c r="AA505" s="7"/>
      <c r="AB505" s="7"/>
      <c r="AC505" s="7"/>
      <c r="AD505" s="7"/>
      <c r="AE505" s="7"/>
      <c r="AG505" s="36"/>
      <c r="AH505" s="36"/>
      <c r="AI505" s="35"/>
      <c r="AJ505" s="7"/>
      <c r="AK505" s="7"/>
      <c r="AL505" s="7"/>
      <c r="AM505" s="7"/>
      <c r="AN505" s="7"/>
      <c r="AO505" s="7"/>
      <c r="AP505" s="7"/>
      <c r="AQ505" s="7"/>
      <c r="AS505" s="36"/>
      <c r="AT505" s="36"/>
      <c r="AU505" s="35"/>
      <c r="AV505" s="7"/>
      <c r="AW505" s="7"/>
      <c r="AX505" s="7"/>
      <c r="AY505" s="7"/>
      <c r="AZ505" s="7"/>
      <c r="BA505" s="7"/>
      <c r="BB505" s="7"/>
      <c r="BC505" s="7"/>
      <c r="BF505" s="7"/>
      <c r="BG505" s="36"/>
      <c r="BH505" s="36"/>
      <c r="BI505" s="36"/>
      <c r="BJ505" s="36"/>
      <c r="BK505" s="36"/>
      <c r="BL505" s="36"/>
      <c r="BM505" s="36"/>
      <c r="BN505" s="36"/>
      <c r="BO505" s="36"/>
    </row>
    <row r="506" spans="1:67" x14ac:dyDescent="0.25">
      <c r="A506" s="39"/>
      <c r="B506" s="40"/>
      <c r="U506" s="36"/>
      <c r="V506" s="36"/>
      <c r="W506" s="35"/>
      <c r="X506" s="7"/>
      <c r="Y506" s="7"/>
      <c r="Z506" s="7"/>
      <c r="AA506" s="7"/>
      <c r="AB506" s="7"/>
      <c r="AC506" s="7"/>
      <c r="AD506" s="7"/>
      <c r="AE506" s="7"/>
      <c r="AG506" s="36"/>
      <c r="AH506" s="36"/>
      <c r="AI506" s="35"/>
      <c r="AJ506" s="7"/>
      <c r="AK506" s="7"/>
      <c r="AL506" s="7"/>
      <c r="AM506" s="7"/>
      <c r="AN506" s="7"/>
      <c r="AO506" s="7"/>
      <c r="AP506" s="7"/>
      <c r="AQ506" s="7"/>
      <c r="AS506" s="36"/>
      <c r="AT506" s="36"/>
      <c r="AU506" s="35"/>
      <c r="AV506" s="7"/>
      <c r="AW506" s="7"/>
      <c r="AX506" s="7"/>
      <c r="AY506" s="7"/>
      <c r="AZ506" s="7"/>
      <c r="BA506" s="7"/>
      <c r="BB506" s="7"/>
      <c r="BC506" s="7"/>
      <c r="BF506" s="7"/>
      <c r="BG506" s="36"/>
      <c r="BH506" s="36"/>
      <c r="BI506" s="36"/>
      <c r="BJ506" s="36"/>
      <c r="BK506" s="36"/>
      <c r="BL506" s="36"/>
      <c r="BM506" s="36"/>
      <c r="BN506" s="36"/>
      <c r="BO506" s="36"/>
    </row>
    <row r="507" spans="1:67" x14ac:dyDescent="0.25">
      <c r="A507" s="39"/>
      <c r="B507" s="40"/>
      <c r="U507" s="36"/>
      <c r="V507" s="36"/>
      <c r="W507" s="35"/>
      <c r="X507" s="7"/>
      <c r="Y507" s="7"/>
      <c r="Z507" s="7"/>
      <c r="AA507" s="7"/>
      <c r="AB507" s="7"/>
      <c r="AC507" s="7"/>
      <c r="AD507" s="7"/>
      <c r="AE507" s="7"/>
      <c r="AG507" s="36"/>
      <c r="AH507" s="36"/>
      <c r="AI507" s="35"/>
      <c r="AJ507" s="7"/>
      <c r="AK507" s="7"/>
      <c r="AL507" s="7"/>
      <c r="AM507" s="7"/>
      <c r="AN507" s="7"/>
      <c r="AO507" s="7"/>
      <c r="AP507" s="7"/>
      <c r="AQ507" s="7"/>
      <c r="AS507" s="36"/>
      <c r="AT507" s="36"/>
      <c r="AU507" s="35"/>
      <c r="AV507" s="7"/>
      <c r="AW507" s="7"/>
      <c r="AX507" s="7"/>
      <c r="AY507" s="7"/>
      <c r="AZ507" s="7"/>
      <c r="BA507" s="7"/>
      <c r="BB507" s="7"/>
      <c r="BC507" s="7"/>
      <c r="BF507" s="7"/>
      <c r="BG507" s="36"/>
      <c r="BH507" s="36"/>
      <c r="BI507" s="36"/>
      <c r="BJ507" s="36"/>
      <c r="BK507" s="36"/>
      <c r="BL507" s="36"/>
      <c r="BM507" s="36"/>
      <c r="BN507" s="36"/>
      <c r="BO507" s="36"/>
    </row>
    <row r="508" spans="1:67" x14ac:dyDescent="0.25">
      <c r="A508" s="39"/>
      <c r="B508" s="40"/>
      <c r="U508" s="36"/>
      <c r="V508" s="36"/>
      <c r="W508" s="35"/>
      <c r="X508" s="7"/>
      <c r="Y508" s="7"/>
      <c r="Z508" s="7"/>
      <c r="AA508" s="7"/>
      <c r="AB508" s="7"/>
      <c r="AC508" s="7"/>
      <c r="AD508" s="7"/>
      <c r="AE508" s="7"/>
      <c r="AG508" s="36"/>
      <c r="AH508" s="36"/>
      <c r="AI508" s="35"/>
      <c r="AJ508" s="7"/>
      <c r="AK508" s="7"/>
      <c r="AL508" s="7"/>
      <c r="AM508" s="7"/>
      <c r="AN508" s="7"/>
      <c r="AO508" s="7"/>
      <c r="AP508" s="7"/>
      <c r="AQ508" s="7"/>
      <c r="AS508" s="36"/>
      <c r="AT508" s="36"/>
      <c r="AU508" s="35"/>
      <c r="AV508" s="7"/>
      <c r="AW508" s="7"/>
      <c r="AX508" s="7"/>
      <c r="AY508" s="7"/>
      <c r="AZ508" s="7"/>
      <c r="BA508" s="7"/>
      <c r="BB508" s="7"/>
      <c r="BC508" s="7"/>
      <c r="BF508" s="7"/>
      <c r="BG508" s="36"/>
      <c r="BH508" s="36"/>
      <c r="BI508" s="36"/>
      <c r="BJ508" s="36"/>
      <c r="BK508" s="36"/>
      <c r="BL508" s="36"/>
      <c r="BM508" s="36"/>
      <c r="BN508" s="36"/>
      <c r="BO508" s="36"/>
    </row>
    <row r="509" spans="1:67" x14ac:dyDescent="0.25">
      <c r="A509" s="39"/>
      <c r="B509" s="40"/>
      <c r="U509" s="36"/>
      <c r="V509" s="36"/>
      <c r="W509" s="35"/>
      <c r="X509" s="7"/>
      <c r="Y509" s="7"/>
      <c r="Z509" s="7"/>
      <c r="AA509" s="7"/>
      <c r="AB509" s="7"/>
      <c r="AC509" s="7"/>
      <c r="AD509" s="7"/>
      <c r="AE509" s="7"/>
      <c r="AG509" s="36"/>
      <c r="AH509" s="36"/>
      <c r="AI509" s="35"/>
      <c r="AJ509" s="7"/>
      <c r="AK509" s="7"/>
      <c r="AL509" s="7"/>
      <c r="AM509" s="7"/>
      <c r="AN509" s="7"/>
      <c r="AO509" s="7"/>
      <c r="AP509" s="7"/>
      <c r="AQ509" s="7"/>
      <c r="AS509" s="36"/>
      <c r="AT509" s="36"/>
      <c r="AU509" s="35"/>
      <c r="AV509" s="7"/>
      <c r="AW509" s="7"/>
      <c r="AX509" s="7"/>
      <c r="AY509" s="7"/>
      <c r="AZ509" s="7"/>
      <c r="BA509" s="7"/>
      <c r="BB509" s="7"/>
      <c r="BC509" s="7"/>
      <c r="BF509" s="7"/>
      <c r="BG509" s="36"/>
      <c r="BH509" s="36"/>
      <c r="BI509" s="36"/>
      <c r="BJ509" s="36"/>
      <c r="BK509" s="36"/>
      <c r="BL509" s="36"/>
      <c r="BM509" s="36"/>
      <c r="BN509" s="36"/>
      <c r="BO509" s="36"/>
    </row>
    <row r="510" spans="1:67" x14ac:dyDescent="0.25">
      <c r="A510" s="39"/>
      <c r="B510" s="40"/>
      <c r="U510" s="36"/>
      <c r="V510" s="36"/>
      <c r="W510" s="35"/>
      <c r="X510" s="7"/>
      <c r="Y510" s="7"/>
      <c r="Z510" s="7"/>
      <c r="AA510" s="7"/>
      <c r="AB510" s="7"/>
      <c r="AC510" s="7"/>
      <c r="AD510" s="7"/>
      <c r="AE510" s="7"/>
      <c r="AG510" s="36"/>
      <c r="AH510" s="36"/>
      <c r="AI510" s="35"/>
      <c r="AJ510" s="7"/>
      <c r="AK510" s="7"/>
      <c r="AL510" s="7"/>
      <c r="AM510" s="7"/>
      <c r="AN510" s="7"/>
      <c r="AO510" s="7"/>
      <c r="AP510" s="7"/>
      <c r="AQ510" s="7"/>
      <c r="AS510" s="36"/>
      <c r="AT510" s="36"/>
      <c r="AU510" s="35"/>
      <c r="AV510" s="7"/>
      <c r="AW510" s="7"/>
      <c r="AX510" s="7"/>
      <c r="AY510" s="7"/>
      <c r="AZ510" s="7"/>
      <c r="BA510" s="7"/>
      <c r="BB510" s="7"/>
      <c r="BC510" s="7"/>
      <c r="BF510" s="7"/>
      <c r="BG510" s="36"/>
      <c r="BH510" s="36"/>
      <c r="BI510" s="36"/>
      <c r="BJ510" s="36"/>
      <c r="BK510" s="36"/>
      <c r="BL510" s="36"/>
      <c r="BM510" s="36"/>
      <c r="BN510" s="36"/>
      <c r="BO510" s="36"/>
    </row>
    <row r="511" spans="1:67" x14ac:dyDescent="0.25">
      <c r="A511" s="39"/>
      <c r="B511" s="40"/>
      <c r="U511" s="36"/>
      <c r="V511" s="36"/>
      <c r="W511" s="35"/>
      <c r="X511" s="7"/>
      <c r="Y511" s="7"/>
      <c r="Z511" s="7"/>
      <c r="AA511" s="7"/>
      <c r="AB511" s="7"/>
      <c r="AC511" s="7"/>
      <c r="AD511" s="7"/>
      <c r="AE511" s="7"/>
      <c r="AG511" s="36"/>
      <c r="AH511" s="36"/>
      <c r="AI511" s="35"/>
      <c r="AJ511" s="7"/>
      <c r="AK511" s="7"/>
      <c r="AL511" s="7"/>
      <c r="AM511" s="7"/>
      <c r="AN511" s="7"/>
      <c r="AO511" s="7"/>
      <c r="AP511" s="7"/>
      <c r="AQ511" s="7"/>
      <c r="AS511" s="36"/>
      <c r="AT511" s="36"/>
      <c r="AU511" s="35"/>
      <c r="AV511" s="7"/>
      <c r="AW511" s="7"/>
      <c r="AX511" s="7"/>
      <c r="AY511" s="7"/>
      <c r="AZ511" s="7"/>
      <c r="BA511" s="7"/>
      <c r="BB511" s="7"/>
      <c r="BC511" s="7"/>
      <c r="BF511" s="7"/>
      <c r="BG511" s="36"/>
      <c r="BH511" s="36"/>
      <c r="BI511" s="36"/>
      <c r="BJ511" s="36"/>
      <c r="BK511" s="36"/>
      <c r="BL511" s="36"/>
      <c r="BM511" s="36"/>
      <c r="BN511" s="36"/>
      <c r="BO511" s="36"/>
    </row>
    <row r="512" spans="1:67" x14ac:dyDescent="0.25">
      <c r="A512" s="39"/>
      <c r="B512" s="40"/>
      <c r="U512" s="36"/>
      <c r="V512" s="36"/>
      <c r="W512" s="35"/>
      <c r="X512" s="7"/>
      <c r="Y512" s="7"/>
      <c r="Z512" s="7"/>
      <c r="AA512" s="7"/>
      <c r="AB512" s="7"/>
      <c r="AC512" s="7"/>
      <c r="AD512" s="7"/>
      <c r="AE512" s="7"/>
      <c r="AG512" s="36"/>
      <c r="AH512" s="36"/>
      <c r="AI512" s="35"/>
      <c r="AJ512" s="7"/>
      <c r="AK512" s="7"/>
      <c r="AL512" s="7"/>
      <c r="AM512" s="7"/>
      <c r="AN512" s="7"/>
      <c r="AO512" s="7"/>
      <c r="AP512" s="7"/>
      <c r="AQ512" s="7"/>
      <c r="AS512" s="36"/>
      <c r="AT512" s="36"/>
      <c r="AU512" s="35"/>
      <c r="AV512" s="7"/>
      <c r="AW512" s="7"/>
      <c r="AX512" s="7"/>
      <c r="AY512" s="7"/>
      <c r="AZ512" s="7"/>
      <c r="BA512" s="7"/>
      <c r="BB512" s="7"/>
      <c r="BC512" s="7"/>
      <c r="BF512" s="7"/>
      <c r="BG512" s="36"/>
      <c r="BH512" s="36"/>
      <c r="BI512" s="36"/>
      <c r="BJ512" s="36"/>
      <c r="BK512" s="36"/>
      <c r="BL512" s="36"/>
      <c r="BM512" s="36"/>
      <c r="BN512" s="36"/>
      <c r="BO512" s="36"/>
    </row>
    <row r="513" spans="1:67" x14ac:dyDescent="0.25">
      <c r="A513" s="39"/>
      <c r="B513" s="40"/>
      <c r="U513" s="36"/>
      <c r="V513" s="36"/>
      <c r="W513" s="35"/>
      <c r="X513" s="7"/>
      <c r="Y513" s="7"/>
      <c r="Z513" s="7"/>
      <c r="AA513" s="7"/>
      <c r="AB513" s="7"/>
      <c r="AC513" s="7"/>
      <c r="AD513" s="7"/>
      <c r="AE513" s="7"/>
      <c r="AG513" s="36"/>
      <c r="AH513" s="36"/>
      <c r="AI513" s="35"/>
      <c r="AJ513" s="7"/>
      <c r="AK513" s="7"/>
      <c r="AL513" s="7"/>
      <c r="AM513" s="7"/>
      <c r="AN513" s="7"/>
      <c r="AO513" s="7"/>
      <c r="AP513" s="7"/>
      <c r="AQ513" s="7"/>
      <c r="AS513" s="36"/>
      <c r="AT513" s="36"/>
      <c r="AU513" s="35"/>
      <c r="AV513" s="7"/>
      <c r="AW513" s="7"/>
      <c r="AX513" s="7"/>
      <c r="AY513" s="7"/>
      <c r="AZ513" s="7"/>
      <c r="BA513" s="7"/>
      <c r="BB513" s="7"/>
      <c r="BC513" s="7"/>
      <c r="BF513" s="7"/>
      <c r="BG513" s="36"/>
      <c r="BH513" s="36"/>
      <c r="BI513" s="36"/>
      <c r="BJ513" s="36"/>
      <c r="BK513" s="36"/>
      <c r="BL513" s="36"/>
      <c r="BM513" s="36"/>
      <c r="BN513" s="36"/>
      <c r="BO513" s="36"/>
    </row>
    <row r="514" spans="1:67" x14ac:dyDescent="0.25">
      <c r="A514" s="39"/>
      <c r="B514" s="40"/>
      <c r="U514" s="36"/>
      <c r="V514" s="36"/>
      <c r="W514" s="35"/>
      <c r="X514" s="7"/>
      <c r="Y514" s="7"/>
      <c r="Z514" s="7"/>
      <c r="AA514" s="7"/>
      <c r="AB514" s="7"/>
      <c r="AC514" s="7"/>
      <c r="AD514" s="7"/>
      <c r="AE514" s="7"/>
      <c r="AG514" s="36"/>
      <c r="AH514" s="36"/>
      <c r="AI514" s="35"/>
      <c r="AJ514" s="7"/>
      <c r="AK514" s="7"/>
      <c r="AL514" s="7"/>
      <c r="AM514" s="7"/>
      <c r="AN514" s="7"/>
      <c r="AO514" s="7"/>
      <c r="AP514" s="7"/>
      <c r="AQ514" s="7"/>
      <c r="AS514" s="36"/>
      <c r="AT514" s="36"/>
      <c r="AU514" s="35"/>
      <c r="AV514" s="7"/>
      <c r="AW514" s="7"/>
      <c r="AX514" s="7"/>
      <c r="AY514" s="7"/>
      <c r="AZ514" s="7"/>
      <c r="BA514" s="7"/>
      <c r="BB514" s="7"/>
      <c r="BC514" s="7"/>
      <c r="BF514" s="7"/>
      <c r="BG514" s="36"/>
      <c r="BH514" s="36"/>
      <c r="BI514" s="36"/>
      <c r="BJ514" s="36"/>
      <c r="BK514" s="36"/>
      <c r="BL514" s="36"/>
      <c r="BM514" s="36"/>
      <c r="BN514" s="36"/>
      <c r="BO514" s="36"/>
    </row>
    <row r="515" spans="1:67" x14ac:dyDescent="0.25">
      <c r="A515" s="39"/>
      <c r="B515" s="40"/>
      <c r="U515" s="36"/>
      <c r="V515" s="36"/>
      <c r="W515" s="35"/>
      <c r="X515" s="7"/>
      <c r="Y515" s="7"/>
      <c r="Z515" s="7"/>
      <c r="AA515" s="7"/>
      <c r="AB515" s="7"/>
      <c r="AC515" s="7"/>
      <c r="AD515" s="7"/>
      <c r="AE515" s="7"/>
      <c r="AG515" s="36"/>
      <c r="AH515" s="36"/>
      <c r="AI515" s="35"/>
      <c r="AJ515" s="7"/>
      <c r="AK515" s="7"/>
      <c r="AL515" s="7"/>
      <c r="AM515" s="7"/>
      <c r="AN515" s="7"/>
      <c r="AO515" s="7"/>
      <c r="AP515" s="7"/>
      <c r="AQ515" s="7"/>
      <c r="AS515" s="36"/>
      <c r="AT515" s="36"/>
      <c r="AU515" s="35"/>
      <c r="AV515" s="7"/>
      <c r="AW515" s="7"/>
      <c r="AX515" s="7"/>
      <c r="AY515" s="7"/>
      <c r="AZ515" s="7"/>
      <c r="BA515" s="7"/>
      <c r="BB515" s="7"/>
      <c r="BC515" s="7"/>
      <c r="BF515" s="7"/>
      <c r="BG515" s="36"/>
      <c r="BH515" s="36"/>
      <c r="BI515" s="36"/>
      <c r="BJ515" s="36"/>
      <c r="BK515" s="36"/>
      <c r="BL515" s="36"/>
      <c r="BM515" s="36"/>
      <c r="BN515" s="36"/>
      <c r="BO515" s="36"/>
    </row>
    <row r="516" spans="1:67" x14ac:dyDescent="0.25">
      <c r="A516" s="39"/>
      <c r="B516" s="40"/>
      <c r="U516" s="36"/>
      <c r="V516" s="36"/>
      <c r="W516" s="35"/>
      <c r="X516" s="7"/>
      <c r="Y516" s="7"/>
      <c r="Z516" s="7"/>
      <c r="AA516" s="7"/>
      <c r="AB516" s="7"/>
      <c r="AC516" s="7"/>
      <c r="AD516" s="7"/>
      <c r="AE516" s="7"/>
      <c r="AG516" s="36"/>
      <c r="AH516" s="36"/>
      <c r="AI516" s="35"/>
      <c r="AJ516" s="7"/>
      <c r="AK516" s="7"/>
      <c r="AL516" s="7"/>
      <c r="AM516" s="7"/>
      <c r="AN516" s="7"/>
      <c r="AO516" s="7"/>
      <c r="AP516" s="7"/>
      <c r="AQ516" s="7"/>
      <c r="AS516" s="36"/>
      <c r="AT516" s="36"/>
      <c r="AU516" s="35"/>
      <c r="AV516" s="7"/>
      <c r="AW516" s="7"/>
      <c r="AX516" s="7"/>
      <c r="AY516" s="7"/>
      <c r="AZ516" s="7"/>
      <c r="BA516" s="7"/>
      <c r="BB516" s="7"/>
      <c r="BC516" s="7"/>
      <c r="BF516" s="7"/>
      <c r="BG516" s="36"/>
      <c r="BH516" s="36"/>
      <c r="BI516" s="36"/>
      <c r="BJ516" s="36"/>
      <c r="BK516" s="36"/>
      <c r="BL516" s="36"/>
      <c r="BM516" s="36"/>
      <c r="BN516" s="36"/>
      <c r="BO516" s="36"/>
    </row>
    <row r="517" spans="1:67" x14ac:dyDescent="0.25">
      <c r="A517" s="39"/>
      <c r="B517" s="40"/>
      <c r="U517" s="36"/>
      <c r="V517" s="36"/>
      <c r="W517" s="35"/>
      <c r="X517" s="7"/>
      <c r="Y517" s="7"/>
      <c r="Z517" s="7"/>
      <c r="AA517" s="7"/>
      <c r="AB517" s="7"/>
      <c r="AC517" s="7"/>
      <c r="AD517" s="7"/>
      <c r="AE517" s="7"/>
      <c r="AG517" s="36"/>
      <c r="AH517" s="36"/>
      <c r="AI517" s="35"/>
      <c r="AJ517" s="7"/>
      <c r="AK517" s="7"/>
      <c r="AL517" s="7"/>
      <c r="AM517" s="7"/>
      <c r="AN517" s="7"/>
      <c r="AO517" s="7"/>
      <c r="AP517" s="7"/>
      <c r="AQ517" s="7"/>
      <c r="AS517" s="36"/>
      <c r="AT517" s="36"/>
      <c r="AU517" s="35"/>
      <c r="AV517" s="7"/>
      <c r="AW517" s="7"/>
      <c r="AX517" s="7"/>
      <c r="AY517" s="7"/>
      <c r="AZ517" s="7"/>
      <c r="BA517" s="7"/>
      <c r="BB517" s="7"/>
      <c r="BC517" s="7"/>
      <c r="BF517" s="7"/>
      <c r="BG517" s="36"/>
      <c r="BH517" s="36"/>
      <c r="BI517" s="36"/>
      <c r="BJ517" s="36"/>
      <c r="BK517" s="36"/>
      <c r="BL517" s="36"/>
      <c r="BM517" s="36"/>
      <c r="BN517" s="36"/>
      <c r="BO517" s="36"/>
    </row>
    <row r="518" spans="1:67" x14ac:dyDescent="0.25">
      <c r="A518" s="39"/>
      <c r="B518" s="40"/>
      <c r="U518" s="36"/>
      <c r="V518" s="36"/>
      <c r="W518" s="35"/>
      <c r="X518" s="7"/>
      <c r="Y518" s="7"/>
      <c r="Z518" s="7"/>
      <c r="AA518" s="7"/>
      <c r="AB518" s="7"/>
      <c r="AC518" s="7"/>
      <c r="AD518" s="7"/>
      <c r="AE518" s="7"/>
      <c r="AG518" s="36"/>
      <c r="AH518" s="36"/>
      <c r="AI518" s="35"/>
      <c r="AJ518" s="7"/>
      <c r="AK518" s="7"/>
      <c r="AL518" s="7"/>
      <c r="AM518" s="7"/>
      <c r="AN518" s="7"/>
      <c r="AO518" s="7"/>
      <c r="AP518" s="7"/>
      <c r="AQ518" s="7"/>
      <c r="AS518" s="36"/>
      <c r="AT518" s="36"/>
      <c r="AU518" s="35"/>
      <c r="AV518" s="7"/>
      <c r="AW518" s="7"/>
      <c r="AX518" s="7"/>
      <c r="AY518" s="7"/>
      <c r="AZ518" s="7"/>
      <c r="BA518" s="7"/>
      <c r="BB518" s="7"/>
      <c r="BC518" s="7"/>
      <c r="BF518" s="7"/>
      <c r="BG518" s="36"/>
      <c r="BH518" s="36"/>
      <c r="BI518" s="36"/>
      <c r="BJ518" s="36"/>
      <c r="BK518" s="36"/>
      <c r="BL518" s="36"/>
      <c r="BM518" s="36"/>
      <c r="BN518" s="36"/>
      <c r="BO518" s="36"/>
    </row>
    <row r="519" spans="1:67" x14ac:dyDescent="0.25">
      <c r="A519" s="39"/>
      <c r="B519" s="40"/>
      <c r="U519" s="36"/>
      <c r="V519" s="36"/>
      <c r="W519" s="35"/>
      <c r="X519" s="7"/>
      <c r="Y519" s="7"/>
      <c r="Z519" s="7"/>
      <c r="AA519" s="7"/>
      <c r="AB519" s="7"/>
      <c r="AC519" s="7"/>
      <c r="AD519" s="7"/>
      <c r="AE519" s="7"/>
      <c r="AG519" s="36"/>
      <c r="AH519" s="36"/>
      <c r="AI519" s="35"/>
      <c r="AJ519" s="7"/>
      <c r="AK519" s="7"/>
      <c r="AL519" s="7"/>
      <c r="AM519" s="7"/>
      <c r="AN519" s="7"/>
      <c r="AO519" s="7"/>
      <c r="AP519" s="7"/>
      <c r="AQ519" s="7"/>
      <c r="AS519" s="36"/>
      <c r="AT519" s="36"/>
      <c r="AU519" s="35"/>
      <c r="AV519" s="7"/>
      <c r="AW519" s="7"/>
      <c r="AX519" s="7"/>
      <c r="AY519" s="7"/>
      <c r="AZ519" s="7"/>
      <c r="BA519" s="7"/>
      <c r="BB519" s="7"/>
      <c r="BC519" s="7"/>
      <c r="BF519" s="7"/>
      <c r="BG519" s="36"/>
      <c r="BH519" s="36"/>
      <c r="BI519" s="36"/>
      <c r="BJ519" s="36"/>
      <c r="BK519" s="36"/>
      <c r="BL519" s="36"/>
      <c r="BM519" s="36"/>
      <c r="BN519" s="36"/>
      <c r="BO519" s="36"/>
    </row>
    <row r="520" spans="1:67" x14ac:dyDescent="0.25">
      <c r="A520" s="39"/>
      <c r="B520" s="40"/>
      <c r="U520" s="36"/>
      <c r="V520" s="36"/>
      <c r="W520" s="35"/>
      <c r="X520" s="7"/>
      <c r="Y520" s="7"/>
      <c r="Z520" s="7"/>
      <c r="AA520" s="7"/>
      <c r="AB520" s="7"/>
      <c r="AC520" s="7"/>
      <c r="AD520" s="7"/>
      <c r="AE520" s="7"/>
      <c r="AG520" s="36"/>
      <c r="AH520" s="36"/>
      <c r="AI520" s="35"/>
      <c r="AJ520" s="7"/>
      <c r="AK520" s="7"/>
      <c r="AL520" s="7"/>
      <c r="AM520" s="7"/>
      <c r="AN520" s="7"/>
      <c r="AO520" s="7"/>
      <c r="AP520" s="7"/>
      <c r="AQ520" s="7"/>
      <c r="AS520" s="36"/>
      <c r="AT520" s="36"/>
      <c r="AU520" s="35"/>
      <c r="AV520" s="7"/>
      <c r="AW520" s="7"/>
      <c r="AX520" s="7"/>
      <c r="AY520" s="7"/>
      <c r="AZ520" s="7"/>
      <c r="BA520" s="7"/>
      <c r="BB520" s="7"/>
      <c r="BC520" s="7"/>
      <c r="BF520" s="7"/>
      <c r="BG520" s="36"/>
      <c r="BH520" s="36"/>
      <c r="BI520" s="36"/>
      <c r="BJ520" s="36"/>
      <c r="BK520" s="36"/>
      <c r="BL520" s="36"/>
      <c r="BM520" s="36"/>
      <c r="BN520" s="36"/>
      <c r="BO520" s="36"/>
    </row>
    <row r="521" spans="1:67" x14ac:dyDescent="0.25">
      <c r="A521" s="39"/>
      <c r="B521" s="40"/>
      <c r="U521" s="36"/>
      <c r="V521" s="36"/>
      <c r="W521" s="35"/>
      <c r="X521" s="7"/>
      <c r="Y521" s="7"/>
      <c r="Z521" s="7"/>
      <c r="AA521" s="7"/>
      <c r="AB521" s="7"/>
      <c r="AC521" s="7"/>
      <c r="AD521" s="7"/>
      <c r="AE521" s="7"/>
      <c r="AG521" s="36"/>
      <c r="AH521" s="36"/>
      <c r="AI521" s="35"/>
      <c r="AJ521" s="7"/>
      <c r="AK521" s="7"/>
      <c r="AL521" s="7"/>
      <c r="AM521" s="7"/>
      <c r="AN521" s="7"/>
      <c r="AO521" s="7"/>
      <c r="AP521" s="7"/>
      <c r="AQ521" s="7"/>
      <c r="AS521" s="36"/>
      <c r="AT521" s="36"/>
      <c r="AU521" s="35"/>
      <c r="AV521" s="7"/>
      <c r="AW521" s="7"/>
      <c r="AX521" s="7"/>
      <c r="AY521" s="7"/>
      <c r="AZ521" s="7"/>
      <c r="BA521" s="7"/>
      <c r="BB521" s="7"/>
      <c r="BC521" s="7"/>
      <c r="BF521" s="7"/>
      <c r="BG521" s="36"/>
      <c r="BH521" s="36"/>
      <c r="BI521" s="36"/>
      <c r="BJ521" s="36"/>
      <c r="BK521" s="36"/>
      <c r="BL521" s="36"/>
      <c r="BM521" s="36"/>
      <c r="BN521" s="36"/>
      <c r="BO521" s="36"/>
    </row>
    <row r="522" spans="1:67" x14ac:dyDescent="0.25">
      <c r="A522" s="39"/>
      <c r="B522" s="40"/>
      <c r="U522" s="36"/>
      <c r="V522" s="36"/>
      <c r="W522" s="35"/>
      <c r="X522" s="7"/>
      <c r="Y522" s="7"/>
      <c r="Z522" s="7"/>
      <c r="AA522" s="7"/>
      <c r="AB522" s="7"/>
      <c r="AC522" s="7"/>
      <c r="AD522" s="7"/>
      <c r="AE522" s="7"/>
      <c r="AG522" s="36"/>
      <c r="AH522" s="36"/>
      <c r="AI522" s="35"/>
      <c r="AJ522" s="7"/>
      <c r="AK522" s="7"/>
      <c r="AL522" s="7"/>
      <c r="AM522" s="7"/>
      <c r="AN522" s="7"/>
      <c r="AO522" s="7"/>
      <c r="AP522" s="7"/>
      <c r="AQ522" s="7"/>
      <c r="AS522" s="36"/>
      <c r="AT522" s="36"/>
      <c r="AU522" s="35"/>
      <c r="AV522" s="7"/>
      <c r="AW522" s="7"/>
      <c r="AX522" s="7"/>
      <c r="AY522" s="7"/>
      <c r="AZ522" s="7"/>
      <c r="BA522" s="7"/>
      <c r="BB522" s="7"/>
      <c r="BC522" s="7"/>
      <c r="BF522" s="7"/>
      <c r="BG522" s="36"/>
      <c r="BH522" s="36"/>
      <c r="BI522" s="36"/>
      <c r="BJ522" s="36"/>
      <c r="BK522" s="36"/>
      <c r="BL522" s="36"/>
      <c r="BM522" s="36"/>
      <c r="BN522" s="36"/>
      <c r="BO522" s="36"/>
    </row>
    <row r="523" spans="1:67" x14ac:dyDescent="0.25">
      <c r="A523" s="39"/>
      <c r="B523" s="40"/>
      <c r="U523" s="36"/>
      <c r="V523" s="36"/>
      <c r="W523" s="35"/>
      <c r="X523" s="7"/>
      <c r="Y523" s="7"/>
      <c r="Z523" s="7"/>
      <c r="AA523" s="7"/>
      <c r="AB523" s="7"/>
      <c r="AC523" s="7"/>
      <c r="AD523" s="7"/>
      <c r="AE523" s="7"/>
      <c r="AG523" s="36"/>
      <c r="AH523" s="36"/>
      <c r="AI523" s="35"/>
      <c r="AJ523" s="7"/>
      <c r="AK523" s="7"/>
      <c r="AL523" s="7"/>
      <c r="AM523" s="7"/>
      <c r="AN523" s="7"/>
      <c r="AO523" s="7"/>
      <c r="AP523" s="7"/>
      <c r="AQ523" s="7"/>
      <c r="AS523" s="36"/>
      <c r="AT523" s="36"/>
      <c r="AU523" s="35"/>
      <c r="AV523" s="7"/>
      <c r="AW523" s="7"/>
      <c r="AX523" s="7"/>
      <c r="AY523" s="7"/>
      <c r="AZ523" s="7"/>
      <c r="BA523" s="7"/>
      <c r="BB523" s="7"/>
      <c r="BC523" s="7"/>
      <c r="BF523" s="7"/>
      <c r="BG523" s="36"/>
      <c r="BH523" s="36"/>
      <c r="BI523" s="36"/>
      <c r="BJ523" s="36"/>
      <c r="BK523" s="36"/>
      <c r="BL523" s="36"/>
      <c r="BM523" s="36"/>
      <c r="BN523" s="36"/>
      <c r="BO523" s="36"/>
    </row>
    <row r="524" spans="1:67" x14ac:dyDescent="0.25">
      <c r="A524" s="39"/>
      <c r="B524" s="40"/>
      <c r="U524" s="36"/>
      <c r="V524" s="36"/>
      <c r="W524" s="35"/>
      <c r="X524" s="7"/>
      <c r="Y524" s="7"/>
      <c r="Z524" s="7"/>
      <c r="AA524" s="7"/>
      <c r="AB524" s="7"/>
      <c r="AC524" s="7"/>
      <c r="AD524" s="7"/>
      <c r="AE524" s="7"/>
      <c r="AG524" s="36"/>
      <c r="AH524" s="36"/>
      <c r="AI524" s="35"/>
      <c r="AJ524" s="7"/>
      <c r="AK524" s="7"/>
      <c r="AL524" s="7"/>
      <c r="AM524" s="7"/>
      <c r="AN524" s="7"/>
      <c r="AO524" s="7"/>
      <c r="AP524" s="7"/>
      <c r="AQ524" s="7"/>
      <c r="AS524" s="36"/>
      <c r="AT524" s="36"/>
      <c r="AU524" s="35"/>
      <c r="AV524" s="7"/>
      <c r="AW524" s="7"/>
      <c r="AX524" s="7"/>
      <c r="AY524" s="7"/>
      <c r="AZ524" s="7"/>
      <c r="BA524" s="7"/>
      <c r="BB524" s="7"/>
      <c r="BC524" s="7"/>
      <c r="BF524" s="7"/>
      <c r="BG524" s="36"/>
      <c r="BH524" s="36"/>
      <c r="BI524" s="36"/>
      <c r="BJ524" s="36"/>
      <c r="BK524" s="36"/>
      <c r="BL524" s="36"/>
      <c r="BM524" s="36"/>
      <c r="BN524" s="36"/>
      <c r="BO524" s="36"/>
    </row>
    <row r="525" spans="1:67" x14ac:dyDescent="0.25">
      <c r="A525" s="39"/>
      <c r="B525" s="40"/>
      <c r="U525" s="36"/>
      <c r="V525" s="36"/>
      <c r="W525" s="35"/>
      <c r="X525" s="7"/>
      <c r="Y525" s="7"/>
      <c r="Z525" s="7"/>
      <c r="AA525" s="7"/>
      <c r="AB525" s="7"/>
      <c r="AC525" s="7"/>
      <c r="AD525" s="7"/>
      <c r="AE525" s="7"/>
      <c r="AG525" s="36"/>
      <c r="AH525" s="36"/>
      <c r="AI525" s="35"/>
      <c r="AJ525" s="7"/>
      <c r="AK525" s="7"/>
      <c r="AL525" s="7"/>
      <c r="AM525" s="7"/>
      <c r="AN525" s="7"/>
      <c r="AO525" s="7"/>
      <c r="AP525" s="7"/>
      <c r="AQ525" s="7"/>
      <c r="AS525" s="36"/>
      <c r="AT525" s="36"/>
      <c r="AU525" s="35"/>
      <c r="AV525" s="7"/>
      <c r="AW525" s="7"/>
      <c r="AX525" s="7"/>
      <c r="AY525" s="7"/>
      <c r="AZ525" s="7"/>
      <c r="BA525" s="7"/>
      <c r="BB525" s="7"/>
      <c r="BC525" s="7"/>
      <c r="BF525" s="7"/>
      <c r="BG525" s="36"/>
      <c r="BH525" s="36"/>
      <c r="BI525" s="36"/>
      <c r="BJ525" s="36"/>
      <c r="BK525" s="36"/>
      <c r="BL525" s="36"/>
      <c r="BM525" s="36"/>
      <c r="BN525" s="36"/>
      <c r="BO525" s="36"/>
    </row>
    <row r="526" spans="1:67" x14ac:dyDescent="0.25">
      <c r="A526" s="39"/>
      <c r="B526" s="40"/>
      <c r="U526" s="36"/>
      <c r="V526" s="36"/>
      <c r="W526" s="35"/>
      <c r="X526" s="7"/>
      <c r="Y526" s="7"/>
      <c r="Z526" s="7"/>
      <c r="AA526" s="7"/>
      <c r="AB526" s="7"/>
      <c r="AC526" s="7"/>
      <c r="AD526" s="7"/>
      <c r="AE526" s="7"/>
      <c r="AG526" s="36"/>
      <c r="AH526" s="36"/>
      <c r="AI526" s="35"/>
      <c r="AJ526" s="7"/>
      <c r="AK526" s="7"/>
      <c r="AL526" s="7"/>
      <c r="AM526" s="7"/>
      <c r="AN526" s="7"/>
      <c r="AO526" s="7"/>
      <c r="AP526" s="7"/>
      <c r="AQ526" s="7"/>
      <c r="AS526" s="36"/>
      <c r="AT526" s="36"/>
      <c r="AU526" s="35"/>
      <c r="AV526" s="7"/>
      <c r="AW526" s="7"/>
      <c r="AX526" s="7"/>
      <c r="AY526" s="7"/>
      <c r="AZ526" s="7"/>
      <c r="BA526" s="7"/>
      <c r="BB526" s="7"/>
      <c r="BC526" s="7"/>
      <c r="BF526" s="7"/>
      <c r="BG526" s="36"/>
      <c r="BH526" s="36"/>
      <c r="BI526" s="36"/>
      <c r="BJ526" s="36"/>
      <c r="BK526" s="36"/>
      <c r="BL526" s="36"/>
      <c r="BM526" s="36"/>
      <c r="BN526" s="36"/>
      <c r="BO526" s="36"/>
    </row>
    <row r="527" spans="1:67" x14ac:dyDescent="0.25">
      <c r="A527" s="39"/>
      <c r="B527" s="40"/>
      <c r="U527" s="36"/>
      <c r="V527" s="36"/>
      <c r="W527" s="35"/>
      <c r="X527" s="7"/>
      <c r="Y527" s="7"/>
      <c r="Z527" s="7"/>
      <c r="AA527" s="7"/>
      <c r="AB527" s="7"/>
      <c r="AC527" s="7"/>
      <c r="AD527" s="7"/>
      <c r="AE527" s="7"/>
      <c r="AG527" s="36"/>
      <c r="AH527" s="36"/>
      <c r="AI527" s="35"/>
      <c r="AJ527" s="7"/>
      <c r="AK527" s="7"/>
      <c r="AL527" s="7"/>
      <c r="AM527" s="7"/>
      <c r="AN527" s="7"/>
      <c r="AO527" s="7"/>
      <c r="AP527" s="7"/>
      <c r="AQ527" s="7"/>
      <c r="AS527" s="36"/>
      <c r="AT527" s="36"/>
      <c r="AU527" s="35"/>
      <c r="AV527" s="7"/>
      <c r="AW527" s="7"/>
      <c r="AX527" s="7"/>
      <c r="AY527" s="7"/>
      <c r="AZ527" s="7"/>
      <c r="BA527" s="7"/>
      <c r="BB527" s="7"/>
      <c r="BC527" s="7"/>
      <c r="BF527" s="7"/>
      <c r="BG527" s="36"/>
      <c r="BH527" s="36"/>
      <c r="BI527" s="36"/>
      <c r="BJ527" s="36"/>
      <c r="BK527" s="36"/>
      <c r="BL527" s="36"/>
      <c r="BM527" s="36"/>
      <c r="BN527" s="36"/>
      <c r="BO527" s="36"/>
    </row>
    <row r="528" spans="1:67" x14ac:dyDescent="0.25">
      <c r="A528" s="39"/>
      <c r="B528" s="40"/>
      <c r="U528" s="36"/>
      <c r="V528" s="36"/>
      <c r="W528" s="35"/>
      <c r="X528" s="7"/>
      <c r="Y528" s="7"/>
      <c r="Z528" s="7"/>
      <c r="AA528" s="7"/>
      <c r="AB528" s="7"/>
      <c r="AC528" s="7"/>
      <c r="AD528" s="7"/>
      <c r="AE528" s="7"/>
      <c r="AG528" s="36"/>
      <c r="AH528" s="36"/>
      <c r="AI528" s="35"/>
      <c r="AJ528" s="7"/>
      <c r="AK528" s="7"/>
      <c r="AL528" s="7"/>
      <c r="AM528" s="7"/>
      <c r="AN528" s="7"/>
      <c r="AO528" s="7"/>
      <c r="AP528" s="7"/>
      <c r="AQ528" s="7"/>
      <c r="AS528" s="36"/>
      <c r="AT528" s="36"/>
      <c r="AU528" s="35"/>
      <c r="AV528" s="7"/>
      <c r="AW528" s="7"/>
      <c r="AX528" s="7"/>
      <c r="AY528" s="7"/>
      <c r="AZ528" s="7"/>
      <c r="BA528" s="7"/>
      <c r="BB528" s="7"/>
      <c r="BC528" s="7"/>
      <c r="BF528" s="7"/>
      <c r="BG528" s="36"/>
      <c r="BH528" s="36"/>
      <c r="BI528" s="36"/>
      <c r="BJ528" s="36"/>
      <c r="BK528" s="36"/>
      <c r="BL528" s="36"/>
      <c r="BM528" s="36"/>
      <c r="BN528" s="36"/>
      <c r="BO528" s="36"/>
    </row>
    <row r="529" spans="1:67" x14ac:dyDescent="0.25">
      <c r="A529" s="39"/>
      <c r="B529" s="40"/>
      <c r="U529" s="36"/>
      <c r="V529" s="36"/>
      <c r="W529" s="35"/>
      <c r="X529" s="7"/>
      <c r="Y529" s="7"/>
      <c r="Z529" s="7"/>
      <c r="AA529" s="7"/>
      <c r="AB529" s="7"/>
      <c r="AC529" s="7"/>
      <c r="AD529" s="7"/>
      <c r="AE529" s="7"/>
      <c r="AG529" s="36"/>
      <c r="AH529" s="36"/>
      <c r="AI529" s="35"/>
      <c r="AJ529" s="7"/>
      <c r="AK529" s="7"/>
      <c r="AL529" s="7"/>
      <c r="AM529" s="7"/>
      <c r="AN529" s="7"/>
      <c r="AO529" s="7"/>
      <c r="AP529" s="7"/>
      <c r="AQ529" s="7"/>
      <c r="AS529" s="36"/>
      <c r="AT529" s="36"/>
      <c r="AU529" s="35"/>
      <c r="AV529" s="7"/>
      <c r="AW529" s="7"/>
      <c r="AX529" s="7"/>
      <c r="AY529" s="7"/>
      <c r="AZ529" s="7"/>
      <c r="BA529" s="7"/>
      <c r="BB529" s="7"/>
      <c r="BC529" s="7"/>
      <c r="BF529" s="7"/>
      <c r="BG529" s="36"/>
      <c r="BH529" s="36"/>
      <c r="BI529" s="36"/>
      <c r="BJ529" s="36"/>
      <c r="BK529" s="36"/>
      <c r="BL529" s="36"/>
      <c r="BM529" s="36"/>
      <c r="BN529" s="36"/>
      <c r="BO529" s="36"/>
    </row>
    <row r="530" spans="1:67" x14ac:dyDescent="0.25">
      <c r="A530" s="39"/>
      <c r="B530" s="40"/>
      <c r="U530" s="36"/>
      <c r="V530" s="36"/>
      <c r="W530" s="35"/>
      <c r="X530" s="7"/>
      <c r="Y530" s="7"/>
      <c r="Z530" s="7"/>
      <c r="AA530" s="7"/>
      <c r="AB530" s="7"/>
      <c r="AC530" s="7"/>
      <c r="AD530" s="7"/>
      <c r="AE530" s="7"/>
      <c r="AG530" s="36"/>
      <c r="AH530" s="36"/>
      <c r="AI530" s="35"/>
      <c r="AJ530" s="7"/>
      <c r="AK530" s="7"/>
      <c r="AL530" s="7"/>
      <c r="AM530" s="7"/>
      <c r="AN530" s="7"/>
      <c r="AO530" s="7"/>
      <c r="AP530" s="7"/>
      <c r="AQ530" s="7"/>
      <c r="AS530" s="36"/>
      <c r="AT530" s="36"/>
      <c r="AU530" s="35"/>
      <c r="AV530" s="7"/>
      <c r="AW530" s="7"/>
      <c r="AX530" s="7"/>
      <c r="AY530" s="7"/>
      <c r="AZ530" s="7"/>
      <c r="BA530" s="7"/>
      <c r="BB530" s="7"/>
      <c r="BC530" s="7"/>
      <c r="BF530" s="7"/>
      <c r="BG530" s="36"/>
      <c r="BH530" s="36"/>
      <c r="BI530" s="36"/>
      <c r="BJ530" s="36"/>
      <c r="BK530" s="36"/>
      <c r="BL530" s="36"/>
      <c r="BM530" s="36"/>
      <c r="BN530" s="36"/>
      <c r="BO530" s="36"/>
    </row>
    <row r="531" spans="1:67" x14ac:dyDescent="0.25">
      <c r="A531" s="39"/>
      <c r="B531" s="40"/>
      <c r="U531" s="36"/>
      <c r="V531" s="36"/>
      <c r="W531" s="35"/>
      <c r="X531" s="7"/>
      <c r="Y531" s="7"/>
      <c r="Z531" s="7"/>
      <c r="AA531" s="7"/>
      <c r="AB531" s="7"/>
      <c r="AC531" s="7"/>
      <c r="AD531" s="7"/>
      <c r="AE531" s="7"/>
      <c r="AG531" s="36"/>
      <c r="AH531" s="36"/>
      <c r="AI531" s="35"/>
      <c r="AJ531" s="7"/>
      <c r="AK531" s="7"/>
      <c r="AL531" s="7"/>
      <c r="AM531" s="7"/>
      <c r="AN531" s="7"/>
      <c r="AO531" s="7"/>
      <c r="AP531" s="7"/>
      <c r="AQ531" s="7"/>
      <c r="AS531" s="36"/>
      <c r="AT531" s="36"/>
      <c r="AU531" s="35"/>
      <c r="AV531" s="7"/>
      <c r="AW531" s="7"/>
      <c r="AX531" s="7"/>
      <c r="AY531" s="7"/>
      <c r="AZ531" s="7"/>
      <c r="BA531" s="7"/>
      <c r="BB531" s="7"/>
      <c r="BC531" s="7"/>
      <c r="BF531" s="7"/>
      <c r="BG531" s="36"/>
      <c r="BH531" s="36"/>
      <c r="BI531" s="36"/>
      <c r="BJ531" s="36"/>
      <c r="BK531" s="36"/>
      <c r="BL531" s="36"/>
      <c r="BM531" s="36"/>
      <c r="BN531" s="36"/>
      <c r="BO531" s="36"/>
    </row>
    <row r="532" spans="1:67" x14ac:dyDescent="0.25">
      <c r="A532" s="39"/>
      <c r="B532" s="40"/>
      <c r="U532" s="36"/>
      <c r="V532" s="36"/>
      <c r="W532" s="35"/>
      <c r="X532" s="7"/>
      <c r="Y532" s="7"/>
      <c r="Z532" s="7"/>
      <c r="AA532" s="7"/>
      <c r="AB532" s="7"/>
      <c r="AC532" s="7"/>
      <c r="AD532" s="7"/>
      <c r="AE532" s="7"/>
      <c r="AG532" s="36"/>
      <c r="AH532" s="36"/>
      <c r="AI532" s="35"/>
      <c r="AJ532" s="7"/>
      <c r="AK532" s="7"/>
      <c r="AL532" s="7"/>
      <c r="AM532" s="7"/>
      <c r="AN532" s="7"/>
      <c r="AO532" s="7"/>
      <c r="AP532" s="7"/>
      <c r="AQ532" s="7"/>
      <c r="AS532" s="36"/>
      <c r="AT532" s="36"/>
      <c r="AU532" s="35"/>
      <c r="AV532" s="7"/>
      <c r="AW532" s="7"/>
      <c r="AX532" s="7"/>
      <c r="AY532" s="7"/>
      <c r="AZ532" s="7"/>
      <c r="BA532" s="7"/>
      <c r="BB532" s="7"/>
      <c r="BC532" s="7"/>
      <c r="BF532" s="7"/>
      <c r="BG532" s="36"/>
      <c r="BH532" s="36"/>
      <c r="BI532" s="36"/>
      <c r="BJ532" s="36"/>
      <c r="BK532" s="36"/>
      <c r="BL532" s="36"/>
      <c r="BM532" s="36"/>
      <c r="BN532" s="36"/>
      <c r="BO532" s="36"/>
    </row>
    <row r="533" spans="1:67" x14ac:dyDescent="0.25">
      <c r="A533" s="39"/>
      <c r="B533" s="40"/>
      <c r="U533" s="36"/>
      <c r="V533" s="36"/>
      <c r="W533" s="35"/>
      <c r="X533" s="7"/>
      <c r="Y533" s="7"/>
      <c r="Z533" s="7"/>
      <c r="AA533" s="7"/>
      <c r="AB533" s="7"/>
      <c r="AC533" s="7"/>
      <c r="AD533" s="7"/>
      <c r="AE533" s="7"/>
      <c r="AG533" s="36"/>
      <c r="AH533" s="36"/>
      <c r="AI533" s="35"/>
      <c r="AJ533" s="7"/>
      <c r="AK533" s="7"/>
      <c r="AL533" s="7"/>
      <c r="AM533" s="7"/>
      <c r="AN533" s="7"/>
      <c r="AO533" s="7"/>
      <c r="AP533" s="7"/>
      <c r="AQ533" s="7"/>
      <c r="AS533" s="36"/>
      <c r="AT533" s="36"/>
      <c r="AU533" s="35"/>
      <c r="AV533" s="7"/>
      <c r="AW533" s="7"/>
      <c r="AX533" s="7"/>
      <c r="AY533" s="7"/>
      <c r="AZ533" s="7"/>
      <c r="BA533" s="7"/>
      <c r="BB533" s="7"/>
      <c r="BC533" s="7"/>
      <c r="BF533" s="7"/>
      <c r="BG533" s="36"/>
      <c r="BH533" s="36"/>
      <c r="BI533" s="36"/>
      <c r="BJ533" s="36"/>
      <c r="BK533" s="36"/>
      <c r="BL533" s="36"/>
      <c r="BM533" s="36"/>
      <c r="BN533" s="36"/>
      <c r="BO533" s="36"/>
    </row>
    <row r="534" spans="1:67" x14ac:dyDescent="0.25">
      <c r="A534" s="39"/>
      <c r="B534" s="40"/>
      <c r="U534" s="36"/>
      <c r="V534" s="36"/>
      <c r="W534" s="35"/>
      <c r="X534" s="7"/>
      <c r="Y534" s="7"/>
      <c r="Z534" s="7"/>
      <c r="AA534" s="7"/>
      <c r="AB534" s="7"/>
      <c r="AC534" s="7"/>
      <c r="AD534" s="7"/>
      <c r="AE534" s="7"/>
      <c r="AG534" s="36"/>
      <c r="AH534" s="36"/>
      <c r="AI534" s="35"/>
      <c r="AJ534" s="7"/>
      <c r="AK534" s="7"/>
      <c r="AL534" s="7"/>
      <c r="AM534" s="7"/>
      <c r="AN534" s="7"/>
      <c r="AO534" s="7"/>
      <c r="AP534" s="7"/>
      <c r="AQ534" s="7"/>
      <c r="AS534" s="36"/>
      <c r="AT534" s="36"/>
      <c r="AU534" s="35"/>
      <c r="AV534" s="7"/>
      <c r="AW534" s="7"/>
      <c r="AX534" s="7"/>
      <c r="AY534" s="7"/>
      <c r="AZ534" s="7"/>
      <c r="BA534" s="7"/>
      <c r="BB534" s="7"/>
      <c r="BC534" s="7"/>
      <c r="BF534" s="7"/>
      <c r="BG534" s="36"/>
      <c r="BH534" s="36"/>
      <c r="BI534" s="36"/>
      <c r="BJ534" s="36"/>
      <c r="BK534" s="36"/>
      <c r="BL534" s="36"/>
      <c r="BM534" s="36"/>
      <c r="BN534" s="36"/>
      <c r="BO534" s="36"/>
    </row>
    <row r="535" spans="1:67" x14ac:dyDescent="0.25">
      <c r="A535" s="39"/>
      <c r="B535" s="40"/>
      <c r="U535" s="36"/>
      <c r="V535" s="36"/>
      <c r="W535" s="35"/>
      <c r="X535" s="7"/>
      <c r="Y535" s="7"/>
      <c r="Z535" s="7"/>
      <c r="AA535" s="7"/>
      <c r="AB535" s="7"/>
      <c r="AC535" s="7"/>
      <c r="AD535" s="7"/>
      <c r="AE535" s="7"/>
      <c r="AG535" s="36"/>
      <c r="AH535" s="36"/>
      <c r="AI535" s="35"/>
      <c r="AJ535" s="7"/>
      <c r="AK535" s="7"/>
      <c r="AL535" s="7"/>
      <c r="AM535" s="7"/>
      <c r="AN535" s="7"/>
      <c r="AO535" s="7"/>
      <c r="AP535" s="7"/>
      <c r="AQ535" s="7"/>
      <c r="AS535" s="36"/>
      <c r="AT535" s="36"/>
      <c r="AU535" s="35"/>
      <c r="AV535" s="7"/>
      <c r="AW535" s="7"/>
      <c r="AX535" s="7"/>
      <c r="AY535" s="7"/>
      <c r="AZ535" s="7"/>
      <c r="BA535" s="7"/>
      <c r="BB535" s="7"/>
      <c r="BC535" s="7"/>
      <c r="BF535" s="7"/>
      <c r="BG535" s="36"/>
      <c r="BH535" s="36"/>
      <c r="BI535" s="36"/>
      <c r="BJ535" s="36"/>
      <c r="BK535" s="36"/>
      <c r="BL535" s="36"/>
      <c r="BM535" s="36"/>
      <c r="BN535" s="36"/>
      <c r="BO535" s="36"/>
    </row>
    <row r="536" spans="1:67" x14ac:dyDescent="0.25">
      <c r="A536" s="39"/>
      <c r="B536" s="40"/>
      <c r="U536" s="36"/>
      <c r="V536" s="36"/>
      <c r="W536" s="35"/>
      <c r="X536" s="7"/>
      <c r="Y536" s="7"/>
      <c r="Z536" s="7"/>
      <c r="AA536" s="7"/>
      <c r="AB536" s="7"/>
      <c r="AC536" s="7"/>
      <c r="AD536" s="7"/>
      <c r="AE536" s="7"/>
      <c r="AG536" s="36"/>
      <c r="AH536" s="36"/>
      <c r="AI536" s="35"/>
      <c r="AJ536" s="7"/>
      <c r="AK536" s="7"/>
      <c r="AL536" s="7"/>
      <c r="AM536" s="7"/>
      <c r="AN536" s="7"/>
      <c r="AO536" s="7"/>
      <c r="AP536" s="7"/>
      <c r="AQ536" s="7"/>
      <c r="AS536" s="36"/>
      <c r="AT536" s="36"/>
      <c r="AU536" s="35"/>
      <c r="AV536" s="7"/>
      <c r="AW536" s="7"/>
      <c r="AX536" s="7"/>
      <c r="AY536" s="7"/>
      <c r="AZ536" s="7"/>
      <c r="BA536" s="7"/>
      <c r="BB536" s="7"/>
      <c r="BC536" s="7"/>
      <c r="BF536" s="7"/>
      <c r="BG536" s="36"/>
      <c r="BH536" s="36"/>
      <c r="BI536" s="36"/>
      <c r="BJ536" s="36"/>
      <c r="BK536" s="36"/>
      <c r="BL536" s="36"/>
      <c r="BM536" s="36"/>
      <c r="BN536" s="36"/>
      <c r="BO536" s="36"/>
    </row>
    <row r="537" spans="1:67" x14ac:dyDescent="0.25">
      <c r="A537" s="39"/>
      <c r="B537" s="40"/>
      <c r="U537" s="36"/>
      <c r="V537" s="36"/>
      <c r="W537" s="35"/>
      <c r="X537" s="7"/>
      <c r="Y537" s="7"/>
      <c r="Z537" s="7"/>
      <c r="AA537" s="7"/>
      <c r="AB537" s="7"/>
      <c r="AC537" s="7"/>
      <c r="AD537" s="7"/>
      <c r="AE537" s="7"/>
      <c r="AG537" s="36"/>
      <c r="AH537" s="36"/>
      <c r="AI537" s="35"/>
      <c r="AJ537" s="7"/>
      <c r="AK537" s="7"/>
      <c r="AL537" s="7"/>
      <c r="AM537" s="7"/>
      <c r="AN537" s="7"/>
      <c r="AO537" s="7"/>
      <c r="AP537" s="7"/>
      <c r="AQ537" s="7"/>
      <c r="AS537" s="36"/>
      <c r="AT537" s="36"/>
      <c r="AU537" s="35"/>
      <c r="AV537" s="7"/>
      <c r="AW537" s="7"/>
      <c r="AX537" s="7"/>
      <c r="AY537" s="7"/>
      <c r="AZ537" s="7"/>
      <c r="BA537" s="7"/>
      <c r="BB537" s="7"/>
      <c r="BC537" s="7"/>
      <c r="BF537" s="7"/>
      <c r="BG537" s="36"/>
      <c r="BH537" s="36"/>
      <c r="BI537" s="36"/>
      <c r="BJ537" s="36"/>
      <c r="BK537" s="36"/>
      <c r="BL537" s="36"/>
      <c r="BM537" s="36"/>
      <c r="BN537" s="36"/>
      <c r="BO537" s="36"/>
    </row>
    <row r="538" spans="1:67" x14ac:dyDescent="0.25">
      <c r="A538" s="39"/>
      <c r="B538" s="40"/>
      <c r="U538" s="36"/>
      <c r="V538" s="36"/>
      <c r="W538" s="35"/>
      <c r="X538" s="7"/>
      <c r="Y538" s="7"/>
      <c r="Z538" s="7"/>
      <c r="AA538" s="7"/>
      <c r="AB538" s="7"/>
      <c r="AC538" s="7"/>
      <c r="AD538" s="7"/>
      <c r="AE538" s="7"/>
      <c r="AG538" s="36"/>
      <c r="AH538" s="36"/>
      <c r="AI538" s="35"/>
      <c r="AJ538" s="7"/>
      <c r="AK538" s="7"/>
      <c r="AL538" s="7"/>
      <c r="AM538" s="7"/>
      <c r="AN538" s="7"/>
      <c r="AO538" s="7"/>
      <c r="AP538" s="7"/>
      <c r="AQ538" s="7"/>
      <c r="AS538" s="36"/>
      <c r="AT538" s="36"/>
      <c r="AU538" s="35"/>
      <c r="AV538" s="7"/>
      <c r="AW538" s="7"/>
      <c r="AX538" s="7"/>
      <c r="AY538" s="7"/>
      <c r="AZ538" s="7"/>
      <c r="BA538" s="7"/>
      <c r="BB538" s="7"/>
      <c r="BC538" s="7"/>
      <c r="BF538" s="7"/>
      <c r="BG538" s="36"/>
      <c r="BH538" s="36"/>
      <c r="BI538" s="36"/>
      <c r="BJ538" s="36"/>
      <c r="BK538" s="36"/>
      <c r="BL538" s="36"/>
      <c r="BM538" s="36"/>
      <c r="BN538" s="36"/>
      <c r="BO538" s="36"/>
    </row>
    <row r="539" spans="1:67" x14ac:dyDescent="0.25">
      <c r="A539" s="39"/>
      <c r="B539" s="40"/>
      <c r="U539" s="36"/>
      <c r="V539" s="36"/>
      <c r="W539" s="35"/>
      <c r="X539" s="7"/>
      <c r="Y539" s="7"/>
      <c r="Z539" s="7"/>
      <c r="AA539" s="7"/>
      <c r="AB539" s="7"/>
      <c r="AC539" s="7"/>
      <c r="AD539" s="7"/>
      <c r="AE539" s="7"/>
      <c r="AG539" s="36"/>
      <c r="AH539" s="36"/>
      <c r="AI539" s="35"/>
      <c r="AJ539" s="7"/>
      <c r="AK539" s="7"/>
      <c r="AL539" s="7"/>
      <c r="AM539" s="7"/>
      <c r="AN539" s="7"/>
      <c r="AO539" s="7"/>
      <c r="AP539" s="7"/>
      <c r="AQ539" s="7"/>
      <c r="AS539" s="36"/>
      <c r="AT539" s="36"/>
      <c r="AU539" s="35"/>
      <c r="AV539" s="7"/>
      <c r="AW539" s="7"/>
      <c r="AX539" s="7"/>
      <c r="AY539" s="7"/>
      <c r="AZ539" s="7"/>
      <c r="BA539" s="7"/>
      <c r="BB539" s="7"/>
      <c r="BC539" s="7"/>
      <c r="BF539" s="7"/>
      <c r="BG539" s="36"/>
      <c r="BH539" s="36"/>
      <c r="BI539" s="36"/>
      <c r="BJ539" s="36"/>
      <c r="BK539" s="36"/>
      <c r="BL539" s="36"/>
      <c r="BM539" s="36"/>
      <c r="BN539" s="36"/>
      <c r="BO539" s="36"/>
    </row>
    <row r="540" spans="1:67" x14ac:dyDescent="0.25">
      <c r="A540" s="39"/>
      <c r="B540" s="40"/>
      <c r="U540" s="36"/>
      <c r="V540" s="36"/>
      <c r="W540" s="35"/>
      <c r="X540" s="7"/>
      <c r="Y540" s="7"/>
      <c r="Z540" s="7"/>
      <c r="AA540" s="7"/>
      <c r="AB540" s="7"/>
      <c r="AC540" s="7"/>
      <c r="AD540" s="7"/>
      <c r="AE540" s="7"/>
      <c r="AG540" s="36"/>
      <c r="AH540" s="36"/>
      <c r="AI540" s="35"/>
      <c r="AJ540" s="7"/>
      <c r="AK540" s="7"/>
      <c r="AL540" s="7"/>
      <c r="AM540" s="7"/>
      <c r="AN540" s="7"/>
      <c r="AO540" s="7"/>
      <c r="AP540" s="7"/>
      <c r="AQ540" s="7"/>
      <c r="AS540" s="36"/>
      <c r="AT540" s="36"/>
      <c r="AU540" s="35"/>
      <c r="AV540" s="7"/>
      <c r="AW540" s="7"/>
      <c r="AX540" s="7"/>
      <c r="AY540" s="7"/>
      <c r="AZ540" s="7"/>
      <c r="BA540" s="7"/>
      <c r="BB540" s="7"/>
      <c r="BC540" s="7"/>
      <c r="BF540" s="7"/>
      <c r="BG540" s="36"/>
      <c r="BH540" s="36"/>
      <c r="BI540" s="36"/>
      <c r="BJ540" s="36"/>
      <c r="BK540" s="36"/>
      <c r="BL540" s="36"/>
      <c r="BM540" s="36"/>
      <c r="BN540" s="36"/>
      <c r="BO540" s="36"/>
    </row>
    <row r="541" spans="1:67" x14ac:dyDescent="0.25">
      <c r="A541" s="39"/>
      <c r="B541" s="40"/>
      <c r="U541" s="36"/>
      <c r="V541" s="36"/>
      <c r="W541" s="35"/>
      <c r="X541" s="7"/>
      <c r="Y541" s="7"/>
      <c r="Z541" s="7"/>
      <c r="AA541" s="7"/>
      <c r="AB541" s="7"/>
      <c r="AC541" s="7"/>
      <c r="AD541" s="7"/>
      <c r="AE541" s="7"/>
      <c r="AG541" s="36"/>
      <c r="AH541" s="36"/>
      <c r="AI541" s="35"/>
      <c r="AJ541" s="7"/>
      <c r="AK541" s="7"/>
      <c r="AL541" s="7"/>
      <c r="AM541" s="7"/>
      <c r="AN541" s="7"/>
      <c r="AO541" s="7"/>
      <c r="AP541" s="7"/>
      <c r="AQ541" s="7"/>
      <c r="AS541" s="36"/>
      <c r="AT541" s="36"/>
      <c r="AU541" s="35"/>
      <c r="AV541" s="7"/>
      <c r="AW541" s="7"/>
      <c r="AX541" s="7"/>
      <c r="AY541" s="7"/>
      <c r="AZ541" s="7"/>
      <c r="BA541" s="7"/>
      <c r="BB541" s="7"/>
      <c r="BC541" s="7"/>
      <c r="BF541" s="7"/>
      <c r="BG541" s="36"/>
      <c r="BH541" s="36"/>
      <c r="BI541" s="36"/>
      <c r="BJ541" s="36"/>
      <c r="BK541" s="36"/>
      <c r="BL541" s="36"/>
      <c r="BM541" s="36"/>
      <c r="BN541" s="36"/>
      <c r="BO541" s="36"/>
    </row>
    <row r="542" spans="1:67" x14ac:dyDescent="0.25">
      <c r="A542" s="39"/>
      <c r="B542" s="40"/>
      <c r="U542" s="36"/>
      <c r="V542" s="36"/>
      <c r="W542" s="35"/>
      <c r="X542" s="7"/>
      <c r="Y542" s="7"/>
      <c r="Z542" s="7"/>
      <c r="AA542" s="7"/>
      <c r="AB542" s="7"/>
      <c r="AC542" s="7"/>
      <c r="AD542" s="7"/>
      <c r="AE542" s="7"/>
      <c r="AG542" s="36"/>
      <c r="AH542" s="36"/>
      <c r="AI542" s="35"/>
      <c r="AJ542" s="7"/>
      <c r="AK542" s="7"/>
      <c r="AL542" s="7"/>
      <c r="AM542" s="7"/>
      <c r="AN542" s="7"/>
      <c r="AO542" s="7"/>
      <c r="AP542" s="7"/>
      <c r="AQ542" s="7"/>
      <c r="AS542" s="36"/>
      <c r="AT542" s="36"/>
      <c r="AU542" s="35"/>
      <c r="AV542" s="7"/>
      <c r="AW542" s="7"/>
      <c r="AX542" s="7"/>
      <c r="AY542" s="7"/>
      <c r="AZ542" s="7"/>
      <c r="BA542" s="7"/>
      <c r="BB542" s="7"/>
      <c r="BC542" s="7"/>
      <c r="BF542" s="7"/>
      <c r="BG542" s="36"/>
      <c r="BH542" s="36"/>
      <c r="BI542" s="36"/>
      <c r="BJ542" s="36"/>
      <c r="BK542" s="36"/>
      <c r="BL542" s="36"/>
      <c r="BM542" s="36"/>
      <c r="BN542" s="36"/>
      <c r="BO542" s="36"/>
    </row>
    <row r="543" spans="1:67" x14ac:dyDescent="0.25">
      <c r="A543" s="39"/>
      <c r="B543" s="40"/>
      <c r="U543" s="36"/>
      <c r="V543" s="36"/>
      <c r="W543" s="35"/>
      <c r="X543" s="7"/>
      <c r="Y543" s="7"/>
      <c r="Z543" s="7"/>
      <c r="AA543" s="7"/>
      <c r="AB543" s="7"/>
      <c r="AC543" s="7"/>
      <c r="AD543" s="7"/>
      <c r="AE543" s="7"/>
      <c r="AG543" s="36"/>
      <c r="AH543" s="36"/>
      <c r="AI543" s="35"/>
      <c r="AJ543" s="7"/>
      <c r="AK543" s="7"/>
      <c r="AL543" s="7"/>
      <c r="AM543" s="7"/>
      <c r="AN543" s="7"/>
      <c r="AO543" s="7"/>
      <c r="AP543" s="7"/>
      <c r="AQ543" s="7"/>
      <c r="AS543" s="36"/>
      <c r="AT543" s="36"/>
      <c r="AU543" s="35"/>
      <c r="AV543" s="7"/>
      <c r="AW543" s="7"/>
      <c r="AX543" s="7"/>
      <c r="AY543" s="7"/>
      <c r="AZ543" s="7"/>
      <c r="BA543" s="7"/>
      <c r="BB543" s="7"/>
      <c r="BC543" s="7"/>
      <c r="BF543" s="7"/>
      <c r="BG543" s="36"/>
      <c r="BH543" s="36"/>
      <c r="BI543" s="36"/>
      <c r="BJ543" s="36"/>
      <c r="BK543" s="36"/>
      <c r="BL543" s="36"/>
      <c r="BM543" s="36"/>
      <c r="BN543" s="36"/>
      <c r="BO543" s="36"/>
    </row>
    <row r="544" spans="1:67" x14ac:dyDescent="0.25">
      <c r="A544" s="39"/>
      <c r="B544" s="40"/>
      <c r="U544" s="36"/>
      <c r="V544" s="36"/>
      <c r="W544" s="35"/>
      <c r="X544" s="7"/>
      <c r="Y544" s="7"/>
      <c r="Z544" s="7"/>
      <c r="AA544" s="7"/>
      <c r="AB544" s="7"/>
      <c r="AC544" s="7"/>
      <c r="AD544" s="7"/>
      <c r="AE544" s="7"/>
      <c r="AG544" s="36"/>
      <c r="AH544" s="36"/>
      <c r="AI544" s="35"/>
      <c r="AJ544" s="7"/>
      <c r="AK544" s="7"/>
      <c r="AL544" s="7"/>
      <c r="AM544" s="7"/>
      <c r="AN544" s="7"/>
      <c r="AO544" s="7"/>
      <c r="AP544" s="7"/>
      <c r="AQ544" s="7"/>
      <c r="AS544" s="36"/>
      <c r="AT544" s="36"/>
      <c r="AU544" s="35"/>
      <c r="AV544" s="7"/>
      <c r="AW544" s="7"/>
      <c r="AX544" s="7"/>
      <c r="AY544" s="7"/>
      <c r="AZ544" s="7"/>
      <c r="BA544" s="7"/>
      <c r="BB544" s="7"/>
      <c r="BC544" s="7"/>
      <c r="BF544" s="7"/>
      <c r="BG544" s="36"/>
      <c r="BH544" s="36"/>
      <c r="BI544" s="36"/>
      <c r="BJ544" s="36"/>
      <c r="BK544" s="36"/>
      <c r="BL544" s="36"/>
      <c r="BM544" s="36"/>
      <c r="BN544" s="36"/>
      <c r="BO544" s="36"/>
    </row>
    <row r="545" spans="1:67" x14ac:dyDescent="0.25">
      <c r="A545" s="39"/>
      <c r="B545" s="40"/>
      <c r="U545" s="36"/>
      <c r="V545" s="36"/>
      <c r="W545" s="35"/>
      <c r="X545" s="7"/>
      <c r="Y545" s="7"/>
      <c r="Z545" s="7"/>
      <c r="AA545" s="7"/>
      <c r="AB545" s="7"/>
      <c r="AC545" s="7"/>
      <c r="AD545" s="7"/>
      <c r="AE545" s="7"/>
      <c r="AG545" s="36"/>
      <c r="AH545" s="36"/>
      <c r="AI545" s="35"/>
      <c r="AJ545" s="7"/>
      <c r="AK545" s="7"/>
      <c r="AL545" s="7"/>
      <c r="AM545" s="7"/>
      <c r="AN545" s="7"/>
      <c r="AO545" s="7"/>
      <c r="AP545" s="7"/>
      <c r="AQ545" s="7"/>
      <c r="AS545" s="36"/>
      <c r="AT545" s="36"/>
      <c r="AU545" s="35"/>
      <c r="AV545" s="7"/>
      <c r="AW545" s="7"/>
      <c r="AX545" s="7"/>
      <c r="AY545" s="7"/>
      <c r="AZ545" s="7"/>
      <c r="BA545" s="7"/>
      <c r="BB545" s="7"/>
      <c r="BC545" s="7"/>
      <c r="BF545" s="7"/>
      <c r="BG545" s="36"/>
      <c r="BH545" s="36"/>
      <c r="BI545" s="36"/>
      <c r="BJ545" s="36"/>
      <c r="BK545" s="36"/>
      <c r="BL545" s="36"/>
      <c r="BM545" s="36"/>
      <c r="BN545" s="36"/>
      <c r="BO545" s="36"/>
    </row>
    <row r="546" spans="1:67" x14ac:dyDescent="0.25">
      <c r="A546" s="39"/>
      <c r="B546" s="40"/>
      <c r="U546" s="36"/>
      <c r="V546" s="36"/>
      <c r="W546" s="35"/>
      <c r="X546" s="7"/>
      <c r="Y546" s="7"/>
      <c r="Z546" s="7"/>
      <c r="AA546" s="7"/>
      <c r="AB546" s="7"/>
      <c r="AC546" s="7"/>
      <c r="AD546" s="7"/>
      <c r="AE546" s="7"/>
      <c r="AG546" s="36"/>
      <c r="AH546" s="36"/>
      <c r="AI546" s="35"/>
      <c r="AJ546" s="7"/>
      <c r="AK546" s="7"/>
      <c r="AL546" s="7"/>
      <c r="AM546" s="7"/>
      <c r="AN546" s="7"/>
      <c r="AO546" s="7"/>
      <c r="AP546" s="7"/>
      <c r="AQ546" s="7"/>
      <c r="AS546" s="36"/>
      <c r="AT546" s="36"/>
      <c r="AU546" s="35"/>
      <c r="AV546" s="7"/>
      <c r="AW546" s="7"/>
      <c r="AX546" s="7"/>
      <c r="AY546" s="7"/>
      <c r="AZ546" s="7"/>
      <c r="BA546" s="7"/>
      <c r="BB546" s="7"/>
      <c r="BC546" s="7"/>
      <c r="BF546" s="7"/>
      <c r="BG546" s="36"/>
      <c r="BH546" s="36"/>
      <c r="BI546" s="36"/>
      <c r="BJ546" s="36"/>
      <c r="BK546" s="36"/>
      <c r="BL546" s="36"/>
      <c r="BM546" s="36"/>
      <c r="BN546" s="36"/>
      <c r="BO546" s="36"/>
    </row>
    <row r="547" spans="1:67" x14ac:dyDescent="0.25">
      <c r="A547" s="39"/>
      <c r="B547" s="40"/>
      <c r="U547" s="36"/>
      <c r="V547" s="36"/>
      <c r="W547" s="35"/>
      <c r="X547" s="7"/>
      <c r="Y547" s="7"/>
      <c r="Z547" s="7"/>
      <c r="AA547" s="7"/>
      <c r="AB547" s="7"/>
      <c r="AC547" s="7"/>
      <c r="AD547" s="7"/>
      <c r="AE547" s="7"/>
      <c r="AG547" s="36"/>
      <c r="AH547" s="36"/>
      <c r="AI547" s="35"/>
      <c r="AJ547" s="7"/>
      <c r="AK547" s="7"/>
      <c r="AL547" s="7"/>
      <c r="AM547" s="7"/>
      <c r="AN547" s="7"/>
      <c r="AO547" s="7"/>
      <c r="AP547" s="7"/>
      <c r="AQ547" s="7"/>
      <c r="AS547" s="36"/>
      <c r="AT547" s="36"/>
      <c r="AU547" s="35"/>
      <c r="AV547" s="7"/>
      <c r="AW547" s="7"/>
      <c r="AX547" s="7"/>
      <c r="AY547" s="7"/>
      <c r="AZ547" s="7"/>
      <c r="BA547" s="7"/>
      <c r="BB547" s="7"/>
      <c r="BC547" s="7"/>
      <c r="BF547" s="7"/>
      <c r="BG547" s="36"/>
      <c r="BH547" s="36"/>
      <c r="BI547" s="36"/>
      <c r="BJ547" s="36"/>
      <c r="BK547" s="36"/>
      <c r="BL547" s="36"/>
      <c r="BM547" s="36"/>
      <c r="BN547" s="36"/>
      <c r="BO547" s="36"/>
    </row>
    <row r="548" spans="1:67" x14ac:dyDescent="0.25">
      <c r="A548" s="39"/>
      <c r="B548" s="40"/>
      <c r="U548" s="36"/>
      <c r="V548" s="36"/>
      <c r="W548" s="35"/>
      <c r="X548" s="7"/>
      <c r="Y548" s="7"/>
      <c r="Z548" s="7"/>
      <c r="AA548" s="7"/>
      <c r="AB548" s="7"/>
      <c r="AC548" s="7"/>
      <c r="AD548" s="7"/>
      <c r="AE548" s="7"/>
      <c r="AG548" s="36"/>
      <c r="AH548" s="36"/>
      <c r="AI548" s="35"/>
      <c r="AJ548" s="7"/>
      <c r="AK548" s="7"/>
      <c r="AL548" s="7"/>
      <c r="AM548" s="7"/>
      <c r="AN548" s="7"/>
      <c r="AO548" s="7"/>
      <c r="AP548" s="7"/>
      <c r="AQ548" s="7"/>
      <c r="AS548" s="36"/>
      <c r="AT548" s="36"/>
      <c r="AU548" s="35"/>
      <c r="AV548" s="7"/>
      <c r="AW548" s="7"/>
      <c r="AX548" s="7"/>
      <c r="AY548" s="7"/>
      <c r="AZ548" s="7"/>
      <c r="BA548" s="7"/>
      <c r="BB548" s="7"/>
      <c r="BC548" s="7"/>
      <c r="BF548" s="7"/>
      <c r="BG548" s="36"/>
      <c r="BH548" s="36"/>
      <c r="BI548" s="36"/>
      <c r="BJ548" s="36"/>
      <c r="BK548" s="36"/>
      <c r="BL548" s="36"/>
      <c r="BM548" s="36"/>
      <c r="BN548" s="36"/>
      <c r="BO548" s="36"/>
    </row>
    <row r="549" spans="1:67" x14ac:dyDescent="0.25">
      <c r="A549" s="39"/>
      <c r="B549" s="40"/>
      <c r="U549" s="36"/>
      <c r="V549" s="36"/>
      <c r="W549" s="35"/>
      <c r="X549" s="7"/>
      <c r="Y549" s="7"/>
      <c r="Z549" s="7"/>
      <c r="AA549" s="7"/>
      <c r="AB549" s="7"/>
      <c r="AC549" s="7"/>
      <c r="AD549" s="7"/>
      <c r="AE549" s="7"/>
      <c r="AG549" s="36"/>
      <c r="AH549" s="36"/>
      <c r="AI549" s="35"/>
      <c r="AJ549" s="7"/>
      <c r="AK549" s="7"/>
      <c r="AL549" s="7"/>
      <c r="AM549" s="7"/>
      <c r="AN549" s="7"/>
      <c r="AO549" s="7"/>
      <c r="AP549" s="7"/>
      <c r="AQ549" s="7"/>
      <c r="AS549" s="36"/>
      <c r="AT549" s="36"/>
      <c r="AU549" s="35"/>
      <c r="AV549" s="7"/>
      <c r="AW549" s="7"/>
      <c r="AX549" s="7"/>
      <c r="AY549" s="7"/>
      <c r="AZ549" s="7"/>
      <c r="BA549" s="7"/>
      <c r="BB549" s="7"/>
      <c r="BC549" s="7"/>
      <c r="BF549" s="7"/>
      <c r="BG549" s="36"/>
      <c r="BH549" s="36"/>
      <c r="BI549" s="36"/>
      <c r="BJ549" s="36"/>
      <c r="BK549" s="36"/>
      <c r="BL549" s="36"/>
      <c r="BM549" s="36"/>
      <c r="BN549" s="36"/>
      <c r="BO549" s="36"/>
    </row>
    <row r="550" spans="1:67" x14ac:dyDescent="0.25">
      <c r="A550" s="39"/>
      <c r="B550" s="40"/>
      <c r="U550" s="36"/>
      <c r="V550" s="36"/>
      <c r="W550" s="35"/>
      <c r="X550" s="7"/>
      <c r="Y550" s="7"/>
      <c r="Z550" s="7"/>
      <c r="AA550" s="7"/>
      <c r="AB550" s="7"/>
      <c r="AC550" s="7"/>
      <c r="AD550" s="7"/>
      <c r="AE550" s="7"/>
      <c r="AG550" s="36"/>
      <c r="AH550" s="36"/>
      <c r="AI550" s="35"/>
      <c r="AJ550" s="7"/>
      <c r="AK550" s="7"/>
      <c r="AL550" s="7"/>
      <c r="AM550" s="7"/>
      <c r="AN550" s="7"/>
      <c r="AO550" s="7"/>
      <c r="AP550" s="7"/>
      <c r="AQ550" s="7"/>
      <c r="AS550" s="36"/>
      <c r="AT550" s="36"/>
      <c r="AU550" s="35"/>
      <c r="AV550" s="7"/>
      <c r="AW550" s="7"/>
      <c r="AX550" s="7"/>
      <c r="AY550" s="7"/>
      <c r="AZ550" s="7"/>
      <c r="BA550" s="7"/>
      <c r="BB550" s="7"/>
      <c r="BC550" s="7"/>
      <c r="BF550" s="7"/>
      <c r="BG550" s="36"/>
      <c r="BH550" s="36"/>
      <c r="BI550" s="36"/>
      <c r="BJ550" s="36"/>
      <c r="BK550" s="36"/>
      <c r="BL550" s="36"/>
      <c r="BM550" s="36"/>
      <c r="BN550" s="36"/>
      <c r="BO550" s="36"/>
    </row>
    <row r="551" spans="1:67" x14ac:dyDescent="0.25">
      <c r="A551" s="39"/>
      <c r="B551" s="40"/>
      <c r="U551" s="36"/>
      <c r="V551" s="36"/>
      <c r="W551" s="35"/>
      <c r="X551" s="7"/>
      <c r="Y551" s="7"/>
      <c r="Z551" s="7"/>
      <c r="AA551" s="7"/>
      <c r="AB551" s="7"/>
      <c r="AC551" s="7"/>
      <c r="AD551" s="7"/>
      <c r="AE551" s="7"/>
      <c r="AG551" s="36"/>
      <c r="AH551" s="36"/>
      <c r="AI551" s="35"/>
      <c r="AJ551" s="7"/>
      <c r="AK551" s="7"/>
      <c r="AL551" s="7"/>
      <c r="AM551" s="7"/>
      <c r="AN551" s="7"/>
      <c r="AO551" s="7"/>
      <c r="AP551" s="7"/>
      <c r="AQ551" s="7"/>
      <c r="AS551" s="36"/>
      <c r="AT551" s="36"/>
      <c r="AU551" s="35"/>
      <c r="AV551" s="7"/>
      <c r="AW551" s="7"/>
      <c r="AX551" s="7"/>
      <c r="AY551" s="7"/>
      <c r="AZ551" s="7"/>
      <c r="BA551" s="7"/>
      <c r="BB551" s="7"/>
      <c r="BC551" s="7"/>
      <c r="BF551" s="7"/>
      <c r="BG551" s="36"/>
      <c r="BH551" s="36"/>
      <c r="BI551" s="36"/>
      <c r="BJ551" s="36"/>
      <c r="BK551" s="36"/>
      <c r="BL551" s="36"/>
      <c r="BM551" s="36"/>
      <c r="BN551" s="36"/>
      <c r="BO551" s="36"/>
    </row>
    <row r="552" spans="1:67" x14ac:dyDescent="0.25">
      <c r="A552" s="39"/>
      <c r="B552" s="40"/>
      <c r="U552" s="36"/>
      <c r="V552" s="36"/>
      <c r="W552" s="35"/>
      <c r="X552" s="7"/>
      <c r="Y552" s="7"/>
      <c r="Z552" s="7"/>
      <c r="AA552" s="7"/>
      <c r="AB552" s="7"/>
      <c r="AC552" s="7"/>
      <c r="AD552" s="7"/>
      <c r="AE552" s="7"/>
      <c r="AG552" s="36"/>
      <c r="AH552" s="36"/>
      <c r="AI552" s="35"/>
      <c r="AJ552" s="7"/>
      <c r="AK552" s="7"/>
      <c r="AL552" s="7"/>
      <c r="AM552" s="7"/>
      <c r="AN552" s="7"/>
      <c r="AO552" s="7"/>
      <c r="AP552" s="7"/>
      <c r="AQ552" s="7"/>
      <c r="AS552" s="36"/>
      <c r="AT552" s="36"/>
      <c r="AU552" s="35"/>
      <c r="AV552" s="7"/>
      <c r="AW552" s="7"/>
      <c r="AX552" s="7"/>
      <c r="AY552" s="7"/>
      <c r="AZ552" s="7"/>
      <c r="BA552" s="7"/>
      <c r="BB552" s="7"/>
      <c r="BC552" s="7"/>
      <c r="BF552" s="7"/>
      <c r="BG552" s="36"/>
      <c r="BH552" s="36"/>
      <c r="BI552" s="36"/>
      <c r="BJ552" s="36"/>
      <c r="BK552" s="36"/>
      <c r="BL552" s="36"/>
      <c r="BM552" s="36"/>
      <c r="BN552" s="36"/>
      <c r="BO552" s="36"/>
    </row>
    <row r="553" spans="1:67" x14ac:dyDescent="0.25">
      <c r="A553" s="39"/>
      <c r="B553" s="40"/>
      <c r="U553" s="36"/>
      <c r="V553" s="36"/>
      <c r="W553" s="35"/>
      <c r="X553" s="7"/>
      <c r="Y553" s="7"/>
      <c r="Z553" s="7"/>
      <c r="AA553" s="7"/>
      <c r="AB553" s="7"/>
      <c r="AC553" s="7"/>
      <c r="AD553" s="7"/>
      <c r="AE553" s="7"/>
      <c r="AG553" s="36"/>
      <c r="AH553" s="36"/>
      <c r="AI553" s="35"/>
      <c r="AJ553" s="7"/>
      <c r="AK553" s="7"/>
      <c r="AL553" s="7"/>
      <c r="AM553" s="7"/>
      <c r="AN553" s="7"/>
      <c r="AO553" s="7"/>
      <c r="AP553" s="7"/>
      <c r="AQ553" s="7"/>
      <c r="AS553" s="36"/>
      <c r="AT553" s="36"/>
      <c r="AU553" s="35"/>
      <c r="AV553" s="7"/>
      <c r="AW553" s="7"/>
      <c r="AX553" s="7"/>
      <c r="AY553" s="7"/>
      <c r="AZ553" s="7"/>
      <c r="BA553" s="7"/>
      <c r="BB553" s="7"/>
      <c r="BC553" s="7"/>
      <c r="BF553" s="7"/>
      <c r="BG553" s="36"/>
      <c r="BH553" s="36"/>
      <c r="BI553" s="36"/>
      <c r="BJ553" s="36"/>
      <c r="BK553" s="36"/>
      <c r="BL553" s="36"/>
      <c r="BM553" s="36"/>
      <c r="BN553" s="36"/>
      <c r="BO553" s="36"/>
    </row>
    <row r="554" spans="1:67" x14ac:dyDescent="0.25">
      <c r="A554" s="39"/>
      <c r="B554" s="40"/>
      <c r="U554" s="36"/>
      <c r="V554" s="36"/>
      <c r="W554" s="35"/>
      <c r="X554" s="7"/>
      <c r="Y554" s="7"/>
      <c r="Z554" s="7"/>
      <c r="AA554" s="7"/>
      <c r="AB554" s="7"/>
      <c r="AC554" s="7"/>
      <c r="AD554" s="7"/>
      <c r="AE554" s="7"/>
      <c r="AG554" s="36"/>
      <c r="AH554" s="36"/>
      <c r="AI554" s="35"/>
      <c r="AJ554" s="7"/>
      <c r="AK554" s="7"/>
      <c r="AL554" s="7"/>
      <c r="AM554" s="7"/>
      <c r="AN554" s="7"/>
      <c r="AO554" s="7"/>
      <c r="AP554" s="7"/>
      <c r="AQ554" s="7"/>
      <c r="AS554" s="36"/>
      <c r="AT554" s="36"/>
      <c r="AU554" s="35"/>
      <c r="AV554" s="7"/>
      <c r="AW554" s="7"/>
      <c r="AX554" s="7"/>
      <c r="AY554" s="7"/>
      <c r="AZ554" s="7"/>
      <c r="BA554" s="7"/>
      <c r="BB554" s="7"/>
      <c r="BC554" s="7"/>
      <c r="BF554" s="7"/>
      <c r="BG554" s="36"/>
      <c r="BH554" s="36"/>
      <c r="BI554" s="36"/>
      <c r="BJ554" s="36"/>
      <c r="BK554" s="36"/>
      <c r="BL554" s="36"/>
      <c r="BM554" s="36"/>
      <c r="BN554" s="36"/>
      <c r="BO554" s="36"/>
    </row>
    <row r="555" spans="1:67" x14ac:dyDescent="0.25">
      <c r="A555" s="39"/>
      <c r="B555" s="40"/>
      <c r="U555" s="36"/>
      <c r="V555" s="36"/>
      <c r="W555" s="35"/>
      <c r="X555" s="7"/>
      <c r="Y555" s="7"/>
      <c r="Z555" s="7"/>
      <c r="AA555" s="7"/>
      <c r="AB555" s="7"/>
      <c r="AC555" s="7"/>
      <c r="AD555" s="7"/>
      <c r="AE555" s="7"/>
      <c r="AG555" s="36"/>
      <c r="AH555" s="36"/>
      <c r="AI555" s="35"/>
      <c r="AJ555" s="7"/>
      <c r="AK555" s="7"/>
      <c r="AL555" s="7"/>
      <c r="AM555" s="7"/>
      <c r="AN555" s="7"/>
      <c r="AO555" s="7"/>
      <c r="AP555" s="7"/>
      <c r="AQ555" s="7"/>
      <c r="AS555" s="36"/>
      <c r="AT555" s="36"/>
      <c r="AU555" s="35"/>
      <c r="AV555" s="7"/>
      <c r="AW555" s="7"/>
      <c r="AX555" s="7"/>
      <c r="AY555" s="7"/>
      <c r="AZ555" s="7"/>
      <c r="BA555" s="7"/>
      <c r="BB555" s="7"/>
      <c r="BC555" s="7"/>
      <c r="BF555" s="7"/>
      <c r="BG555" s="36"/>
      <c r="BH555" s="36"/>
      <c r="BI555" s="36"/>
      <c r="BJ555" s="36"/>
      <c r="BK555" s="36"/>
      <c r="BL555" s="36"/>
      <c r="BM555" s="36"/>
      <c r="BN555" s="36"/>
      <c r="BO555" s="36"/>
    </row>
    <row r="556" spans="1:67" x14ac:dyDescent="0.25">
      <c r="A556" s="39"/>
      <c r="B556" s="40"/>
      <c r="U556" s="36"/>
      <c r="V556" s="36"/>
      <c r="W556" s="35"/>
      <c r="X556" s="7"/>
      <c r="Y556" s="7"/>
      <c r="Z556" s="7"/>
      <c r="AA556" s="7"/>
      <c r="AB556" s="7"/>
      <c r="AC556" s="7"/>
      <c r="AD556" s="7"/>
      <c r="AE556" s="7"/>
      <c r="AG556" s="36"/>
      <c r="AH556" s="36"/>
      <c r="AI556" s="35"/>
      <c r="AJ556" s="7"/>
      <c r="AK556" s="7"/>
      <c r="AL556" s="7"/>
      <c r="AM556" s="7"/>
      <c r="AN556" s="7"/>
      <c r="AO556" s="7"/>
      <c r="AP556" s="7"/>
      <c r="AQ556" s="7"/>
      <c r="AS556" s="36"/>
      <c r="AT556" s="36"/>
      <c r="AU556" s="35"/>
      <c r="AV556" s="7"/>
      <c r="AW556" s="7"/>
      <c r="AX556" s="7"/>
      <c r="AY556" s="7"/>
      <c r="AZ556" s="7"/>
      <c r="BA556" s="7"/>
      <c r="BB556" s="7"/>
      <c r="BC556" s="7"/>
      <c r="BF556" s="7"/>
      <c r="BG556" s="36"/>
      <c r="BH556" s="36"/>
      <c r="BI556" s="36"/>
      <c r="BJ556" s="36"/>
      <c r="BK556" s="36"/>
      <c r="BL556" s="36"/>
      <c r="BM556" s="36"/>
      <c r="BN556" s="36"/>
      <c r="BO556" s="36"/>
    </row>
    <row r="557" spans="1:67" x14ac:dyDescent="0.25">
      <c r="A557" s="39"/>
      <c r="B557" s="40"/>
      <c r="U557" s="36"/>
      <c r="V557" s="36"/>
      <c r="W557" s="35"/>
      <c r="X557" s="7"/>
      <c r="Y557" s="7"/>
      <c r="Z557" s="7"/>
      <c r="AA557" s="7"/>
      <c r="AB557" s="7"/>
      <c r="AC557" s="7"/>
      <c r="AD557" s="7"/>
      <c r="AE557" s="7"/>
      <c r="AG557" s="36"/>
      <c r="AH557" s="36"/>
      <c r="AI557" s="35"/>
      <c r="AJ557" s="7"/>
      <c r="AK557" s="7"/>
      <c r="AL557" s="7"/>
      <c r="AM557" s="7"/>
      <c r="AN557" s="7"/>
      <c r="AO557" s="7"/>
      <c r="AP557" s="7"/>
      <c r="AQ557" s="7"/>
      <c r="AS557" s="36"/>
      <c r="AT557" s="36"/>
      <c r="AU557" s="35"/>
      <c r="AV557" s="7"/>
      <c r="AW557" s="7"/>
      <c r="AX557" s="7"/>
      <c r="AY557" s="7"/>
      <c r="AZ557" s="7"/>
      <c r="BA557" s="7"/>
      <c r="BB557" s="7"/>
      <c r="BC557" s="7"/>
      <c r="BF557" s="7"/>
      <c r="BG557" s="36"/>
      <c r="BH557" s="36"/>
      <c r="BI557" s="36"/>
      <c r="BJ557" s="36"/>
      <c r="BK557" s="36"/>
      <c r="BL557" s="36"/>
      <c r="BM557" s="36"/>
      <c r="BN557" s="36"/>
      <c r="BO557" s="36"/>
    </row>
    <row r="558" spans="1:67" x14ac:dyDescent="0.25">
      <c r="A558" s="39"/>
      <c r="B558" s="40"/>
      <c r="U558" s="36"/>
      <c r="V558" s="36"/>
      <c r="W558" s="35"/>
      <c r="X558" s="7"/>
      <c r="Y558" s="7"/>
      <c r="Z558" s="7"/>
      <c r="AA558" s="7"/>
      <c r="AB558" s="7"/>
      <c r="AC558" s="7"/>
      <c r="AD558" s="7"/>
      <c r="AE558" s="7"/>
      <c r="AG558" s="36"/>
      <c r="AH558" s="36"/>
      <c r="AI558" s="35"/>
      <c r="AJ558" s="7"/>
      <c r="AK558" s="7"/>
      <c r="AL558" s="7"/>
      <c r="AM558" s="7"/>
      <c r="AN558" s="7"/>
      <c r="AO558" s="7"/>
      <c r="AP558" s="7"/>
      <c r="AQ558" s="7"/>
      <c r="AS558" s="36"/>
      <c r="AT558" s="36"/>
      <c r="AU558" s="35"/>
      <c r="AV558" s="7"/>
      <c r="AW558" s="7"/>
      <c r="AX558" s="7"/>
      <c r="AY558" s="7"/>
      <c r="AZ558" s="7"/>
      <c r="BA558" s="7"/>
      <c r="BB558" s="7"/>
      <c r="BC558" s="7"/>
      <c r="BF558" s="7"/>
      <c r="BG558" s="36"/>
      <c r="BH558" s="36"/>
      <c r="BI558" s="36"/>
      <c r="BJ558" s="36"/>
      <c r="BK558" s="36"/>
      <c r="BL558" s="36"/>
      <c r="BM558" s="36"/>
      <c r="BN558" s="36"/>
      <c r="BO558" s="36"/>
    </row>
    <row r="559" spans="1:67" x14ac:dyDescent="0.25">
      <c r="A559" s="39"/>
      <c r="B559" s="40"/>
      <c r="U559" s="36"/>
      <c r="V559" s="36"/>
      <c r="W559" s="35"/>
      <c r="X559" s="7"/>
      <c r="Y559" s="7"/>
      <c r="Z559" s="7"/>
      <c r="AA559" s="7"/>
      <c r="AB559" s="7"/>
      <c r="AC559" s="7"/>
      <c r="AD559" s="7"/>
      <c r="AE559" s="7"/>
      <c r="AG559" s="36"/>
      <c r="AH559" s="36"/>
      <c r="AI559" s="35"/>
      <c r="AJ559" s="7"/>
      <c r="AK559" s="7"/>
      <c r="AL559" s="7"/>
      <c r="AM559" s="7"/>
      <c r="AN559" s="7"/>
      <c r="AO559" s="7"/>
      <c r="AP559" s="7"/>
      <c r="AQ559" s="7"/>
      <c r="AS559" s="36"/>
      <c r="AT559" s="36"/>
      <c r="AU559" s="35"/>
      <c r="AV559" s="7"/>
      <c r="AW559" s="7"/>
      <c r="AX559" s="7"/>
      <c r="AY559" s="7"/>
      <c r="AZ559" s="7"/>
      <c r="BA559" s="7"/>
      <c r="BB559" s="7"/>
      <c r="BC559" s="7"/>
      <c r="BF559" s="7"/>
      <c r="BG559" s="36"/>
      <c r="BH559" s="36"/>
      <c r="BI559" s="36"/>
      <c r="BJ559" s="36"/>
      <c r="BK559" s="36"/>
      <c r="BL559" s="36"/>
      <c r="BM559" s="36"/>
      <c r="BN559" s="36"/>
      <c r="BO559" s="36"/>
    </row>
    <row r="560" spans="1:67" x14ac:dyDescent="0.25">
      <c r="A560" s="39"/>
      <c r="B560" s="40"/>
      <c r="U560" s="36"/>
      <c r="V560" s="36"/>
      <c r="W560" s="35"/>
      <c r="X560" s="7"/>
      <c r="Y560" s="7"/>
      <c r="Z560" s="7"/>
      <c r="AA560" s="7"/>
      <c r="AB560" s="7"/>
      <c r="AC560" s="7"/>
      <c r="AD560" s="7"/>
      <c r="AE560" s="7"/>
      <c r="AG560" s="36"/>
      <c r="AH560" s="36"/>
      <c r="AI560" s="35"/>
      <c r="AJ560" s="7"/>
      <c r="AK560" s="7"/>
      <c r="AL560" s="7"/>
      <c r="AM560" s="7"/>
      <c r="AN560" s="7"/>
      <c r="AO560" s="7"/>
      <c r="AP560" s="7"/>
      <c r="AQ560" s="7"/>
      <c r="AS560" s="36"/>
      <c r="AT560" s="36"/>
      <c r="AU560" s="35"/>
      <c r="AV560" s="7"/>
      <c r="AW560" s="7"/>
      <c r="AX560" s="7"/>
      <c r="AY560" s="7"/>
      <c r="AZ560" s="7"/>
      <c r="BA560" s="7"/>
      <c r="BB560" s="7"/>
      <c r="BC560" s="7"/>
      <c r="BF560" s="7"/>
      <c r="BG560" s="36"/>
      <c r="BH560" s="36"/>
      <c r="BI560" s="36"/>
      <c r="BJ560" s="36"/>
      <c r="BK560" s="36"/>
      <c r="BL560" s="36"/>
      <c r="BM560" s="36"/>
      <c r="BN560" s="36"/>
      <c r="BO560" s="36"/>
    </row>
    <row r="561" spans="1:67" x14ac:dyDescent="0.25">
      <c r="A561" s="39"/>
      <c r="B561" s="40"/>
      <c r="U561" s="36"/>
      <c r="V561" s="36"/>
      <c r="W561" s="35"/>
      <c r="X561" s="7"/>
      <c r="Y561" s="7"/>
      <c r="Z561" s="7"/>
      <c r="AA561" s="7"/>
      <c r="AB561" s="7"/>
      <c r="AC561" s="7"/>
      <c r="AD561" s="7"/>
      <c r="AE561" s="7"/>
      <c r="AG561" s="36"/>
      <c r="AH561" s="36"/>
      <c r="AI561" s="35"/>
      <c r="AJ561" s="7"/>
      <c r="AK561" s="7"/>
      <c r="AL561" s="7"/>
      <c r="AM561" s="7"/>
      <c r="AN561" s="7"/>
      <c r="AO561" s="7"/>
      <c r="AP561" s="7"/>
      <c r="AQ561" s="7"/>
      <c r="AS561" s="36"/>
      <c r="AT561" s="36"/>
      <c r="AU561" s="35"/>
      <c r="AV561" s="7"/>
      <c r="AW561" s="7"/>
      <c r="AX561" s="7"/>
      <c r="AY561" s="7"/>
      <c r="AZ561" s="7"/>
      <c r="BA561" s="7"/>
      <c r="BB561" s="7"/>
      <c r="BC561" s="7"/>
      <c r="BF561" s="7"/>
      <c r="BG561" s="36"/>
      <c r="BH561" s="36"/>
      <c r="BI561" s="36"/>
      <c r="BJ561" s="36"/>
      <c r="BK561" s="36"/>
      <c r="BL561" s="36"/>
      <c r="BM561" s="36"/>
      <c r="BN561" s="36"/>
      <c r="BO561" s="36"/>
    </row>
    <row r="562" spans="1:67" x14ac:dyDescent="0.25">
      <c r="A562" s="39"/>
      <c r="B562" s="40"/>
      <c r="U562" s="36"/>
      <c r="V562" s="36"/>
      <c r="W562" s="35"/>
      <c r="X562" s="7"/>
      <c r="Y562" s="7"/>
      <c r="Z562" s="7"/>
      <c r="AA562" s="7"/>
      <c r="AB562" s="7"/>
      <c r="AC562" s="7"/>
      <c r="AD562" s="7"/>
      <c r="AE562" s="7"/>
      <c r="AG562" s="36"/>
      <c r="AH562" s="36"/>
      <c r="AI562" s="35"/>
      <c r="AJ562" s="7"/>
      <c r="AK562" s="7"/>
      <c r="AL562" s="7"/>
      <c r="AM562" s="7"/>
      <c r="AN562" s="7"/>
      <c r="AO562" s="7"/>
      <c r="AP562" s="7"/>
      <c r="AQ562" s="7"/>
      <c r="AS562" s="36"/>
      <c r="AT562" s="36"/>
      <c r="AU562" s="35"/>
      <c r="AV562" s="7"/>
      <c r="AW562" s="7"/>
      <c r="AX562" s="7"/>
      <c r="AY562" s="7"/>
      <c r="AZ562" s="7"/>
      <c r="BA562" s="7"/>
      <c r="BB562" s="7"/>
      <c r="BC562" s="7"/>
      <c r="BF562" s="7"/>
      <c r="BG562" s="36"/>
      <c r="BH562" s="36"/>
      <c r="BI562" s="36"/>
      <c r="BJ562" s="36"/>
      <c r="BK562" s="36"/>
      <c r="BL562" s="36"/>
      <c r="BM562" s="36"/>
      <c r="BN562" s="36"/>
      <c r="BO562" s="36"/>
    </row>
    <row r="563" spans="1:67" x14ac:dyDescent="0.25">
      <c r="A563" s="39"/>
      <c r="B563" s="40"/>
      <c r="U563" s="36"/>
      <c r="V563" s="36"/>
      <c r="W563" s="35"/>
      <c r="X563" s="7"/>
      <c r="Y563" s="7"/>
      <c r="Z563" s="7"/>
      <c r="AA563" s="7"/>
      <c r="AB563" s="7"/>
      <c r="AC563" s="7"/>
      <c r="AD563" s="7"/>
      <c r="AE563" s="7"/>
      <c r="AG563" s="36"/>
      <c r="AH563" s="36"/>
      <c r="AI563" s="35"/>
      <c r="AJ563" s="7"/>
      <c r="AK563" s="7"/>
      <c r="AL563" s="7"/>
      <c r="AM563" s="7"/>
      <c r="AN563" s="7"/>
      <c r="AO563" s="7"/>
      <c r="AP563" s="7"/>
      <c r="AQ563" s="7"/>
      <c r="AS563" s="36"/>
      <c r="AT563" s="36"/>
      <c r="AU563" s="35"/>
      <c r="AV563" s="7"/>
      <c r="AW563" s="7"/>
      <c r="AX563" s="7"/>
      <c r="AY563" s="7"/>
      <c r="AZ563" s="7"/>
      <c r="BA563" s="7"/>
      <c r="BB563" s="7"/>
      <c r="BC563" s="7"/>
      <c r="BF563" s="7"/>
      <c r="BG563" s="36"/>
      <c r="BH563" s="36"/>
      <c r="BI563" s="36"/>
      <c r="BJ563" s="36"/>
      <c r="BK563" s="36"/>
      <c r="BL563" s="36"/>
      <c r="BM563" s="36"/>
      <c r="BN563" s="36"/>
      <c r="BO563" s="36"/>
    </row>
    <row r="564" spans="1:67" x14ac:dyDescent="0.25">
      <c r="A564" s="39"/>
      <c r="B564" s="40"/>
      <c r="U564" s="36"/>
      <c r="V564" s="36"/>
      <c r="W564" s="35"/>
      <c r="X564" s="7"/>
      <c r="Y564" s="7"/>
      <c r="Z564" s="7"/>
      <c r="AA564" s="7"/>
      <c r="AB564" s="7"/>
      <c r="AC564" s="7"/>
      <c r="AD564" s="7"/>
      <c r="AE564" s="7"/>
      <c r="AG564" s="36"/>
      <c r="AH564" s="36"/>
      <c r="AI564" s="35"/>
      <c r="AJ564" s="7"/>
      <c r="AK564" s="7"/>
      <c r="AL564" s="7"/>
      <c r="AM564" s="7"/>
      <c r="AN564" s="7"/>
      <c r="AO564" s="7"/>
      <c r="AP564" s="7"/>
      <c r="AQ564" s="7"/>
      <c r="AS564" s="36"/>
      <c r="AT564" s="36"/>
      <c r="AU564" s="35"/>
      <c r="AV564" s="7"/>
      <c r="AW564" s="7"/>
      <c r="AX564" s="7"/>
      <c r="AY564" s="7"/>
      <c r="AZ564" s="7"/>
      <c r="BA564" s="7"/>
      <c r="BB564" s="7"/>
      <c r="BC564" s="7"/>
      <c r="BF564" s="7"/>
      <c r="BG564" s="36"/>
      <c r="BH564" s="36"/>
      <c r="BI564" s="36"/>
      <c r="BJ564" s="36"/>
      <c r="BK564" s="36"/>
      <c r="BL564" s="36"/>
      <c r="BM564" s="36"/>
      <c r="BN564" s="36"/>
      <c r="BO564" s="36"/>
    </row>
    <row r="565" spans="1:67" x14ac:dyDescent="0.25">
      <c r="A565" s="39"/>
      <c r="B565" s="40"/>
      <c r="U565" s="36"/>
      <c r="V565" s="36"/>
      <c r="W565" s="35"/>
      <c r="X565" s="7"/>
      <c r="Y565" s="7"/>
      <c r="Z565" s="7"/>
      <c r="AA565" s="7"/>
      <c r="AB565" s="7"/>
      <c r="AC565" s="7"/>
      <c r="AD565" s="7"/>
      <c r="AE565" s="7"/>
      <c r="AG565" s="36"/>
      <c r="AH565" s="36"/>
      <c r="AI565" s="35"/>
      <c r="AJ565" s="7"/>
      <c r="AK565" s="7"/>
      <c r="AL565" s="7"/>
      <c r="AM565" s="7"/>
      <c r="AN565" s="7"/>
      <c r="AO565" s="7"/>
      <c r="AP565" s="7"/>
      <c r="AQ565" s="7"/>
      <c r="AS565" s="36"/>
      <c r="AT565" s="36"/>
      <c r="AU565" s="35"/>
      <c r="AV565" s="7"/>
      <c r="AW565" s="7"/>
      <c r="AX565" s="7"/>
      <c r="AY565" s="7"/>
      <c r="AZ565" s="7"/>
      <c r="BA565" s="7"/>
      <c r="BB565" s="7"/>
      <c r="BC565" s="7"/>
      <c r="BF565" s="7"/>
      <c r="BG565" s="36"/>
      <c r="BH565" s="36"/>
      <c r="BI565" s="36"/>
      <c r="BJ565" s="36"/>
      <c r="BK565" s="36"/>
      <c r="BL565" s="36"/>
      <c r="BM565" s="36"/>
      <c r="BN565" s="36"/>
      <c r="BO565" s="36"/>
    </row>
    <row r="566" spans="1:67" x14ac:dyDescent="0.25">
      <c r="A566" s="39"/>
      <c r="B566" s="40"/>
      <c r="U566" s="36"/>
      <c r="V566" s="36"/>
      <c r="W566" s="35"/>
      <c r="X566" s="7"/>
      <c r="Y566" s="7"/>
      <c r="Z566" s="7"/>
      <c r="AA566" s="7"/>
      <c r="AB566" s="7"/>
      <c r="AC566" s="7"/>
      <c r="AD566" s="7"/>
      <c r="AE566" s="7"/>
      <c r="AG566" s="36"/>
      <c r="AH566" s="36"/>
      <c r="AI566" s="35"/>
      <c r="AJ566" s="7"/>
      <c r="AK566" s="7"/>
      <c r="AL566" s="7"/>
      <c r="AM566" s="7"/>
      <c r="AN566" s="7"/>
      <c r="AO566" s="7"/>
      <c r="AP566" s="7"/>
      <c r="AQ566" s="7"/>
      <c r="AS566" s="36"/>
      <c r="AT566" s="36"/>
      <c r="AU566" s="35"/>
      <c r="AV566" s="7"/>
      <c r="AW566" s="7"/>
      <c r="AX566" s="7"/>
      <c r="AY566" s="7"/>
      <c r="AZ566" s="7"/>
      <c r="BA566" s="7"/>
      <c r="BB566" s="7"/>
      <c r="BC566" s="7"/>
      <c r="BF566" s="7"/>
      <c r="BG566" s="36"/>
      <c r="BH566" s="36"/>
      <c r="BI566" s="36"/>
      <c r="BJ566" s="36"/>
      <c r="BK566" s="36"/>
      <c r="BL566" s="36"/>
      <c r="BM566" s="36"/>
      <c r="BN566" s="36"/>
      <c r="BO566" s="36"/>
    </row>
    <row r="567" spans="1:67" x14ac:dyDescent="0.25">
      <c r="A567" s="39"/>
      <c r="B567" s="40"/>
      <c r="U567" s="36"/>
      <c r="V567" s="36"/>
      <c r="W567" s="35"/>
      <c r="X567" s="7"/>
      <c r="Y567" s="7"/>
      <c r="Z567" s="7"/>
      <c r="AA567" s="7"/>
      <c r="AB567" s="7"/>
      <c r="AC567" s="7"/>
      <c r="AD567" s="7"/>
      <c r="AE567" s="7"/>
      <c r="AG567" s="36"/>
      <c r="AH567" s="36"/>
      <c r="AI567" s="35"/>
      <c r="AJ567" s="7"/>
      <c r="AK567" s="7"/>
      <c r="AL567" s="7"/>
      <c r="AM567" s="7"/>
      <c r="AN567" s="7"/>
      <c r="AO567" s="7"/>
      <c r="AP567" s="7"/>
      <c r="AQ567" s="7"/>
      <c r="AS567" s="36"/>
      <c r="AT567" s="36"/>
      <c r="AU567" s="35"/>
      <c r="AV567" s="7"/>
      <c r="AW567" s="7"/>
      <c r="AX567" s="7"/>
      <c r="AY567" s="7"/>
      <c r="AZ567" s="7"/>
      <c r="BA567" s="7"/>
      <c r="BB567" s="7"/>
      <c r="BC567" s="7"/>
      <c r="BF567" s="7"/>
      <c r="BG567" s="36"/>
      <c r="BH567" s="36"/>
      <c r="BI567" s="36"/>
      <c r="BJ567" s="36"/>
      <c r="BK567" s="36"/>
      <c r="BL567" s="36"/>
      <c r="BM567" s="36"/>
      <c r="BN567" s="36"/>
      <c r="BO567" s="36"/>
    </row>
    <row r="568" spans="1:67" x14ac:dyDescent="0.25">
      <c r="A568" s="39"/>
      <c r="B568" s="40"/>
      <c r="U568" s="36"/>
      <c r="V568" s="36"/>
      <c r="W568" s="35"/>
      <c r="X568" s="7"/>
      <c r="Y568" s="7"/>
      <c r="Z568" s="7"/>
      <c r="AA568" s="7"/>
      <c r="AB568" s="7"/>
      <c r="AC568" s="7"/>
      <c r="AD568" s="7"/>
      <c r="AE568" s="7"/>
      <c r="AG568" s="36"/>
      <c r="AH568" s="36"/>
      <c r="AI568" s="35"/>
      <c r="AJ568" s="7"/>
      <c r="AK568" s="7"/>
      <c r="AL568" s="7"/>
      <c r="AM568" s="7"/>
      <c r="AN568" s="7"/>
      <c r="AO568" s="7"/>
      <c r="AP568" s="7"/>
      <c r="AQ568" s="7"/>
      <c r="AS568" s="36"/>
      <c r="AT568" s="36"/>
      <c r="AU568" s="35"/>
      <c r="AV568" s="7"/>
      <c r="AW568" s="7"/>
      <c r="AX568" s="7"/>
      <c r="AY568" s="7"/>
      <c r="AZ568" s="7"/>
      <c r="BA568" s="7"/>
      <c r="BB568" s="7"/>
      <c r="BC568" s="7"/>
      <c r="BF568" s="7"/>
      <c r="BG568" s="36"/>
      <c r="BH568" s="36"/>
      <c r="BI568" s="36"/>
      <c r="BJ568" s="36"/>
      <c r="BK568" s="36"/>
      <c r="BL568" s="36"/>
      <c r="BM568" s="36"/>
      <c r="BN568" s="36"/>
      <c r="BO568" s="36"/>
    </row>
    <row r="569" spans="1:67" x14ac:dyDescent="0.25">
      <c r="A569" s="39"/>
      <c r="B569" s="40"/>
      <c r="U569" s="36"/>
      <c r="V569" s="36"/>
      <c r="W569" s="35"/>
      <c r="X569" s="7"/>
      <c r="Y569" s="7"/>
      <c r="Z569" s="7"/>
      <c r="AA569" s="7"/>
      <c r="AB569" s="7"/>
      <c r="AC569" s="7"/>
      <c r="AD569" s="7"/>
      <c r="AE569" s="7"/>
      <c r="AG569" s="36"/>
      <c r="AH569" s="36"/>
      <c r="AI569" s="35"/>
      <c r="AJ569" s="7"/>
      <c r="AK569" s="7"/>
      <c r="AL569" s="7"/>
      <c r="AM569" s="7"/>
      <c r="AN569" s="7"/>
      <c r="AO569" s="7"/>
      <c r="AP569" s="7"/>
      <c r="AQ569" s="7"/>
      <c r="AS569" s="36"/>
      <c r="AT569" s="36"/>
      <c r="AU569" s="35"/>
      <c r="AV569" s="7"/>
      <c r="AW569" s="7"/>
      <c r="AX569" s="7"/>
      <c r="AY569" s="7"/>
      <c r="AZ569" s="7"/>
      <c r="BA569" s="7"/>
      <c r="BB569" s="7"/>
      <c r="BC569" s="7"/>
      <c r="BF569" s="7"/>
      <c r="BG569" s="36"/>
      <c r="BH569" s="36"/>
      <c r="BI569" s="36"/>
      <c r="BJ569" s="36"/>
      <c r="BK569" s="36"/>
      <c r="BL569" s="36"/>
      <c r="BM569" s="36"/>
      <c r="BN569" s="36"/>
      <c r="BO569" s="36"/>
    </row>
    <row r="570" spans="1:67" x14ac:dyDescent="0.25">
      <c r="A570" s="39"/>
      <c r="B570" s="40"/>
      <c r="U570" s="36"/>
      <c r="V570" s="36"/>
      <c r="W570" s="35"/>
      <c r="X570" s="7"/>
      <c r="Y570" s="7"/>
      <c r="Z570" s="7"/>
      <c r="AA570" s="7"/>
      <c r="AB570" s="7"/>
      <c r="AC570" s="7"/>
      <c r="AD570" s="7"/>
      <c r="AE570" s="7"/>
      <c r="AG570" s="36"/>
      <c r="AH570" s="36"/>
      <c r="AI570" s="35"/>
      <c r="AJ570" s="7"/>
      <c r="AK570" s="7"/>
      <c r="AL570" s="7"/>
      <c r="AM570" s="7"/>
      <c r="AN570" s="7"/>
      <c r="AO570" s="7"/>
      <c r="AP570" s="7"/>
      <c r="AQ570" s="7"/>
      <c r="AS570" s="36"/>
      <c r="AT570" s="36"/>
      <c r="AU570" s="35"/>
      <c r="AV570" s="7"/>
      <c r="AW570" s="7"/>
      <c r="AX570" s="7"/>
      <c r="AY570" s="7"/>
      <c r="AZ570" s="7"/>
      <c r="BA570" s="7"/>
      <c r="BB570" s="7"/>
      <c r="BC570" s="7"/>
      <c r="BF570" s="7"/>
      <c r="BG570" s="36"/>
      <c r="BH570" s="36"/>
      <c r="BI570" s="36"/>
      <c r="BJ570" s="36"/>
      <c r="BK570" s="36"/>
      <c r="BL570" s="36"/>
      <c r="BM570" s="36"/>
      <c r="BN570" s="36"/>
      <c r="BO570" s="36"/>
    </row>
    <row r="571" spans="1:67" x14ac:dyDescent="0.25">
      <c r="A571" s="39"/>
      <c r="B571" s="40"/>
      <c r="U571" s="36"/>
      <c r="V571" s="36"/>
      <c r="W571" s="35"/>
      <c r="X571" s="7"/>
      <c r="Y571" s="7"/>
      <c r="Z571" s="7"/>
      <c r="AA571" s="7"/>
      <c r="AB571" s="7"/>
      <c r="AC571" s="7"/>
      <c r="AD571" s="7"/>
      <c r="AE571" s="7"/>
      <c r="AG571" s="36"/>
      <c r="AH571" s="36"/>
      <c r="AI571" s="35"/>
      <c r="AJ571" s="7"/>
      <c r="AK571" s="7"/>
      <c r="AL571" s="7"/>
      <c r="AM571" s="7"/>
      <c r="AN571" s="7"/>
      <c r="AO571" s="7"/>
      <c r="AP571" s="7"/>
      <c r="AQ571" s="7"/>
      <c r="AS571" s="36"/>
      <c r="AT571" s="36"/>
      <c r="AU571" s="35"/>
      <c r="AV571" s="7"/>
      <c r="AW571" s="7"/>
      <c r="AX571" s="7"/>
      <c r="AY571" s="7"/>
      <c r="AZ571" s="7"/>
      <c r="BA571" s="7"/>
      <c r="BB571" s="7"/>
      <c r="BC571" s="7"/>
      <c r="BF571" s="7"/>
      <c r="BG571" s="36"/>
      <c r="BH571" s="36"/>
      <c r="BI571" s="36"/>
      <c r="BJ571" s="36"/>
      <c r="BK571" s="36"/>
      <c r="BL571" s="36"/>
      <c r="BM571" s="36"/>
      <c r="BN571" s="36"/>
      <c r="BO571" s="36"/>
    </row>
    <row r="572" spans="1:67" x14ac:dyDescent="0.25">
      <c r="A572" s="39"/>
      <c r="B572" s="40"/>
      <c r="U572" s="36"/>
      <c r="V572" s="36"/>
      <c r="W572" s="35"/>
      <c r="X572" s="7"/>
      <c r="Y572" s="7"/>
      <c r="Z572" s="7"/>
      <c r="AA572" s="7"/>
      <c r="AB572" s="7"/>
      <c r="AC572" s="7"/>
      <c r="AD572" s="7"/>
      <c r="AE572" s="7"/>
      <c r="AG572" s="36"/>
      <c r="AH572" s="36"/>
      <c r="AI572" s="35"/>
      <c r="AJ572" s="7"/>
      <c r="AK572" s="7"/>
      <c r="AL572" s="7"/>
      <c r="AM572" s="7"/>
      <c r="AN572" s="7"/>
      <c r="AO572" s="7"/>
      <c r="AP572" s="7"/>
      <c r="AQ572" s="7"/>
      <c r="AS572" s="36"/>
      <c r="AT572" s="36"/>
      <c r="AU572" s="35"/>
      <c r="AV572" s="7"/>
      <c r="AW572" s="7"/>
      <c r="AX572" s="7"/>
      <c r="AY572" s="7"/>
      <c r="AZ572" s="7"/>
      <c r="BA572" s="7"/>
      <c r="BB572" s="7"/>
      <c r="BC572" s="7"/>
      <c r="BF572" s="7"/>
      <c r="BG572" s="36"/>
      <c r="BH572" s="36"/>
      <c r="BI572" s="36"/>
      <c r="BJ572" s="36"/>
      <c r="BK572" s="36"/>
      <c r="BL572" s="36"/>
      <c r="BM572" s="36"/>
      <c r="BN572" s="36"/>
      <c r="BO572" s="36"/>
    </row>
    <row r="573" spans="1:67" x14ac:dyDescent="0.25">
      <c r="A573" s="39"/>
      <c r="B573" s="40"/>
      <c r="U573" s="36"/>
      <c r="V573" s="36"/>
      <c r="W573" s="35"/>
      <c r="X573" s="7"/>
      <c r="Y573" s="7"/>
      <c r="Z573" s="7"/>
      <c r="AA573" s="7"/>
      <c r="AB573" s="7"/>
      <c r="AC573" s="7"/>
      <c r="AD573" s="7"/>
      <c r="AE573" s="7"/>
      <c r="AG573" s="36"/>
      <c r="AH573" s="36"/>
      <c r="AI573" s="35"/>
      <c r="AJ573" s="7"/>
      <c r="AK573" s="7"/>
      <c r="AL573" s="7"/>
      <c r="AM573" s="7"/>
      <c r="AN573" s="7"/>
      <c r="AO573" s="7"/>
      <c r="AP573" s="7"/>
      <c r="AQ573" s="7"/>
      <c r="AS573" s="36"/>
      <c r="AT573" s="36"/>
      <c r="AU573" s="35"/>
      <c r="AV573" s="7"/>
      <c r="AW573" s="7"/>
      <c r="AX573" s="7"/>
      <c r="AY573" s="7"/>
      <c r="AZ573" s="7"/>
      <c r="BA573" s="7"/>
      <c r="BB573" s="7"/>
      <c r="BC573" s="7"/>
      <c r="BF573" s="7"/>
      <c r="BG573" s="36"/>
      <c r="BH573" s="36"/>
      <c r="BI573" s="36"/>
      <c r="BJ573" s="36"/>
      <c r="BK573" s="36"/>
      <c r="BL573" s="36"/>
      <c r="BM573" s="36"/>
      <c r="BN573" s="36"/>
      <c r="BO573" s="36"/>
    </row>
    <row r="574" spans="1:67" x14ac:dyDescent="0.25">
      <c r="A574" s="39"/>
      <c r="B574" s="40"/>
      <c r="U574" s="36"/>
      <c r="V574" s="36"/>
      <c r="W574" s="35"/>
      <c r="X574" s="7"/>
      <c r="Y574" s="7"/>
      <c r="Z574" s="7"/>
      <c r="AA574" s="7"/>
      <c r="AB574" s="7"/>
      <c r="AC574" s="7"/>
      <c r="AD574" s="7"/>
      <c r="AE574" s="7"/>
      <c r="AG574" s="36"/>
      <c r="AH574" s="36"/>
      <c r="AI574" s="35"/>
      <c r="AJ574" s="7"/>
      <c r="AK574" s="7"/>
      <c r="AL574" s="7"/>
      <c r="AM574" s="7"/>
      <c r="AN574" s="7"/>
      <c r="AO574" s="7"/>
      <c r="AP574" s="7"/>
      <c r="AQ574" s="7"/>
      <c r="AS574" s="36"/>
      <c r="AT574" s="36"/>
      <c r="AU574" s="35"/>
      <c r="AV574" s="7"/>
      <c r="AW574" s="7"/>
      <c r="AX574" s="7"/>
      <c r="AY574" s="7"/>
      <c r="AZ574" s="7"/>
      <c r="BA574" s="7"/>
      <c r="BB574" s="7"/>
      <c r="BC574" s="7"/>
      <c r="BF574" s="7"/>
      <c r="BG574" s="36"/>
      <c r="BH574" s="36"/>
      <c r="BI574" s="36"/>
      <c r="BJ574" s="36"/>
      <c r="BK574" s="36"/>
      <c r="BL574" s="36"/>
      <c r="BM574" s="36"/>
      <c r="BN574" s="36"/>
      <c r="BO574" s="36"/>
    </row>
    <row r="575" spans="1:67" x14ac:dyDescent="0.25">
      <c r="A575" s="39"/>
      <c r="B575" s="40"/>
      <c r="U575" s="36"/>
      <c r="V575" s="36"/>
      <c r="W575" s="35"/>
      <c r="X575" s="7"/>
      <c r="Y575" s="7"/>
      <c r="Z575" s="7"/>
      <c r="AA575" s="7"/>
      <c r="AB575" s="7"/>
      <c r="AC575" s="7"/>
      <c r="AD575" s="7"/>
      <c r="AE575" s="7"/>
      <c r="AG575" s="36"/>
      <c r="AH575" s="36"/>
      <c r="AI575" s="35"/>
      <c r="AJ575" s="7"/>
      <c r="AK575" s="7"/>
      <c r="AL575" s="7"/>
      <c r="AM575" s="7"/>
      <c r="AN575" s="7"/>
      <c r="AO575" s="7"/>
      <c r="AP575" s="7"/>
      <c r="AQ575" s="7"/>
      <c r="AS575" s="36"/>
      <c r="AT575" s="36"/>
      <c r="AU575" s="35"/>
      <c r="AV575" s="7"/>
      <c r="AW575" s="7"/>
      <c r="AX575" s="7"/>
      <c r="AY575" s="7"/>
      <c r="AZ575" s="7"/>
      <c r="BA575" s="7"/>
      <c r="BB575" s="7"/>
      <c r="BC575" s="7"/>
      <c r="BF575" s="7"/>
      <c r="BG575" s="36"/>
      <c r="BH575" s="36"/>
      <c r="BI575" s="36"/>
      <c r="BJ575" s="36"/>
      <c r="BK575" s="36"/>
      <c r="BL575" s="36"/>
      <c r="BM575" s="36"/>
      <c r="BN575" s="36"/>
      <c r="BO575" s="36"/>
    </row>
    <row r="576" spans="1:67" x14ac:dyDescent="0.25">
      <c r="A576" s="39"/>
      <c r="B576" s="40"/>
      <c r="U576" s="36"/>
      <c r="V576" s="36"/>
      <c r="W576" s="35"/>
      <c r="X576" s="7"/>
      <c r="Y576" s="7"/>
      <c r="Z576" s="7"/>
      <c r="AA576" s="7"/>
      <c r="AB576" s="7"/>
      <c r="AC576" s="7"/>
      <c r="AD576" s="7"/>
      <c r="AE576" s="7"/>
      <c r="AG576" s="36"/>
      <c r="AH576" s="36"/>
      <c r="AI576" s="35"/>
      <c r="AJ576" s="7"/>
      <c r="AK576" s="7"/>
      <c r="AL576" s="7"/>
      <c r="AM576" s="7"/>
      <c r="AN576" s="7"/>
      <c r="AO576" s="7"/>
      <c r="AP576" s="7"/>
      <c r="AQ576" s="7"/>
      <c r="AS576" s="36"/>
      <c r="AT576" s="36"/>
      <c r="AU576" s="35"/>
      <c r="AV576" s="7"/>
      <c r="AW576" s="7"/>
      <c r="AX576" s="7"/>
      <c r="AY576" s="7"/>
      <c r="AZ576" s="7"/>
      <c r="BA576" s="7"/>
      <c r="BB576" s="7"/>
      <c r="BC576" s="7"/>
      <c r="BF576" s="7"/>
      <c r="BG576" s="36"/>
      <c r="BH576" s="36"/>
      <c r="BI576" s="36"/>
      <c r="BJ576" s="36"/>
      <c r="BK576" s="36"/>
      <c r="BL576" s="36"/>
      <c r="BM576" s="36"/>
      <c r="BN576" s="36"/>
      <c r="BO576" s="36"/>
    </row>
    <row r="577" spans="1:67" x14ac:dyDescent="0.25">
      <c r="A577" s="39"/>
      <c r="B577" s="40"/>
      <c r="U577" s="36"/>
      <c r="V577" s="36"/>
      <c r="W577" s="35"/>
      <c r="X577" s="7"/>
      <c r="Y577" s="7"/>
      <c r="Z577" s="7"/>
      <c r="AA577" s="7"/>
      <c r="AB577" s="7"/>
      <c r="AC577" s="7"/>
      <c r="AD577" s="7"/>
      <c r="AE577" s="7"/>
      <c r="AG577" s="36"/>
      <c r="AH577" s="36"/>
      <c r="AI577" s="35"/>
      <c r="AJ577" s="7"/>
      <c r="AK577" s="7"/>
      <c r="AL577" s="7"/>
      <c r="AM577" s="7"/>
      <c r="AN577" s="7"/>
      <c r="AO577" s="7"/>
      <c r="AP577" s="7"/>
      <c r="AQ577" s="7"/>
      <c r="AS577" s="36"/>
      <c r="AT577" s="36"/>
      <c r="AU577" s="35"/>
      <c r="AV577" s="7"/>
      <c r="AW577" s="7"/>
      <c r="AX577" s="7"/>
      <c r="AY577" s="7"/>
      <c r="AZ577" s="7"/>
      <c r="BA577" s="7"/>
      <c r="BB577" s="7"/>
      <c r="BC577" s="7"/>
      <c r="BF577" s="7"/>
      <c r="BG577" s="36"/>
      <c r="BH577" s="36"/>
      <c r="BI577" s="36"/>
      <c r="BJ577" s="36"/>
      <c r="BK577" s="36"/>
      <c r="BL577" s="36"/>
      <c r="BM577" s="36"/>
      <c r="BN577" s="36"/>
      <c r="BO577" s="36"/>
    </row>
    <row r="578" spans="1:67" x14ac:dyDescent="0.25">
      <c r="A578" s="39"/>
      <c r="B578" s="40"/>
      <c r="U578" s="36"/>
      <c r="V578" s="36"/>
      <c r="W578" s="35"/>
      <c r="X578" s="7"/>
      <c r="Y578" s="7"/>
      <c r="Z578" s="7"/>
      <c r="AA578" s="7"/>
      <c r="AB578" s="7"/>
      <c r="AC578" s="7"/>
      <c r="AD578" s="7"/>
      <c r="AE578" s="7"/>
      <c r="AG578" s="36"/>
      <c r="AH578" s="36"/>
      <c r="AI578" s="35"/>
      <c r="AJ578" s="7"/>
      <c r="AK578" s="7"/>
      <c r="AL578" s="7"/>
      <c r="AM578" s="7"/>
      <c r="AN578" s="7"/>
      <c r="AO578" s="7"/>
      <c r="AP578" s="7"/>
      <c r="AQ578" s="7"/>
      <c r="AS578" s="36"/>
      <c r="AT578" s="36"/>
      <c r="AU578" s="35"/>
      <c r="AV578" s="7"/>
      <c r="AW578" s="7"/>
      <c r="AX578" s="7"/>
      <c r="AY578" s="7"/>
      <c r="AZ578" s="7"/>
      <c r="BA578" s="7"/>
      <c r="BB578" s="7"/>
      <c r="BC578" s="7"/>
      <c r="BF578" s="7"/>
      <c r="BG578" s="36"/>
      <c r="BH578" s="36"/>
      <c r="BI578" s="36"/>
      <c r="BJ578" s="36"/>
      <c r="BK578" s="36"/>
      <c r="BL578" s="36"/>
      <c r="BM578" s="36"/>
      <c r="BN578" s="36"/>
      <c r="BO578" s="36"/>
    </row>
    <row r="579" spans="1:67" x14ac:dyDescent="0.25">
      <c r="A579" s="39"/>
      <c r="B579" s="40"/>
      <c r="U579" s="36"/>
      <c r="V579" s="36"/>
      <c r="W579" s="35"/>
      <c r="X579" s="7"/>
      <c r="Y579" s="7"/>
      <c r="Z579" s="7"/>
      <c r="AA579" s="7"/>
      <c r="AB579" s="7"/>
      <c r="AC579" s="7"/>
      <c r="AD579" s="7"/>
      <c r="AE579" s="7"/>
      <c r="AG579" s="36"/>
      <c r="AH579" s="36"/>
      <c r="AI579" s="35"/>
      <c r="AJ579" s="7"/>
      <c r="AK579" s="7"/>
      <c r="AL579" s="7"/>
      <c r="AM579" s="7"/>
      <c r="AN579" s="7"/>
      <c r="AO579" s="7"/>
      <c r="AP579" s="7"/>
      <c r="AQ579" s="7"/>
      <c r="AS579" s="36"/>
      <c r="AT579" s="36"/>
      <c r="AU579" s="35"/>
      <c r="AV579" s="7"/>
      <c r="AW579" s="7"/>
      <c r="AX579" s="7"/>
      <c r="AY579" s="7"/>
      <c r="AZ579" s="7"/>
      <c r="BA579" s="7"/>
      <c r="BB579" s="7"/>
      <c r="BC579" s="7"/>
      <c r="BF579" s="7"/>
      <c r="BG579" s="36"/>
      <c r="BH579" s="36"/>
      <c r="BI579" s="36"/>
      <c r="BJ579" s="36"/>
      <c r="BK579" s="36"/>
      <c r="BL579" s="36"/>
      <c r="BM579" s="36"/>
      <c r="BN579" s="36"/>
      <c r="BO579" s="36"/>
    </row>
    <row r="580" spans="1:67" x14ac:dyDescent="0.25">
      <c r="A580" s="39"/>
      <c r="B580" s="40"/>
      <c r="U580" s="36"/>
      <c r="V580" s="36"/>
      <c r="W580" s="35"/>
      <c r="X580" s="7"/>
      <c r="Y580" s="7"/>
      <c r="Z580" s="7"/>
      <c r="AA580" s="7"/>
      <c r="AB580" s="7"/>
      <c r="AC580" s="7"/>
      <c r="AD580" s="7"/>
      <c r="AE580" s="7"/>
      <c r="AG580" s="36"/>
      <c r="AH580" s="36"/>
      <c r="AI580" s="35"/>
      <c r="AJ580" s="7"/>
      <c r="AK580" s="7"/>
      <c r="AL580" s="7"/>
      <c r="AM580" s="7"/>
      <c r="AN580" s="7"/>
      <c r="AO580" s="7"/>
      <c r="AP580" s="7"/>
      <c r="AQ580" s="7"/>
      <c r="AS580" s="36"/>
      <c r="AT580" s="36"/>
      <c r="AU580" s="35"/>
      <c r="AV580" s="7"/>
      <c r="AW580" s="7"/>
      <c r="AX580" s="7"/>
      <c r="AY580" s="7"/>
      <c r="AZ580" s="7"/>
      <c r="BA580" s="7"/>
      <c r="BB580" s="7"/>
      <c r="BC580" s="7"/>
      <c r="BF580" s="7"/>
      <c r="BG580" s="36"/>
      <c r="BH580" s="36"/>
      <c r="BI580" s="36"/>
      <c r="BJ580" s="36"/>
      <c r="BK580" s="36"/>
      <c r="BL580" s="36"/>
      <c r="BM580" s="36"/>
      <c r="BN580" s="36"/>
      <c r="BO580" s="36"/>
    </row>
    <row r="581" spans="1:67" x14ac:dyDescent="0.25">
      <c r="A581" s="39"/>
      <c r="B581" s="40"/>
      <c r="U581" s="36"/>
      <c r="V581" s="36"/>
      <c r="W581" s="35"/>
      <c r="X581" s="7"/>
      <c r="Y581" s="7"/>
      <c r="Z581" s="7"/>
      <c r="AA581" s="7"/>
      <c r="AB581" s="7"/>
      <c r="AC581" s="7"/>
      <c r="AD581" s="7"/>
      <c r="AE581" s="7"/>
      <c r="AG581" s="36"/>
      <c r="AH581" s="36"/>
      <c r="AI581" s="35"/>
      <c r="AJ581" s="7"/>
      <c r="AK581" s="7"/>
      <c r="AL581" s="7"/>
      <c r="AM581" s="7"/>
      <c r="AN581" s="7"/>
      <c r="AO581" s="7"/>
      <c r="AP581" s="7"/>
      <c r="AQ581" s="7"/>
      <c r="AS581" s="36"/>
      <c r="AT581" s="36"/>
      <c r="AU581" s="35"/>
      <c r="AV581" s="7"/>
      <c r="AW581" s="7"/>
      <c r="AX581" s="7"/>
      <c r="AY581" s="7"/>
      <c r="AZ581" s="7"/>
      <c r="BA581" s="7"/>
      <c r="BB581" s="7"/>
      <c r="BC581" s="7"/>
      <c r="BF581" s="7"/>
      <c r="BG581" s="36"/>
      <c r="BH581" s="36"/>
      <c r="BI581" s="36"/>
      <c r="BJ581" s="36"/>
      <c r="BK581" s="36"/>
      <c r="BL581" s="36"/>
      <c r="BM581" s="36"/>
      <c r="BN581" s="36"/>
      <c r="BO581" s="36"/>
    </row>
    <row r="582" spans="1:67" x14ac:dyDescent="0.25">
      <c r="A582" s="39"/>
      <c r="B582" s="40"/>
      <c r="U582" s="36"/>
      <c r="V582" s="36"/>
      <c r="W582" s="35"/>
      <c r="X582" s="7"/>
      <c r="Y582" s="7"/>
      <c r="Z582" s="7"/>
      <c r="AA582" s="7"/>
      <c r="AB582" s="7"/>
      <c r="AC582" s="7"/>
      <c r="AD582" s="7"/>
      <c r="AE582" s="7"/>
      <c r="AG582" s="36"/>
      <c r="AH582" s="36"/>
      <c r="AI582" s="35"/>
      <c r="AJ582" s="7"/>
      <c r="AK582" s="7"/>
      <c r="AL582" s="7"/>
      <c r="AM582" s="7"/>
      <c r="AN582" s="7"/>
      <c r="AO582" s="7"/>
      <c r="AP582" s="7"/>
      <c r="AQ582" s="7"/>
      <c r="AS582" s="36"/>
      <c r="AT582" s="36"/>
      <c r="AU582" s="35"/>
      <c r="AV582" s="7"/>
      <c r="AW582" s="7"/>
      <c r="AX582" s="7"/>
      <c r="AY582" s="7"/>
      <c r="AZ582" s="7"/>
      <c r="BA582" s="7"/>
      <c r="BB582" s="7"/>
      <c r="BC582" s="7"/>
      <c r="BF582" s="7"/>
      <c r="BG582" s="36"/>
      <c r="BH582" s="36"/>
      <c r="BI582" s="36"/>
      <c r="BJ582" s="36"/>
      <c r="BK582" s="36"/>
      <c r="BL582" s="36"/>
      <c r="BM582" s="36"/>
      <c r="BN582" s="36"/>
      <c r="BO582" s="36"/>
    </row>
    <row r="583" spans="1:67" x14ac:dyDescent="0.25">
      <c r="A583" s="39"/>
      <c r="B583" s="40"/>
      <c r="U583" s="36"/>
      <c r="V583" s="36"/>
      <c r="W583" s="35"/>
      <c r="X583" s="7"/>
      <c r="Y583" s="7"/>
      <c r="Z583" s="7"/>
      <c r="AA583" s="7"/>
      <c r="AB583" s="7"/>
      <c r="AC583" s="7"/>
      <c r="AD583" s="7"/>
      <c r="AE583" s="7"/>
      <c r="AG583" s="36"/>
      <c r="AH583" s="36"/>
      <c r="AI583" s="35"/>
      <c r="AJ583" s="7"/>
      <c r="AK583" s="7"/>
      <c r="AL583" s="7"/>
      <c r="AM583" s="7"/>
      <c r="AN583" s="7"/>
      <c r="AO583" s="7"/>
      <c r="AP583" s="7"/>
      <c r="AQ583" s="7"/>
      <c r="AS583" s="36"/>
      <c r="AT583" s="36"/>
      <c r="AU583" s="35"/>
      <c r="AV583" s="7"/>
      <c r="AW583" s="7"/>
      <c r="AX583" s="7"/>
      <c r="AY583" s="7"/>
      <c r="AZ583" s="7"/>
      <c r="BA583" s="7"/>
      <c r="BB583" s="7"/>
      <c r="BC583" s="7"/>
      <c r="BF583" s="7"/>
      <c r="BG583" s="36"/>
      <c r="BH583" s="36"/>
      <c r="BI583" s="36"/>
      <c r="BJ583" s="36"/>
      <c r="BK583" s="36"/>
      <c r="BL583" s="36"/>
      <c r="BM583" s="36"/>
      <c r="BN583" s="36"/>
      <c r="BO583" s="36"/>
    </row>
    <row r="584" spans="1:67" x14ac:dyDescent="0.25">
      <c r="A584" s="39"/>
      <c r="B584" s="40"/>
      <c r="U584" s="36"/>
      <c r="V584" s="36"/>
      <c r="W584" s="35"/>
      <c r="X584" s="7"/>
      <c r="Y584" s="7"/>
      <c r="Z584" s="7"/>
      <c r="AA584" s="7"/>
      <c r="AB584" s="7"/>
      <c r="AC584" s="7"/>
      <c r="AD584" s="7"/>
      <c r="AE584" s="7"/>
      <c r="AG584" s="36"/>
      <c r="AH584" s="36"/>
      <c r="AI584" s="35"/>
      <c r="AJ584" s="7"/>
      <c r="AK584" s="7"/>
      <c r="AL584" s="7"/>
      <c r="AM584" s="7"/>
      <c r="AN584" s="7"/>
      <c r="AO584" s="7"/>
      <c r="AP584" s="7"/>
      <c r="AQ584" s="7"/>
      <c r="AS584" s="36"/>
      <c r="AT584" s="36"/>
      <c r="AU584" s="35"/>
      <c r="AV584" s="7"/>
      <c r="AW584" s="7"/>
      <c r="AX584" s="7"/>
      <c r="AY584" s="7"/>
      <c r="AZ584" s="7"/>
      <c r="BA584" s="7"/>
      <c r="BB584" s="7"/>
      <c r="BC584" s="7"/>
      <c r="BF584" s="7"/>
      <c r="BG584" s="36"/>
      <c r="BH584" s="36"/>
      <c r="BI584" s="36"/>
      <c r="BJ584" s="36"/>
      <c r="BK584" s="36"/>
      <c r="BL584" s="36"/>
      <c r="BM584" s="36"/>
      <c r="BN584" s="36"/>
      <c r="BO584" s="36"/>
    </row>
    <row r="585" spans="1:67" x14ac:dyDescent="0.25">
      <c r="A585" s="39"/>
      <c r="B585" s="40"/>
      <c r="U585" s="36"/>
      <c r="V585" s="36"/>
      <c r="W585" s="35"/>
      <c r="X585" s="7"/>
      <c r="Y585" s="7"/>
      <c r="Z585" s="7"/>
      <c r="AA585" s="7"/>
      <c r="AB585" s="7"/>
      <c r="AC585" s="7"/>
      <c r="AD585" s="7"/>
      <c r="AE585" s="7"/>
      <c r="AG585" s="36"/>
      <c r="AH585" s="36"/>
      <c r="AI585" s="35"/>
      <c r="AJ585" s="7"/>
      <c r="AK585" s="7"/>
      <c r="AL585" s="7"/>
      <c r="AM585" s="7"/>
      <c r="AN585" s="7"/>
      <c r="AO585" s="7"/>
      <c r="AP585" s="7"/>
      <c r="AQ585" s="7"/>
      <c r="AS585" s="36"/>
      <c r="AT585" s="36"/>
      <c r="AU585" s="35"/>
      <c r="AV585" s="7"/>
      <c r="AW585" s="7"/>
      <c r="AX585" s="7"/>
      <c r="AY585" s="7"/>
      <c r="AZ585" s="7"/>
      <c r="BA585" s="7"/>
      <c r="BB585" s="7"/>
      <c r="BC585" s="7"/>
      <c r="BF585" s="7"/>
      <c r="BG585" s="36"/>
      <c r="BH585" s="36"/>
      <c r="BI585" s="36"/>
      <c r="BJ585" s="36"/>
      <c r="BK585" s="36"/>
      <c r="BL585" s="36"/>
      <c r="BM585" s="36"/>
      <c r="BN585" s="36"/>
      <c r="BO585" s="36"/>
    </row>
    <row r="586" spans="1:67" x14ac:dyDescent="0.25">
      <c r="A586" s="39"/>
      <c r="B586" s="40"/>
      <c r="U586" s="36"/>
      <c r="V586" s="36"/>
      <c r="W586" s="35"/>
      <c r="X586" s="7"/>
      <c r="Y586" s="7"/>
      <c r="Z586" s="7"/>
      <c r="AA586" s="7"/>
      <c r="AB586" s="7"/>
      <c r="AC586" s="7"/>
      <c r="AD586" s="7"/>
      <c r="AE586" s="7"/>
      <c r="AG586" s="36"/>
      <c r="AH586" s="36"/>
      <c r="AI586" s="35"/>
      <c r="AJ586" s="7"/>
      <c r="AK586" s="7"/>
      <c r="AL586" s="7"/>
      <c r="AM586" s="7"/>
      <c r="AN586" s="7"/>
      <c r="AO586" s="7"/>
      <c r="AP586" s="7"/>
      <c r="AQ586" s="7"/>
      <c r="AS586" s="36"/>
      <c r="AT586" s="36"/>
      <c r="AU586" s="35"/>
      <c r="AV586" s="7"/>
      <c r="AW586" s="7"/>
      <c r="AX586" s="7"/>
      <c r="AY586" s="7"/>
      <c r="AZ586" s="7"/>
      <c r="BA586" s="7"/>
      <c r="BB586" s="7"/>
      <c r="BC586" s="7"/>
      <c r="BF586" s="7"/>
      <c r="BG586" s="36"/>
      <c r="BH586" s="36"/>
      <c r="BI586" s="36"/>
      <c r="BJ586" s="36"/>
      <c r="BK586" s="36"/>
      <c r="BL586" s="36"/>
      <c r="BM586" s="36"/>
      <c r="BN586" s="36"/>
      <c r="BO586" s="36"/>
    </row>
    <row r="587" spans="1:67" x14ac:dyDescent="0.25">
      <c r="A587" s="39"/>
      <c r="B587" s="40"/>
      <c r="U587" s="36"/>
      <c r="V587" s="36"/>
      <c r="W587" s="35"/>
      <c r="X587" s="7"/>
      <c r="Y587" s="7"/>
      <c r="Z587" s="7"/>
      <c r="AA587" s="7"/>
      <c r="AB587" s="7"/>
      <c r="AC587" s="7"/>
      <c r="AD587" s="7"/>
      <c r="AE587" s="7"/>
      <c r="AG587" s="36"/>
      <c r="AH587" s="36"/>
      <c r="AI587" s="35"/>
      <c r="AJ587" s="7"/>
      <c r="AK587" s="7"/>
      <c r="AL587" s="7"/>
      <c r="AM587" s="7"/>
      <c r="AN587" s="7"/>
      <c r="AO587" s="7"/>
      <c r="AP587" s="7"/>
      <c r="AQ587" s="7"/>
      <c r="AS587" s="36"/>
      <c r="AT587" s="36"/>
      <c r="AU587" s="35"/>
      <c r="AV587" s="7"/>
      <c r="AW587" s="7"/>
      <c r="AX587" s="7"/>
      <c r="AY587" s="7"/>
      <c r="AZ587" s="7"/>
      <c r="BA587" s="7"/>
      <c r="BB587" s="7"/>
      <c r="BC587" s="7"/>
      <c r="BF587" s="7"/>
      <c r="BG587" s="36"/>
      <c r="BH587" s="36"/>
      <c r="BI587" s="36"/>
      <c r="BJ587" s="36"/>
      <c r="BK587" s="36"/>
      <c r="BL587" s="36"/>
      <c r="BM587" s="36"/>
      <c r="BN587" s="36"/>
      <c r="BO587" s="36"/>
    </row>
    <row r="588" spans="1:67" x14ac:dyDescent="0.25">
      <c r="A588" s="39"/>
      <c r="B588" s="40"/>
      <c r="U588" s="36"/>
      <c r="V588" s="36"/>
      <c r="W588" s="35"/>
      <c r="X588" s="7"/>
      <c r="Y588" s="7"/>
      <c r="Z588" s="7"/>
      <c r="AA588" s="7"/>
      <c r="AB588" s="7"/>
      <c r="AC588" s="7"/>
      <c r="AD588" s="7"/>
      <c r="AE588" s="7"/>
      <c r="AG588" s="36"/>
      <c r="AH588" s="36"/>
      <c r="AI588" s="35"/>
      <c r="AJ588" s="7"/>
      <c r="AK588" s="7"/>
      <c r="AL588" s="7"/>
      <c r="AM588" s="7"/>
      <c r="AN588" s="7"/>
      <c r="AO588" s="7"/>
      <c r="AP588" s="7"/>
      <c r="AQ588" s="7"/>
      <c r="AS588" s="36"/>
      <c r="AT588" s="36"/>
      <c r="AU588" s="35"/>
      <c r="AV588" s="7"/>
      <c r="AW588" s="7"/>
      <c r="AX588" s="7"/>
      <c r="AY588" s="7"/>
      <c r="AZ588" s="7"/>
      <c r="BA588" s="7"/>
      <c r="BB588" s="7"/>
      <c r="BC588" s="7"/>
      <c r="BF588" s="7"/>
      <c r="BG588" s="36"/>
      <c r="BH588" s="36"/>
      <c r="BI588" s="36"/>
      <c r="BJ588" s="36"/>
      <c r="BK588" s="36"/>
      <c r="BL588" s="36"/>
      <c r="BM588" s="36"/>
      <c r="BN588" s="36"/>
      <c r="BO588" s="36"/>
    </row>
    <row r="589" spans="1:67" x14ac:dyDescent="0.25">
      <c r="A589" s="39"/>
      <c r="B589" s="40"/>
      <c r="U589" s="36"/>
      <c r="V589" s="36"/>
      <c r="W589" s="35"/>
      <c r="X589" s="7"/>
      <c r="Y589" s="7"/>
      <c r="Z589" s="7"/>
      <c r="AA589" s="7"/>
      <c r="AB589" s="7"/>
      <c r="AC589" s="7"/>
      <c r="AD589" s="7"/>
      <c r="AE589" s="7"/>
      <c r="AG589" s="36"/>
      <c r="AH589" s="36"/>
      <c r="AI589" s="35"/>
      <c r="AJ589" s="7"/>
      <c r="AK589" s="7"/>
      <c r="AL589" s="7"/>
      <c r="AM589" s="7"/>
      <c r="AN589" s="7"/>
      <c r="AO589" s="7"/>
      <c r="AP589" s="7"/>
      <c r="AQ589" s="7"/>
      <c r="AS589" s="36"/>
      <c r="AT589" s="36"/>
      <c r="AU589" s="35"/>
      <c r="AV589" s="7"/>
      <c r="AW589" s="7"/>
      <c r="AX589" s="7"/>
      <c r="AY589" s="7"/>
      <c r="AZ589" s="7"/>
      <c r="BA589" s="7"/>
      <c r="BB589" s="7"/>
      <c r="BC589" s="7"/>
      <c r="BF589" s="7"/>
      <c r="BG589" s="36"/>
      <c r="BH589" s="36"/>
      <c r="BI589" s="36"/>
      <c r="BJ589" s="36"/>
      <c r="BK589" s="36"/>
      <c r="BL589" s="36"/>
      <c r="BM589" s="36"/>
      <c r="BN589" s="36"/>
      <c r="BO589" s="36"/>
    </row>
    <row r="590" spans="1:67" x14ac:dyDescent="0.25">
      <c r="A590" s="39"/>
      <c r="B590" s="40"/>
      <c r="U590" s="36"/>
      <c r="V590" s="36"/>
      <c r="W590" s="35"/>
      <c r="X590" s="7"/>
      <c r="Y590" s="7"/>
      <c r="Z590" s="7"/>
      <c r="AA590" s="7"/>
      <c r="AB590" s="7"/>
      <c r="AC590" s="7"/>
      <c r="AD590" s="7"/>
      <c r="AE590" s="7"/>
      <c r="AG590" s="36"/>
      <c r="AH590" s="36"/>
      <c r="AI590" s="35"/>
      <c r="AJ590" s="7"/>
      <c r="AK590" s="7"/>
      <c r="AL590" s="7"/>
      <c r="AM590" s="7"/>
      <c r="AN590" s="7"/>
      <c r="AO590" s="7"/>
      <c r="AP590" s="7"/>
      <c r="AQ590" s="7"/>
      <c r="AS590" s="36"/>
      <c r="AT590" s="36"/>
      <c r="AU590" s="35"/>
      <c r="AV590" s="7"/>
      <c r="AW590" s="7"/>
      <c r="AX590" s="7"/>
      <c r="AY590" s="7"/>
      <c r="AZ590" s="7"/>
      <c r="BA590" s="7"/>
      <c r="BB590" s="7"/>
      <c r="BC590" s="7"/>
      <c r="BF590" s="7"/>
      <c r="BG590" s="36"/>
      <c r="BH590" s="36"/>
      <c r="BI590" s="36"/>
      <c r="BJ590" s="36"/>
      <c r="BK590" s="36"/>
      <c r="BL590" s="36"/>
      <c r="BM590" s="36"/>
      <c r="BN590" s="36"/>
      <c r="BO590" s="36"/>
    </row>
    <row r="591" spans="1:67" x14ac:dyDescent="0.25">
      <c r="A591" s="39"/>
      <c r="B591" s="40"/>
      <c r="U591" s="36"/>
      <c r="V591" s="36"/>
      <c r="W591" s="35"/>
      <c r="X591" s="7"/>
      <c r="Y591" s="7"/>
      <c r="Z591" s="7"/>
      <c r="AA591" s="7"/>
      <c r="AB591" s="7"/>
      <c r="AC591" s="7"/>
      <c r="AD591" s="7"/>
      <c r="AE591" s="7"/>
      <c r="AG591" s="36"/>
      <c r="AH591" s="36"/>
      <c r="AI591" s="35"/>
      <c r="AJ591" s="7"/>
      <c r="AK591" s="7"/>
      <c r="AL591" s="7"/>
      <c r="AM591" s="7"/>
      <c r="AN591" s="7"/>
      <c r="AO591" s="7"/>
      <c r="AP591" s="7"/>
      <c r="AQ591" s="7"/>
      <c r="AS591" s="36"/>
      <c r="AT591" s="36"/>
      <c r="AU591" s="35"/>
      <c r="AV591" s="7"/>
      <c r="AW591" s="7"/>
      <c r="AX591" s="7"/>
      <c r="AY591" s="7"/>
      <c r="AZ591" s="7"/>
      <c r="BA591" s="7"/>
      <c r="BB591" s="7"/>
      <c r="BC591" s="7"/>
      <c r="BF591" s="7"/>
      <c r="BG591" s="36"/>
      <c r="BH591" s="36"/>
      <c r="BI591" s="36"/>
      <c r="BJ591" s="36"/>
      <c r="BK591" s="36"/>
      <c r="BL591" s="36"/>
      <c r="BM591" s="36"/>
      <c r="BN591" s="36"/>
      <c r="BO591" s="36"/>
    </row>
    <row r="592" spans="1:67" x14ac:dyDescent="0.25">
      <c r="A592" s="39"/>
      <c r="B592" s="40"/>
      <c r="U592" s="36"/>
      <c r="V592" s="36"/>
      <c r="W592" s="35"/>
      <c r="X592" s="7"/>
      <c r="Y592" s="7"/>
      <c r="Z592" s="7"/>
      <c r="AA592" s="7"/>
      <c r="AB592" s="7"/>
      <c r="AC592" s="7"/>
      <c r="AD592" s="7"/>
      <c r="AE592" s="7"/>
      <c r="AG592" s="36"/>
      <c r="AH592" s="36"/>
      <c r="AI592" s="35"/>
      <c r="AJ592" s="7"/>
      <c r="AK592" s="7"/>
      <c r="AL592" s="7"/>
      <c r="AM592" s="7"/>
      <c r="AN592" s="7"/>
      <c r="AO592" s="7"/>
      <c r="AP592" s="7"/>
      <c r="AQ592" s="7"/>
      <c r="AS592" s="36"/>
      <c r="AT592" s="36"/>
      <c r="AU592" s="35"/>
      <c r="AV592" s="7"/>
      <c r="AW592" s="7"/>
      <c r="AX592" s="7"/>
      <c r="AY592" s="7"/>
      <c r="AZ592" s="7"/>
      <c r="BA592" s="7"/>
      <c r="BB592" s="7"/>
      <c r="BC592" s="7"/>
      <c r="BF592" s="7"/>
      <c r="BG592" s="36"/>
      <c r="BH592" s="36"/>
      <c r="BI592" s="36"/>
      <c r="BJ592" s="36"/>
      <c r="BK592" s="36"/>
      <c r="BL592" s="36"/>
      <c r="BM592" s="36"/>
      <c r="BN592" s="36"/>
      <c r="BO592" s="36"/>
    </row>
    <row r="593" spans="1:67" x14ac:dyDescent="0.25">
      <c r="A593" s="39"/>
      <c r="B593" s="40"/>
      <c r="U593" s="36"/>
      <c r="V593" s="36"/>
      <c r="W593" s="35"/>
      <c r="X593" s="7"/>
      <c r="Y593" s="7"/>
      <c r="Z593" s="7"/>
      <c r="AA593" s="7"/>
      <c r="AB593" s="7"/>
      <c r="AC593" s="7"/>
      <c r="AD593" s="7"/>
      <c r="AE593" s="7"/>
      <c r="AG593" s="36"/>
      <c r="AH593" s="36"/>
      <c r="AI593" s="35"/>
      <c r="AJ593" s="7"/>
      <c r="AK593" s="7"/>
      <c r="AL593" s="7"/>
      <c r="AM593" s="7"/>
      <c r="AN593" s="7"/>
      <c r="AO593" s="7"/>
      <c r="AP593" s="7"/>
      <c r="AQ593" s="7"/>
      <c r="AS593" s="36"/>
      <c r="AT593" s="36"/>
      <c r="AU593" s="35"/>
      <c r="AV593" s="7"/>
      <c r="AW593" s="7"/>
      <c r="AX593" s="7"/>
      <c r="AY593" s="7"/>
      <c r="AZ593" s="7"/>
      <c r="BA593" s="7"/>
      <c r="BB593" s="7"/>
      <c r="BC593" s="7"/>
      <c r="BF593" s="7"/>
      <c r="BG593" s="36"/>
      <c r="BH593" s="36"/>
      <c r="BI593" s="36"/>
      <c r="BJ593" s="36"/>
      <c r="BK593" s="36"/>
      <c r="BL593" s="36"/>
      <c r="BM593" s="36"/>
      <c r="BN593" s="36"/>
      <c r="BO593" s="36"/>
    </row>
    <row r="594" spans="1:67" x14ac:dyDescent="0.25">
      <c r="A594" s="39"/>
      <c r="B594" s="40"/>
      <c r="U594" s="36"/>
      <c r="V594" s="36"/>
      <c r="W594" s="35"/>
      <c r="X594" s="7"/>
      <c r="Y594" s="7"/>
      <c r="Z594" s="7"/>
      <c r="AA594" s="7"/>
      <c r="AB594" s="7"/>
      <c r="AC594" s="7"/>
      <c r="AD594" s="7"/>
      <c r="AE594" s="7"/>
      <c r="AG594" s="36"/>
      <c r="AH594" s="36"/>
      <c r="AI594" s="35"/>
      <c r="AJ594" s="7"/>
      <c r="AK594" s="7"/>
      <c r="AL594" s="7"/>
      <c r="AM594" s="7"/>
      <c r="AN594" s="7"/>
      <c r="AO594" s="7"/>
      <c r="AP594" s="7"/>
      <c r="AQ594" s="7"/>
      <c r="AS594" s="36"/>
      <c r="AT594" s="36"/>
      <c r="AU594" s="35"/>
      <c r="AV594" s="7"/>
      <c r="AW594" s="7"/>
      <c r="AX594" s="7"/>
      <c r="AY594" s="7"/>
      <c r="AZ594" s="7"/>
      <c r="BA594" s="7"/>
      <c r="BB594" s="7"/>
      <c r="BC594" s="7"/>
      <c r="BF594" s="7"/>
      <c r="BG594" s="36"/>
      <c r="BH594" s="36"/>
      <c r="BI594" s="36"/>
      <c r="BJ594" s="36"/>
      <c r="BK594" s="36"/>
      <c r="BL594" s="36"/>
      <c r="BM594" s="36"/>
      <c r="BN594" s="36"/>
      <c r="BO594" s="36"/>
    </row>
    <row r="595" spans="1:67" x14ac:dyDescent="0.25">
      <c r="A595" s="39"/>
      <c r="B595" s="40"/>
      <c r="U595" s="36"/>
      <c r="V595" s="36"/>
      <c r="W595" s="35"/>
      <c r="X595" s="7"/>
      <c r="Y595" s="7"/>
      <c r="Z595" s="7"/>
      <c r="AA595" s="7"/>
      <c r="AB595" s="7"/>
      <c r="AC595" s="7"/>
      <c r="AD595" s="7"/>
      <c r="AE595" s="7"/>
      <c r="AG595" s="36"/>
      <c r="AH595" s="36"/>
      <c r="AI595" s="35"/>
      <c r="AJ595" s="7"/>
      <c r="AK595" s="7"/>
      <c r="AL595" s="7"/>
      <c r="AM595" s="7"/>
      <c r="AN595" s="7"/>
      <c r="AO595" s="7"/>
      <c r="AP595" s="7"/>
      <c r="AQ595" s="7"/>
      <c r="AS595" s="36"/>
      <c r="AT595" s="36"/>
      <c r="AU595" s="35"/>
      <c r="AV595" s="7"/>
      <c r="AW595" s="7"/>
      <c r="AX595" s="7"/>
      <c r="AY595" s="7"/>
      <c r="AZ595" s="7"/>
      <c r="BA595" s="7"/>
      <c r="BB595" s="7"/>
      <c r="BC595" s="7"/>
      <c r="BF595" s="7"/>
      <c r="BG595" s="36"/>
      <c r="BH595" s="36"/>
      <c r="BI595" s="36"/>
      <c r="BJ595" s="36"/>
      <c r="BK595" s="36"/>
      <c r="BL595" s="36"/>
      <c r="BM595" s="36"/>
      <c r="BN595" s="36"/>
      <c r="BO595" s="36"/>
    </row>
    <row r="596" spans="1:67" x14ac:dyDescent="0.25">
      <c r="A596" s="39"/>
      <c r="B596" s="40"/>
      <c r="U596" s="36"/>
      <c r="V596" s="36"/>
      <c r="W596" s="35"/>
      <c r="X596" s="7"/>
      <c r="Y596" s="7"/>
      <c r="Z596" s="7"/>
      <c r="AA596" s="7"/>
      <c r="AB596" s="7"/>
      <c r="AC596" s="7"/>
      <c r="AD596" s="7"/>
      <c r="AE596" s="7"/>
      <c r="AG596" s="36"/>
      <c r="AH596" s="36"/>
      <c r="AI596" s="35"/>
      <c r="AJ596" s="7"/>
      <c r="AK596" s="7"/>
      <c r="AL596" s="7"/>
      <c r="AM596" s="7"/>
      <c r="AN596" s="7"/>
      <c r="AO596" s="7"/>
      <c r="AP596" s="7"/>
      <c r="AQ596" s="7"/>
      <c r="AS596" s="36"/>
      <c r="AT596" s="36"/>
      <c r="AU596" s="35"/>
      <c r="AV596" s="7"/>
      <c r="AW596" s="7"/>
      <c r="AX596" s="7"/>
      <c r="AY596" s="7"/>
      <c r="AZ596" s="7"/>
      <c r="BA596" s="7"/>
      <c r="BB596" s="7"/>
      <c r="BC596" s="7"/>
      <c r="BF596" s="7"/>
      <c r="BG596" s="36"/>
      <c r="BH596" s="36"/>
      <c r="BI596" s="36"/>
      <c r="BJ596" s="36"/>
      <c r="BK596" s="36"/>
      <c r="BL596" s="36"/>
      <c r="BM596" s="36"/>
      <c r="BN596" s="36"/>
      <c r="BO596" s="36"/>
    </row>
    <row r="597" spans="1:67" x14ac:dyDescent="0.25">
      <c r="A597" s="39"/>
      <c r="B597" s="40"/>
      <c r="U597" s="36"/>
      <c r="V597" s="36"/>
      <c r="W597" s="35"/>
      <c r="X597" s="7"/>
      <c r="Y597" s="7"/>
      <c r="Z597" s="7"/>
      <c r="AA597" s="7"/>
      <c r="AB597" s="7"/>
      <c r="AC597" s="7"/>
      <c r="AD597" s="7"/>
      <c r="AE597" s="7"/>
      <c r="AG597" s="36"/>
      <c r="AH597" s="36"/>
      <c r="AI597" s="35"/>
      <c r="AJ597" s="7"/>
      <c r="AK597" s="7"/>
      <c r="AL597" s="7"/>
      <c r="AM597" s="7"/>
      <c r="AN597" s="7"/>
      <c r="AO597" s="7"/>
      <c r="AP597" s="7"/>
      <c r="AQ597" s="7"/>
      <c r="AS597" s="36"/>
      <c r="AT597" s="36"/>
      <c r="AU597" s="35"/>
      <c r="AV597" s="7"/>
      <c r="AW597" s="7"/>
      <c r="AX597" s="7"/>
      <c r="AY597" s="7"/>
      <c r="AZ597" s="7"/>
      <c r="BA597" s="7"/>
      <c r="BB597" s="7"/>
      <c r="BC597" s="7"/>
      <c r="BF597" s="7"/>
      <c r="BG597" s="36"/>
      <c r="BH597" s="36"/>
      <c r="BI597" s="36"/>
      <c r="BJ597" s="36"/>
      <c r="BK597" s="36"/>
      <c r="BL597" s="36"/>
      <c r="BM597" s="36"/>
      <c r="BN597" s="36"/>
      <c r="BO597" s="36"/>
    </row>
    <row r="598" spans="1:67" x14ac:dyDescent="0.25">
      <c r="A598" s="39"/>
      <c r="B598" s="40"/>
      <c r="U598" s="36"/>
      <c r="V598" s="36"/>
      <c r="W598" s="35"/>
      <c r="X598" s="7"/>
      <c r="Y598" s="7"/>
      <c r="Z598" s="7"/>
      <c r="AA598" s="7"/>
      <c r="AB598" s="7"/>
      <c r="AC598" s="7"/>
      <c r="AD598" s="7"/>
      <c r="AE598" s="7"/>
      <c r="AG598" s="36"/>
      <c r="AH598" s="36"/>
      <c r="AI598" s="35"/>
      <c r="AJ598" s="7"/>
      <c r="AK598" s="7"/>
      <c r="AL598" s="7"/>
      <c r="AM598" s="7"/>
      <c r="AN598" s="7"/>
      <c r="AO598" s="7"/>
      <c r="AP598" s="7"/>
      <c r="AQ598" s="7"/>
      <c r="AS598" s="36"/>
      <c r="AT598" s="36"/>
      <c r="AU598" s="35"/>
      <c r="AV598" s="7"/>
      <c r="AW598" s="7"/>
      <c r="AX598" s="7"/>
      <c r="AY598" s="7"/>
      <c r="AZ598" s="7"/>
      <c r="BA598" s="7"/>
      <c r="BB598" s="7"/>
      <c r="BC598" s="7"/>
      <c r="BF598" s="7"/>
      <c r="BG598" s="36"/>
      <c r="BH598" s="36"/>
      <c r="BI598" s="36"/>
      <c r="BJ598" s="36"/>
      <c r="BK598" s="36"/>
      <c r="BL598" s="36"/>
      <c r="BM598" s="36"/>
      <c r="BN598" s="36"/>
      <c r="BO598" s="36"/>
    </row>
    <row r="599" spans="1:67" x14ac:dyDescent="0.25">
      <c r="A599" s="39"/>
      <c r="B599" s="40"/>
      <c r="U599" s="36"/>
      <c r="V599" s="36"/>
      <c r="W599" s="35"/>
      <c r="X599" s="7"/>
      <c r="Y599" s="7"/>
      <c r="Z599" s="7"/>
      <c r="AA599" s="7"/>
      <c r="AB599" s="7"/>
      <c r="AC599" s="7"/>
      <c r="AD599" s="7"/>
      <c r="AE599" s="7"/>
      <c r="AG599" s="36"/>
      <c r="AH599" s="36"/>
      <c r="AI599" s="35"/>
      <c r="AJ599" s="7"/>
      <c r="AK599" s="7"/>
      <c r="AL599" s="7"/>
      <c r="AM599" s="7"/>
      <c r="AN599" s="7"/>
      <c r="AO599" s="7"/>
      <c r="AP599" s="7"/>
      <c r="AQ599" s="7"/>
      <c r="AS599" s="36"/>
      <c r="AT599" s="36"/>
      <c r="AU599" s="35"/>
      <c r="AV599" s="7"/>
      <c r="AW599" s="7"/>
      <c r="AX599" s="7"/>
      <c r="AY599" s="7"/>
      <c r="AZ599" s="7"/>
      <c r="BA599" s="7"/>
      <c r="BB599" s="7"/>
      <c r="BC599" s="7"/>
      <c r="BF599" s="7"/>
      <c r="BG599" s="36"/>
      <c r="BH599" s="36"/>
      <c r="BI599" s="36"/>
      <c r="BJ599" s="36"/>
      <c r="BK599" s="36"/>
      <c r="BL599" s="36"/>
      <c r="BM599" s="36"/>
      <c r="BN599" s="36"/>
      <c r="BO599" s="36"/>
    </row>
    <row r="600" spans="1:67" x14ac:dyDescent="0.25">
      <c r="A600" s="39"/>
      <c r="B600" s="40"/>
      <c r="U600" s="36"/>
      <c r="V600" s="36"/>
      <c r="W600" s="35"/>
      <c r="X600" s="7"/>
      <c r="Y600" s="7"/>
      <c r="Z600" s="7"/>
      <c r="AA600" s="7"/>
      <c r="AB600" s="7"/>
      <c r="AC600" s="7"/>
      <c r="AD600" s="7"/>
      <c r="AE600" s="7"/>
      <c r="AG600" s="36"/>
      <c r="AH600" s="36"/>
      <c r="AI600" s="35"/>
      <c r="AJ600" s="7"/>
      <c r="AK600" s="7"/>
      <c r="AL600" s="7"/>
      <c r="AM600" s="7"/>
      <c r="AN600" s="7"/>
      <c r="AO600" s="7"/>
      <c r="AP600" s="7"/>
      <c r="AQ600" s="7"/>
      <c r="AS600" s="36"/>
      <c r="AT600" s="36"/>
      <c r="AU600" s="35"/>
      <c r="AV600" s="7"/>
      <c r="AW600" s="7"/>
      <c r="AX600" s="7"/>
      <c r="AY600" s="7"/>
      <c r="AZ600" s="7"/>
      <c r="BA600" s="7"/>
      <c r="BB600" s="7"/>
      <c r="BC600" s="7"/>
      <c r="BF600" s="7"/>
      <c r="BG600" s="36"/>
      <c r="BH600" s="36"/>
      <c r="BI600" s="36"/>
      <c r="BJ600" s="36"/>
      <c r="BK600" s="36"/>
      <c r="BL600" s="36"/>
      <c r="BM600" s="36"/>
      <c r="BN600" s="36"/>
      <c r="BO600" s="36"/>
    </row>
    <row r="601" spans="1:67" x14ac:dyDescent="0.25">
      <c r="A601" s="39"/>
      <c r="B601" s="40"/>
      <c r="U601" s="36"/>
      <c r="V601" s="36"/>
      <c r="W601" s="35"/>
      <c r="X601" s="7"/>
      <c r="Y601" s="7"/>
      <c r="Z601" s="7"/>
      <c r="AA601" s="7"/>
      <c r="AB601" s="7"/>
      <c r="AC601" s="7"/>
      <c r="AD601" s="7"/>
      <c r="AE601" s="7"/>
      <c r="AG601" s="36"/>
      <c r="AH601" s="36"/>
      <c r="AI601" s="35"/>
      <c r="AJ601" s="7"/>
      <c r="AK601" s="7"/>
      <c r="AL601" s="7"/>
      <c r="AM601" s="7"/>
      <c r="AN601" s="7"/>
      <c r="AO601" s="7"/>
      <c r="AP601" s="7"/>
      <c r="AQ601" s="7"/>
      <c r="AS601" s="36"/>
      <c r="AT601" s="36"/>
      <c r="AU601" s="35"/>
      <c r="AV601" s="7"/>
      <c r="AW601" s="7"/>
      <c r="AX601" s="7"/>
      <c r="AY601" s="7"/>
      <c r="AZ601" s="7"/>
      <c r="BA601" s="7"/>
      <c r="BB601" s="7"/>
      <c r="BC601" s="7"/>
      <c r="BF601" s="7"/>
      <c r="BG601" s="36"/>
      <c r="BH601" s="36"/>
      <c r="BI601" s="36"/>
      <c r="BJ601" s="36"/>
      <c r="BK601" s="36"/>
      <c r="BL601" s="36"/>
      <c r="BM601" s="36"/>
      <c r="BN601" s="36"/>
      <c r="BO601" s="36"/>
    </row>
    <row r="602" spans="1:67" x14ac:dyDescent="0.25">
      <c r="A602" s="39"/>
      <c r="B602" s="40"/>
      <c r="U602" s="36"/>
      <c r="V602" s="36"/>
      <c r="W602" s="35"/>
      <c r="X602" s="7"/>
      <c r="Y602" s="7"/>
      <c r="Z602" s="7"/>
      <c r="AA602" s="7"/>
      <c r="AB602" s="7"/>
      <c r="AC602" s="7"/>
      <c r="AD602" s="7"/>
      <c r="AE602" s="7"/>
      <c r="AG602" s="36"/>
      <c r="AH602" s="36"/>
      <c r="AI602" s="35"/>
      <c r="AJ602" s="7"/>
      <c r="AK602" s="7"/>
      <c r="AL602" s="7"/>
      <c r="AM602" s="7"/>
      <c r="AN602" s="7"/>
      <c r="AO602" s="7"/>
      <c r="AP602" s="7"/>
      <c r="AQ602" s="7"/>
      <c r="AS602" s="36"/>
      <c r="AT602" s="36"/>
      <c r="AU602" s="35"/>
      <c r="AV602" s="7"/>
      <c r="AW602" s="7"/>
      <c r="AX602" s="7"/>
      <c r="AY602" s="7"/>
      <c r="AZ602" s="7"/>
      <c r="BA602" s="7"/>
      <c r="BB602" s="7"/>
      <c r="BC602" s="7"/>
      <c r="BF602" s="7"/>
      <c r="BG602" s="36"/>
      <c r="BH602" s="36"/>
      <c r="BI602" s="36"/>
      <c r="BJ602" s="36"/>
      <c r="BK602" s="36"/>
      <c r="BL602" s="36"/>
      <c r="BM602" s="36"/>
      <c r="BN602" s="36"/>
      <c r="BO602" s="36"/>
    </row>
    <row r="603" spans="1:67" x14ac:dyDescent="0.25">
      <c r="A603" s="39"/>
      <c r="B603" s="40"/>
      <c r="U603" s="36"/>
      <c r="V603" s="36"/>
      <c r="W603" s="35"/>
      <c r="X603" s="7"/>
      <c r="Y603" s="7"/>
      <c r="Z603" s="7"/>
      <c r="AA603" s="7"/>
      <c r="AB603" s="7"/>
      <c r="AC603" s="7"/>
      <c r="AD603" s="7"/>
      <c r="AE603" s="7"/>
      <c r="AG603" s="36"/>
      <c r="AH603" s="36"/>
      <c r="AI603" s="35"/>
      <c r="AJ603" s="7"/>
      <c r="AK603" s="7"/>
      <c r="AL603" s="7"/>
      <c r="AM603" s="7"/>
      <c r="AN603" s="7"/>
      <c r="AO603" s="7"/>
      <c r="AP603" s="7"/>
      <c r="AQ603" s="7"/>
      <c r="AS603" s="36"/>
      <c r="AT603" s="36"/>
      <c r="AU603" s="35"/>
      <c r="AV603" s="7"/>
      <c r="AW603" s="7"/>
      <c r="AX603" s="7"/>
      <c r="AY603" s="7"/>
      <c r="AZ603" s="7"/>
      <c r="BA603" s="7"/>
      <c r="BB603" s="7"/>
      <c r="BC603" s="7"/>
      <c r="BF603" s="7"/>
      <c r="BG603" s="36"/>
      <c r="BH603" s="36"/>
      <c r="BI603" s="36"/>
      <c r="BJ603" s="36"/>
      <c r="BK603" s="36"/>
      <c r="BL603" s="36"/>
      <c r="BM603" s="36"/>
      <c r="BN603" s="36"/>
      <c r="BO603" s="36"/>
    </row>
    <row r="604" spans="1:67" x14ac:dyDescent="0.25">
      <c r="A604" s="39"/>
      <c r="B604" s="40"/>
      <c r="U604" s="36"/>
      <c r="V604" s="36"/>
      <c r="W604" s="35"/>
      <c r="X604" s="7"/>
      <c r="Y604" s="7"/>
      <c r="Z604" s="7"/>
      <c r="AA604" s="7"/>
      <c r="AB604" s="7"/>
      <c r="AC604" s="7"/>
      <c r="AD604" s="7"/>
      <c r="AE604" s="7"/>
      <c r="AG604" s="36"/>
      <c r="AH604" s="36"/>
      <c r="AI604" s="35"/>
      <c r="AJ604" s="7"/>
      <c r="AK604" s="7"/>
      <c r="AL604" s="7"/>
      <c r="AM604" s="7"/>
      <c r="AN604" s="7"/>
      <c r="AO604" s="7"/>
      <c r="AP604" s="7"/>
      <c r="AQ604" s="7"/>
      <c r="AS604" s="36"/>
      <c r="AT604" s="36"/>
      <c r="AU604" s="35"/>
      <c r="AV604" s="7"/>
      <c r="AW604" s="7"/>
      <c r="AX604" s="7"/>
      <c r="AY604" s="7"/>
      <c r="AZ604" s="7"/>
      <c r="BA604" s="7"/>
      <c r="BB604" s="7"/>
      <c r="BC604" s="7"/>
      <c r="BF604" s="7"/>
      <c r="BG604" s="36"/>
      <c r="BH604" s="36"/>
      <c r="BI604" s="36"/>
      <c r="BJ604" s="36"/>
      <c r="BK604" s="36"/>
      <c r="BL604" s="36"/>
      <c r="BM604" s="36"/>
      <c r="BN604" s="36"/>
      <c r="BO604" s="36"/>
    </row>
    <row r="605" spans="1:67" x14ac:dyDescent="0.25">
      <c r="A605" s="39"/>
      <c r="B605" s="40"/>
      <c r="U605" s="36"/>
      <c r="V605" s="36"/>
      <c r="W605" s="35"/>
      <c r="X605" s="7"/>
      <c r="Y605" s="7"/>
      <c r="Z605" s="7"/>
      <c r="AA605" s="7"/>
      <c r="AB605" s="7"/>
      <c r="AC605" s="7"/>
      <c r="AD605" s="7"/>
      <c r="AE605" s="7"/>
      <c r="AG605" s="36"/>
      <c r="AH605" s="36"/>
      <c r="AI605" s="35"/>
      <c r="AJ605" s="7"/>
      <c r="AK605" s="7"/>
      <c r="AL605" s="7"/>
      <c r="AM605" s="7"/>
      <c r="AN605" s="7"/>
      <c r="AO605" s="7"/>
      <c r="AP605" s="7"/>
      <c r="AQ605" s="7"/>
      <c r="AS605" s="36"/>
      <c r="AT605" s="36"/>
      <c r="AU605" s="35"/>
      <c r="AV605" s="7"/>
      <c r="AW605" s="7"/>
      <c r="AX605" s="7"/>
      <c r="AY605" s="7"/>
      <c r="AZ605" s="7"/>
      <c r="BA605" s="7"/>
      <c r="BB605" s="7"/>
      <c r="BC605" s="7"/>
      <c r="BF605" s="7"/>
      <c r="BG605" s="36"/>
      <c r="BH605" s="36"/>
      <c r="BI605" s="36"/>
      <c r="BJ605" s="36"/>
      <c r="BK605" s="36"/>
      <c r="BL605" s="36"/>
      <c r="BM605" s="36"/>
      <c r="BN605" s="36"/>
      <c r="BO605" s="36"/>
    </row>
    <row r="606" spans="1:67" x14ac:dyDescent="0.25">
      <c r="A606" s="39"/>
      <c r="B606" s="40"/>
      <c r="U606" s="36"/>
      <c r="V606" s="36"/>
      <c r="W606" s="35"/>
      <c r="X606" s="7"/>
      <c r="Y606" s="7"/>
      <c r="Z606" s="7"/>
      <c r="AA606" s="7"/>
      <c r="AB606" s="7"/>
      <c r="AC606" s="7"/>
      <c r="AD606" s="7"/>
      <c r="AE606" s="7"/>
      <c r="AG606" s="36"/>
      <c r="AH606" s="36"/>
      <c r="AI606" s="35"/>
      <c r="AJ606" s="7"/>
      <c r="AK606" s="7"/>
      <c r="AL606" s="7"/>
      <c r="AM606" s="7"/>
      <c r="AN606" s="7"/>
      <c r="AO606" s="7"/>
      <c r="AP606" s="7"/>
      <c r="AQ606" s="7"/>
      <c r="AS606" s="36"/>
      <c r="AT606" s="36"/>
      <c r="AU606" s="35"/>
      <c r="AV606" s="7"/>
      <c r="AW606" s="7"/>
      <c r="AX606" s="7"/>
      <c r="AY606" s="7"/>
      <c r="AZ606" s="7"/>
      <c r="BA606" s="7"/>
      <c r="BB606" s="7"/>
      <c r="BC606" s="7"/>
      <c r="BF606" s="7"/>
      <c r="BG606" s="36"/>
      <c r="BH606" s="36"/>
      <c r="BI606" s="36"/>
      <c r="BJ606" s="36"/>
      <c r="BK606" s="36"/>
      <c r="BL606" s="36"/>
      <c r="BM606" s="36"/>
      <c r="BN606" s="36"/>
      <c r="BO606" s="36"/>
    </row>
    <row r="607" spans="1:67" x14ac:dyDescent="0.25">
      <c r="A607" s="39"/>
      <c r="B607" s="40"/>
      <c r="U607" s="36"/>
      <c r="V607" s="36"/>
      <c r="W607" s="35"/>
      <c r="X607" s="7"/>
      <c r="Y607" s="7"/>
      <c r="Z607" s="7"/>
      <c r="AA607" s="7"/>
      <c r="AB607" s="7"/>
      <c r="AC607" s="7"/>
      <c r="AD607" s="7"/>
      <c r="AE607" s="7"/>
      <c r="AG607" s="36"/>
      <c r="AH607" s="36"/>
      <c r="AI607" s="35"/>
      <c r="AJ607" s="7"/>
      <c r="AK607" s="7"/>
      <c r="AL607" s="7"/>
      <c r="AM607" s="7"/>
      <c r="AN607" s="7"/>
      <c r="AO607" s="7"/>
      <c r="AP607" s="7"/>
      <c r="AQ607" s="7"/>
      <c r="AS607" s="36"/>
      <c r="AT607" s="36"/>
      <c r="AU607" s="35"/>
      <c r="AV607" s="7"/>
      <c r="AW607" s="7"/>
      <c r="AX607" s="7"/>
      <c r="AY607" s="7"/>
      <c r="AZ607" s="7"/>
      <c r="BA607" s="7"/>
      <c r="BB607" s="7"/>
      <c r="BC607" s="7"/>
      <c r="BF607" s="7"/>
      <c r="BG607" s="36"/>
      <c r="BH607" s="36"/>
      <c r="BI607" s="36"/>
      <c r="BJ607" s="36"/>
      <c r="BK607" s="36"/>
      <c r="BL607" s="36"/>
      <c r="BM607" s="36"/>
      <c r="BN607" s="36"/>
      <c r="BO607" s="36"/>
    </row>
    <row r="608" spans="1:67" x14ac:dyDescent="0.25">
      <c r="A608" s="39"/>
      <c r="B608" s="40"/>
      <c r="U608" s="36"/>
      <c r="V608" s="36"/>
      <c r="W608" s="35"/>
      <c r="X608" s="7"/>
      <c r="Y608" s="7"/>
      <c r="Z608" s="7"/>
      <c r="AA608" s="7"/>
      <c r="AB608" s="7"/>
      <c r="AC608" s="7"/>
      <c r="AD608" s="7"/>
      <c r="AE608" s="7"/>
      <c r="AG608" s="36"/>
      <c r="AH608" s="36"/>
      <c r="AI608" s="35"/>
      <c r="AJ608" s="7"/>
      <c r="AK608" s="7"/>
      <c r="AL608" s="7"/>
      <c r="AM608" s="7"/>
      <c r="AN608" s="7"/>
      <c r="AO608" s="7"/>
      <c r="AP608" s="7"/>
      <c r="AQ608" s="7"/>
      <c r="AS608" s="36"/>
      <c r="AT608" s="36"/>
      <c r="AU608" s="35"/>
      <c r="AV608" s="7"/>
      <c r="AW608" s="7"/>
      <c r="AX608" s="7"/>
      <c r="AY608" s="7"/>
      <c r="AZ608" s="7"/>
      <c r="BA608" s="7"/>
      <c r="BB608" s="7"/>
      <c r="BC608" s="7"/>
      <c r="BF608" s="7"/>
      <c r="BG608" s="36"/>
      <c r="BH608" s="36"/>
      <c r="BI608" s="36"/>
      <c r="BJ608" s="36"/>
      <c r="BK608" s="36"/>
      <c r="BL608" s="36"/>
      <c r="BM608" s="36"/>
      <c r="BN608" s="36"/>
      <c r="BO608" s="36"/>
    </row>
    <row r="609" spans="1:67" x14ac:dyDescent="0.25">
      <c r="A609" s="39"/>
      <c r="B609" s="40"/>
      <c r="U609" s="36"/>
      <c r="V609" s="36"/>
      <c r="W609" s="35"/>
      <c r="X609" s="7"/>
      <c r="Y609" s="7"/>
      <c r="Z609" s="7"/>
      <c r="AA609" s="7"/>
      <c r="AB609" s="7"/>
      <c r="AC609" s="7"/>
      <c r="AD609" s="7"/>
      <c r="AE609" s="7"/>
      <c r="AG609" s="36"/>
      <c r="AH609" s="36"/>
      <c r="AI609" s="35"/>
      <c r="AJ609" s="7"/>
      <c r="AK609" s="7"/>
      <c r="AL609" s="7"/>
      <c r="AM609" s="7"/>
      <c r="AN609" s="7"/>
      <c r="AO609" s="7"/>
      <c r="AP609" s="7"/>
      <c r="AQ609" s="7"/>
      <c r="AS609" s="36"/>
      <c r="AT609" s="36"/>
      <c r="AU609" s="35"/>
      <c r="AV609" s="7"/>
      <c r="AW609" s="7"/>
      <c r="AX609" s="7"/>
      <c r="AY609" s="7"/>
      <c r="AZ609" s="7"/>
      <c r="BA609" s="7"/>
      <c r="BB609" s="7"/>
      <c r="BC609" s="7"/>
      <c r="BF609" s="7"/>
      <c r="BG609" s="36"/>
      <c r="BH609" s="36"/>
      <c r="BI609" s="36"/>
      <c r="BJ609" s="36"/>
      <c r="BK609" s="36"/>
      <c r="BL609" s="36"/>
      <c r="BM609" s="36"/>
      <c r="BN609" s="36"/>
      <c r="BO609" s="36"/>
    </row>
    <row r="610" spans="1:67" x14ac:dyDescent="0.25">
      <c r="A610" s="39"/>
      <c r="B610" s="40"/>
      <c r="U610" s="36"/>
      <c r="V610" s="36"/>
      <c r="W610" s="35"/>
      <c r="X610" s="7"/>
      <c r="Y610" s="7"/>
      <c r="Z610" s="7"/>
      <c r="AA610" s="7"/>
      <c r="AB610" s="7"/>
      <c r="AC610" s="7"/>
      <c r="AD610" s="7"/>
      <c r="AE610" s="7"/>
      <c r="AG610" s="36"/>
      <c r="AH610" s="36"/>
      <c r="AI610" s="35"/>
      <c r="AJ610" s="7"/>
      <c r="AK610" s="7"/>
      <c r="AL610" s="7"/>
      <c r="AM610" s="7"/>
      <c r="AN610" s="7"/>
      <c r="AO610" s="7"/>
      <c r="AP610" s="7"/>
      <c r="AQ610" s="7"/>
      <c r="AS610" s="36"/>
      <c r="AT610" s="36"/>
      <c r="AU610" s="35"/>
      <c r="AV610" s="7"/>
      <c r="AW610" s="7"/>
      <c r="AX610" s="7"/>
      <c r="AY610" s="7"/>
      <c r="AZ610" s="7"/>
      <c r="BA610" s="7"/>
      <c r="BB610" s="7"/>
      <c r="BC610" s="7"/>
      <c r="BF610" s="7"/>
      <c r="BG610" s="36"/>
      <c r="BH610" s="36"/>
      <c r="BI610" s="36"/>
      <c r="BJ610" s="36"/>
      <c r="BK610" s="36"/>
      <c r="BL610" s="36"/>
      <c r="BM610" s="36"/>
      <c r="BN610" s="36"/>
      <c r="BO610" s="36"/>
    </row>
    <row r="611" spans="1:67" x14ac:dyDescent="0.25">
      <c r="A611" s="39"/>
      <c r="B611" s="40"/>
      <c r="U611" s="36"/>
      <c r="V611" s="36"/>
      <c r="W611" s="35"/>
      <c r="X611" s="7"/>
      <c r="Y611" s="7"/>
      <c r="Z611" s="7"/>
      <c r="AA611" s="7"/>
      <c r="AB611" s="7"/>
      <c r="AC611" s="7"/>
      <c r="AD611" s="7"/>
      <c r="AE611" s="7"/>
      <c r="AG611" s="36"/>
      <c r="AH611" s="36"/>
      <c r="AI611" s="35"/>
      <c r="AJ611" s="7"/>
      <c r="AK611" s="7"/>
      <c r="AL611" s="7"/>
      <c r="AM611" s="7"/>
      <c r="AN611" s="7"/>
      <c r="AO611" s="7"/>
      <c r="AP611" s="7"/>
      <c r="AQ611" s="7"/>
      <c r="AS611" s="36"/>
      <c r="AT611" s="36"/>
      <c r="AU611" s="35"/>
      <c r="AV611" s="7"/>
      <c r="AW611" s="7"/>
      <c r="AX611" s="7"/>
      <c r="AY611" s="7"/>
      <c r="AZ611" s="7"/>
      <c r="BA611" s="7"/>
      <c r="BB611" s="7"/>
      <c r="BC611" s="7"/>
      <c r="BF611" s="7"/>
      <c r="BG611" s="36"/>
      <c r="BH611" s="36"/>
      <c r="BI611" s="36"/>
      <c r="BJ611" s="36"/>
      <c r="BK611" s="36"/>
      <c r="BL611" s="36"/>
      <c r="BM611" s="36"/>
      <c r="BN611" s="36"/>
      <c r="BO611" s="36"/>
    </row>
    <row r="612" spans="1:67" x14ac:dyDescent="0.25">
      <c r="A612" s="39"/>
      <c r="B612" s="40"/>
      <c r="U612" s="36"/>
      <c r="V612" s="36"/>
      <c r="W612" s="35"/>
      <c r="X612" s="7"/>
      <c r="Y612" s="7"/>
      <c r="Z612" s="7"/>
      <c r="AA612" s="7"/>
      <c r="AB612" s="7"/>
      <c r="AC612" s="7"/>
      <c r="AD612" s="7"/>
      <c r="AE612" s="7"/>
      <c r="AG612" s="36"/>
      <c r="AH612" s="36"/>
      <c r="AI612" s="35"/>
      <c r="AJ612" s="7"/>
      <c r="AK612" s="7"/>
      <c r="AL612" s="7"/>
      <c r="AM612" s="7"/>
      <c r="AN612" s="7"/>
      <c r="AO612" s="7"/>
      <c r="AP612" s="7"/>
      <c r="AQ612" s="7"/>
      <c r="AS612" s="36"/>
      <c r="AT612" s="36"/>
      <c r="AU612" s="35"/>
      <c r="AV612" s="7"/>
      <c r="AW612" s="7"/>
      <c r="AX612" s="7"/>
      <c r="AY612" s="7"/>
      <c r="AZ612" s="7"/>
      <c r="BA612" s="7"/>
      <c r="BB612" s="7"/>
      <c r="BC612" s="7"/>
      <c r="BF612" s="7"/>
      <c r="BG612" s="36"/>
      <c r="BH612" s="36"/>
      <c r="BI612" s="36"/>
      <c r="BJ612" s="36"/>
      <c r="BK612" s="36"/>
      <c r="BL612" s="36"/>
      <c r="BM612" s="36"/>
      <c r="BN612" s="36"/>
      <c r="BO612" s="36"/>
    </row>
    <row r="613" spans="1:67" x14ac:dyDescent="0.25">
      <c r="A613" s="39"/>
      <c r="B613" s="40"/>
      <c r="U613" s="36"/>
      <c r="V613" s="36"/>
      <c r="W613" s="35"/>
      <c r="X613" s="7"/>
      <c r="Y613" s="7"/>
      <c r="Z613" s="7"/>
      <c r="AA613" s="7"/>
      <c r="AB613" s="7"/>
      <c r="AC613" s="7"/>
      <c r="AD613" s="7"/>
      <c r="AE613" s="7"/>
      <c r="AG613" s="36"/>
      <c r="AH613" s="36"/>
      <c r="AI613" s="35"/>
      <c r="AJ613" s="7"/>
      <c r="AK613" s="7"/>
      <c r="AL613" s="7"/>
      <c r="AM613" s="7"/>
      <c r="AN613" s="7"/>
      <c r="AO613" s="7"/>
      <c r="AP613" s="7"/>
      <c r="AQ613" s="7"/>
      <c r="AS613" s="36"/>
      <c r="AT613" s="36"/>
      <c r="AU613" s="35"/>
      <c r="AV613" s="7"/>
      <c r="AW613" s="7"/>
      <c r="AX613" s="7"/>
      <c r="AY613" s="7"/>
      <c r="AZ613" s="7"/>
      <c r="BA613" s="7"/>
      <c r="BB613" s="7"/>
      <c r="BC613" s="7"/>
      <c r="BF613" s="7"/>
      <c r="BG613" s="36"/>
      <c r="BH613" s="36"/>
      <c r="BI613" s="36"/>
      <c r="BJ613" s="36"/>
      <c r="BK613" s="36"/>
      <c r="BL613" s="36"/>
      <c r="BM613" s="36"/>
      <c r="BN613" s="36"/>
      <c r="BO613" s="36"/>
    </row>
    <row r="614" spans="1:67" x14ac:dyDescent="0.25">
      <c r="A614" s="39"/>
      <c r="B614" s="40"/>
      <c r="U614" s="36"/>
      <c r="V614" s="36"/>
      <c r="W614" s="35"/>
      <c r="X614" s="7"/>
      <c r="Y614" s="7"/>
      <c r="Z614" s="7"/>
      <c r="AA614" s="7"/>
      <c r="AB614" s="7"/>
      <c r="AC614" s="7"/>
      <c r="AD614" s="7"/>
      <c r="AE614" s="7"/>
      <c r="AG614" s="36"/>
      <c r="AH614" s="36"/>
      <c r="AI614" s="35"/>
      <c r="AJ614" s="7"/>
      <c r="AK614" s="7"/>
      <c r="AL614" s="7"/>
      <c r="AM614" s="7"/>
      <c r="AN614" s="7"/>
      <c r="AO614" s="7"/>
      <c r="AP614" s="7"/>
      <c r="AQ614" s="7"/>
      <c r="AS614" s="36"/>
      <c r="AT614" s="36"/>
      <c r="AU614" s="35"/>
      <c r="AV614" s="7"/>
      <c r="AW614" s="7"/>
      <c r="AX614" s="7"/>
      <c r="AY614" s="7"/>
      <c r="AZ614" s="7"/>
      <c r="BA614" s="7"/>
      <c r="BB614" s="7"/>
      <c r="BC614" s="7"/>
      <c r="BF614" s="7"/>
      <c r="BG614" s="36"/>
      <c r="BH614" s="36"/>
      <c r="BI614" s="36"/>
      <c r="BJ614" s="36"/>
      <c r="BK614" s="36"/>
      <c r="BL614" s="36"/>
      <c r="BM614" s="36"/>
      <c r="BN614" s="36"/>
      <c r="BO614" s="36"/>
    </row>
    <row r="615" spans="1:67" x14ac:dyDescent="0.25">
      <c r="A615" s="39"/>
      <c r="B615" s="40"/>
      <c r="U615" s="36"/>
      <c r="V615" s="36"/>
      <c r="W615" s="35"/>
      <c r="X615" s="7"/>
      <c r="Y615" s="7"/>
      <c r="Z615" s="7"/>
      <c r="AA615" s="7"/>
      <c r="AB615" s="7"/>
      <c r="AC615" s="7"/>
      <c r="AD615" s="7"/>
      <c r="AE615" s="7"/>
      <c r="AG615" s="36"/>
      <c r="AH615" s="36"/>
      <c r="AI615" s="35"/>
      <c r="AJ615" s="7"/>
      <c r="AK615" s="7"/>
      <c r="AL615" s="7"/>
      <c r="AM615" s="7"/>
      <c r="AN615" s="7"/>
      <c r="AO615" s="7"/>
      <c r="AP615" s="7"/>
      <c r="AQ615" s="7"/>
      <c r="AS615" s="36"/>
      <c r="AT615" s="36"/>
      <c r="AU615" s="35"/>
      <c r="AV615" s="7"/>
      <c r="AW615" s="7"/>
      <c r="AX615" s="7"/>
      <c r="AY615" s="7"/>
      <c r="AZ615" s="7"/>
      <c r="BA615" s="7"/>
      <c r="BB615" s="7"/>
      <c r="BC615" s="7"/>
      <c r="BF615" s="7"/>
      <c r="BG615" s="36"/>
      <c r="BH615" s="36"/>
      <c r="BI615" s="36"/>
      <c r="BJ615" s="36"/>
      <c r="BK615" s="36"/>
      <c r="BL615" s="36"/>
      <c r="BM615" s="36"/>
      <c r="BN615" s="36"/>
      <c r="BO615" s="36"/>
    </row>
    <row r="616" spans="1:67" x14ac:dyDescent="0.25">
      <c r="A616" s="39"/>
      <c r="B616" s="40"/>
      <c r="U616" s="36"/>
      <c r="V616" s="36"/>
      <c r="W616" s="35"/>
      <c r="X616" s="7"/>
      <c r="Y616" s="7"/>
      <c r="Z616" s="7"/>
      <c r="AA616" s="7"/>
      <c r="AB616" s="7"/>
      <c r="AC616" s="7"/>
      <c r="AD616" s="7"/>
      <c r="AE616" s="7"/>
      <c r="AG616" s="36"/>
      <c r="AH616" s="36"/>
      <c r="AI616" s="35"/>
      <c r="AJ616" s="7"/>
      <c r="AK616" s="7"/>
      <c r="AL616" s="7"/>
      <c r="AM616" s="7"/>
      <c r="AN616" s="7"/>
      <c r="AO616" s="7"/>
      <c r="AP616" s="7"/>
      <c r="AQ616" s="7"/>
      <c r="AS616" s="36"/>
      <c r="AT616" s="36"/>
      <c r="AU616" s="35"/>
      <c r="AV616" s="7"/>
      <c r="AW616" s="7"/>
      <c r="AX616" s="7"/>
      <c r="AY616" s="7"/>
      <c r="AZ616" s="7"/>
      <c r="BA616" s="7"/>
      <c r="BB616" s="7"/>
      <c r="BC616" s="7"/>
      <c r="BF616" s="7"/>
      <c r="BG616" s="36"/>
      <c r="BH616" s="36"/>
      <c r="BI616" s="36"/>
      <c r="BJ616" s="36"/>
      <c r="BK616" s="36"/>
      <c r="BL616" s="36"/>
      <c r="BM616" s="36"/>
      <c r="BN616" s="36"/>
      <c r="BO616" s="36"/>
    </row>
    <row r="617" spans="1:67" x14ac:dyDescent="0.25">
      <c r="A617" s="39"/>
      <c r="B617" s="40"/>
      <c r="U617" s="36"/>
      <c r="V617" s="36"/>
      <c r="W617" s="35"/>
      <c r="X617" s="7"/>
      <c r="Y617" s="7"/>
      <c r="Z617" s="7"/>
      <c r="AA617" s="7"/>
      <c r="AB617" s="7"/>
      <c r="AC617" s="7"/>
      <c r="AD617" s="7"/>
      <c r="AE617" s="7"/>
      <c r="AG617" s="36"/>
      <c r="AH617" s="36"/>
      <c r="AI617" s="35"/>
      <c r="AJ617" s="7"/>
      <c r="AK617" s="7"/>
      <c r="AL617" s="7"/>
      <c r="AM617" s="7"/>
      <c r="AN617" s="7"/>
      <c r="AO617" s="7"/>
      <c r="AP617" s="7"/>
      <c r="AQ617" s="7"/>
      <c r="AS617" s="36"/>
      <c r="AT617" s="36"/>
      <c r="AU617" s="35"/>
      <c r="AV617" s="7"/>
      <c r="AW617" s="7"/>
      <c r="AX617" s="7"/>
      <c r="AY617" s="7"/>
      <c r="AZ617" s="7"/>
      <c r="BA617" s="7"/>
      <c r="BB617" s="7"/>
      <c r="BC617" s="7"/>
      <c r="BF617" s="7"/>
      <c r="BG617" s="36"/>
      <c r="BH617" s="36"/>
      <c r="BI617" s="36"/>
      <c r="BJ617" s="36"/>
      <c r="BK617" s="36"/>
      <c r="BL617" s="36"/>
      <c r="BM617" s="36"/>
      <c r="BN617" s="36"/>
      <c r="BO617" s="36"/>
    </row>
    <row r="618" spans="1:67" x14ac:dyDescent="0.25">
      <c r="A618" s="39"/>
      <c r="B618" s="40"/>
      <c r="U618" s="36"/>
      <c r="V618" s="36"/>
      <c r="W618" s="35"/>
      <c r="X618" s="7"/>
      <c r="Y618" s="7"/>
      <c r="Z618" s="7"/>
      <c r="AA618" s="7"/>
      <c r="AB618" s="7"/>
      <c r="AC618" s="7"/>
      <c r="AD618" s="7"/>
      <c r="AE618" s="7"/>
      <c r="AG618" s="36"/>
      <c r="AH618" s="36"/>
      <c r="AI618" s="35"/>
      <c r="AJ618" s="7"/>
      <c r="AK618" s="7"/>
      <c r="AL618" s="7"/>
      <c r="AM618" s="7"/>
      <c r="AN618" s="7"/>
      <c r="AO618" s="7"/>
      <c r="AP618" s="7"/>
      <c r="AQ618" s="7"/>
      <c r="AS618" s="36"/>
      <c r="AT618" s="36"/>
      <c r="AU618" s="35"/>
      <c r="AV618" s="7"/>
      <c r="AW618" s="7"/>
      <c r="AX618" s="7"/>
      <c r="AY618" s="7"/>
      <c r="AZ618" s="7"/>
      <c r="BA618" s="7"/>
      <c r="BB618" s="7"/>
      <c r="BC618" s="7"/>
      <c r="BF618" s="7"/>
      <c r="BG618" s="36"/>
      <c r="BH618" s="36"/>
      <c r="BI618" s="36"/>
      <c r="BJ618" s="36"/>
      <c r="BK618" s="36"/>
      <c r="BL618" s="36"/>
      <c r="BM618" s="36"/>
      <c r="BN618" s="36"/>
      <c r="BO618" s="36"/>
    </row>
    <row r="619" spans="1:67" x14ac:dyDescent="0.25">
      <c r="A619" s="39"/>
      <c r="B619" s="40"/>
      <c r="U619" s="36"/>
      <c r="V619" s="36"/>
      <c r="W619" s="35"/>
      <c r="X619" s="7"/>
      <c r="Y619" s="7"/>
      <c r="Z619" s="7"/>
      <c r="AA619" s="7"/>
      <c r="AB619" s="7"/>
      <c r="AC619" s="7"/>
      <c r="AD619" s="7"/>
      <c r="AE619" s="7"/>
      <c r="AG619" s="36"/>
      <c r="AH619" s="36"/>
      <c r="AI619" s="35"/>
      <c r="AJ619" s="7"/>
      <c r="AK619" s="7"/>
      <c r="AL619" s="7"/>
      <c r="AM619" s="7"/>
      <c r="AN619" s="7"/>
      <c r="AO619" s="7"/>
      <c r="AP619" s="7"/>
      <c r="AQ619" s="7"/>
      <c r="AS619" s="36"/>
      <c r="AT619" s="36"/>
      <c r="AU619" s="35"/>
      <c r="AV619" s="7"/>
      <c r="AW619" s="7"/>
      <c r="AX619" s="7"/>
      <c r="AY619" s="7"/>
      <c r="AZ619" s="7"/>
      <c r="BA619" s="7"/>
      <c r="BB619" s="7"/>
      <c r="BC619" s="7"/>
      <c r="BF619" s="7"/>
      <c r="BG619" s="36"/>
      <c r="BH619" s="36"/>
      <c r="BI619" s="36"/>
      <c r="BJ619" s="36"/>
      <c r="BK619" s="36"/>
      <c r="BL619" s="36"/>
      <c r="BM619" s="36"/>
      <c r="BN619" s="36"/>
      <c r="BO619" s="36"/>
    </row>
    <row r="620" spans="1:67" x14ac:dyDescent="0.25">
      <c r="A620" s="39"/>
      <c r="B620" s="40"/>
      <c r="U620" s="36"/>
      <c r="V620" s="36"/>
      <c r="W620" s="35"/>
      <c r="X620" s="7"/>
      <c r="Y620" s="7"/>
      <c r="Z620" s="7"/>
      <c r="AA620" s="7"/>
      <c r="AB620" s="7"/>
      <c r="AC620" s="7"/>
      <c r="AD620" s="7"/>
      <c r="AE620" s="7"/>
      <c r="AG620" s="36"/>
      <c r="AH620" s="36"/>
      <c r="AI620" s="35"/>
      <c r="AJ620" s="7"/>
      <c r="AK620" s="7"/>
      <c r="AL620" s="7"/>
      <c r="AM620" s="7"/>
      <c r="AN620" s="7"/>
      <c r="AO620" s="7"/>
      <c r="AP620" s="7"/>
      <c r="AQ620" s="7"/>
      <c r="AS620" s="36"/>
      <c r="AT620" s="36"/>
      <c r="AU620" s="35"/>
      <c r="AV620" s="7"/>
      <c r="AW620" s="7"/>
      <c r="AX620" s="7"/>
      <c r="AY620" s="7"/>
      <c r="AZ620" s="7"/>
      <c r="BA620" s="7"/>
      <c r="BB620" s="7"/>
      <c r="BC620" s="7"/>
      <c r="BF620" s="7"/>
      <c r="BG620" s="36"/>
      <c r="BH620" s="36"/>
      <c r="BI620" s="36"/>
      <c r="BJ620" s="36"/>
      <c r="BK620" s="36"/>
      <c r="BL620" s="36"/>
      <c r="BM620" s="36"/>
      <c r="BN620" s="36"/>
      <c r="BO620" s="36"/>
    </row>
    <row r="621" spans="1:67" x14ac:dyDescent="0.25">
      <c r="A621" s="39"/>
      <c r="B621" s="40"/>
      <c r="U621" s="36"/>
      <c r="V621" s="36"/>
      <c r="W621" s="35"/>
      <c r="X621" s="7"/>
      <c r="Y621" s="7"/>
      <c r="Z621" s="7"/>
      <c r="AA621" s="7"/>
      <c r="AB621" s="7"/>
      <c r="AC621" s="7"/>
      <c r="AD621" s="7"/>
      <c r="AE621" s="7"/>
      <c r="AG621" s="36"/>
      <c r="AH621" s="36"/>
      <c r="AI621" s="35"/>
      <c r="AJ621" s="7"/>
      <c r="AK621" s="7"/>
      <c r="AL621" s="7"/>
      <c r="AM621" s="7"/>
      <c r="AN621" s="7"/>
      <c r="AO621" s="7"/>
      <c r="AP621" s="7"/>
      <c r="AQ621" s="7"/>
      <c r="AS621" s="36"/>
      <c r="AT621" s="36"/>
      <c r="AU621" s="35"/>
      <c r="AV621" s="7"/>
      <c r="AW621" s="7"/>
      <c r="AX621" s="7"/>
      <c r="AY621" s="7"/>
      <c r="AZ621" s="7"/>
      <c r="BA621" s="7"/>
      <c r="BB621" s="7"/>
      <c r="BC621" s="7"/>
      <c r="BF621" s="7"/>
      <c r="BG621" s="36"/>
      <c r="BH621" s="36"/>
      <c r="BI621" s="36"/>
      <c r="BJ621" s="36"/>
      <c r="BK621" s="36"/>
      <c r="BL621" s="36"/>
      <c r="BM621" s="36"/>
      <c r="BN621" s="36"/>
      <c r="BO621" s="36"/>
    </row>
    <row r="622" spans="1:67" x14ac:dyDescent="0.25">
      <c r="A622" s="39"/>
      <c r="B622" s="40"/>
      <c r="U622" s="36"/>
      <c r="V622" s="36"/>
      <c r="W622" s="35"/>
      <c r="X622" s="7"/>
      <c r="Y622" s="7"/>
      <c r="Z622" s="7"/>
      <c r="AA622" s="7"/>
      <c r="AB622" s="7"/>
      <c r="AC622" s="7"/>
      <c r="AD622" s="7"/>
      <c r="AE622" s="7"/>
      <c r="AG622" s="36"/>
      <c r="AH622" s="36"/>
      <c r="AI622" s="35"/>
      <c r="AJ622" s="7"/>
      <c r="AK622" s="7"/>
      <c r="AL622" s="7"/>
      <c r="AM622" s="7"/>
      <c r="AN622" s="7"/>
      <c r="AO622" s="7"/>
      <c r="AP622" s="7"/>
      <c r="AQ622" s="7"/>
      <c r="AS622" s="36"/>
      <c r="AT622" s="36"/>
      <c r="AU622" s="35"/>
      <c r="AV622" s="7"/>
      <c r="AW622" s="7"/>
      <c r="AX622" s="7"/>
      <c r="AY622" s="7"/>
      <c r="AZ622" s="7"/>
      <c r="BA622" s="7"/>
      <c r="BB622" s="7"/>
      <c r="BC622" s="7"/>
      <c r="BF622" s="7"/>
      <c r="BG622" s="36"/>
      <c r="BH622" s="36"/>
      <c r="BI622" s="36"/>
      <c r="BJ622" s="36"/>
      <c r="BK622" s="36"/>
      <c r="BL622" s="36"/>
      <c r="BM622" s="36"/>
      <c r="BN622" s="36"/>
      <c r="BO622" s="36"/>
    </row>
    <row r="623" spans="1:67" x14ac:dyDescent="0.25">
      <c r="A623" s="39"/>
      <c r="B623" s="40"/>
      <c r="U623" s="36"/>
      <c r="V623" s="36"/>
      <c r="W623" s="35"/>
      <c r="X623" s="7"/>
      <c r="Y623" s="7"/>
      <c r="Z623" s="7"/>
      <c r="AA623" s="7"/>
      <c r="AB623" s="7"/>
      <c r="AC623" s="7"/>
      <c r="AD623" s="7"/>
      <c r="AE623" s="7"/>
      <c r="AG623" s="36"/>
      <c r="AH623" s="36"/>
      <c r="AI623" s="35"/>
      <c r="AJ623" s="7"/>
      <c r="AK623" s="7"/>
      <c r="AL623" s="7"/>
      <c r="AM623" s="7"/>
      <c r="AN623" s="7"/>
      <c r="AO623" s="7"/>
      <c r="AP623" s="7"/>
      <c r="AQ623" s="7"/>
      <c r="AS623" s="36"/>
      <c r="AT623" s="36"/>
      <c r="AU623" s="35"/>
      <c r="AV623" s="7"/>
      <c r="AW623" s="7"/>
      <c r="AX623" s="7"/>
      <c r="AY623" s="7"/>
      <c r="AZ623" s="7"/>
      <c r="BA623" s="7"/>
      <c r="BB623" s="7"/>
      <c r="BC623" s="7"/>
      <c r="BF623" s="7"/>
      <c r="BG623" s="36"/>
      <c r="BH623" s="36"/>
      <c r="BI623" s="36"/>
      <c r="BJ623" s="36"/>
      <c r="BK623" s="36"/>
      <c r="BL623" s="36"/>
      <c r="BM623" s="36"/>
      <c r="BN623" s="36"/>
      <c r="BO623" s="36"/>
    </row>
    <row r="624" spans="1:67" x14ac:dyDescent="0.25">
      <c r="A624" s="39"/>
      <c r="B624" s="40"/>
      <c r="U624" s="36"/>
      <c r="V624" s="36"/>
      <c r="W624" s="35"/>
      <c r="X624" s="7"/>
      <c r="Y624" s="7"/>
      <c r="Z624" s="7"/>
      <c r="AA624" s="7"/>
      <c r="AB624" s="7"/>
      <c r="AC624" s="7"/>
      <c r="AD624" s="7"/>
      <c r="AE624" s="7"/>
      <c r="AG624" s="36"/>
      <c r="AH624" s="36"/>
      <c r="AI624" s="35"/>
      <c r="AJ624" s="7"/>
      <c r="AK624" s="7"/>
      <c r="AL624" s="7"/>
      <c r="AM624" s="7"/>
      <c r="AN624" s="7"/>
      <c r="AO624" s="7"/>
      <c r="AP624" s="7"/>
      <c r="AQ624" s="7"/>
      <c r="AS624" s="36"/>
      <c r="AT624" s="36"/>
      <c r="AU624" s="35"/>
      <c r="AV624" s="7"/>
      <c r="AW624" s="7"/>
      <c r="AX624" s="7"/>
      <c r="AY624" s="7"/>
      <c r="AZ624" s="7"/>
      <c r="BA624" s="7"/>
      <c r="BB624" s="7"/>
      <c r="BC624" s="7"/>
      <c r="BF624" s="7"/>
      <c r="BG624" s="36"/>
      <c r="BH624" s="36"/>
      <c r="BI624" s="36"/>
      <c r="BJ624" s="36"/>
      <c r="BK624" s="36"/>
      <c r="BL624" s="36"/>
      <c r="BM624" s="36"/>
      <c r="BN624" s="36"/>
      <c r="BO624" s="36"/>
    </row>
    <row r="625" spans="1:67" x14ac:dyDescent="0.25">
      <c r="A625" s="39"/>
      <c r="B625" s="40"/>
      <c r="U625" s="36"/>
      <c r="V625" s="36"/>
      <c r="W625" s="35"/>
      <c r="X625" s="7"/>
      <c r="Y625" s="7"/>
      <c r="Z625" s="7"/>
      <c r="AA625" s="7"/>
      <c r="AB625" s="7"/>
      <c r="AC625" s="7"/>
      <c r="AD625" s="7"/>
      <c r="AE625" s="7"/>
      <c r="AG625" s="36"/>
      <c r="AH625" s="36"/>
      <c r="AI625" s="35"/>
      <c r="AJ625" s="7"/>
      <c r="AK625" s="7"/>
      <c r="AL625" s="7"/>
      <c r="AM625" s="7"/>
      <c r="AN625" s="7"/>
      <c r="AO625" s="7"/>
      <c r="AP625" s="7"/>
      <c r="AQ625" s="7"/>
      <c r="AS625" s="36"/>
      <c r="AT625" s="36"/>
      <c r="AU625" s="35"/>
      <c r="AV625" s="7"/>
      <c r="AW625" s="7"/>
      <c r="AX625" s="7"/>
      <c r="AY625" s="7"/>
      <c r="AZ625" s="7"/>
      <c r="BA625" s="7"/>
      <c r="BB625" s="7"/>
      <c r="BC625" s="7"/>
      <c r="BF625" s="7"/>
      <c r="BG625" s="36"/>
      <c r="BH625" s="36"/>
      <c r="BI625" s="36"/>
      <c r="BJ625" s="36"/>
      <c r="BK625" s="36"/>
      <c r="BL625" s="36"/>
      <c r="BM625" s="36"/>
      <c r="BN625" s="36"/>
      <c r="BO625" s="36"/>
    </row>
    <row r="626" spans="1:67" x14ac:dyDescent="0.25">
      <c r="A626" s="39"/>
      <c r="B626" s="40"/>
      <c r="U626" s="36"/>
      <c r="V626" s="36"/>
      <c r="W626" s="35"/>
      <c r="X626" s="7"/>
      <c r="Y626" s="7"/>
      <c r="Z626" s="7"/>
      <c r="AA626" s="7"/>
      <c r="AB626" s="7"/>
      <c r="AC626" s="7"/>
      <c r="AD626" s="7"/>
      <c r="AE626" s="7"/>
      <c r="AG626" s="36"/>
      <c r="AH626" s="36"/>
      <c r="AI626" s="35"/>
      <c r="AJ626" s="7"/>
      <c r="AK626" s="7"/>
      <c r="AL626" s="7"/>
      <c r="AM626" s="7"/>
      <c r="AN626" s="7"/>
      <c r="AO626" s="7"/>
      <c r="AP626" s="7"/>
      <c r="AQ626" s="7"/>
      <c r="AS626" s="36"/>
      <c r="AT626" s="36"/>
      <c r="AU626" s="35"/>
      <c r="AV626" s="7"/>
      <c r="AW626" s="7"/>
      <c r="AX626" s="7"/>
      <c r="AY626" s="7"/>
      <c r="AZ626" s="7"/>
      <c r="BA626" s="7"/>
      <c r="BB626" s="7"/>
      <c r="BC626" s="7"/>
      <c r="BF626" s="7"/>
      <c r="BG626" s="36"/>
      <c r="BH626" s="36"/>
      <c r="BI626" s="36"/>
      <c r="BJ626" s="36"/>
      <c r="BK626" s="36"/>
      <c r="BL626" s="36"/>
      <c r="BM626" s="36"/>
      <c r="BN626" s="36"/>
      <c r="BO626" s="36"/>
    </row>
    <row r="627" spans="1:67" x14ac:dyDescent="0.25">
      <c r="A627" s="39"/>
      <c r="B627" s="40"/>
      <c r="U627" s="36"/>
      <c r="V627" s="36"/>
      <c r="W627" s="35"/>
      <c r="X627" s="7"/>
      <c r="Y627" s="7"/>
      <c r="Z627" s="7"/>
      <c r="AA627" s="7"/>
      <c r="AB627" s="7"/>
      <c r="AC627" s="7"/>
      <c r="AD627" s="7"/>
      <c r="AE627" s="7"/>
      <c r="AG627" s="36"/>
      <c r="AH627" s="36"/>
      <c r="AI627" s="35"/>
      <c r="AJ627" s="7"/>
      <c r="AK627" s="7"/>
      <c r="AL627" s="7"/>
      <c r="AM627" s="7"/>
      <c r="AN627" s="7"/>
      <c r="AO627" s="7"/>
      <c r="AP627" s="7"/>
      <c r="AQ627" s="7"/>
      <c r="AS627" s="36"/>
      <c r="AT627" s="36"/>
      <c r="AU627" s="35"/>
      <c r="AV627" s="7"/>
      <c r="AW627" s="7"/>
      <c r="AX627" s="7"/>
      <c r="AY627" s="7"/>
      <c r="AZ627" s="7"/>
      <c r="BA627" s="7"/>
      <c r="BB627" s="7"/>
      <c r="BC627" s="7"/>
      <c r="BF627" s="7"/>
      <c r="BG627" s="36"/>
      <c r="BH627" s="36"/>
      <c r="BI627" s="36"/>
      <c r="BJ627" s="36"/>
      <c r="BK627" s="36"/>
      <c r="BL627" s="36"/>
      <c r="BM627" s="36"/>
      <c r="BN627" s="36"/>
      <c r="BO627" s="36"/>
    </row>
    <row r="628" spans="1:67" x14ac:dyDescent="0.25">
      <c r="A628" s="39"/>
      <c r="B628" s="40"/>
      <c r="U628" s="36"/>
      <c r="V628" s="36"/>
      <c r="W628" s="35"/>
      <c r="X628" s="7"/>
      <c r="Y628" s="7"/>
      <c r="Z628" s="7"/>
      <c r="AA628" s="7"/>
      <c r="AB628" s="7"/>
      <c r="AC628" s="7"/>
      <c r="AD628" s="7"/>
      <c r="AE628" s="7"/>
      <c r="AG628" s="36"/>
      <c r="AH628" s="36"/>
      <c r="AI628" s="35"/>
      <c r="AJ628" s="7"/>
      <c r="AK628" s="7"/>
      <c r="AL628" s="7"/>
      <c r="AM628" s="7"/>
      <c r="AN628" s="7"/>
      <c r="AO628" s="7"/>
      <c r="AP628" s="7"/>
      <c r="AQ628" s="7"/>
      <c r="AS628" s="36"/>
      <c r="AT628" s="36"/>
      <c r="AU628" s="35"/>
      <c r="AV628" s="7"/>
      <c r="AW628" s="7"/>
      <c r="AX628" s="7"/>
      <c r="AY628" s="7"/>
      <c r="AZ628" s="7"/>
      <c r="BA628" s="7"/>
      <c r="BB628" s="7"/>
      <c r="BC628" s="7"/>
      <c r="BF628" s="7"/>
      <c r="BG628" s="36"/>
      <c r="BH628" s="36"/>
      <c r="BI628" s="36"/>
      <c r="BJ628" s="36"/>
      <c r="BK628" s="36"/>
      <c r="BL628" s="36"/>
      <c r="BM628" s="36"/>
      <c r="BN628" s="36"/>
      <c r="BO628" s="36"/>
    </row>
    <row r="629" spans="1:67" x14ac:dyDescent="0.25">
      <c r="A629" s="39"/>
      <c r="B629" s="40"/>
      <c r="U629" s="36"/>
      <c r="V629" s="36"/>
      <c r="W629" s="35"/>
      <c r="X629" s="7"/>
      <c r="Y629" s="7"/>
      <c r="Z629" s="7"/>
      <c r="AA629" s="7"/>
      <c r="AB629" s="7"/>
      <c r="AC629" s="7"/>
      <c r="AD629" s="7"/>
      <c r="AE629" s="7"/>
      <c r="AG629" s="36"/>
      <c r="AH629" s="36"/>
      <c r="AI629" s="35"/>
      <c r="AJ629" s="7"/>
      <c r="AK629" s="7"/>
      <c r="AL629" s="7"/>
      <c r="AM629" s="7"/>
      <c r="AN629" s="7"/>
      <c r="AO629" s="7"/>
      <c r="AP629" s="7"/>
      <c r="AQ629" s="7"/>
      <c r="AS629" s="36"/>
      <c r="AT629" s="36"/>
      <c r="AU629" s="35"/>
      <c r="AV629" s="7"/>
      <c r="AW629" s="7"/>
      <c r="AX629" s="7"/>
      <c r="AY629" s="7"/>
      <c r="AZ629" s="7"/>
      <c r="BA629" s="7"/>
      <c r="BB629" s="7"/>
      <c r="BC629" s="7"/>
      <c r="BF629" s="7"/>
      <c r="BG629" s="36"/>
      <c r="BH629" s="36"/>
      <c r="BI629" s="36"/>
      <c r="BJ629" s="36"/>
      <c r="BK629" s="36"/>
      <c r="BL629" s="36"/>
      <c r="BM629" s="36"/>
      <c r="BN629" s="36"/>
      <c r="BO629" s="36"/>
    </row>
    <row r="630" spans="1:67" x14ac:dyDescent="0.25">
      <c r="A630" s="39"/>
      <c r="B630" s="40"/>
      <c r="U630" s="36"/>
      <c r="V630" s="36"/>
      <c r="W630" s="35"/>
      <c r="X630" s="7"/>
      <c r="Y630" s="7"/>
      <c r="Z630" s="7"/>
      <c r="AA630" s="7"/>
      <c r="AB630" s="7"/>
      <c r="AC630" s="7"/>
      <c r="AD630" s="7"/>
      <c r="AE630" s="7"/>
      <c r="AG630" s="36"/>
      <c r="AH630" s="36"/>
      <c r="AI630" s="35"/>
      <c r="AJ630" s="7"/>
      <c r="AK630" s="7"/>
      <c r="AL630" s="7"/>
      <c r="AM630" s="7"/>
      <c r="AN630" s="7"/>
      <c r="AO630" s="7"/>
      <c r="AP630" s="7"/>
      <c r="AQ630" s="7"/>
      <c r="AS630" s="36"/>
      <c r="AT630" s="36"/>
      <c r="AU630" s="35"/>
      <c r="AV630" s="7"/>
      <c r="AW630" s="7"/>
      <c r="AX630" s="7"/>
      <c r="AY630" s="7"/>
      <c r="AZ630" s="7"/>
      <c r="BA630" s="7"/>
      <c r="BB630" s="7"/>
      <c r="BC630" s="7"/>
      <c r="BF630" s="7"/>
      <c r="BG630" s="36"/>
      <c r="BH630" s="36"/>
      <c r="BI630" s="36"/>
      <c r="BJ630" s="36"/>
      <c r="BK630" s="36"/>
      <c r="BL630" s="36"/>
      <c r="BM630" s="36"/>
      <c r="BN630" s="36"/>
      <c r="BO630" s="36"/>
    </row>
    <row r="631" spans="1:67" x14ac:dyDescent="0.25">
      <c r="A631" s="39"/>
      <c r="B631" s="40"/>
      <c r="U631" s="36"/>
      <c r="V631" s="36"/>
      <c r="W631" s="35"/>
      <c r="X631" s="7"/>
      <c r="Y631" s="7"/>
      <c r="Z631" s="7"/>
      <c r="AA631" s="7"/>
      <c r="AB631" s="7"/>
      <c r="AC631" s="7"/>
      <c r="AD631" s="7"/>
      <c r="AE631" s="7"/>
      <c r="AG631" s="36"/>
      <c r="AH631" s="36"/>
      <c r="AI631" s="35"/>
      <c r="AJ631" s="7"/>
      <c r="AK631" s="7"/>
      <c r="AL631" s="7"/>
      <c r="AM631" s="7"/>
      <c r="AN631" s="7"/>
      <c r="AO631" s="7"/>
      <c r="AP631" s="7"/>
      <c r="AQ631" s="7"/>
      <c r="AS631" s="36"/>
      <c r="AT631" s="36"/>
      <c r="AU631" s="35"/>
      <c r="AV631" s="7"/>
      <c r="AW631" s="7"/>
      <c r="AX631" s="7"/>
      <c r="AY631" s="7"/>
      <c r="AZ631" s="7"/>
      <c r="BA631" s="7"/>
      <c r="BB631" s="7"/>
      <c r="BC631" s="7"/>
      <c r="BF631" s="7"/>
      <c r="BG631" s="36"/>
      <c r="BH631" s="36"/>
      <c r="BI631" s="36"/>
      <c r="BJ631" s="36"/>
      <c r="BK631" s="36"/>
      <c r="BL631" s="36"/>
      <c r="BM631" s="36"/>
      <c r="BN631" s="36"/>
      <c r="BO631" s="36"/>
    </row>
    <row r="632" spans="1:67" x14ac:dyDescent="0.25">
      <c r="A632" s="39"/>
      <c r="B632" s="40"/>
      <c r="U632" s="36"/>
      <c r="V632" s="36"/>
      <c r="W632" s="35"/>
      <c r="X632" s="7"/>
      <c r="Y632" s="7"/>
      <c r="Z632" s="7"/>
      <c r="AA632" s="7"/>
      <c r="AB632" s="7"/>
      <c r="AC632" s="7"/>
      <c r="AD632" s="7"/>
      <c r="AE632" s="7"/>
      <c r="AG632" s="36"/>
      <c r="AH632" s="36"/>
      <c r="AI632" s="35"/>
      <c r="AJ632" s="7"/>
      <c r="AK632" s="7"/>
      <c r="AL632" s="7"/>
      <c r="AM632" s="7"/>
      <c r="AN632" s="7"/>
      <c r="AO632" s="7"/>
      <c r="AP632" s="7"/>
      <c r="AQ632" s="7"/>
      <c r="AS632" s="36"/>
      <c r="AT632" s="36"/>
      <c r="AU632" s="35"/>
      <c r="AV632" s="7"/>
      <c r="AW632" s="7"/>
      <c r="AX632" s="7"/>
      <c r="AY632" s="7"/>
      <c r="AZ632" s="7"/>
      <c r="BA632" s="7"/>
      <c r="BB632" s="7"/>
      <c r="BC632" s="7"/>
      <c r="BF632" s="7"/>
      <c r="BG632" s="36"/>
      <c r="BH632" s="36"/>
      <c r="BI632" s="36"/>
      <c r="BJ632" s="36"/>
      <c r="BK632" s="36"/>
      <c r="BL632" s="36"/>
      <c r="BM632" s="36"/>
      <c r="BN632" s="36"/>
      <c r="BO632" s="36"/>
    </row>
    <row r="633" spans="1:67" x14ac:dyDescent="0.25">
      <c r="A633" s="39"/>
      <c r="B633" s="40"/>
      <c r="U633" s="36"/>
      <c r="V633" s="36"/>
      <c r="W633" s="35"/>
      <c r="X633" s="7"/>
      <c r="Y633" s="7"/>
      <c r="Z633" s="7"/>
      <c r="AA633" s="7"/>
      <c r="AB633" s="7"/>
      <c r="AC633" s="7"/>
      <c r="AD633" s="7"/>
      <c r="AE633" s="7"/>
      <c r="AG633" s="36"/>
      <c r="AH633" s="36"/>
      <c r="AI633" s="35"/>
      <c r="AJ633" s="7"/>
      <c r="AK633" s="7"/>
      <c r="AL633" s="7"/>
      <c r="AM633" s="7"/>
      <c r="AN633" s="7"/>
      <c r="AO633" s="7"/>
      <c r="AP633" s="7"/>
      <c r="AQ633" s="7"/>
      <c r="AS633" s="36"/>
      <c r="AT633" s="36"/>
      <c r="AU633" s="35"/>
      <c r="AV633" s="7"/>
      <c r="AW633" s="7"/>
      <c r="AX633" s="7"/>
      <c r="AY633" s="7"/>
      <c r="AZ633" s="7"/>
      <c r="BA633" s="7"/>
      <c r="BB633" s="7"/>
      <c r="BC633" s="7"/>
      <c r="BF633" s="7"/>
      <c r="BG633" s="36"/>
      <c r="BH633" s="36"/>
      <c r="BI633" s="36"/>
      <c r="BJ633" s="36"/>
      <c r="BK633" s="36"/>
      <c r="BL633" s="36"/>
      <c r="BM633" s="36"/>
      <c r="BN633" s="36"/>
      <c r="BO633" s="36"/>
    </row>
    <row r="634" spans="1:67" x14ac:dyDescent="0.25">
      <c r="A634" s="39"/>
      <c r="B634" s="40"/>
      <c r="U634" s="36"/>
      <c r="V634" s="36"/>
      <c r="W634" s="35"/>
      <c r="X634" s="7"/>
      <c r="Y634" s="7"/>
      <c r="Z634" s="7"/>
      <c r="AA634" s="7"/>
      <c r="AB634" s="7"/>
      <c r="AC634" s="7"/>
      <c r="AD634" s="7"/>
      <c r="AE634" s="7"/>
      <c r="AG634" s="36"/>
      <c r="AH634" s="36"/>
      <c r="AI634" s="35"/>
      <c r="AJ634" s="7"/>
      <c r="AK634" s="7"/>
      <c r="AL634" s="7"/>
      <c r="AM634" s="7"/>
      <c r="AN634" s="7"/>
      <c r="AO634" s="7"/>
      <c r="AP634" s="7"/>
      <c r="AQ634" s="7"/>
      <c r="AS634" s="36"/>
      <c r="AT634" s="36"/>
      <c r="AU634" s="35"/>
      <c r="AV634" s="7"/>
      <c r="AW634" s="7"/>
      <c r="AX634" s="7"/>
      <c r="AY634" s="7"/>
      <c r="AZ634" s="7"/>
      <c r="BA634" s="7"/>
      <c r="BB634" s="7"/>
      <c r="BC634" s="7"/>
      <c r="BF634" s="7"/>
      <c r="BG634" s="36"/>
      <c r="BH634" s="36"/>
      <c r="BI634" s="36"/>
      <c r="BJ634" s="36"/>
      <c r="BK634" s="36"/>
      <c r="BL634" s="36"/>
      <c r="BM634" s="36"/>
      <c r="BN634" s="36"/>
      <c r="BO634" s="36"/>
    </row>
    <row r="635" spans="1:67" x14ac:dyDescent="0.25">
      <c r="A635" s="39"/>
      <c r="B635" s="40"/>
      <c r="U635" s="36"/>
      <c r="V635" s="36"/>
      <c r="W635" s="35"/>
      <c r="X635" s="7"/>
      <c r="Y635" s="7"/>
      <c r="Z635" s="7"/>
      <c r="AA635" s="7"/>
      <c r="AB635" s="7"/>
      <c r="AC635" s="7"/>
      <c r="AD635" s="7"/>
      <c r="AE635" s="7"/>
      <c r="AG635" s="36"/>
      <c r="AH635" s="36"/>
      <c r="AI635" s="35"/>
      <c r="AJ635" s="7"/>
      <c r="AK635" s="7"/>
      <c r="AL635" s="7"/>
      <c r="AM635" s="7"/>
      <c r="AN635" s="7"/>
      <c r="AO635" s="7"/>
      <c r="AP635" s="7"/>
      <c r="AQ635" s="7"/>
      <c r="AS635" s="36"/>
      <c r="AT635" s="36"/>
      <c r="AU635" s="35"/>
      <c r="AV635" s="7"/>
      <c r="AW635" s="7"/>
      <c r="AX635" s="7"/>
      <c r="AY635" s="7"/>
      <c r="AZ635" s="7"/>
      <c r="BA635" s="7"/>
      <c r="BB635" s="7"/>
      <c r="BC635" s="7"/>
      <c r="BF635" s="7"/>
      <c r="BG635" s="36"/>
      <c r="BH635" s="36"/>
      <c r="BI635" s="36"/>
      <c r="BJ635" s="36"/>
      <c r="BK635" s="36"/>
      <c r="BL635" s="36"/>
      <c r="BM635" s="36"/>
      <c r="BN635" s="36"/>
      <c r="BO635" s="36"/>
    </row>
    <row r="636" spans="1:67" x14ac:dyDescent="0.25">
      <c r="A636" s="39"/>
      <c r="B636" s="40"/>
      <c r="U636" s="36"/>
      <c r="V636" s="36"/>
      <c r="W636" s="35"/>
      <c r="X636" s="7"/>
      <c r="Y636" s="7"/>
      <c r="Z636" s="7"/>
      <c r="AA636" s="7"/>
      <c r="AB636" s="7"/>
      <c r="AC636" s="7"/>
      <c r="AD636" s="7"/>
      <c r="AE636" s="7"/>
      <c r="AG636" s="36"/>
      <c r="AH636" s="36"/>
      <c r="AI636" s="35"/>
      <c r="AJ636" s="7"/>
      <c r="AK636" s="7"/>
      <c r="AL636" s="7"/>
      <c r="AM636" s="7"/>
      <c r="AN636" s="7"/>
      <c r="AO636" s="7"/>
      <c r="AP636" s="7"/>
      <c r="AQ636" s="7"/>
      <c r="AS636" s="36"/>
      <c r="AT636" s="36"/>
      <c r="AU636" s="35"/>
      <c r="AV636" s="7"/>
      <c r="AW636" s="7"/>
      <c r="AX636" s="7"/>
      <c r="AY636" s="7"/>
      <c r="AZ636" s="7"/>
      <c r="BA636" s="7"/>
      <c r="BB636" s="7"/>
      <c r="BC636" s="7"/>
      <c r="BF636" s="7"/>
      <c r="BG636" s="36"/>
      <c r="BH636" s="36"/>
      <c r="BI636" s="36"/>
      <c r="BJ636" s="36"/>
      <c r="BK636" s="36"/>
      <c r="BL636" s="36"/>
      <c r="BM636" s="36"/>
      <c r="BN636" s="36"/>
      <c r="BO636" s="36"/>
    </row>
    <row r="637" spans="1:67" x14ac:dyDescent="0.25">
      <c r="A637" s="39"/>
      <c r="B637" s="40"/>
      <c r="U637" s="36"/>
      <c r="V637" s="36"/>
      <c r="W637" s="35"/>
      <c r="X637" s="7"/>
      <c r="Y637" s="7"/>
      <c r="Z637" s="7"/>
      <c r="AA637" s="7"/>
      <c r="AB637" s="7"/>
      <c r="AC637" s="7"/>
      <c r="AD637" s="7"/>
      <c r="AE637" s="7"/>
      <c r="AG637" s="36"/>
      <c r="AH637" s="36"/>
      <c r="AI637" s="35"/>
      <c r="AJ637" s="7"/>
      <c r="AK637" s="7"/>
      <c r="AL637" s="7"/>
      <c r="AM637" s="7"/>
      <c r="AN637" s="7"/>
      <c r="AO637" s="7"/>
      <c r="AP637" s="7"/>
      <c r="AQ637" s="7"/>
      <c r="AS637" s="36"/>
      <c r="AT637" s="36"/>
      <c r="AU637" s="35"/>
      <c r="AV637" s="7"/>
      <c r="AW637" s="7"/>
      <c r="AX637" s="7"/>
      <c r="AY637" s="7"/>
      <c r="AZ637" s="7"/>
      <c r="BA637" s="7"/>
      <c r="BB637" s="7"/>
      <c r="BC637" s="7"/>
      <c r="BF637" s="7"/>
      <c r="BG637" s="36"/>
      <c r="BH637" s="36"/>
      <c r="BI637" s="36"/>
      <c r="BJ637" s="36"/>
      <c r="BK637" s="36"/>
      <c r="BL637" s="36"/>
      <c r="BM637" s="36"/>
      <c r="BN637" s="36"/>
      <c r="BO637" s="36"/>
    </row>
    <row r="638" spans="1:67" x14ac:dyDescent="0.25">
      <c r="A638" s="39"/>
      <c r="B638" s="40"/>
      <c r="U638" s="36"/>
      <c r="V638" s="36"/>
      <c r="W638" s="35"/>
      <c r="X638" s="7"/>
      <c r="Y638" s="7"/>
      <c r="Z638" s="7"/>
      <c r="AA638" s="7"/>
      <c r="AB638" s="7"/>
      <c r="AC638" s="7"/>
      <c r="AD638" s="7"/>
      <c r="AE638" s="7"/>
      <c r="AG638" s="36"/>
      <c r="AH638" s="36"/>
      <c r="AI638" s="35"/>
      <c r="AJ638" s="7"/>
      <c r="AK638" s="7"/>
      <c r="AL638" s="7"/>
      <c r="AM638" s="7"/>
      <c r="AN638" s="7"/>
      <c r="AO638" s="7"/>
      <c r="AP638" s="7"/>
      <c r="AQ638" s="7"/>
      <c r="AS638" s="36"/>
      <c r="AT638" s="36"/>
      <c r="AU638" s="35"/>
      <c r="AV638" s="7"/>
      <c r="AW638" s="7"/>
      <c r="AX638" s="7"/>
      <c r="AY638" s="7"/>
      <c r="AZ638" s="7"/>
      <c r="BA638" s="7"/>
      <c r="BB638" s="7"/>
      <c r="BC638" s="7"/>
      <c r="BF638" s="7"/>
      <c r="BG638" s="36"/>
      <c r="BH638" s="36"/>
      <c r="BI638" s="36"/>
      <c r="BJ638" s="36"/>
      <c r="BK638" s="36"/>
      <c r="BL638" s="36"/>
      <c r="BM638" s="36"/>
      <c r="BN638" s="36"/>
      <c r="BO638" s="36"/>
    </row>
    <row r="639" spans="1:67" x14ac:dyDescent="0.25">
      <c r="A639" s="39"/>
      <c r="B639" s="40"/>
      <c r="U639" s="36"/>
      <c r="V639" s="36"/>
      <c r="W639" s="35"/>
      <c r="X639" s="7"/>
      <c r="Y639" s="7"/>
      <c r="Z639" s="7"/>
      <c r="AA639" s="7"/>
      <c r="AB639" s="7"/>
      <c r="AC639" s="7"/>
      <c r="AD639" s="7"/>
      <c r="AE639" s="7"/>
      <c r="AG639" s="36"/>
      <c r="AH639" s="36"/>
      <c r="AI639" s="35"/>
      <c r="AJ639" s="7"/>
      <c r="AK639" s="7"/>
      <c r="AL639" s="7"/>
      <c r="AM639" s="7"/>
      <c r="AN639" s="7"/>
      <c r="AO639" s="7"/>
      <c r="AP639" s="7"/>
      <c r="AQ639" s="7"/>
      <c r="AS639" s="36"/>
      <c r="AT639" s="36"/>
      <c r="AU639" s="35"/>
      <c r="AV639" s="7"/>
      <c r="AW639" s="7"/>
      <c r="AX639" s="7"/>
      <c r="AY639" s="7"/>
      <c r="AZ639" s="7"/>
      <c r="BA639" s="7"/>
      <c r="BB639" s="7"/>
      <c r="BC639" s="7"/>
      <c r="BF639" s="7"/>
      <c r="BG639" s="36"/>
      <c r="BH639" s="36"/>
      <c r="BI639" s="36"/>
      <c r="BJ639" s="36"/>
      <c r="BK639" s="36"/>
      <c r="BL639" s="36"/>
      <c r="BM639" s="36"/>
      <c r="BN639" s="36"/>
      <c r="BO639" s="36"/>
    </row>
    <row r="640" spans="1:67" x14ac:dyDescent="0.25">
      <c r="A640" s="39"/>
      <c r="B640" s="40"/>
      <c r="U640" s="36"/>
      <c r="V640" s="36"/>
      <c r="W640" s="35"/>
      <c r="X640" s="7"/>
      <c r="Y640" s="7"/>
      <c r="Z640" s="7"/>
      <c r="AA640" s="7"/>
      <c r="AB640" s="7"/>
      <c r="AC640" s="7"/>
      <c r="AD640" s="7"/>
      <c r="AE640" s="7"/>
      <c r="AG640" s="36"/>
      <c r="AH640" s="36"/>
      <c r="AI640" s="35"/>
      <c r="AJ640" s="7"/>
      <c r="AK640" s="7"/>
      <c r="AL640" s="7"/>
      <c r="AM640" s="7"/>
      <c r="AN640" s="7"/>
      <c r="AO640" s="7"/>
      <c r="AP640" s="7"/>
      <c r="AQ640" s="7"/>
      <c r="AS640" s="36"/>
      <c r="AT640" s="36"/>
      <c r="AU640" s="35"/>
      <c r="AV640" s="7"/>
      <c r="AW640" s="7"/>
      <c r="AX640" s="7"/>
      <c r="AY640" s="7"/>
      <c r="AZ640" s="7"/>
      <c r="BA640" s="7"/>
      <c r="BB640" s="7"/>
      <c r="BC640" s="7"/>
      <c r="BF640" s="7"/>
      <c r="BG640" s="36"/>
      <c r="BH640" s="36"/>
      <c r="BI640" s="36"/>
      <c r="BJ640" s="36"/>
      <c r="BK640" s="36"/>
      <c r="BL640" s="36"/>
      <c r="BM640" s="36"/>
      <c r="BN640" s="36"/>
      <c r="BO640" s="36"/>
    </row>
    <row r="641" spans="1:67" x14ac:dyDescent="0.25">
      <c r="A641" s="39"/>
      <c r="B641" s="40"/>
      <c r="U641" s="36"/>
      <c r="V641" s="36"/>
      <c r="W641" s="35"/>
      <c r="X641" s="7"/>
      <c r="Y641" s="7"/>
      <c r="Z641" s="7"/>
      <c r="AA641" s="7"/>
      <c r="AB641" s="7"/>
      <c r="AC641" s="7"/>
      <c r="AD641" s="7"/>
      <c r="AE641" s="7"/>
      <c r="AG641" s="36"/>
      <c r="AH641" s="36"/>
      <c r="AI641" s="35"/>
      <c r="AJ641" s="7"/>
      <c r="AK641" s="7"/>
      <c r="AL641" s="7"/>
      <c r="AM641" s="7"/>
      <c r="AN641" s="7"/>
      <c r="AO641" s="7"/>
      <c r="AP641" s="7"/>
      <c r="AQ641" s="7"/>
      <c r="AS641" s="36"/>
      <c r="AT641" s="36"/>
      <c r="AU641" s="35"/>
      <c r="AV641" s="7"/>
      <c r="AW641" s="7"/>
      <c r="AX641" s="7"/>
      <c r="AY641" s="7"/>
      <c r="AZ641" s="7"/>
      <c r="BA641" s="7"/>
      <c r="BB641" s="7"/>
      <c r="BC641" s="7"/>
      <c r="BF641" s="7"/>
      <c r="BG641" s="36"/>
      <c r="BH641" s="36"/>
      <c r="BI641" s="36"/>
      <c r="BJ641" s="36"/>
      <c r="BK641" s="36"/>
      <c r="BL641" s="36"/>
      <c r="BM641" s="36"/>
      <c r="BN641" s="36"/>
      <c r="BO641" s="36"/>
    </row>
    <row r="642" spans="1:67" x14ac:dyDescent="0.25">
      <c r="A642" s="39"/>
      <c r="B642" s="40"/>
      <c r="U642" s="36"/>
      <c r="V642" s="36"/>
      <c r="W642" s="35"/>
      <c r="X642" s="7"/>
      <c r="Y642" s="7"/>
      <c r="Z642" s="7"/>
      <c r="AA642" s="7"/>
      <c r="AB642" s="7"/>
      <c r="AC642" s="7"/>
      <c r="AD642" s="7"/>
      <c r="AE642" s="7"/>
      <c r="AG642" s="36"/>
      <c r="AH642" s="36"/>
      <c r="AI642" s="35"/>
      <c r="AJ642" s="7"/>
      <c r="AK642" s="7"/>
      <c r="AL642" s="7"/>
      <c r="AM642" s="7"/>
      <c r="AN642" s="7"/>
      <c r="AO642" s="7"/>
      <c r="AP642" s="7"/>
      <c r="AQ642" s="7"/>
      <c r="AS642" s="36"/>
      <c r="AT642" s="36"/>
      <c r="AU642" s="35"/>
      <c r="AV642" s="7"/>
      <c r="AW642" s="7"/>
      <c r="AX642" s="7"/>
      <c r="AY642" s="7"/>
      <c r="AZ642" s="7"/>
      <c r="BA642" s="7"/>
      <c r="BB642" s="7"/>
      <c r="BC642" s="7"/>
      <c r="BF642" s="7"/>
      <c r="BG642" s="36"/>
      <c r="BH642" s="36"/>
      <c r="BI642" s="36"/>
      <c r="BJ642" s="36"/>
      <c r="BK642" s="36"/>
      <c r="BL642" s="36"/>
      <c r="BM642" s="36"/>
      <c r="BN642" s="36"/>
      <c r="BO642" s="36"/>
    </row>
    <row r="643" spans="1:67" x14ac:dyDescent="0.25">
      <c r="A643" s="39"/>
      <c r="B643" s="40"/>
      <c r="U643" s="36"/>
      <c r="V643" s="36"/>
      <c r="W643" s="35"/>
      <c r="X643" s="7"/>
      <c r="Y643" s="7"/>
      <c r="Z643" s="7"/>
      <c r="AA643" s="7"/>
      <c r="AB643" s="7"/>
      <c r="AC643" s="7"/>
      <c r="AD643" s="7"/>
      <c r="AE643" s="7"/>
      <c r="AG643" s="36"/>
      <c r="AH643" s="36"/>
      <c r="AI643" s="35"/>
      <c r="AJ643" s="7"/>
      <c r="AK643" s="7"/>
      <c r="AL643" s="7"/>
      <c r="AM643" s="7"/>
      <c r="AN643" s="7"/>
      <c r="AO643" s="7"/>
      <c r="AP643" s="7"/>
      <c r="AQ643" s="7"/>
      <c r="AS643" s="36"/>
      <c r="AT643" s="36"/>
      <c r="AU643" s="35"/>
      <c r="AV643" s="7"/>
      <c r="AW643" s="7"/>
      <c r="AX643" s="7"/>
      <c r="AY643" s="7"/>
      <c r="AZ643" s="7"/>
      <c r="BA643" s="7"/>
      <c r="BB643" s="7"/>
      <c r="BC643" s="7"/>
      <c r="BF643" s="7"/>
      <c r="BG643" s="36"/>
      <c r="BH643" s="36"/>
      <c r="BI643" s="36"/>
      <c r="BJ643" s="36"/>
      <c r="BK643" s="36"/>
      <c r="BL643" s="36"/>
      <c r="BM643" s="36"/>
      <c r="BN643" s="36"/>
      <c r="BO643" s="36"/>
    </row>
    <row r="644" spans="1:67" x14ac:dyDescent="0.25">
      <c r="A644" s="39"/>
      <c r="B644" s="40"/>
      <c r="U644" s="36"/>
      <c r="V644" s="36"/>
      <c r="W644" s="35"/>
      <c r="X644" s="7"/>
      <c r="Y644" s="7"/>
      <c r="Z644" s="7"/>
      <c r="AA644" s="7"/>
      <c r="AB644" s="7"/>
      <c r="AC644" s="7"/>
      <c r="AD644" s="7"/>
      <c r="AE644" s="7"/>
      <c r="AG644" s="36"/>
      <c r="AH644" s="36"/>
      <c r="AI644" s="35"/>
      <c r="AJ644" s="7"/>
      <c r="AK644" s="7"/>
      <c r="AL644" s="7"/>
      <c r="AM644" s="7"/>
      <c r="AN644" s="7"/>
      <c r="AO644" s="7"/>
      <c r="AP644" s="7"/>
      <c r="AQ644" s="7"/>
      <c r="AS644" s="36"/>
      <c r="AT644" s="36"/>
      <c r="AU644" s="35"/>
      <c r="AV644" s="7"/>
      <c r="AW644" s="7"/>
      <c r="AX644" s="7"/>
      <c r="AY644" s="7"/>
      <c r="AZ644" s="7"/>
      <c r="BA644" s="7"/>
      <c r="BB644" s="7"/>
      <c r="BC644" s="7"/>
      <c r="BF644" s="7"/>
      <c r="BG644" s="36"/>
      <c r="BH644" s="36"/>
      <c r="BI644" s="36"/>
      <c r="BJ644" s="36"/>
      <c r="BK644" s="36"/>
      <c r="BL644" s="36"/>
      <c r="BM644" s="36"/>
      <c r="BN644" s="36"/>
      <c r="BO644" s="36"/>
    </row>
    <row r="645" spans="1:67" x14ac:dyDescent="0.25">
      <c r="A645" s="39"/>
      <c r="B645" s="40"/>
      <c r="U645" s="36"/>
      <c r="V645" s="36"/>
      <c r="W645" s="35"/>
      <c r="X645" s="7"/>
      <c r="Y645" s="7"/>
      <c r="Z645" s="7"/>
      <c r="AA645" s="7"/>
      <c r="AB645" s="7"/>
      <c r="AC645" s="7"/>
      <c r="AD645" s="7"/>
      <c r="AE645" s="7"/>
      <c r="AG645" s="36"/>
      <c r="AH645" s="36"/>
      <c r="AI645" s="35"/>
      <c r="AJ645" s="7"/>
      <c r="AK645" s="7"/>
      <c r="AL645" s="7"/>
      <c r="AM645" s="7"/>
      <c r="AN645" s="7"/>
      <c r="AO645" s="7"/>
      <c r="AP645" s="7"/>
      <c r="AQ645" s="7"/>
      <c r="AS645" s="36"/>
      <c r="AT645" s="36"/>
      <c r="AU645" s="35"/>
      <c r="AV645" s="7"/>
      <c r="AW645" s="7"/>
      <c r="AX645" s="7"/>
      <c r="AY645" s="7"/>
      <c r="AZ645" s="7"/>
      <c r="BA645" s="7"/>
      <c r="BB645" s="7"/>
      <c r="BC645" s="7"/>
      <c r="BF645" s="7"/>
      <c r="BG645" s="36"/>
      <c r="BH645" s="36"/>
      <c r="BI645" s="36"/>
      <c r="BJ645" s="36"/>
      <c r="BK645" s="36"/>
      <c r="BL645" s="36"/>
      <c r="BM645" s="36"/>
      <c r="BN645" s="36"/>
      <c r="BO645" s="36"/>
    </row>
    <row r="646" spans="1:67" x14ac:dyDescent="0.25">
      <c r="A646" s="39"/>
      <c r="B646" s="40"/>
      <c r="U646" s="36"/>
      <c r="V646" s="36"/>
      <c r="W646" s="35"/>
      <c r="X646" s="7"/>
      <c r="Y646" s="7"/>
      <c r="Z646" s="7"/>
      <c r="AA646" s="7"/>
      <c r="AB646" s="7"/>
      <c r="AC646" s="7"/>
      <c r="AD646" s="7"/>
      <c r="AE646" s="7"/>
      <c r="AG646" s="36"/>
      <c r="AH646" s="36"/>
      <c r="AI646" s="35"/>
      <c r="AJ646" s="7"/>
      <c r="AK646" s="7"/>
      <c r="AL646" s="7"/>
      <c r="AM646" s="7"/>
      <c r="AN646" s="7"/>
      <c r="AO646" s="7"/>
      <c r="AP646" s="7"/>
      <c r="AQ646" s="7"/>
      <c r="AS646" s="36"/>
      <c r="AT646" s="36"/>
      <c r="AU646" s="35"/>
      <c r="AV646" s="7"/>
      <c r="AW646" s="7"/>
      <c r="AX646" s="7"/>
      <c r="AY646" s="7"/>
      <c r="AZ646" s="7"/>
      <c r="BA646" s="7"/>
      <c r="BB646" s="7"/>
      <c r="BC646" s="7"/>
      <c r="BF646" s="7"/>
      <c r="BG646" s="36"/>
      <c r="BH646" s="36"/>
      <c r="BI646" s="36"/>
      <c r="BJ646" s="36"/>
      <c r="BK646" s="36"/>
      <c r="BL646" s="36"/>
      <c r="BM646" s="36"/>
      <c r="BN646" s="36"/>
      <c r="BO646" s="36"/>
    </row>
    <row r="647" spans="1:67" x14ac:dyDescent="0.25">
      <c r="A647" s="39"/>
      <c r="B647" s="40"/>
      <c r="U647" s="36"/>
      <c r="V647" s="36"/>
      <c r="W647" s="35"/>
      <c r="X647" s="7"/>
      <c r="Y647" s="7"/>
      <c r="Z647" s="7"/>
      <c r="AA647" s="7"/>
      <c r="AB647" s="7"/>
      <c r="AC647" s="7"/>
      <c r="AD647" s="7"/>
      <c r="AE647" s="7"/>
      <c r="AG647" s="36"/>
      <c r="AH647" s="36"/>
      <c r="AI647" s="35"/>
      <c r="AJ647" s="7"/>
      <c r="AK647" s="7"/>
      <c r="AL647" s="7"/>
      <c r="AM647" s="7"/>
      <c r="AN647" s="7"/>
      <c r="AO647" s="7"/>
      <c r="AP647" s="7"/>
      <c r="AQ647" s="7"/>
      <c r="AS647" s="36"/>
      <c r="AT647" s="36"/>
      <c r="AU647" s="35"/>
      <c r="AV647" s="7"/>
      <c r="AW647" s="7"/>
      <c r="AX647" s="7"/>
      <c r="AY647" s="7"/>
      <c r="AZ647" s="7"/>
      <c r="BA647" s="7"/>
      <c r="BB647" s="7"/>
      <c r="BC647" s="7"/>
      <c r="BF647" s="7"/>
      <c r="BG647" s="36"/>
      <c r="BH647" s="36"/>
      <c r="BI647" s="36"/>
      <c r="BJ647" s="36"/>
      <c r="BK647" s="36"/>
      <c r="BL647" s="36"/>
      <c r="BM647" s="36"/>
      <c r="BN647" s="36"/>
      <c r="BO647" s="36"/>
    </row>
    <row r="648" spans="1:67" x14ac:dyDescent="0.25">
      <c r="A648" s="39"/>
      <c r="B648" s="40"/>
      <c r="U648" s="36"/>
      <c r="V648" s="36"/>
      <c r="W648" s="35"/>
      <c r="X648" s="7"/>
      <c r="Y648" s="7"/>
      <c r="Z648" s="7"/>
      <c r="AA648" s="7"/>
      <c r="AB648" s="7"/>
      <c r="AC648" s="7"/>
      <c r="AD648" s="7"/>
      <c r="AE648" s="7"/>
      <c r="AG648" s="36"/>
      <c r="AH648" s="36"/>
      <c r="AI648" s="35"/>
      <c r="AJ648" s="7"/>
      <c r="AK648" s="7"/>
      <c r="AL648" s="7"/>
      <c r="AM648" s="7"/>
      <c r="AN648" s="7"/>
      <c r="AO648" s="7"/>
      <c r="AP648" s="7"/>
      <c r="AQ648" s="7"/>
      <c r="AS648" s="36"/>
      <c r="AT648" s="36"/>
      <c r="AU648" s="35"/>
      <c r="AV648" s="7"/>
      <c r="AW648" s="7"/>
      <c r="AX648" s="7"/>
      <c r="AY648" s="7"/>
      <c r="AZ648" s="7"/>
      <c r="BA648" s="7"/>
      <c r="BB648" s="7"/>
      <c r="BC648" s="7"/>
      <c r="BF648" s="7"/>
      <c r="BG648" s="36"/>
      <c r="BH648" s="36"/>
      <c r="BI648" s="36"/>
      <c r="BJ648" s="36"/>
      <c r="BK648" s="36"/>
      <c r="BL648" s="36"/>
      <c r="BM648" s="36"/>
      <c r="BN648" s="36"/>
      <c r="BO648" s="36"/>
    </row>
    <row r="649" spans="1:67" x14ac:dyDescent="0.25">
      <c r="A649" s="39"/>
      <c r="B649" s="40"/>
      <c r="U649" s="36"/>
      <c r="V649" s="36"/>
      <c r="W649" s="35"/>
      <c r="X649" s="7"/>
      <c r="Y649" s="7"/>
      <c r="Z649" s="7"/>
      <c r="AA649" s="7"/>
      <c r="AB649" s="7"/>
      <c r="AC649" s="7"/>
      <c r="AD649" s="7"/>
      <c r="AE649" s="7"/>
      <c r="AG649" s="36"/>
      <c r="AH649" s="36"/>
      <c r="AI649" s="35"/>
      <c r="AJ649" s="7"/>
      <c r="AK649" s="7"/>
      <c r="AL649" s="7"/>
      <c r="AM649" s="7"/>
      <c r="AN649" s="7"/>
      <c r="AO649" s="7"/>
      <c r="AP649" s="7"/>
      <c r="AQ649" s="7"/>
      <c r="AS649" s="36"/>
      <c r="AT649" s="36"/>
      <c r="AU649" s="35"/>
      <c r="AV649" s="7"/>
      <c r="AW649" s="7"/>
      <c r="AX649" s="7"/>
      <c r="AY649" s="7"/>
      <c r="AZ649" s="7"/>
      <c r="BA649" s="7"/>
      <c r="BB649" s="7"/>
      <c r="BC649" s="7"/>
      <c r="BF649" s="7"/>
      <c r="BG649" s="36"/>
      <c r="BH649" s="36"/>
      <c r="BI649" s="36"/>
      <c r="BJ649" s="36"/>
      <c r="BK649" s="36"/>
      <c r="BL649" s="36"/>
      <c r="BM649" s="36"/>
      <c r="BN649" s="36"/>
      <c r="BO649" s="36"/>
    </row>
    <row r="650" spans="1:67" x14ac:dyDescent="0.25">
      <c r="A650" s="39"/>
      <c r="B650" s="40"/>
      <c r="U650" s="36"/>
      <c r="V650" s="36"/>
      <c r="W650" s="35"/>
      <c r="X650" s="7"/>
      <c r="Y650" s="7"/>
      <c r="Z650" s="7"/>
      <c r="AA650" s="7"/>
      <c r="AB650" s="7"/>
      <c r="AC650" s="7"/>
      <c r="AD650" s="7"/>
      <c r="AE650" s="7"/>
      <c r="AG650" s="36"/>
      <c r="AH650" s="36"/>
      <c r="AI650" s="35"/>
      <c r="AJ650" s="7"/>
      <c r="AK650" s="7"/>
      <c r="AL650" s="7"/>
      <c r="AM650" s="7"/>
      <c r="AN650" s="7"/>
      <c r="AO650" s="7"/>
      <c r="AP650" s="7"/>
      <c r="AQ650" s="7"/>
      <c r="AS650" s="36"/>
      <c r="AT650" s="36"/>
      <c r="AU650" s="35"/>
      <c r="AV650" s="7"/>
      <c r="AW650" s="7"/>
      <c r="AX650" s="7"/>
      <c r="AY650" s="7"/>
      <c r="AZ650" s="7"/>
      <c r="BA650" s="7"/>
      <c r="BB650" s="7"/>
      <c r="BC650" s="7"/>
      <c r="BF650" s="7"/>
      <c r="BG650" s="36"/>
      <c r="BH650" s="36"/>
      <c r="BI650" s="36"/>
      <c r="BJ650" s="36"/>
      <c r="BK650" s="36"/>
      <c r="BL650" s="36"/>
      <c r="BM650" s="36"/>
      <c r="BN650" s="36"/>
      <c r="BO650" s="36"/>
    </row>
    <row r="651" spans="1:67" x14ac:dyDescent="0.25">
      <c r="A651" s="39"/>
      <c r="B651" s="40"/>
      <c r="U651" s="36"/>
      <c r="V651" s="36"/>
      <c r="W651" s="35"/>
      <c r="X651" s="7"/>
      <c r="Y651" s="7"/>
      <c r="Z651" s="7"/>
      <c r="AA651" s="7"/>
      <c r="AB651" s="7"/>
      <c r="AC651" s="7"/>
      <c r="AD651" s="7"/>
      <c r="AE651" s="7"/>
      <c r="AG651" s="36"/>
      <c r="AH651" s="36"/>
      <c r="AI651" s="35"/>
      <c r="AJ651" s="7"/>
      <c r="AK651" s="7"/>
      <c r="AL651" s="7"/>
      <c r="AM651" s="7"/>
      <c r="AN651" s="7"/>
      <c r="AO651" s="7"/>
      <c r="AP651" s="7"/>
      <c r="AQ651" s="7"/>
      <c r="AS651" s="36"/>
      <c r="AT651" s="36"/>
      <c r="AU651" s="35"/>
      <c r="AV651" s="7"/>
      <c r="AW651" s="7"/>
      <c r="AX651" s="7"/>
      <c r="AY651" s="7"/>
      <c r="AZ651" s="7"/>
      <c r="BA651" s="7"/>
      <c r="BB651" s="7"/>
      <c r="BC651" s="7"/>
      <c r="BF651" s="7"/>
      <c r="BG651" s="36"/>
      <c r="BH651" s="36"/>
      <c r="BI651" s="36"/>
      <c r="BJ651" s="36"/>
      <c r="BK651" s="36"/>
      <c r="BL651" s="36"/>
      <c r="BM651" s="36"/>
      <c r="BN651" s="36"/>
      <c r="BO651" s="36"/>
    </row>
    <row r="652" spans="1:67" x14ac:dyDescent="0.25">
      <c r="A652" s="39"/>
      <c r="B652" s="40"/>
      <c r="U652" s="36"/>
      <c r="V652" s="36"/>
      <c r="W652" s="35"/>
      <c r="X652" s="7"/>
      <c r="Y652" s="7"/>
      <c r="Z652" s="7"/>
      <c r="AA652" s="7"/>
      <c r="AB652" s="7"/>
      <c r="AC652" s="7"/>
      <c r="AD652" s="7"/>
      <c r="AE652" s="7"/>
      <c r="AG652" s="36"/>
      <c r="AH652" s="36"/>
      <c r="AI652" s="35"/>
      <c r="AJ652" s="7"/>
      <c r="AK652" s="7"/>
      <c r="AL652" s="7"/>
      <c r="AM652" s="7"/>
      <c r="AN652" s="7"/>
      <c r="AO652" s="7"/>
      <c r="AP652" s="7"/>
      <c r="AQ652" s="7"/>
      <c r="AS652" s="36"/>
      <c r="AT652" s="36"/>
      <c r="AU652" s="35"/>
      <c r="AV652" s="7"/>
      <c r="AW652" s="7"/>
      <c r="AX652" s="7"/>
      <c r="AY652" s="7"/>
      <c r="AZ652" s="7"/>
      <c r="BA652" s="7"/>
      <c r="BB652" s="7"/>
      <c r="BC652" s="7"/>
      <c r="BF652" s="7"/>
      <c r="BG652" s="36"/>
      <c r="BH652" s="36"/>
      <c r="BI652" s="36"/>
      <c r="BJ652" s="36"/>
      <c r="BK652" s="36"/>
      <c r="BL652" s="36"/>
      <c r="BM652" s="36"/>
      <c r="BN652" s="36"/>
      <c r="BO652" s="36"/>
    </row>
    <row r="653" spans="1:67" x14ac:dyDescent="0.25">
      <c r="A653" s="39"/>
      <c r="B653" s="40"/>
      <c r="U653" s="36"/>
      <c r="V653" s="36"/>
      <c r="W653" s="35"/>
      <c r="X653" s="7"/>
      <c r="Y653" s="7"/>
      <c r="Z653" s="7"/>
      <c r="AA653" s="7"/>
      <c r="AB653" s="7"/>
      <c r="AC653" s="7"/>
      <c r="AD653" s="7"/>
      <c r="AE653" s="7"/>
      <c r="AG653" s="36"/>
      <c r="AH653" s="36"/>
      <c r="AI653" s="35"/>
      <c r="AJ653" s="7"/>
      <c r="AK653" s="7"/>
      <c r="AL653" s="7"/>
      <c r="AM653" s="7"/>
      <c r="AN653" s="7"/>
      <c r="AO653" s="7"/>
      <c r="AP653" s="7"/>
      <c r="AQ653" s="7"/>
      <c r="AS653" s="36"/>
      <c r="AT653" s="36"/>
      <c r="AU653" s="35"/>
      <c r="AV653" s="7"/>
      <c r="AW653" s="7"/>
      <c r="AX653" s="7"/>
      <c r="AY653" s="7"/>
      <c r="AZ653" s="7"/>
      <c r="BA653" s="7"/>
      <c r="BB653" s="7"/>
      <c r="BC653" s="7"/>
      <c r="BF653" s="7"/>
      <c r="BG653" s="36"/>
      <c r="BH653" s="36"/>
      <c r="BI653" s="36"/>
      <c r="BJ653" s="36"/>
      <c r="BK653" s="36"/>
      <c r="BL653" s="36"/>
      <c r="BM653" s="36"/>
      <c r="BN653" s="36"/>
      <c r="BO653" s="36"/>
    </row>
    <row r="654" spans="1:67" x14ac:dyDescent="0.25">
      <c r="A654" s="39"/>
      <c r="B654" s="40"/>
      <c r="U654" s="36"/>
      <c r="V654" s="36"/>
      <c r="W654" s="35"/>
      <c r="X654" s="7"/>
      <c r="Y654" s="7"/>
      <c r="Z654" s="7"/>
      <c r="AA654" s="7"/>
      <c r="AB654" s="7"/>
      <c r="AC654" s="7"/>
      <c r="AD654" s="7"/>
      <c r="AE654" s="7"/>
      <c r="AG654" s="36"/>
      <c r="AH654" s="36"/>
      <c r="AI654" s="35"/>
      <c r="AJ654" s="7"/>
      <c r="AK654" s="7"/>
      <c r="AL654" s="7"/>
      <c r="AM654" s="7"/>
      <c r="AN654" s="7"/>
      <c r="AO654" s="7"/>
      <c r="AP654" s="7"/>
      <c r="AQ654" s="7"/>
      <c r="AS654" s="36"/>
      <c r="AT654" s="36"/>
      <c r="AU654" s="35"/>
      <c r="AV654" s="7"/>
      <c r="AW654" s="7"/>
      <c r="AX654" s="7"/>
      <c r="AY654" s="7"/>
      <c r="AZ654" s="7"/>
      <c r="BA654" s="7"/>
      <c r="BB654" s="7"/>
      <c r="BC654" s="7"/>
      <c r="BF654" s="7"/>
      <c r="BG654" s="36"/>
      <c r="BH654" s="36"/>
      <c r="BI654" s="36"/>
      <c r="BJ654" s="36"/>
      <c r="BK654" s="36"/>
      <c r="BL654" s="36"/>
      <c r="BM654" s="36"/>
      <c r="BN654" s="36"/>
      <c r="BO654" s="36"/>
    </row>
    <row r="655" spans="1:67" x14ac:dyDescent="0.25">
      <c r="A655" s="39"/>
      <c r="B655" s="40"/>
      <c r="U655" s="36"/>
      <c r="V655" s="36"/>
      <c r="W655" s="35"/>
      <c r="X655" s="7"/>
      <c r="Y655" s="7"/>
      <c r="Z655" s="7"/>
      <c r="AA655" s="7"/>
      <c r="AB655" s="7"/>
      <c r="AC655" s="7"/>
      <c r="AD655" s="7"/>
      <c r="AE655" s="7"/>
      <c r="AG655" s="36"/>
      <c r="AH655" s="36"/>
      <c r="AI655" s="35"/>
      <c r="AJ655" s="7"/>
      <c r="AK655" s="7"/>
      <c r="AL655" s="7"/>
      <c r="AM655" s="7"/>
      <c r="AN655" s="7"/>
      <c r="AO655" s="7"/>
      <c r="AP655" s="7"/>
      <c r="AQ655" s="7"/>
      <c r="AS655" s="36"/>
      <c r="AT655" s="36"/>
      <c r="AU655" s="35"/>
      <c r="AV655" s="7"/>
      <c r="AW655" s="7"/>
      <c r="AX655" s="7"/>
      <c r="AY655" s="7"/>
      <c r="AZ655" s="7"/>
      <c r="BA655" s="7"/>
      <c r="BB655" s="7"/>
      <c r="BC655" s="7"/>
      <c r="BF655" s="7"/>
      <c r="BG655" s="36"/>
      <c r="BH655" s="36"/>
      <c r="BI655" s="36"/>
      <c r="BJ655" s="36"/>
      <c r="BK655" s="36"/>
      <c r="BL655" s="36"/>
      <c r="BM655" s="36"/>
      <c r="BN655" s="36"/>
      <c r="BO655" s="36"/>
    </row>
    <row r="656" spans="1:67" x14ac:dyDescent="0.25">
      <c r="A656" s="39"/>
      <c r="B656" s="40"/>
      <c r="U656" s="36"/>
      <c r="V656" s="36"/>
      <c r="W656" s="35"/>
      <c r="X656" s="7"/>
      <c r="Y656" s="7"/>
      <c r="Z656" s="7"/>
      <c r="AA656" s="7"/>
      <c r="AB656" s="7"/>
      <c r="AC656" s="7"/>
      <c r="AD656" s="7"/>
      <c r="AE656" s="7"/>
      <c r="AG656" s="36"/>
      <c r="AH656" s="36"/>
      <c r="AI656" s="35"/>
      <c r="AJ656" s="7"/>
      <c r="AK656" s="7"/>
      <c r="AL656" s="7"/>
      <c r="AM656" s="7"/>
      <c r="AN656" s="7"/>
      <c r="AO656" s="7"/>
      <c r="AP656" s="7"/>
      <c r="AQ656" s="7"/>
      <c r="AS656" s="36"/>
      <c r="AT656" s="36"/>
      <c r="AU656" s="35"/>
      <c r="AV656" s="7"/>
      <c r="AW656" s="7"/>
      <c r="AX656" s="7"/>
      <c r="AY656" s="7"/>
      <c r="AZ656" s="7"/>
      <c r="BA656" s="7"/>
      <c r="BB656" s="7"/>
      <c r="BC656" s="7"/>
      <c r="BF656" s="7"/>
      <c r="BG656" s="36"/>
      <c r="BH656" s="36"/>
      <c r="BI656" s="36"/>
      <c r="BJ656" s="36"/>
      <c r="BK656" s="36"/>
      <c r="BL656" s="36"/>
      <c r="BM656" s="36"/>
      <c r="BN656" s="36"/>
      <c r="BO656" s="36"/>
    </row>
    <row r="657" spans="1:67" x14ac:dyDescent="0.25">
      <c r="A657" s="39"/>
      <c r="B657" s="40"/>
      <c r="U657" s="36"/>
      <c r="V657" s="36"/>
      <c r="W657" s="35"/>
      <c r="X657" s="7"/>
      <c r="Y657" s="7"/>
      <c r="Z657" s="7"/>
      <c r="AA657" s="7"/>
      <c r="AB657" s="7"/>
      <c r="AC657" s="7"/>
      <c r="AD657" s="7"/>
      <c r="AE657" s="7"/>
      <c r="AG657" s="36"/>
      <c r="AH657" s="36"/>
      <c r="AI657" s="35"/>
      <c r="AJ657" s="7"/>
      <c r="AK657" s="7"/>
      <c r="AL657" s="7"/>
      <c r="AM657" s="7"/>
      <c r="AN657" s="7"/>
      <c r="AO657" s="7"/>
      <c r="AP657" s="7"/>
      <c r="AQ657" s="7"/>
      <c r="AS657" s="36"/>
      <c r="AT657" s="36"/>
      <c r="AU657" s="35"/>
      <c r="AV657" s="7"/>
      <c r="AW657" s="7"/>
      <c r="AX657" s="7"/>
      <c r="AY657" s="7"/>
      <c r="AZ657" s="7"/>
      <c r="BA657" s="7"/>
      <c r="BB657" s="7"/>
      <c r="BC657" s="7"/>
      <c r="BF657" s="7"/>
      <c r="BG657" s="36"/>
      <c r="BH657" s="36"/>
      <c r="BI657" s="36"/>
      <c r="BJ657" s="36"/>
      <c r="BK657" s="36"/>
      <c r="BL657" s="36"/>
      <c r="BM657" s="36"/>
      <c r="BN657" s="36"/>
      <c r="BO657" s="36"/>
    </row>
    <row r="658" spans="1:67" x14ac:dyDescent="0.25">
      <c r="A658" s="39"/>
      <c r="B658" s="40"/>
      <c r="U658" s="36"/>
      <c r="V658" s="36"/>
      <c r="W658" s="35"/>
      <c r="X658" s="7"/>
      <c r="Y658" s="7"/>
      <c r="Z658" s="7"/>
      <c r="AA658" s="7"/>
      <c r="AB658" s="7"/>
      <c r="AC658" s="7"/>
      <c r="AD658" s="7"/>
      <c r="AE658" s="7"/>
      <c r="AG658" s="36"/>
      <c r="AH658" s="36"/>
      <c r="AI658" s="35"/>
      <c r="AJ658" s="7"/>
      <c r="AK658" s="7"/>
      <c r="AL658" s="7"/>
      <c r="AM658" s="7"/>
      <c r="AN658" s="7"/>
      <c r="AO658" s="7"/>
      <c r="AP658" s="7"/>
      <c r="AQ658" s="7"/>
      <c r="AS658" s="36"/>
      <c r="AT658" s="36"/>
      <c r="AU658" s="35"/>
      <c r="AV658" s="7"/>
      <c r="AW658" s="7"/>
      <c r="AX658" s="7"/>
      <c r="AY658" s="7"/>
      <c r="AZ658" s="7"/>
      <c r="BA658" s="7"/>
      <c r="BB658" s="7"/>
      <c r="BC658" s="7"/>
      <c r="BF658" s="7"/>
      <c r="BG658" s="36"/>
      <c r="BH658" s="36"/>
      <c r="BI658" s="36"/>
      <c r="BJ658" s="36"/>
      <c r="BK658" s="36"/>
      <c r="BL658" s="36"/>
      <c r="BM658" s="36"/>
      <c r="BN658" s="36"/>
      <c r="BO658" s="36"/>
    </row>
    <row r="659" spans="1:67" x14ac:dyDescent="0.25">
      <c r="A659" s="39"/>
      <c r="B659" s="40"/>
      <c r="U659" s="36"/>
      <c r="V659" s="36"/>
      <c r="W659" s="35"/>
      <c r="X659" s="7"/>
      <c r="Y659" s="7"/>
      <c r="Z659" s="7"/>
      <c r="AA659" s="7"/>
      <c r="AB659" s="7"/>
      <c r="AC659" s="7"/>
      <c r="AD659" s="7"/>
      <c r="AE659" s="7"/>
      <c r="AG659" s="36"/>
      <c r="AH659" s="36"/>
      <c r="AI659" s="35"/>
      <c r="AJ659" s="7"/>
      <c r="AK659" s="7"/>
      <c r="AL659" s="7"/>
      <c r="AM659" s="7"/>
      <c r="AN659" s="7"/>
      <c r="AO659" s="7"/>
      <c r="AP659" s="7"/>
      <c r="AQ659" s="7"/>
      <c r="AS659" s="36"/>
      <c r="AT659" s="36"/>
      <c r="AU659" s="35"/>
      <c r="AV659" s="7"/>
      <c r="AW659" s="7"/>
      <c r="AX659" s="7"/>
      <c r="AY659" s="7"/>
      <c r="AZ659" s="7"/>
      <c r="BA659" s="7"/>
      <c r="BB659" s="7"/>
      <c r="BC659" s="7"/>
      <c r="BF659" s="7"/>
      <c r="BG659" s="36"/>
      <c r="BH659" s="36"/>
      <c r="BI659" s="36"/>
      <c r="BJ659" s="36"/>
      <c r="BK659" s="36"/>
      <c r="BL659" s="36"/>
      <c r="BM659" s="36"/>
      <c r="BN659" s="36"/>
      <c r="BO659" s="36"/>
    </row>
    <row r="660" spans="1:67" x14ac:dyDescent="0.25">
      <c r="A660" s="39"/>
      <c r="B660" s="40"/>
      <c r="U660" s="36"/>
      <c r="V660" s="36"/>
      <c r="W660" s="35"/>
      <c r="X660" s="7"/>
      <c r="Y660" s="7"/>
      <c r="Z660" s="7"/>
      <c r="AA660" s="7"/>
      <c r="AB660" s="7"/>
      <c r="AC660" s="7"/>
      <c r="AD660" s="7"/>
      <c r="AE660" s="7"/>
      <c r="AG660" s="36"/>
      <c r="AH660" s="36"/>
      <c r="AI660" s="35"/>
      <c r="AJ660" s="7"/>
      <c r="AK660" s="7"/>
      <c r="AL660" s="7"/>
      <c r="AM660" s="7"/>
      <c r="AN660" s="7"/>
      <c r="AO660" s="7"/>
      <c r="AP660" s="7"/>
      <c r="AQ660" s="7"/>
      <c r="AS660" s="36"/>
      <c r="AT660" s="36"/>
      <c r="AU660" s="35"/>
      <c r="AV660" s="7"/>
      <c r="AW660" s="7"/>
      <c r="AX660" s="7"/>
      <c r="AY660" s="7"/>
      <c r="AZ660" s="7"/>
      <c r="BA660" s="7"/>
      <c r="BB660" s="7"/>
      <c r="BC660" s="7"/>
      <c r="BF660" s="7"/>
      <c r="BG660" s="36"/>
      <c r="BH660" s="36"/>
      <c r="BI660" s="36"/>
      <c r="BJ660" s="36"/>
      <c r="BK660" s="36"/>
      <c r="BL660" s="36"/>
      <c r="BM660" s="36"/>
      <c r="BN660" s="36"/>
      <c r="BO660" s="36"/>
    </row>
    <row r="661" spans="1:67" x14ac:dyDescent="0.25">
      <c r="A661" s="39"/>
      <c r="B661" s="40"/>
      <c r="U661" s="36"/>
      <c r="V661" s="36"/>
      <c r="W661" s="35"/>
      <c r="X661" s="7"/>
      <c r="Y661" s="7"/>
      <c r="Z661" s="7"/>
      <c r="AA661" s="7"/>
      <c r="AB661" s="7"/>
      <c r="AC661" s="7"/>
      <c r="AD661" s="7"/>
      <c r="AE661" s="7"/>
      <c r="AG661" s="36"/>
      <c r="AH661" s="36"/>
      <c r="AI661" s="35"/>
      <c r="AJ661" s="7"/>
      <c r="AK661" s="7"/>
      <c r="AL661" s="7"/>
      <c r="AM661" s="7"/>
      <c r="AN661" s="7"/>
      <c r="AO661" s="7"/>
      <c r="AP661" s="7"/>
      <c r="AQ661" s="7"/>
      <c r="AS661" s="36"/>
      <c r="AT661" s="36"/>
      <c r="AU661" s="35"/>
      <c r="AV661" s="7"/>
      <c r="AW661" s="7"/>
      <c r="AX661" s="7"/>
      <c r="AY661" s="7"/>
      <c r="AZ661" s="7"/>
      <c r="BA661" s="7"/>
      <c r="BB661" s="7"/>
      <c r="BC661" s="7"/>
      <c r="BF661" s="7"/>
      <c r="BG661" s="36"/>
      <c r="BH661" s="36"/>
      <c r="BI661" s="36"/>
      <c r="BJ661" s="36"/>
      <c r="BK661" s="36"/>
      <c r="BL661" s="36"/>
      <c r="BM661" s="36"/>
      <c r="BN661" s="36"/>
      <c r="BO661" s="36"/>
    </row>
    <row r="662" spans="1:67" x14ac:dyDescent="0.25">
      <c r="A662" s="39"/>
      <c r="B662" s="40"/>
      <c r="U662" s="36"/>
      <c r="V662" s="36"/>
      <c r="W662" s="35"/>
      <c r="X662" s="7"/>
      <c r="Y662" s="7"/>
      <c r="Z662" s="7"/>
      <c r="AA662" s="7"/>
      <c r="AB662" s="7"/>
      <c r="AC662" s="7"/>
      <c r="AD662" s="7"/>
      <c r="AE662" s="7"/>
      <c r="AG662" s="36"/>
      <c r="AH662" s="36"/>
      <c r="AI662" s="35"/>
      <c r="AJ662" s="7"/>
      <c r="AK662" s="7"/>
      <c r="AL662" s="7"/>
      <c r="AM662" s="7"/>
      <c r="AN662" s="7"/>
      <c r="AO662" s="7"/>
      <c r="AP662" s="7"/>
      <c r="AQ662" s="7"/>
      <c r="AS662" s="36"/>
      <c r="AT662" s="36"/>
      <c r="AU662" s="35"/>
      <c r="AV662" s="7"/>
      <c r="AW662" s="7"/>
      <c r="AX662" s="7"/>
      <c r="AY662" s="7"/>
      <c r="AZ662" s="7"/>
      <c r="BA662" s="7"/>
      <c r="BB662" s="7"/>
      <c r="BC662" s="7"/>
      <c r="BF662" s="7"/>
      <c r="BG662" s="36"/>
      <c r="BH662" s="36"/>
      <c r="BI662" s="36"/>
      <c r="BJ662" s="36"/>
      <c r="BK662" s="36"/>
      <c r="BL662" s="36"/>
      <c r="BM662" s="36"/>
      <c r="BN662" s="36"/>
      <c r="BO662" s="36"/>
    </row>
    <row r="663" spans="1:67" x14ac:dyDescent="0.25">
      <c r="A663" s="39"/>
      <c r="B663" s="40"/>
      <c r="U663" s="36"/>
      <c r="V663" s="36"/>
      <c r="W663" s="35"/>
      <c r="X663" s="7"/>
      <c r="Y663" s="7"/>
      <c r="Z663" s="7"/>
      <c r="AA663" s="7"/>
      <c r="AB663" s="7"/>
      <c r="AC663" s="7"/>
      <c r="AD663" s="7"/>
      <c r="AE663" s="7"/>
      <c r="AG663" s="36"/>
      <c r="AH663" s="36"/>
      <c r="AI663" s="35"/>
      <c r="AJ663" s="7"/>
      <c r="AK663" s="7"/>
      <c r="AL663" s="7"/>
      <c r="AM663" s="7"/>
      <c r="AN663" s="7"/>
      <c r="AO663" s="7"/>
      <c r="AP663" s="7"/>
      <c r="AQ663" s="7"/>
      <c r="AS663" s="36"/>
      <c r="AT663" s="36"/>
      <c r="AU663" s="35"/>
      <c r="AV663" s="7"/>
      <c r="AW663" s="7"/>
      <c r="AX663" s="7"/>
      <c r="AY663" s="7"/>
      <c r="AZ663" s="7"/>
      <c r="BA663" s="7"/>
      <c r="BB663" s="7"/>
      <c r="BC663" s="7"/>
      <c r="BF663" s="7"/>
      <c r="BG663" s="36"/>
      <c r="BH663" s="36"/>
      <c r="BI663" s="36"/>
      <c r="BJ663" s="36"/>
      <c r="BK663" s="36"/>
      <c r="BL663" s="36"/>
      <c r="BM663" s="36"/>
      <c r="BN663" s="36"/>
      <c r="BO663" s="36"/>
    </row>
    <row r="664" spans="1:67" x14ac:dyDescent="0.25">
      <c r="A664" s="39"/>
      <c r="B664" s="40"/>
      <c r="U664" s="36"/>
      <c r="V664" s="36"/>
      <c r="W664" s="35"/>
      <c r="X664" s="7"/>
      <c r="Y664" s="7"/>
      <c r="Z664" s="7"/>
      <c r="AA664" s="7"/>
      <c r="AB664" s="7"/>
      <c r="AC664" s="7"/>
      <c r="AD664" s="7"/>
      <c r="AE664" s="7"/>
      <c r="AG664" s="36"/>
      <c r="AH664" s="36"/>
      <c r="AI664" s="35"/>
      <c r="AJ664" s="7"/>
      <c r="AK664" s="7"/>
      <c r="AL664" s="7"/>
      <c r="AM664" s="7"/>
      <c r="AN664" s="7"/>
      <c r="AO664" s="7"/>
      <c r="AP664" s="7"/>
      <c r="AQ664" s="7"/>
      <c r="AS664" s="36"/>
      <c r="AT664" s="36"/>
      <c r="AU664" s="35"/>
      <c r="AV664" s="7"/>
      <c r="AW664" s="7"/>
      <c r="AX664" s="7"/>
      <c r="AY664" s="7"/>
      <c r="AZ664" s="7"/>
      <c r="BA664" s="7"/>
      <c r="BB664" s="7"/>
      <c r="BC664" s="7"/>
      <c r="BF664" s="7"/>
      <c r="BG664" s="36"/>
      <c r="BH664" s="36"/>
      <c r="BI664" s="36"/>
      <c r="BJ664" s="36"/>
      <c r="BK664" s="36"/>
      <c r="BL664" s="36"/>
      <c r="BM664" s="36"/>
      <c r="BN664" s="36"/>
      <c r="BO664" s="36"/>
    </row>
    <row r="665" spans="1:67" x14ac:dyDescent="0.25">
      <c r="A665" s="39"/>
      <c r="B665" s="40"/>
      <c r="U665" s="36"/>
      <c r="V665" s="36"/>
      <c r="W665" s="35"/>
      <c r="X665" s="7"/>
      <c r="Y665" s="7"/>
      <c r="Z665" s="7"/>
      <c r="AA665" s="7"/>
      <c r="AB665" s="7"/>
      <c r="AC665" s="7"/>
      <c r="AD665" s="7"/>
      <c r="AE665" s="7"/>
      <c r="AG665" s="36"/>
      <c r="AH665" s="36"/>
      <c r="AI665" s="35"/>
      <c r="AJ665" s="7"/>
      <c r="AK665" s="7"/>
      <c r="AL665" s="7"/>
      <c r="AM665" s="7"/>
      <c r="AN665" s="7"/>
      <c r="AO665" s="7"/>
      <c r="AP665" s="7"/>
      <c r="AQ665" s="7"/>
      <c r="AS665" s="36"/>
      <c r="AT665" s="36"/>
      <c r="AU665" s="35"/>
      <c r="AV665" s="7"/>
      <c r="AW665" s="7"/>
      <c r="AX665" s="7"/>
      <c r="AY665" s="7"/>
      <c r="AZ665" s="7"/>
      <c r="BA665" s="7"/>
      <c r="BB665" s="7"/>
      <c r="BC665" s="7"/>
      <c r="BF665" s="7"/>
      <c r="BG665" s="36"/>
      <c r="BH665" s="36"/>
      <c r="BI665" s="36"/>
      <c r="BJ665" s="36"/>
      <c r="BK665" s="36"/>
      <c r="BL665" s="36"/>
      <c r="BM665" s="36"/>
      <c r="BN665" s="36"/>
      <c r="BO665" s="36"/>
    </row>
    <row r="666" spans="1:67" x14ac:dyDescent="0.25">
      <c r="A666" s="39"/>
      <c r="B666" s="40"/>
      <c r="U666" s="36"/>
      <c r="V666" s="36"/>
      <c r="W666" s="35"/>
      <c r="X666" s="7"/>
      <c r="Y666" s="7"/>
      <c r="Z666" s="7"/>
      <c r="AA666" s="7"/>
      <c r="AB666" s="7"/>
      <c r="AC666" s="7"/>
      <c r="AD666" s="7"/>
      <c r="AE666" s="7"/>
      <c r="AG666" s="36"/>
      <c r="AH666" s="36"/>
      <c r="AI666" s="35"/>
      <c r="AJ666" s="7"/>
      <c r="AK666" s="7"/>
      <c r="AL666" s="7"/>
      <c r="AM666" s="7"/>
      <c r="AN666" s="7"/>
      <c r="AO666" s="7"/>
      <c r="AP666" s="7"/>
      <c r="AQ666" s="7"/>
      <c r="AS666" s="36"/>
      <c r="AT666" s="36"/>
      <c r="AU666" s="35"/>
      <c r="AV666" s="7"/>
      <c r="AW666" s="7"/>
      <c r="AX666" s="7"/>
      <c r="AY666" s="7"/>
      <c r="AZ666" s="7"/>
      <c r="BA666" s="7"/>
      <c r="BB666" s="7"/>
      <c r="BC666" s="7"/>
      <c r="BF666" s="7"/>
      <c r="BG666" s="36"/>
      <c r="BH666" s="36"/>
      <c r="BI666" s="36"/>
      <c r="BJ666" s="36"/>
      <c r="BK666" s="36"/>
      <c r="BL666" s="36"/>
      <c r="BM666" s="36"/>
      <c r="BN666" s="36"/>
      <c r="BO666" s="36"/>
    </row>
    <row r="667" spans="1:67" x14ac:dyDescent="0.25">
      <c r="A667" s="39"/>
      <c r="B667" s="40"/>
      <c r="U667" s="36"/>
      <c r="V667" s="36"/>
      <c r="W667" s="35"/>
      <c r="X667" s="7"/>
      <c r="Y667" s="7"/>
      <c r="Z667" s="7"/>
      <c r="AA667" s="7"/>
      <c r="AB667" s="7"/>
      <c r="AC667" s="7"/>
      <c r="AD667" s="7"/>
      <c r="AE667" s="7"/>
      <c r="AG667" s="36"/>
      <c r="AH667" s="36"/>
      <c r="AI667" s="35"/>
      <c r="AJ667" s="7"/>
      <c r="AK667" s="7"/>
      <c r="AL667" s="7"/>
      <c r="AM667" s="7"/>
      <c r="AN667" s="7"/>
      <c r="AO667" s="7"/>
      <c r="AP667" s="7"/>
      <c r="AQ667" s="7"/>
      <c r="AS667" s="36"/>
      <c r="AT667" s="36"/>
      <c r="AU667" s="35"/>
      <c r="AV667" s="7"/>
      <c r="AW667" s="7"/>
      <c r="AX667" s="7"/>
      <c r="AY667" s="7"/>
      <c r="AZ667" s="7"/>
      <c r="BA667" s="7"/>
      <c r="BB667" s="7"/>
      <c r="BC667" s="7"/>
      <c r="BF667" s="7"/>
      <c r="BG667" s="36"/>
      <c r="BH667" s="36"/>
      <c r="BI667" s="36"/>
      <c r="BJ667" s="36"/>
      <c r="BK667" s="36"/>
      <c r="BL667" s="36"/>
      <c r="BM667" s="36"/>
      <c r="BN667" s="36"/>
      <c r="BO667" s="36"/>
    </row>
    <row r="668" spans="1:67" x14ac:dyDescent="0.25">
      <c r="A668" s="39"/>
      <c r="B668" s="40"/>
      <c r="U668" s="36"/>
      <c r="V668" s="36"/>
      <c r="W668" s="35"/>
      <c r="X668" s="7"/>
      <c r="Y668" s="7"/>
      <c r="Z668" s="7"/>
      <c r="AA668" s="7"/>
      <c r="AB668" s="7"/>
      <c r="AC668" s="7"/>
      <c r="AD668" s="7"/>
      <c r="AE668" s="7"/>
      <c r="AG668" s="36"/>
      <c r="AH668" s="36"/>
      <c r="AI668" s="35"/>
      <c r="AJ668" s="7"/>
      <c r="AK668" s="7"/>
      <c r="AL668" s="7"/>
      <c r="AM668" s="7"/>
      <c r="AN668" s="7"/>
      <c r="AO668" s="7"/>
      <c r="AP668" s="7"/>
      <c r="AQ668" s="7"/>
      <c r="AS668" s="36"/>
      <c r="AT668" s="36"/>
      <c r="AU668" s="35"/>
      <c r="AV668" s="7"/>
      <c r="AW668" s="7"/>
      <c r="AX668" s="7"/>
      <c r="AY668" s="7"/>
      <c r="AZ668" s="7"/>
      <c r="BA668" s="7"/>
      <c r="BB668" s="7"/>
      <c r="BC668" s="7"/>
      <c r="BF668" s="7"/>
      <c r="BG668" s="36"/>
      <c r="BH668" s="36"/>
      <c r="BI668" s="36"/>
      <c r="BJ668" s="36"/>
      <c r="BK668" s="36"/>
      <c r="BL668" s="36"/>
      <c r="BM668" s="36"/>
      <c r="BN668" s="36"/>
      <c r="BO668" s="36"/>
    </row>
    <row r="669" spans="1:67" x14ac:dyDescent="0.25">
      <c r="A669" s="39"/>
      <c r="B669" s="40"/>
      <c r="U669" s="36"/>
      <c r="V669" s="36"/>
      <c r="W669" s="35"/>
      <c r="X669" s="7"/>
      <c r="Y669" s="7"/>
      <c r="Z669" s="7"/>
      <c r="AA669" s="7"/>
      <c r="AB669" s="7"/>
      <c r="AC669" s="7"/>
      <c r="AD669" s="7"/>
      <c r="AE669" s="7"/>
      <c r="AG669" s="36"/>
      <c r="AH669" s="36"/>
      <c r="AI669" s="35"/>
      <c r="AJ669" s="7"/>
      <c r="AK669" s="7"/>
      <c r="AL669" s="7"/>
      <c r="AM669" s="7"/>
      <c r="AN669" s="7"/>
      <c r="AO669" s="7"/>
      <c r="AP669" s="7"/>
      <c r="AQ669" s="7"/>
      <c r="AS669" s="36"/>
      <c r="AT669" s="36"/>
      <c r="AU669" s="35"/>
      <c r="AV669" s="7"/>
      <c r="AW669" s="7"/>
      <c r="AX669" s="7"/>
      <c r="AY669" s="7"/>
      <c r="AZ669" s="7"/>
      <c r="BA669" s="7"/>
      <c r="BB669" s="7"/>
      <c r="BC669" s="7"/>
      <c r="BF669" s="7"/>
      <c r="BG669" s="36"/>
      <c r="BH669" s="36"/>
      <c r="BI669" s="36"/>
      <c r="BJ669" s="36"/>
      <c r="BK669" s="36"/>
      <c r="BL669" s="36"/>
      <c r="BM669" s="36"/>
      <c r="BN669" s="36"/>
      <c r="BO669" s="36"/>
    </row>
    <row r="670" spans="1:67" x14ac:dyDescent="0.25">
      <c r="A670" s="39"/>
      <c r="B670" s="40"/>
      <c r="U670" s="36"/>
      <c r="V670" s="36"/>
      <c r="W670" s="35"/>
      <c r="X670" s="7"/>
      <c r="Y670" s="7"/>
      <c r="Z670" s="7"/>
      <c r="AA670" s="7"/>
      <c r="AB670" s="7"/>
      <c r="AC670" s="7"/>
      <c r="AD670" s="7"/>
      <c r="AE670" s="7"/>
      <c r="AG670" s="36"/>
      <c r="AH670" s="36"/>
      <c r="AI670" s="35"/>
      <c r="AJ670" s="7"/>
      <c r="AK670" s="7"/>
      <c r="AL670" s="7"/>
      <c r="AM670" s="7"/>
      <c r="AN670" s="7"/>
      <c r="AO670" s="7"/>
      <c r="AP670" s="7"/>
      <c r="AQ670" s="7"/>
      <c r="AS670" s="36"/>
      <c r="AT670" s="36"/>
      <c r="AU670" s="35"/>
      <c r="AV670" s="7"/>
      <c r="AW670" s="7"/>
      <c r="AX670" s="7"/>
      <c r="AY670" s="7"/>
      <c r="AZ670" s="7"/>
      <c r="BA670" s="7"/>
      <c r="BB670" s="7"/>
      <c r="BC670" s="7"/>
      <c r="BF670" s="7"/>
      <c r="BG670" s="36"/>
      <c r="BH670" s="36"/>
      <c r="BI670" s="36"/>
      <c r="BJ670" s="36"/>
      <c r="BK670" s="36"/>
      <c r="BL670" s="36"/>
      <c r="BM670" s="36"/>
      <c r="BN670" s="36"/>
      <c r="BO670" s="36"/>
    </row>
    <row r="671" spans="1:67" x14ac:dyDescent="0.25">
      <c r="A671" s="39"/>
      <c r="B671" s="40"/>
      <c r="U671" s="36"/>
      <c r="V671" s="36"/>
      <c r="W671" s="35"/>
      <c r="X671" s="7"/>
      <c r="Y671" s="7"/>
      <c r="Z671" s="7"/>
      <c r="AA671" s="7"/>
      <c r="AB671" s="7"/>
      <c r="AC671" s="7"/>
      <c r="AD671" s="7"/>
      <c r="AE671" s="7"/>
      <c r="AG671" s="36"/>
      <c r="AH671" s="36"/>
      <c r="AI671" s="35"/>
      <c r="AJ671" s="7"/>
      <c r="AK671" s="7"/>
      <c r="AL671" s="7"/>
      <c r="AM671" s="7"/>
      <c r="AN671" s="7"/>
      <c r="AO671" s="7"/>
      <c r="AP671" s="7"/>
      <c r="AQ671" s="7"/>
      <c r="AS671" s="36"/>
      <c r="AT671" s="36"/>
      <c r="AU671" s="35"/>
      <c r="AV671" s="7"/>
      <c r="AW671" s="7"/>
      <c r="AX671" s="7"/>
      <c r="AY671" s="7"/>
      <c r="AZ671" s="7"/>
      <c r="BA671" s="7"/>
      <c r="BB671" s="7"/>
      <c r="BC671" s="7"/>
      <c r="BF671" s="7"/>
      <c r="BG671" s="36"/>
      <c r="BH671" s="36"/>
      <c r="BI671" s="36"/>
      <c r="BJ671" s="36"/>
      <c r="BK671" s="36"/>
      <c r="BL671" s="36"/>
      <c r="BM671" s="36"/>
      <c r="BN671" s="36"/>
      <c r="BO671" s="36"/>
    </row>
    <row r="672" spans="1:67" x14ac:dyDescent="0.25">
      <c r="A672" s="39"/>
      <c r="B672" s="40"/>
      <c r="U672" s="36"/>
      <c r="V672" s="36"/>
      <c r="W672" s="35"/>
      <c r="X672" s="7"/>
      <c r="Y672" s="7"/>
      <c r="Z672" s="7"/>
      <c r="AA672" s="7"/>
      <c r="AB672" s="7"/>
      <c r="AC672" s="7"/>
      <c r="AD672" s="7"/>
      <c r="AE672" s="7"/>
      <c r="AG672" s="36"/>
      <c r="AH672" s="36"/>
      <c r="AI672" s="35"/>
      <c r="AJ672" s="7"/>
      <c r="AK672" s="7"/>
      <c r="AL672" s="7"/>
      <c r="AM672" s="7"/>
      <c r="AN672" s="7"/>
      <c r="AO672" s="7"/>
      <c r="AP672" s="7"/>
      <c r="AQ672" s="7"/>
      <c r="AS672" s="36"/>
      <c r="AT672" s="36"/>
      <c r="AU672" s="35"/>
      <c r="AV672" s="7"/>
      <c r="AW672" s="7"/>
      <c r="AX672" s="7"/>
      <c r="AY672" s="7"/>
      <c r="AZ672" s="7"/>
      <c r="BA672" s="7"/>
      <c r="BB672" s="7"/>
      <c r="BC672" s="7"/>
      <c r="BF672" s="7"/>
      <c r="BG672" s="36"/>
      <c r="BH672" s="36"/>
      <c r="BI672" s="36"/>
      <c r="BJ672" s="36"/>
      <c r="BK672" s="36"/>
      <c r="BL672" s="36"/>
      <c r="BM672" s="36"/>
      <c r="BN672" s="36"/>
      <c r="BO672" s="36"/>
    </row>
    <row r="673" spans="1:67" x14ac:dyDescent="0.25">
      <c r="A673" s="39"/>
      <c r="B673" s="40"/>
      <c r="U673" s="36"/>
      <c r="V673" s="36"/>
      <c r="W673" s="35"/>
      <c r="X673" s="7"/>
      <c r="Y673" s="7"/>
      <c r="Z673" s="7"/>
      <c r="AA673" s="7"/>
      <c r="AB673" s="7"/>
      <c r="AC673" s="7"/>
      <c r="AD673" s="7"/>
      <c r="AE673" s="7"/>
      <c r="AG673" s="36"/>
      <c r="AH673" s="36"/>
      <c r="AI673" s="35"/>
      <c r="AJ673" s="7"/>
      <c r="AK673" s="7"/>
      <c r="AL673" s="7"/>
      <c r="AM673" s="7"/>
      <c r="AN673" s="7"/>
      <c r="AO673" s="7"/>
      <c r="AP673" s="7"/>
      <c r="AQ673" s="7"/>
      <c r="AS673" s="36"/>
      <c r="AT673" s="36"/>
      <c r="AU673" s="35"/>
      <c r="AV673" s="7"/>
      <c r="AW673" s="7"/>
      <c r="AX673" s="7"/>
      <c r="AY673" s="7"/>
      <c r="AZ673" s="7"/>
      <c r="BA673" s="7"/>
      <c r="BB673" s="7"/>
      <c r="BC673" s="7"/>
      <c r="BF673" s="7"/>
      <c r="BG673" s="36"/>
      <c r="BH673" s="36"/>
      <c r="BI673" s="36"/>
      <c r="BJ673" s="36"/>
      <c r="BK673" s="36"/>
      <c r="BL673" s="36"/>
      <c r="BM673" s="36"/>
      <c r="BN673" s="36"/>
      <c r="BO673" s="36"/>
    </row>
    <row r="674" spans="1:67" x14ac:dyDescent="0.25">
      <c r="A674" s="39"/>
      <c r="B674" s="40"/>
      <c r="U674" s="36"/>
      <c r="V674" s="36"/>
      <c r="W674" s="35"/>
      <c r="X674" s="7"/>
      <c r="Y674" s="7"/>
      <c r="Z674" s="7"/>
      <c r="AA674" s="7"/>
      <c r="AB674" s="7"/>
      <c r="AC674" s="7"/>
      <c r="AD674" s="7"/>
      <c r="AE674" s="7"/>
      <c r="AG674" s="36"/>
      <c r="AH674" s="36"/>
      <c r="AI674" s="35"/>
      <c r="AJ674" s="7"/>
      <c r="AK674" s="7"/>
      <c r="AL674" s="7"/>
      <c r="AM674" s="7"/>
      <c r="AN674" s="7"/>
      <c r="AO674" s="7"/>
      <c r="AP674" s="7"/>
      <c r="AQ674" s="7"/>
      <c r="AS674" s="36"/>
      <c r="AT674" s="36"/>
      <c r="AU674" s="35"/>
      <c r="AV674" s="7"/>
      <c r="AW674" s="7"/>
      <c r="AX674" s="7"/>
      <c r="AY674" s="7"/>
      <c r="AZ674" s="7"/>
      <c r="BA674" s="7"/>
      <c r="BB674" s="7"/>
      <c r="BC674" s="7"/>
      <c r="BF674" s="7"/>
      <c r="BG674" s="36"/>
      <c r="BH674" s="36"/>
      <c r="BI674" s="36"/>
      <c r="BJ674" s="36"/>
      <c r="BK674" s="36"/>
      <c r="BL674" s="36"/>
      <c r="BM674" s="36"/>
      <c r="BN674" s="36"/>
      <c r="BO674" s="36"/>
    </row>
    <row r="675" spans="1:67" x14ac:dyDescent="0.25">
      <c r="A675" s="39"/>
      <c r="B675" s="40"/>
      <c r="U675" s="36"/>
      <c r="V675" s="36"/>
      <c r="W675" s="35"/>
      <c r="X675" s="7"/>
      <c r="Y675" s="7"/>
      <c r="Z675" s="7"/>
      <c r="AA675" s="7"/>
      <c r="AB675" s="7"/>
      <c r="AC675" s="7"/>
      <c r="AD675" s="7"/>
      <c r="AE675" s="7"/>
      <c r="AG675" s="36"/>
      <c r="AH675" s="36"/>
      <c r="AI675" s="35"/>
      <c r="AJ675" s="7"/>
      <c r="AK675" s="7"/>
      <c r="AL675" s="7"/>
      <c r="AM675" s="7"/>
      <c r="AN675" s="7"/>
      <c r="AO675" s="7"/>
      <c r="AP675" s="7"/>
      <c r="AQ675" s="7"/>
      <c r="AS675" s="36"/>
      <c r="AT675" s="36"/>
      <c r="AU675" s="35"/>
      <c r="AV675" s="7"/>
      <c r="AW675" s="7"/>
      <c r="AX675" s="7"/>
      <c r="AY675" s="7"/>
      <c r="AZ675" s="7"/>
      <c r="BA675" s="7"/>
      <c r="BB675" s="7"/>
      <c r="BC675" s="7"/>
      <c r="BF675" s="7"/>
      <c r="BG675" s="36"/>
      <c r="BH675" s="36"/>
      <c r="BI675" s="36"/>
      <c r="BJ675" s="36"/>
      <c r="BK675" s="36"/>
      <c r="BL675" s="36"/>
      <c r="BM675" s="36"/>
      <c r="BN675" s="36"/>
      <c r="BO675" s="36"/>
    </row>
    <row r="676" spans="1:67" x14ac:dyDescent="0.25">
      <c r="A676" s="39"/>
      <c r="B676" s="40"/>
      <c r="U676" s="36"/>
      <c r="V676" s="36"/>
      <c r="W676" s="35"/>
      <c r="X676" s="7"/>
      <c r="Y676" s="7"/>
      <c r="Z676" s="7"/>
      <c r="AA676" s="7"/>
      <c r="AB676" s="7"/>
      <c r="AC676" s="7"/>
      <c r="AD676" s="7"/>
      <c r="AE676" s="7"/>
      <c r="AG676" s="36"/>
      <c r="AH676" s="36"/>
      <c r="AI676" s="35"/>
      <c r="AJ676" s="7"/>
      <c r="AK676" s="7"/>
      <c r="AL676" s="7"/>
      <c r="AM676" s="7"/>
      <c r="AN676" s="7"/>
      <c r="AO676" s="7"/>
      <c r="AP676" s="7"/>
      <c r="AQ676" s="7"/>
      <c r="AS676" s="36"/>
      <c r="AT676" s="36"/>
      <c r="AU676" s="35"/>
      <c r="AV676" s="7"/>
      <c r="AW676" s="7"/>
      <c r="AX676" s="7"/>
      <c r="AY676" s="7"/>
      <c r="AZ676" s="7"/>
      <c r="BA676" s="7"/>
      <c r="BB676" s="7"/>
      <c r="BC676" s="7"/>
      <c r="BF676" s="7"/>
      <c r="BG676" s="36"/>
      <c r="BH676" s="36"/>
      <c r="BI676" s="36"/>
      <c r="BJ676" s="36"/>
      <c r="BK676" s="36"/>
      <c r="BL676" s="36"/>
      <c r="BM676" s="36"/>
      <c r="BN676" s="36"/>
      <c r="BO676" s="36"/>
    </row>
    <row r="677" spans="1:67" x14ac:dyDescent="0.25">
      <c r="A677" s="39"/>
      <c r="B677" s="40"/>
      <c r="U677" s="36"/>
      <c r="V677" s="36"/>
      <c r="W677" s="35"/>
      <c r="X677" s="7"/>
      <c r="Y677" s="7"/>
      <c r="Z677" s="7"/>
      <c r="AA677" s="7"/>
      <c r="AB677" s="7"/>
      <c r="AC677" s="7"/>
      <c r="AD677" s="7"/>
      <c r="AE677" s="7"/>
      <c r="AG677" s="36"/>
      <c r="AH677" s="36"/>
      <c r="AI677" s="35"/>
      <c r="AJ677" s="7"/>
      <c r="AK677" s="7"/>
      <c r="AL677" s="7"/>
      <c r="AM677" s="7"/>
      <c r="AN677" s="7"/>
      <c r="AO677" s="7"/>
      <c r="AP677" s="7"/>
      <c r="AQ677" s="7"/>
      <c r="AS677" s="36"/>
      <c r="AT677" s="36"/>
      <c r="AU677" s="35"/>
      <c r="AV677" s="7"/>
      <c r="AW677" s="7"/>
      <c r="AX677" s="7"/>
      <c r="AY677" s="7"/>
      <c r="AZ677" s="7"/>
      <c r="BA677" s="7"/>
      <c r="BB677" s="7"/>
      <c r="BC677" s="7"/>
      <c r="BF677" s="7"/>
      <c r="BG677" s="36"/>
      <c r="BH677" s="36"/>
      <c r="BI677" s="36"/>
      <c r="BJ677" s="36"/>
      <c r="BK677" s="36"/>
      <c r="BL677" s="36"/>
      <c r="BM677" s="36"/>
      <c r="BN677" s="36"/>
      <c r="BO677" s="36"/>
    </row>
    <row r="678" spans="1:67" x14ac:dyDescent="0.25">
      <c r="A678" s="39"/>
      <c r="B678" s="40"/>
      <c r="U678" s="36"/>
      <c r="V678" s="36"/>
      <c r="W678" s="35"/>
      <c r="X678" s="7"/>
      <c r="Y678" s="7"/>
      <c r="Z678" s="7"/>
      <c r="AA678" s="7"/>
      <c r="AB678" s="7"/>
      <c r="AC678" s="7"/>
      <c r="AD678" s="7"/>
      <c r="AE678" s="7"/>
      <c r="AG678" s="36"/>
      <c r="AH678" s="36"/>
      <c r="AI678" s="35"/>
      <c r="AJ678" s="7"/>
      <c r="AK678" s="7"/>
      <c r="AL678" s="7"/>
      <c r="AM678" s="7"/>
      <c r="AN678" s="7"/>
      <c r="AO678" s="7"/>
      <c r="AP678" s="7"/>
      <c r="AQ678" s="7"/>
      <c r="AS678" s="36"/>
      <c r="AT678" s="36"/>
      <c r="AU678" s="35"/>
      <c r="AV678" s="7"/>
      <c r="AW678" s="7"/>
      <c r="AX678" s="7"/>
      <c r="AY678" s="7"/>
      <c r="AZ678" s="7"/>
      <c r="BA678" s="7"/>
      <c r="BB678" s="7"/>
      <c r="BC678" s="7"/>
      <c r="BF678" s="7"/>
      <c r="BG678" s="36"/>
      <c r="BH678" s="36"/>
      <c r="BI678" s="36"/>
      <c r="BJ678" s="36"/>
      <c r="BK678" s="36"/>
      <c r="BL678" s="36"/>
      <c r="BM678" s="36"/>
      <c r="BN678" s="36"/>
      <c r="BO678" s="36"/>
    </row>
    <row r="679" spans="1:67" x14ac:dyDescent="0.25">
      <c r="A679" s="39"/>
      <c r="B679" s="40"/>
      <c r="U679" s="36"/>
      <c r="V679" s="36"/>
      <c r="W679" s="35"/>
      <c r="X679" s="7"/>
      <c r="Y679" s="7"/>
      <c r="Z679" s="7"/>
      <c r="AA679" s="7"/>
      <c r="AB679" s="7"/>
      <c r="AC679" s="7"/>
      <c r="AD679" s="7"/>
      <c r="AE679" s="7"/>
      <c r="AG679" s="36"/>
      <c r="AH679" s="36"/>
      <c r="AI679" s="35"/>
      <c r="AJ679" s="7"/>
      <c r="AK679" s="7"/>
      <c r="AL679" s="7"/>
      <c r="AM679" s="7"/>
      <c r="AN679" s="7"/>
      <c r="AO679" s="7"/>
      <c r="AP679" s="7"/>
      <c r="AQ679" s="7"/>
      <c r="AS679" s="36"/>
      <c r="AT679" s="36"/>
      <c r="AU679" s="35"/>
      <c r="AV679" s="7"/>
      <c r="AW679" s="7"/>
      <c r="AX679" s="7"/>
      <c r="AY679" s="7"/>
      <c r="AZ679" s="7"/>
      <c r="BA679" s="7"/>
      <c r="BB679" s="7"/>
      <c r="BC679" s="7"/>
      <c r="BF679" s="7"/>
      <c r="BG679" s="36"/>
      <c r="BH679" s="36"/>
      <c r="BI679" s="36"/>
      <c r="BJ679" s="36"/>
      <c r="BK679" s="36"/>
      <c r="BL679" s="36"/>
      <c r="BM679" s="36"/>
      <c r="BN679" s="36"/>
      <c r="BO679" s="36"/>
    </row>
    <row r="680" spans="1:67" x14ac:dyDescent="0.25">
      <c r="A680" s="39"/>
      <c r="B680" s="40"/>
      <c r="U680" s="36"/>
      <c r="V680" s="36"/>
      <c r="W680" s="35"/>
      <c r="X680" s="7"/>
      <c r="Y680" s="7"/>
      <c r="Z680" s="7"/>
      <c r="AA680" s="7"/>
      <c r="AB680" s="7"/>
      <c r="AC680" s="7"/>
      <c r="AD680" s="7"/>
      <c r="AE680" s="7"/>
      <c r="AG680" s="36"/>
      <c r="AH680" s="36"/>
      <c r="AI680" s="35"/>
      <c r="AJ680" s="7"/>
      <c r="AK680" s="7"/>
      <c r="AL680" s="7"/>
      <c r="AM680" s="7"/>
      <c r="AN680" s="7"/>
      <c r="AO680" s="7"/>
      <c r="AP680" s="7"/>
      <c r="AQ680" s="7"/>
      <c r="AS680" s="36"/>
      <c r="AT680" s="36"/>
      <c r="AU680" s="35"/>
      <c r="AV680" s="7"/>
      <c r="AW680" s="7"/>
      <c r="AX680" s="7"/>
      <c r="AY680" s="7"/>
      <c r="AZ680" s="7"/>
      <c r="BA680" s="7"/>
      <c r="BB680" s="7"/>
      <c r="BC680" s="7"/>
      <c r="BF680" s="7"/>
      <c r="BG680" s="36"/>
      <c r="BH680" s="36"/>
      <c r="BI680" s="36"/>
      <c r="BJ680" s="36"/>
      <c r="BK680" s="36"/>
      <c r="BL680" s="36"/>
      <c r="BM680" s="36"/>
      <c r="BN680" s="36"/>
      <c r="BO680" s="36"/>
    </row>
    <row r="681" spans="1:67" x14ac:dyDescent="0.25">
      <c r="A681" s="39"/>
      <c r="B681" s="40"/>
      <c r="U681" s="36"/>
      <c r="V681" s="36"/>
      <c r="W681" s="35"/>
      <c r="X681" s="7"/>
      <c r="Y681" s="7"/>
      <c r="Z681" s="7"/>
      <c r="AA681" s="7"/>
      <c r="AB681" s="7"/>
      <c r="AC681" s="7"/>
      <c r="AD681" s="7"/>
      <c r="AE681" s="7"/>
      <c r="AG681" s="36"/>
      <c r="AH681" s="36"/>
      <c r="AI681" s="35"/>
      <c r="AJ681" s="7"/>
      <c r="AK681" s="7"/>
      <c r="AL681" s="7"/>
      <c r="AM681" s="7"/>
      <c r="AN681" s="7"/>
      <c r="AO681" s="7"/>
      <c r="AP681" s="7"/>
      <c r="AQ681" s="7"/>
      <c r="AS681" s="36"/>
      <c r="AT681" s="36"/>
      <c r="AU681" s="35"/>
      <c r="AV681" s="7"/>
      <c r="AW681" s="7"/>
      <c r="AX681" s="7"/>
      <c r="AY681" s="7"/>
      <c r="AZ681" s="7"/>
      <c r="BA681" s="7"/>
      <c r="BB681" s="7"/>
      <c r="BC681" s="7"/>
      <c r="BF681" s="7"/>
      <c r="BG681" s="36"/>
      <c r="BH681" s="36"/>
      <c r="BI681" s="36"/>
      <c r="BJ681" s="36"/>
      <c r="BK681" s="36"/>
      <c r="BL681" s="36"/>
      <c r="BM681" s="36"/>
      <c r="BN681" s="36"/>
      <c r="BO681" s="36"/>
    </row>
    <row r="682" spans="1:67" x14ac:dyDescent="0.25">
      <c r="A682" s="39"/>
      <c r="B682" s="40"/>
      <c r="U682" s="36"/>
      <c r="V682" s="36"/>
      <c r="W682" s="35"/>
      <c r="X682" s="7"/>
      <c r="Y682" s="7"/>
      <c r="Z682" s="7"/>
      <c r="AA682" s="7"/>
      <c r="AB682" s="7"/>
      <c r="AC682" s="7"/>
      <c r="AD682" s="7"/>
      <c r="AE682" s="7"/>
      <c r="AG682" s="36"/>
      <c r="AH682" s="36"/>
      <c r="AI682" s="35"/>
      <c r="AJ682" s="7"/>
      <c r="AK682" s="7"/>
      <c r="AL682" s="7"/>
      <c r="AM682" s="7"/>
      <c r="AN682" s="7"/>
      <c r="AO682" s="7"/>
      <c r="AP682" s="7"/>
      <c r="AQ682" s="7"/>
      <c r="AS682" s="36"/>
      <c r="AT682" s="36"/>
      <c r="AU682" s="35"/>
      <c r="AV682" s="7"/>
      <c r="AW682" s="7"/>
      <c r="AX682" s="7"/>
      <c r="AY682" s="7"/>
      <c r="AZ682" s="7"/>
      <c r="BA682" s="7"/>
      <c r="BB682" s="7"/>
      <c r="BC682" s="7"/>
      <c r="BF682" s="7"/>
      <c r="BG682" s="36"/>
      <c r="BH682" s="36"/>
      <c r="BI682" s="36"/>
      <c r="BJ682" s="36"/>
      <c r="BK682" s="36"/>
      <c r="BL682" s="36"/>
      <c r="BM682" s="36"/>
      <c r="BN682" s="36"/>
      <c r="BO682" s="36"/>
    </row>
    <row r="683" spans="1:67" x14ac:dyDescent="0.25">
      <c r="A683" s="39"/>
      <c r="B683" s="40"/>
      <c r="U683" s="36"/>
      <c r="V683" s="36"/>
      <c r="W683" s="35"/>
      <c r="X683" s="7"/>
      <c r="Y683" s="7"/>
      <c r="Z683" s="7"/>
      <c r="AA683" s="7"/>
      <c r="AB683" s="7"/>
      <c r="AC683" s="7"/>
      <c r="AD683" s="7"/>
      <c r="AE683" s="7"/>
      <c r="AG683" s="36"/>
      <c r="AH683" s="36"/>
      <c r="AI683" s="35"/>
      <c r="AJ683" s="7"/>
      <c r="AK683" s="7"/>
      <c r="AL683" s="7"/>
      <c r="AM683" s="7"/>
      <c r="AN683" s="7"/>
      <c r="AO683" s="7"/>
      <c r="AP683" s="7"/>
      <c r="AQ683" s="7"/>
      <c r="AS683" s="36"/>
      <c r="AT683" s="36"/>
      <c r="AU683" s="35"/>
      <c r="AV683" s="7"/>
      <c r="AW683" s="7"/>
      <c r="AX683" s="7"/>
      <c r="AY683" s="7"/>
      <c r="AZ683" s="7"/>
      <c r="BA683" s="7"/>
      <c r="BB683" s="7"/>
      <c r="BC683" s="7"/>
      <c r="BF683" s="7"/>
      <c r="BG683" s="36"/>
      <c r="BH683" s="36"/>
      <c r="BI683" s="36"/>
      <c r="BJ683" s="36"/>
      <c r="BK683" s="36"/>
      <c r="BL683" s="36"/>
      <c r="BM683" s="36"/>
      <c r="BN683" s="36"/>
      <c r="BO683" s="36"/>
    </row>
    <row r="684" spans="1:67" x14ac:dyDescent="0.25">
      <c r="A684" s="39"/>
      <c r="B684" s="40"/>
      <c r="U684" s="36"/>
      <c r="V684" s="36"/>
      <c r="W684" s="35"/>
      <c r="X684" s="7"/>
      <c r="Y684" s="7"/>
      <c r="Z684" s="7"/>
      <c r="AA684" s="7"/>
      <c r="AB684" s="7"/>
      <c r="AC684" s="7"/>
      <c r="AD684" s="7"/>
      <c r="AE684" s="7"/>
      <c r="AG684" s="36"/>
      <c r="AH684" s="36"/>
      <c r="AI684" s="35"/>
      <c r="AJ684" s="7"/>
      <c r="AK684" s="7"/>
      <c r="AL684" s="7"/>
      <c r="AM684" s="7"/>
      <c r="AN684" s="7"/>
      <c r="AO684" s="7"/>
      <c r="AP684" s="7"/>
      <c r="AQ684" s="7"/>
      <c r="AS684" s="36"/>
      <c r="AT684" s="36"/>
      <c r="AU684" s="35"/>
      <c r="AV684" s="7"/>
      <c r="AW684" s="7"/>
      <c r="AX684" s="7"/>
      <c r="AY684" s="7"/>
      <c r="AZ684" s="7"/>
      <c r="BA684" s="7"/>
      <c r="BB684" s="7"/>
      <c r="BC684" s="7"/>
      <c r="BF684" s="7"/>
      <c r="BG684" s="36"/>
      <c r="BH684" s="36"/>
      <c r="BI684" s="36"/>
      <c r="BJ684" s="36"/>
      <c r="BK684" s="36"/>
      <c r="BL684" s="36"/>
      <c r="BM684" s="36"/>
      <c r="BN684" s="36"/>
      <c r="BO684" s="36"/>
    </row>
    <row r="685" spans="1:67" x14ac:dyDescent="0.25">
      <c r="A685" s="39"/>
      <c r="B685" s="40"/>
      <c r="U685" s="36"/>
      <c r="V685" s="36"/>
      <c r="W685" s="35"/>
      <c r="X685" s="7"/>
      <c r="Y685" s="7"/>
      <c r="Z685" s="7"/>
      <c r="AA685" s="7"/>
      <c r="AB685" s="7"/>
      <c r="AC685" s="7"/>
      <c r="AD685" s="7"/>
      <c r="AE685" s="7"/>
      <c r="AG685" s="36"/>
      <c r="AH685" s="36"/>
      <c r="AI685" s="35"/>
      <c r="AJ685" s="7"/>
      <c r="AK685" s="7"/>
      <c r="AL685" s="7"/>
      <c r="AM685" s="7"/>
      <c r="AN685" s="7"/>
      <c r="AO685" s="7"/>
      <c r="AP685" s="7"/>
      <c r="AQ685" s="7"/>
      <c r="AS685" s="36"/>
      <c r="AT685" s="36"/>
      <c r="AU685" s="35"/>
      <c r="AV685" s="7"/>
      <c r="AW685" s="7"/>
      <c r="AX685" s="7"/>
      <c r="AY685" s="7"/>
      <c r="AZ685" s="7"/>
      <c r="BA685" s="7"/>
      <c r="BB685" s="7"/>
      <c r="BC685" s="7"/>
      <c r="BF685" s="7"/>
      <c r="BG685" s="36"/>
      <c r="BH685" s="36"/>
      <c r="BI685" s="36"/>
      <c r="BJ685" s="36"/>
      <c r="BK685" s="36"/>
      <c r="BL685" s="36"/>
      <c r="BM685" s="36"/>
      <c r="BN685" s="36"/>
      <c r="BO685" s="36"/>
    </row>
    <row r="686" spans="1:67" x14ac:dyDescent="0.25">
      <c r="A686" s="39"/>
      <c r="B686" s="40"/>
      <c r="U686" s="36"/>
      <c r="V686" s="36"/>
      <c r="W686" s="35"/>
      <c r="X686" s="7"/>
      <c r="Y686" s="7"/>
      <c r="Z686" s="7"/>
      <c r="AA686" s="7"/>
      <c r="AB686" s="7"/>
      <c r="AC686" s="7"/>
      <c r="AD686" s="7"/>
      <c r="AE686" s="7"/>
      <c r="AG686" s="36"/>
      <c r="AH686" s="36"/>
      <c r="AI686" s="35"/>
      <c r="AJ686" s="7"/>
      <c r="AK686" s="7"/>
      <c r="AL686" s="7"/>
      <c r="AM686" s="7"/>
      <c r="AN686" s="7"/>
      <c r="AO686" s="7"/>
      <c r="AP686" s="7"/>
      <c r="AQ686" s="7"/>
      <c r="AS686" s="36"/>
      <c r="AT686" s="36"/>
      <c r="AU686" s="35"/>
      <c r="AV686" s="7"/>
      <c r="AW686" s="7"/>
      <c r="AX686" s="7"/>
      <c r="AY686" s="7"/>
      <c r="AZ686" s="7"/>
      <c r="BA686" s="7"/>
      <c r="BB686" s="7"/>
      <c r="BC686" s="7"/>
      <c r="BF686" s="7"/>
      <c r="BG686" s="36"/>
      <c r="BH686" s="36"/>
      <c r="BI686" s="36"/>
      <c r="BJ686" s="36"/>
      <c r="BK686" s="36"/>
      <c r="BL686" s="36"/>
      <c r="BM686" s="36"/>
      <c r="BN686" s="36"/>
      <c r="BO686" s="36"/>
    </row>
    <row r="687" spans="1:67" x14ac:dyDescent="0.25">
      <c r="A687" s="39"/>
      <c r="B687" s="40"/>
      <c r="U687" s="36"/>
      <c r="V687" s="36"/>
      <c r="W687" s="35"/>
      <c r="X687" s="7"/>
      <c r="Y687" s="7"/>
      <c r="Z687" s="7"/>
      <c r="AA687" s="7"/>
      <c r="AB687" s="7"/>
      <c r="AC687" s="7"/>
      <c r="AD687" s="7"/>
      <c r="AE687" s="7"/>
      <c r="AG687" s="36"/>
      <c r="AH687" s="36"/>
      <c r="AI687" s="35"/>
      <c r="AJ687" s="7"/>
      <c r="AK687" s="7"/>
      <c r="AL687" s="7"/>
      <c r="AM687" s="7"/>
      <c r="AN687" s="7"/>
      <c r="AO687" s="7"/>
      <c r="AP687" s="7"/>
      <c r="AQ687" s="7"/>
      <c r="AS687" s="36"/>
      <c r="AT687" s="36"/>
      <c r="AU687" s="35"/>
      <c r="AV687" s="7"/>
      <c r="AW687" s="7"/>
      <c r="AX687" s="7"/>
      <c r="AY687" s="7"/>
      <c r="AZ687" s="7"/>
      <c r="BA687" s="7"/>
      <c r="BB687" s="7"/>
      <c r="BC687" s="7"/>
      <c r="BF687" s="7"/>
      <c r="BG687" s="36"/>
      <c r="BH687" s="36"/>
      <c r="BI687" s="36"/>
      <c r="BJ687" s="36"/>
      <c r="BK687" s="36"/>
      <c r="BL687" s="36"/>
      <c r="BM687" s="36"/>
      <c r="BN687" s="36"/>
      <c r="BO687" s="36"/>
    </row>
    <row r="688" spans="1:67" x14ac:dyDescent="0.25">
      <c r="A688" s="39"/>
      <c r="B688" s="40"/>
      <c r="U688" s="36"/>
      <c r="V688" s="36"/>
      <c r="W688" s="35"/>
      <c r="X688" s="7"/>
      <c r="Y688" s="7"/>
      <c r="Z688" s="7"/>
      <c r="AA688" s="7"/>
      <c r="AB688" s="7"/>
      <c r="AC688" s="7"/>
      <c r="AD688" s="7"/>
      <c r="AE688" s="7"/>
      <c r="AG688" s="36"/>
      <c r="AH688" s="36"/>
      <c r="AI688" s="35"/>
      <c r="AJ688" s="7"/>
      <c r="AK688" s="7"/>
      <c r="AL688" s="7"/>
      <c r="AM688" s="7"/>
      <c r="AN688" s="7"/>
      <c r="AO688" s="7"/>
      <c r="AP688" s="7"/>
      <c r="AQ688" s="7"/>
      <c r="AS688" s="36"/>
      <c r="AT688" s="36"/>
      <c r="AU688" s="35"/>
      <c r="AV688" s="7"/>
      <c r="AW688" s="7"/>
      <c r="AX688" s="7"/>
      <c r="AY688" s="7"/>
      <c r="AZ688" s="7"/>
      <c r="BA688" s="7"/>
      <c r="BB688" s="7"/>
      <c r="BC688" s="7"/>
      <c r="BF688" s="7"/>
      <c r="BG688" s="36"/>
      <c r="BH688" s="36"/>
      <c r="BI688" s="36"/>
      <c r="BJ688" s="36"/>
      <c r="BK688" s="36"/>
      <c r="BL688" s="36"/>
      <c r="BM688" s="36"/>
      <c r="BN688" s="36"/>
      <c r="BO688" s="36"/>
    </row>
    <row r="689" spans="1:67" x14ac:dyDescent="0.25">
      <c r="A689" s="39"/>
      <c r="B689" s="40"/>
      <c r="U689" s="36"/>
      <c r="V689" s="36"/>
      <c r="W689" s="35"/>
      <c r="X689" s="7"/>
      <c r="Y689" s="7"/>
      <c r="Z689" s="7"/>
      <c r="AA689" s="7"/>
      <c r="AB689" s="7"/>
      <c r="AC689" s="7"/>
      <c r="AD689" s="7"/>
      <c r="AE689" s="7"/>
      <c r="AG689" s="36"/>
      <c r="AH689" s="36"/>
      <c r="AI689" s="35"/>
      <c r="AJ689" s="7"/>
      <c r="AK689" s="7"/>
      <c r="AL689" s="7"/>
      <c r="AM689" s="7"/>
      <c r="AN689" s="7"/>
      <c r="AO689" s="7"/>
      <c r="AP689" s="7"/>
      <c r="AQ689" s="7"/>
      <c r="AS689" s="36"/>
      <c r="AT689" s="36"/>
      <c r="AU689" s="35"/>
      <c r="AV689" s="7"/>
      <c r="AW689" s="7"/>
      <c r="AX689" s="7"/>
      <c r="AY689" s="7"/>
      <c r="AZ689" s="7"/>
      <c r="BA689" s="7"/>
      <c r="BB689" s="7"/>
      <c r="BC689" s="7"/>
      <c r="BF689" s="7"/>
      <c r="BG689" s="36"/>
      <c r="BH689" s="36"/>
      <c r="BI689" s="36"/>
      <c r="BJ689" s="36"/>
      <c r="BK689" s="36"/>
      <c r="BL689" s="36"/>
      <c r="BM689" s="36"/>
      <c r="BN689" s="36"/>
      <c r="BO689" s="36"/>
    </row>
    <row r="690" spans="1:67" x14ac:dyDescent="0.25">
      <c r="A690" s="39"/>
      <c r="B690" s="40"/>
      <c r="U690" s="36"/>
      <c r="V690" s="36"/>
      <c r="W690" s="35"/>
      <c r="X690" s="7"/>
      <c r="Y690" s="7"/>
      <c r="Z690" s="7"/>
      <c r="AA690" s="7"/>
      <c r="AB690" s="7"/>
      <c r="AC690" s="7"/>
      <c r="AD690" s="7"/>
      <c r="AE690" s="7"/>
      <c r="AG690" s="36"/>
      <c r="AH690" s="36"/>
      <c r="AI690" s="35"/>
      <c r="AJ690" s="7"/>
      <c r="AK690" s="7"/>
      <c r="AL690" s="7"/>
      <c r="AM690" s="7"/>
      <c r="AN690" s="7"/>
      <c r="AO690" s="7"/>
      <c r="AP690" s="7"/>
      <c r="AQ690" s="7"/>
      <c r="AS690" s="36"/>
      <c r="AT690" s="36"/>
      <c r="AU690" s="35"/>
      <c r="AV690" s="7"/>
      <c r="AW690" s="7"/>
      <c r="AX690" s="7"/>
      <c r="AY690" s="7"/>
      <c r="AZ690" s="7"/>
      <c r="BA690" s="7"/>
      <c r="BB690" s="7"/>
      <c r="BC690" s="7"/>
      <c r="BF690" s="7"/>
      <c r="BG690" s="36"/>
      <c r="BH690" s="36"/>
      <c r="BI690" s="36"/>
      <c r="BJ690" s="36"/>
      <c r="BK690" s="36"/>
      <c r="BL690" s="36"/>
      <c r="BM690" s="36"/>
      <c r="BN690" s="36"/>
      <c r="BO690" s="36"/>
    </row>
    <row r="691" spans="1:67" x14ac:dyDescent="0.25">
      <c r="A691" s="39"/>
      <c r="B691" s="40"/>
      <c r="U691" s="36"/>
      <c r="V691" s="36"/>
      <c r="W691" s="35"/>
      <c r="X691" s="7"/>
      <c r="Y691" s="7"/>
      <c r="Z691" s="7"/>
      <c r="AA691" s="7"/>
      <c r="AB691" s="7"/>
      <c r="AC691" s="7"/>
      <c r="AD691" s="7"/>
      <c r="AE691" s="7"/>
      <c r="AG691" s="36"/>
      <c r="AH691" s="36"/>
      <c r="AI691" s="35"/>
      <c r="AJ691" s="7"/>
      <c r="AK691" s="7"/>
      <c r="AL691" s="7"/>
      <c r="AM691" s="7"/>
      <c r="AN691" s="7"/>
      <c r="AO691" s="7"/>
      <c r="AP691" s="7"/>
      <c r="AQ691" s="7"/>
      <c r="AS691" s="36"/>
      <c r="AT691" s="36"/>
      <c r="AU691" s="35"/>
      <c r="AV691" s="7"/>
      <c r="AW691" s="7"/>
      <c r="AX691" s="7"/>
      <c r="AY691" s="7"/>
      <c r="AZ691" s="7"/>
      <c r="BA691" s="7"/>
      <c r="BB691" s="7"/>
      <c r="BC691" s="7"/>
      <c r="BF691" s="7"/>
      <c r="BG691" s="36"/>
      <c r="BH691" s="36"/>
      <c r="BI691" s="36"/>
      <c r="BJ691" s="36"/>
      <c r="BK691" s="36"/>
      <c r="BL691" s="36"/>
      <c r="BM691" s="36"/>
      <c r="BN691" s="36"/>
      <c r="BO691" s="36"/>
    </row>
    <row r="692" spans="1:67" x14ac:dyDescent="0.25">
      <c r="A692" s="39"/>
      <c r="B692" s="40"/>
      <c r="U692" s="36"/>
      <c r="V692" s="36"/>
      <c r="W692" s="35"/>
      <c r="X692" s="7"/>
      <c r="Y692" s="7"/>
      <c r="Z692" s="7"/>
      <c r="AA692" s="7"/>
      <c r="AB692" s="7"/>
      <c r="AC692" s="7"/>
      <c r="AD692" s="7"/>
      <c r="AE692" s="7"/>
      <c r="AG692" s="36"/>
      <c r="AH692" s="36"/>
      <c r="AI692" s="35"/>
      <c r="AJ692" s="7"/>
      <c r="AK692" s="7"/>
      <c r="AL692" s="7"/>
      <c r="AM692" s="7"/>
      <c r="AN692" s="7"/>
      <c r="AO692" s="7"/>
      <c r="AP692" s="7"/>
      <c r="AQ692" s="7"/>
      <c r="AS692" s="36"/>
      <c r="AT692" s="36"/>
      <c r="AU692" s="35"/>
      <c r="AV692" s="7"/>
      <c r="AW692" s="7"/>
      <c r="AX692" s="7"/>
      <c r="AY692" s="7"/>
      <c r="AZ692" s="7"/>
      <c r="BA692" s="7"/>
      <c r="BB692" s="7"/>
      <c r="BC692" s="7"/>
      <c r="BF692" s="7"/>
      <c r="BG692" s="36"/>
      <c r="BH692" s="36"/>
      <c r="BI692" s="36"/>
      <c r="BJ692" s="36"/>
      <c r="BK692" s="36"/>
      <c r="BL692" s="36"/>
      <c r="BM692" s="36"/>
      <c r="BN692" s="36"/>
      <c r="BO692" s="36"/>
    </row>
    <row r="693" spans="1:67" x14ac:dyDescent="0.25">
      <c r="A693" s="39"/>
      <c r="B693" s="40"/>
      <c r="U693" s="36"/>
      <c r="V693" s="36"/>
      <c r="W693" s="35"/>
      <c r="X693" s="7"/>
      <c r="Y693" s="7"/>
      <c r="Z693" s="7"/>
      <c r="AA693" s="7"/>
      <c r="AB693" s="7"/>
      <c r="AC693" s="7"/>
      <c r="AD693" s="7"/>
      <c r="AE693" s="7"/>
      <c r="AG693" s="36"/>
      <c r="AH693" s="36"/>
      <c r="AI693" s="35"/>
      <c r="AJ693" s="7"/>
      <c r="AK693" s="7"/>
      <c r="AL693" s="7"/>
      <c r="AM693" s="7"/>
      <c r="AN693" s="7"/>
      <c r="AO693" s="7"/>
      <c r="AP693" s="7"/>
      <c r="AQ693" s="7"/>
      <c r="AS693" s="36"/>
      <c r="AT693" s="36"/>
      <c r="AU693" s="35"/>
      <c r="AV693" s="7"/>
      <c r="AW693" s="7"/>
      <c r="AX693" s="7"/>
      <c r="AY693" s="7"/>
      <c r="AZ693" s="7"/>
      <c r="BA693" s="7"/>
      <c r="BB693" s="7"/>
      <c r="BC693" s="7"/>
      <c r="BF693" s="7"/>
      <c r="BG693" s="36"/>
      <c r="BH693" s="36"/>
      <c r="BI693" s="36"/>
      <c r="BJ693" s="36"/>
      <c r="BK693" s="36"/>
      <c r="BL693" s="36"/>
      <c r="BM693" s="36"/>
      <c r="BN693" s="36"/>
      <c r="BO693" s="36"/>
    </row>
    <row r="694" spans="1:67" x14ac:dyDescent="0.25">
      <c r="A694" s="39"/>
      <c r="B694" s="40"/>
      <c r="U694" s="36"/>
      <c r="V694" s="36"/>
      <c r="W694" s="35"/>
      <c r="X694" s="7"/>
      <c r="Y694" s="7"/>
      <c r="Z694" s="7"/>
      <c r="AA694" s="7"/>
      <c r="AB694" s="7"/>
      <c r="AC694" s="7"/>
      <c r="AD694" s="7"/>
      <c r="AE694" s="7"/>
      <c r="AG694" s="36"/>
      <c r="AH694" s="36"/>
      <c r="AI694" s="35"/>
      <c r="AJ694" s="7"/>
      <c r="AK694" s="7"/>
      <c r="AL694" s="7"/>
      <c r="AM694" s="7"/>
      <c r="AN694" s="7"/>
      <c r="AO694" s="7"/>
      <c r="AP694" s="7"/>
      <c r="AQ694" s="7"/>
      <c r="AS694" s="36"/>
      <c r="AT694" s="36"/>
      <c r="AU694" s="35"/>
      <c r="AV694" s="7"/>
      <c r="AW694" s="7"/>
      <c r="AX694" s="7"/>
      <c r="AY694" s="7"/>
      <c r="AZ694" s="7"/>
      <c r="BA694" s="7"/>
      <c r="BB694" s="7"/>
      <c r="BC694" s="7"/>
      <c r="BF694" s="7"/>
      <c r="BG694" s="36"/>
      <c r="BH694" s="36"/>
      <c r="BI694" s="36"/>
      <c r="BJ694" s="36"/>
      <c r="BK694" s="36"/>
      <c r="BL694" s="36"/>
      <c r="BM694" s="36"/>
      <c r="BN694" s="36"/>
      <c r="BO694" s="36"/>
    </row>
    <row r="695" spans="1:67" x14ac:dyDescent="0.25">
      <c r="A695" s="39"/>
      <c r="B695" s="40"/>
      <c r="U695" s="36"/>
      <c r="V695" s="36"/>
      <c r="W695" s="35"/>
      <c r="X695" s="7"/>
      <c r="Y695" s="7"/>
      <c r="Z695" s="7"/>
      <c r="AA695" s="7"/>
      <c r="AB695" s="7"/>
      <c r="AC695" s="7"/>
      <c r="AD695" s="7"/>
      <c r="AE695" s="7"/>
      <c r="AG695" s="36"/>
      <c r="AH695" s="36"/>
      <c r="AI695" s="35"/>
      <c r="AJ695" s="7"/>
      <c r="AK695" s="7"/>
      <c r="AL695" s="7"/>
      <c r="AM695" s="7"/>
      <c r="AN695" s="7"/>
      <c r="AO695" s="7"/>
      <c r="AP695" s="7"/>
      <c r="AQ695" s="7"/>
      <c r="AS695" s="36"/>
      <c r="AT695" s="36"/>
      <c r="AU695" s="35"/>
      <c r="AV695" s="7"/>
      <c r="AW695" s="7"/>
      <c r="AX695" s="7"/>
      <c r="AY695" s="7"/>
      <c r="AZ695" s="7"/>
      <c r="BA695" s="7"/>
      <c r="BB695" s="7"/>
      <c r="BC695" s="7"/>
      <c r="BF695" s="7"/>
      <c r="BG695" s="36"/>
      <c r="BH695" s="36"/>
      <c r="BI695" s="36"/>
      <c r="BJ695" s="36"/>
      <c r="BK695" s="36"/>
      <c r="BL695" s="36"/>
      <c r="BM695" s="36"/>
      <c r="BN695" s="36"/>
      <c r="BO695" s="36"/>
    </row>
    <row r="696" spans="1:67" x14ac:dyDescent="0.25">
      <c r="A696" s="39"/>
      <c r="B696" s="40"/>
      <c r="U696" s="36"/>
      <c r="V696" s="36"/>
      <c r="W696" s="35"/>
      <c r="X696" s="7"/>
      <c r="Y696" s="7"/>
      <c r="Z696" s="7"/>
      <c r="AA696" s="7"/>
      <c r="AB696" s="7"/>
      <c r="AC696" s="7"/>
      <c r="AD696" s="7"/>
      <c r="AE696" s="7"/>
      <c r="AG696" s="36"/>
      <c r="AH696" s="36"/>
      <c r="AI696" s="35"/>
      <c r="AJ696" s="7"/>
      <c r="AK696" s="7"/>
      <c r="AL696" s="7"/>
      <c r="AM696" s="7"/>
      <c r="AN696" s="7"/>
      <c r="AO696" s="7"/>
      <c r="AP696" s="7"/>
      <c r="AQ696" s="7"/>
      <c r="AS696" s="36"/>
      <c r="AT696" s="36"/>
      <c r="AU696" s="35"/>
      <c r="AV696" s="7"/>
      <c r="AW696" s="7"/>
      <c r="AX696" s="7"/>
      <c r="AY696" s="7"/>
      <c r="AZ696" s="7"/>
      <c r="BA696" s="7"/>
      <c r="BB696" s="7"/>
      <c r="BC696" s="7"/>
      <c r="BF696" s="7"/>
      <c r="BG696" s="36"/>
      <c r="BH696" s="36"/>
      <c r="BI696" s="36"/>
      <c r="BJ696" s="36"/>
      <c r="BK696" s="36"/>
      <c r="BL696" s="36"/>
      <c r="BM696" s="36"/>
      <c r="BN696" s="36"/>
      <c r="BO696" s="36"/>
    </row>
    <row r="697" spans="1:67" x14ac:dyDescent="0.25">
      <c r="A697" s="39"/>
      <c r="B697" s="40"/>
      <c r="U697" s="36"/>
      <c r="V697" s="36"/>
      <c r="W697" s="35"/>
      <c r="X697" s="7"/>
      <c r="Y697" s="7"/>
      <c r="Z697" s="7"/>
      <c r="AA697" s="7"/>
      <c r="AB697" s="7"/>
      <c r="AC697" s="7"/>
      <c r="AD697" s="7"/>
      <c r="AE697" s="7"/>
      <c r="AG697" s="36"/>
      <c r="AH697" s="36"/>
      <c r="AI697" s="35"/>
      <c r="AJ697" s="7"/>
      <c r="AK697" s="7"/>
      <c r="AL697" s="7"/>
      <c r="AM697" s="7"/>
      <c r="AN697" s="7"/>
      <c r="AO697" s="7"/>
      <c r="AP697" s="7"/>
      <c r="AQ697" s="7"/>
      <c r="AS697" s="36"/>
      <c r="AT697" s="36"/>
      <c r="AU697" s="35"/>
      <c r="AV697" s="7"/>
      <c r="AW697" s="7"/>
      <c r="AX697" s="7"/>
      <c r="AY697" s="7"/>
      <c r="AZ697" s="7"/>
      <c r="BA697" s="7"/>
      <c r="BB697" s="7"/>
      <c r="BC697" s="7"/>
      <c r="BF697" s="7"/>
      <c r="BG697" s="36"/>
      <c r="BH697" s="36"/>
      <c r="BI697" s="36"/>
      <c r="BJ697" s="36"/>
      <c r="BK697" s="36"/>
      <c r="BL697" s="36"/>
      <c r="BM697" s="36"/>
      <c r="BN697" s="36"/>
      <c r="BO697" s="36"/>
    </row>
    <row r="698" spans="1:67" x14ac:dyDescent="0.25">
      <c r="A698" s="39"/>
      <c r="B698" s="40"/>
      <c r="U698" s="36"/>
      <c r="V698" s="36"/>
      <c r="W698" s="35"/>
      <c r="X698" s="7"/>
      <c r="Y698" s="7"/>
      <c r="Z698" s="7"/>
      <c r="AA698" s="7"/>
      <c r="AB698" s="7"/>
      <c r="AC698" s="7"/>
      <c r="AD698" s="7"/>
      <c r="AE698" s="7"/>
      <c r="AG698" s="36"/>
      <c r="AH698" s="36"/>
      <c r="AI698" s="35"/>
      <c r="AJ698" s="7"/>
      <c r="AK698" s="7"/>
      <c r="AL698" s="7"/>
      <c r="AM698" s="7"/>
      <c r="AN698" s="7"/>
      <c r="AO698" s="7"/>
      <c r="AP698" s="7"/>
      <c r="AQ698" s="7"/>
      <c r="AS698" s="36"/>
      <c r="AT698" s="36"/>
      <c r="AU698" s="35"/>
      <c r="AV698" s="7"/>
      <c r="AW698" s="7"/>
      <c r="AX698" s="7"/>
      <c r="AY698" s="7"/>
      <c r="AZ698" s="7"/>
      <c r="BA698" s="7"/>
      <c r="BB698" s="7"/>
      <c r="BC698" s="7"/>
      <c r="BF698" s="7"/>
      <c r="BG698" s="36"/>
      <c r="BH698" s="36"/>
      <c r="BI698" s="36"/>
      <c r="BJ698" s="36"/>
      <c r="BK698" s="36"/>
      <c r="BL698" s="36"/>
      <c r="BM698" s="36"/>
      <c r="BN698" s="36"/>
      <c r="BO698" s="36"/>
    </row>
    <row r="699" spans="1:67" x14ac:dyDescent="0.25">
      <c r="A699" s="39"/>
      <c r="B699" s="40"/>
      <c r="U699" s="36"/>
      <c r="V699" s="36"/>
      <c r="W699" s="35"/>
      <c r="X699" s="7"/>
      <c r="Y699" s="7"/>
      <c r="Z699" s="7"/>
      <c r="AA699" s="7"/>
      <c r="AB699" s="7"/>
      <c r="AC699" s="7"/>
      <c r="AD699" s="7"/>
      <c r="AE699" s="7"/>
      <c r="AG699" s="36"/>
      <c r="AH699" s="36"/>
      <c r="AI699" s="35"/>
      <c r="AJ699" s="7"/>
      <c r="AK699" s="7"/>
      <c r="AL699" s="7"/>
      <c r="AM699" s="7"/>
      <c r="AN699" s="7"/>
      <c r="AO699" s="7"/>
      <c r="AP699" s="7"/>
      <c r="AQ699" s="7"/>
      <c r="AS699" s="36"/>
      <c r="AT699" s="36"/>
      <c r="AU699" s="35"/>
      <c r="AV699" s="7"/>
      <c r="AW699" s="7"/>
      <c r="AX699" s="7"/>
      <c r="AY699" s="7"/>
      <c r="AZ699" s="7"/>
      <c r="BA699" s="7"/>
      <c r="BB699" s="7"/>
      <c r="BC699" s="7"/>
      <c r="BF699" s="7"/>
      <c r="BG699" s="36"/>
      <c r="BH699" s="36"/>
      <c r="BI699" s="36"/>
      <c r="BJ699" s="36"/>
      <c r="BK699" s="36"/>
      <c r="BL699" s="36"/>
      <c r="BM699" s="36"/>
      <c r="BN699" s="36"/>
      <c r="BO699" s="36"/>
    </row>
    <row r="700" spans="1:67" x14ac:dyDescent="0.25">
      <c r="A700" s="39"/>
      <c r="B700" s="40"/>
      <c r="U700" s="36"/>
      <c r="V700" s="36"/>
      <c r="W700" s="35"/>
      <c r="X700" s="7"/>
      <c r="Y700" s="7"/>
      <c r="Z700" s="7"/>
      <c r="AA700" s="7"/>
      <c r="AB700" s="7"/>
      <c r="AC700" s="7"/>
      <c r="AD700" s="7"/>
      <c r="AE700" s="7"/>
      <c r="AG700" s="36"/>
      <c r="AH700" s="36"/>
      <c r="AI700" s="35"/>
      <c r="AJ700" s="7"/>
      <c r="AK700" s="7"/>
      <c r="AL700" s="7"/>
      <c r="AM700" s="7"/>
      <c r="AN700" s="7"/>
      <c r="AO700" s="7"/>
      <c r="AP700" s="7"/>
      <c r="AQ700" s="7"/>
      <c r="AS700" s="36"/>
      <c r="AT700" s="36"/>
      <c r="AU700" s="35"/>
      <c r="AV700" s="7"/>
      <c r="AW700" s="7"/>
      <c r="AX700" s="7"/>
      <c r="AY700" s="7"/>
      <c r="AZ700" s="7"/>
      <c r="BA700" s="7"/>
      <c r="BB700" s="7"/>
      <c r="BC700" s="7"/>
      <c r="BF700" s="7"/>
      <c r="BG700" s="36"/>
      <c r="BH700" s="36"/>
      <c r="BI700" s="36"/>
      <c r="BJ700" s="36"/>
      <c r="BK700" s="36"/>
      <c r="BL700" s="36"/>
      <c r="BM700" s="36"/>
      <c r="BN700" s="36"/>
      <c r="BO700" s="36"/>
    </row>
    <row r="701" spans="1:67" x14ac:dyDescent="0.25">
      <c r="A701" s="39"/>
      <c r="B701" s="40"/>
      <c r="U701" s="36"/>
      <c r="V701" s="36"/>
      <c r="W701" s="35"/>
      <c r="X701" s="7"/>
      <c r="Y701" s="7"/>
      <c r="Z701" s="7"/>
      <c r="AA701" s="7"/>
      <c r="AB701" s="7"/>
      <c r="AC701" s="7"/>
      <c r="AD701" s="7"/>
      <c r="AE701" s="7"/>
      <c r="AG701" s="36"/>
      <c r="AH701" s="36"/>
      <c r="AI701" s="35"/>
      <c r="AJ701" s="7"/>
      <c r="AK701" s="7"/>
      <c r="AL701" s="7"/>
      <c r="AM701" s="7"/>
      <c r="AN701" s="7"/>
      <c r="AO701" s="7"/>
      <c r="AP701" s="7"/>
      <c r="AQ701" s="7"/>
      <c r="AS701" s="36"/>
      <c r="AT701" s="36"/>
      <c r="AU701" s="35"/>
      <c r="AV701" s="7"/>
      <c r="AW701" s="7"/>
      <c r="AX701" s="7"/>
      <c r="AY701" s="7"/>
      <c r="AZ701" s="7"/>
      <c r="BA701" s="7"/>
      <c r="BB701" s="7"/>
      <c r="BC701" s="7"/>
      <c r="BF701" s="7"/>
      <c r="BG701" s="36"/>
      <c r="BH701" s="36"/>
      <c r="BI701" s="36"/>
      <c r="BJ701" s="36"/>
      <c r="BK701" s="36"/>
      <c r="BL701" s="36"/>
      <c r="BM701" s="36"/>
      <c r="BN701" s="36"/>
      <c r="BO701" s="36"/>
    </row>
    <row r="702" spans="1:67" x14ac:dyDescent="0.25">
      <c r="A702" s="39"/>
      <c r="B702" s="40"/>
      <c r="U702" s="36"/>
      <c r="V702" s="36"/>
      <c r="W702" s="35"/>
      <c r="X702" s="7"/>
      <c r="Y702" s="7"/>
      <c r="Z702" s="7"/>
      <c r="AA702" s="7"/>
      <c r="AB702" s="7"/>
      <c r="AC702" s="7"/>
      <c r="AD702" s="7"/>
      <c r="AE702" s="7"/>
      <c r="AG702" s="36"/>
      <c r="AH702" s="36"/>
      <c r="AI702" s="35"/>
      <c r="AJ702" s="7"/>
      <c r="AK702" s="7"/>
      <c r="AL702" s="7"/>
      <c r="AM702" s="7"/>
      <c r="AN702" s="7"/>
      <c r="AO702" s="7"/>
      <c r="AP702" s="7"/>
      <c r="AQ702" s="7"/>
      <c r="AS702" s="36"/>
      <c r="AT702" s="36"/>
      <c r="AU702" s="35"/>
      <c r="AV702" s="7"/>
      <c r="AW702" s="7"/>
      <c r="AX702" s="7"/>
      <c r="AY702" s="7"/>
      <c r="AZ702" s="7"/>
      <c r="BA702" s="7"/>
      <c r="BB702" s="7"/>
      <c r="BC702" s="7"/>
      <c r="BF702" s="7"/>
      <c r="BG702" s="36"/>
      <c r="BH702" s="36"/>
      <c r="BI702" s="36"/>
      <c r="BJ702" s="36"/>
      <c r="BK702" s="36"/>
      <c r="BL702" s="36"/>
      <c r="BM702" s="36"/>
      <c r="BN702" s="36"/>
      <c r="BO702" s="36"/>
    </row>
    <row r="703" spans="1:67" x14ac:dyDescent="0.25">
      <c r="A703" s="39"/>
      <c r="B703" s="40"/>
      <c r="U703" s="36"/>
      <c r="V703" s="36"/>
      <c r="W703" s="35"/>
      <c r="X703" s="7"/>
      <c r="Y703" s="7"/>
      <c r="Z703" s="7"/>
      <c r="AA703" s="7"/>
      <c r="AB703" s="7"/>
      <c r="AC703" s="7"/>
      <c r="AD703" s="7"/>
      <c r="AE703" s="7"/>
      <c r="AG703" s="36"/>
      <c r="AH703" s="36"/>
      <c r="AI703" s="35"/>
      <c r="AJ703" s="7"/>
      <c r="AK703" s="7"/>
      <c r="AL703" s="7"/>
      <c r="AM703" s="7"/>
      <c r="AN703" s="7"/>
      <c r="AO703" s="7"/>
      <c r="AP703" s="7"/>
      <c r="AQ703" s="7"/>
      <c r="AS703" s="36"/>
      <c r="AT703" s="36"/>
      <c r="AU703" s="35"/>
      <c r="AV703" s="7"/>
      <c r="AW703" s="7"/>
      <c r="AX703" s="7"/>
      <c r="AY703" s="7"/>
      <c r="AZ703" s="7"/>
      <c r="BA703" s="7"/>
      <c r="BB703" s="7"/>
      <c r="BC703" s="7"/>
      <c r="BF703" s="7"/>
      <c r="BG703" s="36"/>
      <c r="BH703" s="36"/>
      <c r="BI703" s="36"/>
      <c r="BJ703" s="36"/>
      <c r="BK703" s="36"/>
      <c r="BL703" s="36"/>
      <c r="BM703" s="36"/>
      <c r="BN703" s="36"/>
      <c r="BO703" s="36"/>
    </row>
    <row r="704" spans="1:67" x14ac:dyDescent="0.25">
      <c r="A704" s="39"/>
      <c r="B704" s="40"/>
      <c r="U704" s="36"/>
      <c r="V704" s="36"/>
      <c r="W704" s="35"/>
      <c r="X704" s="7"/>
      <c r="Y704" s="7"/>
      <c r="Z704" s="7"/>
      <c r="AA704" s="7"/>
      <c r="AB704" s="7"/>
      <c r="AC704" s="7"/>
      <c r="AD704" s="7"/>
      <c r="AE704" s="7"/>
      <c r="AG704" s="36"/>
      <c r="AH704" s="36"/>
      <c r="AI704" s="35"/>
      <c r="AJ704" s="7"/>
      <c r="AK704" s="7"/>
      <c r="AL704" s="7"/>
      <c r="AM704" s="7"/>
      <c r="AN704" s="7"/>
      <c r="AO704" s="7"/>
      <c r="AP704" s="7"/>
      <c r="AQ704" s="7"/>
      <c r="AS704" s="36"/>
      <c r="AT704" s="36"/>
      <c r="AU704" s="35"/>
      <c r="AV704" s="7"/>
      <c r="AW704" s="7"/>
      <c r="AX704" s="7"/>
      <c r="AY704" s="7"/>
      <c r="AZ704" s="7"/>
      <c r="BA704" s="7"/>
      <c r="BB704" s="7"/>
      <c r="BC704" s="7"/>
      <c r="BF704" s="7"/>
      <c r="BG704" s="36"/>
      <c r="BH704" s="36"/>
      <c r="BI704" s="36"/>
      <c r="BJ704" s="36"/>
      <c r="BK704" s="36"/>
      <c r="BL704" s="36"/>
      <c r="BM704" s="36"/>
      <c r="BN704" s="36"/>
      <c r="BO704" s="36"/>
    </row>
    <row r="705" spans="1:67" x14ac:dyDescent="0.25">
      <c r="A705" s="39"/>
      <c r="B705" s="40"/>
      <c r="U705" s="36"/>
      <c r="V705" s="36"/>
      <c r="W705" s="35"/>
      <c r="X705" s="7"/>
      <c r="Y705" s="7"/>
      <c r="Z705" s="7"/>
      <c r="AA705" s="7"/>
      <c r="AB705" s="7"/>
      <c r="AC705" s="7"/>
      <c r="AD705" s="7"/>
      <c r="AE705" s="7"/>
      <c r="AG705" s="36"/>
      <c r="AH705" s="36"/>
      <c r="AI705" s="35"/>
      <c r="AJ705" s="7"/>
      <c r="AK705" s="7"/>
      <c r="AL705" s="7"/>
      <c r="AM705" s="7"/>
      <c r="AN705" s="7"/>
      <c r="AO705" s="7"/>
      <c r="AP705" s="7"/>
      <c r="AQ705" s="7"/>
      <c r="AS705" s="36"/>
      <c r="AT705" s="36"/>
      <c r="AU705" s="35"/>
      <c r="AV705" s="7"/>
      <c r="AW705" s="7"/>
      <c r="AX705" s="7"/>
      <c r="AY705" s="7"/>
      <c r="AZ705" s="7"/>
      <c r="BA705" s="7"/>
      <c r="BB705" s="7"/>
      <c r="BC705" s="7"/>
      <c r="BF705" s="7"/>
      <c r="BG705" s="36"/>
      <c r="BH705" s="36"/>
      <c r="BI705" s="36"/>
      <c r="BJ705" s="36"/>
      <c r="BK705" s="36"/>
      <c r="BL705" s="36"/>
      <c r="BM705" s="36"/>
      <c r="BN705" s="36"/>
      <c r="BO705" s="36"/>
    </row>
    <row r="706" spans="1:67" x14ac:dyDescent="0.25">
      <c r="A706" s="39"/>
      <c r="B706" s="40"/>
      <c r="U706" s="36"/>
      <c r="V706" s="36"/>
      <c r="W706" s="35"/>
      <c r="X706" s="7"/>
      <c r="Y706" s="7"/>
      <c r="Z706" s="7"/>
      <c r="AA706" s="7"/>
      <c r="AB706" s="7"/>
      <c r="AC706" s="7"/>
      <c r="AD706" s="7"/>
      <c r="AE706" s="7"/>
      <c r="AG706" s="36"/>
      <c r="AH706" s="36"/>
      <c r="AI706" s="35"/>
      <c r="AJ706" s="7"/>
      <c r="AK706" s="7"/>
      <c r="AL706" s="7"/>
      <c r="AM706" s="7"/>
      <c r="AN706" s="7"/>
      <c r="AO706" s="7"/>
      <c r="AP706" s="7"/>
      <c r="AQ706" s="7"/>
      <c r="AS706" s="36"/>
      <c r="AT706" s="36"/>
      <c r="AU706" s="35"/>
      <c r="AV706" s="7"/>
      <c r="AW706" s="7"/>
      <c r="AX706" s="7"/>
      <c r="AY706" s="7"/>
      <c r="AZ706" s="7"/>
      <c r="BA706" s="7"/>
      <c r="BB706" s="7"/>
      <c r="BC706" s="7"/>
      <c r="BF706" s="7"/>
      <c r="BG706" s="36"/>
      <c r="BH706" s="36"/>
      <c r="BI706" s="36"/>
      <c r="BJ706" s="36"/>
      <c r="BK706" s="36"/>
      <c r="BL706" s="36"/>
      <c r="BM706" s="36"/>
      <c r="BN706" s="36"/>
      <c r="BO706" s="36"/>
    </row>
    <row r="707" spans="1:67" x14ac:dyDescent="0.25">
      <c r="A707" s="39"/>
      <c r="B707" s="40"/>
      <c r="U707" s="36"/>
      <c r="V707" s="36"/>
      <c r="W707" s="35"/>
      <c r="X707" s="7"/>
      <c r="Y707" s="7"/>
      <c r="Z707" s="7"/>
      <c r="AA707" s="7"/>
      <c r="AB707" s="7"/>
      <c r="AC707" s="7"/>
      <c r="AD707" s="7"/>
      <c r="AE707" s="7"/>
      <c r="AG707" s="36"/>
      <c r="AH707" s="36"/>
      <c r="AI707" s="35"/>
      <c r="AJ707" s="7"/>
      <c r="AK707" s="7"/>
      <c r="AL707" s="7"/>
      <c r="AM707" s="7"/>
      <c r="AN707" s="7"/>
      <c r="AO707" s="7"/>
      <c r="AP707" s="7"/>
      <c r="AQ707" s="7"/>
      <c r="AS707" s="36"/>
      <c r="AT707" s="36"/>
      <c r="AU707" s="35"/>
      <c r="AV707" s="7"/>
      <c r="AW707" s="7"/>
      <c r="AX707" s="7"/>
      <c r="AY707" s="7"/>
      <c r="AZ707" s="7"/>
      <c r="BA707" s="7"/>
      <c r="BB707" s="7"/>
      <c r="BC707" s="7"/>
      <c r="BF707" s="7"/>
      <c r="BG707" s="36"/>
      <c r="BH707" s="36"/>
      <c r="BI707" s="36"/>
      <c r="BJ707" s="36"/>
      <c r="BK707" s="36"/>
      <c r="BL707" s="36"/>
      <c r="BM707" s="36"/>
      <c r="BN707" s="36"/>
      <c r="BO707" s="36"/>
    </row>
    <row r="708" spans="1:67" x14ac:dyDescent="0.25">
      <c r="A708" s="39"/>
      <c r="B708" s="40"/>
      <c r="U708" s="36"/>
      <c r="V708" s="36"/>
      <c r="W708" s="35"/>
      <c r="X708" s="7"/>
      <c r="Y708" s="7"/>
      <c r="Z708" s="7"/>
      <c r="AA708" s="7"/>
      <c r="AB708" s="7"/>
      <c r="AC708" s="7"/>
      <c r="AD708" s="7"/>
      <c r="AE708" s="7"/>
      <c r="AG708" s="36"/>
      <c r="AH708" s="36"/>
      <c r="AI708" s="35"/>
      <c r="AJ708" s="7"/>
      <c r="AK708" s="7"/>
      <c r="AL708" s="7"/>
      <c r="AM708" s="7"/>
      <c r="AN708" s="7"/>
      <c r="AO708" s="7"/>
      <c r="AP708" s="7"/>
      <c r="AQ708" s="7"/>
      <c r="AS708" s="36"/>
      <c r="AT708" s="36"/>
      <c r="AU708" s="35"/>
      <c r="AV708" s="7"/>
      <c r="AW708" s="7"/>
      <c r="AX708" s="7"/>
      <c r="AY708" s="7"/>
      <c r="AZ708" s="7"/>
      <c r="BA708" s="7"/>
      <c r="BB708" s="7"/>
      <c r="BC708" s="7"/>
      <c r="BF708" s="7"/>
      <c r="BG708" s="36"/>
      <c r="BH708" s="36"/>
      <c r="BI708" s="36"/>
      <c r="BJ708" s="36"/>
      <c r="BK708" s="36"/>
      <c r="BL708" s="36"/>
      <c r="BM708" s="36"/>
      <c r="BN708" s="36"/>
      <c r="BO708" s="36"/>
    </row>
    <row r="709" spans="1:67" x14ac:dyDescent="0.25">
      <c r="A709" s="39"/>
      <c r="B709" s="40"/>
      <c r="U709" s="36"/>
      <c r="V709" s="36"/>
      <c r="W709" s="35"/>
      <c r="X709" s="7"/>
      <c r="Y709" s="7"/>
      <c r="Z709" s="7"/>
      <c r="AA709" s="7"/>
      <c r="AB709" s="7"/>
      <c r="AC709" s="7"/>
      <c r="AD709" s="7"/>
      <c r="AE709" s="7"/>
      <c r="AG709" s="36"/>
      <c r="AH709" s="36"/>
      <c r="AI709" s="35"/>
      <c r="AJ709" s="7"/>
      <c r="AK709" s="7"/>
      <c r="AL709" s="7"/>
      <c r="AM709" s="7"/>
      <c r="AN709" s="7"/>
      <c r="AO709" s="7"/>
      <c r="AP709" s="7"/>
      <c r="AQ709" s="7"/>
      <c r="AS709" s="36"/>
      <c r="AT709" s="36"/>
      <c r="AU709" s="35"/>
      <c r="AV709" s="7"/>
      <c r="AW709" s="7"/>
      <c r="AX709" s="7"/>
      <c r="AY709" s="7"/>
      <c r="AZ709" s="7"/>
      <c r="BA709" s="7"/>
      <c r="BB709" s="7"/>
      <c r="BC709" s="7"/>
      <c r="BF709" s="7"/>
      <c r="BG709" s="36"/>
      <c r="BH709" s="36"/>
      <c r="BI709" s="36"/>
      <c r="BJ709" s="36"/>
      <c r="BK709" s="36"/>
      <c r="BL709" s="36"/>
      <c r="BM709" s="36"/>
      <c r="BN709" s="36"/>
      <c r="BO709" s="36"/>
    </row>
    <row r="710" spans="1:67" x14ac:dyDescent="0.25">
      <c r="A710" s="39"/>
      <c r="B710" s="40"/>
      <c r="U710" s="36"/>
      <c r="V710" s="36"/>
      <c r="W710" s="35"/>
      <c r="X710" s="7"/>
      <c r="Y710" s="7"/>
      <c r="Z710" s="7"/>
      <c r="AA710" s="7"/>
      <c r="AB710" s="7"/>
      <c r="AC710" s="7"/>
      <c r="AD710" s="7"/>
      <c r="AE710" s="7"/>
      <c r="AG710" s="36"/>
      <c r="AH710" s="36"/>
      <c r="AI710" s="35"/>
      <c r="AJ710" s="7"/>
      <c r="AK710" s="7"/>
      <c r="AL710" s="7"/>
      <c r="AM710" s="7"/>
      <c r="AN710" s="7"/>
      <c r="AO710" s="7"/>
      <c r="AP710" s="7"/>
      <c r="AQ710" s="7"/>
      <c r="AS710" s="36"/>
      <c r="AT710" s="36"/>
      <c r="AU710" s="35"/>
      <c r="AV710" s="7"/>
      <c r="AW710" s="7"/>
      <c r="AX710" s="7"/>
      <c r="AY710" s="7"/>
      <c r="AZ710" s="7"/>
      <c r="BA710" s="7"/>
      <c r="BB710" s="7"/>
      <c r="BC710" s="7"/>
      <c r="BF710" s="7"/>
      <c r="BG710" s="36"/>
      <c r="BH710" s="36"/>
      <c r="BI710" s="36"/>
      <c r="BJ710" s="36"/>
      <c r="BK710" s="36"/>
      <c r="BL710" s="36"/>
      <c r="BM710" s="36"/>
      <c r="BN710" s="36"/>
      <c r="BO710" s="36"/>
    </row>
    <row r="711" spans="1:67" x14ac:dyDescent="0.25">
      <c r="A711" s="39"/>
      <c r="B711" s="40"/>
      <c r="U711" s="36"/>
      <c r="V711" s="36"/>
      <c r="W711" s="35"/>
      <c r="X711" s="7"/>
      <c r="Y711" s="7"/>
      <c r="Z711" s="7"/>
      <c r="AA711" s="7"/>
      <c r="AB711" s="7"/>
      <c r="AC711" s="7"/>
      <c r="AD711" s="7"/>
      <c r="AE711" s="7"/>
      <c r="AG711" s="36"/>
      <c r="AH711" s="36"/>
      <c r="AI711" s="35"/>
      <c r="AJ711" s="7"/>
      <c r="AK711" s="7"/>
      <c r="AL711" s="7"/>
      <c r="AM711" s="7"/>
      <c r="AN711" s="7"/>
      <c r="AO711" s="7"/>
      <c r="AP711" s="7"/>
      <c r="AQ711" s="7"/>
      <c r="AS711" s="36"/>
      <c r="AT711" s="36"/>
      <c r="AU711" s="35"/>
      <c r="AV711" s="7"/>
      <c r="AW711" s="7"/>
      <c r="AX711" s="7"/>
      <c r="AY711" s="7"/>
      <c r="AZ711" s="7"/>
      <c r="BA711" s="7"/>
      <c r="BB711" s="7"/>
      <c r="BC711" s="7"/>
      <c r="BF711" s="7"/>
      <c r="BG711" s="36"/>
      <c r="BH711" s="36"/>
      <c r="BI711" s="36"/>
      <c r="BJ711" s="36"/>
      <c r="BK711" s="36"/>
      <c r="BL711" s="36"/>
      <c r="BM711" s="36"/>
      <c r="BN711" s="36"/>
      <c r="BO711" s="36"/>
    </row>
    <row r="712" spans="1:67" x14ac:dyDescent="0.25">
      <c r="A712" s="39"/>
      <c r="B712" s="40"/>
      <c r="U712" s="36"/>
      <c r="V712" s="36"/>
      <c r="W712" s="35"/>
      <c r="X712" s="7"/>
      <c r="Y712" s="7"/>
      <c r="Z712" s="7"/>
      <c r="AA712" s="7"/>
      <c r="AB712" s="7"/>
      <c r="AC712" s="7"/>
      <c r="AD712" s="7"/>
      <c r="AE712" s="7"/>
      <c r="AG712" s="36"/>
      <c r="AH712" s="36"/>
      <c r="AI712" s="35"/>
      <c r="AJ712" s="7"/>
      <c r="AK712" s="7"/>
      <c r="AL712" s="7"/>
      <c r="AM712" s="7"/>
      <c r="AN712" s="7"/>
      <c r="AO712" s="7"/>
      <c r="AP712" s="7"/>
      <c r="AQ712" s="7"/>
      <c r="AS712" s="36"/>
      <c r="AT712" s="36"/>
      <c r="AU712" s="35"/>
      <c r="AV712" s="7"/>
      <c r="AW712" s="7"/>
      <c r="AX712" s="7"/>
      <c r="AY712" s="7"/>
      <c r="AZ712" s="7"/>
      <c r="BA712" s="7"/>
      <c r="BB712" s="7"/>
      <c r="BC712" s="7"/>
      <c r="BF712" s="7"/>
      <c r="BG712" s="36"/>
      <c r="BH712" s="36"/>
      <c r="BI712" s="36"/>
      <c r="BJ712" s="36"/>
      <c r="BK712" s="36"/>
      <c r="BL712" s="36"/>
      <c r="BM712" s="36"/>
      <c r="BN712" s="36"/>
      <c r="BO712" s="36"/>
    </row>
    <row r="713" spans="1:67" x14ac:dyDescent="0.25">
      <c r="A713" s="39"/>
      <c r="B713" s="40"/>
      <c r="U713" s="36"/>
      <c r="V713" s="36"/>
      <c r="W713" s="35"/>
      <c r="X713" s="7"/>
      <c r="Y713" s="7"/>
      <c r="Z713" s="7"/>
      <c r="AA713" s="7"/>
      <c r="AB713" s="7"/>
      <c r="AC713" s="7"/>
      <c r="AD713" s="7"/>
      <c r="AE713" s="7"/>
      <c r="AG713" s="36"/>
      <c r="AH713" s="36"/>
      <c r="AI713" s="35"/>
      <c r="AJ713" s="7"/>
      <c r="AK713" s="7"/>
      <c r="AL713" s="7"/>
      <c r="AM713" s="7"/>
      <c r="AN713" s="7"/>
      <c r="AO713" s="7"/>
      <c r="AP713" s="7"/>
      <c r="AQ713" s="7"/>
      <c r="AS713" s="36"/>
      <c r="AT713" s="36"/>
      <c r="AU713" s="35"/>
      <c r="AV713" s="7"/>
      <c r="AW713" s="7"/>
      <c r="AX713" s="7"/>
      <c r="AY713" s="7"/>
      <c r="AZ713" s="7"/>
      <c r="BA713" s="7"/>
      <c r="BB713" s="7"/>
      <c r="BC713" s="7"/>
      <c r="BF713" s="7"/>
      <c r="BG713" s="36"/>
      <c r="BH713" s="36"/>
      <c r="BI713" s="36"/>
      <c r="BJ713" s="36"/>
      <c r="BK713" s="36"/>
      <c r="BL713" s="36"/>
      <c r="BM713" s="36"/>
      <c r="BN713" s="36"/>
      <c r="BO713" s="36"/>
    </row>
    <row r="714" spans="1:67" x14ac:dyDescent="0.25">
      <c r="A714" s="39"/>
      <c r="B714" s="40"/>
      <c r="U714" s="36"/>
      <c r="V714" s="36"/>
      <c r="W714" s="35"/>
      <c r="X714" s="7"/>
      <c r="Y714" s="7"/>
      <c r="Z714" s="7"/>
      <c r="AA714" s="7"/>
      <c r="AB714" s="7"/>
      <c r="AC714" s="7"/>
      <c r="AD714" s="7"/>
      <c r="AE714" s="7"/>
      <c r="AG714" s="36"/>
      <c r="AH714" s="36"/>
      <c r="AI714" s="35"/>
      <c r="AJ714" s="7"/>
      <c r="AK714" s="7"/>
      <c r="AL714" s="7"/>
      <c r="AM714" s="7"/>
      <c r="AN714" s="7"/>
      <c r="AO714" s="7"/>
      <c r="AP714" s="7"/>
      <c r="AQ714" s="7"/>
      <c r="AS714" s="36"/>
      <c r="AT714" s="36"/>
      <c r="AU714" s="35"/>
      <c r="AV714" s="7"/>
      <c r="AW714" s="7"/>
      <c r="AX714" s="7"/>
      <c r="AY714" s="7"/>
      <c r="AZ714" s="7"/>
      <c r="BA714" s="7"/>
      <c r="BB714" s="7"/>
      <c r="BC714" s="7"/>
      <c r="BF714" s="7"/>
      <c r="BG714" s="36"/>
      <c r="BH714" s="36"/>
      <c r="BI714" s="36"/>
      <c r="BJ714" s="36"/>
      <c r="BK714" s="36"/>
      <c r="BL714" s="36"/>
      <c r="BM714" s="36"/>
      <c r="BN714" s="36"/>
      <c r="BO714" s="36"/>
    </row>
    <row r="715" spans="1:67" x14ac:dyDescent="0.25">
      <c r="A715" s="39"/>
      <c r="B715" s="40"/>
      <c r="U715" s="36"/>
      <c r="V715" s="36"/>
      <c r="W715" s="35"/>
      <c r="X715" s="7"/>
      <c r="Y715" s="7"/>
      <c r="Z715" s="7"/>
      <c r="AA715" s="7"/>
      <c r="AB715" s="7"/>
      <c r="AC715" s="7"/>
      <c r="AD715" s="7"/>
      <c r="AE715" s="7"/>
      <c r="AG715" s="36"/>
      <c r="AH715" s="36"/>
      <c r="AI715" s="35"/>
      <c r="AJ715" s="7"/>
      <c r="AK715" s="7"/>
      <c r="AL715" s="7"/>
      <c r="AM715" s="7"/>
      <c r="AN715" s="7"/>
      <c r="AO715" s="7"/>
      <c r="AP715" s="7"/>
      <c r="AQ715" s="7"/>
      <c r="AS715" s="36"/>
      <c r="AT715" s="36"/>
      <c r="AU715" s="35"/>
      <c r="AV715" s="7"/>
      <c r="AW715" s="7"/>
      <c r="AX715" s="7"/>
      <c r="AY715" s="7"/>
      <c r="AZ715" s="7"/>
      <c r="BA715" s="7"/>
      <c r="BB715" s="7"/>
      <c r="BC715" s="7"/>
      <c r="BF715" s="7"/>
      <c r="BG715" s="36"/>
      <c r="BH715" s="36"/>
      <c r="BI715" s="36"/>
      <c r="BJ715" s="36"/>
      <c r="BK715" s="36"/>
      <c r="BL715" s="36"/>
      <c r="BM715" s="36"/>
      <c r="BN715" s="36"/>
      <c r="BO715" s="36"/>
    </row>
    <row r="716" spans="1:67" x14ac:dyDescent="0.25">
      <c r="A716" s="39"/>
      <c r="B716" s="40"/>
      <c r="U716" s="36"/>
      <c r="V716" s="36"/>
      <c r="W716" s="35"/>
      <c r="X716" s="7"/>
      <c r="Y716" s="7"/>
      <c r="Z716" s="7"/>
      <c r="AA716" s="7"/>
      <c r="AB716" s="7"/>
      <c r="AC716" s="7"/>
      <c r="AD716" s="7"/>
      <c r="AE716" s="7"/>
      <c r="AG716" s="36"/>
      <c r="AH716" s="36"/>
      <c r="AI716" s="35"/>
      <c r="AJ716" s="7"/>
      <c r="AK716" s="7"/>
      <c r="AL716" s="7"/>
      <c r="AM716" s="7"/>
      <c r="AN716" s="7"/>
      <c r="AO716" s="7"/>
      <c r="AP716" s="7"/>
      <c r="AQ716" s="7"/>
      <c r="AS716" s="36"/>
      <c r="AT716" s="36"/>
      <c r="AU716" s="35"/>
      <c r="AV716" s="7"/>
      <c r="AW716" s="7"/>
      <c r="AX716" s="7"/>
      <c r="AY716" s="7"/>
      <c r="AZ716" s="7"/>
      <c r="BA716" s="7"/>
      <c r="BB716" s="7"/>
      <c r="BC716" s="7"/>
      <c r="BF716" s="7"/>
      <c r="BG716" s="36"/>
      <c r="BH716" s="36"/>
      <c r="BI716" s="36"/>
      <c r="BJ716" s="36"/>
      <c r="BK716" s="36"/>
      <c r="BL716" s="36"/>
      <c r="BM716" s="36"/>
      <c r="BN716" s="36"/>
      <c r="BO716" s="36"/>
    </row>
    <row r="717" spans="1:67" x14ac:dyDescent="0.25">
      <c r="A717" s="39"/>
      <c r="B717" s="40"/>
      <c r="U717" s="36"/>
      <c r="V717" s="36"/>
      <c r="W717" s="35"/>
      <c r="X717" s="7"/>
      <c r="Y717" s="7"/>
      <c r="Z717" s="7"/>
      <c r="AA717" s="7"/>
      <c r="AB717" s="7"/>
      <c r="AC717" s="7"/>
      <c r="AD717" s="7"/>
      <c r="AE717" s="7"/>
      <c r="AG717" s="36"/>
      <c r="AH717" s="36"/>
      <c r="AI717" s="35"/>
      <c r="AJ717" s="7"/>
      <c r="AK717" s="7"/>
      <c r="AL717" s="7"/>
      <c r="AM717" s="7"/>
      <c r="AN717" s="7"/>
      <c r="AO717" s="7"/>
      <c r="AP717" s="7"/>
      <c r="AQ717" s="7"/>
      <c r="AS717" s="36"/>
      <c r="AT717" s="36"/>
      <c r="AU717" s="35"/>
      <c r="AV717" s="7"/>
      <c r="AW717" s="7"/>
      <c r="AX717" s="7"/>
      <c r="AY717" s="7"/>
      <c r="AZ717" s="7"/>
      <c r="BA717" s="7"/>
      <c r="BB717" s="7"/>
      <c r="BC717" s="7"/>
      <c r="BF717" s="7"/>
      <c r="BG717" s="36"/>
      <c r="BH717" s="36"/>
      <c r="BI717" s="36"/>
      <c r="BJ717" s="36"/>
      <c r="BK717" s="36"/>
      <c r="BL717" s="36"/>
      <c r="BM717" s="36"/>
      <c r="BN717" s="36"/>
      <c r="BO717" s="36"/>
    </row>
    <row r="718" spans="1:67" x14ac:dyDescent="0.25">
      <c r="A718" s="39"/>
      <c r="B718" s="40"/>
      <c r="U718" s="36"/>
      <c r="V718" s="36"/>
      <c r="W718" s="35"/>
      <c r="X718" s="7"/>
      <c r="Y718" s="7"/>
      <c r="Z718" s="7"/>
      <c r="AA718" s="7"/>
      <c r="AB718" s="7"/>
      <c r="AC718" s="7"/>
      <c r="AD718" s="7"/>
      <c r="AE718" s="7"/>
      <c r="AG718" s="36"/>
      <c r="AH718" s="36"/>
      <c r="AI718" s="35"/>
      <c r="AJ718" s="7"/>
      <c r="AK718" s="7"/>
      <c r="AL718" s="7"/>
      <c r="AM718" s="7"/>
      <c r="AN718" s="7"/>
      <c r="AO718" s="7"/>
      <c r="AP718" s="7"/>
      <c r="AQ718" s="7"/>
      <c r="AS718" s="36"/>
      <c r="AT718" s="36"/>
      <c r="AU718" s="35"/>
      <c r="AV718" s="7"/>
      <c r="AW718" s="7"/>
      <c r="AX718" s="7"/>
      <c r="AY718" s="7"/>
      <c r="AZ718" s="7"/>
      <c r="BA718" s="7"/>
      <c r="BB718" s="7"/>
      <c r="BC718" s="7"/>
      <c r="BF718" s="7"/>
      <c r="BG718" s="36"/>
      <c r="BH718" s="36"/>
      <c r="BI718" s="36"/>
      <c r="BJ718" s="36"/>
      <c r="BK718" s="36"/>
      <c r="BL718" s="36"/>
      <c r="BM718" s="36"/>
      <c r="BN718" s="36"/>
      <c r="BO718" s="36"/>
    </row>
    <row r="719" spans="1:67" x14ac:dyDescent="0.25">
      <c r="A719" s="39"/>
      <c r="B719" s="40"/>
      <c r="U719" s="36"/>
      <c r="V719" s="36"/>
      <c r="W719" s="35"/>
      <c r="X719" s="7"/>
      <c r="Y719" s="7"/>
      <c r="Z719" s="7"/>
      <c r="AA719" s="7"/>
      <c r="AB719" s="7"/>
      <c r="AC719" s="7"/>
      <c r="AD719" s="7"/>
      <c r="AE719" s="7"/>
      <c r="AG719" s="36"/>
      <c r="AH719" s="36"/>
      <c r="AI719" s="35"/>
      <c r="AJ719" s="7"/>
      <c r="AK719" s="7"/>
      <c r="AL719" s="7"/>
      <c r="AM719" s="7"/>
      <c r="AN719" s="7"/>
      <c r="AO719" s="7"/>
      <c r="AP719" s="7"/>
      <c r="AQ719" s="7"/>
      <c r="AS719" s="36"/>
      <c r="AT719" s="36"/>
      <c r="AU719" s="35"/>
      <c r="AV719" s="7"/>
      <c r="AW719" s="7"/>
      <c r="AX719" s="7"/>
      <c r="AY719" s="7"/>
      <c r="AZ719" s="7"/>
      <c r="BA719" s="7"/>
      <c r="BB719" s="7"/>
      <c r="BC719" s="7"/>
      <c r="BF719" s="7"/>
      <c r="BG719" s="36"/>
      <c r="BH719" s="36"/>
      <c r="BI719" s="36"/>
      <c r="BJ719" s="36"/>
      <c r="BK719" s="36"/>
      <c r="BL719" s="36"/>
      <c r="BM719" s="36"/>
      <c r="BN719" s="36"/>
      <c r="BO719" s="36"/>
    </row>
    <row r="720" spans="1:67" x14ac:dyDescent="0.25">
      <c r="A720" s="39"/>
      <c r="B720" s="40"/>
      <c r="U720" s="36"/>
      <c r="V720" s="36"/>
      <c r="W720" s="35"/>
      <c r="X720" s="7"/>
      <c r="Y720" s="7"/>
      <c r="Z720" s="7"/>
      <c r="AA720" s="7"/>
      <c r="AB720" s="7"/>
      <c r="AC720" s="7"/>
      <c r="AD720" s="7"/>
      <c r="AE720" s="7"/>
      <c r="AG720" s="36"/>
      <c r="AH720" s="36"/>
      <c r="AI720" s="35"/>
      <c r="AJ720" s="7"/>
      <c r="AK720" s="7"/>
      <c r="AL720" s="7"/>
      <c r="AM720" s="7"/>
      <c r="AN720" s="7"/>
      <c r="AO720" s="7"/>
      <c r="AP720" s="7"/>
      <c r="AQ720" s="7"/>
      <c r="AS720" s="36"/>
      <c r="AT720" s="36"/>
      <c r="AU720" s="35"/>
      <c r="AV720" s="7"/>
      <c r="AW720" s="7"/>
      <c r="AX720" s="7"/>
      <c r="AY720" s="7"/>
      <c r="AZ720" s="7"/>
      <c r="BA720" s="7"/>
      <c r="BB720" s="7"/>
      <c r="BC720" s="7"/>
      <c r="BF720" s="7"/>
      <c r="BG720" s="36"/>
      <c r="BH720" s="36"/>
      <c r="BI720" s="36"/>
      <c r="BJ720" s="36"/>
      <c r="BK720" s="36"/>
      <c r="BL720" s="36"/>
      <c r="BM720" s="36"/>
      <c r="BN720" s="36"/>
      <c r="BO720" s="36"/>
    </row>
    <row r="721" spans="1:67" x14ac:dyDescent="0.25">
      <c r="A721" s="39"/>
      <c r="B721" s="40"/>
      <c r="U721" s="36"/>
      <c r="V721" s="36"/>
      <c r="W721" s="35"/>
      <c r="X721" s="7"/>
      <c r="Y721" s="7"/>
      <c r="Z721" s="7"/>
      <c r="AA721" s="7"/>
      <c r="AB721" s="7"/>
      <c r="AC721" s="7"/>
      <c r="AD721" s="7"/>
      <c r="AE721" s="7"/>
      <c r="AG721" s="36"/>
      <c r="AH721" s="36"/>
      <c r="AI721" s="35"/>
      <c r="AJ721" s="7"/>
      <c r="AK721" s="7"/>
      <c r="AL721" s="7"/>
      <c r="AM721" s="7"/>
      <c r="AN721" s="7"/>
      <c r="AO721" s="7"/>
      <c r="AP721" s="7"/>
      <c r="AQ721" s="7"/>
      <c r="AS721" s="36"/>
      <c r="AT721" s="36"/>
      <c r="AU721" s="35"/>
      <c r="AV721" s="7"/>
      <c r="AW721" s="7"/>
      <c r="AX721" s="7"/>
      <c r="AY721" s="7"/>
      <c r="AZ721" s="7"/>
      <c r="BA721" s="7"/>
      <c r="BB721" s="7"/>
      <c r="BC721" s="7"/>
      <c r="BF721" s="7"/>
      <c r="BG721" s="36"/>
      <c r="BH721" s="36"/>
      <c r="BI721" s="36"/>
      <c r="BJ721" s="36"/>
      <c r="BK721" s="36"/>
      <c r="BL721" s="36"/>
      <c r="BM721" s="36"/>
      <c r="BN721" s="36"/>
      <c r="BO721" s="36"/>
    </row>
    <row r="722" spans="1:67" x14ac:dyDescent="0.25">
      <c r="A722" s="39"/>
      <c r="B722" s="40"/>
      <c r="U722" s="36"/>
      <c r="V722" s="36"/>
      <c r="W722" s="35"/>
      <c r="X722" s="7"/>
      <c r="Y722" s="7"/>
      <c r="Z722" s="7"/>
      <c r="AA722" s="7"/>
      <c r="AB722" s="7"/>
      <c r="AC722" s="7"/>
      <c r="AD722" s="7"/>
      <c r="AE722" s="7"/>
      <c r="AG722" s="36"/>
      <c r="AH722" s="36"/>
      <c r="AI722" s="35"/>
      <c r="AJ722" s="7"/>
      <c r="AK722" s="7"/>
      <c r="AL722" s="7"/>
      <c r="AM722" s="7"/>
      <c r="AN722" s="7"/>
      <c r="AO722" s="7"/>
      <c r="AP722" s="7"/>
      <c r="AQ722" s="7"/>
      <c r="AS722" s="36"/>
      <c r="AT722" s="36"/>
      <c r="AU722" s="35"/>
      <c r="AV722" s="7"/>
      <c r="AW722" s="7"/>
      <c r="AX722" s="7"/>
      <c r="AY722" s="7"/>
      <c r="AZ722" s="7"/>
      <c r="BA722" s="7"/>
      <c r="BB722" s="7"/>
      <c r="BC722" s="7"/>
      <c r="BF722" s="7"/>
      <c r="BG722" s="36"/>
      <c r="BH722" s="36"/>
      <c r="BI722" s="36"/>
      <c r="BJ722" s="36"/>
      <c r="BK722" s="36"/>
      <c r="BL722" s="36"/>
      <c r="BM722" s="36"/>
      <c r="BN722" s="36"/>
      <c r="BO722" s="36"/>
    </row>
    <row r="723" spans="1:67" x14ac:dyDescent="0.25">
      <c r="A723" s="39"/>
      <c r="B723" s="40"/>
      <c r="U723" s="36"/>
      <c r="V723" s="36"/>
      <c r="W723" s="35"/>
      <c r="X723" s="7"/>
      <c r="Y723" s="7"/>
      <c r="Z723" s="7"/>
      <c r="AA723" s="7"/>
      <c r="AB723" s="7"/>
      <c r="AC723" s="7"/>
      <c r="AD723" s="7"/>
      <c r="AE723" s="7"/>
      <c r="AG723" s="36"/>
      <c r="AH723" s="36"/>
      <c r="AI723" s="35"/>
      <c r="AJ723" s="7"/>
      <c r="AK723" s="7"/>
      <c r="AL723" s="7"/>
      <c r="AM723" s="7"/>
      <c r="AN723" s="7"/>
      <c r="AO723" s="7"/>
      <c r="AP723" s="7"/>
      <c r="AQ723" s="7"/>
      <c r="AS723" s="36"/>
      <c r="AT723" s="36"/>
      <c r="AU723" s="35"/>
      <c r="AV723" s="7"/>
      <c r="AW723" s="7"/>
      <c r="AX723" s="7"/>
      <c r="AY723" s="7"/>
      <c r="AZ723" s="7"/>
      <c r="BA723" s="7"/>
      <c r="BB723" s="7"/>
      <c r="BC723" s="7"/>
      <c r="BF723" s="7"/>
      <c r="BG723" s="36"/>
      <c r="BH723" s="36"/>
      <c r="BI723" s="36"/>
      <c r="BJ723" s="36"/>
      <c r="BK723" s="36"/>
      <c r="BL723" s="36"/>
      <c r="BM723" s="36"/>
      <c r="BN723" s="36"/>
      <c r="BO723" s="36"/>
    </row>
    <row r="724" spans="1:67" x14ac:dyDescent="0.25">
      <c r="A724" s="39"/>
      <c r="B724" s="40"/>
      <c r="U724" s="36"/>
      <c r="V724" s="36"/>
      <c r="W724" s="35"/>
      <c r="X724" s="7"/>
      <c r="Y724" s="7"/>
      <c r="Z724" s="7"/>
      <c r="AA724" s="7"/>
      <c r="AB724" s="7"/>
      <c r="AC724" s="7"/>
      <c r="AD724" s="7"/>
      <c r="AE724" s="7"/>
      <c r="AG724" s="36"/>
      <c r="AH724" s="36"/>
      <c r="AI724" s="35"/>
      <c r="AJ724" s="7"/>
      <c r="AK724" s="7"/>
      <c r="AL724" s="7"/>
      <c r="AM724" s="7"/>
      <c r="AN724" s="7"/>
      <c r="AO724" s="7"/>
      <c r="AP724" s="7"/>
      <c r="AQ724" s="7"/>
      <c r="AS724" s="36"/>
      <c r="AT724" s="36"/>
      <c r="AU724" s="35"/>
      <c r="AV724" s="7"/>
      <c r="AW724" s="7"/>
      <c r="AX724" s="7"/>
      <c r="AY724" s="7"/>
      <c r="AZ724" s="7"/>
      <c r="BA724" s="7"/>
      <c r="BB724" s="7"/>
      <c r="BC724" s="7"/>
      <c r="BF724" s="7"/>
      <c r="BG724" s="36"/>
      <c r="BH724" s="36"/>
      <c r="BI724" s="36"/>
      <c r="BJ724" s="36"/>
      <c r="BK724" s="36"/>
      <c r="BL724" s="36"/>
      <c r="BM724" s="36"/>
      <c r="BN724" s="36"/>
      <c r="BO724" s="36"/>
    </row>
    <row r="725" spans="1:67" x14ac:dyDescent="0.25">
      <c r="A725" s="39"/>
      <c r="B725" s="40"/>
      <c r="U725" s="36"/>
      <c r="V725" s="36"/>
      <c r="W725" s="35"/>
      <c r="X725" s="7"/>
      <c r="Y725" s="7"/>
      <c r="Z725" s="7"/>
      <c r="AA725" s="7"/>
      <c r="AB725" s="7"/>
      <c r="AC725" s="7"/>
      <c r="AD725" s="7"/>
      <c r="AE725" s="7"/>
      <c r="AG725" s="36"/>
      <c r="AH725" s="36"/>
      <c r="AI725" s="35"/>
      <c r="AJ725" s="7"/>
      <c r="AK725" s="7"/>
      <c r="AL725" s="7"/>
      <c r="AM725" s="7"/>
      <c r="AN725" s="7"/>
      <c r="AO725" s="7"/>
      <c r="AP725" s="7"/>
      <c r="AQ725" s="7"/>
      <c r="AS725" s="36"/>
      <c r="AT725" s="36"/>
      <c r="AU725" s="35"/>
      <c r="AV725" s="7"/>
      <c r="AW725" s="7"/>
      <c r="AX725" s="7"/>
      <c r="AY725" s="7"/>
      <c r="AZ725" s="7"/>
      <c r="BA725" s="7"/>
      <c r="BB725" s="7"/>
      <c r="BC725" s="7"/>
      <c r="BF725" s="7"/>
      <c r="BG725" s="36"/>
      <c r="BH725" s="36"/>
      <c r="BI725" s="36"/>
      <c r="BJ725" s="36"/>
      <c r="BK725" s="36"/>
      <c r="BL725" s="36"/>
      <c r="BM725" s="36"/>
      <c r="BN725" s="36"/>
      <c r="BO725" s="36"/>
    </row>
    <row r="726" spans="1:67" x14ac:dyDescent="0.25">
      <c r="A726" s="39"/>
      <c r="B726" s="40"/>
      <c r="U726" s="36"/>
      <c r="V726" s="36"/>
      <c r="W726" s="35"/>
      <c r="X726" s="7"/>
      <c r="Y726" s="7"/>
      <c r="Z726" s="7"/>
      <c r="AA726" s="7"/>
      <c r="AB726" s="7"/>
      <c r="AC726" s="7"/>
      <c r="AD726" s="7"/>
      <c r="AE726" s="7"/>
      <c r="AG726" s="36"/>
      <c r="AH726" s="36"/>
      <c r="AI726" s="35"/>
      <c r="AJ726" s="7"/>
      <c r="AK726" s="7"/>
      <c r="AL726" s="7"/>
      <c r="AM726" s="7"/>
      <c r="AN726" s="7"/>
      <c r="AO726" s="7"/>
      <c r="AP726" s="7"/>
      <c r="AQ726" s="7"/>
      <c r="AS726" s="36"/>
      <c r="AT726" s="36"/>
      <c r="AU726" s="35"/>
      <c r="AV726" s="7"/>
      <c r="AW726" s="7"/>
      <c r="AX726" s="7"/>
      <c r="AY726" s="7"/>
      <c r="AZ726" s="7"/>
      <c r="BA726" s="7"/>
      <c r="BB726" s="7"/>
      <c r="BC726" s="7"/>
      <c r="BF726" s="7"/>
      <c r="BG726" s="36"/>
      <c r="BH726" s="36"/>
      <c r="BI726" s="36"/>
      <c r="BJ726" s="36"/>
      <c r="BK726" s="36"/>
      <c r="BL726" s="36"/>
      <c r="BM726" s="36"/>
      <c r="BN726" s="36"/>
      <c r="BO726" s="36"/>
    </row>
    <row r="727" spans="1:67" x14ac:dyDescent="0.25">
      <c r="A727" s="39"/>
      <c r="B727" s="40"/>
      <c r="U727" s="36"/>
      <c r="V727" s="36"/>
      <c r="W727" s="35"/>
      <c r="X727" s="7"/>
      <c r="Y727" s="7"/>
      <c r="Z727" s="7"/>
      <c r="AA727" s="7"/>
      <c r="AB727" s="7"/>
      <c r="AC727" s="7"/>
      <c r="AD727" s="7"/>
      <c r="AE727" s="7"/>
      <c r="AG727" s="36"/>
      <c r="AH727" s="36"/>
      <c r="AI727" s="35"/>
      <c r="AJ727" s="7"/>
      <c r="AK727" s="7"/>
      <c r="AL727" s="7"/>
      <c r="AM727" s="7"/>
      <c r="AN727" s="7"/>
      <c r="AO727" s="7"/>
      <c r="AP727" s="7"/>
      <c r="AQ727" s="7"/>
      <c r="AS727" s="36"/>
      <c r="AT727" s="36"/>
      <c r="AU727" s="35"/>
      <c r="AV727" s="7"/>
      <c r="AW727" s="7"/>
      <c r="AX727" s="7"/>
      <c r="AY727" s="7"/>
      <c r="AZ727" s="7"/>
      <c r="BA727" s="7"/>
      <c r="BB727" s="7"/>
      <c r="BC727" s="7"/>
      <c r="BF727" s="7"/>
      <c r="BG727" s="36"/>
      <c r="BH727" s="36"/>
      <c r="BI727" s="36"/>
      <c r="BJ727" s="36"/>
      <c r="BK727" s="36"/>
      <c r="BL727" s="36"/>
      <c r="BM727" s="36"/>
      <c r="BN727" s="36"/>
      <c r="BO727" s="36"/>
    </row>
    <row r="728" spans="1:67" x14ac:dyDescent="0.25">
      <c r="A728" s="39"/>
      <c r="B728" s="40"/>
      <c r="U728" s="36"/>
      <c r="V728" s="36"/>
      <c r="W728" s="35"/>
      <c r="X728" s="7"/>
      <c r="Y728" s="7"/>
      <c r="Z728" s="7"/>
      <c r="AA728" s="7"/>
      <c r="AB728" s="7"/>
      <c r="AC728" s="7"/>
      <c r="AD728" s="7"/>
      <c r="AE728" s="7"/>
      <c r="AG728" s="36"/>
      <c r="AH728" s="36"/>
      <c r="AI728" s="35"/>
      <c r="AJ728" s="7"/>
      <c r="AK728" s="7"/>
      <c r="AL728" s="7"/>
      <c r="AM728" s="7"/>
      <c r="AN728" s="7"/>
      <c r="AO728" s="7"/>
      <c r="AP728" s="7"/>
      <c r="AQ728" s="7"/>
      <c r="AS728" s="36"/>
      <c r="AT728" s="36"/>
      <c r="AU728" s="35"/>
      <c r="AV728" s="7"/>
      <c r="AW728" s="7"/>
      <c r="AX728" s="7"/>
      <c r="AY728" s="7"/>
      <c r="AZ728" s="7"/>
      <c r="BA728" s="7"/>
      <c r="BB728" s="7"/>
      <c r="BC728" s="7"/>
      <c r="BF728" s="7"/>
      <c r="BG728" s="36"/>
      <c r="BH728" s="36"/>
      <c r="BI728" s="36"/>
      <c r="BJ728" s="36"/>
      <c r="BK728" s="36"/>
      <c r="BL728" s="36"/>
      <c r="BM728" s="36"/>
      <c r="BN728" s="36"/>
      <c r="BO728" s="36"/>
    </row>
    <row r="729" spans="1:67" x14ac:dyDescent="0.25">
      <c r="A729" s="39"/>
      <c r="B729" s="40"/>
      <c r="U729" s="36"/>
      <c r="V729" s="36"/>
      <c r="W729" s="35"/>
      <c r="X729" s="7"/>
      <c r="Y729" s="7"/>
      <c r="Z729" s="7"/>
      <c r="AA729" s="7"/>
      <c r="AB729" s="7"/>
      <c r="AC729" s="7"/>
      <c r="AD729" s="7"/>
      <c r="AE729" s="7"/>
      <c r="AG729" s="36"/>
      <c r="AH729" s="36"/>
      <c r="AI729" s="35"/>
      <c r="AJ729" s="7"/>
      <c r="AK729" s="7"/>
      <c r="AL729" s="7"/>
      <c r="AM729" s="7"/>
      <c r="AN729" s="7"/>
      <c r="AO729" s="7"/>
      <c r="AP729" s="7"/>
      <c r="AQ729" s="7"/>
      <c r="AS729" s="36"/>
      <c r="AT729" s="36"/>
      <c r="AU729" s="35"/>
      <c r="AV729" s="7"/>
      <c r="AW729" s="7"/>
      <c r="AX729" s="7"/>
      <c r="AY729" s="7"/>
      <c r="AZ729" s="7"/>
      <c r="BA729" s="7"/>
      <c r="BB729" s="7"/>
      <c r="BC729" s="7"/>
      <c r="BF729" s="7"/>
      <c r="BG729" s="36"/>
      <c r="BH729" s="36"/>
      <c r="BI729" s="36"/>
      <c r="BJ729" s="36"/>
      <c r="BK729" s="36"/>
      <c r="BL729" s="36"/>
      <c r="BM729" s="36"/>
      <c r="BN729" s="36"/>
      <c r="BO729" s="36"/>
    </row>
    <row r="730" spans="1:67" x14ac:dyDescent="0.25">
      <c r="A730" s="39"/>
      <c r="B730" s="40"/>
      <c r="U730" s="36"/>
      <c r="V730" s="36"/>
      <c r="W730" s="35"/>
      <c r="X730" s="7"/>
      <c r="Y730" s="7"/>
      <c r="Z730" s="7"/>
      <c r="AA730" s="7"/>
      <c r="AB730" s="7"/>
      <c r="AC730" s="7"/>
      <c r="AD730" s="7"/>
      <c r="AE730" s="7"/>
      <c r="AG730" s="36"/>
      <c r="AH730" s="36"/>
      <c r="AI730" s="35"/>
      <c r="AJ730" s="7"/>
      <c r="AK730" s="7"/>
      <c r="AL730" s="7"/>
      <c r="AM730" s="7"/>
      <c r="AN730" s="7"/>
      <c r="AO730" s="7"/>
      <c r="AP730" s="7"/>
      <c r="AQ730" s="7"/>
      <c r="AS730" s="36"/>
      <c r="AT730" s="36"/>
      <c r="AU730" s="35"/>
      <c r="AV730" s="7"/>
      <c r="AW730" s="7"/>
      <c r="AX730" s="7"/>
      <c r="AY730" s="7"/>
      <c r="AZ730" s="7"/>
      <c r="BA730" s="7"/>
      <c r="BB730" s="7"/>
      <c r="BC730" s="7"/>
      <c r="BF730" s="7"/>
      <c r="BG730" s="36"/>
      <c r="BH730" s="36"/>
      <c r="BI730" s="36"/>
      <c r="BJ730" s="36"/>
      <c r="BK730" s="36"/>
      <c r="BL730" s="36"/>
      <c r="BM730" s="36"/>
      <c r="BN730" s="36"/>
      <c r="BO730" s="36"/>
    </row>
    <row r="731" spans="1:67" x14ac:dyDescent="0.25">
      <c r="A731" s="39"/>
      <c r="B731" s="40"/>
      <c r="U731" s="36"/>
      <c r="V731" s="36"/>
      <c r="W731" s="35"/>
      <c r="X731" s="7"/>
      <c r="Y731" s="7"/>
      <c r="Z731" s="7"/>
      <c r="AA731" s="7"/>
      <c r="AB731" s="7"/>
      <c r="AC731" s="7"/>
      <c r="AD731" s="7"/>
      <c r="AE731" s="7"/>
      <c r="AG731" s="36"/>
      <c r="AH731" s="36"/>
      <c r="AI731" s="35"/>
      <c r="AJ731" s="7"/>
      <c r="AK731" s="7"/>
      <c r="AL731" s="7"/>
      <c r="AM731" s="7"/>
      <c r="AN731" s="7"/>
      <c r="AO731" s="7"/>
      <c r="AP731" s="7"/>
      <c r="AQ731" s="7"/>
      <c r="AS731" s="36"/>
      <c r="AT731" s="36"/>
      <c r="AU731" s="35"/>
      <c r="AV731" s="7"/>
      <c r="AW731" s="7"/>
      <c r="AX731" s="7"/>
      <c r="AY731" s="7"/>
      <c r="AZ731" s="7"/>
      <c r="BA731" s="7"/>
      <c r="BB731" s="7"/>
      <c r="BC731" s="7"/>
      <c r="BF731" s="7"/>
      <c r="BG731" s="36"/>
      <c r="BH731" s="36"/>
      <c r="BI731" s="36"/>
      <c r="BJ731" s="36"/>
      <c r="BK731" s="36"/>
      <c r="BL731" s="36"/>
      <c r="BM731" s="36"/>
      <c r="BN731" s="36"/>
      <c r="BO731" s="36"/>
    </row>
    <row r="732" spans="1:67" x14ac:dyDescent="0.25">
      <c r="A732" s="39"/>
      <c r="B732" s="40"/>
      <c r="U732" s="36"/>
      <c r="V732" s="36"/>
      <c r="W732" s="35"/>
      <c r="X732" s="7"/>
      <c r="Y732" s="7"/>
      <c r="Z732" s="7"/>
      <c r="AA732" s="7"/>
      <c r="AB732" s="7"/>
      <c r="AC732" s="7"/>
      <c r="AD732" s="7"/>
      <c r="AE732" s="7"/>
      <c r="AG732" s="36"/>
      <c r="AH732" s="36"/>
      <c r="AI732" s="35"/>
      <c r="AJ732" s="7"/>
      <c r="AK732" s="7"/>
      <c r="AL732" s="7"/>
      <c r="AM732" s="7"/>
      <c r="AN732" s="7"/>
      <c r="AO732" s="7"/>
      <c r="AP732" s="7"/>
      <c r="AQ732" s="7"/>
      <c r="AS732" s="36"/>
      <c r="AT732" s="36"/>
      <c r="AU732" s="35"/>
      <c r="AV732" s="7"/>
      <c r="AW732" s="7"/>
      <c r="AX732" s="7"/>
      <c r="AY732" s="7"/>
      <c r="AZ732" s="7"/>
      <c r="BA732" s="7"/>
      <c r="BB732" s="7"/>
      <c r="BC732" s="7"/>
      <c r="BF732" s="7"/>
      <c r="BG732" s="36"/>
      <c r="BH732" s="36"/>
      <c r="BI732" s="36"/>
      <c r="BJ732" s="36"/>
      <c r="BK732" s="36"/>
      <c r="BL732" s="36"/>
      <c r="BM732" s="36"/>
      <c r="BN732" s="36"/>
      <c r="BO732" s="36"/>
    </row>
    <row r="733" spans="1:67" x14ac:dyDescent="0.25">
      <c r="A733" s="39"/>
      <c r="B733" s="40"/>
      <c r="U733" s="36"/>
      <c r="V733" s="36"/>
      <c r="W733" s="35"/>
      <c r="X733" s="7"/>
      <c r="Y733" s="7"/>
      <c r="Z733" s="7"/>
      <c r="AA733" s="7"/>
      <c r="AB733" s="7"/>
      <c r="AC733" s="7"/>
      <c r="AD733" s="7"/>
      <c r="AE733" s="7"/>
      <c r="AG733" s="36"/>
      <c r="AH733" s="36"/>
      <c r="AI733" s="35"/>
      <c r="AJ733" s="7"/>
      <c r="AK733" s="7"/>
      <c r="AL733" s="7"/>
      <c r="AM733" s="7"/>
      <c r="AN733" s="7"/>
      <c r="AO733" s="7"/>
      <c r="AP733" s="7"/>
      <c r="AQ733" s="7"/>
      <c r="AS733" s="36"/>
      <c r="AT733" s="36"/>
      <c r="AU733" s="35"/>
      <c r="AV733" s="7"/>
      <c r="AW733" s="7"/>
      <c r="AX733" s="7"/>
      <c r="AY733" s="7"/>
      <c r="AZ733" s="7"/>
      <c r="BA733" s="7"/>
      <c r="BB733" s="7"/>
      <c r="BC733" s="7"/>
      <c r="BF733" s="7"/>
      <c r="BG733" s="36"/>
      <c r="BH733" s="36"/>
      <c r="BI733" s="36"/>
      <c r="BJ733" s="36"/>
      <c r="BK733" s="36"/>
      <c r="BL733" s="36"/>
      <c r="BM733" s="36"/>
      <c r="BN733" s="36"/>
      <c r="BO733" s="36"/>
    </row>
    <row r="734" spans="1:67" x14ac:dyDescent="0.25">
      <c r="A734" s="39"/>
      <c r="B734" s="40"/>
      <c r="U734" s="36"/>
      <c r="V734" s="36"/>
      <c r="W734" s="35"/>
      <c r="X734" s="7"/>
      <c r="Y734" s="7"/>
      <c r="Z734" s="7"/>
      <c r="AA734" s="7"/>
      <c r="AB734" s="7"/>
      <c r="AC734" s="7"/>
      <c r="AD734" s="7"/>
      <c r="AE734" s="7"/>
      <c r="AG734" s="36"/>
      <c r="AH734" s="36"/>
      <c r="AI734" s="35"/>
      <c r="AJ734" s="7"/>
      <c r="AK734" s="7"/>
      <c r="AL734" s="7"/>
      <c r="AM734" s="7"/>
      <c r="AN734" s="7"/>
      <c r="AO734" s="7"/>
      <c r="AP734" s="7"/>
      <c r="AQ734" s="7"/>
      <c r="AS734" s="36"/>
      <c r="AT734" s="36"/>
      <c r="AU734" s="35"/>
      <c r="AV734" s="7"/>
      <c r="AW734" s="7"/>
      <c r="AX734" s="7"/>
      <c r="AY734" s="7"/>
      <c r="AZ734" s="7"/>
      <c r="BA734" s="7"/>
      <c r="BB734" s="7"/>
      <c r="BC734" s="7"/>
      <c r="BF734" s="7"/>
      <c r="BG734" s="36"/>
      <c r="BH734" s="36"/>
      <c r="BI734" s="36"/>
      <c r="BJ734" s="36"/>
      <c r="BK734" s="36"/>
      <c r="BL734" s="36"/>
      <c r="BM734" s="36"/>
      <c r="BN734" s="36"/>
      <c r="BO734" s="36"/>
    </row>
    <row r="735" spans="1:67" x14ac:dyDescent="0.25">
      <c r="A735" s="39"/>
      <c r="B735" s="40"/>
      <c r="U735" s="36"/>
      <c r="V735" s="36"/>
      <c r="W735" s="35"/>
      <c r="X735" s="7"/>
      <c r="Y735" s="7"/>
      <c r="Z735" s="7"/>
      <c r="AA735" s="7"/>
      <c r="AB735" s="7"/>
      <c r="AC735" s="7"/>
      <c r="AD735" s="7"/>
      <c r="AE735" s="7"/>
      <c r="AG735" s="36"/>
      <c r="AH735" s="36"/>
      <c r="AI735" s="35"/>
      <c r="AJ735" s="7"/>
      <c r="AK735" s="7"/>
      <c r="AL735" s="7"/>
      <c r="AM735" s="7"/>
      <c r="AN735" s="7"/>
      <c r="AO735" s="7"/>
      <c r="AP735" s="7"/>
      <c r="AQ735" s="7"/>
      <c r="AS735" s="36"/>
      <c r="AT735" s="36"/>
      <c r="AU735" s="35"/>
      <c r="AV735" s="7"/>
      <c r="AW735" s="7"/>
      <c r="AX735" s="7"/>
      <c r="AY735" s="7"/>
      <c r="AZ735" s="7"/>
      <c r="BA735" s="7"/>
      <c r="BB735" s="7"/>
      <c r="BC735" s="7"/>
      <c r="BF735" s="7"/>
      <c r="BG735" s="36"/>
      <c r="BH735" s="36"/>
      <c r="BI735" s="36"/>
      <c r="BJ735" s="36"/>
      <c r="BK735" s="36"/>
      <c r="BL735" s="36"/>
      <c r="BM735" s="36"/>
      <c r="BN735" s="36"/>
      <c r="BO735" s="36"/>
    </row>
    <row r="736" spans="1:67" x14ac:dyDescent="0.25">
      <c r="A736" s="39"/>
      <c r="B736" s="40"/>
      <c r="U736" s="36"/>
      <c r="V736" s="36"/>
      <c r="W736" s="35"/>
      <c r="X736" s="7"/>
      <c r="Y736" s="7"/>
      <c r="Z736" s="7"/>
      <c r="AA736" s="7"/>
      <c r="AB736" s="7"/>
      <c r="AC736" s="7"/>
      <c r="AD736" s="7"/>
      <c r="AE736" s="7"/>
      <c r="AG736" s="36"/>
      <c r="AH736" s="36"/>
      <c r="AI736" s="35"/>
      <c r="AJ736" s="7"/>
      <c r="AK736" s="7"/>
      <c r="AL736" s="7"/>
      <c r="AM736" s="7"/>
      <c r="AN736" s="7"/>
      <c r="AO736" s="7"/>
      <c r="AP736" s="7"/>
      <c r="AQ736" s="7"/>
      <c r="AS736" s="36"/>
      <c r="AT736" s="36"/>
      <c r="AU736" s="35"/>
      <c r="AV736" s="7"/>
      <c r="AW736" s="7"/>
      <c r="AX736" s="7"/>
      <c r="AY736" s="7"/>
      <c r="AZ736" s="7"/>
      <c r="BA736" s="7"/>
      <c r="BB736" s="7"/>
      <c r="BC736" s="7"/>
      <c r="BF736" s="7"/>
      <c r="BG736" s="36"/>
      <c r="BH736" s="36"/>
      <c r="BI736" s="36"/>
      <c r="BJ736" s="36"/>
      <c r="BK736" s="36"/>
      <c r="BL736" s="36"/>
      <c r="BM736" s="36"/>
      <c r="BN736" s="36"/>
      <c r="BO736" s="36"/>
    </row>
    <row r="737" spans="1:67" x14ac:dyDescent="0.25">
      <c r="A737" s="39"/>
      <c r="B737" s="40"/>
      <c r="U737" s="36"/>
      <c r="V737" s="36"/>
      <c r="W737" s="35"/>
      <c r="X737" s="7"/>
      <c r="Y737" s="7"/>
      <c r="Z737" s="7"/>
      <c r="AA737" s="7"/>
      <c r="AB737" s="7"/>
      <c r="AC737" s="7"/>
      <c r="AD737" s="7"/>
      <c r="AE737" s="7"/>
      <c r="AG737" s="36"/>
      <c r="AH737" s="36"/>
      <c r="AI737" s="35"/>
      <c r="AJ737" s="7"/>
      <c r="AK737" s="7"/>
      <c r="AL737" s="7"/>
      <c r="AM737" s="7"/>
      <c r="AN737" s="7"/>
      <c r="AO737" s="7"/>
      <c r="AP737" s="7"/>
      <c r="AQ737" s="7"/>
      <c r="AS737" s="36"/>
      <c r="AT737" s="36"/>
      <c r="AU737" s="35"/>
      <c r="AV737" s="7"/>
      <c r="AW737" s="7"/>
      <c r="AX737" s="7"/>
      <c r="AY737" s="7"/>
      <c r="AZ737" s="7"/>
      <c r="BA737" s="7"/>
      <c r="BB737" s="7"/>
      <c r="BC737" s="7"/>
      <c r="BF737" s="7"/>
      <c r="BG737" s="36"/>
      <c r="BH737" s="36"/>
      <c r="BI737" s="36"/>
      <c r="BJ737" s="36"/>
      <c r="BK737" s="36"/>
      <c r="BL737" s="36"/>
      <c r="BM737" s="36"/>
      <c r="BN737" s="36"/>
      <c r="BO737" s="36"/>
    </row>
    <row r="738" spans="1:67" x14ac:dyDescent="0.25">
      <c r="A738" s="39"/>
      <c r="B738" s="40"/>
      <c r="U738" s="36"/>
      <c r="V738" s="36"/>
      <c r="W738" s="35"/>
      <c r="X738" s="7"/>
      <c r="Y738" s="7"/>
      <c r="Z738" s="7"/>
      <c r="AA738" s="7"/>
      <c r="AB738" s="7"/>
      <c r="AC738" s="7"/>
      <c r="AD738" s="7"/>
      <c r="AE738" s="7"/>
      <c r="AG738" s="36"/>
      <c r="AH738" s="36"/>
      <c r="AI738" s="35"/>
      <c r="AJ738" s="7"/>
      <c r="AK738" s="7"/>
      <c r="AL738" s="7"/>
      <c r="AM738" s="7"/>
      <c r="AN738" s="7"/>
      <c r="AO738" s="7"/>
      <c r="AP738" s="7"/>
      <c r="AQ738" s="7"/>
      <c r="AS738" s="36"/>
      <c r="AT738" s="36"/>
      <c r="AU738" s="35"/>
      <c r="AV738" s="7"/>
      <c r="AW738" s="7"/>
      <c r="AX738" s="7"/>
      <c r="AY738" s="7"/>
      <c r="AZ738" s="7"/>
      <c r="BA738" s="7"/>
      <c r="BB738" s="7"/>
      <c r="BC738" s="7"/>
      <c r="BF738" s="7"/>
      <c r="BG738" s="36"/>
      <c r="BH738" s="36"/>
      <c r="BI738" s="36"/>
      <c r="BJ738" s="36"/>
      <c r="BK738" s="36"/>
      <c r="BL738" s="36"/>
      <c r="BM738" s="36"/>
      <c r="BN738" s="36"/>
      <c r="BO738" s="36"/>
    </row>
    <row r="739" spans="1:67" x14ac:dyDescent="0.25">
      <c r="A739" s="39"/>
      <c r="B739" s="40"/>
      <c r="U739" s="36"/>
      <c r="V739" s="36"/>
      <c r="W739" s="35"/>
      <c r="X739" s="7"/>
      <c r="Y739" s="7"/>
      <c r="Z739" s="7"/>
      <c r="AA739" s="7"/>
      <c r="AB739" s="7"/>
      <c r="AC739" s="7"/>
      <c r="AD739" s="7"/>
      <c r="AE739" s="7"/>
      <c r="AG739" s="36"/>
      <c r="AH739" s="36"/>
      <c r="AI739" s="35"/>
      <c r="AJ739" s="7"/>
      <c r="AK739" s="7"/>
      <c r="AL739" s="7"/>
      <c r="AM739" s="7"/>
      <c r="AN739" s="7"/>
      <c r="AO739" s="7"/>
      <c r="AP739" s="7"/>
      <c r="AQ739" s="7"/>
      <c r="AS739" s="36"/>
      <c r="AT739" s="36"/>
      <c r="AU739" s="35"/>
      <c r="AV739" s="7"/>
      <c r="AW739" s="7"/>
      <c r="AX739" s="7"/>
      <c r="AY739" s="7"/>
      <c r="AZ739" s="7"/>
      <c r="BA739" s="7"/>
      <c r="BB739" s="7"/>
      <c r="BC739" s="7"/>
      <c r="BF739" s="7"/>
      <c r="BG739" s="36"/>
      <c r="BH739" s="36"/>
      <c r="BI739" s="36"/>
      <c r="BJ739" s="36"/>
      <c r="BK739" s="36"/>
      <c r="BL739" s="36"/>
      <c r="BM739" s="36"/>
      <c r="BN739" s="36"/>
      <c r="BO739" s="36"/>
    </row>
    <row r="740" spans="1:67" x14ac:dyDescent="0.25">
      <c r="A740" s="39"/>
      <c r="B740" s="40"/>
      <c r="U740" s="36"/>
      <c r="V740" s="36"/>
      <c r="W740" s="35"/>
      <c r="X740" s="7"/>
      <c r="Y740" s="7"/>
      <c r="Z740" s="7"/>
      <c r="AA740" s="7"/>
      <c r="AB740" s="7"/>
      <c r="AC740" s="7"/>
      <c r="AD740" s="7"/>
      <c r="AE740" s="7"/>
      <c r="AG740" s="36"/>
      <c r="AH740" s="36"/>
      <c r="AI740" s="35"/>
      <c r="AJ740" s="7"/>
      <c r="AK740" s="7"/>
      <c r="AL740" s="7"/>
      <c r="AM740" s="7"/>
      <c r="AN740" s="7"/>
      <c r="AO740" s="7"/>
      <c r="AP740" s="7"/>
      <c r="AQ740" s="7"/>
      <c r="AS740" s="36"/>
      <c r="AT740" s="36"/>
      <c r="AU740" s="35"/>
      <c r="AV740" s="7"/>
      <c r="AW740" s="7"/>
      <c r="AX740" s="7"/>
      <c r="AY740" s="7"/>
      <c r="AZ740" s="7"/>
      <c r="BA740" s="7"/>
      <c r="BB740" s="7"/>
      <c r="BC740" s="7"/>
      <c r="BF740" s="7"/>
      <c r="BG740" s="36"/>
      <c r="BH740" s="36"/>
      <c r="BI740" s="36"/>
      <c r="BJ740" s="36"/>
      <c r="BK740" s="36"/>
      <c r="BL740" s="36"/>
      <c r="BM740" s="36"/>
      <c r="BN740" s="36"/>
      <c r="BO740" s="36"/>
    </row>
    <row r="741" spans="1:67" x14ac:dyDescent="0.25">
      <c r="A741" s="39"/>
      <c r="B741" s="40"/>
      <c r="U741" s="36"/>
      <c r="V741" s="36"/>
      <c r="W741" s="35"/>
      <c r="X741" s="7"/>
      <c r="Y741" s="7"/>
      <c r="Z741" s="7"/>
      <c r="AA741" s="7"/>
      <c r="AB741" s="7"/>
      <c r="AC741" s="7"/>
      <c r="AD741" s="7"/>
      <c r="AE741" s="7"/>
      <c r="AG741" s="36"/>
      <c r="AH741" s="36"/>
      <c r="AI741" s="35"/>
      <c r="AJ741" s="7"/>
      <c r="AK741" s="7"/>
      <c r="AL741" s="7"/>
      <c r="AM741" s="7"/>
      <c r="AN741" s="7"/>
      <c r="AO741" s="7"/>
      <c r="AP741" s="7"/>
      <c r="AQ741" s="7"/>
      <c r="AS741" s="36"/>
      <c r="AT741" s="36"/>
      <c r="AU741" s="35"/>
      <c r="AV741" s="7"/>
      <c r="AW741" s="7"/>
      <c r="AX741" s="7"/>
      <c r="AY741" s="7"/>
      <c r="AZ741" s="7"/>
      <c r="BA741" s="7"/>
      <c r="BB741" s="7"/>
      <c r="BC741" s="7"/>
      <c r="BF741" s="7"/>
      <c r="BG741" s="36"/>
      <c r="BH741" s="36"/>
      <c r="BI741" s="36"/>
      <c r="BJ741" s="36"/>
      <c r="BK741" s="36"/>
      <c r="BL741" s="36"/>
      <c r="BM741" s="36"/>
      <c r="BN741" s="36"/>
      <c r="BO741" s="36"/>
    </row>
    <row r="742" spans="1:67" x14ac:dyDescent="0.25">
      <c r="A742" s="39"/>
      <c r="B742" s="40"/>
      <c r="U742" s="36"/>
      <c r="V742" s="36"/>
      <c r="W742" s="35"/>
      <c r="X742" s="7"/>
      <c r="Y742" s="7"/>
      <c r="Z742" s="7"/>
      <c r="AA742" s="7"/>
      <c r="AB742" s="7"/>
      <c r="AC742" s="7"/>
      <c r="AD742" s="7"/>
      <c r="AE742" s="7"/>
      <c r="AG742" s="36"/>
      <c r="AH742" s="36"/>
      <c r="AI742" s="35"/>
      <c r="AJ742" s="7"/>
      <c r="AK742" s="7"/>
      <c r="AL742" s="7"/>
      <c r="AM742" s="7"/>
      <c r="AN742" s="7"/>
      <c r="AO742" s="7"/>
      <c r="AP742" s="7"/>
      <c r="AQ742" s="7"/>
      <c r="AS742" s="36"/>
      <c r="AT742" s="36"/>
      <c r="AU742" s="35"/>
      <c r="AV742" s="7"/>
      <c r="AW742" s="7"/>
      <c r="AX742" s="7"/>
      <c r="AY742" s="7"/>
      <c r="AZ742" s="7"/>
      <c r="BA742" s="7"/>
      <c r="BB742" s="7"/>
      <c r="BC742" s="7"/>
      <c r="BF742" s="7"/>
      <c r="BG742" s="36"/>
      <c r="BH742" s="36"/>
      <c r="BI742" s="36"/>
      <c r="BJ742" s="36"/>
      <c r="BK742" s="36"/>
      <c r="BL742" s="36"/>
      <c r="BM742" s="36"/>
      <c r="BN742" s="36"/>
      <c r="BO742" s="36"/>
    </row>
    <row r="743" spans="1:67" x14ac:dyDescent="0.25">
      <c r="A743" s="39"/>
      <c r="B743" s="40"/>
      <c r="U743" s="36"/>
      <c r="V743" s="36"/>
      <c r="W743" s="35"/>
      <c r="X743" s="7"/>
      <c r="Y743" s="7"/>
      <c r="Z743" s="7"/>
      <c r="AA743" s="7"/>
      <c r="AB743" s="7"/>
      <c r="AC743" s="7"/>
      <c r="AD743" s="7"/>
      <c r="AE743" s="7"/>
      <c r="AG743" s="36"/>
      <c r="AH743" s="36"/>
      <c r="AI743" s="35"/>
      <c r="AJ743" s="7"/>
      <c r="AK743" s="7"/>
      <c r="AL743" s="7"/>
      <c r="AM743" s="7"/>
      <c r="AN743" s="7"/>
      <c r="AO743" s="7"/>
      <c r="AP743" s="7"/>
      <c r="AQ743" s="7"/>
      <c r="AS743" s="36"/>
      <c r="AT743" s="36"/>
      <c r="AU743" s="35"/>
      <c r="AV743" s="7"/>
      <c r="AW743" s="7"/>
      <c r="AX743" s="7"/>
      <c r="AY743" s="7"/>
      <c r="AZ743" s="7"/>
      <c r="BA743" s="7"/>
      <c r="BB743" s="7"/>
      <c r="BC743" s="7"/>
      <c r="BF743" s="7"/>
      <c r="BG743" s="36"/>
      <c r="BH743" s="36"/>
      <c r="BI743" s="36"/>
      <c r="BJ743" s="36"/>
      <c r="BK743" s="36"/>
      <c r="BL743" s="36"/>
      <c r="BM743" s="36"/>
      <c r="BN743" s="36"/>
      <c r="BO743" s="36"/>
    </row>
    <row r="744" spans="1:67" x14ac:dyDescent="0.25">
      <c r="A744" s="39"/>
      <c r="B744" s="40"/>
      <c r="U744" s="36"/>
      <c r="V744" s="36"/>
      <c r="W744" s="35"/>
      <c r="X744" s="7"/>
      <c r="Y744" s="7"/>
      <c r="Z744" s="7"/>
      <c r="AA744" s="7"/>
      <c r="AB744" s="7"/>
      <c r="AC744" s="7"/>
      <c r="AD744" s="7"/>
      <c r="AE744" s="7"/>
      <c r="AG744" s="36"/>
      <c r="AH744" s="36"/>
      <c r="AI744" s="35"/>
      <c r="AJ744" s="7"/>
      <c r="AK744" s="7"/>
      <c r="AL744" s="7"/>
      <c r="AM744" s="7"/>
      <c r="AN744" s="7"/>
      <c r="AO744" s="7"/>
      <c r="AP744" s="7"/>
      <c r="AQ744" s="7"/>
      <c r="AS744" s="36"/>
      <c r="AT744" s="36"/>
      <c r="AU744" s="35"/>
      <c r="AV744" s="7"/>
      <c r="AW744" s="7"/>
      <c r="AX744" s="7"/>
      <c r="AY744" s="7"/>
      <c r="AZ744" s="7"/>
      <c r="BA744" s="7"/>
      <c r="BB744" s="7"/>
      <c r="BC744" s="7"/>
      <c r="BF744" s="7"/>
      <c r="BG744" s="36"/>
      <c r="BH744" s="36"/>
      <c r="BI744" s="36"/>
      <c r="BJ744" s="36"/>
      <c r="BK744" s="36"/>
      <c r="BL744" s="36"/>
      <c r="BM744" s="36"/>
      <c r="BN744" s="36"/>
      <c r="BO744" s="36"/>
    </row>
    <row r="745" spans="1:67" x14ac:dyDescent="0.25">
      <c r="A745" s="39"/>
      <c r="B745" s="40"/>
      <c r="U745" s="36"/>
      <c r="V745" s="36"/>
      <c r="W745" s="35"/>
      <c r="X745" s="7"/>
      <c r="Y745" s="7"/>
      <c r="Z745" s="7"/>
      <c r="AA745" s="7"/>
      <c r="AB745" s="7"/>
      <c r="AC745" s="7"/>
      <c r="AD745" s="7"/>
      <c r="AE745" s="7"/>
      <c r="AG745" s="36"/>
      <c r="AH745" s="36"/>
      <c r="AI745" s="35"/>
      <c r="AJ745" s="7"/>
      <c r="AK745" s="7"/>
      <c r="AL745" s="7"/>
      <c r="AM745" s="7"/>
      <c r="AN745" s="7"/>
      <c r="AO745" s="7"/>
      <c r="AP745" s="7"/>
      <c r="AQ745" s="7"/>
      <c r="AS745" s="36"/>
      <c r="AT745" s="36"/>
      <c r="AU745" s="35"/>
      <c r="AV745" s="7"/>
      <c r="AW745" s="7"/>
      <c r="AX745" s="7"/>
      <c r="AY745" s="7"/>
      <c r="AZ745" s="7"/>
      <c r="BA745" s="7"/>
      <c r="BB745" s="7"/>
      <c r="BC745" s="7"/>
      <c r="BF745" s="7"/>
      <c r="BG745" s="36"/>
      <c r="BH745" s="36"/>
      <c r="BI745" s="36"/>
      <c r="BJ745" s="36"/>
      <c r="BK745" s="36"/>
      <c r="BL745" s="36"/>
      <c r="BM745" s="36"/>
      <c r="BN745" s="36"/>
      <c r="BO745" s="36"/>
    </row>
    <row r="746" spans="1:67" x14ac:dyDescent="0.25">
      <c r="A746" s="39"/>
      <c r="B746" s="40"/>
      <c r="U746" s="36"/>
      <c r="V746" s="36"/>
      <c r="W746" s="35"/>
      <c r="X746" s="7"/>
      <c r="Y746" s="7"/>
      <c r="Z746" s="7"/>
      <c r="AA746" s="7"/>
      <c r="AB746" s="7"/>
      <c r="AC746" s="7"/>
      <c r="AD746" s="7"/>
      <c r="AE746" s="7"/>
      <c r="AG746" s="36"/>
      <c r="AH746" s="36"/>
      <c r="AI746" s="35"/>
      <c r="AJ746" s="7"/>
      <c r="AK746" s="7"/>
      <c r="AL746" s="7"/>
      <c r="AM746" s="7"/>
      <c r="AN746" s="7"/>
      <c r="AO746" s="7"/>
      <c r="AP746" s="7"/>
      <c r="AQ746" s="7"/>
      <c r="AS746" s="36"/>
      <c r="AT746" s="36"/>
      <c r="AU746" s="35"/>
      <c r="AV746" s="7"/>
      <c r="AW746" s="7"/>
      <c r="AX746" s="7"/>
      <c r="AY746" s="7"/>
      <c r="AZ746" s="7"/>
      <c r="BA746" s="7"/>
      <c r="BB746" s="7"/>
      <c r="BC746" s="7"/>
      <c r="BF746" s="7"/>
      <c r="BG746" s="36"/>
      <c r="BH746" s="36"/>
      <c r="BI746" s="36"/>
      <c r="BJ746" s="36"/>
      <c r="BK746" s="36"/>
      <c r="BL746" s="36"/>
      <c r="BM746" s="36"/>
      <c r="BN746" s="36"/>
      <c r="BO746" s="36"/>
    </row>
    <row r="747" spans="1:67" x14ac:dyDescent="0.25">
      <c r="A747" s="39"/>
      <c r="B747" s="40"/>
      <c r="U747" s="36"/>
      <c r="V747" s="36"/>
      <c r="W747" s="35"/>
      <c r="X747" s="7"/>
      <c r="Y747" s="7"/>
      <c r="Z747" s="7"/>
      <c r="AA747" s="7"/>
      <c r="AB747" s="7"/>
      <c r="AC747" s="7"/>
      <c r="AD747" s="7"/>
      <c r="AE747" s="7"/>
      <c r="AG747" s="36"/>
      <c r="AH747" s="36"/>
      <c r="AI747" s="35"/>
      <c r="AJ747" s="7"/>
      <c r="AK747" s="7"/>
      <c r="AL747" s="7"/>
      <c r="AM747" s="7"/>
      <c r="AN747" s="7"/>
      <c r="AO747" s="7"/>
      <c r="AP747" s="7"/>
      <c r="AQ747" s="7"/>
      <c r="AS747" s="36"/>
      <c r="AT747" s="36"/>
      <c r="AU747" s="35"/>
      <c r="AV747" s="7"/>
      <c r="AW747" s="7"/>
      <c r="AX747" s="7"/>
      <c r="AY747" s="7"/>
      <c r="AZ747" s="7"/>
      <c r="BA747" s="7"/>
      <c r="BB747" s="7"/>
      <c r="BC747" s="7"/>
      <c r="BF747" s="7"/>
      <c r="BG747" s="36"/>
      <c r="BH747" s="36"/>
      <c r="BI747" s="36"/>
      <c r="BJ747" s="36"/>
      <c r="BK747" s="36"/>
      <c r="BL747" s="36"/>
      <c r="BM747" s="36"/>
      <c r="BN747" s="36"/>
      <c r="BO747" s="36"/>
    </row>
    <row r="748" spans="1:67" x14ac:dyDescent="0.25">
      <c r="A748" s="39"/>
      <c r="B748" s="40"/>
      <c r="U748" s="36"/>
      <c r="V748" s="36"/>
      <c r="W748" s="35"/>
      <c r="X748" s="7"/>
      <c r="Y748" s="7"/>
      <c r="Z748" s="7"/>
      <c r="AA748" s="7"/>
      <c r="AB748" s="7"/>
      <c r="AC748" s="7"/>
      <c r="AD748" s="7"/>
      <c r="AE748" s="7"/>
      <c r="AG748" s="36"/>
      <c r="AH748" s="36"/>
      <c r="AI748" s="35"/>
      <c r="AJ748" s="7"/>
      <c r="AK748" s="7"/>
      <c r="AL748" s="7"/>
      <c r="AM748" s="7"/>
      <c r="AN748" s="7"/>
      <c r="AO748" s="7"/>
      <c r="AP748" s="7"/>
      <c r="AQ748" s="7"/>
      <c r="AS748" s="36"/>
      <c r="AT748" s="36"/>
      <c r="AU748" s="35"/>
      <c r="AV748" s="7"/>
      <c r="AW748" s="7"/>
      <c r="AX748" s="7"/>
      <c r="AY748" s="7"/>
      <c r="AZ748" s="7"/>
      <c r="BA748" s="7"/>
      <c r="BB748" s="7"/>
      <c r="BC748" s="7"/>
      <c r="BF748" s="7"/>
      <c r="BG748" s="36"/>
      <c r="BH748" s="36"/>
      <c r="BI748" s="36"/>
      <c r="BJ748" s="36"/>
      <c r="BK748" s="36"/>
      <c r="BL748" s="36"/>
      <c r="BM748" s="36"/>
      <c r="BN748" s="36"/>
      <c r="BO748" s="36"/>
    </row>
    <row r="749" spans="1:67" x14ac:dyDescent="0.25">
      <c r="A749" s="39"/>
      <c r="B749" s="40"/>
      <c r="U749" s="36"/>
      <c r="V749" s="36"/>
      <c r="W749" s="35"/>
      <c r="X749" s="7"/>
      <c r="Y749" s="7"/>
      <c r="Z749" s="7"/>
      <c r="AA749" s="7"/>
      <c r="AB749" s="7"/>
      <c r="AC749" s="7"/>
      <c r="AD749" s="7"/>
      <c r="AE749" s="7"/>
      <c r="AG749" s="36"/>
      <c r="AH749" s="36"/>
      <c r="AI749" s="35"/>
      <c r="AJ749" s="7"/>
      <c r="AK749" s="7"/>
      <c r="AL749" s="7"/>
      <c r="AM749" s="7"/>
      <c r="AN749" s="7"/>
      <c r="AO749" s="7"/>
      <c r="AP749" s="7"/>
      <c r="AQ749" s="7"/>
      <c r="AS749" s="36"/>
      <c r="AT749" s="36"/>
      <c r="AU749" s="35"/>
      <c r="AV749" s="7"/>
      <c r="AW749" s="7"/>
      <c r="AX749" s="7"/>
      <c r="AY749" s="7"/>
      <c r="AZ749" s="7"/>
      <c r="BA749" s="7"/>
      <c r="BB749" s="7"/>
      <c r="BC749" s="7"/>
      <c r="BF749" s="7"/>
      <c r="BG749" s="36"/>
      <c r="BH749" s="36"/>
      <c r="BI749" s="36"/>
      <c r="BJ749" s="36"/>
      <c r="BK749" s="36"/>
      <c r="BL749" s="36"/>
      <c r="BM749" s="36"/>
      <c r="BN749" s="36"/>
      <c r="BO749" s="36"/>
    </row>
    <row r="750" spans="1:67" x14ac:dyDescent="0.25">
      <c r="A750" s="39"/>
      <c r="B750" s="40"/>
      <c r="U750" s="36"/>
      <c r="V750" s="36"/>
      <c r="W750" s="35"/>
      <c r="X750" s="7"/>
      <c r="Y750" s="7"/>
      <c r="Z750" s="7"/>
      <c r="AA750" s="7"/>
      <c r="AB750" s="7"/>
      <c r="AC750" s="7"/>
      <c r="AD750" s="7"/>
      <c r="AE750" s="7"/>
      <c r="AG750" s="36"/>
      <c r="AH750" s="36"/>
      <c r="AI750" s="35"/>
      <c r="AJ750" s="7"/>
      <c r="AK750" s="7"/>
      <c r="AL750" s="7"/>
      <c r="AM750" s="7"/>
      <c r="AN750" s="7"/>
      <c r="AO750" s="7"/>
      <c r="AP750" s="7"/>
      <c r="AQ750" s="7"/>
      <c r="AS750" s="36"/>
      <c r="AT750" s="36"/>
      <c r="AU750" s="35"/>
      <c r="AV750" s="7"/>
      <c r="AW750" s="7"/>
      <c r="AX750" s="7"/>
      <c r="AY750" s="7"/>
      <c r="AZ750" s="7"/>
      <c r="BA750" s="7"/>
      <c r="BB750" s="7"/>
      <c r="BC750" s="7"/>
      <c r="BF750" s="7"/>
      <c r="BG750" s="36"/>
      <c r="BH750" s="36"/>
      <c r="BI750" s="36"/>
      <c r="BJ750" s="36"/>
      <c r="BK750" s="36"/>
      <c r="BL750" s="36"/>
      <c r="BM750" s="36"/>
      <c r="BN750" s="36"/>
      <c r="BO750" s="36"/>
    </row>
    <row r="751" spans="1:67" x14ac:dyDescent="0.25">
      <c r="A751" s="39"/>
      <c r="B751" s="40"/>
      <c r="U751" s="36"/>
      <c r="V751" s="36"/>
      <c r="W751" s="35"/>
      <c r="X751" s="7"/>
      <c r="Y751" s="7"/>
      <c r="Z751" s="7"/>
      <c r="AA751" s="7"/>
      <c r="AB751" s="7"/>
      <c r="AC751" s="7"/>
      <c r="AD751" s="7"/>
      <c r="AE751" s="7"/>
      <c r="AG751" s="36"/>
      <c r="AH751" s="36"/>
      <c r="AI751" s="35"/>
      <c r="AJ751" s="7"/>
      <c r="AK751" s="7"/>
      <c r="AL751" s="7"/>
      <c r="AM751" s="7"/>
      <c r="AN751" s="7"/>
      <c r="AO751" s="7"/>
      <c r="AP751" s="7"/>
      <c r="AQ751" s="7"/>
      <c r="AS751" s="36"/>
      <c r="AT751" s="36"/>
      <c r="AU751" s="35"/>
      <c r="AV751" s="7"/>
      <c r="AW751" s="7"/>
      <c r="AX751" s="7"/>
      <c r="AY751" s="7"/>
      <c r="AZ751" s="7"/>
      <c r="BA751" s="7"/>
      <c r="BB751" s="7"/>
      <c r="BC751" s="7"/>
      <c r="BF751" s="7"/>
      <c r="BG751" s="36"/>
      <c r="BH751" s="36"/>
      <c r="BI751" s="36"/>
      <c r="BJ751" s="36"/>
      <c r="BK751" s="36"/>
      <c r="BL751" s="36"/>
      <c r="BM751" s="36"/>
      <c r="BN751" s="36"/>
      <c r="BO751" s="36"/>
    </row>
    <row r="752" spans="1:67" x14ac:dyDescent="0.25">
      <c r="A752" s="39"/>
      <c r="B752" s="40"/>
      <c r="U752" s="36"/>
      <c r="V752" s="36"/>
      <c r="W752" s="35"/>
      <c r="X752" s="7"/>
      <c r="Y752" s="7"/>
      <c r="Z752" s="7"/>
      <c r="AA752" s="7"/>
      <c r="AB752" s="7"/>
      <c r="AC752" s="7"/>
      <c r="AD752" s="7"/>
      <c r="AE752" s="7"/>
      <c r="AG752" s="36"/>
      <c r="AH752" s="36"/>
      <c r="AI752" s="35"/>
      <c r="AJ752" s="7"/>
      <c r="AK752" s="7"/>
      <c r="AL752" s="7"/>
      <c r="AM752" s="7"/>
      <c r="AN752" s="7"/>
      <c r="AO752" s="7"/>
      <c r="AP752" s="7"/>
      <c r="AQ752" s="7"/>
      <c r="AS752" s="36"/>
      <c r="AT752" s="36"/>
      <c r="AU752" s="35"/>
      <c r="AV752" s="7"/>
      <c r="AW752" s="7"/>
      <c r="AX752" s="7"/>
      <c r="AY752" s="7"/>
      <c r="AZ752" s="7"/>
      <c r="BA752" s="7"/>
      <c r="BB752" s="7"/>
      <c r="BC752" s="7"/>
      <c r="BF752" s="7"/>
      <c r="BG752" s="36"/>
      <c r="BH752" s="36"/>
      <c r="BI752" s="36"/>
      <c r="BJ752" s="36"/>
      <c r="BK752" s="36"/>
      <c r="BL752" s="36"/>
      <c r="BM752" s="36"/>
      <c r="BN752" s="36"/>
      <c r="BO752" s="36"/>
    </row>
    <row r="753" spans="1:67" x14ac:dyDescent="0.25">
      <c r="A753" s="39"/>
      <c r="B753" s="40"/>
      <c r="U753" s="36"/>
      <c r="V753" s="36"/>
      <c r="W753" s="35"/>
      <c r="X753" s="7"/>
      <c r="Y753" s="7"/>
      <c r="Z753" s="7"/>
      <c r="AA753" s="7"/>
      <c r="AB753" s="7"/>
      <c r="AC753" s="7"/>
      <c r="AD753" s="7"/>
      <c r="AE753" s="7"/>
      <c r="AG753" s="36"/>
      <c r="AH753" s="36"/>
      <c r="AI753" s="35"/>
      <c r="AJ753" s="7"/>
      <c r="AK753" s="7"/>
      <c r="AL753" s="7"/>
      <c r="AM753" s="7"/>
      <c r="AN753" s="7"/>
      <c r="AO753" s="7"/>
      <c r="AP753" s="7"/>
      <c r="AQ753" s="7"/>
      <c r="AS753" s="36"/>
      <c r="AT753" s="36"/>
      <c r="AU753" s="35"/>
      <c r="AV753" s="7"/>
      <c r="AW753" s="7"/>
      <c r="AX753" s="7"/>
      <c r="AY753" s="7"/>
      <c r="AZ753" s="7"/>
      <c r="BA753" s="7"/>
      <c r="BB753" s="7"/>
      <c r="BC753" s="7"/>
      <c r="BF753" s="7"/>
      <c r="BG753" s="36"/>
      <c r="BH753" s="36"/>
      <c r="BI753" s="36"/>
      <c r="BJ753" s="36"/>
      <c r="BK753" s="36"/>
      <c r="BL753" s="36"/>
      <c r="BM753" s="36"/>
      <c r="BN753" s="36"/>
      <c r="BO753" s="36"/>
    </row>
    <row r="754" spans="1:67" x14ac:dyDescent="0.25">
      <c r="A754" s="39"/>
      <c r="B754" s="40"/>
      <c r="U754" s="36"/>
      <c r="V754" s="36"/>
      <c r="W754" s="35"/>
      <c r="X754" s="7"/>
      <c r="Y754" s="7"/>
      <c r="Z754" s="7"/>
      <c r="AA754" s="7"/>
      <c r="AB754" s="7"/>
      <c r="AC754" s="7"/>
      <c r="AD754" s="7"/>
      <c r="AE754" s="7"/>
      <c r="AG754" s="36"/>
      <c r="AH754" s="36"/>
      <c r="AI754" s="35"/>
      <c r="AJ754" s="7"/>
      <c r="AK754" s="7"/>
      <c r="AL754" s="7"/>
      <c r="AM754" s="7"/>
      <c r="AN754" s="7"/>
      <c r="AO754" s="7"/>
      <c r="AP754" s="7"/>
      <c r="AQ754" s="7"/>
      <c r="AS754" s="36"/>
      <c r="AT754" s="36"/>
      <c r="AU754" s="35"/>
      <c r="AV754" s="7"/>
      <c r="AW754" s="7"/>
      <c r="AX754" s="7"/>
      <c r="AY754" s="7"/>
      <c r="AZ754" s="7"/>
      <c r="BA754" s="7"/>
      <c r="BB754" s="7"/>
      <c r="BC754" s="7"/>
      <c r="BF754" s="7"/>
      <c r="BG754" s="36"/>
      <c r="BH754" s="36"/>
      <c r="BI754" s="36"/>
      <c r="BJ754" s="36"/>
      <c r="BK754" s="36"/>
      <c r="BL754" s="36"/>
      <c r="BM754" s="36"/>
      <c r="BN754" s="36"/>
      <c r="BO754" s="36"/>
    </row>
    <row r="755" spans="1:67" x14ac:dyDescent="0.25">
      <c r="A755" s="39"/>
      <c r="B755" s="40"/>
      <c r="U755" s="36"/>
      <c r="V755" s="36"/>
      <c r="W755" s="35"/>
      <c r="X755" s="7"/>
      <c r="Y755" s="7"/>
      <c r="Z755" s="7"/>
      <c r="AA755" s="7"/>
      <c r="AB755" s="7"/>
      <c r="AC755" s="7"/>
      <c r="AD755" s="7"/>
      <c r="AE755" s="7"/>
      <c r="AG755" s="36"/>
      <c r="AH755" s="36"/>
      <c r="AI755" s="35"/>
      <c r="AJ755" s="7"/>
      <c r="AK755" s="7"/>
      <c r="AL755" s="7"/>
      <c r="AM755" s="7"/>
      <c r="AN755" s="7"/>
      <c r="AO755" s="7"/>
      <c r="AP755" s="7"/>
      <c r="AQ755" s="7"/>
      <c r="AS755" s="36"/>
      <c r="AT755" s="36"/>
      <c r="AU755" s="35"/>
      <c r="AV755" s="7"/>
      <c r="AW755" s="7"/>
      <c r="AX755" s="7"/>
      <c r="AY755" s="7"/>
      <c r="AZ755" s="7"/>
      <c r="BA755" s="7"/>
      <c r="BB755" s="7"/>
      <c r="BC755" s="7"/>
      <c r="BF755" s="7"/>
      <c r="BG755" s="36"/>
      <c r="BH755" s="36"/>
      <c r="BI755" s="36"/>
      <c r="BJ755" s="36"/>
      <c r="BK755" s="36"/>
      <c r="BL755" s="36"/>
      <c r="BM755" s="36"/>
      <c r="BN755" s="36"/>
      <c r="BO755" s="36"/>
    </row>
    <row r="756" spans="1:67" x14ac:dyDescent="0.25">
      <c r="A756" s="39"/>
      <c r="B756" s="40"/>
      <c r="U756" s="36"/>
      <c r="V756" s="36"/>
      <c r="W756" s="35"/>
      <c r="X756" s="7"/>
      <c r="Y756" s="7"/>
      <c r="Z756" s="7"/>
      <c r="AA756" s="7"/>
      <c r="AB756" s="7"/>
      <c r="AC756" s="7"/>
      <c r="AD756" s="7"/>
      <c r="AE756" s="7"/>
      <c r="AG756" s="36"/>
      <c r="AH756" s="36"/>
      <c r="AI756" s="35"/>
      <c r="AJ756" s="7"/>
      <c r="AK756" s="7"/>
      <c r="AL756" s="7"/>
      <c r="AM756" s="7"/>
      <c r="AN756" s="7"/>
      <c r="AO756" s="7"/>
      <c r="AP756" s="7"/>
      <c r="AQ756" s="7"/>
      <c r="AS756" s="36"/>
      <c r="AT756" s="36"/>
      <c r="AU756" s="35"/>
      <c r="AV756" s="7"/>
      <c r="AW756" s="7"/>
      <c r="AX756" s="7"/>
      <c r="AY756" s="7"/>
      <c r="AZ756" s="7"/>
      <c r="BA756" s="7"/>
      <c r="BB756" s="7"/>
      <c r="BC756" s="7"/>
      <c r="BF756" s="7"/>
      <c r="BG756" s="36"/>
      <c r="BH756" s="36"/>
      <c r="BI756" s="36"/>
      <c r="BJ756" s="36"/>
      <c r="BK756" s="36"/>
      <c r="BL756" s="36"/>
      <c r="BM756" s="36"/>
      <c r="BN756" s="36"/>
      <c r="BO756" s="36"/>
    </row>
    <row r="757" spans="1:67" x14ac:dyDescent="0.25">
      <c r="A757" s="39"/>
      <c r="B757" s="40"/>
      <c r="U757" s="36"/>
      <c r="V757" s="36"/>
      <c r="W757" s="35"/>
      <c r="X757" s="7"/>
      <c r="Y757" s="7"/>
      <c r="Z757" s="7"/>
      <c r="AA757" s="7"/>
      <c r="AB757" s="7"/>
      <c r="AC757" s="7"/>
      <c r="AD757" s="7"/>
      <c r="AE757" s="7"/>
      <c r="AG757" s="36"/>
      <c r="AH757" s="36"/>
      <c r="AI757" s="35"/>
      <c r="AJ757" s="7"/>
      <c r="AK757" s="7"/>
      <c r="AL757" s="7"/>
      <c r="AM757" s="7"/>
      <c r="AN757" s="7"/>
      <c r="AO757" s="7"/>
      <c r="AP757" s="7"/>
      <c r="AQ757" s="7"/>
      <c r="AS757" s="36"/>
      <c r="AT757" s="36"/>
      <c r="AU757" s="35"/>
      <c r="AV757" s="7"/>
      <c r="AW757" s="7"/>
      <c r="AX757" s="7"/>
      <c r="AY757" s="7"/>
      <c r="AZ757" s="7"/>
      <c r="BA757" s="7"/>
      <c r="BB757" s="7"/>
      <c r="BC757" s="7"/>
      <c r="BF757" s="7"/>
      <c r="BG757" s="36"/>
      <c r="BH757" s="36"/>
      <c r="BI757" s="36"/>
      <c r="BJ757" s="36"/>
      <c r="BK757" s="36"/>
      <c r="BL757" s="36"/>
      <c r="BM757" s="36"/>
      <c r="BN757" s="36"/>
      <c r="BO757" s="36"/>
    </row>
    <row r="758" spans="1:67" x14ac:dyDescent="0.25">
      <c r="A758" s="39"/>
      <c r="B758" s="40"/>
      <c r="U758" s="36"/>
      <c r="V758" s="36"/>
      <c r="W758" s="35"/>
      <c r="X758" s="7"/>
      <c r="Y758" s="7"/>
      <c r="Z758" s="7"/>
      <c r="AA758" s="7"/>
      <c r="AB758" s="7"/>
      <c r="AC758" s="7"/>
      <c r="AD758" s="7"/>
      <c r="AE758" s="7"/>
      <c r="AG758" s="36"/>
      <c r="AH758" s="36"/>
      <c r="AI758" s="35"/>
      <c r="AJ758" s="7"/>
      <c r="AK758" s="7"/>
      <c r="AL758" s="7"/>
      <c r="AM758" s="7"/>
      <c r="AN758" s="7"/>
      <c r="AO758" s="7"/>
      <c r="AP758" s="7"/>
      <c r="AQ758" s="7"/>
      <c r="AS758" s="36"/>
      <c r="AT758" s="36"/>
      <c r="AU758" s="35"/>
      <c r="AV758" s="7"/>
      <c r="AW758" s="7"/>
      <c r="AX758" s="7"/>
      <c r="AY758" s="7"/>
      <c r="AZ758" s="7"/>
      <c r="BA758" s="7"/>
      <c r="BB758" s="7"/>
      <c r="BC758" s="7"/>
      <c r="BF758" s="7"/>
      <c r="BG758" s="36"/>
      <c r="BH758" s="36"/>
      <c r="BI758" s="36"/>
      <c r="BJ758" s="36"/>
      <c r="BK758" s="36"/>
      <c r="BL758" s="36"/>
      <c r="BM758" s="36"/>
      <c r="BN758" s="36"/>
      <c r="BO758" s="36"/>
    </row>
    <row r="759" spans="1:67" x14ac:dyDescent="0.25">
      <c r="A759" s="39"/>
      <c r="B759" s="40"/>
      <c r="U759" s="36"/>
      <c r="V759" s="36"/>
      <c r="W759" s="35"/>
      <c r="X759" s="7"/>
      <c r="Y759" s="7"/>
      <c r="Z759" s="7"/>
      <c r="AA759" s="7"/>
      <c r="AB759" s="7"/>
      <c r="AC759" s="7"/>
      <c r="AD759" s="7"/>
      <c r="AE759" s="7"/>
      <c r="AG759" s="36"/>
      <c r="AH759" s="36"/>
      <c r="AI759" s="35"/>
      <c r="AJ759" s="7"/>
      <c r="AK759" s="7"/>
      <c r="AL759" s="7"/>
      <c r="AM759" s="7"/>
      <c r="AN759" s="7"/>
      <c r="AO759" s="7"/>
      <c r="AP759" s="7"/>
      <c r="AQ759" s="7"/>
      <c r="AS759" s="36"/>
      <c r="AT759" s="36"/>
      <c r="AU759" s="35"/>
      <c r="AV759" s="7"/>
      <c r="AW759" s="7"/>
      <c r="AX759" s="7"/>
      <c r="AY759" s="7"/>
      <c r="AZ759" s="7"/>
      <c r="BA759" s="7"/>
      <c r="BB759" s="7"/>
      <c r="BC759" s="7"/>
      <c r="BF759" s="7"/>
      <c r="BG759" s="36"/>
      <c r="BH759" s="36"/>
      <c r="BI759" s="36"/>
      <c r="BJ759" s="36"/>
      <c r="BK759" s="36"/>
      <c r="BL759" s="36"/>
      <c r="BM759" s="36"/>
      <c r="BN759" s="36"/>
      <c r="BO759" s="36"/>
    </row>
    <row r="760" spans="1:67" x14ac:dyDescent="0.25">
      <c r="A760" s="39"/>
      <c r="B760" s="40"/>
      <c r="U760" s="36"/>
      <c r="V760" s="36"/>
      <c r="W760" s="35"/>
      <c r="X760" s="7"/>
      <c r="Y760" s="7"/>
      <c r="Z760" s="7"/>
      <c r="AA760" s="7"/>
      <c r="AB760" s="7"/>
      <c r="AC760" s="7"/>
      <c r="AD760" s="7"/>
      <c r="AE760" s="7"/>
      <c r="AG760" s="36"/>
      <c r="AH760" s="36"/>
      <c r="AI760" s="35"/>
      <c r="AJ760" s="7"/>
      <c r="AK760" s="7"/>
      <c r="AL760" s="7"/>
      <c r="AM760" s="7"/>
      <c r="AN760" s="7"/>
      <c r="AO760" s="7"/>
      <c r="AP760" s="7"/>
      <c r="AQ760" s="7"/>
      <c r="AS760" s="36"/>
      <c r="AT760" s="36"/>
      <c r="AU760" s="35"/>
      <c r="AV760" s="7"/>
      <c r="AW760" s="7"/>
      <c r="AX760" s="7"/>
      <c r="AY760" s="7"/>
      <c r="AZ760" s="7"/>
      <c r="BA760" s="7"/>
      <c r="BB760" s="7"/>
      <c r="BC760" s="7"/>
      <c r="BF760" s="7"/>
      <c r="BG760" s="36"/>
      <c r="BH760" s="36"/>
      <c r="BI760" s="36"/>
      <c r="BJ760" s="36"/>
      <c r="BK760" s="36"/>
      <c r="BL760" s="36"/>
      <c r="BM760" s="36"/>
      <c r="BN760" s="36"/>
      <c r="BO760" s="36"/>
    </row>
    <row r="761" spans="1:67" x14ac:dyDescent="0.25">
      <c r="A761" s="39"/>
      <c r="B761" s="40"/>
      <c r="U761" s="36"/>
      <c r="V761" s="36"/>
      <c r="W761" s="35"/>
      <c r="X761" s="7"/>
      <c r="Y761" s="7"/>
      <c r="Z761" s="7"/>
      <c r="AA761" s="7"/>
      <c r="AB761" s="7"/>
      <c r="AC761" s="7"/>
      <c r="AD761" s="7"/>
      <c r="AE761" s="7"/>
      <c r="AG761" s="36"/>
      <c r="AH761" s="36"/>
      <c r="AI761" s="35"/>
      <c r="AJ761" s="7"/>
      <c r="AK761" s="7"/>
      <c r="AL761" s="7"/>
      <c r="AM761" s="7"/>
      <c r="AN761" s="7"/>
      <c r="AO761" s="7"/>
      <c r="AP761" s="7"/>
      <c r="AQ761" s="7"/>
      <c r="AS761" s="36"/>
      <c r="AT761" s="36"/>
      <c r="AU761" s="35"/>
      <c r="AV761" s="7"/>
      <c r="AW761" s="7"/>
      <c r="AX761" s="7"/>
      <c r="AY761" s="7"/>
      <c r="AZ761" s="7"/>
      <c r="BA761" s="7"/>
      <c r="BB761" s="7"/>
      <c r="BC761" s="7"/>
      <c r="BF761" s="7"/>
      <c r="BG761" s="36"/>
      <c r="BH761" s="36"/>
      <c r="BI761" s="36"/>
      <c r="BJ761" s="36"/>
      <c r="BK761" s="36"/>
      <c r="BL761" s="36"/>
      <c r="BM761" s="36"/>
      <c r="BN761" s="36"/>
      <c r="BO761" s="36"/>
    </row>
    <row r="762" spans="1:67" x14ac:dyDescent="0.25">
      <c r="A762" s="39"/>
      <c r="B762" s="40"/>
      <c r="U762" s="36"/>
      <c r="V762" s="36"/>
      <c r="W762" s="35"/>
      <c r="X762" s="7"/>
      <c r="Y762" s="7"/>
      <c r="Z762" s="7"/>
      <c r="AA762" s="7"/>
      <c r="AB762" s="7"/>
      <c r="AC762" s="7"/>
      <c r="AD762" s="7"/>
      <c r="AE762" s="7"/>
      <c r="AG762" s="36"/>
      <c r="AH762" s="36"/>
      <c r="AI762" s="35"/>
      <c r="AJ762" s="7"/>
      <c r="AK762" s="7"/>
      <c r="AL762" s="7"/>
      <c r="AM762" s="7"/>
      <c r="AN762" s="7"/>
      <c r="AO762" s="7"/>
      <c r="AP762" s="7"/>
      <c r="AQ762" s="7"/>
      <c r="AS762" s="36"/>
      <c r="AT762" s="36"/>
      <c r="AU762" s="35"/>
      <c r="AV762" s="7"/>
      <c r="AW762" s="7"/>
      <c r="AX762" s="7"/>
      <c r="AY762" s="7"/>
      <c r="AZ762" s="7"/>
      <c r="BA762" s="7"/>
      <c r="BB762" s="7"/>
      <c r="BC762" s="7"/>
      <c r="BF762" s="7"/>
      <c r="BG762" s="36"/>
      <c r="BH762" s="36"/>
      <c r="BI762" s="36"/>
      <c r="BJ762" s="36"/>
      <c r="BK762" s="36"/>
      <c r="BL762" s="36"/>
      <c r="BM762" s="36"/>
      <c r="BN762" s="36"/>
      <c r="BO762" s="36"/>
    </row>
    <row r="763" spans="1:67" x14ac:dyDescent="0.25">
      <c r="A763" s="39"/>
      <c r="B763" s="40"/>
      <c r="U763" s="36"/>
      <c r="V763" s="36"/>
      <c r="W763" s="35"/>
      <c r="X763" s="7"/>
      <c r="Y763" s="7"/>
      <c r="Z763" s="7"/>
      <c r="AA763" s="7"/>
      <c r="AB763" s="7"/>
      <c r="AC763" s="7"/>
      <c r="AD763" s="7"/>
      <c r="AE763" s="7"/>
      <c r="AG763" s="36"/>
      <c r="AH763" s="36"/>
      <c r="AI763" s="35"/>
      <c r="AJ763" s="7"/>
      <c r="AK763" s="7"/>
      <c r="AL763" s="7"/>
      <c r="AM763" s="7"/>
      <c r="AN763" s="7"/>
      <c r="AO763" s="7"/>
      <c r="AP763" s="7"/>
      <c r="AQ763" s="7"/>
      <c r="AS763" s="36"/>
      <c r="AT763" s="36"/>
      <c r="AU763" s="35"/>
      <c r="AV763" s="7"/>
      <c r="AW763" s="7"/>
      <c r="AX763" s="7"/>
      <c r="AY763" s="7"/>
      <c r="AZ763" s="7"/>
      <c r="BA763" s="7"/>
      <c r="BB763" s="7"/>
      <c r="BC763" s="7"/>
      <c r="BF763" s="7"/>
      <c r="BG763" s="36"/>
      <c r="BH763" s="36"/>
      <c r="BI763" s="36"/>
      <c r="BJ763" s="36"/>
      <c r="BK763" s="36"/>
      <c r="BL763" s="36"/>
      <c r="BM763" s="36"/>
      <c r="BN763" s="36"/>
      <c r="BO763" s="36"/>
    </row>
    <row r="764" spans="1:67" x14ac:dyDescent="0.25">
      <c r="A764" s="39"/>
      <c r="B764" s="40"/>
      <c r="U764" s="36"/>
      <c r="V764" s="36"/>
      <c r="W764" s="35"/>
      <c r="X764" s="7"/>
      <c r="Y764" s="7"/>
      <c r="Z764" s="7"/>
      <c r="AA764" s="7"/>
      <c r="AB764" s="7"/>
      <c r="AC764" s="7"/>
      <c r="AD764" s="7"/>
      <c r="AE764" s="7"/>
      <c r="AG764" s="36"/>
      <c r="AH764" s="36"/>
      <c r="AI764" s="35"/>
      <c r="AJ764" s="7"/>
      <c r="AK764" s="7"/>
      <c r="AL764" s="7"/>
      <c r="AM764" s="7"/>
      <c r="AN764" s="7"/>
      <c r="AO764" s="7"/>
      <c r="AP764" s="7"/>
      <c r="AQ764" s="7"/>
      <c r="AS764" s="36"/>
      <c r="AT764" s="36"/>
      <c r="AU764" s="35"/>
      <c r="AV764" s="7"/>
      <c r="AW764" s="7"/>
      <c r="AX764" s="7"/>
      <c r="AY764" s="7"/>
      <c r="AZ764" s="7"/>
      <c r="BA764" s="7"/>
      <c r="BB764" s="7"/>
      <c r="BC764" s="7"/>
      <c r="BF764" s="7"/>
      <c r="BG764" s="36"/>
      <c r="BH764" s="36"/>
      <c r="BI764" s="36"/>
      <c r="BJ764" s="36"/>
      <c r="BK764" s="36"/>
      <c r="BL764" s="36"/>
      <c r="BM764" s="36"/>
      <c r="BN764" s="36"/>
      <c r="BO764" s="36"/>
    </row>
    <row r="765" spans="1:67" x14ac:dyDescent="0.25">
      <c r="A765" s="39"/>
      <c r="B765" s="40"/>
      <c r="U765" s="36"/>
      <c r="V765" s="36"/>
      <c r="W765" s="35"/>
      <c r="X765" s="7"/>
      <c r="Y765" s="7"/>
      <c r="Z765" s="7"/>
      <c r="AA765" s="7"/>
      <c r="AB765" s="7"/>
      <c r="AC765" s="7"/>
      <c r="AD765" s="7"/>
      <c r="AE765" s="7"/>
      <c r="AG765" s="36"/>
      <c r="AH765" s="36"/>
      <c r="AI765" s="35"/>
      <c r="AJ765" s="7"/>
      <c r="AK765" s="7"/>
      <c r="AL765" s="7"/>
      <c r="AM765" s="7"/>
      <c r="AN765" s="7"/>
      <c r="AO765" s="7"/>
      <c r="AP765" s="7"/>
      <c r="AQ765" s="7"/>
      <c r="AS765" s="36"/>
      <c r="AT765" s="36"/>
      <c r="AU765" s="35"/>
      <c r="AV765" s="7"/>
      <c r="AW765" s="7"/>
      <c r="AX765" s="7"/>
      <c r="AY765" s="7"/>
      <c r="AZ765" s="7"/>
      <c r="BA765" s="7"/>
      <c r="BB765" s="7"/>
      <c r="BC765" s="7"/>
      <c r="BF765" s="7"/>
      <c r="BG765" s="36"/>
      <c r="BH765" s="36"/>
      <c r="BI765" s="36"/>
      <c r="BJ765" s="36"/>
      <c r="BK765" s="36"/>
      <c r="BL765" s="36"/>
      <c r="BM765" s="36"/>
      <c r="BN765" s="36"/>
      <c r="BO765" s="36"/>
    </row>
    <row r="766" spans="1:67" x14ac:dyDescent="0.25">
      <c r="A766" s="39"/>
      <c r="B766" s="40"/>
      <c r="U766" s="36"/>
      <c r="V766" s="36"/>
      <c r="W766" s="35"/>
      <c r="X766" s="7"/>
      <c r="Y766" s="7"/>
      <c r="Z766" s="7"/>
      <c r="AA766" s="7"/>
      <c r="AB766" s="7"/>
      <c r="AC766" s="7"/>
      <c r="AD766" s="7"/>
      <c r="AE766" s="7"/>
      <c r="AG766" s="36"/>
      <c r="AH766" s="36"/>
      <c r="AI766" s="35"/>
      <c r="AJ766" s="7"/>
      <c r="AK766" s="7"/>
      <c r="AL766" s="7"/>
      <c r="AM766" s="7"/>
      <c r="AN766" s="7"/>
      <c r="AO766" s="7"/>
      <c r="AP766" s="7"/>
      <c r="AQ766" s="7"/>
      <c r="AS766" s="36"/>
      <c r="AT766" s="36"/>
      <c r="AU766" s="35"/>
      <c r="AV766" s="7"/>
      <c r="AW766" s="7"/>
      <c r="AX766" s="7"/>
      <c r="AY766" s="7"/>
      <c r="AZ766" s="7"/>
      <c r="BA766" s="7"/>
      <c r="BB766" s="7"/>
      <c r="BC766" s="7"/>
      <c r="BF766" s="7"/>
      <c r="BG766" s="36"/>
      <c r="BH766" s="36"/>
      <c r="BI766" s="36"/>
      <c r="BJ766" s="36"/>
      <c r="BK766" s="36"/>
      <c r="BL766" s="36"/>
      <c r="BM766" s="36"/>
      <c r="BN766" s="36"/>
      <c r="BO766" s="36"/>
    </row>
    <row r="767" spans="1:67" x14ac:dyDescent="0.25">
      <c r="A767" s="39"/>
      <c r="B767" s="40"/>
      <c r="U767" s="36"/>
      <c r="V767" s="36"/>
      <c r="W767" s="35"/>
      <c r="X767" s="7"/>
      <c r="Y767" s="7"/>
      <c r="Z767" s="7"/>
      <c r="AA767" s="7"/>
      <c r="AB767" s="7"/>
      <c r="AC767" s="7"/>
      <c r="AD767" s="7"/>
      <c r="AE767" s="7"/>
      <c r="AG767" s="36"/>
      <c r="AH767" s="36"/>
      <c r="AI767" s="35"/>
      <c r="AJ767" s="7"/>
      <c r="AK767" s="7"/>
      <c r="AL767" s="7"/>
      <c r="AM767" s="7"/>
      <c r="AN767" s="7"/>
      <c r="AO767" s="7"/>
      <c r="AP767" s="7"/>
      <c r="AQ767" s="7"/>
      <c r="AS767" s="36"/>
      <c r="AT767" s="36"/>
      <c r="AU767" s="35"/>
      <c r="AV767" s="7"/>
      <c r="AW767" s="7"/>
      <c r="AX767" s="7"/>
      <c r="AY767" s="7"/>
      <c r="AZ767" s="7"/>
      <c r="BA767" s="7"/>
      <c r="BB767" s="7"/>
      <c r="BC767" s="7"/>
      <c r="BF767" s="7"/>
      <c r="BG767" s="36"/>
      <c r="BH767" s="36"/>
      <c r="BI767" s="36"/>
      <c r="BJ767" s="36"/>
      <c r="BK767" s="36"/>
      <c r="BL767" s="36"/>
      <c r="BM767" s="36"/>
      <c r="BN767" s="36"/>
      <c r="BO767" s="36"/>
    </row>
    <row r="768" spans="1:67" x14ac:dyDescent="0.25">
      <c r="A768" s="39"/>
      <c r="B768" s="40"/>
      <c r="U768" s="36"/>
      <c r="V768" s="36"/>
      <c r="W768" s="35"/>
      <c r="X768" s="7"/>
      <c r="Y768" s="7"/>
      <c r="Z768" s="7"/>
      <c r="AA768" s="7"/>
      <c r="AB768" s="7"/>
      <c r="AC768" s="7"/>
      <c r="AD768" s="7"/>
      <c r="AE768" s="7"/>
      <c r="AG768" s="36"/>
      <c r="AH768" s="36"/>
      <c r="AI768" s="35"/>
      <c r="AJ768" s="7"/>
      <c r="AK768" s="7"/>
      <c r="AL768" s="7"/>
      <c r="AM768" s="7"/>
      <c r="AN768" s="7"/>
      <c r="AO768" s="7"/>
      <c r="AP768" s="7"/>
      <c r="AQ768" s="7"/>
      <c r="AS768" s="36"/>
      <c r="AT768" s="36"/>
      <c r="AU768" s="35"/>
      <c r="AV768" s="7"/>
      <c r="AW768" s="7"/>
      <c r="AX768" s="7"/>
      <c r="AY768" s="7"/>
      <c r="AZ768" s="7"/>
      <c r="BA768" s="7"/>
      <c r="BB768" s="7"/>
      <c r="BC768" s="7"/>
      <c r="BF768" s="7"/>
      <c r="BG768" s="36"/>
      <c r="BH768" s="36"/>
      <c r="BI768" s="36"/>
      <c r="BJ768" s="36"/>
      <c r="BK768" s="36"/>
      <c r="BL768" s="36"/>
      <c r="BM768" s="36"/>
      <c r="BN768" s="36"/>
      <c r="BO768" s="36"/>
    </row>
    <row r="769" spans="1:67" x14ac:dyDescent="0.25">
      <c r="A769" s="39"/>
      <c r="B769" s="40"/>
      <c r="U769" s="36"/>
      <c r="V769" s="36"/>
      <c r="W769" s="35"/>
      <c r="X769" s="7"/>
      <c r="Y769" s="7"/>
      <c r="Z769" s="7"/>
      <c r="AA769" s="7"/>
      <c r="AB769" s="7"/>
      <c r="AC769" s="7"/>
      <c r="AD769" s="7"/>
      <c r="AE769" s="7"/>
      <c r="AG769" s="36"/>
      <c r="AH769" s="36"/>
      <c r="AI769" s="35"/>
      <c r="AJ769" s="7"/>
      <c r="AK769" s="7"/>
      <c r="AL769" s="7"/>
      <c r="AM769" s="7"/>
      <c r="AN769" s="7"/>
      <c r="AO769" s="7"/>
      <c r="AP769" s="7"/>
      <c r="AQ769" s="7"/>
      <c r="AS769" s="36"/>
      <c r="AT769" s="36"/>
      <c r="AU769" s="35"/>
      <c r="AV769" s="7"/>
      <c r="AW769" s="7"/>
      <c r="AX769" s="7"/>
      <c r="AY769" s="7"/>
      <c r="AZ769" s="7"/>
      <c r="BA769" s="7"/>
      <c r="BB769" s="7"/>
      <c r="BC769" s="7"/>
      <c r="BF769" s="7"/>
      <c r="BG769" s="36"/>
      <c r="BH769" s="36"/>
      <c r="BI769" s="36"/>
      <c r="BJ769" s="36"/>
      <c r="BK769" s="36"/>
      <c r="BL769" s="36"/>
      <c r="BM769" s="36"/>
      <c r="BN769" s="36"/>
      <c r="BO769" s="36"/>
    </row>
    <row r="770" spans="1:67" x14ac:dyDescent="0.25">
      <c r="A770" s="39"/>
      <c r="B770" s="40"/>
      <c r="U770" s="36"/>
      <c r="V770" s="36"/>
      <c r="W770" s="35"/>
      <c r="X770" s="7"/>
      <c r="Y770" s="7"/>
      <c r="Z770" s="7"/>
      <c r="AA770" s="7"/>
      <c r="AB770" s="7"/>
      <c r="AC770" s="7"/>
      <c r="AD770" s="7"/>
      <c r="AE770" s="7"/>
      <c r="AG770" s="36"/>
      <c r="AH770" s="36"/>
      <c r="AI770" s="35"/>
      <c r="AJ770" s="7"/>
      <c r="AK770" s="7"/>
      <c r="AL770" s="7"/>
      <c r="AM770" s="7"/>
      <c r="AN770" s="7"/>
      <c r="AO770" s="7"/>
      <c r="AP770" s="7"/>
      <c r="AQ770" s="7"/>
      <c r="AS770" s="36"/>
      <c r="AT770" s="36"/>
      <c r="AU770" s="35"/>
      <c r="AV770" s="7"/>
      <c r="AW770" s="7"/>
      <c r="AX770" s="7"/>
      <c r="AY770" s="7"/>
      <c r="AZ770" s="7"/>
      <c r="BA770" s="7"/>
      <c r="BB770" s="7"/>
      <c r="BC770" s="7"/>
      <c r="BF770" s="7"/>
      <c r="BG770" s="36"/>
      <c r="BH770" s="36"/>
      <c r="BI770" s="36"/>
      <c r="BJ770" s="36"/>
      <c r="BK770" s="36"/>
      <c r="BL770" s="36"/>
      <c r="BM770" s="36"/>
      <c r="BN770" s="36"/>
      <c r="BO770" s="36"/>
    </row>
    <row r="771" spans="1:67" x14ac:dyDescent="0.25">
      <c r="A771" s="39"/>
      <c r="B771" s="40"/>
      <c r="U771" s="36"/>
      <c r="V771" s="36"/>
      <c r="W771" s="35"/>
      <c r="X771" s="7"/>
      <c r="Y771" s="7"/>
      <c r="Z771" s="7"/>
      <c r="AA771" s="7"/>
      <c r="AB771" s="7"/>
      <c r="AC771" s="7"/>
      <c r="AD771" s="7"/>
      <c r="AE771" s="7"/>
      <c r="AG771" s="36"/>
      <c r="AH771" s="36"/>
      <c r="AI771" s="35"/>
      <c r="AJ771" s="7"/>
      <c r="AK771" s="7"/>
      <c r="AL771" s="7"/>
      <c r="AM771" s="7"/>
      <c r="AN771" s="7"/>
      <c r="AO771" s="7"/>
      <c r="AP771" s="7"/>
      <c r="AQ771" s="7"/>
      <c r="AS771" s="36"/>
      <c r="AT771" s="36"/>
      <c r="AU771" s="35"/>
      <c r="AV771" s="7"/>
      <c r="AW771" s="7"/>
      <c r="AX771" s="7"/>
      <c r="AY771" s="7"/>
      <c r="AZ771" s="7"/>
      <c r="BA771" s="7"/>
      <c r="BB771" s="7"/>
      <c r="BC771" s="7"/>
      <c r="BF771" s="7"/>
      <c r="BG771" s="36"/>
      <c r="BH771" s="36"/>
      <c r="BI771" s="36"/>
      <c r="BJ771" s="36"/>
      <c r="BK771" s="36"/>
      <c r="BL771" s="36"/>
      <c r="BM771" s="36"/>
      <c r="BN771" s="36"/>
      <c r="BO771" s="36"/>
    </row>
    <row r="772" spans="1:67" x14ac:dyDescent="0.25">
      <c r="A772" s="39"/>
      <c r="B772" s="40"/>
      <c r="U772" s="36"/>
      <c r="V772" s="36"/>
      <c r="W772" s="35"/>
      <c r="X772" s="7"/>
      <c r="Y772" s="7"/>
      <c r="Z772" s="7"/>
      <c r="AA772" s="7"/>
      <c r="AB772" s="7"/>
      <c r="AC772" s="7"/>
      <c r="AD772" s="7"/>
      <c r="AE772" s="7"/>
      <c r="AG772" s="36"/>
      <c r="AH772" s="36"/>
      <c r="AI772" s="35"/>
      <c r="AJ772" s="7"/>
      <c r="AK772" s="7"/>
      <c r="AL772" s="7"/>
      <c r="AM772" s="7"/>
      <c r="AN772" s="7"/>
      <c r="AO772" s="7"/>
      <c r="AP772" s="7"/>
      <c r="AQ772" s="7"/>
      <c r="AS772" s="36"/>
      <c r="AT772" s="36"/>
      <c r="AU772" s="35"/>
      <c r="AV772" s="7"/>
      <c r="AW772" s="7"/>
      <c r="AX772" s="7"/>
      <c r="AY772" s="7"/>
      <c r="AZ772" s="7"/>
      <c r="BA772" s="7"/>
      <c r="BB772" s="7"/>
      <c r="BC772" s="7"/>
      <c r="BF772" s="7"/>
      <c r="BG772" s="36"/>
      <c r="BH772" s="36"/>
      <c r="BI772" s="36"/>
      <c r="BJ772" s="36"/>
      <c r="BK772" s="36"/>
      <c r="BL772" s="36"/>
      <c r="BM772" s="36"/>
      <c r="BN772" s="36"/>
      <c r="BO772" s="36"/>
    </row>
    <row r="773" spans="1:67" x14ac:dyDescent="0.25">
      <c r="A773" s="39"/>
      <c r="B773" s="40"/>
      <c r="U773" s="36"/>
      <c r="V773" s="36"/>
      <c r="W773" s="35"/>
      <c r="X773" s="7"/>
      <c r="Y773" s="7"/>
      <c r="Z773" s="7"/>
      <c r="AA773" s="7"/>
      <c r="AB773" s="7"/>
      <c r="AC773" s="7"/>
      <c r="AD773" s="7"/>
      <c r="AE773" s="7"/>
      <c r="AG773" s="36"/>
      <c r="AH773" s="36"/>
      <c r="AI773" s="35"/>
      <c r="AJ773" s="7"/>
      <c r="AK773" s="7"/>
      <c r="AL773" s="7"/>
      <c r="AM773" s="7"/>
      <c r="AN773" s="7"/>
      <c r="AO773" s="7"/>
      <c r="AP773" s="7"/>
      <c r="AQ773" s="7"/>
      <c r="AS773" s="36"/>
      <c r="AT773" s="36"/>
      <c r="AU773" s="35"/>
      <c r="AV773" s="7"/>
      <c r="AW773" s="7"/>
      <c r="AX773" s="7"/>
      <c r="AY773" s="7"/>
      <c r="AZ773" s="7"/>
      <c r="BA773" s="7"/>
      <c r="BB773" s="7"/>
      <c r="BC773" s="7"/>
      <c r="BF773" s="7"/>
      <c r="BG773" s="36"/>
      <c r="BH773" s="36"/>
      <c r="BI773" s="36"/>
      <c r="BJ773" s="36"/>
      <c r="BK773" s="36"/>
      <c r="BL773" s="36"/>
      <c r="BM773" s="36"/>
      <c r="BN773" s="36"/>
      <c r="BO773" s="36"/>
    </row>
    <row r="774" spans="1:67" x14ac:dyDescent="0.25">
      <c r="A774" s="39"/>
      <c r="B774" s="40"/>
      <c r="U774" s="36"/>
      <c r="V774" s="36"/>
      <c r="W774" s="35"/>
      <c r="X774" s="7"/>
      <c r="Y774" s="7"/>
      <c r="Z774" s="7"/>
      <c r="AA774" s="7"/>
      <c r="AB774" s="7"/>
      <c r="AC774" s="7"/>
      <c r="AD774" s="7"/>
      <c r="AE774" s="7"/>
      <c r="AG774" s="36"/>
      <c r="AH774" s="36"/>
      <c r="AI774" s="35"/>
      <c r="AJ774" s="7"/>
      <c r="AK774" s="7"/>
      <c r="AL774" s="7"/>
      <c r="AM774" s="7"/>
      <c r="AN774" s="7"/>
      <c r="AO774" s="7"/>
      <c r="AP774" s="7"/>
      <c r="AQ774" s="7"/>
      <c r="AS774" s="36"/>
      <c r="AT774" s="36"/>
      <c r="AU774" s="35"/>
      <c r="AV774" s="7"/>
      <c r="AW774" s="7"/>
      <c r="AX774" s="7"/>
      <c r="AY774" s="7"/>
      <c r="AZ774" s="7"/>
      <c r="BA774" s="7"/>
      <c r="BB774" s="7"/>
      <c r="BC774" s="7"/>
      <c r="BF774" s="7"/>
      <c r="BG774" s="36"/>
      <c r="BH774" s="36"/>
      <c r="BI774" s="36"/>
      <c r="BJ774" s="36"/>
      <c r="BK774" s="36"/>
      <c r="BL774" s="36"/>
      <c r="BM774" s="36"/>
      <c r="BN774" s="36"/>
      <c r="BO774" s="36"/>
    </row>
    <row r="775" spans="1:67" x14ac:dyDescent="0.25">
      <c r="A775" s="39"/>
      <c r="B775" s="40"/>
      <c r="U775" s="36"/>
      <c r="V775" s="36"/>
      <c r="W775" s="35"/>
      <c r="X775" s="7"/>
      <c r="Y775" s="7"/>
      <c r="Z775" s="7"/>
      <c r="AA775" s="7"/>
      <c r="AB775" s="7"/>
      <c r="AC775" s="7"/>
      <c r="AD775" s="7"/>
      <c r="AE775" s="7"/>
      <c r="AG775" s="36"/>
      <c r="AH775" s="36"/>
      <c r="AI775" s="35"/>
      <c r="AJ775" s="7"/>
      <c r="AK775" s="7"/>
      <c r="AL775" s="7"/>
      <c r="AM775" s="7"/>
      <c r="AN775" s="7"/>
      <c r="AO775" s="7"/>
      <c r="AP775" s="7"/>
      <c r="AQ775" s="7"/>
      <c r="AS775" s="36"/>
      <c r="AT775" s="36"/>
      <c r="AU775" s="35"/>
      <c r="AV775" s="7"/>
      <c r="AW775" s="7"/>
      <c r="AX775" s="7"/>
      <c r="AY775" s="7"/>
      <c r="AZ775" s="7"/>
      <c r="BA775" s="7"/>
      <c r="BB775" s="7"/>
      <c r="BC775" s="7"/>
      <c r="BF775" s="7"/>
      <c r="BG775" s="36"/>
      <c r="BH775" s="36"/>
      <c r="BI775" s="36"/>
      <c r="BJ775" s="36"/>
      <c r="BK775" s="36"/>
      <c r="BL775" s="36"/>
      <c r="BM775" s="36"/>
      <c r="BN775" s="36"/>
      <c r="BO775" s="36"/>
    </row>
    <row r="776" spans="1:67" x14ac:dyDescent="0.25">
      <c r="A776" s="39"/>
      <c r="B776" s="40"/>
      <c r="U776" s="36"/>
      <c r="V776" s="36"/>
      <c r="W776" s="35"/>
      <c r="X776" s="7"/>
      <c r="Y776" s="7"/>
      <c r="Z776" s="7"/>
      <c r="AA776" s="7"/>
      <c r="AB776" s="7"/>
      <c r="AC776" s="7"/>
      <c r="AD776" s="7"/>
      <c r="AE776" s="7"/>
      <c r="AG776" s="36"/>
      <c r="AH776" s="36"/>
      <c r="AI776" s="35"/>
      <c r="AJ776" s="7"/>
      <c r="AK776" s="7"/>
      <c r="AL776" s="7"/>
      <c r="AM776" s="7"/>
      <c r="AN776" s="7"/>
      <c r="AO776" s="7"/>
      <c r="AP776" s="7"/>
      <c r="AQ776" s="7"/>
      <c r="AS776" s="36"/>
      <c r="AT776" s="36"/>
      <c r="AU776" s="35"/>
      <c r="AV776" s="7"/>
      <c r="AW776" s="7"/>
      <c r="AX776" s="7"/>
      <c r="AY776" s="7"/>
      <c r="AZ776" s="7"/>
      <c r="BA776" s="7"/>
      <c r="BB776" s="7"/>
      <c r="BC776" s="7"/>
      <c r="BF776" s="7"/>
      <c r="BG776" s="36"/>
      <c r="BH776" s="36"/>
      <c r="BI776" s="36"/>
      <c r="BJ776" s="36"/>
      <c r="BK776" s="36"/>
      <c r="BL776" s="36"/>
      <c r="BM776" s="36"/>
      <c r="BN776" s="36"/>
      <c r="BO776" s="36"/>
    </row>
    <row r="777" spans="1:67" x14ac:dyDescent="0.25">
      <c r="A777" s="39"/>
      <c r="B777" s="40"/>
      <c r="U777" s="36"/>
      <c r="V777" s="36"/>
      <c r="W777" s="35"/>
      <c r="X777" s="7"/>
      <c r="Y777" s="7"/>
      <c r="Z777" s="7"/>
      <c r="AA777" s="7"/>
      <c r="AB777" s="7"/>
      <c r="AC777" s="7"/>
      <c r="AD777" s="7"/>
      <c r="AE777" s="7"/>
      <c r="AG777" s="36"/>
      <c r="AH777" s="36"/>
      <c r="AI777" s="35"/>
      <c r="AJ777" s="7"/>
      <c r="AK777" s="7"/>
      <c r="AL777" s="7"/>
      <c r="AM777" s="7"/>
      <c r="AN777" s="7"/>
      <c r="AO777" s="7"/>
      <c r="AP777" s="7"/>
      <c r="AQ777" s="7"/>
      <c r="AS777" s="36"/>
      <c r="AT777" s="36"/>
      <c r="AU777" s="35"/>
      <c r="AV777" s="7"/>
      <c r="AW777" s="7"/>
      <c r="AX777" s="7"/>
      <c r="AY777" s="7"/>
      <c r="AZ777" s="7"/>
      <c r="BA777" s="7"/>
      <c r="BB777" s="7"/>
      <c r="BC777" s="7"/>
      <c r="BF777" s="7"/>
      <c r="BG777" s="36"/>
      <c r="BH777" s="36"/>
      <c r="BI777" s="36"/>
      <c r="BJ777" s="36"/>
      <c r="BK777" s="36"/>
      <c r="BL777" s="36"/>
      <c r="BM777" s="36"/>
      <c r="BN777" s="36"/>
      <c r="BO777" s="36"/>
    </row>
    <row r="778" spans="1:67" x14ac:dyDescent="0.25">
      <c r="A778" s="39"/>
      <c r="B778" s="40"/>
      <c r="U778" s="36"/>
      <c r="V778" s="36"/>
      <c r="W778" s="35"/>
      <c r="X778" s="7"/>
      <c r="Y778" s="7"/>
      <c r="Z778" s="7"/>
      <c r="AA778" s="7"/>
      <c r="AB778" s="7"/>
      <c r="AC778" s="7"/>
      <c r="AD778" s="7"/>
      <c r="AE778" s="7"/>
      <c r="AG778" s="36"/>
      <c r="AH778" s="36"/>
      <c r="AI778" s="35"/>
      <c r="AJ778" s="7"/>
      <c r="AK778" s="7"/>
      <c r="AL778" s="7"/>
      <c r="AM778" s="7"/>
      <c r="AN778" s="7"/>
      <c r="AO778" s="7"/>
      <c r="AP778" s="7"/>
      <c r="AQ778" s="7"/>
      <c r="AS778" s="36"/>
      <c r="AT778" s="36"/>
      <c r="AU778" s="35"/>
      <c r="AV778" s="7"/>
      <c r="AW778" s="7"/>
      <c r="AX778" s="7"/>
      <c r="AY778" s="7"/>
      <c r="AZ778" s="7"/>
      <c r="BA778" s="7"/>
      <c r="BB778" s="7"/>
      <c r="BC778" s="7"/>
      <c r="BF778" s="7"/>
      <c r="BG778" s="36"/>
      <c r="BH778" s="36"/>
      <c r="BI778" s="36"/>
      <c r="BJ778" s="36"/>
      <c r="BK778" s="36"/>
      <c r="BL778" s="36"/>
      <c r="BM778" s="36"/>
      <c r="BN778" s="36"/>
      <c r="BO778" s="36"/>
    </row>
    <row r="779" spans="1:67" x14ac:dyDescent="0.25">
      <c r="A779" s="39"/>
      <c r="B779" s="40"/>
      <c r="U779" s="36"/>
      <c r="V779" s="36"/>
      <c r="W779" s="35"/>
      <c r="X779" s="7"/>
      <c r="Y779" s="7"/>
      <c r="Z779" s="7"/>
      <c r="AA779" s="7"/>
      <c r="AB779" s="7"/>
      <c r="AC779" s="7"/>
      <c r="AD779" s="7"/>
      <c r="AE779" s="7"/>
      <c r="AG779" s="36"/>
      <c r="AH779" s="36"/>
      <c r="AI779" s="35"/>
      <c r="AJ779" s="7"/>
      <c r="AK779" s="7"/>
      <c r="AL779" s="7"/>
      <c r="AM779" s="7"/>
      <c r="AN779" s="7"/>
      <c r="AO779" s="7"/>
      <c r="AP779" s="7"/>
      <c r="AQ779" s="7"/>
      <c r="AS779" s="36"/>
      <c r="AT779" s="36"/>
      <c r="AU779" s="35"/>
      <c r="AV779" s="7"/>
      <c r="AW779" s="7"/>
      <c r="AX779" s="7"/>
      <c r="AY779" s="7"/>
      <c r="AZ779" s="7"/>
      <c r="BA779" s="7"/>
      <c r="BB779" s="7"/>
      <c r="BC779" s="7"/>
      <c r="BF779" s="7"/>
      <c r="BG779" s="36"/>
      <c r="BH779" s="36"/>
      <c r="BI779" s="36"/>
      <c r="BJ779" s="36"/>
      <c r="BK779" s="36"/>
      <c r="BL779" s="36"/>
      <c r="BM779" s="36"/>
      <c r="BN779" s="36"/>
      <c r="BO779" s="36"/>
    </row>
    <row r="780" spans="1:67" x14ac:dyDescent="0.25">
      <c r="A780" s="39"/>
      <c r="B780" s="40"/>
      <c r="U780" s="36"/>
      <c r="V780" s="36"/>
      <c r="W780" s="35"/>
      <c r="X780" s="7"/>
      <c r="Y780" s="7"/>
      <c r="Z780" s="7"/>
      <c r="AA780" s="7"/>
      <c r="AB780" s="7"/>
      <c r="AC780" s="7"/>
      <c r="AD780" s="7"/>
      <c r="AE780" s="7"/>
      <c r="AG780" s="36"/>
      <c r="AH780" s="36"/>
      <c r="AI780" s="35"/>
      <c r="AJ780" s="7"/>
      <c r="AK780" s="7"/>
      <c r="AL780" s="7"/>
      <c r="AM780" s="7"/>
      <c r="AN780" s="7"/>
      <c r="AO780" s="7"/>
      <c r="AP780" s="7"/>
      <c r="AQ780" s="7"/>
      <c r="AS780" s="36"/>
      <c r="AT780" s="36"/>
      <c r="AU780" s="35"/>
      <c r="AV780" s="7"/>
      <c r="AW780" s="7"/>
      <c r="AX780" s="7"/>
      <c r="AY780" s="7"/>
      <c r="AZ780" s="7"/>
      <c r="BA780" s="7"/>
      <c r="BB780" s="7"/>
      <c r="BC780" s="7"/>
      <c r="BF780" s="7"/>
      <c r="BG780" s="36"/>
      <c r="BH780" s="36"/>
      <c r="BI780" s="36"/>
      <c r="BJ780" s="36"/>
      <c r="BK780" s="36"/>
      <c r="BL780" s="36"/>
      <c r="BM780" s="36"/>
      <c r="BN780" s="36"/>
      <c r="BO780" s="36"/>
    </row>
    <row r="781" spans="1:67" x14ac:dyDescent="0.25">
      <c r="A781" s="39"/>
      <c r="B781" s="40"/>
      <c r="U781" s="36"/>
      <c r="V781" s="36"/>
      <c r="W781" s="35"/>
      <c r="X781" s="7"/>
      <c r="Y781" s="7"/>
      <c r="Z781" s="7"/>
      <c r="AA781" s="7"/>
      <c r="AB781" s="7"/>
      <c r="AC781" s="7"/>
      <c r="AD781" s="7"/>
      <c r="AE781" s="7"/>
      <c r="AG781" s="36"/>
      <c r="AH781" s="36"/>
      <c r="AI781" s="35"/>
      <c r="AJ781" s="7"/>
      <c r="AK781" s="7"/>
      <c r="AL781" s="7"/>
      <c r="AM781" s="7"/>
      <c r="AN781" s="7"/>
      <c r="AO781" s="7"/>
      <c r="AP781" s="7"/>
      <c r="AQ781" s="7"/>
      <c r="AS781" s="36"/>
      <c r="AT781" s="36"/>
      <c r="AU781" s="35"/>
      <c r="AV781" s="7"/>
      <c r="AW781" s="7"/>
      <c r="AX781" s="7"/>
      <c r="AY781" s="7"/>
      <c r="AZ781" s="7"/>
      <c r="BA781" s="7"/>
      <c r="BB781" s="7"/>
      <c r="BC781" s="7"/>
      <c r="BF781" s="7"/>
      <c r="BG781" s="36"/>
      <c r="BH781" s="36"/>
      <c r="BI781" s="36"/>
      <c r="BJ781" s="36"/>
      <c r="BK781" s="36"/>
      <c r="BL781" s="36"/>
      <c r="BM781" s="36"/>
      <c r="BN781" s="36"/>
      <c r="BO781" s="36"/>
    </row>
    <row r="782" spans="1:67" x14ac:dyDescent="0.25">
      <c r="A782" s="39"/>
      <c r="B782" s="40"/>
      <c r="U782" s="36"/>
      <c r="V782" s="36"/>
      <c r="W782" s="35"/>
      <c r="X782" s="7"/>
      <c r="Y782" s="7"/>
      <c r="Z782" s="7"/>
      <c r="AA782" s="7"/>
      <c r="AB782" s="7"/>
      <c r="AC782" s="7"/>
      <c r="AD782" s="7"/>
      <c r="AE782" s="7"/>
      <c r="AG782" s="36"/>
      <c r="AH782" s="36"/>
      <c r="AI782" s="35"/>
      <c r="AJ782" s="7"/>
      <c r="AK782" s="7"/>
      <c r="AL782" s="7"/>
      <c r="AM782" s="7"/>
      <c r="AN782" s="7"/>
      <c r="AO782" s="7"/>
      <c r="AP782" s="7"/>
      <c r="AQ782" s="7"/>
      <c r="AS782" s="36"/>
      <c r="AT782" s="36"/>
      <c r="AU782" s="35"/>
      <c r="AV782" s="7"/>
      <c r="AW782" s="7"/>
      <c r="AX782" s="7"/>
      <c r="AY782" s="7"/>
      <c r="AZ782" s="7"/>
      <c r="BA782" s="7"/>
      <c r="BB782" s="7"/>
      <c r="BC782" s="7"/>
      <c r="BF782" s="7"/>
      <c r="BG782" s="36"/>
      <c r="BH782" s="36"/>
      <c r="BI782" s="36"/>
      <c r="BJ782" s="36"/>
      <c r="BK782" s="36"/>
      <c r="BL782" s="36"/>
      <c r="BM782" s="36"/>
      <c r="BN782" s="36"/>
      <c r="BO782" s="36"/>
    </row>
    <row r="783" spans="1:67" x14ac:dyDescent="0.25">
      <c r="A783" s="39"/>
      <c r="B783" s="40"/>
      <c r="U783" s="36"/>
      <c r="V783" s="36"/>
      <c r="W783" s="35"/>
      <c r="X783" s="7"/>
      <c r="Y783" s="7"/>
      <c r="Z783" s="7"/>
      <c r="AA783" s="7"/>
      <c r="AB783" s="7"/>
      <c r="AC783" s="7"/>
      <c r="AD783" s="7"/>
      <c r="AE783" s="7"/>
      <c r="AG783" s="36"/>
      <c r="AH783" s="36"/>
      <c r="AI783" s="35"/>
      <c r="AJ783" s="7"/>
      <c r="AK783" s="7"/>
      <c r="AL783" s="7"/>
      <c r="AM783" s="7"/>
      <c r="AN783" s="7"/>
      <c r="AO783" s="7"/>
      <c r="AP783" s="7"/>
      <c r="AQ783" s="7"/>
      <c r="AS783" s="36"/>
      <c r="AT783" s="36"/>
      <c r="AU783" s="35"/>
      <c r="AV783" s="7"/>
      <c r="AW783" s="7"/>
      <c r="AX783" s="7"/>
      <c r="AY783" s="7"/>
      <c r="AZ783" s="7"/>
      <c r="BA783" s="7"/>
      <c r="BB783" s="7"/>
      <c r="BC783" s="7"/>
      <c r="BF783" s="7"/>
      <c r="BG783" s="36"/>
      <c r="BH783" s="36"/>
      <c r="BI783" s="36"/>
      <c r="BJ783" s="36"/>
      <c r="BK783" s="36"/>
      <c r="BL783" s="36"/>
      <c r="BM783" s="36"/>
      <c r="BN783" s="36"/>
      <c r="BO783" s="36"/>
    </row>
    <row r="784" spans="1:67" x14ac:dyDescent="0.25">
      <c r="A784" s="39"/>
      <c r="B784" s="40"/>
      <c r="U784" s="36"/>
      <c r="V784" s="36"/>
      <c r="W784" s="35"/>
      <c r="X784" s="7"/>
      <c r="Y784" s="7"/>
      <c r="Z784" s="7"/>
      <c r="AA784" s="7"/>
      <c r="AB784" s="7"/>
      <c r="AC784" s="7"/>
      <c r="AD784" s="7"/>
      <c r="AE784" s="7"/>
      <c r="AG784" s="36"/>
      <c r="AH784" s="36"/>
      <c r="AI784" s="35"/>
      <c r="AJ784" s="7"/>
      <c r="AK784" s="7"/>
      <c r="AL784" s="7"/>
      <c r="AM784" s="7"/>
      <c r="AN784" s="7"/>
      <c r="AO784" s="7"/>
      <c r="AP784" s="7"/>
      <c r="AQ784" s="7"/>
      <c r="AS784" s="36"/>
      <c r="AT784" s="36"/>
      <c r="AU784" s="35"/>
      <c r="AV784" s="7"/>
      <c r="AW784" s="7"/>
      <c r="AX784" s="7"/>
      <c r="AY784" s="7"/>
      <c r="AZ784" s="7"/>
      <c r="BA784" s="7"/>
      <c r="BB784" s="7"/>
      <c r="BC784" s="7"/>
      <c r="BF784" s="7"/>
      <c r="BG784" s="36"/>
      <c r="BH784" s="36"/>
      <c r="BI784" s="36"/>
      <c r="BJ784" s="36"/>
      <c r="BK784" s="36"/>
      <c r="BL784" s="36"/>
      <c r="BM784" s="36"/>
      <c r="BN784" s="36"/>
      <c r="BO784" s="36"/>
    </row>
    <row r="785" spans="1:67" x14ac:dyDescent="0.25">
      <c r="A785" s="39"/>
      <c r="B785" s="40"/>
      <c r="U785" s="36"/>
      <c r="V785" s="36"/>
      <c r="W785" s="35"/>
      <c r="X785" s="7"/>
      <c r="Y785" s="7"/>
      <c r="Z785" s="7"/>
      <c r="AA785" s="7"/>
      <c r="AB785" s="7"/>
      <c r="AC785" s="7"/>
      <c r="AD785" s="7"/>
      <c r="AE785" s="7"/>
      <c r="AG785" s="36"/>
      <c r="AH785" s="36"/>
      <c r="AI785" s="35"/>
      <c r="AJ785" s="7"/>
      <c r="AK785" s="7"/>
      <c r="AL785" s="7"/>
      <c r="AM785" s="7"/>
      <c r="AN785" s="7"/>
      <c r="AO785" s="7"/>
      <c r="AP785" s="7"/>
      <c r="AQ785" s="7"/>
      <c r="AS785" s="36"/>
      <c r="AT785" s="36"/>
      <c r="AU785" s="35"/>
      <c r="AV785" s="7"/>
      <c r="AW785" s="7"/>
      <c r="AX785" s="7"/>
      <c r="AY785" s="7"/>
      <c r="AZ785" s="7"/>
      <c r="BA785" s="7"/>
      <c r="BB785" s="7"/>
      <c r="BC785" s="7"/>
      <c r="BF785" s="7"/>
      <c r="BG785" s="36"/>
      <c r="BH785" s="36"/>
      <c r="BI785" s="36"/>
      <c r="BJ785" s="36"/>
      <c r="BK785" s="36"/>
      <c r="BL785" s="36"/>
      <c r="BM785" s="36"/>
      <c r="BN785" s="36"/>
      <c r="BO785" s="36"/>
    </row>
    <row r="786" spans="1:67" x14ac:dyDescent="0.25">
      <c r="A786" s="39"/>
      <c r="B786" s="40"/>
      <c r="U786" s="36"/>
      <c r="V786" s="36"/>
      <c r="W786" s="35"/>
      <c r="X786" s="7"/>
      <c r="Y786" s="7"/>
      <c r="Z786" s="7"/>
      <c r="AA786" s="7"/>
      <c r="AB786" s="7"/>
      <c r="AC786" s="7"/>
      <c r="AD786" s="7"/>
      <c r="AE786" s="7"/>
      <c r="AG786" s="36"/>
      <c r="AH786" s="36"/>
      <c r="AI786" s="35"/>
      <c r="AJ786" s="7"/>
      <c r="AK786" s="7"/>
      <c r="AL786" s="7"/>
      <c r="AM786" s="7"/>
      <c r="AN786" s="7"/>
      <c r="AO786" s="7"/>
      <c r="AP786" s="7"/>
      <c r="AQ786" s="7"/>
      <c r="AS786" s="36"/>
      <c r="AT786" s="36"/>
      <c r="AU786" s="35"/>
      <c r="AV786" s="7"/>
      <c r="AW786" s="7"/>
      <c r="AX786" s="7"/>
      <c r="AY786" s="7"/>
      <c r="AZ786" s="7"/>
      <c r="BA786" s="7"/>
      <c r="BB786" s="7"/>
      <c r="BC786" s="7"/>
      <c r="BF786" s="7"/>
      <c r="BG786" s="36"/>
      <c r="BH786" s="36"/>
      <c r="BI786" s="36"/>
      <c r="BJ786" s="36"/>
      <c r="BK786" s="36"/>
      <c r="BL786" s="36"/>
      <c r="BM786" s="36"/>
      <c r="BN786" s="36"/>
      <c r="BO786" s="36"/>
    </row>
    <row r="787" spans="1:67" x14ac:dyDescent="0.25">
      <c r="A787" s="39"/>
      <c r="B787" s="40"/>
      <c r="U787" s="36"/>
      <c r="V787" s="36"/>
      <c r="W787" s="35"/>
      <c r="X787" s="7"/>
      <c r="Y787" s="7"/>
      <c r="Z787" s="7"/>
      <c r="AA787" s="7"/>
      <c r="AB787" s="7"/>
      <c r="AC787" s="7"/>
      <c r="AD787" s="7"/>
      <c r="AE787" s="7"/>
      <c r="AG787" s="36"/>
      <c r="AH787" s="36"/>
      <c r="AI787" s="35"/>
      <c r="AJ787" s="7"/>
      <c r="AK787" s="7"/>
      <c r="AL787" s="7"/>
      <c r="AM787" s="7"/>
      <c r="AN787" s="7"/>
      <c r="AO787" s="7"/>
      <c r="AP787" s="7"/>
      <c r="AQ787" s="7"/>
      <c r="AS787" s="36"/>
      <c r="AT787" s="36"/>
      <c r="AU787" s="35"/>
      <c r="AV787" s="7"/>
      <c r="AW787" s="7"/>
      <c r="AX787" s="7"/>
      <c r="AY787" s="7"/>
      <c r="AZ787" s="7"/>
      <c r="BA787" s="7"/>
      <c r="BB787" s="7"/>
      <c r="BC787" s="7"/>
      <c r="BF787" s="7"/>
      <c r="BG787" s="36"/>
      <c r="BH787" s="36"/>
      <c r="BI787" s="36"/>
      <c r="BJ787" s="36"/>
      <c r="BK787" s="36"/>
      <c r="BL787" s="36"/>
      <c r="BM787" s="36"/>
      <c r="BN787" s="36"/>
      <c r="BO787" s="36"/>
    </row>
    <row r="788" spans="1:67" x14ac:dyDescent="0.25">
      <c r="A788" s="39"/>
      <c r="B788" s="40"/>
      <c r="U788" s="36"/>
      <c r="V788" s="36"/>
      <c r="W788" s="35"/>
      <c r="X788" s="7"/>
      <c r="Y788" s="7"/>
      <c r="Z788" s="7"/>
      <c r="AA788" s="7"/>
      <c r="AB788" s="7"/>
      <c r="AC788" s="7"/>
      <c r="AD788" s="7"/>
      <c r="AE788" s="7"/>
      <c r="AG788" s="36"/>
      <c r="AH788" s="36"/>
      <c r="AI788" s="35"/>
      <c r="AJ788" s="7"/>
      <c r="AK788" s="7"/>
      <c r="AL788" s="7"/>
      <c r="AM788" s="7"/>
      <c r="AN788" s="7"/>
      <c r="AO788" s="7"/>
      <c r="AP788" s="7"/>
      <c r="AQ788" s="7"/>
      <c r="AS788" s="36"/>
      <c r="AT788" s="36"/>
      <c r="AU788" s="35"/>
      <c r="AV788" s="7"/>
      <c r="AW788" s="7"/>
      <c r="AX788" s="7"/>
      <c r="AY788" s="7"/>
      <c r="AZ788" s="7"/>
      <c r="BA788" s="7"/>
      <c r="BB788" s="7"/>
      <c r="BC788" s="7"/>
      <c r="BF788" s="7"/>
      <c r="BG788" s="36"/>
      <c r="BH788" s="36"/>
      <c r="BI788" s="36"/>
      <c r="BJ788" s="36"/>
      <c r="BK788" s="36"/>
      <c r="BL788" s="36"/>
      <c r="BM788" s="36"/>
      <c r="BN788" s="36"/>
      <c r="BO788" s="36"/>
    </row>
    <row r="789" spans="1:67" x14ac:dyDescent="0.25">
      <c r="A789" s="39"/>
      <c r="B789" s="40"/>
      <c r="U789" s="36"/>
      <c r="V789" s="36"/>
      <c r="W789" s="35"/>
      <c r="X789" s="7"/>
      <c r="Y789" s="7"/>
      <c r="Z789" s="7"/>
      <c r="AA789" s="7"/>
      <c r="AB789" s="7"/>
      <c r="AC789" s="7"/>
      <c r="AD789" s="7"/>
      <c r="AE789" s="7"/>
      <c r="AG789" s="36"/>
      <c r="AH789" s="36"/>
      <c r="AI789" s="35"/>
      <c r="AJ789" s="7"/>
      <c r="AK789" s="7"/>
      <c r="AL789" s="7"/>
      <c r="AM789" s="7"/>
      <c r="AN789" s="7"/>
      <c r="AO789" s="7"/>
      <c r="AP789" s="7"/>
      <c r="AQ789" s="7"/>
      <c r="AS789" s="36"/>
      <c r="AT789" s="36"/>
      <c r="AU789" s="35"/>
      <c r="AV789" s="7"/>
      <c r="AW789" s="7"/>
      <c r="AX789" s="7"/>
      <c r="AY789" s="7"/>
      <c r="AZ789" s="7"/>
      <c r="BA789" s="7"/>
      <c r="BB789" s="7"/>
      <c r="BC789" s="7"/>
      <c r="BF789" s="7"/>
      <c r="BG789" s="36"/>
      <c r="BH789" s="36"/>
      <c r="BI789" s="36"/>
      <c r="BJ789" s="36"/>
      <c r="BK789" s="36"/>
      <c r="BL789" s="36"/>
      <c r="BM789" s="36"/>
      <c r="BN789" s="36"/>
      <c r="BO789" s="36"/>
    </row>
    <row r="790" spans="1:67" x14ac:dyDescent="0.25">
      <c r="A790" s="39"/>
      <c r="B790" s="40"/>
      <c r="U790" s="36"/>
      <c r="V790" s="36"/>
      <c r="W790" s="35"/>
      <c r="X790" s="7"/>
      <c r="Y790" s="7"/>
      <c r="Z790" s="7"/>
      <c r="AA790" s="7"/>
      <c r="AB790" s="7"/>
      <c r="AC790" s="7"/>
      <c r="AD790" s="7"/>
      <c r="AE790" s="7"/>
      <c r="AG790" s="36"/>
      <c r="AH790" s="36"/>
      <c r="AI790" s="35"/>
      <c r="AJ790" s="7"/>
      <c r="AK790" s="7"/>
      <c r="AL790" s="7"/>
      <c r="AM790" s="7"/>
      <c r="AN790" s="7"/>
      <c r="AO790" s="7"/>
      <c r="AP790" s="7"/>
      <c r="AQ790" s="7"/>
      <c r="AS790" s="36"/>
      <c r="AT790" s="36"/>
      <c r="AU790" s="35"/>
      <c r="AV790" s="7"/>
      <c r="AW790" s="7"/>
      <c r="AX790" s="7"/>
      <c r="AY790" s="7"/>
      <c r="AZ790" s="7"/>
      <c r="BA790" s="7"/>
      <c r="BB790" s="7"/>
      <c r="BC790" s="7"/>
      <c r="BF790" s="7"/>
      <c r="BG790" s="36"/>
      <c r="BH790" s="36"/>
      <c r="BI790" s="36"/>
      <c r="BJ790" s="36"/>
      <c r="BK790" s="36"/>
      <c r="BL790" s="36"/>
      <c r="BM790" s="36"/>
      <c r="BN790" s="36"/>
      <c r="BO790" s="36"/>
    </row>
    <row r="791" spans="1:67" x14ac:dyDescent="0.25">
      <c r="A791" s="39"/>
      <c r="B791" s="40"/>
      <c r="U791" s="36"/>
      <c r="V791" s="36"/>
      <c r="W791" s="35"/>
      <c r="X791" s="7"/>
      <c r="Y791" s="7"/>
      <c r="Z791" s="7"/>
      <c r="AA791" s="7"/>
      <c r="AB791" s="7"/>
      <c r="AC791" s="7"/>
      <c r="AD791" s="7"/>
      <c r="AE791" s="7"/>
      <c r="AG791" s="36"/>
      <c r="AH791" s="36"/>
      <c r="AI791" s="35"/>
      <c r="AJ791" s="7"/>
      <c r="AK791" s="7"/>
      <c r="AL791" s="7"/>
      <c r="AM791" s="7"/>
      <c r="AN791" s="7"/>
      <c r="AO791" s="7"/>
      <c r="AP791" s="7"/>
      <c r="AQ791" s="7"/>
      <c r="AS791" s="36"/>
      <c r="AT791" s="36"/>
      <c r="AU791" s="35"/>
      <c r="AV791" s="7"/>
      <c r="AW791" s="7"/>
      <c r="AX791" s="7"/>
      <c r="AY791" s="7"/>
      <c r="AZ791" s="7"/>
      <c r="BA791" s="7"/>
      <c r="BB791" s="7"/>
      <c r="BC791" s="7"/>
      <c r="BF791" s="7"/>
      <c r="BG791" s="36"/>
      <c r="BH791" s="36"/>
      <c r="BI791" s="36"/>
      <c r="BJ791" s="36"/>
      <c r="BK791" s="36"/>
      <c r="BL791" s="36"/>
      <c r="BM791" s="36"/>
      <c r="BN791" s="36"/>
      <c r="BO791" s="36"/>
    </row>
    <row r="792" spans="1:67" x14ac:dyDescent="0.25">
      <c r="A792" s="39"/>
      <c r="B792" s="40"/>
      <c r="U792" s="36"/>
      <c r="V792" s="36"/>
      <c r="W792" s="35"/>
      <c r="X792" s="7"/>
      <c r="Y792" s="7"/>
      <c r="Z792" s="7"/>
      <c r="AA792" s="7"/>
      <c r="AB792" s="7"/>
      <c r="AC792" s="7"/>
      <c r="AD792" s="7"/>
      <c r="AE792" s="7"/>
      <c r="AG792" s="36"/>
      <c r="AH792" s="36"/>
      <c r="AI792" s="35"/>
      <c r="AJ792" s="7"/>
      <c r="AK792" s="7"/>
      <c r="AL792" s="7"/>
      <c r="AM792" s="7"/>
      <c r="AN792" s="7"/>
      <c r="AO792" s="7"/>
      <c r="AP792" s="7"/>
      <c r="AQ792" s="7"/>
      <c r="AS792" s="36"/>
      <c r="AT792" s="36"/>
      <c r="AU792" s="35"/>
      <c r="AV792" s="7"/>
      <c r="AW792" s="7"/>
      <c r="AX792" s="7"/>
      <c r="AY792" s="7"/>
      <c r="AZ792" s="7"/>
      <c r="BA792" s="7"/>
      <c r="BB792" s="7"/>
      <c r="BC792" s="7"/>
      <c r="BF792" s="7"/>
      <c r="BG792" s="36"/>
      <c r="BH792" s="36"/>
      <c r="BI792" s="36"/>
      <c r="BJ792" s="36"/>
      <c r="BK792" s="36"/>
      <c r="BL792" s="36"/>
      <c r="BM792" s="36"/>
      <c r="BN792" s="36"/>
      <c r="BO792" s="36"/>
    </row>
    <row r="793" spans="1:67" x14ac:dyDescent="0.25">
      <c r="A793" s="39"/>
      <c r="B793" s="40"/>
      <c r="U793" s="36"/>
      <c r="V793" s="36"/>
      <c r="W793" s="35"/>
      <c r="X793" s="7"/>
      <c r="Y793" s="7"/>
      <c r="Z793" s="7"/>
      <c r="AA793" s="7"/>
      <c r="AB793" s="7"/>
      <c r="AC793" s="7"/>
      <c r="AD793" s="7"/>
      <c r="AE793" s="7"/>
      <c r="AG793" s="36"/>
      <c r="AH793" s="36"/>
      <c r="AI793" s="35"/>
      <c r="AJ793" s="7"/>
      <c r="AK793" s="7"/>
      <c r="AL793" s="7"/>
      <c r="AM793" s="7"/>
      <c r="AN793" s="7"/>
      <c r="AO793" s="7"/>
      <c r="AP793" s="7"/>
      <c r="AQ793" s="7"/>
      <c r="AS793" s="36"/>
      <c r="AT793" s="36"/>
      <c r="AU793" s="35"/>
      <c r="AV793" s="7"/>
      <c r="AW793" s="7"/>
      <c r="AX793" s="7"/>
      <c r="AY793" s="7"/>
      <c r="AZ793" s="7"/>
      <c r="BA793" s="7"/>
      <c r="BB793" s="7"/>
      <c r="BC793" s="7"/>
      <c r="BF793" s="7"/>
      <c r="BG793" s="36"/>
      <c r="BH793" s="36"/>
      <c r="BI793" s="36"/>
      <c r="BJ793" s="36"/>
      <c r="BK793" s="36"/>
      <c r="BL793" s="36"/>
      <c r="BM793" s="36"/>
      <c r="BN793" s="36"/>
      <c r="BO793" s="36"/>
    </row>
    <row r="794" spans="1:67" x14ac:dyDescent="0.25">
      <c r="A794" s="39"/>
      <c r="B794" s="40"/>
      <c r="U794" s="36"/>
      <c r="V794" s="36"/>
      <c r="W794" s="35"/>
      <c r="X794" s="7"/>
      <c r="Y794" s="7"/>
      <c r="Z794" s="7"/>
      <c r="AA794" s="7"/>
      <c r="AB794" s="7"/>
      <c r="AC794" s="7"/>
      <c r="AD794" s="7"/>
      <c r="AE794" s="7"/>
      <c r="AG794" s="36"/>
      <c r="AH794" s="36"/>
      <c r="AI794" s="35"/>
      <c r="AJ794" s="7"/>
      <c r="AK794" s="7"/>
      <c r="AL794" s="7"/>
      <c r="AM794" s="7"/>
      <c r="AN794" s="7"/>
      <c r="AO794" s="7"/>
      <c r="AP794" s="7"/>
      <c r="AQ794" s="7"/>
      <c r="AS794" s="36"/>
      <c r="AT794" s="36"/>
      <c r="AU794" s="35"/>
      <c r="AV794" s="7"/>
      <c r="AW794" s="7"/>
      <c r="AX794" s="7"/>
      <c r="AY794" s="7"/>
      <c r="AZ794" s="7"/>
      <c r="BA794" s="7"/>
      <c r="BB794" s="7"/>
      <c r="BC794" s="7"/>
      <c r="BF794" s="7"/>
      <c r="BG794" s="36"/>
      <c r="BH794" s="36"/>
      <c r="BI794" s="36"/>
      <c r="BJ794" s="36"/>
      <c r="BK794" s="36"/>
      <c r="BL794" s="36"/>
      <c r="BM794" s="36"/>
      <c r="BN794" s="36"/>
      <c r="BO794" s="36"/>
    </row>
    <row r="795" spans="1:67" x14ac:dyDescent="0.25">
      <c r="A795" s="39"/>
      <c r="B795" s="40"/>
      <c r="U795" s="36"/>
      <c r="V795" s="36"/>
      <c r="W795" s="35"/>
      <c r="X795" s="7"/>
      <c r="Y795" s="7"/>
      <c r="Z795" s="7"/>
      <c r="AA795" s="7"/>
      <c r="AB795" s="7"/>
      <c r="AC795" s="7"/>
      <c r="AD795" s="7"/>
      <c r="AE795" s="7"/>
      <c r="AG795" s="36"/>
      <c r="AH795" s="36"/>
      <c r="AI795" s="35"/>
      <c r="AJ795" s="7"/>
      <c r="AK795" s="7"/>
      <c r="AL795" s="7"/>
      <c r="AM795" s="7"/>
      <c r="AN795" s="7"/>
      <c r="AO795" s="7"/>
      <c r="AP795" s="7"/>
      <c r="AQ795" s="7"/>
      <c r="AS795" s="36"/>
      <c r="AT795" s="36"/>
      <c r="AU795" s="35"/>
      <c r="AV795" s="7"/>
      <c r="AW795" s="7"/>
      <c r="AX795" s="7"/>
      <c r="AY795" s="7"/>
      <c r="AZ795" s="7"/>
      <c r="BA795" s="7"/>
      <c r="BB795" s="7"/>
      <c r="BC795" s="7"/>
      <c r="BF795" s="7"/>
      <c r="BG795" s="36"/>
      <c r="BH795" s="36"/>
      <c r="BI795" s="36"/>
      <c r="BJ795" s="36"/>
      <c r="BK795" s="36"/>
      <c r="BL795" s="36"/>
      <c r="BM795" s="36"/>
      <c r="BN795" s="36"/>
      <c r="BO795" s="36"/>
    </row>
    <row r="796" spans="1:67" x14ac:dyDescent="0.25">
      <c r="A796" s="39"/>
      <c r="B796" s="40"/>
      <c r="U796" s="36"/>
      <c r="V796" s="36"/>
      <c r="W796" s="35"/>
      <c r="X796" s="7"/>
      <c r="Y796" s="7"/>
      <c r="Z796" s="7"/>
      <c r="AA796" s="7"/>
      <c r="AB796" s="7"/>
      <c r="AC796" s="7"/>
      <c r="AD796" s="7"/>
      <c r="AE796" s="7"/>
      <c r="AG796" s="36"/>
      <c r="AH796" s="36"/>
      <c r="AI796" s="35"/>
      <c r="AJ796" s="7"/>
      <c r="AK796" s="7"/>
      <c r="AL796" s="7"/>
      <c r="AM796" s="7"/>
      <c r="AN796" s="7"/>
      <c r="AO796" s="7"/>
      <c r="AP796" s="7"/>
      <c r="AQ796" s="7"/>
      <c r="AS796" s="36"/>
      <c r="AT796" s="36"/>
      <c r="AU796" s="35"/>
      <c r="AV796" s="7"/>
      <c r="AW796" s="7"/>
      <c r="AX796" s="7"/>
      <c r="AY796" s="7"/>
      <c r="AZ796" s="7"/>
      <c r="BA796" s="7"/>
      <c r="BB796" s="7"/>
      <c r="BC796" s="7"/>
      <c r="BF796" s="7"/>
      <c r="BG796" s="36"/>
      <c r="BH796" s="36"/>
      <c r="BI796" s="36"/>
      <c r="BJ796" s="36"/>
      <c r="BK796" s="36"/>
      <c r="BL796" s="36"/>
      <c r="BM796" s="36"/>
      <c r="BN796" s="36"/>
      <c r="BO796" s="36"/>
    </row>
    <row r="797" spans="1:67" x14ac:dyDescent="0.25">
      <c r="A797" s="39"/>
      <c r="B797" s="40"/>
      <c r="U797" s="36"/>
      <c r="V797" s="36"/>
      <c r="W797" s="35"/>
      <c r="X797" s="7"/>
      <c r="Y797" s="7"/>
      <c r="Z797" s="7"/>
      <c r="AA797" s="7"/>
      <c r="AB797" s="7"/>
      <c r="AC797" s="7"/>
      <c r="AD797" s="7"/>
      <c r="AE797" s="7"/>
      <c r="AG797" s="36"/>
      <c r="AH797" s="36"/>
      <c r="AI797" s="35"/>
      <c r="AJ797" s="7"/>
      <c r="AK797" s="7"/>
      <c r="AL797" s="7"/>
      <c r="AM797" s="7"/>
      <c r="AN797" s="7"/>
      <c r="AO797" s="7"/>
      <c r="AP797" s="7"/>
      <c r="AQ797" s="7"/>
      <c r="AS797" s="36"/>
      <c r="AT797" s="36"/>
      <c r="AU797" s="35"/>
      <c r="AV797" s="7"/>
      <c r="AW797" s="7"/>
      <c r="AX797" s="7"/>
      <c r="AY797" s="7"/>
      <c r="AZ797" s="7"/>
      <c r="BA797" s="7"/>
      <c r="BB797" s="7"/>
      <c r="BC797" s="7"/>
      <c r="BF797" s="7"/>
      <c r="BG797" s="36"/>
      <c r="BH797" s="36"/>
      <c r="BI797" s="36"/>
      <c r="BJ797" s="36"/>
      <c r="BK797" s="36"/>
      <c r="BL797" s="36"/>
      <c r="BM797" s="36"/>
      <c r="BN797" s="36"/>
      <c r="BO797" s="36"/>
    </row>
    <row r="798" spans="1:67" x14ac:dyDescent="0.25">
      <c r="A798" s="39"/>
      <c r="B798" s="40"/>
      <c r="U798" s="36"/>
      <c r="V798" s="36"/>
      <c r="W798" s="35"/>
      <c r="X798" s="7"/>
      <c r="Y798" s="7"/>
      <c r="Z798" s="7"/>
      <c r="AA798" s="7"/>
      <c r="AB798" s="7"/>
      <c r="AC798" s="7"/>
      <c r="AD798" s="7"/>
      <c r="AE798" s="7"/>
      <c r="AG798" s="36"/>
      <c r="AH798" s="36"/>
      <c r="AI798" s="35"/>
      <c r="AJ798" s="7"/>
      <c r="AK798" s="7"/>
      <c r="AL798" s="7"/>
      <c r="AM798" s="7"/>
      <c r="AN798" s="7"/>
      <c r="AO798" s="7"/>
      <c r="AP798" s="7"/>
      <c r="AQ798" s="7"/>
      <c r="AS798" s="36"/>
      <c r="AT798" s="36"/>
      <c r="AU798" s="35"/>
      <c r="AV798" s="7"/>
      <c r="AW798" s="7"/>
      <c r="AX798" s="7"/>
      <c r="AY798" s="7"/>
      <c r="AZ798" s="7"/>
      <c r="BA798" s="7"/>
      <c r="BB798" s="7"/>
      <c r="BC798" s="7"/>
      <c r="BF798" s="7"/>
      <c r="BG798" s="36"/>
      <c r="BH798" s="36"/>
      <c r="BI798" s="36"/>
      <c r="BJ798" s="36"/>
      <c r="BK798" s="36"/>
      <c r="BL798" s="36"/>
      <c r="BM798" s="36"/>
      <c r="BN798" s="36"/>
      <c r="BO798" s="36"/>
    </row>
    <row r="799" spans="1:67" x14ac:dyDescent="0.25">
      <c r="A799" s="39"/>
      <c r="B799" s="40"/>
      <c r="U799" s="36"/>
      <c r="V799" s="36"/>
      <c r="W799" s="35"/>
      <c r="X799" s="7"/>
      <c r="Y799" s="7"/>
      <c r="Z799" s="7"/>
      <c r="AA799" s="7"/>
      <c r="AB799" s="7"/>
      <c r="AC799" s="7"/>
      <c r="AD799" s="7"/>
      <c r="AE799" s="7"/>
      <c r="AG799" s="36"/>
      <c r="AH799" s="36"/>
      <c r="AI799" s="35"/>
      <c r="AJ799" s="7"/>
      <c r="AK799" s="7"/>
      <c r="AL799" s="7"/>
      <c r="AM799" s="7"/>
      <c r="AN799" s="7"/>
      <c r="AO799" s="7"/>
      <c r="AP799" s="7"/>
      <c r="AQ799" s="7"/>
      <c r="AS799" s="36"/>
      <c r="AT799" s="36"/>
      <c r="AU799" s="35"/>
      <c r="AV799" s="7"/>
      <c r="AW799" s="7"/>
      <c r="AX799" s="7"/>
      <c r="AY799" s="7"/>
      <c r="AZ799" s="7"/>
      <c r="BA799" s="7"/>
      <c r="BB799" s="7"/>
      <c r="BC799" s="7"/>
      <c r="BF799" s="7"/>
      <c r="BG799" s="36"/>
      <c r="BH799" s="36"/>
      <c r="BI799" s="36"/>
      <c r="BJ799" s="36"/>
      <c r="BK799" s="36"/>
      <c r="BL799" s="36"/>
      <c r="BM799" s="36"/>
      <c r="BN799" s="36"/>
      <c r="BO799" s="36"/>
    </row>
    <row r="800" spans="1:67" x14ac:dyDescent="0.25">
      <c r="A800" s="39"/>
      <c r="B800" s="40"/>
      <c r="U800" s="36"/>
      <c r="V800" s="36"/>
      <c r="W800" s="35"/>
      <c r="X800" s="7"/>
      <c r="Y800" s="7"/>
      <c r="Z800" s="7"/>
      <c r="AA800" s="7"/>
      <c r="AB800" s="7"/>
      <c r="AC800" s="7"/>
      <c r="AD800" s="7"/>
      <c r="AE800" s="7"/>
      <c r="AG800" s="36"/>
      <c r="AH800" s="36"/>
      <c r="AI800" s="35"/>
      <c r="AJ800" s="7"/>
      <c r="AK800" s="7"/>
      <c r="AL800" s="7"/>
      <c r="AM800" s="7"/>
      <c r="AN800" s="7"/>
      <c r="AO800" s="7"/>
      <c r="AP800" s="7"/>
      <c r="AQ800" s="7"/>
      <c r="AS800" s="36"/>
      <c r="AT800" s="36"/>
      <c r="AU800" s="35"/>
      <c r="AV800" s="7"/>
      <c r="AW800" s="7"/>
      <c r="AX800" s="7"/>
      <c r="AY800" s="7"/>
      <c r="AZ800" s="7"/>
      <c r="BA800" s="7"/>
      <c r="BB800" s="7"/>
      <c r="BC800" s="7"/>
      <c r="BF800" s="7"/>
      <c r="BG800" s="36"/>
      <c r="BH800" s="36"/>
      <c r="BI800" s="36"/>
      <c r="BJ800" s="36"/>
      <c r="BK800" s="36"/>
      <c r="BL800" s="36"/>
      <c r="BM800" s="36"/>
      <c r="BN800" s="36"/>
      <c r="BO800" s="36"/>
    </row>
    <row r="801" spans="1:67" x14ac:dyDescent="0.25">
      <c r="A801" s="39"/>
      <c r="B801" s="40"/>
      <c r="U801" s="36"/>
      <c r="V801" s="36"/>
      <c r="W801" s="35"/>
      <c r="X801" s="7"/>
      <c r="Y801" s="7"/>
      <c r="Z801" s="7"/>
      <c r="AA801" s="7"/>
      <c r="AB801" s="7"/>
      <c r="AC801" s="7"/>
      <c r="AD801" s="7"/>
      <c r="AE801" s="7"/>
      <c r="AG801" s="36"/>
      <c r="AH801" s="36"/>
      <c r="AI801" s="35"/>
      <c r="AJ801" s="7"/>
      <c r="AK801" s="7"/>
      <c r="AL801" s="7"/>
      <c r="AM801" s="7"/>
      <c r="AN801" s="7"/>
      <c r="AO801" s="7"/>
      <c r="AP801" s="7"/>
      <c r="AQ801" s="7"/>
      <c r="AS801" s="36"/>
      <c r="AT801" s="36"/>
      <c r="AU801" s="35"/>
      <c r="AV801" s="7"/>
      <c r="AW801" s="7"/>
      <c r="AX801" s="7"/>
      <c r="AY801" s="7"/>
      <c r="AZ801" s="7"/>
      <c r="BA801" s="7"/>
      <c r="BB801" s="7"/>
      <c r="BC801" s="7"/>
      <c r="BF801" s="7"/>
      <c r="BG801" s="36"/>
      <c r="BH801" s="36"/>
      <c r="BI801" s="36"/>
      <c r="BJ801" s="36"/>
      <c r="BK801" s="36"/>
      <c r="BL801" s="36"/>
      <c r="BM801" s="36"/>
      <c r="BN801" s="36"/>
      <c r="BO801" s="36"/>
    </row>
    <row r="802" spans="1:67" x14ac:dyDescent="0.25">
      <c r="A802" s="39"/>
      <c r="B802" s="40"/>
      <c r="U802" s="36"/>
      <c r="V802" s="36"/>
      <c r="W802" s="35"/>
      <c r="X802" s="7"/>
      <c r="Y802" s="7"/>
      <c r="Z802" s="7"/>
      <c r="AA802" s="7"/>
      <c r="AB802" s="7"/>
      <c r="AC802" s="7"/>
      <c r="AD802" s="7"/>
      <c r="AE802" s="7"/>
      <c r="AG802" s="36"/>
      <c r="AH802" s="36"/>
      <c r="AI802" s="35"/>
      <c r="AJ802" s="7"/>
      <c r="AK802" s="7"/>
      <c r="AL802" s="7"/>
      <c r="AM802" s="7"/>
      <c r="AN802" s="7"/>
      <c r="AO802" s="7"/>
      <c r="AP802" s="7"/>
      <c r="AQ802" s="7"/>
      <c r="AS802" s="36"/>
      <c r="AT802" s="36"/>
      <c r="AU802" s="35"/>
      <c r="AV802" s="7"/>
      <c r="AW802" s="7"/>
      <c r="AX802" s="7"/>
      <c r="AY802" s="7"/>
      <c r="AZ802" s="7"/>
      <c r="BA802" s="7"/>
      <c r="BB802" s="7"/>
      <c r="BC802" s="7"/>
      <c r="BF802" s="7"/>
      <c r="BG802" s="36"/>
      <c r="BH802" s="36"/>
      <c r="BI802" s="36"/>
      <c r="BJ802" s="36"/>
      <c r="BK802" s="36"/>
      <c r="BL802" s="36"/>
      <c r="BM802" s="36"/>
      <c r="BN802" s="36"/>
      <c r="BO802" s="36"/>
    </row>
    <row r="803" spans="1:67" x14ac:dyDescent="0.25">
      <c r="A803" s="39"/>
      <c r="B803" s="40"/>
      <c r="U803" s="36"/>
      <c r="V803" s="36"/>
      <c r="W803" s="35"/>
      <c r="X803" s="7"/>
      <c r="Y803" s="7"/>
      <c r="Z803" s="7"/>
      <c r="AA803" s="7"/>
      <c r="AB803" s="7"/>
      <c r="AC803" s="7"/>
      <c r="AD803" s="7"/>
      <c r="AE803" s="7"/>
      <c r="AG803" s="36"/>
      <c r="AH803" s="36"/>
      <c r="AI803" s="35"/>
      <c r="AJ803" s="7"/>
      <c r="AK803" s="7"/>
      <c r="AL803" s="7"/>
      <c r="AM803" s="7"/>
      <c r="AN803" s="7"/>
      <c r="AO803" s="7"/>
      <c r="AP803" s="7"/>
      <c r="AQ803" s="7"/>
      <c r="AS803" s="36"/>
      <c r="AT803" s="36"/>
      <c r="AU803" s="35"/>
      <c r="AV803" s="7"/>
      <c r="AW803" s="7"/>
      <c r="AX803" s="7"/>
      <c r="AY803" s="7"/>
      <c r="AZ803" s="7"/>
      <c r="BA803" s="7"/>
      <c r="BB803" s="7"/>
      <c r="BC803" s="7"/>
      <c r="BF803" s="7"/>
      <c r="BG803" s="36"/>
      <c r="BH803" s="36"/>
      <c r="BI803" s="36"/>
      <c r="BJ803" s="36"/>
      <c r="BK803" s="36"/>
      <c r="BL803" s="36"/>
      <c r="BM803" s="36"/>
      <c r="BN803" s="36"/>
      <c r="BO803" s="36"/>
    </row>
    <row r="804" spans="1:67" x14ac:dyDescent="0.25">
      <c r="A804" s="39"/>
      <c r="B804" s="40"/>
      <c r="U804" s="36"/>
      <c r="V804" s="36"/>
      <c r="W804" s="35"/>
      <c r="X804" s="7"/>
      <c r="Y804" s="7"/>
      <c r="Z804" s="7"/>
      <c r="AA804" s="7"/>
      <c r="AB804" s="7"/>
      <c r="AC804" s="7"/>
      <c r="AD804" s="7"/>
      <c r="AE804" s="7"/>
      <c r="AG804" s="36"/>
      <c r="AH804" s="36"/>
      <c r="AI804" s="35"/>
      <c r="AJ804" s="7"/>
      <c r="AK804" s="7"/>
      <c r="AL804" s="7"/>
      <c r="AM804" s="7"/>
      <c r="AN804" s="7"/>
      <c r="AO804" s="7"/>
      <c r="AP804" s="7"/>
      <c r="AQ804" s="7"/>
      <c r="AS804" s="36"/>
      <c r="AT804" s="36"/>
      <c r="AU804" s="35"/>
      <c r="AV804" s="7"/>
      <c r="AW804" s="7"/>
      <c r="AX804" s="7"/>
      <c r="AY804" s="7"/>
      <c r="AZ804" s="7"/>
      <c r="BA804" s="7"/>
      <c r="BB804" s="7"/>
      <c r="BC804" s="7"/>
      <c r="BF804" s="7"/>
      <c r="BG804" s="36"/>
      <c r="BH804" s="36"/>
      <c r="BI804" s="36"/>
      <c r="BJ804" s="36"/>
      <c r="BK804" s="36"/>
      <c r="BL804" s="36"/>
      <c r="BM804" s="36"/>
      <c r="BN804" s="36"/>
      <c r="BO804" s="36"/>
    </row>
    <row r="805" spans="1:67" x14ac:dyDescent="0.25">
      <c r="A805" s="39"/>
      <c r="B805" s="40"/>
      <c r="U805" s="36"/>
      <c r="V805" s="36"/>
      <c r="W805" s="35"/>
      <c r="X805" s="7"/>
      <c r="Y805" s="7"/>
      <c r="Z805" s="7"/>
      <c r="AA805" s="7"/>
      <c r="AB805" s="7"/>
      <c r="AC805" s="7"/>
      <c r="AD805" s="7"/>
      <c r="AE805" s="7"/>
      <c r="AG805" s="36"/>
      <c r="AH805" s="36"/>
      <c r="AI805" s="35"/>
      <c r="AJ805" s="7"/>
      <c r="AK805" s="7"/>
      <c r="AL805" s="7"/>
      <c r="AM805" s="7"/>
      <c r="AN805" s="7"/>
      <c r="AO805" s="7"/>
      <c r="AP805" s="7"/>
      <c r="AQ805" s="7"/>
      <c r="AS805" s="36"/>
      <c r="AT805" s="36"/>
      <c r="AU805" s="35"/>
      <c r="AV805" s="7"/>
      <c r="AW805" s="7"/>
      <c r="AX805" s="7"/>
      <c r="AY805" s="7"/>
      <c r="AZ805" s="7"/>
      <c r="BA805" s="7"/>
      <c r="BB805" s="7"/>
      <c r="BC805" s="7"/>
      <c r="BF805" s="7"/>
      <c r="BG805" s="36"/>
      <c r="BH805" s="36"/>
      <c r="BI805" s="36"/>
      <c r="BJ805" s="36"/>
      <c r="BK805" s="36"/>
      <c r="BL805" s="36"/>
      <c r="BM805" s="36"/>
      <c r="BN805" s="36"/>
      <c r="BO805" s="36"/>
    </row>
    <row r="806" spans="1:67" x14ac:dyDescent="0.25">
      <c r="A806" s="39"/>
      <c r="B806" s="40"/>
      <c r="U806" s="36"/>
      <c r="V806" s="36"/>
      <c r="W806" s="35"/>
      <c r="X806" s="7"/>
      <c r="Y806" s="7"/>
      <c r="Z806" s="7"/>
      <c r="AA806" s="7"/>
      <c r="AB806" s="7"/>
      <c r="AC806" s="7"/>
      <c r="AD806" s="7"/>
      <c r="AE806" s="7"/>
      <c r="AG806" s="36"/>
      <c r="AH806" s="36"/>
      <c r="AI806" s="35"/>
      <c r="AJ806" s="7"/>
      <c r="AK806" s="7"/>
      <c r="AL806" s="7"/>
      <c r="AM806" s="7"/>
      <c r="AN806" s="7"/>
      <c r="AO806" s="7"/>
      <c r="AP806" s="7"/>
      <c r="AQ806" s="7"/>
      <c r="AS806" s="36"/>
      <c r="AT806" s="36"/>
      <c r="AU806" s="35"/>
      <c r="AV806" s="7"/>
      <c r="AW806" s="7"/>
      <c r="AX806" s="7"/>
      <c r="AY806" s="7"/>
      <c r="AZ806" s="7"/>
      <c r="BA806" s="7"/>
      <c r="BB806" s="7"/>
      <c r="BC806" s="7"/>
      <c r="BF806" s="7"/>
      <c r="BG806" s="36"/>
      <c r="BH806" s="36"/>
      <c r="BI806" s="36"/>
      <c r="BJ806" s="36"/>
      <c r="BK806" s="36"/>
      <c r="BL806" s="36"/>
      <c r="BM806" s="36"/>
      <c r="BN806" s="36"/>
      <c r="BO806" s="36"/>
    </row>
    <row r="807" spans="1:67" x14ac:dyDescent="0.25">
      <c r="A807" s="39"/>
      <c r="B807" s="40"/>
      <c r="U807" s="36"/>
      <c r="V807" s="36"/>
      <c r="W807" s="35"/>
      <c r="X807" s="7"/>
      <c r="Y807" s="7"/>
      <c r="Z807" s="7"/>
      <c r="AA807" s="7"/>
      <c r="AB807" s="7"/>
      <c r="AC807" s="7"/>
      <c r="AD807" s="7"/>
      <c r="AE807" s="7"/>
      <c r="AG807" s="36"/>
      <c r="AH807" s="36"/>
      <c r="AI807" s="35"/>
      <c r="AJ807" s="7"/>
      <c r="AK807" s="7"/>
      <c r="AL807" s="7"/>
      <c r="AM807" s="7"/>
      <c r="AN807" s="7"/>
      <c r="AO807" s="7"/>
      <c r="AP807" s="7"/>
      <c r="AQ807" s="7"/>
      <c r="AS807" s="36"/>
      <c r="AT807" s="36"/>
      <c r="AU807" s="35"/>
      <c r="AV807" s="7"/>
      <c r="AW807" s="7"/>
      <c r="AX807" s="7"/>
      <c r="AY807" s="7"/>
      <c r="AZ807" s="7"/>
      <c r="BA807" s="7"/>
      <c r="BB807" s="7"/>
      <c r="BC807" s="7"/>
      <c r="BF807" s="7"/>
      <c r="BG807" s="36"/>
      <c r="BH807" s="36"/>
      <c r="BI807" s="36"/>
      <c r="BJ807" s="36"/>
      <c r="BK807" s="36"/>
      <c r="BL807" s="36"/>
      <c r="BM807" s="36"/>
      <c r="BN807" s="36"/>
      <c r="BO807" s="36"/>
    </row>
    <row r="808" spans="1:67" x14ac:dyDescent="0.25">
      <c r="A808" s="39"/>
      <c r="B808" s="40"/>
      <c r="U808" s="36"/>
      <c r="V808" s="36"/>
      <c r="W808" s="35"/>
      <c r="X808" s="7"/>
      <c r="Y808" s="7"/>
      <c r="Z808" s="7"/>
      <c r="AA808" s="7"/>
      <c r="AB808" s="7"/>
      <c r="AC808" s="7"/>
      <c r="AD808" s="7"/>
      <c r="AE808" s="7"/>
      <c r="AG808" s="36"/>
      <c r="AH808" s="36"/>
      <c r="AI808" s="35"/>
      <c r="AJ808" s="7"/>
      <c r="AK808" s="7"/>
      <c r="AL808" s="7"/>
      <c r="AM808" s="7"/>
      <c r="AN808" s="7"/>
      <c r="AO808" s="7"/>
      <c r="AP808" s="7"/>
      <c r="AQ808" s="7"/>
      <c r="AS808" s="36"/>
      <c r="AT808" s="36"/>
      <c r="AU808" s="35"/>
      <c r="AV808" s="7"/>
      <c r="AW808" s="7"/>
      <c r="AX808" s="7"/>
      <c r="AY808" s="7"/>
      <c r="AZ808" s="7"/>
      <c r="BA808" s="7"/>
      <c r="BB808" s="7"/>
      <c r="BC808" s="7"/>
      <c r="BF808" s="7"/>
      <c r="BG808" s="36"/>
      <c r="BH808" s="36"/>
      <c r="BI808" s="36"/>
      <c r="BJ808" s="36"/>
      <c r="BK808" s="36"/>
      <c r="BL808" s="36"/>
      <c r="BM808" s="36"/>
      <c r="BN808" s="36"/>
      <c r="BO808" s="36"/>
    </row>
    <row r="809" spans="1:67" x14ac:dyDescent="0.25">
      <c r="A809" s="39"/>
      <c r="B809" s="40"/>
      <c r="U809" s="36"/>
      <c r="V809" s="36"/>
      <c r="W809" s="35"/>
      <c r="X809" s="7"/>
      <c r="Y809" s="7"/>
      <c r="Z809" s="7"/>
      <c r="AA809" s="7"/>
      <c r="AB809" s="7"/>
      <c r="AC809" s="7"/>
      <c r="AD809" s="7"/>
      <c r="AE809" s="7"/>
      <c r="AG809" s="36"/>
      <c r="AH809" s="36"/>
      <c r="AI809" s="35"/>
      <c r="AJ809" s="7"/>
      <c r="AK809" s="7"/>
      <c r="AL809" s="7"/>
      <c r="AM809" s="7"/>
      <c r="AN809" s="7"/>
      <c r="AO809" s="7"/>
      <c r="AP809" s="7"/>
      <c r="AQ809" s="7"/>
      <c r="AS809" s="36"/>
      <c r="AT809" s="36"/>
      <c r="AU809" s="35"/>
      <c r="AV809" s="7"/>
      <c r="AW809" s="7"/>
      <c r="AX809" s="7"/>
      <c r="AY809" s="7"/>
      <c r="AZ809" s="7"/>
      <c r="BA809" s="7"/>
      <c r="BB809" s="7"/>
      <c r="BC809" s="7"/>
      <c r="BF809" s="7"/>
      <c r="BG809" s="36"/>
      <c r="BH809" s="36"/>
      <c r="BI809" s="36"/>
      <c r="BJ809" s="36"/>
      <c r="BK809" s="36"/>
      <c r="BL809" s="36"/>
      <c r="BM809" s="36"/>
      <c r="BN809" s="36"/>
      <c r="BO809" s="36"/>
    </row>
    <row r="810" spans="1:67" x14ac:dyDescent="0.25">
      <c r="A810" s="39"/>
      <c r="B810" s="40"/>
      <c r="U810" s="36"/>
      <c r="V810" s="36"/>
      <c r="W810" s="35"/>
      <c r="X810" s="7"/>
      <c r="Y810" s="7"/>
      <c r="Z810" s="7"/>
      <c r="AA810" s="7"/>
      <c r="AB810" s="7"/>
      <c r="AC810" s="7"/>
      <c r="AD810" s="7"/>
      <c r="AE810" s="7"/>
      <c r="AG810" s="36"/>
      <c r="AH810" s="36"/>
      <c r="AI810" s="35"/>
      <c r="AJ810" s="7"/>
      <c r="AK810" s="7"/>
      <c r="AL810" s="7"/>
      <c r="AM810" s="7"/>
      <c r="AN810" s="7"/>
      <c r="AO810" s="7"/>
      <c r="AP810" s="7"/>
      <c r="AQ810" s="7"/>
      <c r="AS810" s="36"/>
      <c r="AT810" s="36"/>
      <c r="AU810" s="35"/>
      <c r="AV810" s="7"/>
      <c r="AW810" s="7"/>
      <c r="AX810" s="7"/>
      <c r="AY810" s="7"/>
      <c r="AZ810" s="7"/>
      <c r="BA810" s="7"/>
      <c r="BB810" s="7"/>
      <c r="BC810" s="7"/>
      <c r="BF810" s="7"/>
      <c r="BG810" s="36"/>
      <c r="BH810" s="36"/>
      <c r="BI810" s="36"/>
      <c r="BJ810" s="36"/>
      <c r="BK810" s="36"/>
      <c r="BL810" s="36"/>
      <c r="BM810" s="36"/>
      <c r="BN810" s="36"/>
      <c r="BO810" s="36"/>
    </row>
    <row r="811" spans="1:67" x14ac:dyDescent="0.25">
      <c r="A811" s="39"/>
      <c r="B811" s="40"/>
      <c r="U811" s="36"/>
      <c r="V811" s="36"/>
      <c r="W811" s="35"/>
      <c r="X811" s="7"/>
      <c r="Y811" s="7"/>
      <c r="Z811" s="7"/>
      <c r="AA811" s="7"/>
      <c r="AB811" s="7"/>
      <c r="AC811" s="7"/>
      <c r="AD811" s="7"/>
      <c r="AE811" s="7"/>
      <c r="AG811" s="36"/>
      <c r="AH811" s="36"/>
      <c r="AI811" s="35"/>
      <c r="AJ811" s="7"/>
      <c r="AK811" s="7"/>
      <c r="AL811" s="7"/>
      <c r="AM811" s="7"/>
      <c r="AN811" s="7"/>
      <c r="AO811" s="7"/>
      <c r="AP811" s="7"/>
      <c r="AQ811" s="7"/>
      <c r="AS811" s="36"/>
      <c r="AT811" s="36"/>
      <c r="AU811" s="35"/>
      <c r="AV811" s="7"/>
      <c r="AW811" s="7"/>
      <c r="AX811" s="7"/>
      <c r="AY811" s="7"/>
      <c r="AZ811" s="7"/>
      <c r="BA811" s="7"/>
      <c r="BB811" s="7"/>
      <c r="BC811" s="7"/>
      <c r="BF811" s="7"/>
      <c r="BG811" s="36"/>
      <c r="BH811" s="36"/>
      <c r="BI811" s="36"/>
      <c r="BJ811" s="36"/>
      <c r="BK811" s="36"/>
      <c r="BL811" s="36"/>
      <c r="BM811" s="36"/>
      <c r="BN811" s="36"/>
      <c r="BO811" s="36"/>
    </row>
    <row r="812" spans="1:67" x14ac:dyDescent="0.25">
      <c r="A812" s="39"/>
      <c r="B812" s="40"/>
      <c r="U812" s="36"/>
      <c r="V812" s="36"/>
      <c r="W812" s="35"/>
      <c r="X812" s="7"/>
      <c r="Y812" s="7"/>
      <c r="Z812" s="7"/>
      <c r="AA812" s="7"/>
      <c r="AB812" s="7"/>
      <c r="AC812" s="7"/>
      <c r="AD812" s="7"/>
      <c r="AE812" s="7"/>
      <c r="AG812" s="36"/>
      <c r="AH812" s="36"/>
      <c r="AI812" s="35"/>
      <c r="AJ812" s="7"/>
      <c r="AK812" s="7"/>
      <c r="AL812" s="7"/>
      <c r="AM812" s="7"/>
      <c r="AN812" s="7"/>
      <c r="AO812" s="7"/>
      <c r="AP812" s="7"/>
      <c r="AQ812" s="7"/>
      <c r="AS812" s="36"/>
      <c r="AT812" s="36"/>
      <c r="AU812" s="35"/>
      <c r="AV812" s="7"/>
      <c r="AW812" s="7"/>
      <c r="AX812" s="7"/>
      <c r="AY812" s="7"/>
      <c r="AZ812" s="7"/>
      <c r="BA812" s="7"/>
      <c r="BB812" s="7"/>
      <c r="BC812" s="7"/>
      <c r="BF812" s="7"/>
      <c r="BG812" s="36"/>
      <c r="BH812" s="36"/>
      <c r="BI812" s="36"/>
      <c r="BJ812" s="36"/>
      <c r="BK812" s="36"/>
      <c r="BL812" s="36"/>
      <c r="BM812" s="36"/>
      <c r="BN812" s="36"/>
      <c r="BO812" s="36"/>
    </row>
    <row r="813" spans="1:67" x14ac:dyDescent="0.25">
      <c r="A813" s="39"/>
      <c r="B813" s="40"/>
      <c r="U813" s="36"/>
      <c r="V813" s="36"/>
      <c r="W813" s="35"/>
      <c r="X813" s="7"/>
      <c r="Y813" s="7"/>
      <c r="Z813" s="7"/>
      <c r="AA813" s="7"/>
      <c r="AB813" s="7"/>
      <c r="AC813" s="7"/>
      <c r="AD813" s="7"/>
      <c r="AE813" s="7"/>
      <c r="AG813" s="36"/>
      <c r="AH813" s="36"/>
      <c r="AI813" s="35"/>
      <c r="AJ813" s="7"/>
      <c r="AK813" s="7"/>
      <c r="AL813" s="7"/>
      <c r="AM813" s="7"/>
      <c r="AN813" s="7"/>
      <c r="AO813" s="7"/>
      <c r="AP813" s="7"/>
      <c r="AQ813" s="7"/>
      <c r="AS813" s="36"/>
      <c r="AT813" s="36"/>
      <c r="AU813" s="35"/>
      <c r="AV813" s="7"/>
      <c r="AW813" s="7"/>
      <c r="AX813" s="7"/>
      <c r="AY813" s="7"/>
      <c r="AZ813" s="7"/>
      <c r="BA813" s="7"/>
      <c r="BB813" s="7"/>
      <c r="BC813" s="7"/>
      <c r="BF813" s="7"/>
      <c r="BG813" s="36"/>
      <c r="BH813" s="36"/>
      <c r="BI813" s="36"/>
      <c r="BJ813" s="36"/>
      <c r="BK813" s="36"/>
      <c r="BL813" s="36"/>
      <c r="BM813" s="36"/>
      <c r="BN813" s="36"/>
      <c r="BO813" s="36"/>
    </row>
    <row r="814" spans="1:67" x14ac:dyDescent="0.25">
      <c r="A814" s="39"/>
      <c r="B814" s="40"/>
      <c r="U814" s="36"/>
      <c r="V814" s="36"/>
      <c r="W814" s="35"/>
      <c r="X814" s="7"/>
      <c r="Y814" s="7"/>
      <c r="Z814" s="7"/>
      <c r="AA814" s="7"/>
      <c r="AB814" s="7"/>
      <c r="AC814" s="7"/>
      <c r="AD814" s="7"/>
      <c r="AE814" s="7"/>
      <c r="AG814" s="36"/>
      <c r="AH814" s="36"/>
      <c r="AI814" s="35"/>
      <c r="AJ814" s="7"/>
      <c r="AK814" s="7"/>
      <c r="AL814" s="7"/>
      <c r="AM814" s="7"/>
      <c r="AN814" s="7"/>
      <c r="AO814" s="7"/>
      <c r="AP814" s="7"/>
      <c r="AQ814" s="7"/>
      <c r="AS814" s="36"/>
      <c r="AT814" s="36"/>
      <c r="AU814" s="35"/>
      <c r="AV814" s="7"/>
      <c r="AW814" s="7"/>
      <c r="AX814" s="7"/>
      <c r="AY814" s="7"/>
      <c r="AZ814" s="7"/>
      <c r="BA814" s="7"/>
      <c r="BB814" s="7"/>
      <c r="BC814" s="7"/>
      <c r="BF814" s="7"/>
      <c r="BG814" s="36"/>
      <c r="BH814" s="36"/>
      <c r="BI814" s="36"/>
      <c r="BJ814" s="36"/>
      <c r="BK814" s="36"/>
      <c r="BL814" s="36"/>
      <c r="BM814" s="36"/>
      <c r="BN814" s="36"/>
      <c r="BO814" s="36"/>
    </row>
    <row r="815" spans="1:67" x14ac:dyDescent="0.25">
      <c r="A815" s="39"/>
      <c r="B815" s="40"/>
      <c r="U815" s="36"/>
      <c r="V815" s="36"/>
      <c r="W815" s="35"/>
      <c r="X815" s="7"/>
      <c r="Y815" s="7"/>
      <c r="Z815" s="7"/>
      <c r="AA815" s="7"/>
      <c r="AB815" s="7"/>
      <c r="AC815" s="7"/>
      <c r="AD815" s="7"/>
      <c r="AE815" s="7"/>
      <c r="AG815" s="36"/>
      <c r="AH815" s="36"/>
      <c r="AI815" s="35"/>
      <c r="AJ815" s="7"/>
      <c r="AK815" s="7"/>
      <c r="AL815" s="7"/>
      <c r="AM815" s="7"/>
      <c r="AN815" s="7"/>
      <c r="AO815" s="7"/>
      <c r="AP815" s="7"/>
      <c r="AQ815" s="7"/>
      <c r="AS815" s="36"/>
      <c r="AT815" s="36"/>
      <c r="AU815" s="35"/>
      <c r="AV815" s="7"/>
      <c r="AW815" s="7"/>
      <c r="AX815" s="7"/>
      <c r="AY815" s="7"/>
      <c r="AZ815" s="7"/>
      <c r="BA815" s="7"/>
      <c r="BB815" s="7"/>
      <c r="BC815" s="7"/>
      <c r="BF815" s="7"/>
      <c r="BG815" s="36"/>
      <c r="BH815" s="36"/>
      <c r="BI815" s="36"/>
      <c r="BJ815" s="36"/>
      <c r="BK815" s="36"/>
      <c r="BL815" s="36"/>
      <c r="BM815" s="36"/>
      <c r="BN815" s="36"/>
      <c r="BO815" s="36"/>
    </row>
    <row r="816" spans="1:67" x14ac:dyDescent="0.25">
      <c r="A816" s="39"/>
      <c r="B816" s="40"/>
      <c r="U816" s="36"/>
      <c r="V816" s="36"/>
      <c r="W816" s="35"/>
      <c r="X816" s="7"/>
      <c r="Y816" s="7"/>
      <c r="Z816" s="7"/>
      <c r="AA816" s="7"/>
      <c r="AB816" s="7"/>
      <c r="AC816" s="7"/>
      <c r="AD816" s="7"/>
      <c r="AE816" s="7"/>
      <c r="AG816" s="36"/>
      <c r="AH816" s="36"/>
      <c r="AI816" s="35"/>
      <c r="AJ816" s="7"/>
      <c r="AK816" s="7"/>
      <c r="AL816" s="7"/>
      <c r="AM816" s="7"/>
      <c r="AN816" s="7"/>
      <c r="AO816" s="7"/>
      <c r="AP816" s="7"/>
      <c r="AQ816" s="7"/>
      <c r="AS816" s="36"/>
      <c r="AT816" s="36"/>
      <c r="AU816" s="35"/>
      <c r="AV816" s="7"/>
      <c r="AW816" s="7"/>
      <c r="AX816" s="7"/>
      <c r="AY816" s="7"/>
      <c r="AZ816" s="7"/>
      <c r="BA816" s="7"/>
      <c r="BB816" s="7"/>
      <c r="BC816" s="7"/>
      <c r="BF816" s="7"/>
      <c r="BG816" s="36"/>
      <c r="BH816" s="36"/>
      <c r="BI816" s="36"/>
      <c r="BJ816" s="36"/>
      <c r="BK816" s="36"/>
      <c r="BL816" s="36"/>
      <c r="BM816" s="36"/>
      <c r="BN816" s="36"/>
      <c r="BO816" s="36"/>
    </row>
    <row r="817" spans="1:67" x14ac:dyDescent="0.25">
      <c r="A817" s="39"/>
      <c r="B817" s="40"/>
      <c r="U817" s="36"/>
      <c r="V817" s="36"/>
      <c r="W817" s="35"/>
      <c r="X817" s="7"/>
      <c r="Y817" s="7"/>
      <c r="Z817" s="7"/>
      <c r="AA817" s="7"/>
      <c r="AB817" s="7"/>
      <c r="AC817" s="7"/>
      <c r="AD817" s="7"/>
      <c r="AE817" s="7"/>
      <c r="AG817" s="36"/>
      <c r="AH817" s="36"/>
      <c r="AI817" s="35"/>
      <c r="AJ817" s="7"/>
      <c r="AK817" s="7"/>
      <c r="AL817" s="7"/>
      <c r="AM817" s="7"/>
      <c r="AN817" s="7"/>
      <c r="AO817" s="7"/>
      <c r="AP817" s="7"/>
      <c r="AQ817" s="7"/>
      <c r="AS817" s="36"/>
      <c r="AT817" s="36"/>
      <c r="AU817" s="35"/>
      <c r="AV817" s="7"/>
      <c r="AW817" s="7"/>
      <c r="AX817" s="7"/>
      <c r="AY817" s="7"/>
      <c r="AZ817" s="7"/>
      <c r="BA817" s="7"/>
      <c r="BB817" s="7"/>
      <c r="BC817" s="7"/>
      <c r="BF817" s="7"/>
      <c r="BG817" s="36"/>
      <c r="BH817" s="36"/>
      <c r="BI817" s="36"/>
      <c r="BJ817" s="36"/>
      <c r="BK817" s="36"/>
      <c r="BL817" s="36"/>
      <c r="BM817" s="36"/>
      <c r="BN817" s="36"/>
      <c r="BO817" s="36"/>
    </row>
    <row r="818" spans="1:67" x14ac:dyDescent="0.25">
      <c r="A818" s="39"/>
      <c r="B818" s="40"/>
      <c r="U818" s="36"/>
      <c r="V818" s="36"/>
      <c r="W818" s="35"/>
      <c r="X818" s="7"/>
      <c r="Y818" s="7"/>
      <c r="Z818" s="7"/>
      <c r="AA818" s="7"/>
      <c r="AB818" s="7"/>
      <c r="AC818" s="7"/>
      <c r="AD818" s="7"/>
      <c r="AE818" s="7"/>
      <c r="AG818" s="36"/>
      <c r="AH818" s="36"/>
      <c r="AI818" s="35"/>
      <c r="AJ818" s="7"/>
      <c r="AK818" s="7"/>
      <c r="AL818" s="7"/>
      <c r="AM818" s="7"/>
      <c r="AN818" s="7"/>
      <c r="AO818" s="7"/>
      <c r="AP818" s="7"/>
      <c r="AQ818" s="7"/>
      <c r="AS818" s="36"/>
      <c r="AT818" s="36"/>
      <c r="AU818" s="35"/>
      <c r="AV818" s="7"/>
      <c r="AW818" s="7"/>
      <c r="AX818" s="7"/>
      <c r="AY818" s="7"/>
      <c r="AZ818" s="7"/>
      <c r="BA818" s="7"/>
      <c r="BB818" s="7"/>
      <c r="BC818" s="7"/>
      <c r="BF818" s="7"/>
      <c r="BG818" s="36"/>
      <c r="BH818" s="36"/>
      <c r="BI818" s="36"/>
      <c r="BJ818" s="36"/>
      <c r="BK818" s="36"/>
      <c r="BL818" s="36"/>
      <c r="BM818" s="36"/>
      <c r="BN818" s="36"/>
      <c r="BO818" s="36"/>
    </row>
    <row r="819" spans="1:67" x14ac:dyDescent="0.25">
      <c r="A819" s="39"/>
      <c r="B819" s="40"/>
      <c r="U819" s="36"/>
      <c r="V819" s="36"/>
      <c r="W819" s="35"/>
      <c r="X819" s="7"/>
      <c r="Y819" s="7"/>
      <c r="Z819" s="7"/>
      <c r="AA819" s="7"/>
      <c r="AB819" s="7"/>
      <c r="AC819" s="7"/>
      <c r="AD819" s="7"/>
      <c r="AE819" s="7"/>
      <c r="AG819" s="36"/>
      <c r="AH819" s="36"/>
      <c r="AI819" s="35"/>
      <c r="AJ819" s="7"/>
      <c r="AK819" s="7"/>
      <c r="AL819" s="7"/>
      <c r="AM819" s="7"/>
      <c r="AN819" s="7"/>
      <c r="AO819" s="7"/>
      <c r="AP819" s="7"/>
      <c r="AQ819" s="7"/>
      <c r="AS819" s="36"/>
      <c r="AT819" s="36"/>
      <c r="AU819" s="35"/>
      <c r="AV819" s="7"/>
      <c r="AW819" s="7"/>
      <c r="AX819" s="7"/>
      <c r="AY819" s="7"/>
      <c r="AZ819" s="7"/>
      <c r="BA819" s="7"/>
      <c r="BB819" s="7"/>
      <c r="BC819" s="7"/>
      <c r="BF819" s="7"/>
      <c r="BG819" s="36"/>
      <c r="BH819" s="36"/>
      <c r="BI819" s="36"/>
      <c r="BJ819" s="36"/>
      <c r="BK819" s="36"/>
      <c r="BL819" s="36"/>
      <c r="BM819" s="36"/>
      <c r="BN819" s="36"/>
      <c r="BO819" s="36"/>
    </row>
    <row r="820" spans="1:67" x14ac:dyDescent="0.25">
      <c r="A820" s="39"/>
      <c r="B820" s="40"/>
      <c r="U820" s="36"/>
      <c r="V820" s="36"/>
      <c r="W820" s="35"/>
      <c r="X820" s="7"/>
      <c r="Y820" s="7"/>
      <c r="Z820" s="7"/>
      <c r="AA820" s="7"/>
      <c r="AB820" s="7"/>
      <c r="AC820" s="7"/>
      <c r="AD820" s="7"/>
      <c r="AE820" s="7"/>
      <c r="AG820" s="36"/>
      <c r="AH820" s="36"/>
      <c r="AI820" s="35"/>
      <c r="AJ820" s="7"/>
      <c r="AK820" s="7"/>
      <c r="AL820" s="7"/>
      <c r="AM820" s="7"/>
      <c r="AN820" s="7"/>
      <c r="AO820" s="7"/>
      <c r="AP820" s="7"/>
      <c r="AQ820" s="7"/>
      <c r="AS820" s="36"/>
      <c r="AT820" s="36"/>
      <c r="AU820" s="35"/>
      <c r="AV820" s="7"/>
      <c r="AW820" s="7"/>
      <c r="AX820" s="7"/>
      <c r="AY820" s="7"/>
      <c r="AZ820" s="7"/>
      <c r="BA820" s="7"/>
      <c r="BB820" s="7"/>
      <c r="BC820" s="7"/>
      <c r="BF820" s="7"/>
      <c r="BG820" s="36"/>
      <c r="BH820" s="36"/>
      <c r="BI820" s="36"/>
      <c r="BJ820" s="36"/>
      <c r="BK820" s="36"/>
      <c r="BL820" s="36"/>
      <c r="BM820" s="36"/>
      <c r="BN820" s="36"/>
      <c r="BO820" s="36"/>
    </row>
    <row r="821" spans="1:67" x14ac:dyDescent="0.25">
      <c r="A821" s="39"/>
      <c r="B821" s="40"/>
      <c r="U821" s="36"/>
      <c r="V821" s="36"/>
      <c r="W821" s="35"/>
      <c r="X821" s="7"/>
      <c r="Y821" s="7"/>
      <c r="Z821" s="7"/>
      <c r="AA821" s="7"/>
      <c r="AB821" s="7"/>
      <c r="AC821" s="7"/>
      <c r="AD821" s="7"/>
      <c r="AE821" s="7"/>
      <c r="AG821" s="36"/>
      <c r="AH821" s="36"/>
      <c r="AI821" s="35"/>
      <c r="AJ821" s="7"/>
      <c r="AK821" s="7"/>
      <c r="AL821" s="7"/>
      <c r="AM821" s="7"/>
      <c r="AN821" s="7"/>
      <c r="AO821" s="7"/>
      <c r="AP821" s="7"/>
      <c r="AQ821" s="7"/>
      <c r="AS821" s="36"/>
      <c r="AT821" s="36"/>
      <c r="AU821" s="35"/>
      <c r="AV821" s="7"/>
      <c r="AW821" s="7"/>
      <c r="AX821" s="7"/>
      <c r="AY821" s="7"/>
      <c r="AZ821" s="7"/>
      <c r="BA821" s="7"/>
      <c r="BB821" s="7"/>
      <c r="BC821" s="7"/>
      <c r="BF821" s="7"/>
      <c r="BG821" s="36"/>
      <c r="BH821" s="36"/>
      <c r="BI821" s="36"/>
      <c r="BJ821" s="36"/>
      <c r="BK821" s="36"/>
      <c r="BL821" s="36"/>
      <c r="BM821" s="36"/>
      <c r="BN821" s="36"/>
      <c r="BO821" s="36"/>
    </row>
    <row r="822" spans="1:67" x14ac:dyDescent="0.25">
      <c r="A822" s="39"/>
      <c r="B822" s="40"/>
      <c r="U822" s="36"/>
      <c r="V822" s="36"/>
      <c r="W822" s="35"/>
      <c r="X822" s="7"/>
      <c r="Y822" s="7"/>
      <c r="Z822" s="7"/>
      <c r="AA822" s="7"/>
      <c r="AB822" s="7"/>
      <c r="AC822" s="7"/>
      <c r="AD822" s="7"/>
      <c r="AE822" s="7"/>
      <c r="AG822" s="36"/>
      <c r="AH822" s="36"/>
      <c r="AI822" s="35"/>
      <c r="AJ822" s="7"/>
      <c r="AK822" s="7"/>
      <c r="AL822" s="7"/>
      <c r="AM822" s="7"/>
      <c r="AN822" s="7"/>
      <c r="AO822" s="7"/>
      <c r="AP822" s="7"/>
      <c r="AQ822" s="7"/>
      <c r="AS822" s="36"/>
      <c r="AT822" s="36"/>
      <c r="AU822" s="35"/>
      <c r="AV822" s="7"/>
      <c r="AW822" s="7"/>
      <c r="AX822" s="7"/>
      <c r="AY822" s="7"/>
      <c r="AZ822" s="7"/>
      <c r="BA822" s="7"/>
      <c r="BB822" s="7"/>
      <c r="BC822" s="7"/>
      <c r="BF822" s="7"/>
      <c r="BG822" s="36"/>
      <c r="BH822" s="36"/>
      <c r="BI822" s="36"/>
      <c r="BJ822" s="36"/>
      <c r="BK822" s="36"/>
      <c r="BL822" s="36"/>
      <c r="BM822" s="36"/>
      <c r="BN822" s="36"/>
      <c r="BO822" s="36"/>
    </row>
    <row r="823" spans="1:67" x14ac:dyDescent="0.25">
      <c r="A823" s="39"/>
      <c r="B823" s="40"/>
      <c r="U823" s="36"/>
      <c r="V823" s="36"/>
      <c r="W823" s="35"/>
      <c r="X823" s="7"/>
      <c r="Y823" s="7"/>
      <c r="Z823" s="7"/>
      <c r="AA823" s="7"/>
      <c r="AB823" s="7"/>
      <c r="AC823" s="7"/>
      <c r="AD823" s="7"/>
      <c r="AE823" s="7"/>
      <c r="AG823" s="36"/>
      <c r="AH823" s="36"/>
      <c r="AI823" s="35"/>
      <c r="AJ823" s="7"/>
      <c r="AK823" s="7"/>
      <c r="AL823" s="7"/>
      <c r="AM823" s="7"/>
      <c r="AN823" s="7"/>
      <c r="AO823" s="7"/>
      <c r="AP823" s="7"/>
      <c r="AQ823" s="7"/>
      <c r="AS823" s="36"/>
      <c r="AT823" s="36"/>
      <c r="AU823" s="35"/>
      <c r="AV823" s="7"/>
      <c r="AW823" s="7"/>
      <c r="AX823" s="7"/>
      <c r="AY823" s="7"/>
      <c r="AZ823" s="7"/>
      <c r="BA823" s="7"/>
      <c r="BB823" s="7"/>
      <c r="BC823" s="7"/>
      <c r="BF823" s="7"/>
      <c r="BG823" s="36"/>
      <c r="BH823" s="36"/>
      <c r="BI823" s="36"/>
      <c r="BJ823" s="36"/>
      <c r="BK823" s="36"/>
      <c r="BL823" s="36"/>
      <c r="BM823" s="36"/>
      <c r="BN823" s="36"/>
      <c r="BO823" s="36"/>
    </row>
    <row r="824" spans="1:67" x14ac:dyDescent="0.25">
      <c r="A824" s="39"/>
      <c r="B824" s="40"/>
      <c r="U824" s="36"/>
      <c r="V824" s="36"/>
      <c r="W824" s="35"/>
      <c r="X824" s="7"/>
      <c r="Y824" s="7"/>
      <c r="Z824" s="7"/>
      <c r="AA824" s="7"/>
      <c r="AB824" s="7"/>
      <c r="AC824" s="7"/>
      <c r="AD824" s="7"/>
      <c r="AE824" s="7"/>
      <c r="AG824" s="36"/>
      <c r="AH824" s="36"/>
      <c r="AI824" s="35"/>
      <c r="AJ824" s="7"/>
      <c r="AK824" s="7"/>
      <c r="AL824" s="7"/>
      <c r="AM824" s="7"/>
      <c r="AN824" s="7"/>
      <c r="AO824" s="7"/>
      <c r="AP824" s="7"/>
      <c r="AQ824" s="7"/>
      <c r="AS824" s="36"/>
      <c r="AT824" s="36"/>
      <c r="AU824" s="35"/>
      <c r="AV824" s="7"/>
      <c r="AW824" s="7"/>
      <c r="AX824" s="7"/>
      <c r="AY824" s="7"/>
      <c r="AZ824" s="7"/>
      <c r="BA824" s="7"/>
      <c r="BB824" s="7"/>
      <c r="BC824" s="7"/>
      <c r="BF824" s="7"/>
      <c r="BG824" s="36"/>
      <c r="BH824" s="36"/>
      <c r="BI824" s="36"/>
      <c r="BJ824" s="36"/>
      <c r="BK824" s="36"/>
      <c r="BL824" s="36"/>
      <c r="BM824" s="36"/>
      <c r="BN824" s="36"/>
      <c r="BO824" s="36"/>
    </row>
    <row r="825" spans="1:67" x14ac:dyDescent="0.25">
      <c r="A825" s="39"/>
      <c r="B825" s="40"/>
      <c r="U825" s="36"/>
      <c r="V825" s="36"/>
      <c r="W825" s="35"/>
      <c r="X825" s="7"/>
      <c r="Y825" s="7"/>
      <c r="Z825" s="7"/>
      <c r="AA825" s="7"/>
      <c r="AB825" s="7"/>
      <c r="AC825" s="7"/>
      <c r="AD825" s="7"/>
      <c r="AE825" s="7"/>
      <c r="AG825" s="36"/>
      <c r="AH825" s="36"/>
      <c r="AI825" s="35"/>
      <c r="AJ825" s="7"/>
      <c r="AK825" s="7"/>
      <c r="AL825" s="7"/>
      <c r="AM825" s="7"/>
      <c r="AN825" s="7"/>
      <c r="AO825" s="7"/>
      <c r="AP825" s="7"/>
      <c r="AQ825" s="7"/>
      <c r="AS825" s="36"/>
      <c r="AT825" s="36"/>
      <c r="AU825" s="35"/>
      <c r="AV825" s="7"/>
      <c r="AW825" s="7"/>
      <c r="AX825" s="7"/>
      <c r="AY825" s="7"/>
      <c r="AZ825" s="7"/>
      <c r="BA825" s="7"/>
      <c r="BB825" s="7"/>
      <c r="BC825" s="7"/>
      <c r="BF825" s="7"/>
      <c r="BG825" s="36"/>
      <c r="BH825" s="36"/>
      <c r="BI825" s="36"/>
      <c r="BJ825" s="36"/>
      <c r="BK825" s="36"/>
      <c r="BL825" s="36"/>
      <c r="BM825" s="36"/>
      <c r="BN825" s="36"/>
      <c r="BO825" s="36"/>
    </row>
    <row r="826" spans="1:67" x14ac:dyDescent="0.25">
      <c r="A826" s="39"/>
      <c r="B826" s="40"/>
      <c r="U826" s="36"/>
      <c r="V826" s="36"/>
      <c r="W826" s="35"/>
      <c r="X826" s="7"/>
      <c r="Y826" s="7"/>
      <c r="Z826" s="7"/>
      <c r="AA826" s="7"/>
      <c r="AB826" s="7"/>
      <c r="AC826" s="7"/>
      <c r="AD826" s="7"/>
      <c r="AE826" s="7"/>
      <c r="AG826" s="36"/>
      <c r="AH826" s="36"/>
      <c r="AI826" s="35"/>
      <c r="AJ826" s="7"/>
      <c r="AK826" s="7"/>
      <c r="AL826" s="7"/>
      <c r="AM826" s="7"/>
      <c r="AN826" s="7"/>
      <c r="AO826" s="7"/>
      <c r="AP826" s="7"/>
      <c r="AQ826" s="7"/>
      <c r="AS826" s="36"/>
      <c r="AT826" s="36"/>
      <c r="AU826" s="35"/>
      <c r="AV826" s="7"/>
      <c r="AW826" s="7"/>
      <c r="AX826" s="7"/>
      <c r="AY826" s="7"/>
      <c r="AZ826" s="7"/>
      <c r="BA826" s="7"/>
      <c r="BB826" s="7"/>
      <c r="BC826" s="7"/>
      <c r="BF826" s="7"/>
      <c r="BG826" s="36"/>
      <c r="BH826" s="36"/>
      <c r="BI826" s="36"/>
      <c r="BJ826" s="36"/>
      <c r="BK826" s="36"/>
      <c r="BL826" s="36"/>
      <c r="BM826" s="36"/>
      <c r="BN826" s="36"/>
      <c r="BO826" s="36"/>
    </row>
    <row r="827" spans="1:67" x14ac:dyDescent="0.25">
      <c r="A827" s="39"/>
      <c r="B827" s="40"/>
      <c r="U827" s="36"/>
      <c r="V827" s="36"/>
      <c r="W827" s="35"/>
      <c r="X827" s="7"/>
      <c r="Y827" s="7"/>
      <c r="Z827" s="7"/>
      <c r="AA827" s="7"/>
      <c r="AB827" s="7"/>
      <c r="AC827" s="7"/>
      <c r="AD827" s="7"/>
      <c r="AE827" s="7"/>
      <c r="AG827" s="36"/>
      <c r="AH827" s="36"/>
      <c r="AI827" s="35"/>
      <c r="AJ827" s="7"/>
      <c r="AK827" s="7"/>
      <c r="AL827" s="7"/>
      <c r="AM827" s="7"/>
      <c r="AN827" s="7"/>
      <c r="AO827" s="7"/>
      <c r="AP827" s="7"/>
      <c r="AQ827" s="7"/>
      <c r="AS827" s="36"/>
      <c r="AT827" s="36"/>
      <c r="AU827" s="35"/>
      <c r="AV827" s="7"/>
      <c r="AW827" s="7"/>
      <c r="AX827" s="7"/>
      <c r="AY827" s="7"/>
      <c r="AZ827" s="7"/>
      <c r="BA827" s="7"/>
      <c r="BB827" s="7"/>
      <c r="BC827" s="7"/>
      <c r="BF827" s="7"/>
      <c r="BG827" s="36"/>
      <c r="BH827" s="36"/>
      <c r="BI827" s="36"/>
      <c r="BJ827" s="36"/>
      <c r="BK827" s="36"/>
      <c r="BL827" s="36"/>
      <c r="BM827" s="36"/>
      <c r="BN827" s="36"/>
      <c r="BO827" s="36"/>
    </row>
    <row r="828" spans="1:67" x14ac:dyDescent="0.25">
      <c r="A828" s="39"/>
      <c r="B828" s="40"/>
      <c r="U828" s="36"/>
      <c r="V828" s="36"/>
      <c r="W828" s="35"/>
      <c r="X828" s="7"/>
      <c r="Y828" s="7"/>
      <c r="Z828" s="7"/>
      <c r="AA828" s="7"/>
      <c r="AB828" s="7"/>
      <c r="AC828" s="7"/>
      <c r="AD828" s="7"/>
      <c r="AE828" s="7"/>
      <c r="AG828" s="36"/>
      <c r="AH828" s="36"/>
      <c r="AI828" s="35"/>
      <c r="AJ828" s="7"/>
      <c r="AK828" s="7"/>
      <c r="AL828" s="7"/>
      <c r="AM828" s="7"/>
      <c r="AN828" s="7"/>
      <c r="AO828" s="7"/>
      <c r="AP828" s="7"/>
      <c r="AQ828" s="7"/>
      <c r="AS828" s="36"/>
      <c r="AT828" s="36"/>
      <c r="AU828" s="35"/>
      <c r="AV828" s="7"/>
      <c r="AW828" s="7"/>
      <c r="AX828" s="7"/>
      <c r="AY828" s="7"/>
      <c r="AZ828" s="7"/>
      <c r="BA828" s="7"/>
      <c r="BB828" s="7"/>
      <c r="BC828" s="7"/>
      <c r="BF828" s="7"/>
      <c r="BG828" s="36"/>
      <c r="BH828" s="36"/>
      <c r="BI828" s="36"/>
      <c r="BJ828" s="36"/>
      <c r="BK828" s="36"/>
      <c r="BL828" s="36"/>
      <c r="BM828" s="36"/>
      <c r="BN828" s="36"/>
      <c r="BO828" s="36"/>
    </row>
    <row r="829" spans="1:67" x14ac:dyDescent="0.25">
      <c r="A829" s="39"/>
      <c r="B829" s="40"/>
      <c r="U829" s="36"/>
      <c r="V829" s="36"/>
      <c r="W829" s="35"/>
      <c r="X829" s="7"/>
      <c r="Y829" s="7"/>
      <c r="Z829" s="7"/>
      <c r="AA829" s="7"/>
      <c r="AB829" s="7"/>
      <c r="AC829" s="7"/>
      <c r="AD829" s="7"/>
      <c r="AE829" s="7"/>
      <c r="AG829" s="36"/>
      <c r="AH829" s="36"/>
      <c r="AI829" s="35"/>
      <c r="AJ829" s="7"/>
      <c r="AK829" s="7"/>
      <c r="AL829" s="7"/>
      <c r="AM829" s="7"/>
      <c r="AN829" s="7"/>
      <c r="AO829" s="7"/>
      <c r="AP829" s="7"/>
      <c r="AQ829" s="7"/>
      <c r="AS829" s="36"/>
      <c r="AT829" s="36"/>
      <c r="AU829" s="35"/>
      <c r="AV829" s="7"/>
      <c r="AW829" s="7"/>
      <c r="AX829" s="7"/>
      <c r="AY829" s="7"/>
      <c r="AZ829" s="7"/>
      <c r="BA829" s="7"/>
      <c r="BB829" s="7"/>
      <c r="BC829" s="7"/>
      <c r="BF829" s="7"/>
      <c r="BG829" s="36"/>
      <c r="BH829" s="36"/>
      <c r="BI829" s="36"/>
      <c r="BJ829" s="36"/>
      <c r="BK829" s="36"/>
      <c r="BL829" s="36"/>
      <c r="BM829" s="36"/>
      <c r="BN829" s="36"/>
      <c r="BO829" s="36"/>
    </row>
    <row r="830" spans="1:67" x14ac:dyDescent="0.25">
      <c r="A830" s="39"/>
      <c r="B830" s="40"/>
      <c r="U830" s="36"/>
      <c r="V830" s="36"/>
      <c r="W830" s="35"/>
      <c r="X830" s="7"/>
      <c r="Y830" s="7"/>
      <c r="Z830" s="7"/>
      <c r="AA830" s="7"/>
      <c r="AB830" s="7"/>
      <c r="AC830" s="7"/>
      <c r="AD830" s="7"/>
      <c r="AE830" s="7"/>
      <c r="AG830" s="36"/>
      <c r="AH830" s="36"/>
      <c r="AI830" s="35"/>
      <c r="AJ830" s="7"/>
      <c r="AK830" s="7"/>
      <c r="AL830" s="7"/>
      <c r="AM830" s="7"/>
      <c r="AN830" s="7"/>
      <c r="AO830" s="7"/>
      <c r="AP830" s="7"/>
      <c r="AQ830" s="7"/>
      <c r="AS830" s="36"/>
      <c r="AT830" s="36"/>
      <c r="AU830" s="35"/>
      <c r="AV830" s="7"/>
      <c r="AW830" s="7"/>
      <c r="AX830" s="7"/>
      <c r="AY830" s="7"/>
      <c r="AZ830" s="7"/>
      <c r="BA830" s="7"/>
      <c r="BB830" s="7"/>
      <c r="BC830" s="7"/>
      <c r="BF830" s="7"/>
      <c r="BG830" s="36"/>
      <c r="BH830" s="36"/>
      <c r="BI830" s="36"/>
      <c r="BJ830" s="36"/>
      <c r="BK830" s="36"/>
      <c r="BL830" s="36"/>
      <c r="BM830" s="36"/>
      <c r="BN830" s="36"/>
      <c r="BO830" s="36"/>
    </row>
    <row r="831" spans="1:67" x14ac:dyDescent="0.25">
      <c r="A831" s="39"/>
      <c r="B831" s="40"/>
      <c r="U831" s="36"/>
      <c r="V831" s="36"/>
      <c r="W831" s="35"/>
      <c r="X831" s="7"/>
      <c r="Y831" s="7"/>
      <c r="Z831" s="7"/>
      <c r="AA831" s="7"/>
      <c r="AB831" s="7"/>
      <c r="AC831" s="7"/>
      <c r="AD831" s="7"/>
      <c r="AE831" s="7"/>
      <c r="AG831" s="36"/>
      <c r="AH831" s="36"/>
      <c r="AI831" s="35"/>
      <c r="AJ831" s="7"/>
      <c r="AK831" s="7"/>
      <c r="AL831" s="7"/>
      <c r="AM831" s="7"/>
      <c r="AN831" s="7"/>
      <c r="AO831" s="7"/>
      <c r="AP831" s="7"/>
      <c r="AQ831" s="7"/>
      <c r="AS831" s="36"/>
      <c r="AT831" s="36"/>
      <c r="AU831" s="35"/>
      <c r="AV831" s="7"/>
      <c r="AW831" s="7"/>
      <c r="AX831" s="7"/>
      <c r="AY831" s="7"/>
      <c r="AZ831" s="7"/>
      <c r="BA831" s="7"/>
      <c r="BB831" s="7"/>
      <c r="BC831" s="7"/>
      <c r="BF831" s="7"/>
      <c r="BG831" s="36"/>
      <c r="BH831" s="36"/>
      <c r="BI831" s="36"/>
      <c r="BJ831" s="36"/>
      <c r="BK831" s="36"/>
      <c r="BL831" s="36"/>
      <c r="BM831" s="36"/>
      <c r="BN831" s="36"/>
      <c r="BO831" s="36"/>
    </row>
    <row r="832" spans="1:67" x14ac:dyDescent="0.25">
      <c r="A832" s="39"/>
      <c r="B832" s="40"/>
      <c r="U832" s="36"/>
      <c r="V832" s="36"/>
      <c r="W832" s="35"/>
      <c r="X832" s="7"/>
      <c r="Y832" s="7"/>
      <c r="Z832" s="7"/>
      <c r="AA832" s="7"/>
      <c r="AB832" s="7"/>
      <c r="AC832" s="7"/>
      <c r="AD832" s="7"/>
      <c r="AE832" s="7"/>
      <c r="AG832" s="36"/>
      <c r="AH832" s="36"/>
      <c r="AI832" s="35"/>
      <c r="AJ832" s="7"/>
      <c r="AK832" s="7"/>
      <c r="AL832" s="7"/>
      <c r="AM832" s="7"/>
      <c r="AN832" s="7"/>
      <c r="AO832" s="7"/>
      <c r="AP832" s="7"/>
      <c r="AQ832" s="7"/>
      <c r="AS832" s="36"/>
      <c r="AT832" s="36"/>
      <c r="AU832" s="35"/>
      <c r="AV832" s="7"/>
      <c r="AW832" s="7"/>
      <c r="AX832" s="7"/>
      <c r="AY832" s="7"/>
      <c r="AZ832" s="7"/>
      <c r="BA832" s="7"/>
      <c r="BB832" s="7"/>
      <c r="BC832" s="7"/>
      <c r="BF832" s="7"/>
      <c r="BG832" s="36"/>
      <c r="BH832" s="36"/>
      <c r="BI832" s="36"/>
      <c r="BJ832" s="36"/>
      <c r="BK832" s="36"/>
      <c r="BL832" s="36"/>
      <c r="BM832" s="36"/>
      <c r="BN832" s="36"/>
      <c r="BO832" s="36"/>
    </row>
    <row r="833" spans="1:67" x14ac:dyDescent="0.25">
      <c r="A833" s="39"/>
      <c r="B833" s="40"/>
      <c r="U833" s="36"/>
      <c r="V833" s="36"/>
      <c r="W833" s="35"/>
      <c r="X833" s="7"/>
      <c r="Y833" s="7"/>
      <c r="Z833" s="7"/>
      <c r="AA833" s="7"/>
      <c r="AB833" s="7"/>
      <c r="AC833" s="7"/>
      <c r="AD833" s="7"/>
      <c r="AE833" s="7"/>
      <c r="AG833" s="36"/>
      <c r="AH833" s="36"/>
      <c r="AI833" s="35"/>
      <c r="AJ833" s="7"/>
      <c r="AK833" s="7"/>
      <c r="AL833" s="7"/>
      <c r="AM833" s="7"/>
      <c r="AN833" s="7"/>
      <c r="AO833" s="7"/>
      <c r="AP833" s="7"/>
      <c r="AQ833" s="7"/>
      <c r="AS833" s="36"/>
      <c r="AT833" s="36"/>
      <c r="AU833" s="35"/>
      <c r="AV833" s="7"/>
      <c r="AW833" s="7"/>
      <c r="AX833" s="7"/>
      <c r="AY833" s="7"/>
      <c r="AZ833" s="7"/>
      <c r="BA833" s="7"/>
      <c r="BB833" s="7"/>
      <c r="BC833" s="7"/>
      <c r="BF833" s="7"/>
      <c r="BG833" s="36"/>
      <c r="BH833" s="36"/>
      <c r="BI833" s="36"/>
      <c r="BJ833" s="36"/>
      <c r="BK833" s="36"/>
      <c r="BL833" s="36"/>
      <c r="BM833" s="36"/>
      <c r="BN833" s="36"/>
      <c r="BO833" s="36"/>
    </row>
    <row r="834" spans="1:67" x14ac:dyDescent="0.25">
      <c r="A834" s="39"/>
      <c r="B834" s="40"/>
      <c r="U834" s="36"/>
      <c r="V834" s="36"/>
      <c r="W834" s="35"/>
      <c r="X834" s="7"/>
      <c r="Y834" s="7"/>
      <c r="Z834" s="7"/>
      <c r="AA834" s="7"/>
      <c r="AB834" s="7"/>
      <c r="AC834" s="7"/>
      <c r="AD834" s="7"/>
      <c r="AE834" s="7"/>
      <c r="AG834" s="36"/>
      <c r="AH834" s="36"/>
      <c r="AI834" s="35"/>
      <c r="AJ834" s="7"/>
      <c r="AK834" s="7"/>
      <c r="AL834" s="7"/>
      <c r="AM834" s="7"/>
      <c r="AN834" s="7"/>
      <c r="AO834" s="7"/>
      <c r="AP834" s="7"/>
      <c r="AQ834" s="7"/>
      <c r="AS834" s="36"/>
      <c r="AT834" s="36"/>
      <c r="AU834" s="35"/>
      <c r="AV834" s="7"/>
      <c r="AW834" s="7"/>
      <c r="AX834" s="7"/>
      <c r="AY834" s="7"/>
      <c r="AZ834" s="7"/>
      <c r="BA834" s="7"/>
      <c r="BB834" s="7"/>
      <c r="BC834" s="7"/>
      <c r="BF834" s="7"/>
      <c r="BG834" s="36"/>
      <c r="BH834" s="36"/>
      <c r="BI834" s="36"/>
      <c r="BJ834" s="36"/>
      <c r="BK834" s="36"/>
      <c r="BL834" s="36"/>
      <c r="BM834" s="36"/>
      <c r="BN834" s="36"/>
      <c r="BO834" s="36"/>
    </row>
    <row r="835" spans="1:67" x14ac:dyDescent="0.25">
      <c r="A835" s="39"/>
      <c r="B835" s="40"/>
      <c r="U835" s="36"/>
      <c r="V835" s="36"/>
      <c r="W835" s="35"/>
      <c r="X835" s="7"/>
      <c r="Y835" s="7"/>
      <c r="Z835" s="7"/>
      <c r="AA835" s="7"/>
      <c r="AB835" s="7"/>
      <c r="AC835" s="7"/>
      <c r="AD835" s="7"/>
      <c r="AE835" s="7"/>
      <c r="AG835" s="36"/>
      <c r="AH835" s="36"/>
      <c r="AI835" s="35"/>
      <c r="AJ835" s="7"/>
      <c r="AK835" s="7"/>
      <c r="AL835" s="7"/>
      <c r="AM835" s="7"/>
      <c r="AN835" s="7"/>
      <c r="AO835" s="7"/>
      <c r="AP835" s="7"/>
      <c r="AQ835" s="7"/>
      <c r="AS835" s="36"/>
      <c r="AT835" s="36"/>
      <c r="AU835" s="35"/>
      <c r="AV835" s="7"/>
      <c r="AW835" s="7"/>
      <c r="AX835" s="7"/>
      <c r="AY835" s="7"/>
      <c r="AZ835" s="7"/>
      <c r="BA835" s="7"/>
      <c r="BB835" s="7"/>
      <c r="BC835" s="7"/>
      <c r="BF835" s="7"/>
      <c r="BG835" s="36"/>
      <c r="BH835" s="36"/>
      <c r="BI835" s="36"/>
      <c r="BJ835" s="36"/>
      <c r="BK835" s="36"/>
      <c r="BL835" s="36"/>
      <c r="BM835" s="36"/>
      <c r="BN835" s="36"/>
      <c r="BO835" s="36"/>
    </row>
    <row r="836" spans="1:67" x14ac:dyDescent="0.25">
      <c r="A836" s="39"/>
      <c r="B836" s="40"/>
      <c r="U836" s="36"/>
      <c r="V836" s="36"/>
      <c r="W836" s="35"/>
      <c r="X836" s="7"/>
      <c r="Y836" s="7"/>
      <c r="Z836" s="7"/>
      <c r="AA836" s="7"/>
      <c r="AB836" s="7"/>
      <c r="AC836" s="7"/>
      <c r="AD836" s="7"/>
      <c r="AE836" s="7"/>
      <c r="AG836" s="36"/>
      <c r="AH836" s="36"/>
      <c r="AI836" s="35"/>
      <c r="AJ836" s="7"/>
      <c r="AK836" s="7"/>
      <c r="AL836" s="7"/>
      <c r="AM836" s="7"/>
      <c r="AN836" s="7"/>
      <c r="AO836" s="7"/>
      <c r="AP836" s="7"/>
      <c r="AQ836" s="7"/>
      <c r="AS836" s="36"/>
      <c r="AT836" s="36"/>
      <c r="AU836" s="35"/>
      <c r="AV836" s="7"/>
      <c r="AW836" s="7"/>
      <c r="AX836" s="7"/>
      <c r="AY836" s="7"/>
      <c r="AZ836" s="7"/>
      <c r="BA836" s="7"/>
      <c r="BB836" s="7"/>
      <c r="BC836" s="7"/>
      <c r="BF836" s="7"/>
      <c r="BG836" s="36"/>
      <c r="BH836" s="36"/>
      <c r="BI836" s="36"/>
      <c r="BJ836" s="36"/>
      <c r="BK836" s="36"/>
      <c r="BL836" s="36"/>
      <c r="BM836" s="36"/>
      <c r="BN836" s="36"/>
      <c r="BO836" s="36"/>
    </row>
    <row r="837" spans="1:67" x14ac:dyDescent="0.25">
      <c r="A837" s="39"/>
      <c r="B837" s="40"/>
      <c r="U837" s="36"/>
      <c r="V837" s="36"/>
      <c r="W837" s="35"/>
      <c r="X837" s="7"/>
      <c r="Y837" s="7"/>
      <c r="Z837" s="7"/>
      <c r="AA837" s="7"/>
      <c r="AB837" s="7"/>
      <c r="AC837" s="7"/>
      <c r="AD837" s="7"/>
      <c r="AE837" s="7"/>
      <c r="AG837" s="36"/>
      <c r="AH837" s="36"/>
      <c r="AI837" s="35"/>
      <c r="AJ837" s="7"/>
      <c r="AK837" s="7"/>
      <c r="AL837" s="7"/>
      <c r="AM837" s="7"/>
      <c r="AN837" s="7"/>
      <c r="AO837" s="7"/>
      <c r="AP837" s="7"/>
      <c r="AQ837" s="7"/>
      <c r="AS837" s="36"/>
      <c r="AT837" s="36"/>
      <c r="AU837" s="35"/>
      <c r="AV837" s="7"/>
      <c r="AW837" s="7"/>
      <c r="AX837" s="7"/>
      <c r="AY837" s="7"/>
      <c r="AZ837" s="7"/>
      <c r="BA837" s="7"/>
      <c r="BB837" s="7"/>
      <c r="BC837" s="7"/>
      <c r="BF837" s="7"/>
      <c r="BG837" s="36"/>
      <c r="BH837" s="36"/>
      <c r="BI837" s="36"/>
      <c r="BJ837" s="36"/>
      <c r="BK837" s="36"/>
      <c r="BL837" s="36"/>
      <c r="BM837" s="36"/>
      <c r="BN837" s="36"/>
      <c r="BO837" s="36"/>
    </row>
    <row r="838" spans="1:67" x14ac:dyDescent="0.25">
      <c r="A838" s="39"/>
      <c r="B838" s="40"/>
      <c r="U838" s="36"/>
      <c r="V838" s="36"/>
      <c r="W838" s="35"/>
      <c r="X838" s="7"/>
      <c r="Y838" s="7"/>
      <c r="Z838" s="7"/>
      <c r="AA838" s="7"/>
      <c r="AB838" s="7"/>
      <c r="AC838" s="7"/>
      <c r="AD838" s="7"/>
      <c r="AE838" s="7"/>
      <c r="AG838" s="36"/>
      <c r="AH838" s="36"/>
      <c r="AI838" s="35"/>
      <c r="AJ838" s="7"/>
      <c r="AK838" s="7"/>
      <c r="AL838" s="7"/>
      <c r="AM838" s="7"/>
      <c r="AN838" s="7"/>
      <c r="AO838" s="7"/>
      <c r="AP838" s="7"/>
      <c r="AQ838" s="7"/>
      <c r="AS838" s="36"/>
      <c r="AT838" s="36"/>
      <c r="AU838" s="35"/>
      <c r="AV838" s="7"/>
      <c r="AW838" s="7"/>
      <c r="AX838" s="7"/>
      <c r="AY838" s="7"/>
      <c r="AZ838" s="7"/>
      <c r="BA838" s="7"/>
      <c r="BB838" s="7"/>
      <c r="BC838" s="7"/>
      <c r="BF838" s="7"/>
      <c r="BG838" s="36"/>
      <c r="BH838" s="36"/>
      <c r="BI838" s="36"/>
      <c r="BJ838" s="36"/>
      <c r="BK838" s="36"/>
      <c r="BL838" s="36"/>
      <c r="BM838" s="36"/>
      <c r="BN838" s="36"/>
      <c r="BO838" s="36"/>
    </row>
    <row r="839" spans="1:67" x14ac:dyDescent="0.25">
      <c r="A839" s="39"/>
      <c r="B839" s="40"/>
      <c r="U839" s="36"/>
      <c r="V839" s="36"/>
      <c r="W839" s="35"/>
      <c r="X839" s="7"/>
      <c r="Y839" s="7"/>
      <c r="Z839" s="7"/>
      <c r="AA839" s="7"/>
      <c r="AB839" s="7"/>
      <c r="AC839" s="7"/>
      <c r="AD839" s="7"/>
      <c r="AE839" s="7"/>
      <c r="AG839" s="36"/>
      <c r="AH839" s="36"/>
      <c r="AI839" s="35"/>
      <c r="AJ839" s="7"/>
      <c r="AK839" s="7"/>
      <c r="AL839" s="7"/>
      <c r="AM839" s="7"/>
      <c r="AN839" s="7"/>
      <c r="AO839" s="7"/>
      <c r="AP839" s="7"/>
      <c r="AQ839" s="7"/>
      <c r="AS839" s="36"/>
      <c r="AT839" s="36"/>
      <c r="AU839" s="35"/>
      <c r="AV839" s="7"/>
      <c r="AW839" s="7"/>
      <c r="AX839" s="7"/>
      <c r="AY839" s="7"/>
      <c r="AZ839" s="7"/>
      <c r="BA839" s="7"/>
      <c r="BB839" s="7"/>
      <c r="BC839" s="7"/>
      <c r="BF839" s="7"/>
      <c r="BG839" s="36"/>
      <c r="BH839" s="36"/>
      <c r="BI839" s="36"/>
      <c r="BJ839" s="36"/>
      <c r="BK839" s="36"/>
      <c r="BL839" s="36"/>
      <c r="BM839" s="36"/>
      <c r="BN839" s="36"/>
      <c r="BO839" s="36"/>
    </row>
    <row r="840" spans="1:67" x14ac:dyDescent="0.25">
      <c r="A840" s="39"/>
      <c r="B840" s="40"/>
      <c r="U840" s="36"/>
      <c r="V840" s="36"/>
      <c r="W840" s="35"/>
      <c r="X840" s="7"/>
      <c r="Y840" s="7"/>
      <c r="Z840" s="7"/>
      <c r="AA840" s="7"/>
      <c r="AB840" s="7"/>
      <c r="AC840" s="7"/>
      <c r="AD840" s="7"/>
      <c r="AE840" s="7"/>
      <c r="AG840" s="36"/>
      <c r="AH840" s="36"/>
      <c r="AI840" s="35"/>
      <c r="AJ840" s="7"/>
      <c r="AK840" s="7"/>
      <c r="AL840" s="7"/>
      <c r="AM840" s="7"/>
      <c r="AN840" s="7"/>
      <c r="AO840" s="7"/>
      <c r="AP840" s="7"/>
      <c r="AQ840" s="7"/>
      <c r="AS840" s="36"/>
      <c r="AT840" s="36"/>
      <c r="AU840" s="35"/>
      <c r="AV840" s="7"/>
      <c r="AW840" s="7"/>
      <c r="AX840" s="7"/>
      <c r="AY840" s="7"/>
      <c r="AZ840" s="7"/>
      <c r="BA840" s="7"/>
      <c r="BB840" s="7"/>
      <c r="BC840" s="7"/>
      <c r="BF840" s="7"/>
      <c r="BG840" s="36"/>
      <c r="BH840" s="36"/>
      <c r="BI840" s="36"/>
      <c r="BJ840" s="36"/>
      <c r="BK840" s="36"/>
      <c r="BL840" s="36"/>
      <c r="BM840" s="36"/>
      <c r="BN840" s="36"/>
      <c r="BO840" s="36"/>
    </row>
    <row r="841" spans="1:67" x14ac:dyDescent="0.25">
      <c r="A841" s="39"/>
      <c r="B841" s="40"/>
      <c r="U841" s="36"/>
      <c r="V841" s="36"/>
      <c r="W841" s="35"/>
      <c r="X841" s="7"/>
      <c r="Y841" s="7"/>
      <c r="Z841" s="7"/>
      <c r="AA841" s="7"/>
      <c r="AB841" s="7"/>
      <c r="AC841" s="7"/>
      <c r="AD841" s="7"/>
      <c r="AE841" s="7"/>
      <c r="AG841" s="36"/>
      <c r="AH841" s="36"/>
      <c r="AI841" s="35"/>
      <c r="AJ841" s="7"/>
      <c r="AK841" s="7"/>
      <c r="AL841" s="7"/>
      <c r="AM841" s="7"/>
      <c r="AN841" s="7"/>
      <c r="AO841" s="7"/>
      <c r="AP841" s="7"/>
      <c r="AQ841" s="7"/>
      <c r="AS841" s="36"/>
      <c r="AT841" s="36"/>
      <c r="AU841" s="35"/>
      <c r="AV841" s="7"/>
      <c r="AW841" s="7"/>
      <c r="AX841" s="7"/>
      <c r="AY841" s="7"/>
      <c r="AZ841" s="7"/>
      <c r="BA841" s="7"/>
      <c r="BB841" s="7"/>
      <c r="BC841" s="7"/>
      <c r="BF841" s="7"/>
      <c r="BG841" s="36"/>
      <c r="BH841" s="36"/>
      <c r="BI841" s="36"/>
      <c r="BJ841" s="36"/>
      <c r="BK841" s="36"/>
      <c r="BL841" s="36"/>
      <c r="BM841" s="36"/>
      <c r="BN841" s="36"/>
      <c r="BO841" s="36"/>
    </row>
    <row r="842" spans="1:67" x14ac:dyDescent="0.25">
      <c r="A842" s="39"/>
      <c r="B842" s="40"/>
      <c r="U842" s="36"/>
      <c r="V842" s="36"/>
      <c r="W842" s="35"/>
      <c r="X842" s="7"/>
      <c r="Y842" s="7"/>
      <c r="Z842" s="7"/>
      <c r="AA842" s="7"/>
      <c r="AB842" s="7"/>
      <c r="AC842" s="7"/>
      <c r="AD842" s="7"/>
      <c r="AE842" s="7"/>
      <c r="AG842" s="36"/>
      <c r="AH842" s="36"/>
      <c r="AI842" s="35"/>
      <c r="AJ842" s="7"/>
      <c r="AK842" s="7"/>
      <c r="AL842" s="7"/>
      <c r="AM842" s="7"/>
      <c r="AN842" s="7"/>
      <c r="AO842" s="7"/>
      <c r="AP842" s="7"/>
      <c r="AQ842" s="7"/>
      <c r="AS842" s="36"/>
      <c r="AT842" s="36"/>
      <c r="AU842" s="35"/>
      <c r="AV842" s="7"/>
      <c r="AW842" s="7"/>
      <c r="AX842" s="7"/>
      <c r="AY842" s="7"/>
      <c r="AZ842" s="7"/>
      <c r="BA842" s="7"/>
      <c r="BB842" s="7"/>
      <c r="BC842" s="7"/>
      <c r="BF842" s="7"/>
      <c r="BG842" s="36"/>
      <c r="BH842" s="36"/>
      <c r="BI842" s="36"/>
      <c r="BJ842" s="36"/>
      <c r="BK842" s="36"/>
      <c r="BL842" s="36"/>
      <c r="BM842" s="36"/>
      <c r="BN842" s="36"/>
      <c r="BO842" s="36"/>
    </row>
    <row r="843" spans="1:67" x14ac:dyDescent="0.25">
      <c r="A843" s="39"/>
      <c r="B843" s="40"/>
      <c r="U843" s="36"/>
      <c r="V843" s="36"/>
      <c r="W843" s="35"/>
      <c r="X843" s="7"/>
      <c r="Y843" s="7"/>
      <c r="Z843" s="7"/>
      <c r="AA843" s="7"/>
      <c r="AB843" s="7"/>
      <c r="AC843" s="7"/>
      <c r="AD843" s="7"/>
      <c r="AE843" s="7"/>
      <c r="AG843" s="36"/>
      <c r="AH843" s="36"/>
      <c r="AI843" s="35"/>
      <c r="AJ843" s="7"/>
      <c r="AK843" s="7"/>
      <c r="AL843" s="7"/>
      <c r="AM843" s="7"/>
      <c r="AN843" s="7"/>
      <c r="AO843" s="7"/>
      <c r="AP843" s="7"/>
      <c r="AQ843" s="7"/>
      <c r="AS843" s="36"/>
      <c r="AT843" s="36"/>
      <c r="AU843" s="35"/>
      <c r="AV843" s="7"/>
      <c r="AW843" s="7"/>
      <c r="AX843" s="7"/>
      <c r="AY843" s="7"/>
      <c r="AZ843" s="7"/>
      <c r="BA843" s="7"/>
      <c r="BB843" s="7"/>
      <c r="BC843" s="7"/>
      <c r="BF843" s="7"/>
      <c r="BG843" s="36"/>
      <c r="BH843" s="36"/>
      <c r="BI843" s="36"/>
      <c r="BJ843" s="36"/>
      <c r="BK843" s="36"/>
      <c r="BL843" s="36"/>
      <c r="BM843" s="36"/>
      <c r="BN843" s="36"/>
      <c r="BO843" s="36"/>
    </row>
    <row r="844" spans="1:67" x14ac:dyDescent="0.25">
      <c r="A844" s="39"/>
      <c r="B844" s="40"/>
      <c r="U844" s="36"/>
      <c r="V844" s="36"/>
      <c r="W844" s="35"/>
      <c r="X844" s="7"/>
      <c r="Y844" s="7"/>
      <c r="Z844" s="7"/>
      <c r="AA844" s="7"/>
      <c r="AB844" s="7"/>
      <c r="AC844" s="7"/>
      <c r="AD844" s="7"/>
      <c r="AE844" s="7"/>
      <c r="AG844" s="36"/>
      <c r="AH844" s="36"/>
      <c r="AI844" s="35"/>
      <c r="AJ844" s="7"/>
      <c r="AK844" s="7"/>
      <c r="AL844" s="7"/>
      <c r="AM844" s="7"/>
      <c r="AN844" s="7"/>
      <c r="AO844" s="7"/>
      <c r="AP844" s="7"/>
      <c r="AQ844" s="7"/>
      <c r="AS844" s="36"/>
      <c r="AT844" s="36"/>
      <c r="AU844" s="35"/>
      <c r="AV844" s="7"/>
      <c r="AW844" s="7"/>
      <c r="AX844" s="7"/>
      <c r="AY844" s="7"/>
      <c r="AZ844" s="7"/>
      <c r="BA844" s="7"/>
      <c r="BB844" s="7"/>
      <c r="BC844" s="7"/>
      <c r="BF844" s="7"/>
      <c r="BG844" s="36"/>
      <c r="BH844" s="36"/>
      <c r="BI844" s="36"/>
      <c r="BJ844" s="36"/>
      <c r="BK844" s="36"/>
      <c r="BL844" s="36"/>
      <c r="BM844" s="36"/>
      <c r="BN844" s="36"/>
      <c r="BO844" s="36"/>
    </row>
    <row r="845" spans="1:67" x14ac:dyDescent="0.25">
      <c r="A845" s="39"/>
      <c r="B845" s="40"/>
      <c r="U845" s="36"/>
      <c r="V845" s="36"/>
      <c r="W845" s="35"/>
      <c r="X845" s="7"/>
      <c r="Y845" s="7"/>
      <c r="Z845" s="7"/>
      <c r="AA845" s="7"/>
      <c r="AB845" s="7"/>
      <c r="AC845" s="7"/>
      <c r="AD845" s="7"/>
      <c r="AE845" s="7"/>
      <c r="AG845" s="36"/>
      <c r="AH845" s="36"/>
      <c r="AI845" s="35"/>
      <c r="AJ845" s="7"/>
      <c r="AK845" s="7"/>
      <c r="AL845" s="7"/>
      <c r="AM845" s="7"/>
      <c r="AN845" s="7"/>
      <c r="AO845" s="7"/>
      <c r="AP845" s="7"/>
      <c r="AQ845" s="7"/>
      <c r="AS845" s="36"/>
      <c r="AT845" s="36"/>
      <c r="AU845" s="35"/>
      <c r="AV845" s="7"/>
      <c r="AW845" s="7"/>
      <c r="AX845" s="7"/>
      <c r="AY845" s="7"/>
      <c r="AZ845" s="7"/>
      <c r="BA845" s="7"/>
      <c r="BB845" s="7"/>
      <c r="BC845" s="7"/>
      <c r="BF845" s="7"/>
      <c r="BG845" s="36"/>
      <c r="BH845" s="36"/>
      <c r="BI845" s="36"/>
      <c r="BJ845" s="36"/>
      <c r="BK845" s="36"/>
      <c r="BL845" s="36"/>
      <c r="BM845" s="36"/>
      <c r="BN845" s="36"/>
      <c r="BO845" s="36"/>
    </row>
    <row r="846" spans="1:67" x14ac:dyDescent="0.25">
      <c r="A846" s="39"/>
      <c r="B846" s="40"/>
      <c r="U846" s="36"/>
      <c r="V846" s="36"/>
      <c r="W846" s="35"/>
      <c r="X846" s="7"/>
      <c r="Y846" s="7"/>
      <c r="Z846" s="7"/>
      <c r="AA846" s="7"/>
      <c r="AB846" s="7"/>
      <c r="AC846" s="7"/>
      <c r="AD846" s="7"/>
      <c r="AE846" s="7"/>
      <c r="AG846" s="36"/>
      <c r="AH846" s="36"/>
      <c r="AI846" s="35"/>
      <c r="AJ846" s="7"/>
      <c r="AK846" s="7"/>
      <c r="AL846" s="7"/>
      <c r="AM846" s="7"/>
      <c r="AN846" s="7"/>
      <c r="AO846" s="7"/>
      <c r="AP846" s="7"/>
      <c r="AQ846" s="7"/>
      <c r="AS846" s="36"/>
      <c r="AT846" s="36"/>
      <c r="AU846" s="35"/>
      <c r="AV846" s="7"/>
      <c r="AW846" s="7"/>
      <c r="AX846" s="7"/>
      <c r="AY846" s="7"/>
      <c r="AZ846" s="7"/>
      <c r="BA846" s="7"/>
      <c r="BB846" s="7"/>
      <c r="BC846" s="7"/>
      <c r="BF846" s="7"/>
      <c r="BG846" s="36"/>
      <c r="BH846" s="36"/>
      <c r="BI846" s="36"/>
      <c r="BJ846" s="36"/>
      <c r="BK846" s="36"/>
      <c r="BL846" s="36"/>
      <c r="BM846" s="36"/>
      <c r="BN846" s="36"/>
      <c r="BO846" s="36"/>
    </row>
    <row r="847" spans="1:67" x14ac:dyDescent="0.25">
      <c r="A847" s="39"/>
      <c r="B847" s="40"/>
      <c r="U847" s="36"/>
      <c r="V847" s="36"/>
      <c r="W847" s="35"/>
      <c r="X847" s="7"/>
      <c r="Y847" s="7"/>
      <c r="Z847" s="7"/>
      <c r="AA847" s="7"/>
      <c r="AB847" s="7"/>
      <c r="AC847" s="7"/>
      <c r="AD847" s="7"/>
      <c r="AE847" s="7"/>
      <c r="AG847" s="36"/>
      <c r="AH847" s="36"/>
      <c r="AI847" s="35"/>
      <c r="AJ847" s="7"/>
      <c r="AK847" s="7"/>
      <c r="AL847" s="7"/>
      <c r="AM847" s="7"/>
      <c r="AN847" s="7"/>
      <c r="AO847" s="7"/>
      <c r="AP847" s="7"/>
      <c r="AQ847" s="7"/>
      <c r="AS847" s="36"/>
      <c r="AT847" s="36"/>
      <c r="AU847" s="35"/>
      <c r="AV847" s="7"/>
      <c r="AW847" s="7"/>
      <c r="AX847" s="7"/>
      <c r="AY847" s="7"/>
      <c r="AZ847" s="7"/>
      <c r="BA847" s="7"/>
      <c r="BB847" s="7"/>
      <c r="BC847" s="7"/>
      <c r="BF847" s="7"/>
      <c r="BG847" s="36"/>
      <c r="BH847" s="36"/>
      <c r="BI847" s="36"/>
      <c r="BJ847" s="36"/>
      <c r="BK847" s="36"/>
      <c r="BL847" s="36"/>
      <c r="BM847" s="36"/>
      <c r="BN847" s="36"/>
      <c r="BO847" s="36"/>
    </row>
    <row r="848" spans="1:67" x14ac:dyDescent="0.25">
      <c r="A848" s="39"/>
      <c r="B848" s="40"/>
      <c r="U848" s="36"/>
      <c r="V848" s="36"/>
      <c r="W848" s="35"/>
      <c r="X848" s="7"/>
      <c r="Y848" s="7"/>
      <c r="Z848" s="7"/>
      <c r="AA848" s="7"/>
      <c r="AB848" s="7"/>
      <c r="AC848" s="7"/>
      <c r="AD848" s="7"/>
      <c r="AE848" s="7"/>
      <c r="AG848" s="36"/>
      <c r="AH848" s="36"/>
      <c r="AI848" s="35"/>
      <c r="AJ848" s="7"/>
      <c r="AK848" s="7"/>
      <c r="AL848" s="7"/>
      <c r="AM848" s="7"/>
      <c r="AN848" s="7"/>
      <c r="AO848" s="7"/>
      <c r="AP848" s="7"/>
      <c r="AQ848" s="7"/>
      <c r="AS848" s="36"/>
      <c r="AT848" s="36"/>
      <c r="AU848" s="35"/>
      <c r="AV848" s="7"/>
      <c r="AW848" s="7"/>
      <c r="AX848" s="7"/>
      <c r="AY848" s="7"/>
      <c r="AZ848" s="7"/>
      <c r="BA848" s="7"/>
      <c r="BB848" s="7"/>
      <c r="BC848" s="7"/>
      <c r="BF848" s="7"/>
      <c r="BG848" s="36"/>
      <c r="BH848" s="36"/>
      <c r="BI848" s="36"/>
      <c r="BJ848" s="36"/>
      <c r="BK848" s="36"/>
      <c r="BL848" s="36"/>
      <c r="BM848" s="36"/>
      <c r="BN848" s="36"/>
      <c r="BO848" s="36"/>
    </row>
    <row r="849" spans="1:67" x14ac:dyDescent="0.25">
      <c r="A849" s="39"/>
      <c r="B849" s="40"/>
      <c r="U849" s="36"/>
      <c r="V849" s="36"/>
      <c r="W849" s="35"/>
      <c r="X849" s="7"/>
      <c r="Y849" s="7"/>
      <c r="Z849" s="7"/>
      <c r="AA849" s="7"/>
      <c r="AB849" s="7"/>
      <c r="AC849" s="7"/>
      <c r="AD849" s="7"/>
      <c r="AE849" s="7"/>
      <c r="AG849" s="36"/>
      <c r="AH849" s="36"/>
      <c r="AI849" s="35"/>
      <c r="AJ849" s="7"/>
      <c r="AK849" s="7"/>
      <c r="AL849" s="7"/>
      <c r="AM849" s="7"/>
      <c r="AN849" s="7"/>
      <c r="AO849" s="7"/>
      <c r="AP849" s="7"/>
      <c r="AQ849" s="7"/>
      <c r="AS849" s="36"/>
      <c r="AT849" s="36"/>
      <c r="AU849" s="35"/>
      <c r="AV849" s="7"/>
      <c r="AW849" s="7"/>
      <c r="AX849" s="7"/>
      <c r="AY849" s="7"/>
      <c r="AZ849" s="7"/>
      <c r="BA849" s="7"/>
      <c r="BB849" s="7"/>
      <c r="BC849" s="7"/>
      <c r="BF849" s="7"/>
      <c r="BG849" s="36"/>
      <c r="BH849" s="36"/>
      <c r="BI849" s="36"/>
      <c r="BJ849" s="36"/>
      <c r="BK849" s="36"/>
      <c r="BL849" s="36"/>
      <c r="BM849" s="36"/>
      <c r="BN849" s="36"/>
      <c r="BO849" s="36"/>
    </row>
    <row r="850" spans="1:67" x14ac:dyDescent="0.25">
      <c r="A850" s="39"/>
      <c r="B850" s="40"/>
      <c r="U850" s="36"/>
      <c r="V850" s="36"/>
      <c r="W850" s="35"/>
      <c r="X850" s="7"/>
      <c r="Y850" s="7"/>
      <c r="Z850" s="7"/>
      <c r="AA850" s="7"/>
      <c r="AB850" s="7"/>
      <c r="AC850" s="7"/>
      <c r="AD850" s="7"/>
      <c r="AE850" s="7"/>
      <c r="AG850" s="36"/>
      <c r="AH850" s="36"/>
      <c r="AI850" s="35"/>
      <c r="AJ850" s="7"/>
      <c r="AK850" s="7"/>
      <c r="AL850" s="7"/>
      <c r="AM850" s="7"/>
      <c r="AN850" s="7"/>
      <c r="AO850" s="7"/>
      <c r="AP850" s="7"/>
      <c r="AQ850" s="7"/>
      <c r="AS850" s="36"/>
      <c r="AT850" s="36"/>
      <c r="AU850" s="35"/>
      <c r="AV850" s="7"/>
      <c r="AW850" s="7"/>
      <c r="AX850" s="7"/>
      <c r="AY850" s="7"/>
      <c r="AZ850" s="7"/>
      <c r="BA850" s="7"/>
      <c r="BB850" s="7"/>
      <c r="BC850" s="7"/>
      <c r="BF850" s="7"/>
      <c r="BG850" s="36"/>
      <c r="BH850" s="36"/>
      <c r="BI850" s="36"/>
      <c r="BJ850" s="36"/>
      <c r="BK850" s="36"/>
      <c r="BL850" s="36"/>
      <c r="BM850" s="36"/>
      <c r="BN850" s="36"/>
      <c r="BO850" s="36"/>
    </row>
    <row r="851" spans="1:67" x14ac:dyDescent="0.25">
      <c r="A851" s="39"/>
      <c r="B851" s="40"/>
      <c r="U851" s="36"/>
      <c r="V851" s="36"/>
      <c r="W851" s="35"/>
      <c r="X851" s="7"/>
      <c r="Y851" s="7"/>
      <c r="Z851" s="7"/>
      <c r="AA851" s="7"/>
      <c r="AB851" s="7"/>
      <c r="AC851" s="7"/>
      <c r="AD851" s="7"/>
      <c r="AE851" s="7"/>
      <c r="AG851" s="36"/>
      <c r="AH851" s="36"/>
      <c r="AI851" s="35"/>
      <c r="AJ851" s="7"/>
      <c r="AK851" s="7"/>
      <c r="AL851" s="7"/>
      <c r="AM851" s="7"/>
      <c r="AN851" s="7"/>
      <c r="AO851" s="7"/>
      <c r="AP851" s="7"/>
      <c r="AQ851" s="7"/>
      <c r="AS851" s="36"/>
      <c r="AT851" s="36"/>
      <c r="AU851" s="35"/>
      <c r="AV851" s="7"/>
      <c r="AW851" s="7"/>
      <c r="AX851" s="7"/>
      <c r="AY851" s="7"/>
      <c r="AZ851" s="7"/>
      <c r="BA851" s="7"/>
      <c r="BB851" s="7"/>
      <c r="BC851" s="7"/>
      <c r="BF851" s="7"/>
      <c r="BG851" s="36"/>
      <c r="BH851" s="36"/>
      <c r="BI851" s="36"/>
      <c r="BJ851" s="36"/>
      <c r="BK851" s="36"/>
      <c r="BL851" s="36"/>
      <c r="BM851" s="36"/>
      <c r="BN851" s="36"/>
      <c r="BO851" s="36"/>
    </row>
    <row r="852" spans="1:67" x14ac:dyDescent="0.25">
      <c r="A852" s="39"/>
      <c r="B852" s="40"/>
      <c r="U852" s="36"/>
      <c r="V852" s="36"/>
      <c r="W852" s="35"/>
      <c r="X852" s="7"/>
      <c r="Y852" s="7"/>
      <c r="Z852" s="7"/>
      <c r="AA852" s="7"/>
      <c r="AB852" s="7"/>
      <c r="AC852" s="7"/>
      <c r="AD852" s="7"/>
      <c r="AE852" s="7"/>
      <c r="AG852" s="36"/>
      <c r="AH852" s="36"/>
      <c r="AI852" s="35"/>
      <c r="AJ852" s="7"/>
      <c r="AK852" s="7"/>
      <c r="AL852" s="7"/>
      <c r="AM852" s="7"/>
      <c r="AN852" s="7"/>
      <c r="AO852" s="7"/>
      <c r="AP852" s="7"/>
      <c r="AQ852" s="7"/>
      <c r="AS852" s="36"/>
      <c r="AT852" s="36"/>
      <c r="AU852" s="35"/>
      <c r="AV852" s="7"/>
      <c r="AW852" s="7"/>
      <c r="AX852" s="7"/>
      <c r="AY852" s="7"/>
      <c r="AZ852" s="7"/>
      <c r="BA852" s="7"/>
      <c r="BB852" s="7"/>
      <c r="BC852" s="7"/>
      <c r="BF852" s="7"/>
      <c r="BG852" s="36"/>
      <c r="BH852" s="36"/>
      <c r="BI852" s="36"/>
      <c r="BJ852" s="36"/>
      <c r="BK852" s="36"/>
      <c r="BL852" s="36"/>
      <c r="BM852" s="36"/>
      <c r="BN852" s="36"/>
      <c r="BO852" s="36"/>
    </row>
    <row r="853" spans="1:67" x14ac:dyDescent="0.25">
      <c r="A853" s="39"/>
      <c r="B853" s="40"/>
      <c r="U853" s="36"/>
      <c r="V853" s="36"/>
      <c r="W853" s="35"/>
      <c r="X853" s="7"/>
      <c r="Y853" s="7"/>
      <c r="Z853" s="7"/>
      <c r="AA853" s="7"/>
      <c r="AB853" s="7"/>
      <c r="AC853" s="7"/>
      <c r="AD853" s="7"/>
      <c r="AE853" s="7"/>
      <c r="AG853" s="36"/>
      <c r="AH853" s="36"/>
      <c r="AI853" s="35"/>
      <c r="AJ853" s="7"/>
      <c r="AK853" s="7"/>
      <c r="AL853" s="7"/>
      <c r="AM853" s="7"/>
      <c r="AN853" s="7"/>
      <c r="AO853" s="7"/>
      <c r="AP853" s="7"/>
      <c r="AQ853" s="7"/>
      <c r="AS853" s="36"/>
      <c r="AT853" s="36"/>
      <c r="AU853" s="35"/>
      <c r="AV853" s="7"/>
      <c r="AW853" s="7"/>
      <c r="AX853" s="7"/>
      <c r="AY853" s="7"/>
      <c r="AZ853" s="7"/>
      <c r="BA853" s="7"/>
      <c r="BB853" s="7"/>
      <c r="BC853" s="7"/>
      <c r="BF853" s="7"/>
      <c r="BG853" s="36"/>
      <c r="BH853" s="36"/>
      <c r="BI853" s="36"/>
      <c r="BJ853" s="36"/>
      <c r="BK853" s="36"/>
      <c r="BL853" s="36"/>
      <c r="BM853" s="36"/>
      <c r="BN853" s="36"/>
      <c r="BO853" s="36"/>
    </row>
    <row r="854" spans="1:67" x14ac:dyDescent="0.25">
      <c r="A854" s="39"/>
      <c r="B854" s="40"/>
      <c r="U854" s="36"/>
      <c r="V854" s="36"/>
      <c r="W854" s="35"/>
      <c r="X854" s="7"/>
      <c r="Y854" s="7"/>
      <c r="Z854" s="7"/>
      <c r="AA854" s="7"/>
      <c r="AB854" s="7"/>
      <c r="AC854" s="7"/>
      <c r="AD854" s="7"/>
      <c r="AE854" s="7"/>
      <c r="AG854" s="36"/>
      <c r="AH854" s="36"/>
      <c r="AI854" s="35"/>
      <c r="AJ854" s="7"/>
      <c r="AK854" s="7"/>
      <c r="AL854" s="7"/>
      <c r="AM854" s="7"/>
      <c r="AN854" s="7"/>
      <c r="AO854" s="7"/>
      <c r="AP854" s="7"/>
      <c r="AQ854" s="7"/>
      <c r="AS854" s="36"/>
      <c r="AT854" s="36"/>
      <c r="AU854" s="35"/>
      <c r="AV854" s="7"/>
      <c r="AW854" s="7"/>
      <c r="AX854" s="7"/>
      <c r="AY854" s="7"/>
      <c r="AZ854" s="7"/>
      <c r="BA854" s="7"/>
      <c r="BB854" s="7"/>
      <c r="BC854" s="7"/>
      <c r="BF854" s="7"/>
      <c r="BG854" s="36"/>
      <c r="BH854" s="36"/>
      <c r="BI854" s="36"/>
      <c r="BJ854" s="36"/>
      <c r="BK854" s="36"/>
      <c r="BL854" s="36"/>
      <c r="BM854" s="36"/>
      <c r="BN854" s="36"/>
      <c r="BO854" s="36"/>
    </row>
    <row r="855" spans="1:67" x14ac:dyDescent="0.25">
      <c r="A855" s="39"/>
      <c r="B855" s="40"/>
      <c r="U855" s="36"/>
      <c r="V855" s="36"/>
      <c r="W855" s="35"/>
      <c r="X855" s="7"/>
      <c r="Y855" s="7"/>
      <c r="Z855" s="7"/>
      <c r="AA855" s="7"/>
      <c r="AB855" s="7"/>
      <c r="AC855" s="7"/>
      <c r="AD855" s="7"/>
      <c r="AE855" s="7"/>
      <c r="AG855" s="36"/>
      <c r="AH855" s="36"/>
      <c r="AI855" s="35"/>
      <c r="AJ855" s="7"/>
      <c r="AK855" s="7"/>
      <c r="AL855" s="7"/>
      <c r="AM855" s="7"/>
      <c r="AN855" s="7"/>
      <c r="AO855" s="7"/>
      <c r="AP855" s="7"/>
      <c r="AQ855" s="7"/>
      <c r="AS855" s="36"/>
      <c r="AT855" s="36"/>
      <c r="AU855" s="35"/>
      <c r="AV855" s="7"/>
      <c r="AW855" s="7"/>
      <c r="AX855" s="7"/>
      <c r="AY855" s="7"/>
      <c r="AZ855" s="7"/>
      <c r="BA855" s="7"/>
      <c r="BB855" s="7"/>
      <c r="BC855" s="7"/>
      <c r="BF855" s="7"/>
      <c r="BG855" s="36"/>
      <c r="BH855" s="36"/>
      <c r="BI855" s="36"/>
      <c r="BJ855" s="36"/>
      <c r="BK855" s="36"/>
      <c r="BL855" s="36"/>
      <c r="BM855" s="36"/>
      <c r="BN855" s="36"/>
      <c r="BO855" s="36"/>
    </row>
    <row r="856" spans="1:67" x14ac:dyDescent="0.25">
      <c r="A856" s="39"/>
      <c r="B856" s="40"/>
      <c r="U856" s="36"/>
      <c r="V856" s="36"/>
      <c r="W856" s="35"/>
      <c r="X856" s="7"/>
      <c r="Y856" s="7"/>
      <c r="Z856" s="7"/>
      <c r="AA856" s="7"/>
      <c r="AB856" s="7"/>
      <c r="AC856" s="7"/>
      <c r="AD856" s="7"/>
      <c r="AE856" s="7"/>
      <c r="AG856" s="36"/>
      <c r="AH856" s="36"/>
      <c r="AI856" s="35"/>
      <c r="AJ856" s="7"/>
      <c r="AK856" s="7"/>
      <c r="AL856" s="7"/>
      <c r="AM856" s="7"/>
      <c r="AN856" s="7"/>
      <c r="AO856" s="7"/>
      <c r="AP856" s="7"/>
      <c r="AQ856" s="7"/>
      <c r="AS856" s="36"/>
      <c r="AT856" s="36"/>
      <c r="AU856" s="35"/>
      <c r="AV856" s="7"/>
      <c r="AW856" s="7"/>
      <c r="AX856" s="7"/>
      <c r="AY856" s="7"/>
      <c r="AZ856" s="7"/>
      <c r="BA856" s="7"/>
      <c r="BB856" s="7"/>
      <c r="BC856" s="7"/>
      <c r="BF856" s="7"/>
      <c r="BG856" s="36"/>
      <c r="BH856" s="36"/>
      <c r="BI856" s="36"/>
      <c r="BJ856" s="36"/>
      <c r="BK856" s="36"/>
      <c r="BL856" s="36"/>
      <c r="BM856" s="36"/>
      <c r="BN856" s="36"/>
      <c r="BO856" s="36"/>
    </row>
    <row r="857" spans="1:67" x14ac:dyDescent="0.25">
      <c r="A857" s="39"/>
      <c r="B857" s="40"/>
      <c r="U857" s="36"/>
      <c r="V857" s="36"/>
      <c r="W857" s="35"/>
      <c r="X857" s="7"/>
      <c r="Y857" s="7"/>
      <c r="Z857" s="7"/>
      <c r="AA857" s="7"/>
      <c r="AB857" s="7"/>
      <c r="AC857" s="7"/>
      <c r="AD857" s="7"/>
      <c r="AE857" s="7"/>
      <c r="AG857" s="36"/>
      <c r="AH857" s="36"/>
      <c r="AI857" s="35"/>
      <c r="AJ857" s="7"/>
      <c r="AK857" s="7"/>
      <c r="AL857" s="7"/>
      <c r="AM857" s="7"/>
      <c r="AN857" s="7"/>
      <c r="AO857" s="7"/>
      <c r="AP857" s="7"/>
      <c r="AQ857" s="7"/>
      <c r="AS857" s="36"/>
      <c r="AT857" s="36"/>
      <c r="AU857" s="35"/>
      <c r="AV857" s="7"/>
      <c r="AW857" s="7"/>
      <c r="AX857" s="7"/>
      <c r="AY857" s="7"/>
      <c r="AZ857" s="7"/>
      <c r="BA857" s="7"/>
      <c r="BB857" s="7"/>
      <c r="BC857" s="7"/>
      <c r="BF857" s="7"/>
      <c r="BG857" s="36"/>
      <c r="BH857" s="36"/>
      <c r="BI857" s="36"/>
      <c r="BJ857" s="36"/>
      <c r="BK857" s="36"/>
      <c r="BL857" s="36"/>
      <c r="BM857" s="36"/>
      <c r="BN857" s="36"/>
      <c r="BO857" s="36"/>
    </row>
    <row r="858" spans="1:67" x14ac:dyDescent="0.25">
      <c r="A858" s="39"/>
      <c r="B858" s="40"/>
      <c r="U858" s="36"/>
      <c r="V858" s="36"/>
      <c r="W858" s="35"/>
      <c r="X858" s="7"/>
      <c r="Y858" s="7"/>
      <c r="Z858" s="7"/>
      <c r="AA858" s="7"/>
      <c r="AB858" s="7"/>
      <c r="AC858" s="7"/>
      <c r="AD858" s="7"/>
      <c r="AE858" s="7"/>
      <c r="AG858" s="36"/>
      <c r="AH858" s="36"/>
      <c r="AI858" s="35"/>
      <c r="AJ858" s="7"/>
      <c r="AK858" s="7"/>
      <c r="AL858" s="7"/>
      <c r="AM858" s="7"/>
      <c r="AN858" s="7"/>
      <c r="AO858" s="7"/>
      <c r="AP858" s="7"/>
      <c r="AQ858" s="7"/>
      <c r="AS858" s="36"/>
      <c r="AT858" s="36"/>
      <c r="AU858" s="35"/>
      <c r="AV858" s="7"/>
      <c r="AW858" s="7"/>
      <c r="AX858" s="7"/>
      <c r="AY858" s="7"/>
      <c r="AZ858" s="7"/>
      <c r="BA858" s="7"/>
      <c r="BB858" s="7"/>
      <c r="BC858" s="7"/>
      <c r="BF858" s="7"/>
      <c r="BG858" s="36"/>
      <c r="BH858" s="36"/>
      <c r="BI858" s="36"/>
      <c r="BJ858" s="36"/>
      <c r="BK858" s="36"/>
      <c r="BL858" s="36"/>
      <c r="BM858" s="36"/>
      <c r="BN858" s="36"/>
      <c r="BO858" s="36"/>
    </row>
    <row r="859" spans="1:67" x14ac:dyDescent="0.25">
      <c r="A859" s="39"/>
      <c r="B859" s="40"/>
      <c r="U859" s="36"/>
      <c r="V859" s="36"/>
      <c r="W859" s="35"/>
      <c r="X859" s="7"/>
      <c r="Y859" s="7"/>
      <c r="Z859" s="7"/>
      <c r="AA859" s="7"/>
      <c r="AB859" s="7"/>
      <c r="AC859" s="7"/>
      <c r="AD859" s="7"/>
      <c r="AE859" s="7"/>
      <c r="AG859" s="36"/>
      <c r="AH859" s="36"/>
      <c r="AI859" s="35"/>
      <c r="AJ859" s="7"/>
      <c r="AK859" s="7"/>
      <c r="AL859" s="7"/>
      <c r="AM859" s="7"/>
      <c r="AN859" s="7"/>
      <c r="AO859" s="7"/>
      <c r="AP859" s="7"/>
      <c r="AQ859" s="7"/>
      <c r="AS859" s="36"/>
      <c r="AT859" s="36"/>
      <c r="AU859" s="35"/>
      <c r="AV859" s="7"/>
      <c r="AW859" s="7"/>
      <c r="AX859" s="7"/>
      <c r="AY859" s="7"/>
      <c r="AZ859" s="7"/>
      <c r="BA859" s="7"/>
      <c r="BB859" s="7"/>
      <c r="BC859" s="7"/>
      <c r="BF859" s="7"/>
      <c r="BG859" s="36"/>
      <c r="BH859" s="36"/>
      <c r="BI859" s="36"/>
      <c r="BJ859" s="36"/>
      <c r="BK859" s="36"/>
      <c r="BL859" s="36"/>
      <c r="BM859" s="36"/>
      <c r="BN859" s="36"/>
      <c r="BO859" s="36"/>
    </row>
    <row r="860" spans="1:67" x14ac:dyDescent="0.25">
      <c r="A860" s="39"/>
      <c r="B860" s="40"/>
      <c r="U860" s="36"/>
      <c r="V860" s="36"/>
      <c r="W860" s="35"/>
      <c r="X860" s="7"/>
      <c r="Y860" s="7"/>
      <c r="Z860" s="7"/>
      <c r="AA860" s="7"/>
      <c r="AB860" s="7"/>
      <c r="AC860" s="7"/>
      <c r="AD860" s="7"/>
      <c r="AE860" s="7"/>
      <c r="AG860" s="36"/>
      <c r="AH860" s="36"/>
      <c r="AI860" s="35"/>
      <c r="AJ860" s="7"/>
      <c r="AK860" s="7"/>
      <c r="AL860" s="7"/>
      <c r="AM860" s="7"/>
      <c r="AN860" s="7"/>
      <c r="AO860" s="7"/>
      <c r="AP860" s="7"/>
      <c r="AQ860" s="7"/>
      <c r="AS860" s="36"/>
      <c r="AT860" s="36"/>
      <c r="AU860" s="35"/>
      <c r="AV860" s="7"/>
      <c r="AW860" s="7"/>
      <c r="AX860" s="7"/>
      <c r="AY860" s="7"/>
      <c r="AZ860" s="7"/>
      <c r="BA860" s="7"/>
      <c r="BB860" s="7"/>
      <c r="BC860" s="7"/>
      <c r="BF860" s="7"/>
      <c r="BG860" s="36"/>
      <c r="BH860" s="36"/>
      <c r="BI860" s="36"/>
      <c r="BJ860" s="36"/>
      <c r="BK860" s="36"/>
      <c r="BL860" s="36"/>
      <c r="BM860" s="36"/>
      <c r="BN860" s="36"/>
      <c r="BO860" s="36"/>
    </row>
    <row r="861" spans="1:67" x14ac:dyDescent="0.25">
      <c r="A861" s="39"/>
      <c r="B861" s="40"/>
      <c r="U861" s="36"/>
      <c r="V861" s="36"/>
      <c r="W861" s="35"/>
      <c r="X861" s="7"/>
      <c r="Y861" s="7"/>
      <c r="Z861" s="7"/>
      <c r="AA861" s="7"/>
      <c r="AB861" s="7"/>
      <c r="AC861" s="7"/>
      <c r="AD861" s="7"/>
      <c r="AE861" s="7"/>
      <c r="AG861" s="36"/>
      <c r="AH861" s="36"/>
      <c r="AI861" s="35"/>
      <c r="AJ861" s="7"/>
      <c r="AK861" s="7"/>
      <c r="AL861" s="7"/>
      <c r="AM861" s="7"/>
      <c r="AN861" s="7"/>
      <c r="AO861" s="7"/>
      <c r="AP861" s="7"/>
      <c r="AQ861" s="7"/>
      <c r="AS861" s="36"/>
      <c r="AT861" s="36"/>
      <c r="AU861" s="35"/>
      <c r="AV861" s="7"/>
      <c r="AW861" s="7"/>
      <c r="AX861" s="7"/>
      <c r="AY861" s="7"/>
      <c r="AZ861" s="7"/>
      <c r="BA861" s="7"/>
      <c r="BB861" s="7"/>
      <c r="BC861" s="7"/>
      <c r="BF861" s="7"/>
      <c r="BG861" s="36"/>
      <c r="BH861" s="36"/>
      <c r="BI861" s="36"/>
      <c r="BJ861" s="36"/>
      <c r="BK861" s="36"/>
      <c r="BL861" s="36"/>
      <c r="BM861" s="36"/>
      <c r="BN861" s="36"/>
      <c r="BO861" s="36"/>
    </row>
    <row r="862" spans="1:67" x14ac:dyDescent="0.25">
      <c r="A862" s="39"/>
      <c r="B862" s="40"/>
      <c r="U862" s="36"/>
      <c r="V862" s="36"/>
      <c r="W862" s="35"/>
      <c r="X862" s="7"/>
      <c r="Y862" s="7"/>
      <c r="Z862" s="7"/>
      <c r="AA862" s="7"/>
      <c r="AB862" s="7"/>
      <c r="AC862" s="7"/>
      <c r="AD862" s="7"/>
      <c r="AE862" s="7"/>
      <c r="AG862" s="36"/>
      <c r="AH862" s="36"/>
      <c r="AI862" s="35"/>
      <c r="AJ862" s="7"/>
      <c r="AK862" s="7"/>
      <c r="AL862" s="7"/>
      <c r="AM862" s="7"/>
      <c r="AN862" s="7"/>
      <c r="AO862" s="7"/>
      <c r="AP862" s="7"/>
      <c r="AQ862" s="7"/>
      <c r="AS862" s="36"/>
      <c r="AT862" s="36"/>
      <c r="AU862" s="35"/>
      <c r="AV862" s="7"/>
      <c r="AW862" s="7"/>
      <c r="AX862" s="7"/>
      <c r="AY862" s="7"/>
      <c r="AZ862" s="7"/>
      <c r="BA862" s="7"/>
      <c r="BB862" s="7"/>
      <c r="BC862" s="7"/>
      <c r="BF862" s="7"/>
      <c r="BG862" s="36"/>
      <c r="BH862" s="36"/>
      <c r="BI862" s="36"/>
      <c r="BJ862" s="36"/>
      <c r="BK862" s="36"/>
      <c r="BL862" s="36"/>
      <c r="BM862" s="36"/>
      <c r="BN862" s="36"/>
      <c r="BO862" s="36"/>
    </row>
    <row r="863" spans="1:67" x14ac:dyDescent="0.25">
      <c r="A863" s="39"/>
      <c r="B863" s="40"/>
      <c r="U863" s="36"/>
      <c r="V863" s="36"/>
      <c r="W863" s="35"/>
      <c r="X863" s="7"/>
      <c r="Y863" s="7"/>
      <c r="Z863" s="7"/>
      <c r="AA863" s="7"/>
      <c r="AB863" s="7"/>
      <c r="AC863" s="7"/>
      <c r="AD863" s="7"/>
      <c r="AE863" s="7"/>
      <c r="AG863" s="36"/>
      <c r="AH863" s="36"/>
      <c r="AI863" s="35"/>
      <c r="AJ863" s="7"/>
      <c r="AK863" s="7"/>
      <c r="AL863" s="7"/>
      <c r="AM863" s="7"/>
      <c r="AN863" s="7"/>
      <c r="AO863" s="7"/>
      <c r="AP863" s="7"/>
      <c r="AQ863" s="7"/>
      <c r="AS863" s="36"/>
      <c r="AT863" s="36"/>
      <c r="AU863" s="35"/>
      <c r="AV863" s="7"/>
      <c r="AW863" s="7"/>
      <c r="AX863" s="7"/>
      <c r="AY863" s="7"/>
      <c r="AZ863" s="7"/>
      <c r="BA863" s="7"/>
      <c r="BB863" s="7"/>
      <c r="BC863" s="7"/>
      <c r="BF863" s="7"/>
      <c r="BG863" s="36"/>
      <c r="BH863" s="36"/>
      <c r="BI863" s="36"/>
      <c r="BJ863" s="36"/>
      <c r="BK863" s="36"/>
      <c r="BL863" s="36"/>
      <c r="BM863" s="36"/>
      <c r="BN863" s="36"/>
      <c r="BO863" s="36"/>
    </row>
    <row r="864" spans="1:67" x14ac:dyDescent="0.25">
      <c r="A864" s="39"/>
      <c r="B864" s="40"/>
      <c r="U864" s="36"/>
      <c r="V864" s="36"/>
      <c r="W864" s="35"/>
      <c r="X864" s="7"/>
      <c r="Y864" s="7"/>
      <c r="Z864" s="7"/>
      <c r="AA864" s="7"/>
      <c r="AB864" s="7"/>
      <c r="AC864" s="7"/>
      <c r="AD864" s="7"/>
      <c r="AE864" s="7"/>
      <c r="AG864" s="36"/>
      <c r="AH864" s="36"/>
      <c r="AI864" s="35"/>
      <c r="AJ864" s="7"/>
      <c r="AK864" s="7"/>
      <c r="AL864" s="7"/>
      <c r="AM864" s="7"/>
      <c r="AN864" s="7"/>
      <c r="AO864" s="7"/>
      <c r="AP864" s="7"/>
      <c r="AQ864" s="7"/>
      <c r="AS864" s="36"/>
      <c r="AT864" s="36"/>
      <c r="AU864" s="35"/>
      <c r="AV864" s="7"/>
      <c r="AW864" s="7"/>
      <c r="AX864" s="7"/>
      <c r="AY864" s="7"/>
      <c r="AZ864" s="7"/>
      <c r="BA864" s="7"/>
      <c r="BB864" s="7"/>
      <c r="BC864" s="7"/>
      <c r="BF864" s="7"/>
      <c r="BG864" s="36"/>
      <c r="BH864" s="36"/>
      <c r="BI864" s="36"/>
      <c r="BJ864" s="36"/>
      <c r="BK864" s="36"/>
      <c r="BL864" s="36"/>
      <c r="BM864" s="36"/>
      <c r="BN864" s="36"/>
      <c r="BO864" s="36"/>
    </row>
    <row r="865" spans="1:67" x14ac:dyDescent="0.25">
      <c r="A865" s="39"/>
      <c r="B865" s="40"/>
      <c r="U865" s="36"/>
      <c r="V865" s="36"/>
      <c r="W865" s="35"/>
      <c r="X865" s="7"/>
      <c r="Y865" s="7"/>
      <c r="Z865" s="7"/>
      <c r="AA865" s="7"/>
      <c r="AB865" s="7"/>
      <c r="AC865" s="7"/>
      <c r="AD865" s="7"/>
      <c r="AE865" s="7"/>
      <c r="AG865" s="36"/>
      <c r="AH865" s="36"/>
      <c r="AI865" s="35"/>
      <c r="AJ865" s="7"/>
      <c r="AK865" s="7"/>
      <c r="AL865" s="7"/>
      <c r="AM865" s="7"/>
      <c r="AN865" s="7"/>
      <c r="AO865" s="7"/>
      <c r="AP865" s="7"/>
      <c r="AQ865" s="7"/>
      <c r="AS865" s="36"/>
      <c r="AT865" s="36"/>
      <c r="AU865" s="35"/>
      <c r="AV865" s="7"/>
      <c r="AW865" s="7"/>
      <c r="AX865" s="7"/>
      <c r="AY865" s="7"/>
      <c r="AZ865" s="7"/>
      <c r="BA865" s="7"/>
      <c r="BB865" s="7"/>
      <c r="BC865" s="7"/>
      <c r="BF865" s="7"/>
      <c r="BG865" s="36"/>
      <c r="BH865" s="36"/>
      <c r="BI865" s="36"/>
      <c r="BJ865" s="36"/>
      <c r="BK865" s="36"/>
      <c r="BL865" s="36"/>
      <c r="BM865" s="36"/>
      <c r="BN865" s="36"/>
      <c r="BO865" s="36"/>
    </row>
    <row r="866" spans="1:67" x14ac:dyDescent="0.25">
      <c r="A866" s="39"/>
      <c r="B866" s="40"/>
      <c r="U866" s="36"/>
      <c r="V866" s="36"/>
      <c r="W866" s="35"/>
      <c r="X866" s="7"/>
      <c r="Y866" s="7"/>
      <c r="Z866" s="7"/>
      <c r="AA866" s="7"/>
      <c r="AB866" s="7"/>
      <c r="AC866" s="7"/>
      <c r="AD866" s="7"/>
      <c r="AE866" s="7"/>
      <c r="AG866" s="36"/>
      <c r="AH866" s="36"/>
      <c r="AI866" s="35"/>
      <c r="AJ866" s="7"/>
      <c r="AK866" s="7"/>
      <c r="AL866" s="7"/>
      <c r="AM866" s="7"/>
      <c r="AN866" s="7"/>
      <c r="AO866" s="7"/>
      <c r="AP866" s="7"/>
      <c r="AQ866" s="7"/>
      <c r="AS866" s="36"/>
      <c r="AT866" s="36"/>
      <c r="AU866" s="35"/>
      <c r="AV866" s="7"/>
      <c r="AW866" s="7"/>
      <c r="AX866" s="7"/>
      <c r="AY866" s="7"/>
      <c r="AZ866" s="7"/>
      <c r="BA866" s="7"/>
      <c r="BB866" s="7"/>
      <c r="BC866" s="7"/>
      <c r="BF866" s="7"/>
      <c r="BG866" s="36"/>
      <c r="BH866" s="36"/>
      <c r="BI866" s="36"/>
      <c r="BJ866" s="36"/>
      <c r="BK866" s="36"/>
      <c r="BL866" s="36"/>
      <c r="BM866" s="36"/>
      <c r="BN866" s="36"/>
      <c r="BO866" s="36"/>
    </row>
    <row r="867" spans="1:67" x14ac:dyDescent="0.25">
      <c r="A867" s="39"/>
      <c r="B867" s="40"/>
      <c r="U867" s="36"/>
      <c r="V867" s="36"/>
      <c r="W867" s="35"/>
      <c r="X867" s="7"/>
      <c r="Y867" s="7"/>
      <c r="Z867" s="7"/>
      <c r="AA867" s="7"/>
      <c r="AB867" s="7"/>
      <c r="AC867" s="7"/>
      <c r="AD867" s="7"/>
      <c r="AE867" s="7"/>
      <c r="AG867" s="36"/>
      <c r="AH867" s="36"/>
      <c r="AI867" s="35"/>
      <c r="AJ867" s="7"/>
      <c r="AK867" s="7"/>
      <c r="AL867" s="7"/>
      <c r="AM867" s="7"/>
      <c r="AN867" s="7"/>
      <c r="AO867" s="7"/>
      <c r="AP867" s="7"/>
      <c r="AQ867" s="7"/>
      <c r="AS867" s="36"/>
      <c r="AT867" s="36"/>
      <c r="AU867" s="35"/>
      <c r="AV867" s="7"/>
      <c r="AW867" s="7"/>
      <c r="AX867" s="7"/>
      <c r="AY867" s="7"/>
      <c r="AZ867" s="7"/>
      <c r="BA867" s="7"/>
      <c r="BB867" s="7"/>
      <c r="BC867" s="7"/>
      <c r="BF867" s="7"/>
      <c r="BG867" s="36"/>
      <c r="BH867" s="36"/>
      <c r="BI867" s="36"/>
      <c r="BJ867" s="36"/>
      <c r="BK867" s="36"/>
      <c r="BL867" s="36"/>
      <c r="BM867" s="36"/>
      <c r="BN867" s="36"/>
      <c r="BO867" s="36"/>
    </row>
    <row r="868" spans="1:67" x14ac:dyDescent="0.25">
      <c r="A868" s="39"/>
      <c r="B868" s="40"/>
      <c r="U868" s="36"/>
      <c r="V868" s="36"/>
      <c r="W868" s="35"/>
      <c r="X868" s="7"/>
      <c r="Y868" s="7"/>
      <c r="Z868" s="7"/>
      <c r="AA868" s="7"/>
      <c r="AB868" s="7"/>
      <c r="AC868" s="7"/>
      <c r="AD868" s="7"/>
      <c r="AE868" s="7"/>
      <c r="AG868" s="36"/>
      <c r="AH868" s="36"/>
      <c r="AI868" s="35"/>
      <c r="AJ868" s="7"/>
      <c r="AK868" s="7"/>
      <c r="AL868" s="7"/>
      <c r="AM868" s="7"/>
      <c r="AN868" s="7"/>
      <c r="AO868" s="7"/>
      <c r="AP868" s="7"/>
      <c r="AQ868" s="7"/>
      <c r="AS868" s="36"/>
      <c r="AT868" s="36"/>
      <c r="AU868" s="35"/>
      <c r="AV868" s="7"/>
      <c r="AW868" s="7"/>
      <c r="AX868" s="7"/>
      <c r="AY868" s="7"/>
      <c r="AZ868" s="7"/>
      <c r="BA868" s="7"/>
      <c r="BB868" s="7"/>
      <c r="BC868" s="7"/>
      <c r="BF868" s="7"/>
      <c r="BG868" s="36"/>
      <c r="BH868" s="36"/>
      <c r="BI868" s="36"/>
      <c r="BJ868" s="36"/>
      <c r="BK868" s="36"/>
      <c r="BL868" s="36"/>
      <c r="BM868" s="36"/>
      <c r="BN868" s="36"/>
      <c r="BO868" s="36"/>
    </row>
    <row r="869" spans="1:67" x14ac:dyDescent="0.25">
      <c r="A869" s="39"/>
      <c r="B869" s="40"/>
      <c r="U869" s="36"/>
      <c r="V869" s="36"/>
      <c r="W869" s="35"/>
      <c r="X869" s="7"/>
      <c r="Y869" s="7"/>
      <c r="Z869" s="7"/>
      <c r="AA869" s="7"/>
      <c r="AB869" s="7"/>
      <c r="AC869" s="7"/>
      <c r="AD869" s="7"/>
      <c r="AE869" s="7"/>
      <c r="AG869" s="36"/>
      <c r="AH869" s="36"/>
      <c r="AI869" s="35"/>
      <c r="AJ869" s="7"/>
      <c r="AK869" s="7"/>
      <c r="AL869" s="7"/>
      <c r="AM869" s="7"/>
      <c r="AN869" s="7"/>
      <c r="AO869" s="7"/>
      <c r="AP869" s="7"/>
      <c r="AQ869" s="7"/>
      <c r="AS869" s="36"/>
      <c r="AT869" s="36"/>
      <c r="AU869" s="35"/>
      <c r="AV869" s="7"/>
      <c r="AW869" s="7"/>
      <c r="AX869" s="7"/>
      <c r="AY869" s="7"/>
      <c r="AZ869" s="7"/>
      <c r="BA869" s="7"/>
      <c r="BB869" s="7"/>
      <c r="BC869" s="7"/>
      <c r="BF869" s="7"/>
      <c r="BG869" s="36"/>
      <c r="BH869" s="36"/>
      <c r="BI869" s="36"/>
      <c r="BJ869" s="36"/>
      <c r="BK869" s="36"/>
      <c r="BL869" s="36"/>
      <c r="BM869" s="36"/>
      <c r="BN869" s="36"/>
      <c r="BO869" s="36"/>
    </row>
    <row r="870" spans="1:67" x14ac:dyDescent="0.25">
      <c r="A870" s="39"/>
      <c r="B870" s="40"/>
      <c r="U870" s="36"/>
      <c r="V870" s="36"/>
      <c r="W870" s="35"/>
      <c r="X870" s="7"/>
      <c r="Y870" s="7"/>
      <c r="Z870" s="7"/>
      <c r="AA870" s="7"/>
      <c r="AB870" s="7"/>
      <c r="AC870" s="7"/>
      <c r="AD870" s="7"/>
      <c r="AE870" s="7"/>
      <c r="AG870" s="36"/>
      <c r="AH870" s="36"/>
      <c r="AI870" s="35"/>
      <c r="AJ870" s="7"/>
      <c r="AK870" s="7"/>
      <c r="AL870" s="7"/>
      <c r="AM870" s="7"/>
      <c r="AN870" s="7"/>
      <c r="AO870" s="7"/>
      <c r="AP870" s="7"/>
      <c r="AQ870" s="7"/>
      <c r="AS870" s="36"/>
      <c r="AT870" s="36"/>
      <c r="AU870" s="35"/>
      <c r="AV870" s="7"/>
      <c r="AW870" s="7"/>
      <c r="AX870" s="7"/>
      <c r="AY870" s="7"/>
      <c r="AZ870" s="7"/>
      <c r="BA870" s="7"/>
      <c r="BB870" s="7"/>
      <c r="BC870" s="7"/>
      <c r="BF870" s="7"/>
      <c r="BG870" s="36"/>
      <c r="BH870" s="36"/>
      <c r="BI870" s="36"/>
      <c r="BJ870" s="36"/>
      <c r="BK870" s="36"/>
      <c r="BL870" s="36"/>
      <c r="BM870" s="36"/>
      <c r="BN870" s="36"/>
      <c r="BO870" s="36"/>
    </row>
    <row r="871" spans="1:67" x14ac:dyDescent="0.25">
      <c r="A871" s="39"/>
      <c r="B871" s="40"/>
      <c r="U871" s="36"/>
      <c r="V871" s="36"/>
      <c r="W871" s="35"/>
      <c r="X871" s="7"/>
      <c r="Y871" s="7"/>
      <c r="Z871" s="7"/>
      <c r="AA871" s="7"/>
      <c r="AB871" s="7"/>
      <c r="AC871" s="7"/>
      <c r="AD871" s="7"/>
      <c r="AE871" s="7"/>
      <c r="AG871" s="36"/>
      <c r="AH871" s="36"/>
      <c r="AI871" s="35"/>
      <c r="AJ871" s="7"/>
      <c r="AK871" s="7"/>
      <c r="AL871" s="7"/>
      <c r="AM871" s="7"/>
      <c r="AN871" s="7"/>
      <c r="AO871" s="7"/>
      <c r="AP871" s="7"/>
      <c r="AQ871" s="7"/>
      <c r="AS871" s="36"/>
      <c r="AT871" s="36"/>
      <c r="AU871" s="35"/>
      <c r="AV871" s="7"/>
      <c r="AW871" s="7"/>
      <c r="AX871" s="7"/>
      <c r="AY871" s="7"/>
      <c r="AZ871" s="7"/>
      <c r="BA871" s="7"/>
      <c r="BB871" s="7"/>
      <c r="BC871" s="7"/>
      <c r="BF871" s="7"/>
      <c r="BG871" s="36"/>
      <c r="BH871" s="36"/>
      <c r="BI871" s="36"/>
      <c r="BJ871" s="36"/>
      <c r="BK871" s="36"/>
      <c r="BL871" s="36"/>
      <c r="BM871" s="36"/>
      <c r="BN871" s="36"/>
      <c r="BO871" s="36"/>
    </row>
    <row r="872" spans="1:67" x14ac:dyDescent="0.25">
      <c r="A872" s="39"/>
      <c r="B872" s="40"/>
      <c r="U872" s="36"/>
      <c r="V872" s="36"/>
      <c r="W872" s="35"/>
      <c r="X872" s="7"/>
      <c r="Y872" s="7"/>
      <c r="Z872" s="7"/>
      <c r="AA872" s="7"/>
      <c r="AB872" s="7"/>
      <c r="AC872" s="7"/>
      <c r="AD872" s="7"/>
      <c r="AE872" s="7"/>
      <c r="AG872" s="36"/>
      <c r="AH872" s="36"/>
      <c r="AI872" s="35"/>
      <c r="AJ872" s="7"/>
      <c r="AK872" s="7"/>
      <c r="AL872" s="7"/>
      <c r="AM872" s="7"/>
      <c r="AN872" s="7"/>
      <c r="AO872" s="7"/>
      <c r="AP872" s="7"/>
      <c r="AQ872" s="7"/>
      <c r="AS872" s="36"/>
      <c r="AT872" s="36"/>
      <c r="AU872" s="35"/>
      <c r="AV872" s="7"/>
      <c r="AW872" s="7"/>
      <c r="AX872" s="7"/>
      <c r="AY872" s="7"/>
      <c r="AZ872" s="7"/>
      <c r="BA872" s="7"/>
      <c r="BB872" s="7"/>
      <c r="BC872" s="7"/>
      <c r="BF872" s="7"/>
      <c r="BG872" s="36"/>
      <c r="BH872" s="36"/>
      <c r="BI872" s="36"/>
      <c r="BJ872" s="36"/>
      <c r="BK872" s="36"/>
      <c r="BL872" s="36"/>
      <c r="BM872" s="36"/>
      <c r="BN872" s="36"/>
      <c r="BO872" s="36"/>
    </row>
    <row r="873" spans="1:67" x14ac:dyDescent="0.25">
      <c r="A873" s="39"/>
      <c r="B873" s="40"/>
      <c r="U873" s="36"/>
      <c r="V873" s="36"/>
      <c r="W873" s="35"/>
      <c r="X873" s="7"/>
      <c r="Y873" s="7"/>
      <c r="Z873" s="7"/>
      <c r="AA873" s="7"/>
      <c r="AB873" s="7"/>
      <c r="AC873" s="7"/>
      <c r="AD873" s="7"/>
      <c r="AE873" s="7"/>
      <c r="AG873" s="36"/>
      <c r="AH873" s="36"/>
      <c r="AI873" s="35"/>
      <c r="AJ873" s="7"/>
      <c r="AK873" s="7"/>
      <c r="AL873" s="7"/>
      <c r="AM873" s="7"/>
      <c r="AN873" s="7"/>
      <c r="AO873" s="7"/>
      <c r="AP873" s="7"/>
      <c r="AQ873" s="7"/>
      <c r="AS873" s="36"/>
      <c r="AT873" s="36"/>
      <c r="AU873" s="35"/>
      <c r="AV873" s="7"/>
      <c r="AW873" s="7"/>
      <c r="AX873" s="7"/>
      <c r="AY873" s="7"/>
      <c r="AZ873" s="7"/>
      <c r="BA873" s="7"/>
      <c r="BB873" s="7"/>
      <c r="BC873" s="7"/>
      <c r="BF873" s="7"/>
      <c r="BG873" s="36"/>
      <c r="BH873" s="36"/>
      <c r="BI873" s="36"/>
      <c r="BJ873" s="36"/>
      <c r="BK873" s="36"/>
      <c r="BL873" s="36"/>
      <c r="BM873" s="36"/>
      <c r="BN873" s="36"/>
      <c r="BO873" s="36"/>
    </row>
    <row r="874" spans="1:67" x14ac:dyDescent="0.25">
      <c r="A874" s="39"/>
      <c r="B874" s="40"/>
      <c r="U874" s="36"/>
      <c r="V874" s="36"/>
      <c r="W874" s="35"/>
      <c r="X874" s="7"/>
      <c r="Y874" s="7"/>
      <c r="Z874" s="7"/>
      <c r="AA874" s="7"/>
      <c r="AB874" s="7"/>
      <c r="AC874" s="7"/>
      <c r="AD874" s="7"/>
      <c r="AE874" s="7"/>
      <c r="AG874" s="36"/>
      <c r="AH874" s="36"/>
      <c r="AI874" s="35"/>
      <c r="AJ874" s="7"/>
      <c r="AK874" s="7"/>
      <c r="AL874" s="7"/>
      <c r="AM874" s="7"/>
      <c r="AN874" s="7"/>
      <c r="AO874" s="7"/>
      <c r="AP874" s="7"/>
      <c r="AQ874" s="7"/>
      <c r="AS874" s="36"/>
      <c r="AT874" s="36"/>
      <c r="AU874" s="35"/>
      <c r="AV874" s="7"/>
      <c r="AW874" s="7"/>
      <c r="AX874" s="7"/>
      <c r="AY874" s="7"/>
      <c r="AZ874" s="7"/>
      <c r="BA874" s="7"/>
      <c r="BB874" s="7"/>
      <c r="BC874" s="7"/>
      <c r="BF874" s="7"/>
      <c r="BG874" s="36"/>
      <c r="BH874" s="36"/>
      <c r="BI874" s="36"/>
      <c r="BJ874" s="36"/>
      <c r="BK874" s="36"/>
      <c r="BL874" s="36"/>
      <c r="BM874" s="36"/>
      <c r="BN874" s="36"/>
      <c r="BO874" s="36"/>
    </row>
    <row r="875" spans="1:67" x14ac:dyDescent="0.25">
      <c r="A875" s="39"/>
      <c r="B875" s="40"/>
      <c r="U875" s="36"/>
      <c r="V875" s="36"/>
      <c r="W875" s="35"/>
      <c r="X875" s="7"/>
      <c r="Y875" s="7"/>
      <c r="Z875" s="7"/>
      <c r="AA875" s="7"/>
      <c r="AB875" s="7"/>
      <c r="AC875" s="7"/>
      <c r="AD875" s="7"/>
      <c r="AE875" s="7"/>
      <c r="AG875" s="36"/>
      <c r="AH875" s="36"/>
      <c r="AI875" s="35"/>
      <c r="AJ875" s="7"/>
      <c r="AK875" s="7"/>
      <c r="AL875" s="7"/>
      <c r="AM875" s="7"/>
      <c r="AN875" s="7"/>
      <c r="AO875" s="7"/>
      <c r="AP875" s="7"/>
      <c r="AQ875" s="7"/>
      <c r="AS875" s="36"/>
      <c r="AT875" s="36"/>
      <c r="AU875" s="35"/>
      <c r="AV875" s="7"/>
      <c r="AW875" s="7"/>
      <c r="AX875" s="7"/>
      <c r="AY875" s="7"/>
      <c r="AZ875" s="7"/>
      <c r="BA875" s="7"/>
      <c r="BB875" s="7"/>
      <c r="BC875" s="7"/>
      <c r="BF875" s="7"/>
      <c r="BG875" s="36"/>
      <c r="BH875" s="36"/>
      <c r="BI875" s="36"/>
      <c r="BJ875" s="36"/>
      <c r="BK875" s="36"/>
      <c r="BL875" s="36"/>
      <c r="BM875" s="36"/>
      <c r="BN875" s="36"/>
      <c r="BO875" s="36"/>
    </row>
    <row r="876" spans="1:67" x14ac:dyDescent="0.25">
      <c r="A876" s="39"/>
      <c r="B876" s="40"/>
      <c r="U876" s="36"/>
      <c r="V876" s="36"/>
      <c r="W876" s="35"/>
      <c r="X876" s="7"/>
      <c r="Y876" s="7"/>
      <c r="Z876" s="7"/>
      <c r="AA876" s="7"/>
      <c r="AB876" s="7"/>
      <c r="AC876" s="7"/>
      <c r="AD876" s="7"/>
      <c r="AE876" s="7"/>
      <c r="AG876" s="36"/>
      <c r="AH876" s="36"/>
      <c r="AI876" s="35"/>
      <c r="AJ876" s="7"/>
      <c r="AK876" s="7"/>
      <c r="AL876" s="7"/>
      <c r="AM876" s="7"/>
      <c r="AN876" s="7"/>
      <c r="AO876" s="7"/>
      <c r="AP876" s="7"/>
      <c r="AQ876" s="7"/>
      <c r="AS876" s="36"/>
      <c r="AT876" s="36"/>
      <c r="AU876" s="35"/>
      <c r="AV876" s="7"/>
      <c r="AW876" s="7"/>
      <c r="AX876" s="7"/>
      <c r="AY876" s="7"/>
      <c r="AZ876" s="7"/>
      <c r="BA876" s="7"/>
      <c r="BB876" s="7"/>
      <c r="BC876" s="7"/>
      <c r="BF876" s="7"/>
      <c r="BG876" s="36"/>
      <c r="BH876" s="36"/>
      <c r="BI876" s="36"/>
      <c r="BJ876" s="36"/>
      <c r="BK876" s="36"/>
      <c r="BL876" s="36"/>
      <c r="BM876" s="36"/>
      <c r="BN876" s="36"/>
      <c r="BO876" s="36"/>
    </row>
    <row r="877" spans="1:67" x14ac:dyDescent="0.25">
      <c r="A877" s="39"/>
      <c r="B877" s="40"/>
      <c r="U877" s="36"/>
      <c r="V877" s="36"/>
      <c r="W877" s="35"/>
      <c r="X877" s="7"/>
      <c r="Y877" s="7"/>
      <c r="Z877" s="7"/>
      <c r="AA877" s="7"/>
      <c r="AB877" s="7"/>
      <c r="AC877" s="7"/>
      <c r="AD877" s="7"/>
      <c r="AE877" s="7"/>
      <c r="AG877" s="36"/>
      <c r="AH877" s="36"/>
      <c r="AI877" s="35"/>
      <c r="AJ877" s="7"/>
      <c r="AK877" s="7"/>
      <c r="AL877" s="7"/>
      <c r="AM877" s="7"/>
      <c r="AN877" s="7"/>
      <c r="AO877" s="7"/>
      <c r="AP877" s="7"/>
      <c r="AQ877" s="7"/>
      <c r="AS877" s="36"/>
      <c r="AT877" s="36"/>
      <c r="AU877" s="35"/>
      <c r="AV877" s="7"/>
      <c r="AW877" s="7"/>
      <c r="AX877" s="7"/>
      <c r="AY877" s="7"/>
      <c r="AZ877" s="7"/>
      <c r="BA877" s="7"/>
      <c r="BB877" s="7"/>
      <c r="BC877" s="7"/>
      <c r="BF877" s="7"/>
      <c r="BG877" s="36"/>
      <c r="BH877" s="36"/>
      <c r="BI877" s="36"/>
      <c r="BJ877" s="36"/>
      <c r="BK877" s="36"/>
      <c r="BL877" s="36"/>
      <c r="BM877" s="36"/>
      <c r="BN877" s="36"/>
      <c r="BO877" s="36"/>
    </row>
    <row r="878" spans="1:67" x14ac:dyDescent="0.25">
      <c r="A878" s="39"/>
      <c r="B878" s="40"/>
      <c r="U878" s="36"/>
      <c r="V878" s="36"/>
      <c r="W878" s="35"/>
      <c r="X878" s="7"/>
      <c r="Y878" s="7"/>
      <c r="Z878" s="7"/>
      <c r="AA878" s="7"/>
      <c r="AB878" s="7"/>
      <c r="AC878" s="7"/>
      <c r="AD878" s="7"/>
      <c r="AE878" s="7"/>
      <c r="AG878" s="36"/>
      <c r="AH878" s="36"/>
      <c r="AI878" s="35"/>
      <c r="AJ878" s="7"/>
      <c r="AK878" s="7"/>
      <c r="AL878" s="7"/>
      <c r="AM878" s="7"/>
      <c r="AN878" s="7"/>
      <c r="AO878" s="7"/>
      <c r="AP878" s="7"/>
      <c r="AQ878" s="7"/>
      <c r="AS878" s="36"/>
      <c r="AT878" s="36"/>
      <c r="AU878" s="35"/>
      <c r="AV878" s="7"/>
      <c r="AW878" s="7"/>
      <c r="AX878" s="7"/>
      <c r="AY878" s="7"/>
      <c r="AZ878" s="7"/>
      <c r="BA878" s="7"/>
      <c r="BB878" s="7"/>
      <c r="BC878" s="7"/>
      <c r="BF878" s="7"/>
      <c r="BG878" s="36"/>
      <c r="BH878" s="36"/>
      <c r="BI878" s="36"/>
      <c r="BJ878" s="36"/>
      <c r="BK878" s="36"/>
      <c r="BL878" s="36"/>
      <c r="BM878" s="36"/>
      <c r="BN878" s="36"/>
      <c r="BO878" s="36"/>
    </row>
    <row r="879" spans="1:67" x14ac:dyDescent="0.25">
      <c r="A879" s="39"/>
      <c r="B879" s="40"/>
      <c r="U879" s="36"/>
      <c r="V879" s="36"/>
      <c r="W879" s="35"/>
      <c r="X879" s="7"/>
      <c r="Y879" s="7"/>
      <c r="Z879" s="7"/>
      <c r="AA879" s="7"/>
      <c r="AB879" s="7"/>
      <c r="AC879" s="7"/>
      <c r="AD879" s="7"/>
      <c r="AE879" s="7"/>
      <c r="AG879" s="36"/>
      <c r="AH879" s="36"/>
      <c r="AI879" s="35"/>
      <c r="AJ879" s="7"/>
      <c r="AK879" s="7"/>
      <c r="AL879" s="7"/>
      <c r="AM879" s="7"/>
      <c r="AN879" s="7"/>
      <c r="AO879" s="7"/>
      <c r="AP879" s="7"/>
      <c r="AQ879" s="7"/>
      <c r="AS879" s="36"/>
      <c r="AT879" s="36"/>
      <c r="AU879" s="35"/>
      <c r="AV879" s="7"/>
      <c r="AW879" s="7"/>
      <c r="AX879" s="7"/>
      <c r="AY879" s="7"/>
      <c r="AZ879" s="7"/>
      <c r="BA879" s="7"/>
      <c r="BB879" s="7"/>
      <c r="BC879" s="7"/>
      <c r="BF879" s="7"/>
      <c r="BG879" s="36"/>
      <c r="BH879" s="36"/>
      <c r="BI879" s="36"/>
      <c r="BJ879" s="36"/>
      <c r="BK879" s="36"/>
      <c r="BL879" s="36"/>
      <c r="BM879" s="36"/>
      <c r="BN879" s="36"/>
      <c r="BO879" s="36"/>
    </row>
    <row r="880" spans="1:67" x14ac:dyDescent="0.25">
      <c r="A880" s="39"/>
      <c r="B880" s="40"/>
      <c r="U880" s="36"/>
      <c r="V880" s="36"/>
      <c r="W880" s="35"/>
      <c r="X880" s="7"/>
      <c r="Y880" s="7"/>
      <c r="Z880" s="7"/>
      <c r="AA880" s="7"/>
      <c r="AB880" s="7"/>
      <c r="AC880" s="7"/>
      <c r="AD880" s="7"/>
      <c r="AE880" s="7"/>
      <c r="AG880" s="36"/>
      <c r="AH880" s="36"/>
      <c r="AI880" s="35"/>
      <c r="AJ880" s="7"/>
      <c r="AK880" s="7"/>
      <c r="AL880" s="7"/>
      <c r="AM880" s="7"/>
      <c r="AN880" s="7"/>
      <c r="AO880" s="7"/>
      <c r="AP880" s="7"/>
      <c r="AQ880" s="7"/>
      <c r="AS880" s="36"/>
      <c r="AT880" s="36"/>
      <c r="AU880" s="35"/>
      <c r="AV880" s="7"/>
      <c r="AW880" s="7"/>
      <c r="AX880" s="7"/>
      <c r="AY880" s="7"/>
      <c r="AZ880" s="7"/>
      <c r="BA880" s="7"/>
      <c r="BB880" s="7"/>
      <c r="BC880" s="7"/>
      <c r="BF880" s="7"/>
      <c r="BG880" s="36"/>
      <c r="BH880" s="36"/>
      <c r="BI880" s="36"/>
      <c r="BJ880" s="36"/>
      <c r="BK880" s="36"/>
      <c r="BL880" s="36"/>
      <c r="BM880" s="36"/>
      <c r="BN880" s="36"/>
      <c r="BO880" s="36"/>
    </row>
    <row r="881" spans="1:67" x14ac:dyDescent="0.25">
      <c r="A881" s="39"/>
      <c r="B881" s="40"/>
      <c r="U881" s="36"/>
      <c r="V881" s="36"/>
      <c r="W881" s="35"/>
      <c r="X881" s="7"/>
      <c r="Y881" s="7"/>
      <c r="Z881" s="7"/>
      <c r="AA881" s="7"/>
      <c r="AB881" s="7"/>
      <c r="AC881" s="7"/>
      <c r="AD881" s="7"/>
      <c r="AE881" s="7"/>
      <c r="AG881" s="36"/>
      <c r="AH881" s="36"/>
      <c r="AI881" s="35"/>
      <c r="AJ881" s="7"/>
      <c r="AK881" s="7"/>
      <c r="AL881" s="7"/>
      <c r="AM881" s="7"/>
      <c r="AN881" s="7"/>
      <c r="AO881" s="7"/>
      <c r="AP881" s="7"/>
      <c r="AQ881" s="7"/>
      <c r="AS881" s="36"/>
      <c r="AT881" s="36"/>
      <c r="AU881" s="35"/>
      <c r="AV881" s="7"/>
      <c r="AW881" s="7"/>
      <c r="AX881" s="7"/>
      <c r="AY881" s="7"/>
      <c r="AZ881" s="7"/>
      <c r="BA881" s="7"/>
      <c r="BB881" s="7"/>
      <c r="BC881" s="7"/>
      <c r="BF881" s="7"/>
      <c r="BG881" s="36"/>
      <c r="BH881" s="36"/>
      <c r="BI881" s="36"/>
      <c r="BJ881" s="36"/>
      <c r="BK881" s="36"/>
      <c r="BL881" s="36"/>
      <c r="BM881" s="36"/>
      <c r="BN881" s="36"/>
      <c r="BO881" s="36"/>
    </row>
    <row r="882" spans="1:67" x14ac:dyDescent="0.25">
      <c r="A882" s="39"/>
      <c r="B882" s="40"/>
      <c r="U882" s="36"/>
      <c r="V882" s="36"/>
      <c r="W882" s="35"/>
      <c r="X882" s="7"/>
      <c r="Y882" s="7"/>
      <c r="Z882" s="7"/>
      <c r="AA882" s="7"/>
      <c r="AB882" s="7"/>
      <c r="AC882" s="7"/>
      <c r="AD882" s="7"/>
      <c r="AE882" s="7"/>
      <c r="AG882" s="36"/>
      <c r="AH882" s="36"/>
      <c r="AI882" s="35"/>
      <c r="AJ882" s="7"/>
      <c r="AK882" s="7"/>
      <c r="AL882" s="7"/>
      <c r="AM882" s="7"/>
      <c r="AN882" s="7"/>
      <c r="AO882" s="7"/>
      <c r="AP882" s="7"/>
      <c r="AQ882" s="7"/>
      <c r="AS882" s="36"/>
      <c r="AT882" s="36"/>
      <c r="AU882" s="35"/>
      <c r="AV882" s="7"/>
      <c r="AW882" s="7"/>
      <c r="AX882" s="7"/>
      <c r="AY882" s="7"/>
      <c r="AZ882" s="7"/>
      <c r="BA882" s="7"/>
      <c r="BB882" s="7"/>
      <c r="BC882" s="7"/>
      <c r="BF882" s="7"/>
      <c r="BG882" s="36"/>
      <c r="BH882" s="36"/>
      <c r="BI882" s="36"/>
      <c r="BJ882" s="36"/>
      <c r="BK882" s="36"/>
      <c r="BL882" s="36"/>
      <c r="BM882" s="36"/>
      <c r="BN882" s="36"/>
      <c r="BO882" s="36"/>
    </row>
    <row r="883" spans="1:67" x14ac:dyDescent="0.25">
      <c r="A883" s="39"/>
      <c r="B883" s="40"/>
      <c r="U883" s="36"/>
      <c r="V883" s="36"/>
      <c r="W883" s="35"/>
      <c r="X883" s="7"/>
      <c r="Y883" s="7"/>
      <c r="Z883" s="7"/>
      <c r="AA883" s="7"/>
      <c r="AB883" s="7"/>
      <c r="AC883" s="7"/>
      <c r="AD883" s="7"/>
      <c r="AE883" s="7"/>
      <c r="AG883" s="36"/>
      <c r="AH883" s="36"/>
      <c r="AI883" s="35"/>
      <c r="AJ883" s="7"/>
      <c r="AK883" s="7"/>
      <c r="AL883" s="7"/>
      <c r="AM883" s="7"/>
      <c r="AN883" s="7"/>
      <c r="AO883" s="7"/>
      <c r="AP883" s="7"/>
      <c r="AQ883" s="7"/>
      <c r="AS883" s="36"/>
      <c r="AT883" s="36"/>
      <c r="AU883" s="35"/>
      <c r="AV883" s="7"/>
      <c r="AW883" s="7"/>
      <c r="AX883" s="7"/>
      <c r="AY883" s="7"/>
      <c r="AZ883" s="7"/>
      <c r="BA883" s="7"/>
      <c r="BB883" s="7"/>
      <c r="BC883" s="7"/>
      <c r="BF883" s="7"/>
      <c r="BG883" s="36"/>
      <c r="BH883" s="36"/>
      <c r="BI883" s="36"/>
      <c r="BJ883" s="36"/>
      <c r="BK883" s="36"/>
      <c r="BL883" s="36"/>
      <c r="BM883" s="36"/>
      <c r="BN883" s="36"/>
      <c r="BO883" s="36"/>
    </row>
    <row r="884" spans="1:67" x14ac:dyDescent="0.25">
      <c r="A884" s="39"/>
      <c r="B884" s="40"/>
      <c r="U884" s="36"/>
      <c r="V884" s="36"/>
      <c r="W884" s="35"/>
      <c r="X884" s="7"/>
      <c r="Y884" s="7"/>
      <c r="Z884" s="7"/>
      <c r="AA884" s="7"/>
      <c r="AB884" s="7"/>
      <c r="AC884" s="7"/>
      <c r="AD884" s="7"/>
      <c r="AE884" s="7"/>
      <c r="AG884" s="36"/>
      <c r="AH884" s="36"/>
      <c r="AI884" s="35"/>
      <c r="AJ884" s="7"/>
      <c r="AK884" s="7"/>
      <c r="AL884" s="7"/>
      <c r="AM884" s="7"/>
      <c r="AN884" s="7"/>
      <c r="AO884" s="7"/>
      <c r="AP884" s="7"/>
      <c r="AQ884" s="7"/>
      <c r="AS884" s="36"/>
      <c r="AT884" s="36"/>
      <c r="AU884" s="35"/>
      <c r="AV884" s="7"/>
      <c r="AW884" s="7"/>
      <c r="AX884" s="7"/>
      <c r="AY884" s="7"/>
      <c r="AZ884" s="7"/>
      <c r="BA884" s="7"/>
      <c r="BB884" s="7"/>
      <c r="BC884" s="7"/>
      <c r="BF884" s="7"/>
      <c r="BG884" s="36"/>
      <c r="BH884" s="36"/>
      <c r="BI884" s="36"/>
      <c r="BJ884" s="36"/>
      <c r="BK884" s="36"/>
      <c r="BL884" s="36"/>
      <c r="BM884" s="36"/>
      <c r="BN884" s="36"/>
      <c r="BO884" s="36"/>
    </row>
    <row r="885" spans="1:67" x14ac:dyDescent="0.25">
      <c r="A885" s="39"/>
      <c r="B885" s="40"/>
      <c r="U885" s="36"/>
      <c r="V885" s="36"/>
      <c r="W885" s="35"/>
      <c r="X885" s="7"/>
      <c r="Y885" s="7"/>
      <c r="Z885" s="7"/>
      <c r="AA885" s="7"/>
      <c r="AB885" s="7"/>
      <c r="AC885" s="7"/>
      <c r="AD885" s="7"/>
      <c r="AE885" s="7"/>
      <c r="AG885" s="36"/>
      <c r="AH885" s="36"/>
      <c r="AI885" s="35"/>
      <c r="AJ885" s="7"/>
      <c r="AK885" s="7"/>
      <c r="AL885" s="7"/>
      <c r="AM885" s="7"/>
      <c r="AN885" s="7"/>
      <c r="AO885" s="7"/>
      <c r="AP885" s="7"/>
      <c r="AQ885" s="7"/>
      <c r="AS885" s="36"/>
      <c r="AT885" s="36"/>
      <c r="AU885" s="35"/>
      <c r="AV885" s="7"/>
      <c r="AW885" s="7"/>
      <c r="AX885" s="7"/>
      <c r="AY885" s="7"/>
      <c r="AZ885" s="7"/>
      <c r="BA885" s="7"/>
      <c r="BB885" s="7"/>
      <c r="BC885" s="7"/>
      <c r="BF885" s="7"/>
      <c r="BG885" s="36"/>
      <c r="BH885" s="36"/>
      <c r="BI885" s="36"/>
      <c r="BJ885" s="36"/>
      <c r="BK885" s="36"/>
      <c r="BL885" s="36"/>
      <c r="BM885" s="36"/>
      <c r="BN885" s="36"/>
      <c r="BO885" s="36"/>
    </row>
    <row r="886" spans="1:67" x14ac:dyDescent="0.25">
      <c r="A886" s="39"/>
      <c r="B886" s="40"/>
      <c r="U886" s="36"/>
      <c r="V886" s="36"/>
      <c r="W886" s="35"/>
      <c r="X886" s="7"/>
      <c r="Y886" s="7"/>
      <c r="Z886" s="7"/>
      <c r="AA886" s="7"/>
      <c r="AB886" s="7"/>
      <c r="AC886" s="7"/>
      <c r="AD886" s="7"/>
      <c r="AE886" s="7"/>
      <c r="AG886" s="36"/>
      <c r="AH886" s="36"/>
      <c r="AI886" s="35"/>
      <c r="AJ886" s="7"/>
      <c r="AK886" s="7"/>
      <c r="AL886" s="7"/>
      <c r="AM886" s="7"/>
      <c r="AN886" s="7"/>
      <c r="AO886" s="7"/>
      <c r="AP886" s="7"/>
      <c r="AQ886" s="7"/>
      <c r="AS886" s="36"/>
      <c r="AT886" s="36"/>
      <c r="AU886" s="35"/>
      <c r="AV886" s="7"/>
      <c r="AW886" s="7"/>
      <c r="AX886" s="7"/>
      <c r="AY886" s="7"/>
      <c r="AZ886" s="7"/>
      <c r="BA886" s="7"/>
      <c r="BB886" s="7"/>
      <c r="BC886" s="7"/>
      <c r="BF886" s="7"/>
      <c r="BG886" s="36"/>
      <c r="BH886" s="36"/>
      <c r="BI886" s="36"/>
      <c r="BJ886" s="36"/>
      <c r="BK886" s="36"/>
      <c r="BL886" s="36"/>
      <c r="BM886" s="36"/>
      <c r="BN886" s="36"/>
      <c r="BO886" s="36"/>
    </row>
    <row r="887" spans="1:67" x14ac:dyDescent="0.25">
      <c r="A887" s="39"/>
      <c r="B887" s="40"/>
      <c r="U887" s="36"/>
      <c r="V887" s="36"/>
      <c r="W887" s="35"/>
      <c r="X887" s="7"/>
      <c r="Y887" s="7"/>
      <c r="Z887" s="7"/>
      <c r="AA887" s="7"/>
      <c r="AB887" s="7"/>
      <c r="AC887" s="7"/>
      <c r="AD887" s="7"/>
      <c r="AE887" s="7"/>
      <c r="AG887" s="36"/>
      <c r="AH887" s="36"/>
      <c r="AI887" s="35"/>
      <c r="AJ887" s="7"/>
      <c r="AK887" s="7"/>
      <c r="AL887" s="7"/>
      <c r="AM887" s="7"/>
      <c r="AN887" s="7"/>
      <c r="AO887" s="7"/>
      <c r="AP887" s="7"/>
      <c r="AQ887" s="7"/>
      <c r="AS887" s="36"/>
      <c r="AT887" s="36"/>
      <c r="AU887" s="35"/>
      <c r="AV887" s="7"/>
      <c r="AW887" s="7"/>
      <c r="AX887" s="7"/>
      <c r="AY887" s="7"/>
      <c r="AZ887" s="7"/>
      <c r="BA887" s="7"/>
      <c r="BB887" s="7"/>
      <c r="BC887" s="7"/>
      <c r="BF887" s="7"/>
      <c r="BG887" s="36"/>
      <c r="BH887" s="36"/>
      <c r="BI887" s="36"/>
      <c r="BJ887" s="36"/>
      <c r="BK887" s="36"/>
      <c r="BL887" s="36"/>
      <c r="BM887" s="36"/>
      <c r="BN887" s="36"/>
      <c r="BO887" s="36"/>
    </row>
    <row r="888" spans="1:67" x14ac:dyDescent="0.25">
      <c r="A888" s="39"/>
      <c r="B888" s="40"/>
      <c r="U888" s="36"/>
      <c r="V888" s="36"/>
      <c r="W888" s="35"/>
      <c r="X888" s="7"/>
      <c r="Y888" s="7"/>
      <c r="Z888" s="7"/>
      <c r="AA888" s="7"/>
      <c r="AB888" s="7"/>
      <c r="AC888" s="7"/>
      <c r="AD888" s="7"/>
      <c r="AE888" s="7"/>
      <c r="AG888" s="36"/>
      <c r="AH888" s="36"/>
      <c r="AI888" s="35"/>
      <c r="AJ888" s="7"/>
      <c r="AK888" s="7"/>
      <c r="AL888" s="7"/>
      <c r="AM888" s="7"/>
      <c r="AN888" s="7"/>
      <c r="AO888" s="7"/>
      <c r="AP888" s="7"/>
      <c r="AQ888" s="7"/>
      <c r="AS888" s="36"/>
      <c r="AT888" s="36"/>
      <c r="AU888" s="35"/>
      <c r="AV888" s="7"/>
      <c r="AW888" s="7"/>
      <c r="AX888" s="7"/>
      <c r="AY888" s="7"/>
      <c r="AZ888" s="7"/>
      <c r="BA888" s="7"/>
      <c r="BB888" s="7"/>
      <c r="BC888" s="7"/>
      <c r="BF888" s="7"/>
      <c r="BG888" s="36"/>
      <c r="BH888" s="36"/>
      <c r="BI888" s="36"/>
      <c r="BJ888" s="36"/>
      <c r="BK888" s="36"/>
      <c r="BL888" s="36"/>
      <c r="BM888" s="36"/>
      <c r="BN888" s="36"/>
      <c r="BO888" s="36"/>
    </row>
    <row r="889" spans="1:67" x14ac:dyDescent="0.25">
      <c r="A889" s="39"/>
      <c r="B889" s="40"/>
      <c r="U889" s="36"/>
      <c r="V889" s="36"/>
      <c r="W889" s="35"/>
      <c r="X889" s="7"/>
      <c r="Y889" s="7"/>
      <c r="Z889" s="7"/>
      <c r="AA889" s="7"/>
      <c r="AB889" s="7"/>
      <c r="AC889" s="7"/>
      <c r="AD889" s="7"/>
      <c r="AE889" s="7"/>
      <c r="AG889" s="36"/>
      <c r="AH889" s="36"/>
      <c r="AI889" s="35"/>
      <c r="AJ889" s="7"/>
      <c r="AK889" s="7"/>
      <c r="AL889" s="7"/>
      <c r="AM889" s="7"/>
      <c r="AN889" s="7"/>
      <c r="AO889" s="7"/>
      <c r="AP889" s="7"/>
      <c r="AQ889" s="7"/>
      <c r="AS889" s="36"/>
      <c r="AT889" s="36"/>
      <c r="AU889" s="35"/>
      <c r="AV889" s="7"/>
      <c r="AW889" s="7"/>
      <c r="AX889" s="7"/>
      <c r="AY889" s="7"/>
      <c r="AZ889" s="7"/>
      <c r="BA889" s="7"/>
      <c r="BB889" s="7"/>
      <c r="BC889" s="7"/>
      <c r="BF889" s="7"/>
      <c r="BG889" s="36"/>
      <c r="BH889" s="36"/>
      <c r="BI889" s="36"/>
      <c r="BJ889" s="36"/>
      <c r="BK889" s="36"/>
      <c r="BL889" s="36"/>
      <c r="BM889" s="36"/>
      <c r="BN889" s="36"/>
      <c r="BO889" s="36"/>
    </row>
    <row r="890" spans="1:67" x14ac:dyDescent="0.25">
      <c r="A890" s="39"/>
      <c r="B890" s="40"/>
      <c r="U890" s="36"/>
      <c r="V890" s="36"/>
      <c r="W890" s="35"/>
      <c r="X890" s="7"/>
      <c r="Y890" s="7"/>
      <c r="Z890" s="7"/>
      <c r="AA890" s="7"/>
      <c r="AB890" s="7"/>
      <c r="AC890" s="7"/>
      <c r="AD890" s="7"/>
      <c r="AE890" s="7"/>
      <c r="AG890" s="36"/>
      <c r="AH890" s="36"/>
      <c r="AI890" s="35"/>
      <c r="AJ890" s="7"/>
      <c r="AK890" s="7"/>
      <c r="AL890" s="7"/>
      <c r="AM890" s="7"/>
      <c r="AN890" s="7"/>
      <c r="AO890" s="7"/>
      <c r="AP890" s="7"/>
      <c r="AQ890" s="7"/>
      <c r="AS890" s="36"/>
      <c r="AT890" s="36"/>
      <c r="AU890" s="35"/>
      <c r="AV890" s="7"/>
      <c r="AW890" s="7"/>
      <c r="AX890" s="7"/>
      <c r="AY890" s="7"/>
      <c r="AZ890" s="7"/>
      <c r="BA890" s="7"/>
      <c r="BB890" s="7"/>
      <c r="BC890" s="7"/>
      <c r="BF890" s="7"/>
      <c r="BG890" s="36"/>
      <c r="BH890" s="36"/>
      <c r="BI890" s="36"/>
      <c r="BJ890" s="36"/>
      <c r="BK890" s="36"/>
      <c r="BL890" s="36"/>
      <c r="BM890" s="36"/>
      <c r="BN890" s="36"/>
      <c r="BO890" s="36"/>
    </row>
    <row r="891" spans="1:67" x14ac:dyDescent="0.25">
      <c r="A891" s="39"/>
      <c r="B891" s="40"/>
      <c r="U891" s="36"/>
      <c r="V891" s="36"/>
      <c r="W891" s="35"/>
      <c r="X891" s="7"/>
      <c r="Y891" s="7"/>
      <c r="Z891" s="7"/>
      <c r="AA891" s="7"/>
      <c r="AB891" s="7"/>
      <c r="AC891" s="7"/>
      <c r="AD891" s="7"/>
      <c r="AE891" s="7"/>
      <c r="AG891" s="36"/>
      <c r="AH891" s="36"/>
      <c r="AI891" s="35"/>
      <c r="AJ891" s="7"/>
      <c r="AK891" s="7"/>
      <c r="AL891" s="7"/>
      <c r="AM891" s="7"/>
      <c r="AN891" s="7"/>
      <c r="AO891" s="7"/>
      <c r="AP891" s="7"/>
      <c r="AQ891" s="7"/>
      <c r="AS891" s="36"/>
      <c r="AT891" s="36"/>
      <c r="AU891" s="35"/>
      <c r="AV891" s="7"/>
      <c r="AW891" s="7"/>
      <c r="AX891" s="7"/>
      <c r="AY891" s="7"/>
      <c r="AZ891" s="7"/>
      <c r="BA891" s="7"/>
      <c r="BB891" s="7"/>
      <c r="BC891" s="7"/>
      <c r="BF891" s="7"/>
      <c r="BG891" s="36"/>
      <c r="BH891" s="36"/>
      <c r="BI891" s="36"/>
      <c r="BJ891" s="36"/>
      <c r="BK891" s="36"/>
      <c r="BL891" s="36"/>
      <c r="BM891" s="36"/>
      <c r="BN891" s="36"/>
      <c r="BO891" s="36"/>
    </row>
    <row r="892" spans="1:67" x14ac:dyDescent="0.25">
      <c r="A892" s="39"/>
      <c r="B892" s="40"/>
      <c r="U892" s="36"/>
      <c r="V892" s="36"/>
      <c r="W892" s="35"/>
      <c r="X892" s="7"/>
      <c r="Y892" s="7"/>
      <c r="Z892" s="7"/>
      <c r="AA892" s="7"/>
      <c r="AB892" s="7"/>
      <c r="AC892" s="7"/>
      <c r="AD892" s="7"/>
      <c r="AE892" s="7"/>
      <c r="AG892" s="36"/>
      <c r="AH892" s="36"/>
      <c r="AI892" s="35"/>
      <c r="AJ892" s="7"/>
      <c r="AK892" s="7"/>
      <c r="AL892" s="7"/>
      <c r="AM892" s="7"/>
      <c r="AN892" s="7"/>
      <c r="AO892" s="7"/>
      <c r="AP892" s="7"/>
      <c r="AQ892" s="7"/>
      <c r="AS892" s="36"/>
      <c r="AT892" s="36"/>
      <c r="AU892" s="35"/>
      <c r="AV892" s="7"/>
      <c r="AW892" s="7"/>
      <c r="AX892" s="7"/>
      <c r="AY892" s="7"/>
      <c r="AZ892" s="7"/>
      <c r="BA892" s="7"/>
      <c r="BB892" s="7"/>
      <c r="BC892" s="7"/>
      <c r="BF892" s="7"/>
      <c r="BG892" s="36"/>
      <c r="BH892" s="36"/>
      <c r="BI892" s="36"/>
      <c r="BJ892" s="36"/>
      <c r="BK892" s="36"/>
      <c r="BL892" s="36"/>
      <c r="BM892" s="36"/>
      <c r="BN892" s="36"/>
      <c r="BO892" s="36"/>
    </row>
    <row r="893" spans="1:67" x14ac:dyDescent="0.25">
      <c r="A893" s="39"/>
      <c r="B893" s="40"/>
      <c r="U893" s="36"/>
      <c r="V893" s="36"/>
      <c r="W893" s="35"/>
      <c r="X893" s="7"/>
      <c r="Y893" s="7"/>
      <c r="Z893" s="7"/>
      <c r="AA893" s="7"/>
      <c r="AB893" s="7"/>
      <c r="AC893" s="7"/>
      <c r="AD893" s="7"/>
      <c r="AE893" s="7"/>
      <c r="AG893" s="36"/>
      <c r="AH893" s="36"/>
      <c r="AI893" s="35"/>
      <c r="AJ893" s="7"/>
      <c r="AK893" s="7"/>
      <c r="AL893" s="7"/>
      <c r="AM893" s="7"/>
      <c r="AN893" s="7"/>
      <c r="AO893" s="7"/>
      <c r="AP893" s="7"/>
      <c r="AQ893" s="7"/>
      <c r="AS893" s="36"/>
      <c r="AT893" s="36"/>
      <c r="AU893" s="35"/>
      <c r="AV893" s="7"/>
      <c r="AW893" s="7"/>
      <c r="AX893" s="7"/>
      <c r="AY893" s="7"/>
      <c r="AZ893" s="7"/>
      <c r="BA893" s="7"/>
      <c r="BB893" s="7"/>
      <c r="BC893" s="7"/>
      <c r="BF893" s="7"/>
      <c r="BG893" s="36"/>
      <c r="BH893" s="36"/>
      <c r="BI893" s="36"/>
      <c r="BJ893" s="36"/>
      <c r="BK893" s="36"/>
      <c r="BL893" s="36"/>
      <c r="BM893" s="36"/>
      <c r="BN893" s="36"/>
      <c r="BO893" s="36"/>
    </row>
    <row r="894" spans="1:67" x14ac:dyDescent="0.25">
      <c r="A894" s="39"/>
      <c r="B894" s="40"/>
      <c r="U894" s="36"/>
      <c r="V894" s="36"/>
      <c r="W894" s="35"/>
      <c r="X894" s="7"/>
      <c r="Y894" s="7"/>
      <c r="Z894" s="7"/>
      <c r="AA894" s="7"/>
      <c r="AB894" s="7"/>
      <c r="AC894" s="7"/>
      <c r="AD894" s="7"/>
      <c r="AE894" s="7"/>
      <c r="AG894" s="36"/>
      <c r="AH894" s="36"/>
      <c r="AI894" s="35"/>
      <c r="AJ894" s="7"/>
      <c r="AK894" s="7"/>
      <c r="AL894" s="7"/>
      <c r="AM894" s="7"/>
      <c r="AN894" s="7"/>
      <c r="AO894" s="7"/>
      <c r="AP894" s="7"/>
      <c r="AQ894" s="7"/>
      <c r="AS894" s="36"/>
      <c r="AT894" s="36"/>
      <c r="AU894" s="35"/>
      <c r="AV894" s="7"/>
      <c r="AW894" s="7"/>
      <c r="AX894" s="7"/>
      <c r="AY894" s="7"/>
      <c r="AZ894" s="7"/>
      <c r="BA894" s="7"/>
      <c r="BB894" s="7"/>
      <c r="BC894" s="7"/>
      <c r="BF894" s="7"/>
      <c r="BG894" s="36"/>
      <c r="BH894" s="36"/>
      <c r="BI894" s="36"/>
      <c r="BJ894" s="36"/>
      <c r="BK894" s="36"/>
      <c r="BL894" s="36"/>
      <c r="BM894" s="36"/>
      <c r="BN894" s="36"/>
      <c r="BO894" s="36"/>
    </row>
    <row r="895" spans="1:67" x14ac:dyDescent="0.25">
      <c r="A895" s="39"/>
      <c r="B895" s="40"/>
      <c r="U895" s="36"/>
      <c r="V895" s="36"/>
      <c r="W895" s="35"/>
      <c r="X895" s="7"/>
      <c r="Y895" s="7"/>
      <c r="Z895" s="7"/>
      <c r="AA895" s="7"/>
      <c r="AB895" s="7"/>
      <c r="AC895" s="7"/>
      <c r="AD895" s="7"/>
      <c r="AE895" s="7"/>
      <c r="AG895" s="36"/>
      <c r="AH895" s="36"/>
      <c r="AI895" s="35"/>
      <c r="AJ895" s="7"/>
      <c r="AK895" s="7"/>
      <c r="AL895" s="7"/>
      <c r="AM895" s="7"/>
      <c r="AN895" s="7"/>
      <c r="AO895" s="7"/>
      <c r="AP895" s="7"/>
      <c r="AQ895" s="7"/>
      <c r="AS895" s="36"/>
      <c r="AT895" s="36"/>
      <c r="AU895" s="35"/>
      <c r="AV895" s="7"/>
      <c r="AW895" s="7"/>
      <c r="AX895" s="7"/>
      <c r="AY895" s="7"/>
      <c r="AZ895" s="7"/>
      <c r="BA895" s="7"/>
      <c r="BB895" s="7"/>
      <c r="BC895" s="7"/>
      <c r="BF895" s="7"/>
      <c r="BG895" s="36"/>
      <c r="BH895" s="36"/>
      <c r="BI895" s="36"/>
      <c r="BJ895" s="36"/>
      <c r="BK895" s="36"/>
      <c r="BL895" s="36"/>
      <c r="BM895" s="36"/>
      <c r="BN895" s="36"/>
      <c r="BO895" s="36"/>
    </row>
    <row r="896" spans="1:67" x14ac:dyDescent="0.25">
      <c r="A896" s="39"/>
      <c r="B896" s="40"/>
      <c r="U896" s="36"/>
      <c r="V896" s="36"/>
      <c r="W896" s="35"/>
      <c r="X896" s="7"/>
      <c r="Y896" s="7"/>
      <c r="Z896" s="7"/>
      <c r="AA896" s="7"/>
      <c r="AB896" s="7"/>
      <c r="AC896" s="7"/>
      <c r="AD896" s="7"/>
      <c r="AE896" s="7"/>
      <c r="AG896" s="36"/>
      <c r="AH896" s="36"/>
      <c r="AI896" s="35"/>
      <c r="AJ896" s="7"/>
      <c r="AK896" s="7"/>
      <c r="AL896" s="7"/>
      <c r="AM896" s="7"/>
      <c r="AN896" s="7"/>
      <c r="AO896" s="7"/>
      <c r="AP896" s="7"/>
      <c r="AQ896" s="7"/>
      <c r="AS896" s="36"/>
      <c r="AT896" s="36"/>
      <c r="AU896" s="35"/>
      <c r="AV896" s="7"/>
      <c r="AW896" s="7"/>
      <c r="AX896" s="7"/>
      <c r="AY896" s="7"/>
      <c r="AZ896" s="7"/>
      <c r="BA896" s="7"/>
      <c r="BB896" s="7"/>
      <c r="BC896" s="7"/>
      <c r="BF896" s="7"/>
      <c r="BG896" s="36"/>
      <c r="BH896" s="36"/>
      <c r="BI896" s="36"/>
      <c r="BJ896" s="36"/>
      <c r="BK896" s="36"/>
      <c r="BL896" s="36"/>
      <c r="BM896" s="36"/>
      <c r="BN896" s="36"/>
      <c r="BO896" s="36"/>
    </row>
    <row r="897" spans="1:67" x14ac:dyDescent="0.25">
      <c r="A897" s="39"/>
      <c r="B897" s="40"/>
      <c r="U897" s="36"/>
      <c r="V897" s="36"/>
      <c r="W897" s="35"/>
      <c r="X897" s="7"/>
      <c r="Y897" s="7"/>
      <c r="Z897" s="7"/>
      <c r="AA897" s="7"/>
      <c r="AB897" s="7"/>
      <c r="AC897" s="7"/>
      <c r="AD897" s="7"/>
      <c r="AE897" s="7"/>
      <c r="AG897" s="36"/>
      <c r="AH897" s="36"/>
      <c r="AI897" s="35"/>
      <c r="AJ897" s="7"/>
      <c r="AK897" s="7"/>
      <c r="AL897" s="7"/>
      <c r="AM897" s="7"/>
      <c r="AN897" s="7"/>
      <c r="AO897" s="7"/>
      <c r="AP897" s="7"/>
      <c r="AQ897" s="7"/>
      <c r="AS897" s="36"/>
      <c r="AT897" s="36"/>
      <c r="AU897" s="35"/>
      <c r="AV897" s="7"/>
      <c r="AW897" s="7"/>
      <c r="AX897" s="7"/>
      <c r="AY897" s="7"/>
      <c r="AZ897" s="7"/>
      <c r="BA897" s="7"/>
      <c r="BB897" s="7"/>
      <c r="BC897" s="7"/>
      <c r="BF897" s="7"/>
      <c r="BG897" s="36"/>
      <c r="BH897" s="36"/>
      <c r="BI897" s="36"/>
      <c r="BJ897" s="36"/>
      <c r="BK897" s="36"/>
      <c r="BL897" s="36"/>
      <c r="BM897" s="36"/>
      <c r="BN897" s="36"/>
      <c r="BO897" s="36"/>
    </row>
    <row r="898" spans="1:67" x14ac:dyDescent="0.25">
      <c r="A898" s="39"/>
      <c r="B898" s="40"/>
      <c r="U898" s="36"/>
      <c r="V898" s="36"/>
      <c r="W898" s="35"/>
      <c r="X898" s="7"/>
      <c r="Y898" s="7"/>
      <c r="Z898" s="7"/>
      <c r="AA898" s="7"/>
      <c r="AB898" s="7"/>
      <c r="AC898" s="7"/>
      <c r="AD898" s="7"/>
      <c r="AE898" s="7"/>
      <c r="AG898" s="36"/>
      <c r="AH898" s="36"/>
      <c r="AI898" s="35"/>
      <c r="AJ898" s="7"/>
      <c r="AK898" s="7"/>
      <c r="AL898" s="7"/>
      <c r="AM898" s="7"/>
      <c r="AN898" s="7"/>
      <c r="AO898" s="7"/>
      <c r="AP898" s="7"/>
      <c r="AQ898" s="7"/>
      <c r="AS898" s="36"/>
      <c r="AT898" s="36"/>
      <c r="AU898" s="35"/>
      <c r="AV898" s="7"/>
      <c r="AW898" s="7"/>
      <c r="AX898" s="7"/>
      <c r="AY898" s="7"/>
      <c r="AZ898" s="7"/>
      <c r="BA898" s="7"/>
      <c r="BB898" s="7"/>
      <c r="BC898" s="7"/>
      <c r="BF898" s="7"/>
      <c r="BG898" s="36"/>
      <c r="BH898" s="36"/>
      <c r="BI898" s="36"/>
      <c r="BJ898" s="36"/>
      <c r="BK898" s="36"/>
      <c r="BL898" s="36"/>
      <c r="BM898" s="36"/>
      <c r="BN898" s="36"/>
      <c r="BO898" s="36"/>
    </row>
    <row r="899" spans="1:67" x14ac:dyDescent="0.25">
      <c r="A899" s="39"/>
      <c r="B899" s="40"/>
      <c r="U899" s="36"/>
      <c r="V899" s="36"/>
      <c r="W899" s="35"/>
      <c r="X899" s="7"/>
      <c r="Y899" s="7"/>
      <c r="Z899" s="7"/>
      <c r="AA899" s="7"/>
      <c r="AB899" s="7"/>
      <c r="AC899" s="7"/>
      <c r="AD899" s="7"/>
      <c r="AE899" s="7"/>
      <c r="AG899" s="36"/>
      <c r="AH899" s="36"/>
      <c r="AI899" s="35"/>
      <c r="AJ899" s="7"/>
      <c r="AK899" s="7"/>
      <c r="AL899" s="7"/>
      <c r="AM899" s="7"/>
      <c r="AN899" s="7"/>
      <c r="AO899" s="7"/>
      <c r="AP899" s="7"/>
      <c r="AQ899" s="7"/>
      <c r="AS899" s="36"/>
      <c r="AT899" s="36"/>
      <c r="AU899" s="35"/>
      <c r="AV899" s="7"/>
      <c r="AW899" s="7"/>
      <c r="AX899" s="7"/>
      <c r="AY899" s="7"/>
      <c r="AZ899" s="7"/>
      <c r="BA899" s="7"/>
      <c r="BB899" s="7"/>
      <c r="BC899" s="7"/>
      <c r="BF899" s="7"/>
      <c r="BG899" s="36"/>
      <c r="BH899" s="36"/>
      <c r="BI899" s="36"/>
      <c r="BJ899" s="36"/>
      <c r="BK899" s="36"/>
      <c r="BL899" s="36"/>
      <c r="BM899" s="36"/>
      <c r="BN899" s="36"/>
      <c r="BO899" s="36"/>
    </row>
    <row r="900" spans="1:67" x14ac:dyDescent="0.25">
      <c r="A900" s="39"/>
      <c r="B900" s="40"/>
      <c r="U900" s="36"/>
      <c r="V900" s="36"/>
      <c r="W900" s="35"/>
      <c r="X900" s="7"/>
      <c r="Y900" s="7"/>
      <c r="Z900" s="7"/>
      <c r="AA900" s="7"/>
      <c r="AB900" s="7"/>
      <c r="AC900" s="7"/>
      <c r="AD900" s="7"/>
      <c r="AE900" s="7"/>
      <c r="AG900" s="36"/>
      <c r="AH900" s="36"/>
      <c r="AI900" s="35"/>
      <c r="AJ900" s="7"/>
      <c r="AK900" s="7"/>
      <c r="AL900" s="7"/>
      <c r="AM900" s="7"/>
      <c r="AN900" s="7"/>
      <c r="AO900" s="7"/>
      <c r="AP900" s="7"/>
      <c r="AQ900" s="7"/>
      <c r="AS900" s="36"/>
      <c r="AT900" s="36"/>
      <c r="AU900" s="35"/>
      <c r="AV900" s="7"/>
      <c r="AW900" s="7"/>
      <c r="AX900" s="7"/>
      <c r="AY900" s="7"/>
      <c r="AZ900" s="7"/>
      <c r="BA900" s="7"/>
      <c r="BB900" s="7"/>
      <c r="BC900" s="7"/>
      <c r="BF900" s="7"/>
      <c r="BG900" s="36"/>
      <c r="BH900" s="36"/>
      <c r="BI900" s="36"/>
      <c r="BJ900" s="36"/>
      <c r="BK900" s="36"/>
      <c r="BL900" s="36"/>
      <c r="BM900" s="36"/>
      <c r="BN900" s="36"/>
      <c r="BO900" s="36"/>
    </row>
    <row r="901" spans="1:67" x14ac:dyDescent="0.25">
      <c r="A901" s="39"/>
      <c r="B901" s="40"/>
      <c r="U901" s="36"/>
      <c r="V901" s="36"/>
      <c r="W901" s="35"/>
      <c r="X901" s="7"/>
      <c r="Y901" s="7"/>
      <c r="Z901" s="7"/>
      <c r="AA901" s="7"/>
      <c r="AB901" s="7"/>
      <c r="AC901" s="7"/>
      <c r="AD901" s="7"/>
      <c r="AE901" s="7"/>
      <c r="AG901" s="36"/>
      <c r="AH901" s="36"/>
      <c r="AI901" s="35"/>
      <c r="AJ901" s="7"/>
      <c r="AK901" s="7"/>
      <c r="AL901" s="7"/>
      <c r="AM901" s="7"/>
      <c r="AN901" s="7"/>
      <c r="AO901" s="7"/>
      <c r="AP901" s="7"/>
      <c r="AQ901" s="7"/>
      <c r="AS901" s="36"/>
      <c r="AT901" s="36"/>
      <c r="AU901" s="35"/>
      <c r="AV901" s="7"/>
      <c r="AW901" s="7"/>
      <c r="AX901" s="7"/>
      <c r="AY901" s="7"/>
      <c r="AZ901" s="7"/>
      <c r="BA901" s="7"/>
      <c r="BB901" s="7"/>
      <c r="BC901" s="7"/>
      <c r="BF901" s="7"/>
      <c r="BG901" s="36"/>
      <c r="BH901" s="36"/>
      <c r="BI901" s="36"/>
      <c r="BJ901" s="36"/>
      <c r="BK901" s="36"/>
      <c r="BL901" s="36"/>
      <c r="BM901" s="36"/>
      <c r="BN901" s="36"/>
      <c r="BO901" s="36"/>
    </row>
    <row r="902" spans="1:67" x14ac:dyDescent="0.25">
      <c r="A902" s="39"/>
      <c r="B902" s="40"/>
      <c r="U902" s="36"/>
      <c r="V902" s="36"/>
      <c r="W902" s="35"/>
      <c r="X902" s="7"/>
      <c r="Y902" s="7"/>
      <c r="Z902" s="7"/>
      <c r="AA902" s="7"/>
      <c r="AB902" s="7"/>
      <c r="AC902" s="7"/>
      <c r="AD902" s="7"/>
      <c r="AE902" s="7"/>
      <c r="AG902" s="36"/>
      <c r="AH902" s="36"/>
      <c r="AI902" s="35"/>
      <c r="AJ902" s="7"/>
      <c r="AK902" s="7"/>
      <c r="AL902" s="7"/>
      <c r="AM902" s="7"/>
      <c r="AN902" s="7"/>
      <c r="AO902" s="7"/>
      <c r="AP902" s="7"/>
      <c r="AQ902" s="7"/>
      <c r="AS902" s="36"/>
      <c r="AT902" s="36"/>
      <c r="AU902" s="35"/>
      <c r="AV902" s="7"/>
      <c r="AW902" s="7"/>
      <c r="AX902" s="7"/>
      <c r="AY902" s="7"/>
      <c r="AZ902" s="7"/>
      <c r="BA902" s="7"/>
      <c r="BB902" s="7"/>
      <c r="BC902" s="7"/>
      <c r="BF902" s="7"/>
      <c r="BG902" s="36"/>
      <c r="BH902" s="36"/>
      <c r="BI902" s="36"/>
      <c r="BJ902" s="36"/>
      <c r="BK902" s="36"/>
      <c r="BL902" s="36"/>
      <c r="BM902" s="36"/>
      <c r="BN902" s="36"/>
      <c r="BO902" s="36"/>
    </row>
    <row r="903" spans="1:67" x14ac:dyDescent="0.25">
      <c r="A903" s="39"/>
      <c r="B903" s="40"/>
      <c r="U903" s="36"/>
      <c r="V903" s="36"/>
      <c r="W903" s="35"/>
      <c r="X903" s="7"/>
      <c r="Y903" s="7"/>
      <c r="Z903" s="7"/>
      <c r="AA903" s="7"/>
      <c r="AB903" s="7"/>
      <c r="AC903" s="7"/>
      <c r="AD903" s="7"/>
      <c r="AE903" s="7"/>
      <c r="AG903" s="36"/>
      <c r="AH903" s="36"/>
      <c r="AI903" s="35"/>
      <c r="AJ903" s="7"/>
      <c r="AK903" s="7"/>
      <c r="AL903" s="7"/>
      <c r="AM903" s="7"/>
      <c r="AN903" s="7"/>
      <c r="AO903" s="7"/>
      <c r="AP903" s="7"/>
      <c r="AQ903" s="7"/>
      <c r="AS903" s="36"/>
      <c r="AT903" s="36"/>
      <c r="AU903" s="35"/>
      <c r="AV903" s="7"/>
      <c r="AW903" s="7"/>
      <c r="AX903" s="7"/>
      <c r="AY903" s="7"/>
      <c r="AZ903" s="7"/>
      <c r="BA903" s="7"/>
      <c r="BB903" s="7"/>
      <c r="BC903" s="7"/>
      <c r="BF903" s="7"/>
      <c r="BG903" s="36"/>
      <c r="BH903" s="36"/>
      <c r="BI903" s="36"/>
      <c r="BJ903" s="36"/>
      <c r="BK903" s="36"/>
      <c r="BL903" s="36"/>
      <c r="BM903" s="36"/>
      <c r="BN903" s="36"/>
      <c r="BO903" s="36"/>
    </row>
    <row r="904" spans="1:67" x14ac:dyDescent="0.25">
      <c r="A904" s="39"/>
      <c r="B904" s="40"/>
      <c r="U904" s="36"/>
      <c r="V904" s="36"/>
      <c r="W904" s="35"/>
      <c r="X904" s="7"/>
      <c r="Y904" s="7"/>
      <c r="Z904" s="7"/>
      <c r="AA904" s="7"/>
      <c r="AB904" s="7"/>
      <c r="AC904" s="7"/>
      <c r="AD904" s="7"/>
      <c r="AE904" s="7"/>
      <c r="AG904" s="36"/>
      <c r="AH904" s="36"/>
      <c r="AI904" s="35"/>
      <c r="AJ904" s="7"/>
      <c r="AK904" s="7"/>
      <c r="AL904" s="7"/>
      <c r="AM904" s="7"/>
      <c r="AN904" s="7"/>
      <c r="AO904" s="7"/>
      <c r="AP904" s="7"/>
      <c r="AQ904" s="7"/>
      <c r="AS904" s="36"/>
      <c r="AT904" s="36"/>
      <c r="AU904" s="35"/>
      <c r="AV904" s="7"/>
      <c r="AW904" s="7"/>
      <c r="AX904" s="7"/>
      <c r="AY904" s="7"/>
      <c r="AZ904" s="7"/>
      <c r="BA904" s="7"/>
      <c r="BB904" s="7"/>
      <c r="BC904" s="7"/>
      <c r="BF904" s="7"/>
      <c r="BG904" s="36"/>
      <c r="BH904" s="36"/>
      <c r="BI904" s="36"/>
      <c r="BJ904" s="36"/>
      <c r="BK904" s="36"/>
      <c r="BL904" s="36"/>
      <c r="BM904" s="36"/>
      <c r="BN904" s="36"/>
      <c r="BO904" s="36"/>
    </row>
    <row r="905" spans="1:67" x14ac:dyDescent="0.25">
      <c r="A905" s="39"/>
      <c r="B905" s="40"/>
      <c r="U905" s="36"/>
      <c r="V905" s="36"/>
      <c r="W905" s="35"/>
      <c r="X905" s="7"/>
      <c r="Y905" s="7"/>
      <c r="Z905" s="7"/>
      <c r="AA905" s="7"/>
      <c r="AB905" s="7"/>
      <c r="AC905" s="7"/>
      <c r="AD905" s="7"/>
      <c r="AE905" s="7"/>
      <c r="AG905" s="36"/>
      <c r="AH905" s="36"/>
      <c r="AI905" s="35"/>
      <c r="AJ905" s="7"/>
      <c r="AK905" s="7"/>
      <c r="AL905" s="7"/>
      <c r="AM905" s="7"/>
      <c r="AN905" s="7"/>
      <c r="AO905" s="7"/>
      <c r="AP905" s="7"/>
      <c r="AQ905" s="7"/>
      <c r="AS905" s="36"/>
      <c r="AT905" s="36"/>
      <c r="AU905" s="35"/>
      <c r="AV905" s="7"/>
      <c r="AW905" s="7"/>
      <c r="AX905" s="7"/>
      <c r="AY905" s="7"/>
      <c r="AZ905" s="7"/>
      <c r="BA905" s="7"/>
      <c r="BB905" s="7"/>
      <c r="BC905" s="7"/>
      <c r="BF905" s="7"/>
      <c r="BG905" s="36"/>
      <c r="BH905" s="36"/>
      <c r="BI905" s="36"/>
      <c r="BJ905" s="36"/>
      <c r="BK905" s="36"/>
      <c r="BL905" s="36"/>
      <c r="BM905" s="36"/>
      <c r="BN905" s="36"/>
      <c r="BO905" s="36"/>
    </row>
    <row r="906" spans="1:67" x14ac:dyDescent="0.25">
      <c r="A906" s="39"/>
      <c r="B906" s="40"/>
      <c r="U906" s="36"/>
      <c r="V906" s="36"/>
      <c r="W906" s="35"/>
      <c r="X906" s="7"/>
      <c r="Y906" s="7"/>
      <c r="Z906" s="7"/>
      <c r="AA906" s="7"/>
      <c r="AB906" s="7"/>
      <c r="AC906" s="7"/>
      <c r="AD906" s="7"/>
      <c r="AE906" s="7"/>
      <c r="AG906" s="36"/>
      <c r="AH906" s="36"/>
      <c r="AI906" s="35"/>
      <c r="AJ906" s="7"/>
      <c r="AK906" s="7"/>
      <c r="AL906" s="7"/>
      <c r="AM906" s="7"/>
      <c r="AN906" s="7"/>
      <c r="AO906" s="7"/>
      <c r="AP906" s="7"/>
      <c r="AQ906" s="7"/>
      <c r="AS906" s="36"/>
      <c r="AT906" s="36"/>
      <c r="AU906" s="35"/>
      <c r="AV906" s="7"/>
      <c r="AW906" s="7"/>
      <c r="AX906" s="7"/>
      <c r="AY906" s="7"/>
      <c r="AZ906" s="7"/>
      <c r="BA906" s="7"/>
      <c r="BB906" s="7"/>
      <c r="BC906" s="7"/>
      <c r="BF906" s="7"/>
      <c r="BG906" s="36"/>
      <c r="BH906" s="36"/>
      <c r="BI906" s="36"/>
      <c r="BJ906" s="36"/>
      <c r="BK906" s="36"/>
      <c r="BL906" s="36"/>
      <c r="BM906" s="36"/>
      <c r="BN906" s="36"/>
      <c r="BO906" s="36"/>
    </row>
    <row r="907" spans="1:67" x14ac:dyDescent="0.25">
      <c r="A907" s="39"/>
      <c r="B907" s="40"/>
      <c r="U907" s="36"/>
      <c r="V907" s="36"/>
      <c r="W907" s="35"/>
      <c r="X907" s="7"/>
      <c r="Y907" s="7"/>
      <c r="Z907" s="7"/>
      <c r="AA907" s="7"/>
      <c r="AB907" s="7"/>
      <c r="AC907" s="7"/>
      <c r="AD907" s="7"/>
      <c r="AE907" s="7"/>
      <c r="AG907" s="36"/>
      <c r="AH907" s="36"/>
      <c r="AI907" s="35"/>
      <c r="AJ907" s="7"/>
      <c r="AK907" s="7"/>
      <c r="AL907" s="7"/>
      <c r="AM907" s="7"/>
      <c r="AN907" s="7"/>
      <c r="AO907" s="7"/>
      <c r="AP907" s="7"/>
      <c r="AQ907" s="7"/>
      <c r="AS907" s="36"/>
      <c r="AT907" s="36"/>
      <c r="AU907" s="35"/>
      <c r="AV907" s="7"/>
      <c r="AW907" s="7"/>
      <c r="AX907" s="7"/>
      <c r="AY907" s="7"/>
      <c r="AZ907" s="7"/>
      <c r="BA907" s="7"/>
      <c r="BB907" s="7"/>
      <c r="BC907" s="7"/>
      <c r="BF907" s="7"/>
      <c r="BG907" s="36"/>
      <c r="BH907" s="36"/>
      <c r="BI907" s="36"/>
      <c r="BJ907" s="36"/>
      <c r="BK907" s="36"/>
      <c r="BL907" s="36"/>
      <c r="BM907" s="36"/>
      <c r="BN907" s="36"/>
      <c r="BO907" s="36"/>
    </row>
    <row r="908" spans="1:67" x14ac:dyDescent="0.25">
      <c r="A908" s="39"/>
      <c r="B908" s="40"/>
      <c r="U908" s="36"/>
      <c r="V908" s="36"/>
      <c r="W908" s="35"/>
      <c r="X908" s="7"/>
      <c r="Y908" s="7"/>
      <c r="Z908" s="7"/>
      <c r="AA908" s="7"/>
      <c r="AB908" s="7"/>
      <c r="AC908" s="7"/>
      <c r="AD908" s="7"/>
      <c r="AE908" s="7"/>
      <c r="AG908" s="36"/>
      <c r="AH908" s="36"/>
      <c r="AI908" s="35"/>
      <c r="AJ908" s="7"/>
      <c r="AK908" s="7"/>
      <c r="AL908" s="7"/>
      <c r="AM908" s="7"/>
      <c r="AN908" s="7"/>
      <c r="AO908" s="7"/>
      <c r="AP908" s="7"/>
      <c r="AQ908" s="7"/>
      <c r="AS908" s="36"/>
      <c r="AT908" s="36"/>
      <c r="AU908" s="35"/>
      <c r="AV908" s="7"/>
      <c r="AW908" s="7"/>
      <c r="AX908" s="7"/>
      <c r="AY908" s="7"/>
      <c r="AZ908" s="7"/>
      <c r="BA908" s="7"/>
      <c r="BB908" s="7"/>
      <c r="BC908" s="7"/>
      <c r="BF908" s="7"/>
      <c r="BG908" s="36"/>
      <c r="BH908" s="36"/>
      <c r="BI908" s="36"/>
      <c r="BJ908" s="36"/>
      <c r="BK908" s="36"/>
      <c r="BL908" s="36"/>
      <c r="BM908" s="36"/>
      <c r="BN908" s="36"/>
      <c r="BO908" s="36"/>
    </row>
    <row r="909" spans="1:67" x14ac:dyDescent="0.25">
      <c r="A909" s="39"/>
      <c r="B909" s="40"/>
      <c r="U909" s="36"/>
      <c r="V909" s="36"/>
      <c r="W909" s="35"/>
      <c r="X909" s="7"/>
      <c r="Y909" s="7"/>
      <c r="Z909" s="7"/>
      <c r="AA909" s="7"/>
      <c r="AB909" s="7"/>
      <c r="AC909" s="7"/>
      <c r="AD909" s="7"/>
      <c r="AE909" s="7"/>
      <c r="AG909" s="36"/>
      <c r="AH909" s="36"/>
      <c r="AI909" s="35"/>
      <c r="AJ909" s="7"/>
      <c r="AK909" s="7"/>
      <c r="AL909" s="7"/>
      <c r="AM909" s="7"/>
      <c r="AN909" s="7"/>
      <c r="AO909" s="7"/>
      <c r="AP909" s="7"/>
      <c r="AQ909" s="7"/>
      <c r="AS909" s="36"/>
      <c r="AT909" s="36"/>
      <c r="AU909" s="35"/>
      <c r="AV909" s="7"/>
      <c r="AW909" s="7"/>
      <c r="AX909" s="7"/>
      <c r="AY909" s="7"/>
      <c r="AZ909" s="7"/>
      <c r="BA909" s="7"/>
      <c r="BB909" s="7"/>
      <c r="BC909" s="7"/>
      <c r="BF909" s="7"/>
      <c r="BG909" s="36"/>
      <c r="BH909" s="36"/>
      <c r="BI909" s="36"/>
      <c r="BJ909" s="36"/>
      <c r="BK909" s="36"/>
      <c r="BL909" s="36"/>
      <c r="BM909" s="36"/>
      <c r="BN909" s="36"/>
      <c r="BO909" s="36"/>
    </row>
    <row r="910" spans="1:67" x14ac:dyDescent="0.25">
      <c r="A910" s="39"/>
      <c r="B910" s="40"/>
      <c r="U910" s="36"/>
      <c r="V910" s="36"/>
      <c r="W910" s="35"/>
      <c r="X910" s="7"/>
      <c r="Y910" s="7"/>
      <c r="Z910" s="7"/>
      <c r="AA910" s="7"/>
      <c r="AB910" s="7"/>
      <c r="AC910" s="7"/>
      <c r="AD910" s="7"/>
      <c r="AE910" s="7"/>
      <c r="AG910" s="36"/>
      <c r="AH910" s="36"/>
      <c r="AI910" s="35"/>
      <c r="AJ910" s="7"/>
      <c r="AK910" s="7"/>
      <c r="AL910" s="7"/>
      <c r="AM910" s="7"/>
      <c r="AN910" s="7"/>
      <c r="AO910" s="7"/>
      <c r="AP910" s="7"/>
      <c r="AQ910" s="7"/>
      <c r="AS910" s="36"/>
      <c r="AT910" s="36"/>
      <c r="AU910" s="35"/>
      <c r="AV910" s="7"/>
      <c r="AW910" s="7"/>
      <c r="AX910" s="7"/>
      <c r="AY910" s="7"/>
      <c r="AZ910" s="7"/>
      <c r="BA910" s="7"/>
      <c r="BB910" s="7"/>
      <c r="BC910" s="7"/>
      <c r="BF910" s="7"/>
      <c r="BG910" s="36"/>
      <c r="BH910" s="36"/>
      <c r="BI910" s="36"/>
      <c r="BJ910" s="36"/>
      <c r="BK910" s="36"/>
      <c r="BL910" s="36"/>
      <c r="BM910" s="36"/>
      <c r="BN910" s="36"/>
      <c r="BO910" s="36"/>
    </row>
    <row r="911" spans="1:67" x14ac:dyDescent="0.25">
      <c r="A911" s="39"/>
      <c r="B911" s="40"/>
      <c r="U911" s="36"/>
      <c r="V911" s="36"/>
      <c r="W911" s="35"/>
      <c r="X911" s="7"/>
      <c r="Y911" s="7"/>
      <c r="Z911" s="7"/>
      <c r="AA911" s="7"/>
      <c r="AB911" s="7"/>
      <c r="AC911" s="7"/>
      <c r="AD911" s="7"/>
      <c r="AE911" s="7"/>
      <c r="AG911" s="36"/>
      <c r="AH911" s="36"/>
      <c r="AI911" s="35"/>
      <c r="AJ911" s="7"/>
      <c r="AK911" s="7"/>
      <c r="AL911" s="7"/>
      <c r="AM911" s="7"/>
      <c r="AN911" s="7"/>
      <c r="AO911" s="7"/>
      <c r="AP911" s="7"/>
      <c r="AQ911" s="7"/>
      <c r="AS911" s="36"/>
      <c r="AT911" s="36"/>
      <c r="AU911" s="35"/>
      <c r="AV911" s="7"/>
      <c r="AW911" s="7"/>
      <c r="AX911" s="7"/>
      <c r="AY911" s="7"/>
      <c r="AZ911" s="7"/>
      <c r="BA911" s="7"/>
      <c r="BB911" s="7"/>
      <c r="BC911" s="7"/>
      <c r="BF911" s="7"/>
      <c r="BG911" s="36"/>
      <c r="BH911" s="36"/>
      <c r="BI911" s="36"/>
      <c r="BJ911" s="36"/>
      <c r="BK911" s="36"/>
      <c r="BL911" s="36"/>
      <c r="BM911" s="36"/>
      <c r="BN911" s="36"/>
      <c r="BO911" s="36"/>
    </row>
    <row r="912" spans="1:67" x14ac:dyDescent="0.25">
      <c r="A912" s="39"/>
      <c r="B912" s="40"/>
      <c r="U912" s="36"/>
      <c r="V912" s="36"/>
      <c r="W912" s="35"/>
      <c r="X912" s="7"/>
      <c r="Y912" s="7"/>
      <c r="Z912" s="7"/>
      <c r="AA912" s="7"/>
      <c r="AB912" s="7"/>
      <c r="AC912" s="7"/>
      <c r="AD912" s="7"/>
      <c r="AE912" s="7"/>
      <c r="AG912" s="36"/>
      <c r="AH912" s="36"/>
      <c r="AI912" s="35"/>
      <c r="AJ912" s="7"/>
      <c r="AK912" s="7"/>
      <c r="AL912" s="7"/>
      <c r="AM912" s="7"/>
      <c r="AN912" s="7"/>
      <c r="AO912" s="7"/>
      <c r="AP912" s="7"/>
      <c r="AQ912" s="7"/>
      <c r="AS912" s="36"/>
      <c r="AT912" s="36"/>
      <c r="AU912" s="35"/>
      <c r="AV912" s="7"/>
      <c r="AW912" s="7"/>
      <c r="AX912" s="7"/>
      <c r="AY912" s="7"/>
      <c r="AZ912" s="7"/>
      <c r="BA912" s="7"/>
      <c r="BB912" s="7"/>
      <c r="BC912" s="7"/>
      <c r="BF912" s="7"/>
      <c r="BG912" s="36"/>
      <c r="BH912" s="36"/>
      <c r="BI912" s="36"/>
      <c r="BJ912" s="36"/>
      <c r="BK912" s="36"/>
      <c r="BL912" s="36"/>
      <c r="BM912" s="36"/>
      <c r="BN912" s="36"/>
      <c r="BO912" s="36"/>
    </row>
    <row r="913" spans="1:67" x14ac:dyDescent="0.25">
      <c r="A913" s="39"/>
      <c r="B913" s="40"/>
      <c r="U913" s="36"/>
      <c r="V913" s="36"/>
      <c r="W913" s="35"/>
      <c r="X913" s="7"/>
      <c r="Y913" s="7"/>
      <c r="Z913" s="7"/>
      <c r="AA913" s="7"/>
      <c r="AB913" s="7"/>
      <c r="AC913" s="7"/>
      <c r="AD913" s="7"/>
      <c r="AE913" s="7"/>
      <c r="AG913" s="36"/>
      <c r="AH913" s="36"/>
      <c r="AI913" s="35"/>
      <c r="AJ913" s="7"/>
      <c r="AK913" s="7"/>
      <c r="AL913" s="7"/>
      <c r="AM913" s="7"/>
      <c r="AN913" s="7"/>
      <c r="AO913" s="7"/>
      <c r="AP913" s="7"/>
      <c r="AQ913" s="7"/>
      <c r="AS913" s="36"/>
      <c r="AT913" s="36"/>
      <c r="AU913" s="35"/>
      <c r="AV913" s="7"/>
      <c r="AW913" s="7"/>
      <c r="AX913" s="7"/>
      <c r="AY913" s="7"/>
      <c r="AZ913" s="7"/>
      <c r="BA913" s="7"/>
      <c r="BB913" s="7"/>
      <c r="BC913" s="7"/>
      <c r="BF913" s="7"/>
      <c r="BG913" s="36"/>
      <c r="BH913" s="36"/>
      <c r="BI913" s="36"/>
      <c r="BJ913" s="36"/>
      <c r="BK913" s="36"/>
      <c r="BL913" s="36"/>
      <c r="BM913" s="36"/>
      <c r="BN913" s="36"/>
      <c r="BO913" s="36"/>
    </row>
    <row r="914" spans="1:67" x14ac:dyDescent="0.25">
      <c r="A914" s="39"/>
      <c r="B914" s="40"/>
      <c r="U914" s="36"/>
      <c r="V914" s="36"/>
      <c r="W914" s="35"/>
      <c r="X914" s="7"/>
      <c r="Y914" s="7"/>
      <c r="Z914" s="7"/>
      <c r="AA914" s="7"/>
      <c r="AB914" s="7"/>
      <c r="AC914" s="7"/>
      <c r="AD914" s="7"/>
      <c r="AE914" s="7"/>
      <c r="AG914" s="36"/>
      <c r="AH914" s="36"/>
      <c r="AI914" s="35"/>
      <c r="AJ914" s="7"/>
      <c r="AK914" s="7"/>
      <c r="AL914" s="7"/>
      <c r="AM914" s="7"/>
      <c r="AN914" s="7"/>
      <c r="AO914" s="7"/>
      <c r="AP914" s="7"/>
      <c r="AQ914" s="7"/>
      <c r="AS914" s="36"/>
      <c r="AT914" s="36"/>
      <c r="AU914" s="35"/>
      <c r="AV914" s="7"/>
      <c r="AW914" s="7"/>
      <c r="AX914" s="7"/>
      <c r="AY914" s="7"/>
      <c r="AZ914" s="7"/>
      <c r="BA914" s="7"/>
      <c r="BB914" s="7"/>
      <c r="BC914" s="7"/>
      <c r="BF914" s="7"/>
      <c r="BG914" s="36"/>
      <c r="BH914" s="36"/>
      <c r="BI914" s="36"/>
      <c r="BJ914" s="36"/>
      <c r="BK914" s="36"/>
      <c r="BL914" s="36"/>
      <c r="BM914" s="36"/>
      <c r="BN914" s="36"/>
      <c r="BO914" s="36"/>
    </row>
    <row r="915" spans="1:67" x14ac:dyDescent="0.25">
      <c r="A915" s="39"/>
      <c r="B915" s="40"/>
      <c r="U915" s="36"/>
      <c r="V915" s="36"/>
      <c r="W915" s="35"/>
      <c r="X915" s="7"/>
      <c r="Y915" s="7"/>
      <c r="Z915" s="7"/>
      <c r="AA915" s="7"/>
      <c r="AB915" s="7"/>
      <c r="AC915" s="7"/>
      <c r="AD915" s="7"/>
      <c r="AE915" s="7"/>
      <c r="AG915" s="36"/>
      <c r="AH915" s="36"/>
      <c r="AI915" s="35"/>
      <c r="AJ915" s="7"/>
      <c r="AK915" s="7"/>
      <c r="AL915" s="7"/>
      <c r="AM915" s="7"/>
      <c r="AN915" s="7"/>
      <c r="AO915" s="7"/>
      <c r="AP915" s="7"/>
      <c r="AQ915" s="7"/>
      <c r="AS915" s="36"/>
      <c r="AT915" s="36"/>
      <c r="AU915" s="35"/>
      <c r="AV915" s="7"/>
      <c r="AW915" s="7"/>
      <c r="AX915" s="7"/>
      <c r="AY915" s="7"/>
      <c r="AZ915" s="7"/>
      <c r="BA915" s="7"/>
      <c r="BB915" s="7"/>
      <c r="BC915" s="7"/>
      <c r="BF915" s="7"/>
      <c r="BG915" s="36"/>
      <c r="BH915" s="36"/>
      <c r="BI915" s="36"/>
      <c r="BJ915" s="36"/>
      <c r="BK915" s="36"/>
      <c r="BL915" s="36"/>
      <c r="BM915" s="36"/>
      <c r="BN915" s="36"/>
      <c r="BO915" s="36"/>
    </row>
    <row r="916" spans="1:67" x14ac:dyDescent="0.25">
      <c r="A916" s="39"/>
      <c r="B916" s="40"/>
      <c r="U916" s="36"/>
      <c r="V916" s="36"/>
      <c r="W916" s="35"/>
      <c r="X916" s="7"/>
      <c r="Y916" s="7"/>
      <c r="Z916" s="7"/>
      <c r="AA916" s="7"/>
      <c r="AB916" s="7"/>
      <c r="AC916" s="7"/>
      <c r="AD916" s="7"/>
      <c r="AE916" s="7"/>
      <c r="AG916" s="36"/>
      <c r="AH916" s="36"/>
      <c r="AI916" s="35"/>
      <c r="AJ916" s="7"/>
      <c r="AK916" s="7"/>
      <c r="AL916" s="7"/>
      <c r="AM916" s="7"/>
      <c r="AN916" s="7"/>
      <c r="AO916" s="7"/>
      <c r="AP916" s="7"/>
      <c r="AQ916" s="7"/>
      <c r="AS916" s="36"/>
      <c r="AT916" s="36"/>
      <c r="AU916" s="35"/>
      <c r="AV916" s="7"/>
      <c r="AW916" s="7"/>
      <c r="AX916" s="7"/>
      <c r="AY916" s="7"/>
      <c r="AZ916" s="7"/>
      <c r="BA916" s="7"/>
      <c r="BB916" s="7"/>
      <c r="BC916" s="7"/>
      <c r="BF916" s="7"/>
      <c r="BG916" s="36"/>
      <c r="BH916" s="36"/>
      <c r="BI916" s="36"/>
      <c r="BJ916" s="36"/>
      <c r="BK916" s="36"/>
      <c r="BL916" s="36"/>
      <c r="BM916" s="36"/>
      <c r="BN916" s="36"/>
      <c r="BO916" s="36"/>
    </row>
    <row r="917" spans="1:67" x14ac:dyDescent="0.25">
      <c r="A917" s="39"/>
      <c r="B917" s="40"/>
      <c r="U917" s="36"/>
      <c r="V917" s="36"/>
      <c r="W917" s="35"/>
      <c r="X917" s="7"/>
      <c r="Y917" s="7"/>
      <c r="Z917" s="7"/>
      <c r="AA917" s="7"/>
      <c r="AB917" s="7"/>
      <c r="AC917" s="7"/>
      <c r="AD917" s="7"/>
      <c r="AE917" s="7"/>
      <c r="AG917" s="36"/>
      <c r="AH917" s="36"/>
      <c r="AI917" s="35"/>
      <c r="AJ917" s="7"/>
      <c r="AK917" s="7"/>
      <c r="AL917" s="7"/>
      <c r="AM917" s="7"/>
      <c r="AN917" s="7"/>
      <c r="AO917" s="7"/>
      <c r="AP917" s="7"/>
      <c r="AQ917" s="7"/>
      <c r="AS917" s="36"/>
      <c r="AT917" s="36"/>
      <c r="AU917" s="35"/>
      <c r="AV917" s="7"/>
      <c r="AW917" s="7"/>
      <c r="AX917" s="7"/>
      <c r="AY917" s="7"/>
      <c r="AZ917" s="7"/>
      <c r="BA917" s="7"/>
      <c r="BB917" s="7"/>
      <c r="BC917" s="7"/>
      <c r="BF917" s="7"/>
      <c r="BG917" s="36"/>
      <c r="BH917" s="36"/>
      <c r="BI917" s="36"/>
      <c r="BJ917" s="36"/>
      <c r="BK917" s="36"/>
      <c r="BL917" s="36"/>
      <c r="BM917" s="36"/>
      <c r="BN917" s="36"/>
      <c r="BO917" s="36"/>
    </row>
    <row r="918" spans="1:67" x14ac:dyDescent="0.25">
      <c r="A918" s="39"/>
      <c r="B918" s="40"/>
      <c r="U918" s="36"/>
      <c r="V918" s="36"/>
      <c r="W918" s="35"/>
      <c r="X918" s="7"/>
      <c r="Y918" s="7"/>
      <c r="Z918" s="7"/>
      <c r="AA918" s="7"/>
      <c r="AB918" s="7"/>
      <c r="AC918" s="7"/>
      <c r="AD918" s="7"/>
      <c r="AE918" s="7"/>
      <c r="AG918" s="36"/>
      <c r="AH918" s="36"/>
      <c r="AI918" s="35"/>
      <c r="AJ918" s="7"/>
      <c r="AK918" s="7"/>
      <c r="AL918" s="7"/>
      <c r="AM918" s="7"/>
      <c r="AN918" s="7"/>
      <c r="AO918" s="7"/>
      <c r="AP918" s="7"/>
      <c r="AQ918" s="7"/>
      <c r="AS918" s="36"/>
      <c r="AT918" s="36"/>
      <c r="AU918" s="35"/>
      <c r="AV918" s="7"/>
      <c r="AW918" s="7"/>
      <c r="AX918" s="7"/>
      <c r="AY918" s="7"/>
      <c r="AZ918" s="7"/>
      <c r="BA918" s="7"/>
      <c r="BB918" s="7"/>
      <c r="BC918" s="7"/>
      <c r="BF918" s="7"/>
      <c r="BG918" s="36"/>
      <c r="BH918" s="36"/>
      <c r="BI918" s="36"/>
      <c r="BJ918" s="36"/>
      <c r="BK918" s="36"/>
      <c r="BL918" s="36"/>
      <c r="BM918" s="36"/>
      <c r="BN918" s="36"/>
      <c r="BO918" s="36"/>
    </row>
    <row r="919" spans="1:67" x14ac:dyDescent="0.25">
      <c r="A919" s="39"/>
      <c r="B919" s="40"/>
      <c r="U919" s="36"/>
      <c r="V919" s="36"/>
      <c r="W919" s="35"/>
      <c r="X919" s="7"/>
      <c r="Y919" s="7"/>
      <c r="Z919" s="7"/>
      <c r="AA919" s="7"/>
      <c r="AB919" s="7"/>
      <c r="AC919" s="7"/>
      <c r="AD919" s="7"/>
      <c r="AE919" s="7"/>
      <c r="AG919" s="36"/>
      <c r="AH919" s="36"/>
      <c r="AI919" s="35"/>
      <c r="AJ919" s="7"/>
      <c r="AK919" s="7"/>
      <c r="AL919" s="7"/>
      <c r="AM919" s="7"/>
      <c r="AN919" s="7"/>
      <c r="AO919" s="7"/>
      <c r="AP919" s="7"/>
      <c r="AQ919" s="7"/>
      <c r="AS919" s="36"/>
      <c r="AT919" s="36"/>
      <c r="AU919" s="35"/>
      <c r="AV919" s="7"/>
      <c r="AW919" s="7"/>
      <c r="AX919" s="7"/>
      <c r="AY919" s="7"/>
      <c r="AZ919" s="7"/>
      <c r="BA919" s="7"/>
      <c r="BB919" s="7"/>
      <c r="BC919" s="7"/>
      <c r="BF919" s="7"/>
      <c r="BG919" s="36"/>
      <c r="BH919" s="36"/>
      <c r="BI919" s="36"/>
      <c r="BJ919" s="36"/>
      <c r="BK919" s="36"/>
      <c r="BL919" s="36"/>
      <c r="BM919" s="36"/>
      <c r="BN919" s="36"/>
      <c r="BO919" s="36"/>
    </row>
    <row r="920" spans="1:67" x14ac:dyDescent="0.25">
      <c r="A920" s="39"/>
      <c r="B920" s="40"/>
      <c r="U920" s="36"/>
      <c r="V920" s="36"/>
      <c r="W920" s="35"/>
      <c r="X920" s="7"/>
      <c r="Y920" s="7"/>
      <c r="Z920" s="7"/>
      <c r="AA920" s="7"/>
      <c r="AB920" s="7"/>
      <c r="AC920" s="7"/>
      <c r="AD920" s="7"/>
      <c r="AE920" s="7"/>
      <c r="AG920" s="36"/>
      <c r="AH920" s="36"/>
      <c r="AI920" s="35"/>
      <c r="AJ920" s="7"/>
      <c r="AK920" s="7"/>
      <c r="AL920" s="7"/>
      <c r="AM920" s="7"/>
      <c r="AN920" s="7"/>
      <c r="AO920" s="7"/>
      <c r="AP920" s="7"/>
      <c r="AQ920" s="7"/>
      <c r="AS920" s="36"/>
      <c r="AT920" s="36"/>
      <c r="AU920" s="35"/>
      <c r="AV920" s="7"/>
      <c r="AW920" s="7"/>
      <c r="AX920" s="7"/>
      <c r="AY920" s="7"/>
      <c r="AZ920" s="7"/>
      <c r="BA920" s="7"/>
      <c r="BB920" s="7"/>
      <c r="BC920" s="7"/>
      <c r="BF920" s="7"/>
      <c r="BG920" s="36"/>
      <c r="BH920" s="36"/>
      <c r="BI920" s="36"/>
      <c r="BJ920" s="36"/>
      <c r="BK920" s="36"/>
      <c r="BL920" s="36"/>
      <c r="BM920" s="36"/>
      <c r="BN920" s="36"/>
      <c r="BO920" s="36"/>
    </row>
    <row r="921" spans="1:67" x14ac:dyDescent="0.25">
      <c r="A921" s="39"/>
      <c r="B921" s="40"/>
      <c r="U921" s="36"/>
      <c r="V921" s="36"/>
      <c r="W921" s="35"/>
      <c r="X921" s="7"/>
      <c r="Y921" s="7"/>
      <c r="Z921" s="7"/>
      <c r="AA921" s="7"/>
      <c r="AB921" s="7"/>
      <c r="AC921" s="7"/>
      <c r="AD921" s="7"/>
      <c r="AE921" s="7"/>
      <c r="AG921" s="36"/>
      <c r="AH921" s="36"/>
      <c r="AI921" s="35"/>
      <c r="AJ921" s="7"/>
      <c r="AK921" s="7"/>
      <c r="AL921" s="7"/>
      <c r="AM921" s="7"/>
      <c r="AN921" s="7"/>
      <c r="AO921" s="7"/>
      <c r="AP921" s="7"/>
      <c r="AQ921" s="7"/>
      <c r="AS921" s="36"/>
      <c r="AT921" s="36"/>
      <c r="AU921" s="35"/>
      <c r="AV921" s="7"/>
      <c r="AW921" s="7"/>
      <c r="AX921" s="7"/>
      <c r="AY921" s="7"/>
      <c r="AZ921" s="7"/>
      <c r="BA921" s="7"/>
      <c r="BB921" s="7"/>
      <c r="BC921" s="7"/>
      <c r="BF921" s="7"/>
      <c r="BG921" s="36"/>
      <c r="BH921" s="36"/>
      <c r="BI921" s="36"/>
      <c r="BJ921" s="36"/>
      <c r="BK921" s="36"/>
      <c r="BL921" s="36"/>
      <c r="BM921" s="36"/>
      <c r="BN921" s="36"/>
      <c r="BO921" s="36"/>
    </row>
    <row r="922" spans="1:67" x14ac:dyDescent="0.25">
      <c r="A922" s="39"/>
      <c r="B922" s="40"/>
      <c r="U922" s="36"/>
      <c r="V922" s="36"/>
      <c r="W922" s="35"/>
      <c r="X922" s="7"/>
      <c r="Y922" s="7"/>
      <c r="Z922" s="7"/>
      <c r="AA922" s="7"/>
      <c r="AB922" s="7"/>
      <c r="AC922" s="7"/>
      <c r="AD922" s="7"/>
      <c r="AE922" s="7"/>
      <c r="AG922" s="36"/>
      <c r="AH922" s="36"/>
      <c r="AI922" s="35"/>
      <c r="AJ922" s="7"/>
      <c r="AK922" s="7"/>
      <c r="AL922" s="7"/>
      <c r="AM922" s="7"/>
      <c r="AN922" s="7"/>
      <c r="AO922" s="7"/>
      <c r="AP922" s="7"/>
      <c r="AQ922" s="7"/>
      <c r="AS922" s="36"/>
      <c r="AT922" s="36"/>
      <c r="AU922" s="35"/>
      <c r="AV922" s="7"/>
      <c r="AW922" s="7"/>
      <c r="AX922" s="7"/>
      <c r="AY922" s="7"/>
      <c r="AZ922" s="7"/>
      <c r="BA922" s="7"/>
      <c r="BB922" s="7"/>
      <c r="BC922" s="7"/>
      <c r="BF922" s="7"/>
      <c r="BG922" s="36"/>
      <c r="BH922" s="36"/>
      <c r="BI922" s="36"/>
      <c r="BJ922" s="36"/>
      <c r="BK922" s="36"/>
      <c r="BL922" s="36"/>
      <c r="BM922" s="36"/>
      <c r="BN922" s="36"/>
      <c r="BO922" s="36"/>
    </row>
    <row r="923" spans="1:67" x14ac:dyDescent="0.25">
      <c r="A923" s="39"/>
      <c r="B923" s="40"/>
      <c r="U923" s="36"/>
      <c r="V923" s="36"/>
      <c r="W923" s="35"/>
      <c r="X923" s="7"/>
      <c r="Y923" s="7"/>
      <c r="Z923" s="7"/>
      <c r="AA923" s="7"/>
      <c r="AB923" s="7"/>
      <c r="AC923" s="7"/>
      <c r="AD923" s="7"/>
      <c r="AE923" s="7"/>
      <c r="AG923" s="36"/>
      <c r="AH923" s="36"/>
      <c r="AI923" s="35"/>
      <c r="AJ923" s="7"/>
      <c r="AK923" s="7"/>
      <c r="AL923" s="7"/>
      <c r="AM923" s="7"/>
      <c r="AN923" s="7"/>
      <c r="AO923" s="7"/>
      <c r="AP923" s="7"/>
      <c r="AQ923" s="7"/>
      <c r="AS923" s="36"/>
      <c r="AT923" s="36"/>
      <c r="AU923" s="35"/>
      <c r="AV923" s="7"/>
      <c r="AW923" s="7"/>
      <c r="AX923" s="7"/>
      <c r="AY923" s="7"/>
      <c r="AZ923" s="7"/>
      <c r="BA923" s="7"/>
      <c r="BB923" s="7"/>
      <c r="BC923" s="7"/>
      <c r="BF923" s="7"/>
      <c r="BG923" s="36"/>
      <c r="BH923" s="36"/>
      <c r="BI923" s="36"/>
      <c r="BJ923" s="36"/>
      <c r="BK923" s="36"/>
      <c r="BL923" s="36"/>
      <c r="BM923" s="36"/>
      <c r="BN923" s="36"/>
      <c r="BO923" s="36"/>
    </row>
    <row r="924" spans="1:67" x14ac:dyDescent="0.25">
      <c r="A924" s="39"/>
      <c r="B924" s="40"/>
      <c r="U924" s="36"/>
      <c r="V924" s="36"/>
      <c r="W924" s="35"/>
      <c r="X924" s="7"/>
      <c r="Y924" s="7"/>
      <c r="Z924" s="7"/>
      <c r="AA924" s="7"/>
      <c r="AB924" s="7"/>
      <c r="AC924" s="7"/>
      <c r="AD924" s="7"/>
      <c r="AE924" s="7"/>
      <c r="AG924" s="36"/>
      <c r="AH924" s="36"/>
      <c r="AI924" s="35"/>
      <c r="AJ924" s="7"/>
      <c r="AK924" s="7"/>
      <c r="AL924" s="7"/>
      <c r="AM924" s="7"/>
      <c r="AN924" s="7"/>
      <c r="AO924" s="7"/>
      <c r="AP924" s="7"/>
      <c r="AQ924" s="7"/>
      <c r="AS924" s="36"/>
      <c r="AT924" s="36"/>
      <c r="AU924" s="35"/>
      <c r="AV924" s="7"/>
      <c r="AW924" s="7"/>
      <c r="AX924" s="7"/>
      <c r="AY924" s="7"/>
      <c r="AZ924" s="7"/>
      <c r="BA924" s="7"/>
      <c r="BB924" s="7"/>
      <c r="BC924" s="7"/>
      <c r="BF924" s="7"/>
      <c r="BG924" s="36"/>
      <c r="BH924" s="36"/>
      <c r="BI924" s="36"/>
      <c r="BJ924" s="36"/>
      <c r="BK924" s="36"/>
      <c r="BL924" s="36"/>
      <c r="BM924" s="36"/>
      <c r="BN924" s="36"/>
      <c r="BO924" s="36"/>
    </row>
    <row r="925" spans="1:67" x14ac:dyDescent="0.25">
      <c r="A925" s="39"/>
      <c r="B925" s="40"/>
      <c r="U925" s="36"/>
      <c r="V925" s="36"/>
      <c r="W925" s="35"/>
      <c r="X925" s="7"/>
      <c r="Y925" s="7"/>
      <c r="Z925" s="7"/>
      <c r="AA925" s="7"/>
      <c r="AB925" s="7"/>
      <c r="AC925" s="7"/>
      <c r="AD925" s="7"/>
      <c r="AE925" s="7"/>
      <c r="AG925" s="36"/>
      <c r="AH925" s="36"/>
      <c r="AI925" s="35"/>
      <c r="AJ925" s="7"/>
      <c r="AK925" s="7"/>
      <c r="AL925" s="7"/>
      <c r="AM925" s="7"/>
      <c r="AN925" s="7"/>
      <c r="AO925" s="7"/>
      <c r="AP925" s="7"/>
      <c r="AQ925" s="7"/>
      <c r="AS925" s="36"/>
      <c r="AT925" s="36"/>
      <c r="AU925" s="35"/>
      <c r="AV925" s="7"/>
      <c r="AW925" s="7"/>
      <c r="AX925" s="7"/>
      <c r="AY925" s="7"/>
      <c r="AZ925" s="7"/>
      <c r="BA925" s="7"/>
      <c r="BB925" s="7"/>
      <c r="BC925" s="7"/>
      <c r="BF925" s="7"/>
      <c r="BG925" s="36"/>
      <c r="BH925" s="36"/>
      <c r="BI925" s="36"/>
      <c r="BJ925" s="36"/>
      <c r="BK925" s="36"/>
      <c r="BL925" s="36"/>
      <c r="BM925" s="36"/>
      <c r="BN925" s="36"/>
      <c r="BO925" s="36"/>
    </row>
    <row r="926" spans="1:67" x14ac:dyDescent="0.25">
      <c r="A926" s="39"/>
      <c r="B926" s="40"/>
      <c r="U926" s="36"/>
      <c r="V926" s="36"/>
      <c r="W926" s="35"/>
      <c r="X926" s="7"/>
      <c r="Y926" s="7"/>
      <c r="Z926" s="7"/>
      <c r="AA926" s="7"/>
      <c r="AB926" s="7"/>
      <c r="AC926" s="7"/>
      <c r="AD926" s="7"/>
      <c r="AE926" s="7"/>
      <c r="AG926" s="36"/>
      <c r="AH926" s="36"/>
      <c r="AI926" s="35"/>
      <c r="AJ926" s="7"/>
      <c r="AK926" s="7"/>
      <c r="AL926" s="7"/>
      <c r="AM926" s="7"/>
      <c r="AN926" s="7"/>
      <c r="AO926" s="7"/>
      <c r="AP926" s="7"/>
      <c r="AQ926" s="7"/>
      <c r="AS926" s="36"/>
      <c r="AT926" s="36"/>
      <c r="AU926" s="35"/>
      <c r="AV926" s="7"/>
      <c r="AW926" s="7"/>
      <c r="AX926" s="7"/>
      <c r="AY926" s="7"/>
      <c r="AZ926" s="7"/>
      <c r="BA926" s="7"/>
      <c r="BB926" s="7"/>
      <c r="BC926" s="7"/>
      <c r="BF926" s="7"/>
      <c r="BG926" s="36"/>
      <c r="BH926" s="36"/>
      <c r="BI926" s="36"/>
      <c r="BJ926" s="36"/>
      <c r="BK926" s="36"/>
      <c r="BL926" s="36"/>
      <c r="BM926" s="36"/>
      <c r="BN926" s="36"/>
      <c r="BO926" s="36"/>
    </row>
    <row r="927" spans="1:67" x14ac:dyDescent="0.25">
      <c r="A927" s="39"/>
      <c r="B927" s="40"/>
      <c r="U927" s="36"/>
      <c r="V927" s="36"/>
      <c r="W927" s="35"/>
      <c r="X927" s="7"/>
      <c r="Y927" s="7"/>
      <c r="Z927" s="7"/>
      <c r="AA927" s="7"/>
      <c r="AB927" s="7"/>
      <c r="AC927" s="7"/>
      <c r="AD927" s="7"/>
      <c r="AE927" s="7"/>
      <c r="AG927" s="36"/>
      <c r="AH927" s="36"/>
      <c r="AI927" s="35"/>
      <c r="AJ927" s="7"/>
      <c r="AK927" s="7"/>
      <c r="AL927" s="7"/>
      <c r="AM927" s="7"/>
      <c r="AN927" s="7"/>
      <c r="AO927" s="7"/>
      <c r="AP927" s="7"/>
      <c r="AQ927" s="7"/>
      <c r="AS927" s="36"/>
      <c r="AT927" s="36"/>
      <c r="AU927" s="35"/>
      <c r="AV927" s="7"/>
      <c r="AW927" s="7"/>
      <c r="AX927" s="7"/>
      <c r="AY927" s="7"/>
      <c r="AZ927" s="7"/>
      <c r="BA927" s="7"/>
      <c r="BB927" s="7"/>
      <c r="BC927" s="7"/>
      <c r="BF927" s="7"/>
      <c r="BG927" s="36"/>
      <c r="BH927" s="36"/>
      <c r="BI927" s="36"/>
      <c r="BJ927" s="36"/>
      <c r="BK927" s="36"/>
      <c r="BL927" s="36"/>
      <c r="BM927" s="36"/>
      <c r="BN927" s="36"/>
      <c r="BO927" s="36"/>
    </row>
    <row r="928" spans="1:67" x14ac:dyDescent="0.25">
      <c r="A928" s="39"/>
      <c r="B928" s="40"/>
      <c r="U928" s="36"/>
      <c r="V928" s="36"/>
      <c r="W928" s="35"/>
      <c r="X928" s="7"/>
      <c r="Y928" s="7"/>
      <c r="Z928" s="7"/>
      <c r="AA928" s="7"/>
      <c r="AB928" s="7"/>
      <c r="AC928" s="7"/>
      <c r="AD928" s="7"/>
      <c r="AE928" s="7"/>
      <c r="AG928" s="36"/>
      <c r="AH928" s="36"/>
      <c r="AI928" s="35"/>
      <c r="AJ928" s="7"/>
      <c r="AK928" s="7"/>
      <c r="AL928" s="7"/>
      <c r="AM928" s="7"/>
      <c r="AN928" s="7"/>
      <c r="AO928" s="7"/>
      <c r="AP928" s="7"/>
      <c r="AQ928" s="7"/>
      <c r="AS928" s="36"/>
      <c r="AT928" s="36"/>
      <c r="AU928" s="35"/>
      <c r="AV928" s="7"/>
      <c r="AW928" s="7"/>
      <c r="AX928" s="7"/>
      <c r="AY928" s="7"/>
      <c r="AZ928" s="7"/>
      <c r="BA928" s="7"/>
      <c r="BB928" s="7"/>
      <c r="BC928" s="7"/>
      <c r="BF928" s="7"/>
      <c r="BG928" s="36"/>
      <c r="BH928" s="36"/>
      <c r="BI928" s="36"/>
      <c r="BJ928" s="36"/>
      <c r="BK928" s="36"/>
      <c r="BL928" s="36"/>
      <c r="BM928" s="36"/>
      <c r="BN928" s="36"/>
      <c r="BO928" s="36"/>
    </row>
    <row r="929" spans="1:67" x14ac:dyDescent="0.25">
      <c r="A929" s="39"/>
      <c r="B929" s="40"/>
      <c r="U929" s="36"/>
      <c r="V929" s="36"/>
      <c r="W929" s="35"/>
      <c r="X929" s="7"/>
      <c r="Y929" s="7"/>
      <c r="Z929" s="7"/>
      <c r="AA929" s="7"/>
      <c r="AB929" s="7"/>
      <c r="AC929" s="7"/>
      <c r="AD929" s="7"/>
      <c r="AE929" s="7"/>
      <c r="AG929" s="36"/>
      <c r="AH929" s="36"/>
      <c r="AI929" s="35"/>
      <c r="AJ929" s="7"/>
      <c r="AK929" s="7"/>
      <c r="AL929" s="7"/>
      <c r="AM929" s="7"/>
      <c r="AN929" s="7"/>
      <c r="AO929" s="7"/>
      <c r="AP929" s="7"/>
      <c r="AQ929" s="7"/>
      <c r="AS929" s="36"/>
      <c r="AT929" s="36"/>
      <c r="AU929" s="35"/>
      <c r="AV929" s="7"/>
      <c r="AW929" s="7"/>
      <c r="AX929" s="7"/>
      <c r="AY929" s="7"/>
      <c r="AZ929" s="7"/>
      <c r="BA929" s="7"/>
      <c r="BB929" s="7"/>
      <c r="BC929" s="7"/>
      <c r="BF929" s="7"/>
      <c r="BG929" s="36"/>
      <c r="BH929" s="36"/>
      <c r="BI929" s="36"/>
      <c r="BJ929" s="36"/>
      <c r="BK929" s="36"/>
      <c r="BL929" s="36"/>
      <c r="BM929" s="36"/>
      <c r="BN929" s="36"/>
      <c r="BO929" s="36"/>
    </row>
    <row r="930" spans="1:67" x14ac:dyDescent="0.25">
      <c r="A930" s="39"/>
      <c r="B930" s="40"/>
      <c r="U930" s="36"/>
      <c r="V930" s="36"/>
      <c r="W930" s="35"/>
      <c r="X930" s="7"/>
      <c r="Y930" s="7"/>
      <c r="Z930" s="7"/>
      <c r="AA930" s="7"/>
      <c r="AB930" s="7"/>
      <c r="AC930" s="7"/>
      <c r="AD930" s="7"/>
      <c r="AE930" s="7"/>
      <c r="AG930" s="36"/>
      <c r="AH930" s="36"/>
      <c r="AI930" s="35"/>
      <c r="AJ930" s="7"/>
      <c r="AK930" s="7"/>
      <c r="AL930" s="7"/>
      <c r="AM930" s="7"/>
      <c r="AN930" s="7"/>
      <c r="AO930" s="7"/>
      <c r="AP930" s="7"/>
      <c r="AQ930" s="7"/>
      <c r="AS930" s="36"/>
      <c r="AT930" s="36"/>
      <c r="AU930" s="35"/>
      <c r="AV930" s="7"/>
      <c r="AW930" s="7"/>
      <c r="AX930" s="7"/>
      <c r="AY930" s="7"/>
      <c r="AZ930" s="7"/>
      <c r="BA930" s="7"/>
      <c r="BB930" s="7"/>
      <c r="BC930" s="7"/>
      <c r="BF930" s="7"/>
      <c r="BG930" s="36"/>
      <c r="BH930" s="36"/>
      <c r="BI930" s="36"/>
      <c r="BJ930" s="36"/>
      <c r="BK930" s="36"/>
      <c r="BL930" s="36"/>
      <c r="BM930" s="36"/>
      <c r="BN930" s="36"/>
      <c r="BO930" s="36"/>
    </row>
    <row r="931" spans="1:67" x14ac:dyDescent="0.25">
      <c r="A931" s="39"/>
      <c r="B931" s="40"/>
      <c r="U931" s="36"/>
      <c r="V931" s="36"/>
      <c r="W931" s="35"/>
      <c r="X931" s="7"/>
      <c r="Y931" s="7"/>
      <c r="Z931" s="7"/>
      <c r="AA931" s="7"/>
      <c r="AB931" s="7"/>
      <c r="AC931" s="7"/>
      <c r="AD931" s="7"/>
      <c r="AE931" s="7"/>
      <c r="AG931" s="36"/>
      <c r="AH931" s="36"/>
      <c r="AI931" s="35"/>
      <c r="AJ931" s="7"/>
      <c r="AK931" s="7"/>
      <c r="AL931" s="7"/>
      <c r="AM931" s="7"/>
      <c r="AN931" s="7"/>
      <c r="AO931" s="7"/>
      <c r="AP931" s="7"/>
      <c r="AQ931" s="7"/>
      <c r="AS931" s="36"/>
      <c r="AT931" s="36"/>
      <c r="AU931" s="35"/>
      <c r="AV931" s="7"/>
      <c r="AW931" s="7"/>
      <c r="AX931" s="7"/>
      <c r="AY931" s="7"/>
      <c r="AZ931" s="7"/>
      <c r="BA931" s="7"/>
      <c r="BB931" s="7"/>
      <c r="BC931" s="7"/>
      <c r="BF931" s="7"/>
      <c r="BG931" s="36"/>
      <c r="BH931" s="36"/>
      <c r="BI931" s="36"/>
      <c r="BJ931" s="36"/>
      <c r="BK931" s="36"/>
      <c r="BL931" s="36"/>
      <c r="BM931" s="36"/>
      <c r="BN931" s="36"/>
      <c r="BO931" s="36"/>
    </row>
    <row r="932" spans="1:67" x14ac:dyDescent="0.25">
      <c r="A932" s="39"/>
      <c r="B932" s="40"/>
      <c r="U932" s="36"/>
      <c r="V932" s="36"/>
      <c r="W932" s="35"/>
      <c r="X932" s="7"/>
      <c r="Y932" s="7"/>
      <c r="Z932" s="7"/>
      <c r="AA932" s="7"/>
      <c r="AB932" s="7"/>
      <c r="AC932" s="7"/>
      <c r="AD932" s="7"/>
      <c r="AE932" s="7"/>
      <c r="AG932" s="36"/>
      <c r="AH932" s="36"/>
      <c r="AI932" s="35"/>
      <c r="AJ932" s="7"/>
      <c r="AK932" s="7"/>
      <c r="AL932" s="7"/>
      <c r="AM932" s="7"/>
      <c r="AN932" s="7"/>
      <c r="AO932" s="7"/>
      <c r="AP932" s="7"/>
      <c r="AQ932" s="7"/>
      <c r="AS932" s="36"/>
      <c r="AT932" s="36"/>
      <c r="AU932" s="35"/>
      <c r="AV932" s="7"/>
      <c r="AW932" s="7"/>
      <c r="AX932" s="7"/>
      <c r="AY932" s="7"/>
      <c r="AZ932" s="7"/>
      <c r="BA932" s="7"/>
      <c r="BB932" s="7"/>
      <c r="BC932" s="7"/>
      <c r="BF932" s="7"/>
      <c r="BG932" s="36"/>
      <c r="BH932" s="36"/>
      <c r="BI932" s="36"/>
      <c r="BJ932" s="36"/>
      <c r="BK932" s="36"/>
      <c r="BL932" s="36"/>
      <c r="BM932" s="36"/>
      <c r="BN932" s="36"/>
      <c r="BO932" s="36"/>
    </row>
    <row r="933" spans="1:67" x14ac:dyDescent="0.25">
      <c r="A933" s="39"/>
      <c r="B933" s="40"/>
      <c r="U933" s="36"/>
      <c r="V933" s="36"/>
      <c r="W933" s="35"/>
      <c r="X933" s="7"/>
      <c r="Y933" s="7"/>
      <c r="Z933" s="7"/>
      <c r="AA933" s="7"/>
      <c r="AB933" s="7"/>
      <c r="AC933" s="7"/>
      <c r="AD933" s="7"/>
      <c r="AE933" s="7"/>
      <c r="AG933" s="36"/>
      <c r="AH933" s="36"/>
      <c r="AI933" s="35"/>
      <c r="AJ933" s="7"/>
      <c r="AK933" s="7"/>
      <c r="AL933" s="7"/>
      <c r="AM933" s="7"/>
      <c r="AN933" s="7"/>
      <c r="AO933" s="7"/>
      <c r="AP933" s="7"/>
      <c r="AQ933" s="7"/>
      <c r="AS933" s="36"/>
      <c r="AT933" s="36"/>
      <c r="AU933" s="35"/>
      <c r="AV933" s="7"/>
      <c r="AW933" s="7"/>
      <c r="AX933" s="7"/>
      <c r="AY933" s="7"/>
      <c r="AZ933" s="7"/>
      <c r="BA933" s="7"/>
      <c r="BB933" s="7"/>
      <c r="BC933" s="7"/>
      <c r="BF933" s="7"/>
      <c r="BG933" s="36"/>
      <c r="BH933" s="36"/>
      <c r="BI933" s="36"/>
      <c r="BJ933" s="36"/>
      <c r="BK933" s="36"/>
      <c r="BL933" s="36"/>
      <c r="BM933" s="36"/>
      <c r="BN933" s="36"/>
      <c r="BO933" s="36"/>
    </row>
    <row r="934" spans="1:67" x14ac:dyDescent="0.25">
      <c r="A934" s="39"/>
      <c r="B934" s="40"/>
      <c r="U934" s="36"/>
      <c r="V934" s="36"/>
      <c r="W934" s="35"/>
      <c r="X934" s="7"/>
      <c r="Y934" s="7"/>
      <c r="Z934" s="7"/>
      <c r="AA934" s="7"/>
      <c r="AB934" s="7"/>
      <c r="AC934" s="7"/>
      <c r="AD934" s="7"/>
      <c r="AE934" s="7"/>
      <c r="AG934" s="36"/>
      <c r="AH934" s="36"/>
      <c r="AI934" s="35"/>
      <c r="AJ934" s="7"/>
      <c r="AK934" s="7"/>
      <c r="AL934" s="7"/>
      <c r="AM934" s="7"/>
      <c r="AN934" s="7"/>
      <c r="AO934" s="7"/>
      <c r="AP934" s="7"/>
      <c r="AQ934" s="7"/>
      <c r="AS934" s="36"/>
      <c r="AT934" s="36"/>
      <c r="AU934" s="35"/>
      <c r="AV934" s="7"/>
      <c r="AW934" s="7"/>
      <c r="AX934" s="7"/>
      <c r="AY934" s="7"/>
      <c r="AZ934" s="7"/>
      <c r="BA934" s="7"/>
      <c r="BB934" s="7"/>
      <c r="BC934" s="7"/>
      <c r="BF934" s="7"/>
      <c r="BG934" s="36"/>
      <c r="BH934" s="36"/>
      <c r="BI934" s="36"/>
      <c r="BJ934" s="36"/>
      <c r="BK934" s="36"/>
      <c r="BL934" s="36"/>
      <c r="BM934" s="36"/>
      <c r="BN934" s="36"/>
      <c r="BO934" s="36"/>
    </row>
    <row r="935" spans="1:67" x14ac:dyDescent="0.25">
      <c r="A935" s="39"/>
      <c r="B935" s="40"/>
      <c r="U935" s="36"/>
      <c r="V935" s="36"/>
      <c r="W935" s="35"/>
      <c r="X935" s="7"/>
      <c r="Y935" s="7"/>
      <c r="Z935" s="7"/>
      <c r="AA935" s="7"/>
      <c r="AB935" s="7"/>
      <c r="AC935" s="7"/>
      <c r="AD935" s="7"/>
      <c r="AE935" s="7"/>
      <c r="AG935" s="36"/>
      <c r="AH935" s="36"/>
      <c r="AI935" s="35"/>
      <c r="AJ935" s="7"/>
      <c r="AK935" s="7"/>
      <c r="AL935" s="7"/>
      <c r="AM935" s="7"/>
      <c r="AN935" s="7"/>
      <c r="AO935" s="7"/>
      <c r="AP935" s="7"/>
      <c r="AQ935" s="7"/>
      <c r="AS935" s="36"/>
      <c r="AT935" s="36"/>
      <c r="AU935" s="35"/>
      <c r="AV935" s="7"/>
      <c r="AW935" s="7"/>
      <c r="AX935" s="7"/>
      <c r="AY935" s="7"/>
      <c r="AZ935" s="7"/>
      <c r="BA935" s="7"/>
      <c r="BB935" s="7"/>
      <c r="BC935" s="7"/>
      <c r="BF935" s="7"/>
      <c r="BG935" s="36"/>
      <c r="BH935" s="36"/>
      <c r="BI935" s="36"/>
      <c r="BJ935" s="36"/>
      <c r="BK935" s="36"/>
      <c r="BL935" s="36"/>
      <c r="BM935" s="36"/>
      <c r="BN935" s="36"/>
      <c r="BO935" s="36"/>
    </row>
    <row r="936" spans="1:67" x14ac:dyDescent="0.25">
      <c r="A936" s="39"/>
      <c r="B936" s="40"/>
      <c r="U936" s="36"/>
      <c r="V936" s="36"/>
      <c r="W936" s="35"/>
      <c r="X936" s="7"/>
      <c r="Y936" s="7"/>
      <c r="Z936" s="7"/>
      <c r="AA936" s="7"/>
      <c r="AB936" s="7"/>
      <c r="AC936" s="7"/>
      <c r="AD936" s="7"/>
      <c r="AE936" s="7"/>
      <c r="AG936" s="36"/>
      <c r="AH936" s="36"/>
      <c r="AI936" s="35"/>
      <c r="AJ936" s="7"/>
      <c r="AK936" s="7"/>
      <c r="AL936" s="7"/>
      <c r="AM936" s="7"/>
      <c r="AN936" s="7"/>
      <c r="AO936" s="7"/>
      <c r="AP936" s="7"/>
      <c r="AQ936" s="7"/>
      <c r="AS936" s="36"/>
      <c r="AT936" s="36"/>
      <c r="AU936" s="35"/>
      <c r="AV936" s="7"/>
      <c r="AW936" s="7"/>
      <c r="AX936" s="7"/>
      <c r="AY936" s="7"/>
      <c r="AZ936" s="7"/>
      <c r="BA936" s="7"/>
      <c r="BB936" s="7"/>
      <c r="BC936" s="7"/>
      <c r="BF936" s="7"/>
      <c r="BG936" s="36"/>
      <c r="BH936" s="36"/>
      <c r="BI936" s="36"/>
      <c r="BJ936" s="36"/>
      <c r="BK936" s="36"/>
      <c r="BL936" s="36"/>
      <c r="BM936" s="36"/>
      <c r="BN936" s="36"/>
      <c r="BO936" s="36"/>
    </row>
    <row r="937" spans="1:67" x14ac:dyDescent="0.25">
      <c r="A937" s="39"/>
      <c r="B937" s="40"/>
      <c r="U937" s="36"/>
      <c r="V937" s="36"/>
      <c r="W937" s="35"/>
      <c r="X937" s="7"/>
      <c r="Y937" s="7"/>
      <c r="Z937" s="7"/>
      <c r="AA937" s="7"/>
      <c r="AB937" s="7"/>
      <c r="AC937" s="7"/>
      <c r="AD937" s="7"/>
      <c r="AE937" s="7"/>
      <c r="AG937" s="36"/>
      <c r="AH937" s="36"/>
      <c r="AI937" s="35"/>
      <c r="AJ937" s="7"/>
      <c r="AK937" s="7"/>
      <c r="AL937" s="7"/>
      <c r="AM937" s="7"/>
      <c r="AN937" s="7"/>
      <c r="AO937" s="7"/>
      <c r="AP937" s="7"/>
      <c r="AQ937" s="7"/>
      <c r="AS937" s="36"/>
      <c r="AT937" s="36"/>
      <c r="AU937" s="35"/>
      <c r="AV937" s="7"/>
      <c r="AW937" s="7"/>
      <c r="AX937" s="7"/>
      <c r="AY937" s="7"/>
      <c r="AZ937" s="7"/>
      <c r="BA937" s="7"/>
      <c r="BB937" s="7"/>
      <c r="BC937" s="7"/>
      <c r="BF937" s="7"/>
      <c r="BG937" s="36"/>
      <c r="BH937" s="36"/>
      <c r="BI937" s="36"/>
      <c r="BJ937" s="36"/>
      <c r="BK937" s="36"/>
      <c r="BL937" s="36"/>
      <c r="BM937" s="36"/>
      <c r="BN937" s="36"/>
      <c r="BO937" s="36"/>
    </row>
    <row r="938" spans="1:67" x14ac:dyDescent="0.25">
      <c r="A938" s="39"/>
      <c r="B938" s="40"/>
      <c r="U938" s="36"/>
      <c r="V938" s="36"/>
      <c r="W938" s="35"/>
      <c r="X938" s="7"/>
      <c r="Y938" s="7"/>
      <c r="Z938" s="7"/>
      <c r="AA938" s="7"/>
      <c r="AB938" s="7"/>
      <c r="AC938" s="7"/>
      <c r="AD938" s="7"/>
      <c r="AE938" s="7"/>
      <c r="AG938" s="36"/>
      <c r="AH938" s="36"/>
      <c r="AI938" s="35"/>
      <c r="AJ938" s="7"/>
      <c r="AK938" s="7"/>
      <c r="AL938" s="7"/>
      <c r="AM938" s="7"/>
      <c r="AN938" s="7"/>
      <c r="AO938" s="7"/>
      <c r="AP938" s="7"/>
      <c r="AQ938" s="7"/>
      <c r="AS938" s="36"/>
      <c r="AT938" s="36"/>
      <c r="AU938" s="35"/>
      <c r="AV938" s="7"/>
      <c r="AW938" s="7"/>
      <c r="AX938" s="7"/>
      <c r="AY938" s="7"/>
      <c r="AZ938" s="7"/>
      <c r="BA938" s="7"/>
      <c r="BB938" s="7"/>
      <c r="BC938" s="7"/>
      <c r="BF938" s="7"/>
      <c r="BG938" s="36"/>
      <c r="BH938" s="36"/>
      <c r="BI938" s="36"/>
      <c r="BJ938" s="36"/>
      <c r="BK938" s="36"/>
      <c r="BL938" s="36"/>
      <c r="BM938" s="36"/>
      <c r="BN938" s="36"/>
      <c r="BO938" s="36"/>
    </row>
    <row r="939" spans="1:67" x14ac:dyDescent="0.25">
      <c r="A939" s="39"/>
      <c r="B939" s="40"/>
      <c r="U939" s="36"/>
      <c r="V939" s="36"/>
      <c r="W939" s="35"/>
      <c r="X939" s="7"/>
      <c r="Y939" s="7"/>
      <c r="Z939" s="7"/>
      <c r="AA939" s="7"/>
      <c r="AB939" s="7"/>
      <c r="AC939" s="7"/>
      <c r="AD939" s="7"/>
      <c r="AE939" s="7"/>
      <c r="AG939" s="36"/>
      <c r="AH939" s="36"/>
      <c r="AI939" s="35"/>
      <c r="AJ939" s="7"/>
      <c r="AK939" s="7"/>
      <c r="AL939" s="7"/>
      <c r="AM939" s="7"/>
      <c r="AN939" s="7"/>
      <c r="AO939" s="7"/>
      <c r="AP939" s="7"/>
      <c r="AQ939" s="7"/>
      <c r="AS939" s="36"/>
      <c r="AT939" s="36"/>
      <c r="AU939" s="35"/>
      <c r="AV939" s="7"/>
      <c r="AW939" s="7"/>
      <c r="AX939" s="7"/>
      <c r="AY939" s="7"/>
      <c r="AZ939" s="7"/>
      <c r="BA939" s="7"/>
      <c r="BB939" s="7"/>
      <c r="BC939" s="7"/>
      <c r="BF939" s="7"/>
      <c r="BG939" s="36"/>
      <c r="BH939" s="36"/>
      <c r="BI939" s="36"/>
      <c r="BJ939" s="36"/>
      <c r="BK939" s="36"/>
      <c r="BL939" s="36"/>
      <c r="BM939" s="36"/>
      <c r="BN939" s="36"/>
      <c r="BO939" s="36"/>
    </row>
    <row r="940" spans="1:67" x14ac:dyDescent="0.25">
      <c r="A940" s="39"/>
      <c r="B940" s="40"/>
      <c r="U940" s="36"/>
      <c r="V940" s="36"/>
      <c r="W940" s="35"/>
      <c r="X940" s="7"/>
      <c r="Y940" s="7"/>
      <c r="Z940" s="7"/>
      <c r="AA940" s="7"/>
      <c r="AB940" s="7"/>
      <c r="AC940" s="7"/>
      <c r="AD940" s="7"/>
      <c r="AE940" s="7"/>
      <c r="AG940" s="36"/>
      <c r="AH940" s="36"/>
      <c r="AI940" s="35"/>
      <c r="AJ940" s="7"/>
      <c r="AK940" s="7"/>
      <c r="AL940" s="7"/>
      <c r="AM940" s="7"/>
      <c r="AN940" s="7"/>
      <c r="AO940" s="7"/>
      <c r="AP940" s="7"/>
      <c r="AQ940" s="7"/>
      <c r="AS940" s="36"/>
      <c r="AT940" s="36"/>
      <c r="AU940" s="35"/>
      <c r="AV940" s="7"/>
      <c r="AW940" s="7"/>
      <c r="AX940" s="7"/>
      <c r="AY940" s="7"/>
      <c r="AZ940" s="7"/>
      <c r="BA940" s="7"/>
      <c r="BB940" s="7"/>
      <c r="BC940" s="7"/>
      <c r="BF940" s="7"/>
      <c r="BG940" s="36"/>
      <c r="BH940" s="36"/>
      <c r="BI940" s="36"/>
      <c r="BJ940" s="36"/>
      <c r="BK940" s="36"/>
      <c r="BL940" s="36"/>
      <c r="BM940" s="36"/>
      <c r="BN940" s="36"/>
      <c r="BO940" s="36"/>
    </row>
    <row r="941" spans="1:67" x14ac:dyDescent="0.25">
      <c r="A941" s="39"/>
      <c r="B941" s="40"/>
      <c r="U941" s="36"/>
      <c r="V941" s="36"/>
      <c r="W941" s="35"/>
      <c r="X941" s="7"/>
      <c r="Y941" s="7"/>
      <c r="Z941" s="7"/>
      <c r="AA941" s="7"/>
      <c r="AB941" s="7"/>
      <c r="AC941" s="7"/>
      <c r="AD941" s="7"/>
      <c r="AE941" s="7"/>
      <c r="AG941" s="36"/>
      <c r="AH941" s="36"/>
      <c r="AI941" s="35"/>
      <c r="AJ941" s="7"/>
      <c r="AK941" s="7"/>
      <c r="AL941" s="7"/>
      <c r="AM941" s="7"/>
      <c r="AN941" s="7"/>
      <c r="AO941" s="7"/>
      <c r="AP941" s="7"/>
      <c r="AQ941" s="7"/>
      <c r="AS941" s="36"/>
      <c r="AT941" s="36"/>
      <c r="AU941" s="35"/>
      <c r="AV941" s="7"/>
      <c r="AW941" s="7"/>
      <c r="AX941" s="7"/>
      <c r="AY941" s="7"/>
      <c r="AZ941" s="7"/>
      <c r="BA941" s="7"/>
      <c r="BB941" s="7"/>
      <c r="BC941" s="7"/>
      <c r="BF941" s="7"/>
      <c r="BG941" s="36"/>
      <c r="BH941" s="36"/>
      <c r="BI941" s="36"/>
      <c r="BJ941" s="36"/>
      <c r="BK941" s="36"/>
      <c r="BL941" s="36"/>
      <c r="BM941" s="36"/>
      <c r="BN941" s="36"/>
      <c r="BO941" s="36"/>
    </row>
    <row r="942" spans="1:67" x14ac:dyDescent="0.25">
      <c r="A942" s="39"/>
      <c r="B942" s="40"/>
      <c r="U942" s="36"/>
      <c r="V942" s="36"/>
      <c r="W942" s="35"/>
      <c r="X942" s="7"/>
      <c r="Y942" s="7"/>
      <c r="Z942" s="7"/>
      <c r="AA942" s="7"/>
      <c r="AB942" s="7"/>
      <c r="AC942" s="7"/>
      <c r="AD942" s="7"/>
      <c r="AE942" s="7"/>
      <c r="AG942" s="36"/>
      <c r="AH942" s="36"/>
      <c r="AI942" s="35"/>
      <c r="AJ942" s="7"/>
      <c r="AK942" s="7"/>
      <c r="AL942" s="7"/>
      <c r="AM942" s="7"/>
      <c r="AN942" s="7"/>
      <c r="AO942" s="7"/>
      <c r="AP942" s="7"/>
      <c r="AQ942" s="7"/>
      <c r="AS942" s="36"/>
      <c r="AT942" s="36"/>
      <c r="AU942" s="35"/>
      <c r="AV942" s="7"/>
      <c r="AW942" s="7"/>
      <c r="AX942" s="7"/>
      <c r="AY942" s="7"/>
      <c r="AZ942" s="7"/>
      <c r="BA942" s="7"/>
      <c r="BB942" s="7"/>
      <c r="BC942" s="7"/>
      <c r="BF942" s="7"/>
      <c r="BG942" s="36"/>
      <c r="BH942" s="36"/>
      <c r="BI942" s="36"/>
      <c r="BJ942" s="36"/>
      <c r="BK942" s="36"/>
      <c r="BL942" s="36"/>
      <c r="BM942" s="36"/>
      <c r="BN942" s="36"/>
      <c r="BO942" s="36"/>
    </row>
    <row r="943" spans="1:67" x14ac:dyDescent="0.25">
      <c r="A943" s="39"/>
      <c r="B943" s="40"/>
      <c r="U943" s="36"/>
      <c r="V943" s="36"/>
      <c r="W943" s="35"/>
      <c r="X943" s="7"/>
      <c r="Y943" s="7"/>
      <c r="Z943" s="7"/>
      <c r="AA943" s="7"/>
      <c r="AB943" s="7"/>
      <c r="AC943" s="7"/>
      <c r="AD943" s="7"/>
      <c r="AE943" s="7"/>
      <c r="AG943" s="36"/>
      <c r="AH943" s="36"/>
      <c r="AI943" s="35"/>
      <c r="AJ943" s="7"/>
      <c r="AK943" s="7"/>
      <c r="AL943" s="7"/>
      <c r="AM943" s="7"/>
      <c r="AN943" s="7"/>
      <c r="AO943" s="7"/>
      <c r="AP943" s="7"/>
      <c r="AQ943" s="7"/>
      <c r="AS943" s="36"/>
      <c r="AT943" s="36"/>
      <c r="AU943" s="35"/>
      <c r="AV943" s="7"/>
      <c r="AW943" s="7"/>
      <c r="AX943" s="7"/>
      <c r="AY943" s="7"/>
      <c r="AZ943" s="7"/>
      <c r="BA943" s="7"/>
      <c r="BB943" s="7"/>
      <c r="BC943" s="7"/>
      <c r="BF943" s="7"/>
      <c r="BG943" s="36"/>
      <c r="BH943" s="36"/>
      <c r="BI943" s="36"/>
      <c r="BJ943" s="36"/>
      <c r="BK943" s="36"/>
      <c r="BL943" s="36"/>
      <c r="BM943" s="36"/>
      <c r="BN943" s="36"/>
      <c r="BO943" s="36"/>
    </row>
    <row r="944" spans="1:67" x14ac:dyDescent="0.25">
      <c r="A944" s="39"/>
      <c r="B944" s="40"/>
      <c r="U944" s="36"/>
      <c r="V944" s="36"/>
      <c r="W944" s="35"/>
      <c r="X944" s="7"/>
      <c r="Y944" s="7"/>
      <c r="Z944" s="7"/>
      <c r="AA944" s="7"/>
      <c r="AB944" s="7"/>
      <c r="AC944" s="7"/>
      <c r="AD944" s="7"/>
      <c r="AE944" s="7"/>
      <c r="AG944" s="36"/>
      <c r="AH944" s="36"/>
      <c r="AI944" s="35"/>
      <c r="AJ944" s="7"/>
      <c r="AK944" s="7"/>
      <c r="AL944" s="7"/>
      <c r="AM944" s="7"/>
      <c r="AN944" s="7"/>
      <c r="AO944" s="7"/>
      <c r="AP944" s="7"/>
      <c r="AQ944" s="7"/>
      <c r="AS944" s="36"/>
      <c r="AT944" s="36"/>
      <c r="AU944" s="35"/>
      <c r="AV944" s="7"/>
      <c r="AW944" s="7"/>
      <c r="AX944" s="7"/>
      <c r="AY944" s="7"/>
      <c r="AZ944" s="7"/>
      <c r="BA944" s="7"/>
      <c r="BB944" s="7"/>
      <c r="BC944" s="7"/>
      <c r="BF944" s="7"/>
      <c r="BG944" s="36"/>
      <c r="BH944" s="36"/>
      <c r="BI944" s="36"/>
      <c r="BJ944" s="36"/>
      <c r="BK944" s="36"/>
      <c r="BL944" s="36"/>
      <c r="BM944" s="36"/>
      <c r="BN944" s="36"/>
      <c r="BO944" s="36"/>
    </row>
    <row r="945" spans="1:67" x14ac:dyDescent="0.25">
      <c r="A945" s="39"/>
      <c r="B945" s="40"/>
      <c r="U945" s="36"/>
      <c r="V945" s="36"/>
      <c r="W945" s="35"/>
      <c r="X945" s="7"/>
      <c r="Y945" s="7"/>
      <c r="Z945" s="7"/>
      <c r="AA945" s="7"/>
      <c r="AB945" s="7"/>
      <c r="AC945" s="7"/>
      <c r="AD945" s="7"/>
      <c r="AE945" s="7"/>
      <c r="AG945" s="36"/>
      <c r="AH945" s="36"/>
      <c r="AI945" s="35"/>
      <c r="AJ945" s="7"/>
      <c r="AK945" s="7"/>
      <c r="AL945" s="7"/>
      <c r="AM945" s="7"/>
      <c r="AN945" s="7"/>
      <c r="AO945" s="7"/>
      <c r="AP945" s="7"/>
      <c r="AQ945" s="7"/>
      <c r="AS945" s="36"/>
      <c r="AT945" s="36"/>
      <c r="AU945" s="35"/>
      <c r="AV945" s="7"/>
      <c r="AW945" s="7"/>
      <c r="AX945" s="7"/>
      <c r="AY945" s="7"/>
      <c r="AZ945" s="7"/>
      <c r="BA945" s="7"/>
      <c r="BB945" s="7"/>
      <c r="BC945" s="7"/>
      <c r="BF945" s="7"/>
      <c r="BG945" s="36"/>
      <c r="BH945" s="36"/>
      <c r="BI945" s="36"/>
      <c r="BJ945" s="36"/>
      <c r="BK945" s="36"/>
      <c r="BL945" s="36"/>
      <c r="BM945" s="36"/>
      <c r="BN945" s="36"/>
      <c r="BO945" s="36"/>
    </row>
    <row r="946" spans="1:67" x14ac:dyDescent="0.25">
      <c r="A946" s="39"/>
      <c r="B946" s="40"/>
      <c r="U946" s="36"/>
      <c r="V946" s="36"/>
      <c r="W946" s="35"/>
      <c r="X946" s="7"/>
      <c r="Y946" s="7"/>
      <c r="Z946" s="7"/>
      <c r="AA946" s="7"/>
      <c r="AB946" s="7"/>
      <c r="AC946" s="7"/>
      <c r="AD946" s="7"/>
      <c r="AE946" s="7"/>
      <c r="AG946" s="36"/>
      <c r="AH946" s="36"/>
      <c r="AI946" s="35"/>
      <c r="AJ946" s="7"/>
      <c r="AK946" s="7"/>
      <c r="AL946" s="7"/>
      <c r="AM946" s="7"/>
      <c r="AN946" s="7"/>
      <c r="AO946" s="7"/>
      <c r="AP946" s="7"/>
      <c r="AQ946" s="7"/>
      <c r="AS946" s="36"/>
      <c r="AT946" s="36"/>
      <c r="AU946" s="35"/>
      <c r="AV946" s="7"/>
      <c r="AW946" s="7"/>
      <c r="AX946" s="7"/>
      <c r="AY946" s="7"/>
      <c r="AZ946" s="7"/>
      <c r="BA946" s="7"/>
      <c r="BB946" s="7"/>
      <c r="BC946" s="7"/>
      <c r="BF946" s="7"/>
      <c r="BG946" s="36"/>
      <c r="BH946" s="36"/>
      <c r="BI946" s="36"/>
      <c r="BJ946" s="36"/>
      <c r="BK946" s="36"/>
      <c r="BL946" s="36"/>
      <c r="BM946" s="36"/>
      <c r="BN946" s="36"/>
      <c r="BO946" s="36"/>
    </row>
    <row r="947" spans="1:67" x14ac:dyDescent="0.25">
      <c r="A947" s="39"/>
      <c r="B947" s="40"/>
      <c r="U947" s="36"/>
      <c r="V947" s="36"/>
      <c r="W947" s="35"/>
      <c r="X947" s="7"/>
      <c r="Y947" s="7"/>
      <c r="Z947" s="7"/>
      <c r="AA947" s="7"/>
      <c r="AB947" s="7"/>
      <c r="AC947" s="7"/>
      <c r="AD947" s="7"/>
      <c r="AE947" s="7"/>
      <c r="AG947" s="36"/>
      <c r="AH947" s="36"/>
      <c r="AI947" s="35"/>
      <c r="AJ947" s="7"/>
      <c r="AK947" s="7"/>
      <c r="AL947" s="7"/>
      <c r="AM947" s="7"/>
      <c r="AN947" s="7"/>
      <c r="AO947" s="7"/>
      <c r="AP947" s="7"/>
      <c r="AQ947" s="7"/>
      <c r="AS947" s="36"/>
      <c r="AT947" s="36"/>
      <c r="AU947" s="35"/>
      <c r="AV947" s="7"/>
      <c r="AW947" s="7"/>
      <c r="AX947" s="7"/>
      <c r="AY947" s="7"/>
      <c r="AZ947" s="7"/>
      <c r="BA947" s="7"/>
      <c r="BB947" s="7"/>
      <c r="BC947" s="7"/>
      <c r="BF947" s="7"/>
      <c r="BG947" s="36"/>
      <c r="BH947" s="36"/>
      <c r="BI947" s="36"/>
      <c r="BJ947" s="36"/>
      <c r="BK947" s="36"/>
      <c r="BL947" s="36"/>
      <c r="BM947" s="36"/>
      <c r="BN947" s="36"/>
      <c r="BO947" s="36"/>
    </row>
    <row r="948" spans="1:67" x14ac:dyDescent="0.25">
      <c r="A948" s="39"/>
      <c r="B948" s="40"/>
      <c r="U948" s="36"/>
      <c r="V948" s="36"/>
      <c r="W948" s="35"/>
      <c r="X948" s="7"/>
      <c r="Y948" s="7"/>
      <c r="Z948" s="7"/>
      <c r="AA948" s="7"/>
      <c r="AB948" s="7"/>
      <c r="AC948" s="7"/>
      <c r="AD948" s="7"/>
      <c r="AE948" s="7"/>
      <c r="AG948" s="36"/>
      <c r="AH948" s="36"/>
      <c r="AI948" s="35"/>
      <c r="AJ948" s="7"/>
      <c r="AK948" s="7"/>
      <c r="AL948" s="7"/>
      <c r="AM948" s="7"/>
      <c r="AN948" s="7"/>
      <c r="AO948" s="7"/>
      <c r="AP948" s="7"/>
      <c r="AQ948" s="7"/>
      <c r="AS948" s="36"/>
      <c r="AT948" s="36"/>
      <c r="AU948" s="35"/>
      <c r="AV948" s="7"/>
      <c r="AW948" s="7"/>
      <c r="AX948" s="7"/>
      <c r="AY948" s="7"/>
      <c r="AZ948" s="7"/>
      <c r="BA948" s="7"/>
      <c r="BB948" s="7"/>
      <c r="BC948" s="7"/>
      <c r="BF948" s="7"/>
      <c r="BG948" s="36"/>
      <c r="BH948" s="36"/>
      <c r="BI948" s="36"/>
      <c r="BJ948" s="36"/>
      <c r="BK948" s="36"/>
      <c r="BL948" s="36"/>
      <c r="BM948" s="36"/>
      <c r="BN948" s="36"/>
      <c r="BO948" s="36"/>
    </row>
    <row r="949" spans="1:67" x14ac:dyDescent="0.25">
      <c r="A949" s="39"/>
      <c r="B949" s="40"/>
      <c r="U949" s="36"/>
      <c r="V949" s="36"/>
      <c r="W949" s="35"/>
      <c r="X949" s="7"/>
      <c r="Y949" s="7"/>
      <c r="Z949" s="7"/>
      <c r="AA949" s="7"/>
      <c r="AB949" s="7"/>
      <c r="AC949" s="7"/>
      <c r="AD949" s="7"/>
      <c r="AE949" s="7"/>
      <c r="AG949" s="36"/>
      <c r="AH949" s="36"/>
      <c r="AI949" s="35"/>
      <c r="AJ949" s="7"/>
      <c r="AK949" s="7"/>
      <c r="AL949" s="7"/>
      <c r="AM949" s="7"/>
      <c r="AN949" s="7"/>
      <c r="AO949" s="7"/>
      <c r="AP949" s="7"/>
      <c r="AQ949" s="7"/>
      <c r="AS949" s="36"/>
      <c r="AT949" s="36"/>
      <c r="AU949" s="35"/>
      <c r="AV949" s="7"/>
      <c r="AW949" s="7"/>
      <c r="AX949" s="7"/>
      <c r="AY949" s="7"/>
      <c r="AZ949" s="7"/>
      <c r="BA949" s="7"/>
      <c r="BB949" s="7"/>
      <c r="BC949" s="7"/>
      <c r="BF949" s="7"/>
      <c r="BG949" s="36"/>
      <c r="BH949" s="36"/>
      <c r="BI949" s="36"/>
      <c r="BJ949" s="36"/>
      <c r="BK949" s="36"/>
      <c r="BL949" s="36"/>
      <c r="BM949" s="36"/>
      <c r="BN949" s="36"/>
      <c r="BO949" s="36"/>
    </row>
    <row r="950" spans="1:67" x14ac:dyDescent="0.25">
      <c r="A950" s="39"/>
      <c r="B950" s="40"/>
      <c r="U950" s="36"/>
      <c r="V950" s="36"/>
      <c r="W950" s="35"/>
      <c r="X950" s="7"/>
      <c r="Y950" s="7"/>
      <c r="Z950" s="7"/>
      <c r="AA950" s="7"/>
      <c r="AB950" s="7"/>
      <c r="AC950" s="7"/>
      <c r="AD950" s="7"/>
      <c r="AE950" s="7"/>
      <c r="AG950" s="36"/>
      <c r="AH950" s="36"/>
      <c r="AI950" s="35"/>
      <c r="AJ950" s="7"/>
      <c r="AK950" s="7"/>
      <c r="AL950" s="7"/>
      <c r="AM950" s="7"/>
      <c r="AN950" s="7"/>
      <c r="AO950" s="7"/>
      <c r="AP950" s="7"/>
      <c r="AQ950" s="7"/>
      <c r="AS950" s="36"/>
      <c r="AT950" s="36"/>
      <c r="AU950" s="35"/>
      <c r="AV950" s="7"/>
      <c r="AW950" s="7"/>
      <c r="AX950" s="7"/>
      <c r="AY950" s="7"/>
      <c r="AZ950" s="7"/>
      <c r="BA950" s="7"/>
      <c r="BB950" s="7"/>
      <c r="BC950" s="7"/>
      <c r="BF950" s="7"/>
      <c r="BG950" s="36"/>
      <c r="BH950" s="36"/>
      <c r="BI950" s="36"/>
      <c r="BJ950" s="36"/>
      <c r="BK950" s="36"/>
      <c r="BL950" s="36"/>
      <c r="BM950" s="36"/>
      <c r="BN950" s="36"/>
      <c r="BO950" s="36"/>
    </row>
    <row r="951" spans="1:67" x14ac:dyDescent="0.25">
      <c r="A951" s="39"/>
      <c r="B951" s="40"/>
      <c r="U951" s="36"/>
      <c r="V951" s="36"/>
      <c r="W951" s="35"/>
      <c r="X951" s="7"/>
      <c r="Y951" s="7"/>
      <c r="Z951" s="7"/>
      <c r="AA951" s="7"/>
      <c r="AB951" s="7"/>
      <c r="AC951" s="7"/>
      <c r="AD951" s="7"/>
      <c r="AE951" s="7"/>
      <c r="AG951" s="36"/>
      <c r="AH951" s="36"/>
      <c r="AI951" s="35"/>
      <c r="AJ951" s="7"/>
      <c r="AK951" s="7"/>
      <c r="AL951" s="7"/>
      <c r="AM951" s="7"/>
      <c r="AN951" s="7"/>
      <c r="AO951" s="7"/>
      <c r="AP951" s="7"/>
      <c r="AQ951" s="7"/>
      <c r="AS951" s="36"/>
      <c r="AT951" s="36"/>
      <c r="AU951" s="35"/>
      <c r="AV951" s="7"/>
      <c r="AW951" s="7"/>
      <c r="AX951" s="7"/>
      <c r="AY951" s="7"/>
      <c r="AZ951" s="7"/>
      <c r="BA951" s="7"/>
      <c r="BB951" s="7"/>
      <c r="BC951" s="7"/>
      <c r="BF951" s="7"/>
      <c r="BG951" s="36"/>
      <c r="BH951" s="36"/>
      <c r="BI951" s="36"/>
      <c r="BJ951" s="36"/>
      <c r="BK951" s="36"/>
      <c r="BL951" s="36"/>
      <c r="BM951" s="36"/>
      <c r="BN951" s="36"/>
      <c r="BO951" s="36"/>
    </row>
    <row r="952" spans="1:67" x14ac:dyDescent="0.25">
      <c r="A952" s="39"/>
      <c r="B952" s="40"/>
      <c r="U952" s="36"/>
      <c r="V952" s="36"/>
      <c r="W952" s="35"/>
      <c r="X952" s="7"/>
      <c r="Y952" s="7"/>
      <c r="Z952" s="7"/>
      <c r="AA952" s="7"/>
      <c r="AB952" s="7"/>
      <c r="AC952" s="7"/>
      <c r="AD952" s="7"/>
      <c r="AE952" s="7"/>
      <c r="AG952" s="36"/>
      <c r="AH952" s="36"/>
      <c r="AI952" s="35"/>
      <c r="AJ952" s="7"/>
      <c r="AK952" s="7"/>
      <c r="AL952" s="7"/>
      <c r="AM952" s="7"/>
      <c r="AN952" s="7"/>
      <c r="AO952" s="7"/>
      <c r="AP952" s="7"/>
      <c r="AQ952" s="7"/>
      <c r="AS952" s="36"/>
      <c r="AT952" s="36"/>
      <c r="AU952" s="35"/>
      <c r="AV952" s="7"/>
      <c r="AW952" s="7"/>
      <c r="AX952" s="7"/>
      <c r="AY952" s="7"/>
      <c r="AZ952" s="7"/>
      <c r="BA952" s="7"/>
      <c r="BB952" s="7"/>
      <c r="BC952" s="7"/>
      <c r="BF952" s="7"/>
      <c r="BG952" s="36"/>
      <c r="BH952" s="36"/>
      <c r="BI952" s="36"/>
      <c r="BJ952" s="36"/>
      <c r="BK952" s="36"/>
      <c r="BL952" s="36"/>
      <c r="BM952" s="36"/>
      <c r="BN952" s="36"/>
      <c r="BO952" s="36"/>
    </row>
    <row r="953" spans="1:67" x14ac:dyDescent="0.25">
      <c r="A953" s="39"/>
      <c r="B953" s="40"/>
      <c r="U953" s="36"/>
      <c r="V953" s="36"/>
      <c r="W953" s="35"/>
      <c r="X953" s="7"/>
      <c r="Y953" s="7"/>
      <c r="Z953" s="7"/>
      <c r="AA953" s="7"/>
      <c r="AB953" s="7"/>
      <c r="AC953" s="7"/>
      <c r="AD953" s="7"/>
      <c r="AE953" s="7"/>
      <c r="AG953" s="36"/>
      <c r="AH953" s="36"/>
      <c r="AI953" s="35"/>
      <c r="AJ953" s="7"/>
      <c r="AK953" s="7"/>
      <c r="AL953" s="7"/>
      <c r="AM953" s="7"/>
      <c r="AN953" s="7"/>
      <c r="AO953" s="7"/>
      <c r="AP953" s="7"/>
      <c r="AQ953" s="7"/>
      <c r="AS953" s="36"/>
      <c r="AT953" s="36"/>
      <c r="AU953" s="35"/>
      <c r="AV953" s="7"/>
      <c r="AW953" s="7"/>
      <c r="AX953" s="7"/>
      <c r="AY953" s="7"/>
      <c r="AZ953" s="7"/>
      <c r="BA953" s="7"/>
      <c r="BB953" s="7"/>
      <c r="BC953" s="7"/>
      <c r="BF953" s="7"/>
      <c r="BG953" s="36"/>
      <c r="BH953" s="36"/>
      <c r="BI953" s="36"/>
      <c r="BJ953" s="36"/>
      <c r="BK953" s="36"/>
      <c r="BL953" s="36"/>
      <c r="BM953" s="36"/>
      <c r="BN953" s="36"/>
      <c r="BO953" s="36"/>
    </row>
    <row r="954" spans="1:67" x14ac:dyDescent="0.25">
      <c r="A954" s="39"/>
      <c r="B954" s="40"/>
      <c r="U954" s="36"/>
      <c r="V954" s="36"/>
      <c r="W954" s="35"/>
      <c r="X954" s="7"/>
      <c r="Y954" s="7"/>
      <c r="Z954" s="7"/>
      <c r="AA954" s="7"/>
      <c r="AB954" s="7"/>
      <c r="AC954" s="7"/>
      <c r="AD954" s="7"/>
      <c r="AE954" s="7"/>
      <c r="AG954" s="36"/>
      <c r="AH954" s="36"/>
      <c r="AI954" s="35"/>
      <c r="AJ954" s="7"/>
      <c r="AK954" s="7"/>
      <c r="AL954" s="7"/>
      <c r="AM954" s="7"/>
      <c r="AN954" s="7"/>
      <c r="AO954" s="7"/>
      <c r="AP954" s="7"/>
      <c r="AQ954" s="7"/>
      <c r="AS954" s="36"/>
      <c r="AT954" s="36"/>
      <c r="AU954" s="35"/>
      <c r="AV954" s="7"/>
      <c r="AW954" s="7"/>
      <c r="AX954" s="7"/>
      <c r="AY954" s="7"/>
      <c r="AZ954" s="7"/>
      <c r="BA954" s="7"/>
      <c r="BB954" s="7"/>
      <c r="BC954" s="7"/>
      <c r="BF954" s="7"/>
      <c r="BG954" s="36"/>
      <c r="BH954" s="36"/>
      <c r="BI954" s="36"/>
      <c r="BJ954" s="36"/>
      <c r="BK954" s="36"/>
      <c r="BL954" s="36"/>
      <c r="BM954" s="36"/>
      <c r="BN954" s="36"/>
      <c r="BO954" s="36"/>
    </row>
    <row r="955" spans="1:67" x14ac:dyDescent="0.25">
      <c r="A955" s="39"/>
      <c r="B955" s="40"/>
      <c r="U955" s="36"/>
      <c r="V955" s="36"/>
      <c r="W955" s="35"/>
      <c r="X955" s="7"/>
      <c r="Y955" s="7"/>
      <c r="Z955" s="7"/>
      <c r="AA955" s="7"/>
      <c r="AB955" s="7"/>
      <c r="AC955" s="7"/>
      <c r="AD955" s="7"/>
      <c r="AE955" s="7"/>
      <c r="AG955" s="36"/>
      <c r="AH955" s="36"/>
      <c r="AI955" s="35"/>
      <c r="AJ955" s="7"/>
      <c r="AK955" s="7"/>
      <c r="AL955" s="7"/>
      <c r="AM955" s="7"/>
      <c r="AN955" s="7"/>
      <c r="AO955" s="7"/>
      <c r="AP955" s="7"/>
      <c r="AQ955" s="7"/>
      <c r="AS955" s="36"/>
      <c r="AT955" s="36"/>
      <c r="AU955" s="35"/>
      <c r="AV955" s="7"/>
      <c r="AW955" s="7"/>
      <c r="AX955" s="7"/>
      <c r="AY955" s="7"/>
      <c r="AZ955" s="7"/>
      <c r="BA955" s="7"/>
      <c r="BB955" s="7"/>
      <c r="BC955" s="7"/>
      <c r="BF955" s="7"/>
      <c r="BG955" s="36"/>
      <c r="BH955" s="36"/>
      <c r="BI955" s="36"/>
      <c r="BJ955" s="36"/>
      <c r="BK955" s="36"/>
      <c r="BL955" s="36"/>
      <c r="BM955" s="36"/>
      <c r="BN955" s="36"/>
      <c r="BO955" s="36"/>
    </row>
    <row r="956" spans="1:67" x14ac:dyDescent="0.25">
      <c r="A956" s="39"/>
      <c r="B956" s="40"/>
      <c r="U956" s="36"/>
      <c r="V956" s="36"/>
      <c r="W956" s="35"/>
      <c r="X956" s="7"/>
      <c r="Y956" s="7"/>
      <c r="Z956" s="7"/>
      <c r="AA956" s="7"/>
      <c r="AB956" s="7"/>
      <c r="AC956" s="7"/>
      <c r="AD956" s="7"/>
      <c r="AE956" s="7"/>
      <c r="AG956" s="36"/>
      <c r="AH956" s="36"/>
      <c r="AI956" s="35"/>
      <c r="AJ956" s="7"/>
      <c r="AK956" s="7"/>
      <c r="AL956" s="7"/>
      <c r="AM956" s="7"/>
      <c r="AN956" s="7"/>
      <c r="AO956" s="7"/>
      <c r="AP956" s="7"/>
      <c r="AQ956" s="7"/>
      <c r="AS956" s="36"/>
      <c r="AT956" s="36"/>
      <c r="AU956" s="35"/>
      <c r="AV956" s="7"/>
      <c r="AW956" s="7"/>
      <c r="AX956" s="7"/>
      <c r="AY956" s="7"/>
      <c r="AZ956" s="7"/>
      <c r="BA956" s="7"/>
      <c r="BB956" s="7"/>
      <c r="BC956" s="7"/>
      <c r="BF956" s="7"/>
      <c r="BG956" s="36"/>
      <c r="BH956" s="36"/>
      <c r="BI956" s="36"/>
      <c r="BJ956" s="36"/>
      <c r="BK956" s="36"/>
      <c r="BL956" s="36"/>
      <c r="BM956" s="36"/>
      <c r="BN956" s="36"/>
      <c r="BO956" s="36"/>
    </row>
    <row r="957" spans="1:67" x14ac:dyDescent="0.25">
      <c r="A957" s="39"/>
      <c r="B957" s="40"/>
      <c r="U957" s="36"/>
      <c r="V957" s="36"/>
      <c r="W957" s="35"/>
      <c r="X957" s="7"/>
      <c r="Y957" s="7"/>
      <c r="Z957" s="7"/>
      <c r="AA957" s="7"/>
      <c r="AB957" s="7"/>
      <c r="AC957" s="7"/>
      <c r="AD957" s="7"/>
      <c r="AE957" s="7"/>
      <c r="AG957" s="36"/>
      <c r="AH957" s="36"/>
      <c r="AI957" s="35"/>
      <c r="AJ957" s="7"/>
      <c r="AK957" s="7"/>
      <c r="AL957" s="7"/>
      <c r="AM957" s="7"/>
      <c r="AN957" s="7"/>
      <c r="AO957" s="7"/>
      <c r="AP957" s="7"/>
      <c r="AQ957" s="7"/>
      <c r="AS957" s="36"/>
      <c r="AT957" s="36"/>
      <c r="AU957" s="35"/>
      <c r="AV957" s="7"/>
      <c r="AW957" s="7"/>
      <c r="AX957" s="7"/>
      <c r="AY957" s="7"/>
      <c r="AZ957" s="7"/>
      <c r="BA957" s="7"/>
      <c r="BB957" s="7"/>
      <c r="BC957" s="7"/>
      <c r="BF957" s="7"/>
      <c r="BG957" s="36"/>
      <c r="BH957" s="36"/>
      <c r="BI957" s="36"/>
      <c r="BJ957" s="36"/>
      <c r="BK957" s="36"/>
      <c r="BL957" s="36"/>
      <c r="BM957" s="36"/>
      <c r="BN957" s="36"/>
      <c r="BO957" s="36"/>
    </row>
    <row r="958" spans="1:67" x14ac:dyDescent="0.25">
      <c r="A958" s="39"/>
      <c r="B958" s="40"/>
      <c r="U958" s="36"/>
      <c r="V958" s="36"/>
      <c r="W958" s="35"/>
      <c r="X958" s="7"/>
      <c r="Y958" s="7"/>
      <c r="Z958" s="7"/>
      <c r="AA958" s="7"/>
      <c r="AB958" s="7"/>
      <c r="AC958" s="7"/>
      <c r="AD958" s="7"/>
      <c r="AE958" s="7"/>
      <c r="AG958" s="36"/>
      <c r="AH958" s="36"/>
      <c r="AI958" s="35"/>
      <c r="AJ958" s="7"/>
      <c r="AK958" s="7"/>
      <c r="AL958" s="7"/>
      <c r="AM958" s="7"/>
      <c r="AN958" s="7"/>
      <c r="AO958" s="7"/>
      <c r="AP958" s="7"/>
      <c r="AQ958" s="7"/>
      <c r="AS958" s="36"/>
      <c r="AT958" s="36"/>
      <c r="AU958" s="35"/>
      <c r="AV958" s="7"/>
      <c r="AW958" s="7"/>
      <c r="AX958" s="7"/>
      <c r="AY958" s="7"/>
      <c r="AZ958" s="7"/>
      <c r="BA958" s="7"/>
      <c r="BB958" s="7"/>
      <c r="BC958" s="7"/>
      <c r="BF958" s="7"/>
      <c r="BG958" s="36"/>
      <c r="BH958" s="36"/>
      <c r="BI958" s="36"/>
      <c r="BJ958" s="36"/>
      <c r="BK958" s="36"/>
      <c r="BL958" s="36"/>
      <c r="BM958" s="36"/>
      <c r="BN958" s="36"/>
      <c r="BO958" s="36"/>
    </row>
    <row r="959" spans="1:67" x14ac:dyDescent="0.25">
      <c r="A959" s="39"/>
      <c r="B959" s="40"/>
      <c r="U959" s="36"/>
      <c r="V959" s="36"/>
      <c r="W959" s="35"/>
      <c r="X959" s="7"/>
      <c r="Y959" s="7"/>
      <c r="Z959" s="7"/>
      <c r="AA959" s="7"/>
      <c r="AB959" s="7"/>
      <c r="AC959" s="7"/>
      <c r="AD959" s="7"/>
      <c r="AE959" s="7"/>
      <c r="AG959" s="36"/>
      <c r="AH959" s="36"/>
      <c r="AI959" s="35"/>
      <c r="AJ959" s="7"/>
      <c r="AK959" s="7"/>
      <c r="AL959" s="7"/>
      <c r="AM959" s="7"/>
      <c r="AN959" s="7"/>
      <c r="AO959" s="7"/>
      <c r="AP959" s="7"/>
      <c r="AQ959" s="7"/>
      <c r="AS959" s="36"/>
      <c r="AT959" s="36"/>
      <c r="AU959" s="35"/>
      <c r="AV959" s="7"/>
      <c r="AW959" s="7"/>
      <c r="AX959" s="7"/>
      <c r="AY959" s="7"/>
      <c r="AZ959" s="7"/>
      <c r="BA959" s="7"/>
      <c r="BB959" s="7"/>
      <c r="BC959" s="7"/>
      <c r="BF959" s="7"/>
      <c r="BG959" s="36"/>
      <c r="BH959" s="36"/>
      <c r="BI959" s="36"/>
      <c r="BJ959" s="36"/>
      <c r="BK959" s="36"/>
      <c r="BL959" s="36"/>
      <c r="BM959" s="36"/>
      <c r="BN959" s="36"/>
      <c r="BO959" s="36"/>
    </row>
    <row r="960" spans="1:67" x14ac:dyDescent="0.25">
      <c r="A960" s="39"/>
      <c r="B960" s="40"/>
      <c r="U960" s="36"/>
      <c r="V960" s="36"/>
      <c r="W960" s="35"/>
      <c r="X960" s="7"/>
      <c r="Y960" s="7"/>
      <c r="Z960" s="7"/>
      <c r="AA960" s="7"/>
      <c r="AB960" s="7"/>
      <c r="AC960" s="7"/>
      <c r="AD960" s="7"/>
      <c r="AE960" s="7"/>
      <c r="AG960" s="36"/>
      <c r="AH960" s="36"/>
      <c r="AI960" s="35"/>
      <c r="AJ960" s="7"/>
      <c r="AK960" s="7"/>
      <c r="AL960" s="7"/>
      <c r="AM960" s="7"/>
      <c r="AN960" s="7"/>
      <c r="AO960" s="7"/>
      <c r="AP960" s="7"/>
      <c r="AQ960" s="7"/>
      <c r="AS960" s="36"/>
      <c r="AT960" s="36"/>
      <c r="AU960" s="35"/>
      <c r="AV960" s="7"/>
      <c r="AW960" s="7"/>
      <c r="AX960" s="7"/>
      <c r="AY960" s="7"/>
      <c r="AZ960" s="7"/>
      <c r="BA960" s="7"/>
      <c r="BB960" s="7"/>
      <c r="BC960" s="7"/>
      <c r="BF960" s="7"/>
      <c r="BG960" s="36"/>
      <c r="BH960" s="36"/>
      <c r="BI960" s="36"/>
      <c r="BJ960" s="36"/>
      <c r="BK960" s="36"/>
      <c r="BL960" s="36"/>
      <c r="BM960" s="36"/>
      <c r="BN960" s="36"/>
      <c r="BO960" s="36"/>
    </row>
    <row r="961" spans="1:67" x14ac:dyDescent="0.25">
      <c r="A961" s="39"/>
      <c r="B961" s="40"/>
      <c r="U961" s="36"/>
      <c r="V961" s="36"/>
      <c r="W961" s="35"/>
      <c r="X961" s="7"/>
      <c r="Y961" s="7"/>
      <c r="Z961" s="7"/>
      <c r="AA961" s="7"/>
      <c r="AB961" s="7"/>
      <c r="AC961" s="7"/>
      <c r="AD961" s="7"/>
      <c r="AE961" s="7"/>
      <c r="AG961" s="36"/>
      <c r="AH961" s="36"/>
      <c r="AI961" s="35"/>
      <c r="AJ961" s="7"/>
      <c r="AK961" s="7"/>
      <c r="AL961" s="7"/>
      <c r="AM961" s="7"/>
      <c r="AN961" s="7"/>
      <c r="AO961" s="7"/>
      <c r="AP961" s="7"/>
      <c r="AQ961" s="7"/>
      <c r="AS961" s="36"/>
      <c r="AT961" s="36"/>
      <c r="AU961" s="35"/>
      <c r="AV961" s="7"/>
      <c r="AW961" s="7"/>
      <c r="AX961" s="7"/>
      <c r="AY961" s="7"/>
      <c r="AZ961" s="7"/>
      <c r="BA961" s="7"/>
      <c r="BB961" s="7"/>
      <c r="BC961" s="7"/>
      <c r="BF961" s="7"/>
      <c r="BG961" s="36"/>
      <c r="BH961" s="36"/>
      <c r="BI961" s="36"/>
      <c r="BJ961" s="36"/>
      <c r="BK961" s="36"/>
      <c r="BL961" s="36"/>
      <c r="BM961" s="36"/>
      <c r="BN961" s="36"/>
      <c r="BO961" s="36"/>
    </row>
    <row r="962" spans="1:67" x14ac:dyDescent="0.25">
      <c r="A962" s="39"/>
      <c r="B962" s="40"/>
      <c r="U962" s="36"/>
      <c r="V962" s="36"/>
      <c r="W962" s="35"/>
      <c r="X962" s="7"/>
      <c r="Y962" s="7"/>
      <c r="Z962" s="7"/>
      <c r="AA962" s="7"/>
      <c r="AB962" s="7"/>
      <c r="AC962" s="7"/>
      <c r="AD962" s="7"/>
      <c r="AE962" s="7"/>
      <c r="AG962" s="36"/>
      <c r="AH962" s="36"/>
      <c r="AI962" s="35"/>
      <c r="AJ962" s="7"/>
      <c r="AK962" s="7"/>
      <c r="AL962" s="7"/>
      <c r="AM962" s="7"/>
      <c r="AN962" s="7"/>
      <c r="AO962" s="7"/>
      <c r="AP962" s="7"/>
      <c r="AQ962" s="7"/>
      <c r="AS962" s="36"/>
      <c r="AT962" s="36"/>
      <c r="AU962" s="35"/>
      <c r="AV962" s="7"/>
      <c r="AW962" s="7"/>
      <c r="AX962" s="7"/>
      <c r="AY962" s="7"/>
      <c r="AZ962" s="7"/>
      <c r="BA962" s="7"/>
      <c r="BB962" s="7"/>
      <c r="BC962" s="7"/>
      <c r="BF962" s="7"/>
      <c r="BG962" s="36"/>
      <c r="BH962" s="36"/>
      <c r="BI962" s="36"/>
      <c r="BJ962" s="36"/>
      <c r="BK962" s="36"/>
      <c r="BL962" s="36"/>
      <c r="BM962" s="36"/>
      <c r="BN962" s="36"/>
      <c r="BO962" s="36"/>
    </row>
    <row r="963" spans="1:67" x14ac:dyDescent="0.25">
      <c r="A963" s="39"/>
      <c r="B963" s="40"/>
      <c r="U963" s="36"/>
      <c r="V963" s="36"/>
      <c r="W963" s="35"/>
      <c r="X963" s="7"/>
      <c r="Y963" s="7"/>
      <c r="Z963" s="7"/>
      <c r="AA963" s="7"/>
      <c r="AB963" s="7"/>
      <c r="AC963" s="7"/>
      <c r="AD963" s="7"/>
      <c r="AE963" s="7"/>
      <c r="AG963" s="36"/>
      <c r="AH963" s="36"/>
      <c r="AI963" s="35"/>
      <c r="AJ963" s="7"/>
      <c r="AK963" s="7"/>
      <c r="AL963" s="7"/>
      <c r="AM963" s="7"/>
      <c r="AN963" s="7"/>
      <c r="AO963" s="7"/>
      <c r="AP963" s="7"/>
      <c r="AQ963" s="7"/>
      <c r="AS963" s="36"/>
      <c r="AT963" s="36"/>
      <c r="AU963" s="35"/>
      <c r="AV963" s="7"/>
      <c r="AW963" s="7"/>
      <c r="AX963" s="7"/>
      <c r="AY963" s="7"/>
      <c r="AZ963" s="7"/>
      <c r="BA963" s="7"/>
      <c r="BB963" s="7"/>
      <c r="BC963" s="7"/>
      <c r="BF963" s="7"/>
      <c r="BG963" s="36"/>
      <c r="BH963" s="36"/>
      <c r="BI963" s="36"/>
      <c r="BJ963" s="36"/>
      <c r="BK963" s="36"/>
      <c r="BL963" s="36"/>
      <c r="BM963" s="36"/>
      <c r="BN963" s="36"/>
      <c r="BO963" s="36"/>
    </row>
    <row r="964" spans="1:67" x14ac:dyDescent="0.25">
      <c r="A964" s="39"/>
      <c r="B964" s="40"/>
      <c r="U964" s="36"/>
      <c r="V964" s="36"/>
      <c r="W964" s="35"/>
      <c r="X964" s="7"/>
      <c r="Y964" s="7"/>
      <c r="Z964" s="7"/>
      <c r="AA964" s="7"/>
      <c r="AB964" s="7"/>
      <c r="AC964" s="7"/>
      <c r="AD964" s="7"/>
      <c r="AE964" s="7"/>
      <c r="AG964" s="36"/>
      <c r="AH964" s="36"/>
      <c r="AI964" s="35"/>
      <c r="AJ964" s="7"/>
      <c r="AK964" s="7"/>
      <c r="AL964" s="7"/>
      <c r="AM964" s="7"/>
      <c r="AN964" s="7"/>
      <c r="AO964" s="7"/>
      <c r="AP964" s="7"/>
      <c r="AQ964" s="7"/>
      <c r="AS964" s="36"/>
      <c r="AT964" s="36"/>
      <c r="AU964" s="35"/>
      <c r="AV964" s="7"/>
      <c r="AW964" s="7"/>
      <c r="AX964" s="7"/>
      <c r="AY964" s="7"/>
      <c r="AZ964" s="7"/>
      <c r="BA964" s="7"/>
      <c r="BB964" s="7"/>
      <c r="BC964" s="7"/>
      <c r="BF964" s="7"/>
      <c r="BG964" s="36"/>
      <c r="BH964" s="36"/>
      <c r="BI964" s="36"/>
      <c r="BJ964" s="36"/>
      <c r="BK964" s="36"/>
      <c r="BL964" s="36"/>
      <c r="BM964" s="36"/>
      <c r="BN964" s="36"/>
      <c r="BO964" s="36"/>
    </row>
    <row r="965" spans="1:67" x14ac:dyDescent="0.25">
      <c r="A965" s="39"/>
      <c r="B965" s="40"/>
      <c r="U965" s="36"/>
      <c r="V965" s="36"/>
      <c r="W965" s="35"/>
      <c r="X965" s="7"/>
      <c r="Y965" s="7"/>
      <c r="Z965" s="7"/>
      <c r="AA965" s="7"/>
      <c r="AB965" s="7"/>
      <c r="AC965" s="7"/>
      <c r="AD965" s="7"/>
      <c r="AE965" s="7"/>
      <c r="AG965" s="36"/>
      <c r="AH965" s="36"/>
      <c r="AI965" s="35"/>
      <c r="AJ965" s="7"/>
      <c r="AK965" s="7"/>
      <c r="AL965" s="7"/>
      <c r="AM965" s="7"/>
      <c r="AN965" s="7"/>
      <c r="AO965" s="7"/>
      <c r="AP965" s="7"/>
      <c r="AQ965" s="7"/>
      <c r="AS965" s="36"/>
      <c r="AT965" s="36"/>
      <c r="AU965" s="35"/>
      <c r="AV965" s="7"/>
      <c r="AW965" s="7"/>
      <c r="AX965" s="7"/>
      <c r="AY965" s="7"/>
      <c r="AZ965" s="7"/>
      <c r="BA965" s="7"/>
      <c r="BB965" s="7"/>
      <c r="BC965" s="7"/>
      <c r="BF965" s="7"/>
      <c r="BG965" s="36"/>
      <c r="BH965" s="36"/>
      <c r="BI965" s="36"/>
      <c r="BJ965" s="36"/>
      <c r="BK965" s="36"/>
      <c r="BL965" s="36"/>
      <c r="BM965" s="36"/>
      <c r="BN965" s="36"/>
      <c r="BO965" s="36"/>
    </row>
    <row r="966" spans="1:67" x14ac:dyDescent="0.25">
      <c r="A966" s="39"/>
      <c r="B966" s="40"/>
      <c r="U966" s="36"/>
      <c r="V966" s="36"/>
      <c r="W966" s="35"/>
      <c r="X966" s="7"/>
      <c r="Y966" s="7"/>
      <c r="Z966" s="7"/>
      <c r="AA966" s="7"/>
      <c r="AB966" s="7"/>
      <c r="AC966" s="7"/>
      <c r="AD966" s="7"/>
      <c r="AE966" s="7"/>
      <c r="AG966" s="36"/>
      <c r="AH966" s="36"/>
      <c r="AI966" s="35"/>
      <c r="AJ966" s="7"/>
      <c r="AK966" s="7"/>
      <c r="AL966" s="7"/>
      <c r="AM966" s="7"/>
      <c r="AN966" s="7"/>
      <c r="AO966" s="7"/>
      <c r="AP966" s="7"/>
      <c r="AQ966" s="7"/>
      <c r="AS966" s="36"/>
      <c r="AT966" s="36"/>
      <c r="AU966" s="35"/>
      <c r="AV966" s="7"/>
      <c r="AW966" s="7"/>
      <c r="AX966" s="7"/>
      <c r="AY966" s="7"/>
      <c r="AZ966" s="7"/>
      <c r="BA966" s="7"/>
      <c r="BB966" s="7"/>
      <c r="BC966" s="7"/>
      <c r="BF966" s="7"/>
      <c r="BG966" s="36"/>
      <c r="BH966" s="36"/>
      <c r="BI966" s="36"/>
      <c r="BJ966" s="36"/>
      <c r="BK966" s="36"/>
      <c r="BL966" s="36"/>
      <c r="BM966" s="36"/>
      <c r="BN966" s="36"/>
      <c r="BO966" s="36"/>
    </row>
    <row r="967" spans="1:67" x14ac:dyDescent="0.25">
      <c r="A967" s="39"/>
      <c r="B967" s="40"/>
      <c r="U967" s="36"/>
      <c r="V967" s="36"/>
      <c r="W967" s="35"/>
      <c r="X967" s="7"/>
      <c r="Y967" s="7"/>
      <c r="Z967" s="7"/>
      <c r="AA967" s="7"/>
      <c r="AB967" s="7"/>
      <c r="AC967" s="7"/>
      <c r="AD967" s="7"/>
      <c r="AE967" s="7"/>
      <c r="AG967" s="36"/>
      <c r="AH967" s="36"/>
      <c r="AI967" s="35"/>
      <c r="AJ967" s="7"/>
      <c r="AK967" s="7"/>
      <c r="AL967" s="7"/>
      <c r="AM967" s="7"/>
      <c r="AN967" s="7"/>
      <c r="AO967" s="7"/>
      <c r="AP967" s="7"/>
      <c r="AQ967" s="7"/>
      <c r="AS967" s="36"/>
      <c r="AT967" s="36"/>
      <c r="AU967" s="35"/>
      <c r="AV967" s="7"/>
      <c r="AW967" s="7"/>
      <c r="AX967" s="7"/>
      <c r="AY967" s="7"/>
      <c r="AZ967" s="7"/>
      <c r="BA967" s="7"/>
      <c r="BB967" s="7"/>
      <c r="BC967" s="7"/>
      <c r="BF967" s="7"/>
      <c r="BG967" s="36"/>
      <c r="BH967" s="36"/>
      <c r="BI967" s="36"/>
      <c r="BJ967" s="36"/>
      <c r="BK967" s="36"/>
      <c r="BL967" s="36"/>
      <c r="BM967" s="36"/>
      <c r="BN967" s="36"/>
      <c r="BO967" s="36"/>
    </row>
    <row r="968" spans="1:67" x14ac:dyDescent="0.25">
      <c r="A968" s="39"/>
      <c r="B968" s="40"/>
      <c r="U968" s="36"/>
      <c r="V968" s="36"/>
      <c r="W968" s="35"/>
      <c r="X968" s="7"/>
      <c r="Y968" s="7"/>
      <c r="Z968" s="7"/>
      <c r="AA968" s="7"/>
      <c r="AB968" s="7"/>
      <c r="AC968" s="7"/>
      <c r="AD968" s="7"/>
      <c r="AE968" s="7"/>
      <c r="AG968" s="36"/>
      <c r="AH968" s="36"/>
      <c r="AI968" s="35"/>
      <c r="AJ968" s="7"/>
      <c r="AK968" s="7"/>
      <c r="AL968" s="7"/>
      <c r="AM968" s="7"/>
      <c r="AN968" s="7"/>
      <c r="AO968" s="7"/>
      <c r="AP968" s="7"/>
      <c r="AQ968" s="7"/>
      <c r="AS968" s="36"/>
      <c r="AT968" s="36"/>
      <c r="AU968" s="35"/>
      <c r="AV968" s="7"/>
      <c r="AW968" s="7"/>
      <c r="AX968" s="7"/>
      <c r="AY968" s="7"/>
      <c r="AZ968" s="7"/>
      <c r="BA968" s="7"/>
      <c r="BB968" s="7"/>
      <c r="BC968" s="7"/>
      <c r="BF968" s="7"/>
      <c r="BG968" s="36"/>
      <c r="BH968" s="36"/>
      <c r="BI968" s="36"/>
      <c r="BJ968" s="36"/>
      <c r="BK968" s="36"/>
      <c r="BL968" s="36"/>
      <c r="BM968" s="36"/>
      <c r="BN968" s="36"/>
      <c r="BO968" s="36"/>
    </row>
    <row r="969" spans="1:67" x14ac:dyDescent="0.25">
      <c r="A969" s="39"/>
      <c r="B969" s="40"/>
      <c r="U969" s="36"/>
      <c r="V969" s="36"/>
      <c r="W969" s="35"/>
      <c r="X969" s="7"/>
      <c r="Y969" s="7"/>
      <c r="Z969" s="7"/>
      <c r="AA969" s="7"/>
      <c r="AB969" s="7"/>
      <c r="AC969" s="7"/>
      <c r="AD969" s="7"/>
      <c r="AE969" s="7"/>
      <c r="AG969" s="36"/>
      <c r="AH969" s="36"/>
      <c r="AI969" s="35"/>
      <c r="AJ969" s="7"/>
      <c r="AK969" s="7"/>
      <c r="AL969" s="7"/>
      <c r="AM969" s="7"/>
      <c r="AN969" s="7"/>
      <c r="AO969" s="7"/>
      <c r="AP969" s="7"/>
      <c r="AQ969" s="7"/>
      <c r="AS969" s="36"/>
      <c r="AT969" s="36"/>
      <c r="AU969" s="35"/>
      <c r="AV969" s="7"/>
      <c r="AW969" s="7"/>
      <c r="AX969" s="7"/>
      <c r="AY969" s="7"/>
      <c r="AZ969" s="7"/>
      <c r="BA969" s="7"/>
      <c r="BB969" s="7"/>
      <c r="BC969" s="7"/>
      <c r="BF969" s="7"/>
      <c r="BG969" s="36"/>
      <c r="BH969" s="36"/>
      <c r="BI969" s="36"/>
      <c r="BJ969" s="36"/>
      <c r="BK969" s="36"/>
      <c r="BL969" s="36"/>
      <c r="BM969" s="36"/>
      <c r="BN969" s="36"/>
      <c r="BO969" s="36"/>
    </row>
    <row r="970" spans="1:67" x14ac:dyDescent="0.25">
      <c r="A970" s="39"/>
      <c r="B970" s="40"/>
      <c r="U970" s="36"/>
      <c r="V970" s="36"/>
      <c r="W970" s="35"/>
      <c r="X970" s="7"/>
      <c r="Y970" s="7"/>
      <c r="Z970" s="7"/>
      <c r="AA970" s="7"/>
      <c r="AB970" s="7"/>
      <c r="AC970" s="7"/>
      <c r="AD970" s="7"/>
      <c r="AE970" s="7"/>
      <c r="AG970" s="36"/>
      <c r="AH970" s="36"/>
      <c r="AI970" s="35"/>
      <c r="AJ970" s="7"/>
      <c r="AK970" s="7"/>
      <c r="AL970" s="7"/>
      <c r="AM970" s="7"/>
      <c r="AN970" s="7"/>
      <c r="AO970" s="7"/>
      <c r="AP970" s="7"/>
      <c r="AQ970" s="7"/>
      <c r="AS970" s="36"/>
      <c r="AT970" s="36"/>
      <c r="AU970" s="35"/>
      <c r="AV970" s="7"/>
      <c r="AW970" s="7"/>
      <c r="AX970" s="7"/>
      <c r="AY970" s="7"/>
      <c r="AZ970" s="7"/>
      <c r="BA970" s="7"/>
      <c r="BB970" s="7"/>
      <c r="BC970" s="7"/>
      <c r="BF970" s="7"/>
      <c r="BG970" s="36"/>
      <c r="BH970" s="36"/>
      <c r="BI970" s="36"/>
      <c r="BJ970" s="36"/>
      <c r="BK970" s="36"/>
      <c r="BL970" s="36"/>
      <c r="BM970" s="36"/>
      <c r="BN970" s="36"/>
      <c r="BO970" s="36"/>
    </row>
    <row r="971" spans="1:67" x14ac:dyDescent="0.25">
      <c r="A971" s="39"/>
      <c r="B971" s="40"/>
      <c r="U971" s="36"/>
      <c r="V971" s="36"/>
      <c r="W971" s="35"/>
      <c r="X971" s="7"/>
      <c r="Y971" s="7"/>
      <c r="Z971" s="7"/>
      <c r="AA971" s="7"/>
      <c r="AB971" s="7"/>
      <c r="AC971" s="7"/>
      <c r="AD971" s="7"/>
      <c r="AE971" s="7"/>
      <c r="AG971" s="36"/>
      <c r="AH971" s="36"/>
      <c r="AI971" s="35"/>
      <c r="AJ971" s="7"/>
      <c r="AK971" s="7"/>
      <c r="AL971" s="7"/>
      <c r="AM971" s="7"/>
      <c r="AN971" s="7"/>
      <c r="AO971" s="7"/>
      <c r="AP971" s="7"/>
      <c r="AQ971" s="7"/>
      <c r="AS971" s="36"/>
      <c r="AT971" s="36"/>
      <c r="AU971" s="35"/>
      <c r="AV971" s="7"/>
      <c r="AW971" s="7"/>
      <c r="AX971" s="7"/>
      <c r="AY971" s="7"/>
      <c r="AZ971" s="7"/>
      <c r="BA971" s="7"/>
      <c r="BB971" s="7"/>
      <c r="BC971" s="7"/>
      <c r="BF971" s="7"/>
      <c r="BG971" s="36"/>
      <c r="BH971" s="36"/>
      <c r="BI971" s="36"/>
      <c r="BJ971" s="36"/>
      <c r="BK971" s="36"/>
      <c r="BL971" s="36"/>
      <c r="BM971" s="36"/>
      <c r="BN971" s="36"/>
      <c r="BO971" s="36"/>
    </row>
    <row r="972" spans="1:67" x14ac:dyDescent="0.25">
      <c r="A972" s="39"/>
      <c r="B972" s="40"/>
      <c r="U972" s="36"/>
      <c r="V972" s="36"/>
      <c r="W972" s="35"/>
      <c r="X972" s="7"/>
      <c r="Y972" s="7"/>
      <c r="Z972" s="7"/>
      <c r="AA972" s="7"/>
      <c r="AB972" s="7"/>
      <c r="AC972" s="7"/>
      <c r="AD972" s="7"/>
      <c r="AE972" s="7"/>
      <c r="AG972" s="36"/>
      <c r="AH972" s="36"/>
      <c r="AI972" s="35"/>
      <c r="AJ972" s="7"/>
      <c r="AK972" s="7"/>
      <c r="AL972" s="7"/>
      <c r="AM972" s="7"/>
      <c r="AN972" s="7"/>
      <c r="AO972" s="7"/>
      <c r="AP972" s="7"/>
      <c r="AQ972" s="7"/>
      <c r="AS972" s="36"/>
      <c r="AT972" s="36"/>
      <c r="AU972" s="35"/>
      <c r="AV972" s="7"/>
      <c r="AW972" s="7"/>
      <c r="AX972" s="7"/>
      <c r="AY972" s="7"/>
      <c r="AZ972" s="7"/>
      <c r="BA972" s="7"/>
      <c r="BB972" s="7"/>
      <c r="BC972" s="7"/>
      <c r="BF972" s="7"/>
      <c r="BG972" s="36"/>
      <c r="BH972" s="36"/>
      <c r="BI972" s="36"/>
      <c r="BJ972" s="36"/>
      <c r="BK972" s="36"/>
      <c r="BL972" s="36"/>
      <c r="BM972" s="36"/>
      <c r="BN972" s="36"/>
      <c r="BO972" s="36"/>
    </row>
    <row r="973" spans="1:67" x14ac:dyDescent="0.25">
      <c r="A973" s="39"/>
      <c r="B973" s="40"/>
      <c r="U973" s="36"/>
      <c r="V973" s="36"/>
      <c r="W973" s="35"/>
      <c r="X973" s="7"/>
      <c r="Y973" s="7"/>
      <c r="Z973" s="7"/>
      <c r="AA973" s="7"/>
      <c r="AB973" s="7"/>
      <c r="AC973" s="7"/>
      <c r="AD973" s="7"/>
      <c r="AE973" s="7"/>
      <c r="AG973" s="36"/>
      <c r="AH973" s="36"/>
      <c r="AI973" s="35"/>
      <c r="AJ973" s="7"/>
      <c r="AK973" s="7"/>
      <c r="AL973" s="7"/>
      <c r="AM973" s="7"/>
      <c r="AN973" s="7"/>
      <c r="AO973" s="7"/>
      <c r="AP973" s="7"/>
      <c r="AQ973" s="7"/>
      <c r="AS973" s="36"/>
      <c r="AT973" s="36"/>
      <c r="AU973" s="35"/>
      <c r="AV973" s="7"/>
      <c r="AW973" s="7"/>
      <c r="AX973" s="7"/>
      <c r="AY973" s="7"/>
      <c r="AZ973" s="7"/>
      <c r="BA973" s="7"/>
      <c r="BB973" s="7"/>
      <c r="BC973" s="7"/>
      <c r="BF973" s="7"/>
      <c r="BG973" s="36"/>
      <c r="BH973" s="36"/>
      <c r="BI973" s="36"/>
      <c r="BJ973" s="36"/>
      <c r="BK973" s="36"/>
      <c r="BL973" s="36"/>
      <c r="BM973" s="36"/>
      <c r="BN973" s="36"/>
      <c r="BO973" s="36"/>
    </row>
    <row r="974" spans="1:67" x14ac:dyDescent="0.25">
      <c r="A974" s="39"/>
      <c r="B974" s="40"/>
      <c r="U974" s="36"/>
      <c r="V974" s="36"/>
      <c r="W974" s="35"/>
      <c r="X974" s="7"/>
      <c r="Y974" s="7"/>
      <c r="Z974" s="7"/>
      <c r="AA974" s="7"/>
      <c r="AB974" s="7"/>
      <c r="AC974" s="7"/>
      <c r="AD974" s="7"/>
      <c r="AE974" s="7"/>
      <c r="AG974" s="36"/>
      <c r="AH974" s="36"/>
      <c r="AI974" s="35"/>
      <c r="AJ974" s="7"/>
      <c r="AK974" s="7"/>
      <c r="AL974" s="7"/>
      <c r="AM974" s="7"/>
      <c r="AN974" s="7"/>
      <c r="AO974" s="7"/>
      <c r="AP974" s="7"/>
      <c r="AQ974" s="7"/>
      <c r="AS974" s="36"/>
      <c r="AT974" s="36"/>
      <c r="AU974" s="35"/>
      <c r="AV974" s="7"/>
      <c r="AW974" s="7"/>
      <c r="AX974" s="7"/>
      <c r="AY974" s="7"/>
      <c r="AZ974" s="7"/>
      <c r="BA974" s="7"/>
      <c r="BB974" s="7"/>
      <c r="BC974" s="7"/>
      <c r="BF974" s="7"/>
      <c r="BG974" s="36"/>
      <c r="BH974" s="36"/>
      <c r="BI974" s="36"/>
      <c r="BJ974" s="36"/>
      <c r="BK974" s="36"/>
      <c r="BL974" s="36"/>
      <c r="BM974" s="36"/>
      <c r="BN974" s="36"/>
      <c r="BO974" s="36"/>
    </row>
    <row r="975" spans="1:67" x14ac:dyDescent="0.25">
      <c r="A975" s="39"/>
      <c r="B975" s="40"/>
      <c r="U975" s="36"/>
      <c r="V975" s="36"/>
      <c r="W975" s="35"/>
      <c r="X975" s="7"/>
      <c r="Y975" s="7"/>
      <c r="Z975" s="7"/>
      <c r="AA975" s="7"/>
      <c r="AB975" s="7"/>
      <c r="AC975" s="7"/>
      <c r="AD975" s="7"/>
      <c r="AE975" s="7"/>
      <c r="AG975" s="36"/>
      <c r="AH975" s="36"/>
      <c r="AI975" s="35"/>
      <c r="AJ975" s="7"/>
      <c r="AK975" s="7"/>
      <c r="AL975" s="7"/>
      <c r="AM975" s="7"/>
      <c r="AN975" s="7"/>
      <c r="AO975" s="7"/>
      <c r="AP975" s="7"/>
      <c r="AQ975" s="7"/>
      <c r="AS975" s="36"/>
      <c r="AT975" s="36"/>
      <c r="AU975" s="35"/>
      <c r="AV975" s="7"/>
      <c r="AW975" s="7"/>
      <c r="AX975" s="7"/>
      <c r="AY975" s="7"/>
      <c r="AZ975" s="7"/>
      <c r="BA975" s="7"/>
      <c r="BB975" s="7"/>
      <c r="BC975" s="7"/>
      <c r="BF975" s="7"/>
      <c r="BG975" s="36"/>
      <c r="BH975" s="36"/>
      <c r="BI975" s="36"/>
      <c r="BJ975" s="36"/>
      <c r="BK975" s="36"/>
      <c r="BL975" s="36"/>
      <c r="BM975" s="36"/>
      <c r="BN975" s="36"/>
      <c r="BO975" s="36"/>
    </row>
    <row r="976" spans="1:67" x14ac:dyDescent="0.25">
      <c r="A976" s="39"/>
      <c r="B976" s="40"/>
      <c r="U976" s="36"/>
      <c r="V976" s="36"/>
      <c r="W976" s="35"/>
      <c r="X976" s="7"/>
      <c r="Y976" s="7"/>
      <c r="Z976" s="7"/>
      <c r="AA976" s="7"/>
      <c r="AB976" s="7"/>
      <c r="AC976" s="7"/>
      <c r="AD976" s="7"/>
      <c r="AE976" s="7"/>
      <c r="AG976" s="36"/>
      <c r="AH976" s="36"/>
      <c r="AI976" s="35"/>
      <c r="AJ976" s="7"/>
      <c r="AK976" s="7"/>
      <c r="AL976" s="7"/>
      <c r="AM976" s="7"/>
      <c r="AN976" s="7"/>
      <c r="AO976" s="7"/>
      <c r="AP976" s="7"/>
      <c r="AQ976" s="7"/>
      <c r="AS976" s="36"/>
      <c r="AT976" s="36"/>
      <c r="AU976" s="35"/>
      <c r="AV976" s="7"/>
      <c r="AW976" s="7"/>
      <c r="AX976" s="7"/>
      <c r="AY976" s="7"/>
      <c r="AZ976" s="7"/>
      <c r="BA976" s="7"/>
      <c r="BB976" s="7"/>
      <c r="BC976" s="7"/>
      <c r="BF976" s="7"/>
      <c r="BG976" s="36"/>
      <c r="BH976" s="36"/>
      <c r="BI976" s="36"/>
      <c r="BJ976" s="36"/>
      <c r="BK976" s="36"/>
      <c r="BL976" s="36"/>
      <c r="BM976" s="36"/>
      <c r="BN976" s="36"/>
      <c r="BO976" s="36"/>
    </row>
    <row r="977" spans="1:67" x14ac:dyDescent="0.25">
      <c r="A977" s="39"/>
      <c r="B977" s="40"/>
      <c r="U977" s="36"/>
      <c r="V977" s="36"/>
      <c r="W977" s="35"/>
      <c r="X977" s="7"/>
      <c r="Y977" s="7"/>
      <c r="Z977" s="7"/>
      <c r="AA977" s="7"/>
      <c r="AB977" s="7"/>
      <c r="AC977" s="7"/>
      <c r="AD977" s="7"/>
      <c r="AE977" s="7"/>
      <c r="AG977" s="36"/>
      <c r="AH977" s="36"/>
      <c r="AI977" s="35"/>
      <c r="AJ977" s="7"/>
      <c r="AK977" s="7"/>
      <c r="AL977" s="7"/>
      <c r="AM977" s="7"/>
      <c r="AN977" s="7"/>
      <c r="AO977" s="7"/>
      <c r="AP977" s="7"/>
      <c r="AQ977" s="7"/>
      <c r="AS977" s="36"/>
      <c r="AT977" s="36"/>
      <c r="AU977" s="35"/>
      <c r="AV977" s="7"/>
      <c r="AW977" s="7"/>
      <c r="AX977" s="7"/>
      <c r="AY977" s="7"/>
      <c r="AZ977" s="7"/>
      <c r="BA977" s="7"/>
      <c r="BB977" s="7"/>
      <c r="BC977" s="7"/>
      <c r="BF977" s="7"/>
      <c r="BG977" s="36"/>
      <c r="BH977" s="36"/>
      <c r="BI977" s="36"/>
      <c r="BJ977" s="36"/>
      <c r="BK977" s="36"/>
      <c r="BL977" s="36"/>
      <c r="BM977" s="36"/>
      <c r="BN977" s="36"/>
      <c r="BO977" s="36"/>
    </row>
    <row r="978" spans="1:67" x14ac:dyDescent="0.25">
      <c r="A978" s="39"/>
      <c r="B978" s="40"/>
      <c r="U978" s="36"/>
      <c r="V978" s="36"/>
      <c r="W978" s="35"/>
      <c r="X978" s="7"/>
      <c r="Y978" s="7"/>
      <c r="Z978" s="7"/>
      <c r="AA978" s="7"/>
      <c r="AB978" s="7"/>
      <c r="AC978" s="7"/>
      <c r="AD978" s="7"/>
      <c r="AE978" s="7"/>
      <c r="AG978" s="36"/>
      <c r="AH978" s="36"/>
      <c r="AI978" s="35"/>
      <c r="AJ978" s="7"/>
      <c r="AK978" s="7"/>
      <c r="AL978" s="7"/>
      <c r="AM978" s="7"/>
      <c r="AN978" s="7"/>
      <c r="AO978" s="7"/>
      <c r="AP978" s="7"/>
      <c r="AQ978" s="7"/>
      <c r="AS978" s="36"/>
      <c r="AT978" s="36"/>
      <c r="AU978" s="35"/>
      <c r="AV978" s="7"/>
      <c r="AW978" s="7"/>
      <c r="AX978" s="7"/>
      <c r="AY978" s="7"/>
      <c r="AZ978" s="7"/>
      <c r="BA978" s="7"/>
      <c r="BB978" s="7"/>
      <c r="BC978" s="7"/>
      <c r="BF978" s="7"/>
      <c r="BG978" s="36"/>
      <c r="BH978" s="36"/>
      <c r="BI978" s="36"/>
      <c r="BJ978" s="36"/>
      <c r="BK978" s="36"/>
      <c r="BL978" s="36"/>
      <c r="BM978" s="36"/>
      <c r="BN978" s="36"/>
      <c r="BO978" s="36"/>
    </row>
    <row r="979" spans="1:67" x14ac:dyDescent="0.25">
      <c r="A979" s="39"/>
      <c r="B979" s="40"/>
      <c r="U979" s="36"/>
      <c r="V979" s="36"/>
      <c r="W979" s="35"/>
      <c r="X979" s="7"/>
      <c r="Y979" s="7"/>
      <c r="Z979" s="7"/>
      <c r="AA979" s="7"/>
      <c r="AB979" s="7"/>
      <c r="AC979" s="7"/>
      <c r="AD979" s="7"/>
      <c r="AE979" s="7"/>
      <c r="AG979" s="36"/>
      <c r="AH979" s="36"/>
      <c r="AI979" s="35"/>
      <c r="AJ979" s="7"/>
      <c r="AK979" s="7"/>
      <c r="AL979" s="7"/>
      <c r="AM979" s="7"/>
      <c r="AN979" s="7"/>
      <c r="AO979" s="7"/>
      <c r="AP979" s="7"/>
      <c r="AQ979" s="7"/>
      <c r="AS979" s="36"/>
      <c r="AT979" s="36"/>
      <c r="AU979" s="35"/>
      <c r="AV979" s="7"/>
      <c r="AW979" s="7"/>
      <c r="AX979" s="7"/>
      <c r="AY979" s="7"/>
      <c r="AZ979" s="7"/>
      <c r="BA979" s="7"/>
      <c r="BB979" s="7"/>
      <c r="BC979" s="7"/>
      <c r="BF979" s="7"/>
      <c r="BG979" s="36"/>
      <c r="BH979" s="36"/>
      <c r="BI979" s="36"/>
      <c r="BJ979" s="36"/>
      <c r="BK979" s="36"/>
      <c r="BL979" s="36"/>
      <c r="BM979" s="36"/>
      <c r="BN979" s="36"/>
      <c r="BO979" s="36"/>
    </row>
    <row r="980" spans="1:67" x14ac:dyDescent="0.25">
      <c r="A980" s="39"/>
      <c r="B980" s="40"/>
      <c r="U980" s="36"/>
      <c r="V980" s="36"/>
      <c r="W980" s="35"/>
      <c r="X980" s="7"/>
      <c r="Y980" s="7"/>
      <c r="Z980" s="7"/>
      <c r="AA980" s="7"/>
      <c r="AB980" s="7"/>
      <c r="AC980" s="7"/>
      <c r="AD980" s="7"/>
      <c r="AE980" s="7"/>
      <c r="AG980" s="36"/>
      <c r="AH980" s="36"/>
      <c r="AI980" s="35"/>
      <c r="AJ980" s="7"/>
      <c r="AK980" s="7"/>
      <c r="AL980" s="7"/>
      <c r="AM980" s="7"/>
      <c r="AN980" s="7"/>
      <c r="AO980" s="7"/>
      <c r="AP980" s="7"/>
      <c r="AQ980" s="7"/>
      <c r="AS980" s="36"/>
      <c r="AT980" s="36"/>
      <c r="AU980" s="35"/>
      <c r="AV980" s="7"/>
      <c r="AW980" s="7"/>
      <c r="AX980" s="7"/>
      <c r="AY980" s="7"/>
      <c r="AZ980" s="7"/>
      <c r="BA980" s="7"/>
      <c r="BB980" s="7"/>
      <c r="BC980" s="7"/>
      <c r="BF980" s="7"/>
      <c r="BG980" s="36"/>
      <c r="BH980" s="36"/>
      <c r="BI980" s="36"/>
      <c r="BJ980" s="36"/>
      <c r="BK980" s="36"/>
      <c r="BL980" s="36"/>
      <c r="BM980" s="36"/>
      <c r="BN980" s="36"/>
      <c r="BO980" s="36"/>
    </row>
    <row r="981" spans="1:67" x14ac:dyDescent="0.25">
      <c r="A981" s="39"/>
      <c r="B981" s="40"/>
      <c r="U981" s="36"/>
      <c r="V981" s="36"/>
      <c r="W981" s="35"/>
      <c r="X981" s="7"/>
      <c r="Y981" s="7"/>
      <c r="Z981" s="7"/>
      <c r="AA981" s="7"/>
      <c r="AB981" s="7"/>
      <c r="AC981" s="7"/>
      <c r="AD981" s="7"/>
      <c r="AE981" s="7"/>
      <c r="AG981" s="36"/>
      <c r="AH981" s="36"/>
      <c r="AI981" s="35"/>
      <c r="AJ981" s="7"/>
      <c r="AK981" s="7"/>
      <c r="AL981" s="7"/>
      <c r="AM981" s="7"/>
      <c r="AN981" s="7"/>
      <c r="AO981" s="7"/>
      <c r="AP981" s="7"/>
      <c r="AQ981" s="7"/>
      <c r="AS981" s="36"/>
      <c r="AT981" s="36"/>
      <c r="AU981" s="35"/>
      <c r="AV981" s="7"/>
      <c r="AW981" s="7"/>
      <c r="AX981" s="7"/>
      <c r="AY981" s="7"/>
      <c r="AZ981" s="7"/>
      <c r="BA981" s="7"/>
      <c r="BB981" s="7"/>
      <c r="BC981" s="7"/>
      <c r="BF981" s="7"/>
      <c r="BG981" s="36"/>
      <c r="BH981" s="36"/>
      <c r="BI981" s="36"/>
      <c r="BJ981" s="36"/>
      <c r="BK981" s="36"/>
      <c r="BL981" s="36"/>
      <c r="BM981" s="36"/>
      <c r="BN981" s="36"/>
      <c r="BO981" s="36"/>
    </row>
    <row r="982" spans="1:67" x14ac:dyDescent="0.25">
      <c r="A982" s="39"/>
      <c r="B982" s="40"/>
      <c r="U982" s="36"/>
      <c r="V982" s="36"/>
      <c r="W982" s="35"/>
      <c r="X982" s="7"/>
      <c r="Y982" s="7"/>
      <c r="Z982" s="7"/>
      <c r="AA982" s="7"/>
      <c r="AB982" s="7"/>
      <c r="AC982" s="7"/>
      <c r="AD982" s="7"/>
      <c r="AE982" s="7"/>
      <c r="AG982" s="36"/>
      <c r="AH982" s="36"/>
      <c r="AI982" s="35"/>
      <c r="AJ982" s="7"/>
      <c r="AK982" s="7"/>
      <c r="AL982" s="7"/>
      <c r="AM982" s="7"/>
      <c r="AN982" s="7"/>
      <c r="AO982" s="7"/>
      <c r="AP982" s="7"/>
      <c r="AQ982" s="7"/>
      <c r="AS982" s="36"/>
      <c r="AT982" s="36"/>
      <c r="AU982" s="35"/>
      <c r="AV982" s="7"/>
      <c r="AW982" s="7"/>
      <c r="AX982" s="7"/>
      <c r="AY982" s="7"/>
      <c r="AZ982" s="7"/>
      <c r="BA982" s="7"/>
      <c r="BB982" s="7"/>
      <c r="BC982" s="7"/>
      <c r="BF982" s="7"/>
      <c r="BG982" s="36"/>
      <c r="BH982" s="36"/>
      <c r="BI982" s="36"/>
      <c r="BJ982" s="36"/>
      <c r="BK982" s="36"/>
      <c r="BL982" s="36"/>
      <c r="BM982" s="36"/>
      <c r="BN982" s="36"/>
      <c r="BO982" s="36"/>
    </row>
    <row r="983" spans="1:67" x14ac:dyDescent="0.25">
      <c r="A983" s="39"/>
      <c r="B983" s="40"/>
      <c r="U983" s="36"/>
      <c r="V983" s="36"/>
      <c r="W983" s="35"/>
      <c r="X983" s="7"/>
      <c r="Y983" s="7"/>
      <c r="Z983" s="7"/>
      <c r="AA983" s="7"/>
      <c r="AB983" s="7"/>
      <c r="AC983" s="7"/>
      <c r="AD983" s="7"/>
      <c r="AE983" s="7"/>
      <c r="AG983" s="36"/>
      <c r="AH983" s="36"/>
      <c r="AI983" s="35"/>
      <c r="AJ983" s="7"/>
      <c r="AK983" s="7"/>
      <c r="AL983" s="7"/>
      <c r="AM983" s="7"/>
      <c r="AN983" s="7"/>
      <c r="AO983" s="7"/>
      <c r="AP983" s="7"/>
      <c r="AQ983" s="7"/>
      <c r="AS983" s="36"/>
      <c r="AT983" s="36"/>
      <c r="AU983" s="35"/>
      <c r="AV983" s="7"/>
      <c r="AW983" s="7"/>
      <c r="AX983" s="7"/>
      <c r="AY983" s="7"/>
      <c r="AZ983" s="7"/>
      <c r="BA983" s="7"/>
      <c r="BB983" s="7"/>
      <c r="BC983" s="7"/>
      <c r="BF983" s="7"/>
      <c r="BG983" s="36"/>
      <c r="BH983" s="36"/>
      <c r="BI983" s="36"/>
      <c r="BJ983" s="36"/>
      <c r="BK983" s="36"/>
      <c r="BL983" s="36"/>
      <c r="BM983" s="36"/>
      <c r="BN983" s="36"/>
      <c r="BO983" s="36"/>
    </row>
    <row r="984" spans="1:67" x14ac:dyDescent="0.25">
      <c r="A984" s="39"/>
      <c r="B984" s="40"/>
      <c r="U984" s="36"/>
      <c r="V984" s="36"/>
      <c r="W984" s="35"/>
      <c r="X984" s="7"/>
      <c r="Y984" s="7"/>
      <c r="Z984" s="7"/>
      <c r="AA984" s="7"/>
      <c r="AB984" s="7"/>
      <c r="AC984" s="7"/>
      <c r="AD984" s="7"/>
      <c r="AE984" s="7"/>
      <c r="AG984" s="36"/>
      <c r="AH984" s="36"/>
      <c r="AI984" s="35"/>
      <c r="AJ984" s="7"/>
      <c r="AK984" s="7"/>
      <c r="AL984" s="7"/>
      <c r="AM984" s="7"/>
      <c r="AN984" s="7"/>
      <c r="AO984" s="7"/>
      <c r="AP984" s="7"/>
      <c r="AQ984" s="7"/>
      <c r="AS984" s="36"/>
      <c r="AT984" s="36"/>
      <c r="AU984" s="35"/>
      <c r="AV984" s="7"/>
      <c r="AW984" s="7"/>
      <c r="AX984" s="7"/>
      <c r="AY984" s="7"/>
      <c r="AZ984" s="7"/>
      <c r="BA984" s="7"/>
      <c r="BB984" s="7"/>
      <c r="BC984" s="7"/>
      <c r="BF984" s="7"/>
      <c r="BG984" s="36"/>
      <c r="BH984" s="36"/>
      <c r="BI984" s="36"/>
      <c r="BJ984" s="36"/>
      <c r="BK984" s="36"/>
      <c r="BL984" s="36"/>
      <c r="BM984" s="36"/>
      <c r="BN984" s="36"/>
      <c r="BO984" s="36"/>
    </row>
    <row r="985" spans="1:67" x14ac:dyDescent="0.25">
      <c r="A985" s="39"/>
      <c r="B985" s="40"/>
      <c r="U985" s="36"/>
      <c r="V985" s="36"/>
      <c r="W985" s="35"/>
      <c r="X985" s="7"/>
      <c r="Y985" s="7"/>
      <c r="Z985" s="7"/>
      <c r="AA985" s="7"/>
      <c r="AB985" s="7"/>
      <c r="AC985" s="7"/>
      <c r="AD985" s="7"/>
      <c r="AE985" s="7"/>
      <c r="AG985" s="36"/>
      <c r="AH985" s="36"/>
      <c r="AI985" s="35"/>
      <c r="AJ985" s="7"/>
      <c r="AK985" s="7"/>
      <c r="AL985" s="7"/>
      <c r="AM985" s="7"/>
      <c r="AN985" s="7"/>
      <c r="AO985" s="7"/>
      <c r="AP985" s="7"/>
      <c r="AQ985" s="7"/>
      <c r="AS985" s="36"/>
      <c r="AT985" s="36"/>
      <c r="AU985" s="35"/>
      <c r="AV985" s="7"/>
      <c r="AW985" s="7"/>
      <c r="AX985" s="7"/>
      <c r="AY985" s="7"/>
      <c r="AZ985" s="7"/>
      <c r="BA985" s="7"/>
      <c r="BB985" s="7"/>
      <c r="BC985" s="7"/>
      <c r="BF985" s="7"/>
      <c r="BG985" s="36"/>
      <c r="BH985" s="36"/>
      <c r="BI985" s="36"/>
      <c r="BJ985" s="36"/>
      <c r="BK985" s="36"/>
      <c r="BL985" s="36"/>
      <c r="BM985" s="36"/>
      <c r="BN985" s="36"/>
      <c r="BO985" s="36"/>
    </row>
    <row r="986" spans="1:67" x14ac:dyDescent="0.25">
      <c r="A986" s="39"/>
      <c r="B986" s="40"/>
      <c r="U986" s="36"/>
      <c r="V986" s="36"/>
      <c r="W986" s="35"/>
      <c r="X986" s="7"/>
      <c r="Y986" s="7"/>
      <c r="Z986" s="7"/>
      <c r="AA986" s="7"/>
      <c r="AB986" s="7"/>
      <c r="AC986" s="7"/>
      <c r="AD986" s="7"/>
      <c r="AE986" s="7"/>
      <c r="AG986" s="36"/>
      <c r="AH986" s="36"/>
      <c r="AI986" s="35"/>
      <c r="AJ986" s="7"/>
      <c r="AK986" s="7"/>
      <c r="AL986" s="7"/>
      <c r="AM986" s="7"/>
      <c r="AN986" s="7"/>
      <c r="AO986" s="7"/>
      <c r="AP986" s="7"/>
      <c r="AQ986" s="7"/>
      <c r="AS986" s="36"/>
      <c r="AT986" s="36"/>
      <c r="AU986" s="35"/>
      <c r="AV986" s="7"/>
      <c r="AW986" s="7"/>
      <c r="AX986" s="7"/>
      <c r="AY986" s="7"/>
      <c r="AZ986" s="7"/>
      <c r="BA986" s="7"/>
      <c r="BB986" s="7"/>
      <c r="BC986" s="7"/>
      <c r="BF986" s="7"/>
      <c r="BG986" s="36"/>
      <c r="BH986" s="36"/>
      <c r="BI986" s="36"/>
      <c r="BJ986" s="36"/>
      <c r="BK986" s="36"/>
      <c r="BL986" s="36"/>
      <c r="BM986" s="36"/>
      <c r="BN986" s="36"/>
      <c r="BO986" s="36"/>
    </row>
    <row r="987" spans="1:67" x14ac:dyDescent="0.25">
      <c r="A987" s="39"/>
      <c r="B987" s="40"/>
      <c r="U987" s="36"/>
      <c r="V987" s="36"/>
      <c r="W987" s="35"/>
      <c r="X987" s="7"/>
      <c r="Y987" s="7"/>
      <c r="Z987" s="7"/>
      <c r="AA987" s="7"/>
      <c r="AB987" s="7"/>
      <c r="AC987" s="7"/>
      <c r="AD987" s="7"/>
      <c r="AE987" s="7"/>
      <c r="AG987" s="36"/>
      <c r="AH987" s="36"/>
      <c r="AI987" s="35"/>
      <c r="AJ987" s="7"/>
      <c r="AK987" s="7"/>
      <c r="AL987" s="7"/>
      <c r="AM987" s="7"/>
      <c r="AN987" s="7"/>
      <c r="AO987" s="7"/>
      <c r="AP987" s="7"/>
      <c r="AQ987" s="7"/>
      <c r="AS987" s="36"/>
      <c r="AT987" s="36"/>
      <c r="AU987" s="35"/>
      <c r="AV987" s="7"/>
      <c r="AW987" s="7"/>
      <c r="AX987" s="7"/>
      <c r="AY987" s="7"/>
      <c r="AZ987" s="7"/>
      <c r="BA987" s="7"/>
      <c r="BB987" s="7"/>
      <c r="BC987" s="7"/>
      <c r="BF987" s="7"/>
      <c r="BG987" s="36"/>
      <c r="BH987" s="36"/>
      <c r="BI987" s="36"/>
      <c r="BJ987" s="36"/>
      <c r="BK987" s="36"/>
      <c r="BL987" s="36"/>
      <c r="BM987" s="36"/>
      <c r="BN987" s="36"/>
      <c r="BO987" s="36"/>
    </row>
    <row r="988" spans="1:67" x14ac:dyDescent="0.25">
      <c r="A988" s="39"/>
      <c r="B988" s="40"/>
      <c r="U988" s="36"/>
      <c r="V988" s="36"/>
      <c r="W988" s="35"/>
      <c r="X988" s="7"/>
      <c r="Y988" s="7"/>
      <c r="Z988" s="7"/>
      <c r="AA988" s="7"/>
      <c r="AB988" s="7"/>
      <c r="AC988" s="7"/>
      <c r="AD988" s="7"/>
      <c r="AE988" s="7"/>
      <c r="AG988" s="36"/>
      <c r="AH988" s="36"/>
      <c r="AI988" s="35"/>
      <c r="AJ988" s="7"/>
      <c r="AK988" s="7"/>
      <c r="AL988" s="7"/>
      <c r="AM988" s="7"/>
      <c r="AN988" s="7"/>
      <c r="AO988" s="7"/>
      <c r="AP988" s="7"/>
      <c r="AQ988" s="7"/>
      <c r="AS988" s="36"/>
      <c r="AT988" s="36"/>
      <c r="AU988" s="35"/>
      <c r="AV988" s="7"/>
      <c r="AW988" s="7"/>
      <c r="AX988" s="7"/>
      <c r="AY988" s="7"/>
      <c r="AZ988" s="7"/>
      <c r="BA988" s="7"/>
      <c r="BB988" s="7"/>
      <c r="BC988" s="7"/>
      <c r="BF988" s="7"/>
      <c r="BG988" s="36"/>
      <c r="BH988" s="36"/>
      <c r="BI988" s="36"/>
      <c r="BJ988" s="36"/>
      <c r="BK988" s="36"/>
      <c r="BL988" s="36"/>
      <c r="BM988" s="36"/>
      <c r="BN988" s="36"/>
      <c r="BO988" s="36"/>
    </row>
    <row r="989" spans="1:67" x14ac:dyDescent="0.25">
      <c r="A989" s="39"/>
      <c r="B989" s="40"/>
      <c r="U989" s="36"/>
      <c r="V989" s="36"/>
      <c r="W989" s="35"/>
      <c r="X989" s="7"/>
      <c r="Y989" s="7"/>
      <c r="Z989" s="7"/>
      <c r="AA989" s="7"/>
      <c r="AB989" s="7"/>
      <c r="AC989" s="7"/>
      <c r="AD989" s="7"/>
      <c r="AE989" s="7"/>
      <c r="AG989" s="36"/>
      <c r="AH989" s="36"/>
      <c r="AI989" s="35"/>
      <c r="AJ989" s="7"/>
      <c r="AK989" s="7"/>
      <c r="AL989" s="7"/>
      <c r="AM989" s="7"/>
      <c r="AN989" s="7"/>
      <c r="AO989" s="7"/>
      <c r="AP989" s="7"/>
      <c r="AQ989" s="7"/>
      <c r="AS989" s="36"/>
      <c r="AT989" s="36"/>
      <c r="AU989" s="35"/>
      <c r="AV989" s="7"/>
      <c r="AW989" s="7"/>
      <c r="AX989" s="7"/>
      <c r="AY989" s="7"/>
      <c r="AZ989" s="7"/>
      <c r="BA989" s="7"/>
      <c r="BB989" s="7"/>
      <c r="BC989" s="7"/>
      <c r="BF989" s="7"/>
      <c r="BG989" s="36"/>
      <c r="BH989" s="36"/>
      <c r="BI989" s="36"/>
      <c r="BJ989" s="36"/>
      <c r="BK989" s="36"/>
      <c r="BL989" s="36"/>
      <c r="BM989" s="36"/>
      <c r="BN989" s="36"/>
      <c r="BO989" s="36"/>
    </row>
    <row r="990" spans="1:67" x14ac:dyDescent="0.25">
      <c r="A990" s="39"/>
      <c r="B990" s="40"/>
      <c r="U990" s="36"/>
      <c r="V990" s="36"/>
      <c r="W990" s="35"/>
      <c r="X990" s="7"/>
      <c r="Y990" s="7"/>
      <c r="Z990" s="7"/>
      <c r="AA990" s="7"/>
      <c r="AB990" s="7"/>
      <c r="AC990" s="7"/>
      <c r="AD990" s="7"/>
      <c r="AE990" s="7"/>
      <c r="AG990" s="36"/>
      <c r="AH990" s="36"/>
      <c r="AI990" s="35"/>
      <c r="AJ990" s="7"/>
      <c r="AK990" s="7"/>
      <c r="AL990" s="7"/>
      <c r="AM990" s="7"/>
      <c r="AN990" s="7"/>
      <c r="AO990" s="7"/>
      <c r="AP990" s="7"/>
      <c r="AQ990" s="7"/>
      <c r="AS990" s="36"/>
      <c r="AT990" s="36"/>
      <c r="AU990" s="35"/>
      <c r="AV990" s="7"/>
      <c r="AW990" s="7"/>
      <c r="AX990" s="7"/>
      <c r="AY990" s="7"/>
      <c r="AZ990" s="7"/>
      <c r="BA990" s="7"/>
      <c r="BB990" s="7"/>
      <c r="BC990" s="7"/>
      <c r="BF990" s="7"/>
      <c r="BG990" s="36"/>
      <c r="BH990" s="36"/>
      <c r="BI990" s="36"/>
      <c r="BJ990" s="36"/>
      <c r="BK990" s="36"/>
      <c r="BL990" s="36"/>
      <c r="BM990" s="36"/>
      <c r="BN990" s="36"/>
      <c r="BO990" s="36"/>
    </row>
    <row r="991" spans="1:67" x14ac:dyDescent="0.25">
      <c r="A991" s="39"/>
      <c r="B991" s="40"/>
      <c r="U991" s="36"/>
      <c r="V991" s="36"/>
      <c r="W991" s="35"/>
      <c r="X991" s="7"/>
      <c r="Y991" s="7"/>
      <c r="Z991" s="7"/>
      <c r="AA991" s="7"/>
      <c r="AB991" s="7"/>
      <c r="AC991" s="7"/>
      <c r="AD991" s="7"/>
      <c r="AE991" s="7"/>
      <c r="AG991" s="36"/>
      <c r="AH991" s="36"/>
      <c r="AI991" s="35"/>
      <c r="AJ991" s="7"/>
      <c r="AK991" s="7"/>
      <c r="AL991" s="7"/>
      <c r="AM991" s="7"/>
      <c r="AN991" s="7"/>
      <c r="AO991" s="7"/>
      <c r="AP991" s="7"/>
      <c r="AQ991" s="7"/>
      <c r="AS991" s="36"/>
      <c r="AT991" s="36"/>
      <c r="AU991" s="35"/>
      <c r="AV991" s="7"/>
      <c r="AW991" s="7"/>
      <c r="AX991" s="7"/>
      <c r="AY991" s="7"/>
      <c r="AZ991" s="7"/>
      <c r="BA991" s="7"/>
      <c r="BB991" s="7"/>
      <c r="BC991" s="7"/>
      <c r="BF991" s="7"/>
      <c r="BG991" s="36"/>
      <c r="BH991" s="36"/>
      <c r="BI991" s="36"/>
      <c r="BJ991" s="36"/>
      <c r="BK991" s="36"/>
      <c r="BL991" s="36"/>
      <c r="BM991" s="36"/>
      <c r="BN991" s="36"/>
      <c r="BO991" s="36"/>
    </row>
    <row r="992" spans="1:67" x14ac:dyDescent="0.25">
      <c r="A992" s="39"/>
      <c r="B992" s="40"/>
      <c r="U992" s="36"/>
      <c r="V992" s="36"/>
      <c r="W992" s="35"/>
      <c r="X992" s="7"/>
      <c r="Y992" s="7"/>
      <c r="Z992" s="7"/>
      <c r="AA992" s="7"/>
      <c r="AB992" s="7"/>
      <c r="AC992" s="7"/>
      <c r="AD992" s="7"/>
      <c r="AE992" s="7"/>
      <c r="AG992" s="36"/>
      <c r="AH992" s="36"/>
      <c r="AI992" s="35"/>
      <c r="AJ992" s="7"/>
      <c r="AK992" s="7"/>
      <c r="AL992" s="7"/>
      <c r="AM992" s="7"/>
      <c r="AN992" s="7"/>
      <c r="AO992" s="7"/>
      <c r="AP992" s="7"/>
      <c r="AQ992" s="7"/>
      <c r="AS992" s="36"/>
      <c r="AT992" s="36"/>
      <c r="AU992" s="35"/>
      <c r="AV992" s="7"/>
      <c r="AW992" s="7"/>
      <c r="AX992" s="7"/>
      <c r="AY992" s="7"/>
      <c r="AZ992" s="7"/>
      <c r="BA992" s="7"/>
      <c r="BB992" s="7"/>
      <c r="BC992" s="7"/>
      <c r="BF992" s="7"/>
      <c r="BG992" s="36"/>
      <c r="BH992" s="36"/>
      <c r="BI992" s="36"/>
      <c r="BJ992" s="36"/>
      <c r="BK992" s="36"/>
      <c r="BL992" s="36"/>
      <c r="BM992" s="36"/>
      <c r="BN992" s="36"/>
      <c r="BO992" s="36"/>
    </row>
    <row r="993" spans="1:67" x14ac:dyDescent="0.25">
      <c r="A993" s="39"/>
      <c r="B993" s="40"/>
      <c r="U993" s="36"/>
      <c r="V993" s="36"/>
      <c r="W993" s="35"/>
      <c r="X993" s="7"/>
      <c r="Y993" s="7"/>
      <c r="Z993" s="7"/>
      <c r="AA993" s="7"/>
      <c r="AB993" s="7"/>
      <c r="AC993" s="7"/>
      <c r="AD993" s="7"/>
      <c r="AE993" s="7"/>
      <c r="AG993" s="36"/>
      <c r="AH993" s="36"/>
      <c r="AI993" s="35"/>
      <c r="AJ993" s="7"/>
      <c r="AK993" s="7"/>
      <c r="AL993" s="7"/>
      <c r="AM993" s="7"/>
      <c r="AN993" s="7"/>
      <c r="AO993" s="7"/>
      <c r="AP993" s="7"/>
      <c r="AQ993" s="7"/>
      <c r="AS993" s="36"/>
      <c r="AT993" s="36"/>
      <c r="AU993" s="35"/>
      <c r="AV993" s="7"/>
      <c r="AW993" s="7"/>
      <c r="AX993" s="7"/>
      <c r="AY993" s="7"/>
      <c r="AZ993" s="7"/>
      <c r="BA993" s="7"/>
      <c r="BB993" s="7"/>
      <c r="BC993" s="7"/>
      <c r="BF993" s="7"/>
      <c r="BG993" s="36"/>
      <c r="BH993" s="36"/>
      <c r="BI993" s="36"/>
      <c r="BJ993" s="36"/>
      <c r="BK993" s="36"/>
      <c r="BL993" s="36"/>
      <c r="BM993" s="36"/>
      <c r="BN993" s="36"/>
      <c r="BO993" s="36"/>
    </row>
    <row r="994" spans="1:67" x14ac:dyDescent="0.25">
      <c r="A994" s="39"/>
      <c r="B994" s="40"/>
      <c r="U994" s="36"/>
      <c r="V994" s="36"/>
      <c r="W994" s="35"/>
      <c r="X994" s="7"/>
      <c r="Y994" s="7"/>
      <c r="Z994" s="7"/>
      <c r="AA994" s="7"/>
      <c r="AB994" s="7"/>
      <c r="AC994" s="7"/>
      <c r="AD994" s="7"/>
      <c r="AE994" s="7"/>
      <c r="AG994" s="36"/>
      <c r="AH994" s="36"/>
      <c r="AI994" s="35"/>
      <c r="AJ994" s="7"/>
      <c r="AK994" s="7"/>
      <c r="AL994" s="7"/>
      <c r="AM994" s="7"/>
      <c r="AN994" s="7"/>
      <c r="AO994" s="7"/>
      <c r="AP994" s="7"/>
      <c r="AQ994" s="7"/>
      <c r="AS994" s="36"/>
      <c r="AT994" s="36"/>
      <c r="AU994" s="35"/>
      <c r="AV994" s="7"/>
      <c r="AW994" s="7"/>
      <c r="AX994" s="7"/>
      <c r="AY994" s="7"/>
      <c r="AZ994" s="7"/>
      <c r="BA994" s="7"/>
      <c r="BB994" s="7"/>
      <c r="BC994" s="7"/>
      <c r="BF994" s="7"/>
      <c r="BG994" s="36"/>
      <c r="BH994" s="36"/>
      <c r="BI994" s="36"/>
      <c r="BJ994" s="36"/>
      <c r="BK994" s="36"/>
      <c r="BL994" s="36"/>
      <c r="BM994" s="36"/>
      <c r="BN994" s="36"/>
      <c r="BO994" s="36"/>
    </row>
    <row r="995" spans="1:67" x14ac:dyDescent="0.25">
      <c r="A995" s="39"/>
      <c r="B995" s="40"/>
      <c r="U995" s="36"/>
      <c r="V995" s="36"/>
      <c r="W995" s="35"/>
      <c r="X995" s="7"/>
      <c r="Y995" s="7"/>
      <c r="Z995" s="7"/>
      <c r="AA995" s="7"/>
      <c r="AB995" s="7"/>
      <c r="AC995" s="7"/>
      <c r="AD995" s="7"/>
      <c r="AE995" s="7"/>
      <c r="AG995" s="36"/>
      <c r="AH995" s="36"/>
      <c r="AI995" s="35"/>
      <c r="AJ995" s="7"/>
      <c r="AK995" s="7"/>
      <c r="AL995" s="7"/>
      <c r="AM995" s="7"/>
      <c r="AN995" s="7"/>
      <c r="AO995" s="7"/>
      <c r="AP995" s="7"/>
      <c r="AQ995" s="7"/>
      <c r="AS995" s="36"/>
      <c r="AT995" s="36"/>
      <c r="AU995" s="35"/>
      <c r="AV995" s="7"/>
      <c r="AW995" s="7"/>
      <c r="AX995" s="7"/>
      <c r="AY995" s="7"/>
      <c r="AZ995" s="7"/>
      <c r="BA995" s="7"/>
      <c r="BB995" s="7"/>
      <c r="BC995" s="7"/>
      <c r="BF995" s="7"/>
      <c r="BG995" s="36"/>
      <c r="BH995" s="36"/>
      <c r="BI995" s="36"/>
      <c r="BJ995" s="36"/>
      <c r="BK995" s="36"/>
      <c r="BL995" s="36"/>
      <c r="BM995" s="36"/>
      <c r="BN995" s="36"/>
      <c r="BO995" s="36"/>
    </row>
    <row r="996" spans="1:67" x14ac:dyDescent="0.25">
      <c r="A996" s="39"/>
      <c r="B996" s="40"/>
      <c r="U996" s="36"/>
      <c r="V996" s="36"/>
      <c r="W996" s="35"/>
      <c r="X996" s="7"/>
      <c r="Y996" s="7"/>
      <c r="Z996" s="7"/>
      <c r="AA996" s="7"/>
      <c r="AB996" s="7"/>
      <c r="AC996" s="7"/>
      <c r="AD996" s="7"/>
      <c r="AE996" s="7"/>
      <c r="AG996" s="36"/>
      <c r="AH996" s="36"/>
      <c r="AI996" s="35"/>
      <c r="AJ996" s="7"/>
      <c r="AK996" s="7"/>
      <c r="AL996" s="7"/>
      <c r="AM996" s="7"/>
      <c r="AN996" s="7"/>
      <c r="AO996" s="7"/>
      <c r="AP996" s="7"/>
      <c r="AQ996" s="7"/>
      <c r="AS996" s="36"/>
      <c r="AT996" s="36"/>
      <c r="AU996" s="35"/>
      <c r="AV996" s="7"/>
      <c r="AW996" s="7"/>
      <c r="AX996" s="7"/>
      <c r="AY996" s="7"/>
      <c r="AZ996" s="7"/>
      <c r="BA996" s="7"/>
      <c r="BB996" s="7"/>
      <c r="BC996" s="7"/>
      <c r="BF996" s="7"/>
      <c r="BG996" s="36"/>
      <c r="BH996" s="36"/>
      <c r="BI996" s="36"/>
      <c r="BJ996" s="36"/>
      <c r="BK996" s="36"/>
      <c r="BL996" s="36"/>
      <c r="BM996" s="36"/>
      <c r="BN996" s="36"/>
      <c r="BO996" s="36"/>
    </row>
    <row r="997" spans="1:67" x14ac:dyDescent="0.25">
      <c r="A997" s="39"/>
      <c r="B997" s="40"/>
      <c r="U997" s="36"/>
      <c r="V997" s="36"/>
      <c r="W997" s="35"/>
      <c r="X997" s="7"/>
      <c r="Y997" s="7"/>
      <c r="Z997" s="7"/>
      <c r="AA997" s="7"/>
      <c r="AB997" s="7"/>
      <c r="AC997" s="7"/>
      <c r="AD997" s="7"/>
      <c r="AE997" s="7"/>
      <c r="AG997" s="36"/>
      <c r="AH997" s="36"/>
      <c r="AI997" s="35"/>
      <c r="AJ997" s="7"/>
      <c r="AK997" s="7"/>
      <c r="AL997" s="7"/>
      <c r="AM997" s="7"/>
      <c r="AN997" s="7"/>
      <c r="AO997" s="7"/>
      <c r="AP997" s="7"/>
      <c r="AQ997" s="7"/>
      <c r="AS997" s="36"/>
      <c r="AT997" s="36"/>
      <c r="AU997" s="35"/>
      <c r="AV997" s="7"/>
      <c r="AW997" s="7"/>
      <c r="AX997" s="7"/>
      <c r="AY997" s="7"/>
      <c r="AZ997" s="7"/>
      <c r="BA997" s="7"/>
      <c r="BB997" s="7"/>
      <c r="BC997" s="7"/>
      <c r="BF997" s="7"/>
      <c r="BG997" s="36"/>
      <c r="BH997" s="36"/>
      <c r="BI997" s="36"/>
      <c r="BJ997" s="36"/>
      <c r="BK997" s="36"/>
      <c r="BL997" s="36"/>
      <c r="BM997" s="36"/>
      <c r="BN997" s="36"/>
      <c r="BO997" s="36"/>
    </row>
    <row r="998" spans="1:67" x14ac:dyDescent="0.25">
      <c r="A998" s="39"/>
      <c r="B998" s="40"/>
      <c r="U998" s="36"/>
      <c r="V998" s="36"/>
      <c r="W998" s="35"/>
      <c r="X998" s="7"/>
      <c r="Y998" s="7"/>
      <c r="Z998" s="7"/>
      <c r="AA998" s="7"/>
      <c r="AB998" s="7"/>
      <c r="AC998" s="7"/>
      <c r="AD998" s="7"/>
      <c r="AE998" s="7"/>
      <c r="AG998" s="36"/>
      <c r="AH998" s="36"/>
      <c r="AI998" s="35"/>
      <c r="AJ998" s="7"/>
      <c r="AK998" s="7"/>
      <c r="AL998" s="7"/>
      <c r="AM998" s="7"/>
      <c r="AN998" s="7"/>
      <c r="AO998" s="7"/>
      <c r="AP998" s="7"/>
      <c r="AQ998" s="7"/>
      <c r="AS998" s="36"/>
      <c r="AT998" s="36"/>
      <c r="AU998" s="35"/>
      <c r="AV998" s="7"/>
      <c r="AW998" s="7"/>
      <c r="AX998" s="7"/>
      <c r="AY998" s="7"/>
      <c r="AZ998" s="7"/>
      <c r="BA998" s="7"/>
      <c r="BB998" s="7"/>
      <c r="BC998" s="7"/>
      <c r="BF998" s="7"/>
      <c r="BG998" s="36"/>
      <c r="BH998" s="36"/>
      <c r="BI998" s="36"/>
      <c r="BJ998" s="36"/>
      <c r="BK998" s="36"/>
      <c r="BL998" s="36"/>
      <c r="BM998" s="36"/>
      <c r="BN998" s="36"/>
      <c r="BO998" s="36"/>
    </row>
    <row r="999" spans="1:67" x14ac:dyDescent="0.25">
      <c r="A999" s="39"/>
      <c r="B999" s="40"/>
      <c r="U999" s="36"/>
      <c r="V999" s="36"/>
      <c r="W999" s="35"/>
      <c r="X999" s="7"/>
      <c r="Y999" s="7"/>
      <c r="Z999" s="7"/>
      <c r="AA999" s="7"/>
      <c r="AB999" s="7"/>
      <c r="AC999" s="7"/>
      <c r="AD999" s="7"/>
      <c r="AE999" s="7"/>
      <c r="AG999" s="36"/>
      <c r="AH999" s="36"/>
      <c r="AI999" s="35"/>
      <c r="AJ999" s="7"/>
      <c r="AK999" s="7"/>
      <c r="AL999" s="7"/>
      <c r="AM999" s="7"/>
      <c r="AN999" s="7"/>
      <c r="AO999" s="7"/>
      <c r="AP999" s="7"/>
      <c r="AQ999" s="7"/>
      <c r="AS999" s="36"/>
      <c r="AT999" s="36"/>
      <c r="AU999" s="35"/>
      <c r="AV999" s="7"/>
      <c r="AW999" s="7"/>
      <c r="AX999" s="7"/>
      <c r="AY999" s="7"/>
      <c r="AZ999" s="7"/>
      <c r="BA999" s="7"/>
      <c r="BB999" s="7"/>
      <c r="BC999" s="7"/>
      <c r="BF999" s="7"/>
      <c r="BG999" s="36"/>
      <c r="BH999" s="36"/>
      <c r="BI999" s="36"/>
      <c r="BJ999" s="36"/>
      <c r="BK999" s="36"/>
      <c r="BL999" s="36"/>
      <c r="BM999" s="36"/>
      <c r="BN999" s="36"/>
      <c r="BO999" s="36"/>
    </row>
    <row r="1000" spans="1:67" x14ac:dyDescent="0.25">
      <c r="A1000" s="39"/>
      <c r="B1000" s="40"/>
      <c r="U1000" s="36"/>
      <c r="V1000" s="36"/>
      <c r="W1000" s="35"/>
      <c r="X1000" s="7"/>
      <c r="Y1000" s="7"/>
      <c r="Z1000" s="7"/>
      <c r="AA1000" s="7"/>
      <c r="AB1000" s="7"/>
      <c r="AC1000" s="7"/>
      <c r="AD1000" s="7"/>
      <c r="AE1000" s="7"/>
      <c r="AG1000" s="36"/>
      <c r="AH1000" s="36"/>
      <c r="AI1000" s="35"/>
      <c r="AJ1000" s="7"/>
      <c r="AK1000" s="7"/>
      <c r="AL1000" s="7"/>
      <c r="AM1000" s="7"/>
      <c r="AN1000" s="7"/>
      <c r="AO1000" s="7"/>
      <c r="AP1000" s="7"/>
      <c r="AQ1000" s="7"/>
      <c r="AS1000" s="36"/>
      <c r="AT1000" s="36"/>
      <c r="AU1000" s="35"/>
      <c r="AV1000" s="7"/>
      <c r="AW1000" s="7"/>
      <c r="AX1000" s="7"/>
      <c r="AY1000" s="7"/>
      <c r="AZ1000" s="7"/>
      <c r="BA1000" s="7"/>
      <c r="BB1000" s="7"/>
      <c r="BC1000" s="7"/>
      <c r="BF1000" s="7"/>
      <c r="BG1000" s="36"/>
      <c r="BH1000" s="36"/>
      <c r="BI1000" s="36"/>
      <c r="BJ1000" s="36"/>
      <c r="BK1000" s="36"/>
      <c r="BL1000" s="36"/>
      <c r="BM1000" s="36"/>
      <c r="BN1000" s="36"/>
      <c r="BO1000" s="36"/>
    </row>
    <row r="1001" spans="1:67" x14ac:dyDescent="0.25">
      <c r="A1001" s="39"/>
      <c r="B1001" s="40"/>
      <c r="U1001" s="36"/>
      <c r="V1001" s="36"/>
      <c r="W1001" s="35"/>
      <c r="X1001" s="7"/>
      <c r="Y1001" s="7"/>
      <c r="Z1001" s="7"/>
      <c r="AA1001" s="7"/>
      <c r="AB1001" s="7"/>
      <c r="AC1001" s="7"/>
      <c r="AD1001" s="7"/>
      <c r="AE1001" s="7"/>
      <c r="AG1001" s="36"/>
      <c r="AH1001" s="36"/>
      <c r="AI1001" s="35"/>
      <c r="AJ1001" s="7"/>
      <c r="AK1001" s="7"/>
      <c r="AL1001" s="7"/>
      <c r="AM1001" s="7"/>
      <c r="AN1001" s="7"/>
      <c r="AO1001" s="7"/>
      <c r="AP1001" s="7"/>
      <c r="AQ1001" s="7"/>
      <c r="AS1001" s="36"/>
      <c r="AT1001" s="36"/>
      <c r="AU1001" s="35"/>
      <c r="AV1001" s="7"/>
      <c r="AW1001" s="7"/>
      <c r="AX1001" s="7"/>
      <c r="AY1001" s="7"/>
      <c r="AZ1001" s="7"/>
      <c r="BA1001" s="7"/>
      <c r="BB1001" s="7"/>
      <c r="BC1001" s="7"/>
      <c r="BF1001" s="7"/>
      <c r="BG1001" s="36"/>
      <c r="BH1001" s="36"/>
      <c r="BI1001" s="36"/>
      <c r="BJ1001" s="36"/>
      <c r="BK1001" s="36"/>
      <c r="BL1001" s="36"/>
      <c r="BM1001" s="36"/>
      <c r="BN1001" s="36"/>
      <c r="BO1001" s="36"/>
    </row>
    <row r="1002" spans="1:67" x14ac:dyDescent="0.25">
      <c r="A1002" s="39"/>
      <c r="B1002" s="40"/>
      <c r="U1002" s="36"/>
      <c r="V1002" s="36"/>
      <c r="W1002" s="35"/>
      <c r="X1002" s="7"/>
      <c r="Y1002" s="7"/>
      <c r="Z1002" s="7"/>
      <c r="AA1002" s="7"/>
      <c r="AB1002" s="7"/>
      <c r="AC1002" s="7"/>
      <c r="AD1002" s="7"/>
      <c r="AE1002" s="7"/>
      <c r="AG1002" s="36"/>
      <c r="AH1002" s="36"/>
      <c r="AI1002" s="35"/>
      <c r="AJ1002" s="7"/>
      <c r="AK1002" s="7"/>
      <c r="AL1002" s="7"/>
      <c r="AM1002" s="7"/>
      <c r="AN1002" s="7"/>
      <c r="AO1002" s="7"/>
      <c r="AP1002" s="7"/>
      <c r="AQ1002" s="7"/>
      <c r="AS1002" s="36"/>
      <c r="AT1002" s="36"/>
      <c r="AU1002" s="35"/>
      <c r="AV1002" s="7"/>
      <c r="AW1002" s="7"/>
      <c r="AX1002" s="7"/>
      <c r="AY1002" s="7"/>
      <c r="AZ1002" s="7"/>
      <c r="BA1002" s="7"/>
      <c r="BB1002" s="7"/>
      <c r="BC1002" s="7"/>
      <c r="BF1002" s="7"/>
      <c r="BG1002" s="36"/>
      <c r="BH1002" s="36"/>
      <c r="BI1002" s="36"/>
      <c r="BJ1002" s="36"/>
      <c r="BK1002" s="36"/>
      <c r="BL1002" s="36"/>
      <c r="BM1002" s="36"/>
      <c r="BN1002" s="36"/>
      <c r="BO1002" s="36"/>
    </row>
    <row r="1003" spans="1:67" x14ac:dyDescent="0.25">
      <c r="A1003" s="39"/>
      <c r="B1003" s="40"/>
      <c r="U1003" s="36"/>
      <c r="V1003" s="36"/>
      <c r="W1003" s="35"/>
      <c r="X1003" s="7"/>
      <c r="Y1003" s="7"/>
      <c r="Z1003" s="7"/>
      <c r="AA1003" s="7"/>
      <c r="AB1003" s="7"/>
      <c r="AC1003" s="7"/>
      <c r="AD1003" s="7"/>
      <c r="AE1003" s="7"/>
      <c r="AG1003" s="36"/>
      <c r="AH1003" s="36"/>
      <c r="AI1003" s="35"/>
      <c r="AJ1003" s="7"/>
      <c r="AK1003" s="7"/>
      <c r="AL1003" s="7"/>
      <c r="AM1003" s="7"/>
      <c r="AN1003" s="7"/>
      <c r="AO1003" s="7"/>
      <c r="AP1003" s="7"/>
      <c r="AQ1003" s="7"/>
      <c r="AS1003" s="36"/>
      <c r="AT1003" s="36"/>
      <c r="AU1003" s="35"/>
      <c r="AV1003" s="7"/>
      <c r="AW1003" s="7"/>
      <c r="AX1003" s="7"/>
      <c r="AY1003" s="7"/>
      <c r="AZ1003" s="7"/>
      <c r="BA1003" s="7"/>
      <c r="BB1003" s="7"/>
      <c r="BC1003" s="7"/>
      <c r="BF1003" s="7"/>
      <c r="BG1003" s="36"/>
      <c r="BH1003" s="36"/>
      <c r="BI1003" s="36"/>
      <c r="BJ1003" s="36"/>
      <c r="BK1003" s="36"/>
      <c r="BL1003" s="36"/>
      <c r="BM1003" s="36"/>
      <c r="BN1003" s="36"/>
      <c r="BO1003" s="36"/>
    </row>
    <row r="1004" spans="1:67" x14ac:dyDescent="0.25">
      <c r="A1004" s="39"/>
      <c r="B1004" s="40"/>
      <c r="U1004" s="36"/>
      <c r="V1004" s="36"/>
      <c r="W1004" s="35"/>
      <c r="X1004" s="7"/>
      <c r="Y1004" s="7"/>
      <c r="Z1004" s="7"/>
      <c r="AA1004" s="7"/>
      <c r="AB1004" s="7"/>
      <c r="AC1004" s="7"/>
      <c r="AD1004" s="7"/>
      <c r="AE1004" s="7"/>
      <c r="AG1004" s="36"/>
      <c r="AH1004" s="36"/>
      <c r="AI1004" s="35"/>
      <c r="AJ1004" s="7"/>
      <c r="AK1004" s="7"/>
      <c r="AL1004" s="7"/>
      <c r="AM1004" s="7"/>
      <c r="AN1004" s="7"/>
      <c r="AO1004" s="7"/>
      <c r="AP1004" s="7"/>
      <c r="AQ1004" s="7"/>
      <c r="AS1004" s="36"/>
      <c r="AT1004" s="36"/>
      <c r="AU1004" s="35"/>
      <c r="AV1004" s="7"/>
      <c r="AW1004" s="7"/>
      <c r="AX1004" s="7"/>
      <c r="AY1004" s="7"/>
      <c r="AZ1004" s="7"/>
      <c r="BA1004" s="7"/>
      <c r="BB1004" s="7"/>
      <c r="BC1004" s="7"/>
      <c r="BF1004" s="7"/>
      <c r="BG1004" s="36"/>
      <c r="BH1004" s="36"/>
      <c r="BI1004" s="36"/>
      <c r="BJ1004" s="36"/>
      <c r="BK1004" s="36"/>
      <c r="BL1004" s="36"/>
      <c r="BM1004" s="36"/>
      <c r="BN1004" s="36"/>
      <c r="BO1004" s="36"/>
    </row>
    <row r="1005" spans="1:67" x14ac:dyDescent="0.25">
      <c r="A1005" s="39"/>
      <c r="B1005" s="40"/>
      <c r="U1005" s="36"/>
      <c r="V1005" s="36"/>
      <c r="W1005" s="35"/>
      <c r="X1005" s="7"/>
      <c r="Y1005" s="7"/>
      <c r="Z1005" s="7"/>
      <c r="AA1005" s="7"/>
      <c r="AB1005" s="7"/>
      <c r="AC1005" s="7"/>
      <c r="AD1005" s="7"/>
      <c r="AE1005" s="7"/>
      <c r="AG1005" s="36"/>
      <c r="AH1005" s="36"/>
      <c r="AI1005" s="35"/>
      <c r="AJ1005" s="7"/>
      <c r="AK1005" s="7"/>
      <c r="AL1005" s="7"/>
      <c r="AM1005" s="7"/>
      <c r="AN1005" s="7"/>
      <c r="AO1005" s="7"/>
      <c r="AP1005" s="7"/>
      <c r="AQ1005" s="7"/>
      <c r="AS1005" s="36"/>
      <c r="AT1005" s="36"/>
      <c r="AU1005" s="35"/>
      <c r="AV1005" s="7"/>
      <c r="AW1005" s="7"/>
      <c r="AX1005" s="7"/>
      <c r="AY1005" s="7"/>
      <c r="AZ1005" s="7"/>
      <c r="BA1005" s="7"/>
      <c r="BB1005" s="7"/>
      <c r="BC1005" s="7"/>
      <c r="BF1005" s="7"/>
      <c r="BG1005" s="36"/>
      <c r="BH1005" s="36"/>
      <c r="BI1005" s="36"/>
      <c r="BJ1005" s="36"/>
      <c r="BK1005" s="36"/>
      <c r="BL1005" s="36"/>
      <c r="BM1005" s="36"/>
      <c r="BN1005" s="36"/>
      <c r="BO1005" s="36"/>
    </row>
    <row r="1006" spans="1:67" x14ac:dyDescent="0.25">
      <c r="A1006" s="39"/>
      <c r="B1006" s="40"/>
      <c r="U1006" s="36"/>
      <c r="V1006" s="36"/>
      <c r="W1006" s="35"/>
      <c r="X1006" s="7"/>
      <c r="Y1006" s="7"/>
      <c r="Z1006" s="7"/>
      <c r="AA1006" s="7"/>
      <c r="AB1006" s="7"/>
      <c r="AC1006" s="7"/>
      <c r="AD1006" s="7"/>
      <c r="AE1006" s="7"/>
      <c r="AG1006" s="36"/>
      <c r="AH1006" s="36"/>
      <c r="AI1006" s="35"/>
      <c r="AJ1006" s="7"/>
      <c r="AK1006" s="7"/>
      <c r="AL1006" s="7"/>
      <c r="AM1006" s="7"/>
      <c r="AN1006" s="7"/>
      <c r="AO1006" s="7"/>
      <c r="AP1006" s="7"/>
      <c r="AQ1006" s="7"/>
      <c r="AS1006" s="36"/>
      <c r="AT1006" s="36"/>
      <c r="AU1006" s="35"/>
      <c r="AV1006" s="7"/>
      <c r="AW1006" s="7"/>
      <c r="AX1006" s="7"/>
      <c r="AY1006" s="7"/>
      <c r="AZ1006" s="7"/>
      <c r="BA1006" s="7"/>
      <c r="BB1006" s="7"/>
      <c r="BC1006" s="7"/>
      <c r="BF1006" s="7"/>
      <c r="BG1006" s="36"/>
      <c r="BH1006" s="36"/>
      <c r="BI1006" s="36"/>
      <c r="BJ1006" s="36"/>
      <c r="BK1006" s="36"/>
      <c r="BL1006" s="36"/>
      <c r="BM1006" s="36"/>
      <c r="BN1006" s="36"/>
      <c r="BO1006" s="36"/>
    </row>
    <row r="1007" spans="1:67" x14ac:dyDescent="0.25">
      <c r="A1007" s="39"/>
      <c r="B1007" s="40"/>
      <c r="U1007" s="36"/>
      <c r="V1007" s="36"/>
      <c r="W1007" s="35"/>
      <c r="X1007" s="7"/>
      <c r="Y1007" s="7"/>
      <c r="Z1007" s="7"/>
      <c r="AA1007" s="7"/>
      <c r="AB1007" s="7"/>
      <c r="AC1007" s="7"/>
      <c r="AD1007" s="7"/>
      <c r="AE1007" s="7"/>
      <c r="AG1007" s="36"/>
      <c r="AH1007" s="36"/>
      <c r="AI1007" s="35"/>
      <c r="AJ1007" s="7"/>
      <c r="AK1007" s="7"/>
      <c r="AL1007" s="7"/>
      <c r="AM1007" s="7"/>
      <c r="AN1007" s="7"/>
      <c r="AO1007" s="7"/>
      <c r="AP1007" s="7"/>
      <c r="AQ1007" s="7"/>
      <c r="AS1007" s="36"/>
      <c r="AT1007" s="36"/>
      <c r="AU1007" s="35"/>
      <c r="AV1007" s="7"/>
      <c r="AW1007" s="7"/>
      <c r="AX1007" s="7"/>
      <c r="AY1007" s="7"/>
      <c r="AZ1007" s="7"/>
      <c r="BA1007" s="7"/>
      <c r="BB1007" s="7"/>
      <c r="BC1007" s="7"/>
      <c r="BF1007" s="7"/>
      <c r="BG1007" s="36"/>
      <c r="BH1007" s="36"/>
      <c r="BI1007" s="36"/>
      <c r="BJ1007" s="36"/>
      <c r="BK1007" s="36"/>
      <c r="BL1007" s="36"/>
      <c r="BM1007" s="36"/>
      <c r="BN1007" s="36"/>
      <c r="BO1007" s="36"/>
    </row>
    <row r="1008" spans="1:67" x14ac:dyDescent="0.25">
      <c r="A1008" s="39"/>
      <c r="B1008" s="40"/>
      <c r="U1008" s="36"/>
      <c r="V1008" s="36"/>
      <c r="W1008" s="35"/>
      <c r="X1008" s="7"/>
      <c r="Y1008" s="7"/>
      <c r="Z1008" s="7"/>
      <c r="AA1008" s="7"/>
      <c r="AB1008" s="7"/>
      <c r="AC1008" s="7"/>
      <c r="AD1008" s="7"/>
      <c r="AE1008" s="7"/>
      <c r="AG1008" s="36"/>
      <c r="AH1008" s="36"/>
      <c r="AI1008" s="35"/>
      <c r="AJ1008" s="7"/>
      <c r="AK1008" s="7"/>
      <c r="AL1008" s="7"/>
      <c r="AM1008" s="7"/>
      <c r="AN1008" s="7"/>
      <c r="AO1008" s="7"/>
      <c r="AP1008" s="7"/>
      <c r="AQ1008" s="7"/>
      <c r="AS1008" s="36"/>
      <c r="AT1008" s="36"/>
      <c r="AU1008" s="35"/>
      <c r="AV1008" s="7"/>
      <c r="AW1008" s="7"/>
      <c r="AX1008" s="7"/>
      <c r="AY1008" s="7"/>
      <c r="AZ1008" s="7"/>
      <c r="BA1008" s="7"/>
      <c r="BB1008" s="7"/>
      <c r="BC1008" s="7"/>
      <c r="BF1008" s="7"/>
      <c r="BG1008" s="36"/>
      <c r="BH1008" s="36"/>
      <c r="BI1008" s="36"/>
      <c r="BJ1008" s="36"/>
      <c r="BK1008" s="36"/>
      <c r="BL1008" s="36"/>
      <c r="BM1008" s="36"/>
      <c r="BN1008" s="36"/>
      <c r="BO1008" s="36"/>
    </row>
    <row r="1009" spans="1:67" x14ac:dyDescent="0.25">
      <c r="A1009" s="39"/>
      <c r="B1009" s="40"/>
      <c r="U1009" s="36"/>
      <c r="V1009" s="36"/>
      <c r="W1009" s="35"/>
      <c r="X1009" s="7"/>
      <c r="Y1009" s="7"/>
      <c r="Z1009" s="7"/>
      <c r="AA1009" s="7"/>
      <c r="AB1009" s="7"/>
      <c r="AC1009" s="7"/>
      <c r="AD1009" s="7"/>
      <c r="AE1009" s="7"/>
      <c r="AG1009" s="36"/>
      <c r="AH1009" s="36"/>
      <c r="AI1009" s="35"/>
      <c r="AJ1009" s="7"/>
      <c r="AK1009" s="7"/>
      <c r="AL1009" s="7"/>
      <c r="AM1009" s="7"/>
      <c r="AN1009" s="7"/>
      <c r="AO1009" s="7"/>
      <c r="AP1009" s="7"/>
      <c r="AQ1009" s="7"/>
      <c r="AS1009" s="36"/>
      <c r="AT1009" s="36"/>
      <c r="AU1009" s="35"/>
      <c r="AV1009" s="7"/>
      <c r="AW1009" s="7"/>
      <c r="AX1009" s="7"/>
      <c r="AY1009" s="7"/>
      <c r="AZ1009" s="7"/>
      <c r="BA1009" s="7"/>
      <c r="BB1009" s="7"/>
      <c r="BC1009" s="7"/>
      <c r="BF1009" s="7"/>
      <c r="BG1009" s="36"/>
      <c r="BH1009" s="36"/>
      <c r="BI1009" s="36"/>
      <c r="BJ1009" s="36"/>
      <c r="BK1009" s="36"/>
      <c r="BL1009" s="36"/>
      <c r="BM1009" s="36"/>
      <c r="BN1009" s="36"/>
      <c r="BO1009" s="36"/>
    </row>
    <row r="1010" spans="1:67" x14ac:dyDescent="0.25">
      <c r="A1010" s="39"/>
      <c r="B1010" s="40"/>
      <c r="U1010" s="36"/>
      <c r="V1010" s="36"/>
      <c r="W1010" s="35"/>
      <c r="X1010" s="7"/>
      <c r="Y1010" s="7"/>
      <c r="Z1010" s="7"/>
      <c r="AA1010" s="7"/>
      <c r="AB1010" s="7"/>
      <c r="AC1010" s="7"/>
      <c r="AD1010" s="7"/>
      <c r="AE1010" s="7"/>
      <c r="AG1010" s="36"/>
      <c r="AH1010" s="36"/>
      <c r="AI1010" s="35"/>
      <c r="AJ1010" s="7"/>
      <c r="AK1010" s="7"/>
      <c r="AL1010" s="7"/>
      <c r="AM1010" s="7"/>
      <c r="AN1010" s="7"/>
      <c r="AO1010" s="7"/>
      <c r="AP1010" s="7"/>
      <c r="AQ1010" s="7"/>
      <c r="AS1010" s="36"/>
      <c r="AT1010" s="36"/>
      <c r="AU1010" s="35"/>
      <c r="AV1010" s="7"/>
      <c r="AW1010" s="7"/>
      <c r="AX1010" s="7"/>
      <c r="AY1010" s="7"/>
      <c r="AZ1010" s="7"/>
      <c r="BA1010" s="7"/>
      <c r="BB1010" s="7"/>
      <c r="BC1010" s="7"/>
      <c r="BF1010" s="7"/>
      <c r="BG1010" s="36"/>
      <c r="BH1010" s="36"/>
      <c r="BI1010" s="36"/>
      <c r="BJ1010" s="36"/>
      <c r="BK1010" s="36"/>
      <c r="BL1010" s="36"/>
      <c r="BM1010" s="36"/>
      <c r="BN1010" s="36"/>
      <c r="BO1010" s="36"/>
    </row>
    <row r="1011" spans="1:67" x14ac:dyDescent="0.25">
      <c r="A1011" s="39"/>
      <c r="B1011" s="40"/>
      <c r="U1011" s="36"/>
      <c r="V1011" s="36"/>
      <c r="W1011" s="35"/>
      <c r="X1011" s="7"/>
      <c r="Y1011" s="7"/>
      <c r="Z1011" s="7"/>
      <c r="AA1011" s="7"/>
      <c r="AB1011" s="7"/>
      <c r="AC1011" s="7"/>
      <c r="AD1011" s="7"/>
      <c r="AE1011" s="7"/>
      <c r="AG1011" s="36"/>
      <c r="AH1011" s="36"/>
      <c r="AI1011" s="35"/>
      <c r="AJ1011" s="7"/>
      <c r="AK1011" s="7"/>
      <c r="AL1011" s="7"/>
      <c r="AM1011" s="7"/>
      <c r="AN1011" s="7"/>
      <c r="AO1011" s="7"/>
      <c r="AP1011" s="7"/>
      <c r="AQ1011" s="7"/>
      <c r="AS1011" s="36"/>
      <c r="AT1011" s="36"/>
      <c r="AU1011" s="35"/>
      <c r="AV1011" s="7"/>
      <c r="AW1011" s="7"/>
      <c r="AX1011" s="7"/>
      <c r="AY1011" s="7"/>
      <c r="AZ1011" s="7"/>
      <c r="BA1011" s="7"/>
      <c r="BB1011" s="7"/>
      <c r="BC1011" s="7"/>
      <c r="BF1011" s="7"/>
      <c r="BG1011" s="36"/>
      <c r="BH1011" s="36"/>
      <c r="BI1011" s="36"/>
      <c r="BJ1011" s="36"/>
      <c r="BK1011" s="36"/>
      <c r="BL1011" s="36"/>
      <c r="BM1011" s="36"/>
      <c r="BN1011" s="36"/>
      <c r="BO1011" s="36"/>
    </row>
    <row r="1012" spans="1:67" x14ac:dyDescent="0.25">
      <c r="A1012" s="39"/>
      <c r="B1012" s="40"/>
      <c r="U1012" s="36"/>
      <c r="V1012" s="36"/>
      <c r="W1012" s="35"/>
      <c r="X1012" s="7"/>
      <c r="Y1012" s="7"/>
      <c r="Z1012" s="7"/>
      <c r="AA1012" s="7"/>
      <c r="AB1012" s="7"/>
      <c r="AC1012" s="7"/>
      <c r="AD1012" s="7"/>
      <c r="AE1012" s="7"/>
      <c r="AG1012" s="36"/>
      <c r="AH1012" s="36"/>
      <c r="AI1012" s="35"/>
      <c r="AJ1012" s="7"/>
      <c r="AK1012" s="7"/>
      <c r="AL1012" s="7"/>
      <c r="AM1012" s="7"/>
      <c r="AN1012" s="7"/>
      <c r="AO1012" s="7"/>
      <c r="AP1012" s="7"/>
      <c r="AQ1012" s="7"/>
      <c r="AS1012" s="36"/>
      <c r="AT1012" s="36"/>
      <c r="AU1012" s="35"/>
      <c r="AV1012" s="7"/>
      <c r="AW1012" s="7"/>
      <c r="AX1012" s="7"/>
      <c r="AY1012" s="7"/>
      <c r="AZ1012" s="7"/>
      <c r="BA1012" s="7"/>
      <c r="BB1012" s="7"/>
      <c r="BC1012" s="7"/>
      <c r="BF1012" s="7"/>
      <c r="BG1012" s="36"/>
      <c r="BH1012" s="36"/>
      <c r="BI1012" s="36"/>
      <c r="BJ1012" s="36"/>
      <c r="BK1012" s="36"/>
      <c r="BL1012" s="36"/>
      <c r="BM1012" s="36"/>
      <c r="BN1012" s="36"/>
      <c r="BO1012" s="36"/>
    </row>
    <row r="1013" spans="1:67" x14ac:dyDescent="0.25">
      <c r="A1013" s="39"/>
      <c r="B1013" s="40"/>
      <c r="U1013" s="36"/>
      <c r="V1013" s="36"/>
      <c r="W1013" s="35"/>
      <c r="X1013" s="7"/>
      <c r="Y1013" s="7"/>
      <c r="Z1013" s="7"/>
      <c r="AA1013" s="7"/>
      <c r="AB1013" s="7"/>
      <c r="AC1013" s="7"/>
      <c r="AD1013" s="7"/>
      <c r="AE1013" s="7"/>
      <c r="AG1013" s="36"/>
      <c r="AH1013" s="36"/>
      <c r="AI1013" s="35"/>
      <c r="AJ1013" s="7"/>
      <c r="AK1013" s="7"/>
      <c r="AL1013" s="7"/>
      <c r="AM1013" s="7"/>
      <c r="AN1013" s="7"/>
      <c r="AO1013" s="7"/>
      <c r="AP1013" s="7"/>
      <c r="AQ1013" s="7"/>
      <c r="AS1013" s="36"/>
      <c r="AT1013" s="36"/>
      <c r="AU1013" s="35"/>
      <c r="AV1013" s="7"/>
      <c r="AW1013" s="7"/>
      <c r="AX1013" s="7"/>
      <c r="AY1013" s="7"/>
      <c r="AZ1013" s="7"/>
      <c r="BA1013" s="7"/>
      <c r="BB1013" s="7"/>
      <c r="BC1013" s="7"/>
      <c r="BF1013" s="7"/>
      <c r="BG1013" s="36"/>
      <c r="BH1013" s="36"/>
      <c r="BI1013" s="36"/>
      <c r="BJ1013" s="36"/>
      <c r="BK1013" s="36"/>
      <c r="BL1013" s="36"/>
      <c r="BM1013" s="36"/>
      <c r="BN1013" s="36"/>
      <c r="BO1013" s="36"/>
    </row>
    <row r="1014" spans="1:67" x14ac:dyDescent="0.25">
      <c r="A1014" s="39"/>
      <c r="B1014" s="40"/>
      <c r="U1014" s="36"/>
      <c r="V1014" s="36"/>
      <c r="W1014" s="35"/>
      <c r="X1014" s="7"/>
      <c r="Y1014" s="7"/>
      <c r="Z1014" s="7"/>
      <c r="AA1014" s="7"/>
      <c r="AB1014" s="7"/>
      <c r="AC1014" s="7"/>
      <c r="AD1014" s="7"/>
      <c r="AE1014" s="7"/>
      <c r="AG1014" s="36"/>
      <c r="AH1014" s="36"/>
      <c r="AI1014" s="35"/>
      <c r="AJ1014" s="7"/>
      <c r="AK1014" s="7"/>
      <c r="AL1014" s="7"/>
      <c r="AM1014" s="7"/>
      <c r="AN1014" s="7"/>
      <c r="AO1014" s="7"/>
      <c r="AP1014" s="7"/>
      <c r="AQ1014" s="7"/>
      <c r="AS1014" s="36"/>
      <c r="AT1014" s="36"/>
      <c r="AU1014" s="35"/>
      <c r="AV1014" s="7"/>
      <c r="AW1014" s="7"/>
      <c r="AX1014" s="7"/>
      <c r="AY1014" s="7"/>
      <c r="AZ1014" s="7"/>
      <c r="BA1014" s="7"/>
      <c r="BB1014" s="7"/>
      <c r="BC1014" s="7"/>
      <c r="BF1014" s="7"/>
      <c r="BG1014" s="36"/>
      <c r="BH1014" s="36"/>
      <c r="BI1014" s="36"/>
      <c r="BJ1014" s="36"/>
      <c r="BK1014" s="36"/>
      <c r="BL1014" s="36"/>
      <c r="BM1014" s="36"/>
      <c r="BN1014" s="36"/>
      <c r="BO1014" s="36"/>
    </row>
    <row r="1015" spans="1:67" x14ac:dyDescent="0.25">
      <c r="A1015" s="39"/>
      <c r="B1015" s="40"/>
      <c r="U1015" s="36"/>
      <c r="V1015" s="36"/>
      <c r="W1015" s="35"/>
      <c r="X1015" s="7"/>
      <c r="Y1015" s="7"/>
      <c r="Z1015" s="7"/>
      <c r="AA1015" s="7"/>
      <c r="AB1015" s="7"/>
      <c r="AC1015" s="7"/>
      <c r="AD1015" s="7"/>
      <c r="AE1015" s="7"/>
      <c r="AG1015" s="36"/>
      <c r="AH1015" s="36"/>
      <c r="AI1015" s="35"/>
      <c r="AJ1015" s="7"/>
      <c r="AK1015" s="7"/>
      <c r="AL1015" s="7"/>
      <c r="AM1015" s="7"/>
      <c r="AN1015" s="7"/>
      <c r="AO1015" s="7"/>
      <c r="AP1015" s="7"/>
      <c r="AQ1015" s="7"/>
      <c r="AS1015" s="36"/>
      <c r="AT1015" s="36"/>
      <c r="AU1015" s="35"/>
      <c r="AV1015" s="7"/>
      <c r="AW1015" s="7"/>
      <c r="AX1015" s="7"/>
      <c r="AY1015" s="7"/>
      <c r="AZ1015" s="7"/>
      <c r="BA1015" s="7"/>
      <c r="BB1015" s="7"/>
      <c r="BC1015" s="7"/>
      <c r="BF1015" s="7"/>
      <c r="BG1015" s="36"/>
      <c r="BH1015" s="36"/>
      <c r="BI1015" s="36"/>
      <c r="BJ1015" s="36"/>
      <c r="BK1015" s="36"/>
      <c r="BL1015" s="36"/>
      <c r="BM1015" s="36"/>
      <c r="BN1015" s="36"/>
      <c r="BO1015" s="36"/>
    </row>
    <row r="1016" spans="1:67" x14ac:dyDescent="0.25">
      <c r="A1016" s="39"/>
      <c r="B1016" s="40"/>
      <c r="U1016" s="36"/>
      <c r="V1016" s="36"/>
      <c r="W1016" s="35"/>
      <c r="X1016" s="7"/>
      <c r="Y1016" s="7"/>
      <c r="Z1016" s="7"/>
      <c r="AA1016" s="7"/>
      <c r="AB1016" s="7"/>
      <c r="AC1016" s="7"/>
      <c r="AD1016" s="7"/>
      <c r="AE1016" s="7"/>
      <c r="AG1016" s="36"/>
      <c r="AH1016" s="36"/>
      <c r="AI1016" s="35"/>
      <c r="AJ1016" s="7"/>
      <c r="AK1016" s="7"/>
      <c r="AL1016" s="7"/>
      <c r="AM1016" s="7"/>
      <c r="AN1016" s="7"/>
      <c r="AO1016" s="7"/>
      <c r="AP1016" s="7"/>
      <c r="AQ1016" s="7"/>
      <c r="AS1016" s="36"/>
      <c r="AT1016" s="36"/>
      <c r="AU1016" s="35"/>
      <c r="AV1016" s="7"/>
      <c r="AW1016" s="7"/>
      <c r="AX1016" s="7"/>
      <c r="AY1016" s="7"/>
      <c r="AZ1016" s="7"/>
      <c r="BA1016" s="7"/>
      <c r="BB1016" s="7"/>
      <c r="BC1016" s="7"/>
      <c r="BF1016" s="7"/>
      <c r="BG1016" s="36"/>
      <c r="BH1016" s="36"/>
      <c r="BI1016" s="36"/>
      <c r="BJ1016" s="36"/>
      <c r="BK1016" s="36"/>
      <c r="BL1016" s="36"/>
      <c r="BM1016" s="36"/>
      <c r="BN1016" s="36"/>
      <c r="BO1016" s="36"/>
    </row>
    <row r="1017" spans="1:67" x14ac:dyDescent="0.25">
      <c r="A1017" s="39"/>
      <c r="B1017" s="40"/>
      <c r="U1017" s="36"/>
      <c r="V1017" s="36"/>
      <c r="W1017" s="35"/>
      <c r="X1017" s="7"/>
      <c r="Y1017" s="7"/>
      <c r="Z1017" s="7"/>
      <c r="AA1017" s="7"/>
      <c r="AB1017" s="7"/>
      <c r="AC1017" s="7"/>
      <c r="AD1017" s="7"/>
      <c r="AE1017" s="7"/>
      <c r="AG1017" s="36"/>
      <c r="AH1017" s="36"/>
      <c r="AI1017" s="35"/>
      <c r="AJ1017" s="7"/>
      <c r="AK1017" s="7"/>
      <c r="AL1017" s="7"/>
      <c r="AM1017" s="7"/>
      <c r="AN1017" s="7"/>
      <c r="AO1017" s="7"/>
      <c r="AP1017" s="7"/>
      <c r="AQ1017" s="7"/>
      <c r="AS1017" s="36"/>
      <c r="AT1017" s="36"/>
      <c r="AU1017" s="35"/>
      <c r="AV1017" s="7"/>
      <c r="AW1017" s="7"/>
      <c r="AX1017" s="7"/>
      <c r="AY1017" s="7"/>
      <c r="AZ1017" s="7"/>
      <c r="BA1017" s="7"/>
      <c r="BB1017" s="7"/>
      <c r="BC1017" s="7"/>
      <c r="BF1017" s="7"/>
      <c r="BG1017" s="36"/>
      <c r="BH1017" s="36"/>
      <c r="BI1017" s="36"/>
      <c r="BJ1017" s="36"/>
      <c r="BK1017" s="36"/>
      <c r="BL1017" s="36"/>
      <c r="BM1017" s="36"/>
      <c r="BN1017" s="36"/>
      <c r="BO1017" s="36"/>
    </row>
    <row r="1018" spans="1:67" x14ac:dyDescent="0.25">
      <c r="A1018" s="39"/>
      <c r="B1018" s="40"/>
      <c r="U1018" s="36"/>
      <c r="V1018" s="36"/>
      <c r="W1018" s="35"/>
      <c r="X1018" s="7"/>
      <c r="Y1018" s="7"/>
      <c r="Z1018" s="7"/>
      <c r="AA1018" s="7"/>
      <c r="AB1018" s="7"/>
      <c r="AC1018" s="7"/>
      <c r="AD1018" s="7"/>
      <c r="AE1018" s="7"/>
      <c r="AG1018" s="36"/>
      <c r="AH1018" s="36"/>
      <c r="AI1018" s="35"/>
      <c r="AJ1018" s="7"/>
      <c r="AK1018" s="7"/>
      <c r="AL1018" s="7"/>
      <c r="AM1018" s="7"/>
      <c r="AN1018" s="7"/>
      <c r="AO1018" s="7"/>
      <c r="AP1018" s="7"/>
      <c r="AQ1018" s="7"/>
      <c r="AS1018" s="36"/>
      <c r="AT1018" s="36"/>
      <c r="AU1018" s="35"/>
      <c r="AV1018" s="7"/>
      <c r="AW1018" s="7"/>
      <c r="AX1018" s="7"/>
      <c r="AY1018" s="7"/>
      <c r="AZ1018" s="7"/>
      <c r="BA1018" s="7"/>
      <c r="BB1018" s="7"/>
      <c r="BC1018" s="7"/>
      <c r="BF1018" s="7"/>
      <c r="BG1018" s="36"/>
      <c r="BH1018" s="36"/>
      <c r="BI1018" s="36"/>
      <c r="BJ1018" s="36"/>
      <c r="BK1018" s="36"/>
      <c r="BL1018" s="36"/>
      <c r="BM1018" s="36"/>
      <c r="BN1018" s="36"/>
      <c r="BO1018" s="36"/>
    </row>
    <row r="1019" spans="1:67" x14ac:dyDescent="0.25">
      <c r="A1019" s="39"/>
      <c r="B1019" s="40"/>
      <c r="U1019" s="36"/>
      <c r="V1019" s="36"/>
      <c r="W1019" s="35"/>
      <c r="X1019" s="7"/>
      <c r="Y1019" s="7"/>
      <c r="Z1019" s="7"/>
      <c r="AA1019" s="7"/>
      <c r="AB1019" s="7"/>
      <c r="AC1019" s="7"/>
      <c r="AD1019" s="7"/>
      <c r="AE1019" s="7"/>
      <c r="AG1019" s="36"/>
      <c r="AH1019" s="36"/>
      <c r="AI1019" s="35"/>
      <c r="AJ1019" s="7"/>
      <c r="AK1019" s="7"/>
      <c r="AL1019" s="7"/>
      <c r="AM1019" s="7"/>
      <c r="AN1019" s="7"/>
      <c r="AO1019" s="7"/>
      <c r="AP1019" s="7"/>
      <c r="AQ1019" s="7"/>
      <c r="AS1019" s="36"/>
      <c r="AT1019" s="36"/>
      <c r="AU1019" s="35"/>
      <c r="AV1019" s="7"/>
      <c r="AW1019" s="7"/>
      <c r="AX1019" s="7"/>
      <c r="AY1019" s="7"/>
      <c r="AZ1019" s="7"/>
      <c r="BA1019" s="7"/>
      <c r="BB1019" s="7"/>
      <c r="BC1019" s="7"/>
      <c r="BF1019" s="7"/>
      <c r="BG1019" s="36"/>
      <c r="BH1019" s="36"/>
      <c r="BI1019" s="36"/>
      <c r="BJ1019" s="36"/>
      <c r="BK1019" s="36"/>
      <c r="BL1019" s="36"/>
      <c r="BM1019" s="36"/>
      <c r="BN1019" s="36"/>
      <c r="BO1019" s="36"/>
    </row>
    <row r="1020" spans="1:67" x14ac:dyDescent="0.25">
      <c r="A1020" s="39"/>
      <c r="B1020" s="40"/>
      <c r="U1020" s="36"/>
      <c r="V1020" s="36"/>
      <c r="W1020" s="35"/>
      <c r="X1020" s="7"/>
      <c r="Y1020" s="7"/>
      <c r="Z1020" s="7"/>
      <c r="AA1020" s="7"/>
      <c r="AB1020" s="7"/>
      <c r="AC1020" s="7"/>
      <c r="AD1020" s="7"/>
      <c r="AE1020" s="7"/>
      <c r="AG1020" s="36"/>
      <c r="AH1020" s="36"/>
      <c r="AI1020" s="35"/>
      <c r="AJ1020" s="7"/>
      <c r="AK1020" s="7"/>
      <c r="AL1020" s="7"/>
      <c r="AM1020" s="7"/>
      <c r="AN1020" s="7"/>
      <c r="AO1020" s="7"/>
      <c r="AP1020" s="7"/>
      <c r="AQ1020" s="7"/>
      <c r="AS1020" s="36"/>
      <c r="AT1020" s="36"/>
      <c r="AU1020" s="35"/>
      <c r="AV1020" s="7"/>
      <c r="AW1020" s="7"/>
      <c r="AX1020" s="7"/>
      <c r="AY1020" s="7"/>
      <c r="AZ1020" s="7"/>
      <c r="BA1020" s="7"/>
      <c r="BB1020" s="7"/>
      <c r="BC1020" s="7"/>
      <c r="BF1020" s="7"/>
      <c r="BG1020" s="36"/>
      <c r="BH1020" s="36"/>
      <c r="BI1020" s="36"/>
      <c r="BJ1020" s="36"/>
      <c r="BK1020" s="36"/>
      <c r="BL1020" s="36"/>
      <c r="BM1020" s="36"/>
      <c r="BN1020" s="36"/>
      <c r="BO1020" s="36"/>
    </row>
    <row r="1021" spans="1:67" x14ac:dyDescent="0.25">
      <c r="A1021" s="39"/>
      <c r="B1021" s="40"/>
      <c r="U1021" s="36"/>
      <c r="V1021" s="36"/>
      <c r="W1021" s="35"/>
      <c r="X1021" s="7"/>
      <c r="Y1021" s="7"/>
      <c r="Z1021" s="7"/>
      <c r="AA1021" s="7"/>
      <c r="AB1021" s="7"/>
      <c r="AC1021" s="7"/>
      <c r="AD1021" s="7"/>
      <c r="AE1021" s="7"/>
      <c r="AG1021" s="36"/>
      <c r="AH1021" s="36"/>
      <c r="AI1021" s="35"/>
      <c r="AJ1021" s="7"/>
      <c r="AK1021" s="7"/>
      <c r="AL1021" s="7"/>
      <c r="AM1021" s="7"/>
      <c r="AN1021" s="7"/>
      <c r="AO1021" s="7"/>
      <c r="AP1021" s="7"/>
      <c r="AQ1021" s="7"/>
      <c r="AS1021" s="36"/>
      <c r="AT1021" s="36"/>
      <c r="AU1021" s="35"/>
      <c r="AV1021" s="7"/>
      <c r="AW1021" s="7"/>
      <c r="AX1021" s="7"/>
      <c r="AY1021" s="7"/>
      <c r="AZ1021" s="7"/>
      <c r="BA1021" s="7"/>
      <c r="BB1021" s="7"/>
      <c r="BC1021" s="7"/>
      <c r="BF1021" s="7"/>
      <c r="BG1021" s="36"/>
      <c r="BH1021" s="36"/>
      <c r="BI1021" s="36"/>
      <c r="BJ1021" s="36"/>
      <c r="BK1021" s="36"/>
      <c r="BL1021" s="36"/>
      <c r="BM1021" s="36"/>
      <c r="BN1021" s="36"/>
      <c r="BO1021" s="36"/>
    </row>
    <row r="1022" spans="1:67" x14ac:dyDescent="0.25">
      <c r="A1022" s="39"/>
      <c r="B1022" s="40"/>
      <c r="U1022" s="36"/>
      <c r="V1022" s="36"/>
      <c r="W1022" s="35"/>
      <c r="X1022" s="7"/>
      <c r="Y1022" s="7"/>
      <c r="Z1022" s="7"/>
      <c r="AA1022" s="7"/>
      <c r="AB1022" s="7"/>
      <c r="AC1022" s="7"/>
      <c r="AD1022" s="7"/>
      <c r="AE1022" s="7"/>
      <c r="AG1022" s="36"/>
      <c r="AH1022" s="36"/>
      <c r="AI1022" s="35"/>
      <c r="AJ1022" s="7"/>
      <c r="AK1022" s="7"/>
      <c r="AL1022" s="7"/>
      <c r="AM1022" s="7"/>
      <c r="AN1022" s="7"/>
      <c r="AO1022" s="7"/>
      <c r="AP1022" s="7"/>
      <c r="AQ1022" s="7"/>
      <c r="AS1022" s="36"/>
      <c r="AT1022" s="36"/>
      <c r="AU1022" s="35"/>
      <c r="AV1022" s="7"/>
      <c r="AW1022" s="7"/>
      <c r="AX1022" s="7"/>
      <c r="AY1022" s="7"/>
      <c r="AZ1022" s="7"/>
      <c r="BA1022" s="7"/>
      <c r="BB1022" s="7"/>
      <c r="BC1022" s="7"/>
      <c r="BF1022" s="7"/>
      <c r="BG1022" s="36"/>
      <c r="BH1022" s="36"/>
      <c r="BI1022" s="36"/>
      <c r="BJ1022" s="36"/>
      <c r="BK1022" s="36"/>
      <c r="BL1022" s="36"/>
      <c r="BM1022" s="36"/>
      <c r="BN1022" s="36"/>
      <c r="BO1022" s="36"/>
    </row>
    <row r="1023" spans="1:67" x14ac:dyDescent="0.25">
      <c r="A1023" s="39"/>
      <c r="B1023" s="40"/>
      <c r="U1023" s="36"/>
      <c r="V1023" s="36"/>
      <c r="W1023" s="35"/>
      <c r="X1023" s="7"/>
      <c r="Y1023" s="7"/>
      <c r="Z1023" s="7"/>
      <c r="AA1023" s="7"/>
      <c r="AB1023" s="7"/>
      <c r="AC1023" s="7"/>
      <c r="AD1023" s="7"/>
      <c r="AE1023" s="7"/>
      <c r="AG1023" s="36"/>
      <c r="AH1023" s="36"/>
      <c r="AI1023" s="35"/>
      <c r="AJ1023" s="7"/>
      <c r="AK1023" s="7"/>
      <c r="AL1023" s="7"/>
      <c r="AM1023" s="7"/>
      <c r="AN1023" s="7"/>
      <c r="AO1023" s="7"/>
      <c r="AP1023" s="7"/>
      <c r="AQ1023" s="7"/>
      <c r="AS1023" s="36"/>
      <c r="AT1023" s="36"/>
      <c r="AU1023" s="35"/>
      <c r="AV1023" s="7"/>
      <c r="AW1023" s="7"/>
      <c r="AX1023" s="7"/>
      <c r="AY1023" s="7"/>
      <c r="AZ1023" s="7"/>
      <c r="BA1023" s="7"/>
      <c r="BB1023" s="7"/>
      <c r="BC1023" s="7"/>
      <c r="BF1023" s="7"/>
      <c r="BG1023" s="36"/>
      <c r="BH1023" s="36"/>
      <c r="BI1023" s="36"/>
      <c r="BJ1023" s="36"/>
      <c r="BK1023" s="36"/>
      <c r="BL1023" s="36"/>
      <c r="BM1023" s="36"/>
      <c r="BN1023" s="36"/>
      <c r="BO1023" s="36"/>
    </row>
    <row r="1024" spans="1:67" x14ac:dyDescent="0.25">
      <c r="A1024" s="39"/>
      <c r="B1024" s="40"/>
      <c r="U1024" s="36"/>
      <c r="V1024" s="36"/>
      <c r="W1024" s="35"/>
      <c r="X1024" s="7"/>
      <c r="Y1024" s="7"/>
      <c r="Z1024" s="7"/>
      <c r="AA1024" s="7"/>
      <c r="AB1024" s="7"/>
      <c r="AC1024" s="7"/>
      <c r="AD1024" s="7"/>
      <c r="AE1024" s="7"/>
      <c r="AG1024" s="36"/>
      <c r="AH1024" s="36"/>
      <c r="AI1024" s="35"/>
      <c r="AJ1024" s="7"/>
      <c r="AK1024" s="7"/>
      <c r="AL1024" s="7"/>
      <c r="AM1024" s="7"/>
      <c r="AN1024" s="7"/>
      <c r="AO1024" s="7"/>
      <c r="AP1024" s="7"/>
      <c r="AQ1024" s="7"/>
      <c r="AS1024" s="36"/>
      <c r="AT1024" s="36"/>
      <c r="AU1024" s="35"/>
      <c r="AV1024" s="7"/>
      <c r="AW1024" s="7"/>
      <c r="AX1024" s="7"/>
      <c r="AY1024" s="7"/>
      <c r="AZ1024" s="7"/>
      <c r="BA1024" s="7"/>
      <c r="BB1024" s="7"/>
      <c r="BC1024" s="7"/>
      <c r="BF1024" s="7"/>
      <c r="BG1024" s="36"/>
      <c r="BH1024" s="36"/>
      <c r="BI1024" s="36"/>
      <c r="BJ1024" s="36"/>
      <c r="BK1024" s="36"/>
      <c r="BL1024" s="36"/>
      <c r="BM1024" s="36"/>
      <c r="BN1024" s="36"/>
      <c r="BO1024" s="36"/>
    </row>
    <row r="1025" spans="1:67" x14ac:dyDescent="0.25">
      <c r="A1025" s="39"/>
      <c r="B1025" s="40"/>
      <c r="U1025" s="36"/>
      <c r="V1025" s="36"/>
      <c r="W1025" s="35"/>
      <c r="X1025" s="7"/>
      <c r="Y1025" s="7"/>
      <c r="Z1025" s="7"/>
      <c r="AA1025" s="7"/>
      <c r="AB1025" s="7"/>
      <c r="AC1025" s="7"/>
      <c r="AD1025" s="7"/>
      <c r="AE1025" s="7"/>
      <c r="AG1025" s="36"/>
      <c r="AH1025" s="36"/>
      <c r="AI1025" s="35"/>
      <c r="AJ1025" s="7"/>
      <c r="AK1025" s="7"/>
      <c r="AL1025" s="7"/>
      <c r="AM1025" s="7"/>
      <c r="AN1025" s="7"/>
      <c r="AO1025" s="7"/>
      <c r="AP1025" s="7"/>
      <c r="AQ1025" s="7"/>
      <c r="AS1025" s="36"/>
      <c r="AT1025" s="36"/>
      <c r="AU1025" s="35"/>
      <c r="AV1025" s="7"/>
      <c r="AW1025" s="7"/>
      <c r="AX1025" s="7"/>
      <c r="AY1025" s="7"/>
      <c r="AZ1025" s="7"/>
      <c r="BA1025" s="7"/>
      <c r="BB1025" s="7"/>
      <c r="BC1025" s="7"/>
      <c r="BF1025" s="7"/>
      <c r="BG1025" s="36"/>
      <c r="BH1025" s="36"/>
      <c r="BI1025" s="36"/>
      <c r="BJ1025" s="36"/>
      <c r="BK1025" s="36"/>
      <c r="BL1025" s="36"/>
      <c r="BM1025" s="36"/>
      <c r="BN1025" s="36"/>
      <c r="BO1025" s="36"/>
    </row>
    <row r="1026" spans="1:67" x14ac:dyDescent="0.25">
      <c r="A1026" s="39"/>
      <c r="B1026" s="40"/>
      <c r="U1026" s="36"/>
      <c r="V1026" s="36"/>
      <c r="W1026" s="35"/>
      <c r="X1026" s="7"/>
      <c r="Y1026" s="7"/>
      <c r="Z1026" s="7"/>
      <c r="AA1026" s="7"/>
      <c r="AB1026" s="7"/>
      <c r="AC1026" s="7"/>
      <c r="AD1026" s="7"/>
      <c r="AE1026" s="7"/>
      <c r="AG1026" s="36"/>
      <c r="AH1026" s="36"/>
      <c r="AI1026" s="35"/>
      <c r="AJ1026" s="7"/>
      <c r="AK1026" s="7"/>
      <c r="AL1026" s="7"/>
      <c r="AM1026" s="7"/>
      <c r="AN1026" s="7"/>
      <c r="AO1026" s="7"/>
      <c r="AP1026" s="7"/>
      <c r="AQ1026" s="7"/>
      <c r="AS1026" s="36"/>
      <c r="AT1026" s="36"/>
      <c r="AU1026" s="35"/>
      <c r="AV1026" s="7"/>
      <c r="AW1026" s="7"/>
      <c r="AX1026" s="7"/>
      <c r="AY1026" s="7"/>
      <c r="AZ1026" s="7"/>
      <c r="BA1026" s="7"/>
      <c r="BB1026" s="7"/>
      <c r="BC1026" s="7"/>
      <c r="BF1026" s="7"/>
      <c r="BG1026" s="36"/>
      <c r="BH1026" s="36"/>
      <c r="BI1026" s="36"/>
      <c r="BJ1026" s="36"/>
      <c r="BK1026" s="36"/>
      <c r="BL1026" s="36"/>
      <c r="BM1026" s="36"/>
      <c r="BN1026" s="36"/>
      <c r="BO1026" s="36"/>
    </row>
    <row r="1027" spans="1:67" x14ac:dyDescent="0.25">
      <c r="A1027" s="39"/>
      <c r="B1027" s="40"/>
      <c r="U1027" s="36"/>
      <c r="V1027" s="36"/>
      <c r="W1027" s="35"/>
      <c r="X1027" s="7"/>
      <c r="Y1027" s="7"/>
      <c r="Z1027" s="7"/>
      <c r="AA1027" s="7"/>
      <c r="AB1027" s="7"/>
      <c r="AC1027" s="7"/>
      <c r="AD1027" s="7"/>
      <c r="AE1027" s="7"/>
      <c r="AG1027" s="36"/>
      <c r="AH1027" s="36"/>
      <c r="AI1027" s="35"/>
      <c r="AJ1027" s="7"/>
      <c r="AK1027" s="7"/>
      <c r="AL1027" s="7"/>
      <c r="AM1027" s="7"/>
      <c r="AN1027" s="7"/>
      <c r="AO1027" s="7"/>
      <c r="AP1027" s="7"/>
      <c r="AQ1027" s="7"/>
      <c r="AS1027" s="36"/>
      <c r="AT1027" s="36"/>
      <c r="AU1027" s="35"/>
      <c r="AV1027" s="7"/>
      <c r="AW1027" s="7"/>
      <c r="AX1027" s="7"/>
      <c r="AY1027" s="7"/>
      <c r="AZ1027" s="7"/>
      <c r="BA1027" s="7"/>
      <c r="BB1027" s="7"/>
      <c r="BC1027" s="7"/>
      <c r="BF1027" s="7"/>
      <c r="BG1027" s="36"/>
      <c r="BH1027" s="36"/>
      <c r="BI1027" s="36"/>
      <c r="BJ1027" s="36"/>
      <c r="BK1027" s="36"/>
      <c r="BL1027" s="36"/>
      <c r="BM1027" s="36"/>
      <c r="BN1027" s="36"/>
      <c r="BO1027" s="36"/>
    </row>
    <row r="1028" spans="1:67" x14ac:dyDescent="0.25">
      <c r="A1028" s="39"/>
      <c r="B1028" s="40"/>
      <c r="U1028" s="36"/>
      <c r="V1028" s="36"/>
      <c r="W1028" s="35"/>
      <c r="X1028" s="7"/>
      <c r="Y1028" s="7"/>
      <c r="Z1028" s="7"/>
      <c r="AA1028" s="7"/>
      <c r="AB1028" s="7"/>
      <c r="AC1028" s="7"/>
      <c r="AD1028" s="7"/>
      <c r="AE1028" s="7"/>
      <c r="AG1028" s="36"/>
      <c r="AH1028" s="36"/>
      <c r="AI1028" s="35"/>
      <c r="AJ1028" s="7"/>
      <c r="AK1028" s="7"/>
      <c r="AL1028" s="7"/>
      <c r="AM1028" s="7"/>
      <c r="AN1028" s="7"/>
      <c r="AO1028" s="7"/>
      <c r="AP1028" s="7"/>
      <c r="AQ1028" s="7"/>
      <c r="AS1028" s="36"/>
      <c r="AT1028" s="36"/>
      <c r="AU1028" s="35"/>
      <c r="AV1028" s="7"/>
      <c r="AW1028" s="7"/>
      <c r="AX1028" s="7"/>
      <c r="AY1028" s="7"/>
      <c r="AZ1028" s="7"/>
      <c r="BA1028" s="7"/>
      <c r="BB1028" s="7"/>
      <c r="BC1028" s="7"/>
      <c r="BF1028" s="7"/>
      <c r="BG1028" s="36"/>
      <c r="BH1028" s="36"/>
      <c r="BI1028" s="36"/>
      <c r="BJ1028" s="36"/>
      <c r="BK1028" s="36"/>
      <c r="BL1028" s="36"/>
      <c r="BM1028" s="36"/>
      <c r="BN1028" s="36"/>
      <c r="BO1028" s="36"/>
    </row>
    <row r="1029" spans="1:67" x14ac:dyDescent="0.25">
      <c r="A1029" s="39"/>
      <c r="B1029" s="40"/>
      <c r="U1029" s="36"/>
      <c r="V1029" s="36"/>
      <c r="W1029" s="35"/>
      <c r="X1029" s="7"/>
      <c r="Y1029" s="7"/>
      <c r="Z1029" s="7"/>
      <c r="AA1029" s="7"/>
      <c r="AB1029" s="7"/>
      <c r="AC1029" s="7"/>
      <c r="AD1029" s="7"/>
      <c r="AE1029" s="7"/>
      <c r="AG1029" s="36"/>
      <c r="AH1029" s="36"/>
      <c r="AI1029" s="35"/>
      <c r="AJ1029" s="7"/>
      <c r="AK1029" s="7"/>
      <c r="AL1029" s="7"/>
      <c r="AM1029" s="7"/>
      <c r="AN1029" s="7"/>
      <c r="AO1029" s="7"/>
      <c r="AP1029" s="7"/>
      <c r="AQ1029" s="7"/>
      <c r="AS1029" s="36"/>
      <c r="AT1029" s="36"/>
      <c r="AU1029" s="35"/>
      <c r="AV1029" s="7"/>
      <c r="AW1029" s="7"/>
      <c r="AX1029" s="7"/>
      <c r="AY1029" s="7"/>
      <c r="AZ1029" s="7"/>
      <c r="BA1029" s="7"/>
      <c r="BB1029" s="7"/>
      <c r="BC1029" s="7"/>
      <c r="BF1029" s="7"/>
      <c r="BG1029" s="36"/>
      <c r="BH1029" s="36"/>
      <c r="BI1029" s="36"/>
      <c r="BJ1029" s="36"/>
      <c r="BK1029" s="36"/>
      <c r="BL1029" s="36"/>
      <c r="BM1029" s="36"/>
      <c r="BN1029" s="36"/>
      <c r="BO1029" s="36"/>
    </row>
    <row r="1030" spans="1:67" x14ac:dyDescent="0.25">
      <c r="A1030" s="39"/>
      <c r="B1030" s="40"/>
      <c r="U1030" s="36"/>
      <c r="V1030" s="36"/>
      <c r="W1030" s="35"/>
      <c r="X1030" s="7"/>
      <c r="Y1030" s="7"/>
      <c r="Z1030" s="7"/>
      <c r="AA1030" s="7"/>
      <c r="AB1030" s="7"/>
      <c r="AC1030" s="7"/>
      <c r="AD1030" s="7"/>
      <c r="AE1030" s="7"/>
      <c r="AG1030" s="36"/>
      <c r="AH1030" s="36"/>
      <c r="AI1030" s="35"/>
      <c r="AJ1030" s="7"/>
      <c r="AK1030" s="7"/>
      <c r="AL1030" s="7"/>
      <c r="AM1030" s="7"/>
      <c r="AN1030" s="7"/>
      <c r="AO1030" s="7"/>
      <c r="AP1030" s="7"/>
      <c r="AQ1030" s="7"/>
      <c r="AS1030" s="36"/>
      <c r="AT1030" s="36"/>
      <c r="AU1030" s="35"/>
      <c r="AV1030" s="7"/>
      <c r="AW1030" s="7"/>
      <c r="AX1030" s="7"/>
      <c r="AY1030" s="7"/>
      <c r="AZ1030" s="7"/>
      <c r="BA1030" s="7"/>
      <c r="BB1030" s="7"/>
      <c r="BC1030" s="7"/>
      <c r="BF1030" s="7"/>
      <c r="BG1030" s="36"/>
      <c r="BH1030" s="36"/>
      <c r="BI1030" s="36"/>
      <c r="BJ1030" s="36"/>
      <c r="BK1030" s="36"/>
      <c r="BL1030" s="36"/>
      <c r="BM1030" s="36"/>
      <c r="BN1030" s="36"/>
      <c r="BO1030" s="36"/>
    </row>
    <row r="1031" spans="1:67" x14ac:dyDescent="0.25">
      <c r="A1031" s="39"/>
      <c r="B1031" s="40"/>
      <c r="U1031" s="36"/>
      <c r="V1031" s="36"/>
      <c r="W1031" s="35"/>
      <c r="X1031" s="7"/>
      <c r="Y1031" s="7"/>
      <c r="Z1031" s="7"/>
      <c r="AA1031" s="7"/>
      <c r="AB1031" s="7"/>
      <c r="AC1031" s="7"/>
      <c r="AD1031" s="7"/>
      <c r="AE1031" s="7"/>
      <c r="AG1031" s="36"/>
      <c r="AH1031" s="36"/>
      <c r="AI1031" s="35"/>
      <c r="AJ1031" s="7"/>
      <c r="AK1031" s="7"/>
      <c r="AL1031" s="7"/>
      <c r="AM1031" s="7"/>
      <c r="AN1031" s="7"/>
      <c r="AO1031" s="7"/>
      <c r="AP1031" s="7"/>
      <c r="AQ1031" s="7"/>
      <c r="AS1031" s="36"/>
      <c r="AT1031" s="36"/>
      <c r="AU1031" s="35"/>
      <c r="AV1031" s="7"/>
      <c r="AW1031" s="7"/>
      <c r="AX1031" s="7"/>
      <c r="AY1031" s="7"/>
      <c r="AZ1031" s="7"/>
      <c r="BA1031" s="7"/>
      <c r="BB1031" s="7"/>
      <c r="BC1031" s="7"/>
      <c r="BF1031" s="7"/>
      <c r="BG1031" s="36"/>
      <c r="BH1031" s="36"/>
      <c r="BI1031" s="36"/>
      <c r="BJ1031" s="36"/>
      <c r="BK1031" s="36"/>
      <c r="BL1031" s="36"/>
      <c r="BM1031" s="36"/>
      <c r="BN1031" s="36"/>
      <c r="BO1031" s="36"/>
    </row>
    <row r="1032" spans="1:67" x14ac:dyDescent="0.25">
      <c r="A1032" s="39"/>
      <c r="B1032" s="40"/>
      <c r="U1032" s="36"/>
      <c r="V1032" s="36"/>
      <c r="W1032" s="35"/>
      <c r="X1032" s="7"/>
      <c r="Y1032" s="7"/>
      <c r="Z1032" s="7"/>
      <c r="AA1032" s="7"/>
      <c r="AB1032" s="7"/>
      <c r="AC1032" s="7"/>
      <c r="AD1032" s="7"/>
      <c r="AE1032" s="7"/>
      <c r="AG1032" s="36"/>
      <c r="AH1032" s="36"/>
      <c r="AI1032" s="35"/>
      <c r="AJ1032" s="7"/>
      <c r="AK1032" s="7"/>
      <c r="AL1032" s="7"/>
      <c r="AM1032" s="7"/>
      <c r="AN1032" s="7"/>
      <c r="AO1032" s="7"/>
      <c r="AP1032" s="7"/>
      <c r="AQ1032" s="7"/>
      <c r="AS1032" s="36"/>
      <c r="AT1032" s="36"/>
      <c r="AU1032" s="35"/>
      <c r="AV1032" s="7"/>
      <c r="AW1032" s="7"/>
      <c r="AX1032" s="7"/>
      <c r="AY1032" s="7"/>
      <c r="AZ1032" s="7"/>
      <c r="BA1032" s="7"/>
      <c r="BB1032" s="7"/>
      <c r="BC1032" s="7"/>
      <c r="BF1032" s="7"/>
      <c r="BG1032" s="36"/>
      <c r="BH1032" s="36"/>
      <c r="BI1032" s="36"/>
      <c r="BJ1032" s="36"/>
      <c r="BK1032" s="36"/>
      <c r="BL1032" s="36"/>
      <c r="BM1032" s="36"/>
      <c r="BN1032" s="36"/>
      <c r="BO1032" s="36"/>
    </row>
    <row r="1033" spans="1:67" x14ac:dyDescent="0.25">
      <c r="A1033" s="39"/>
      <c r="B1033" s="40"/>
      <c r="U1033" s="36"/>
      <c r="V1033" s="36"/>
      <c r="W1033" s="35"/>
      <c r="X1033" s="7"/>
      <c r="Y1033" s="7"/>
      <c r="Z1033" s="7"/>
      <c r="AA1033" s="7"/>
      <c r="AB1033" s="7"/>
      <c r="AC1033" s="7"/>
      <c r="AD1033" s="7"/>
      <c r="AE1033" s="7"/>
      <c r="AG1033" s="36"/>
      <c r="AH1033" s="36"/>
      <c r="AI1033" s="35"/>
      <c r="AJ1033" s="7"/>
      <c r="AK1033" s="7"/>
      <c r="AL1033" s="7"/>
      <c r="AM1033" s="7"/>
      <c r="AN1033" s="7"/>
      <c r="AO1033" s="7"/>
      <c r="AP1033" s="7"/>
      <c r="AQ1033" s="7"/>
      <c r="AS1033" s="36"/>
      <c r="AT1033" s="36"/>
      <c r="AU1033" s="35"/>
      <c r="AV1033" s="7"/>
      <c r="AW1033" s="7"/>
      <c r="AX1033" s="7"/>
      <c r="AY1033" s="7"/>
      <c r="AZ1033" s="7"/>
      <c r="BA1033" s="7"/>
      <c r="BB1033" s="7"/>
      <c r="BC1033" s="7"/>
      <c r="BF1033" s="7"/>
      <c r="BG1033" s="36"/>
      <c r="BH1033" s="36"/>
      <c r="BI1033" s="36"/>
      <c r="BJ1033" s="36"/>
      <c r="BK1033" s="36"/>
      <c r="BL1033" s="36"/>
      <c r="BM1033" s="36"/>
      <c r="BN1033" s="36"/>
      <c r="BO1033" s="36"/>
    </row>
    <row r="1034" spans="1:67" x14ac:dyDescent="0.25">
      <c r="A1034" s="39"/>
      <c r="B1034" s="40"/>
      <c r="U1034" s="36"/>
      <c r="V1034" s="36"/>
      <c r="W1034" s="35"/>
      <c r="X1034" s="7"/>
      <c r="Y1034" s="7"/>
      <c r="Z1034" s="7"/>
      <c r="AA1034" s="7"/>
      <c r="AB1034" s="7"/>
      <c r="AC1034" s="7"/>
      <c r="AD1034" s="7"/>
      <c r="AE1034" s="7"/>
      <c r="AG1034" s="36"/>
      <c r="AH1034" s="36"/>
      <c r="AI1034" s="35"/>
      <c r="AJ1034" s="7"/>
      <c r="AK1034" s="7"/>
      <c r="AL1034" s="7"/>
      <c r="AM1034" s="7"/>
      <c r="AN1034" s="7"/>
      <c r="AO1034" s="7"/>
      <c r="AP1034" s="7"/>
      <c r="AQ1034" s="7"/>
      <c r="AS1034" s="36"/>
      <c r="AT1034" s="36"/>
      <c r="AU1034" s="35"/>
      <c r="AV1034" s="7"/>
      <c r="AW1034" s="7"/>
      <c r="AX1034" s="7"/>
      <c r="AY1034" s="7"/>
      <c r="AZ1034" s="7"/>
      <c r="BA1034" s="7"/>
      <c r="BB1034" s="7"/>
      <c r="BC1034" s="7"/>
      <c r="BF1034" s="7"/>
      <c r="BG1034" s="36"/>
      <c r="BH1034" s="36"/>
      <c r="BI1034" s="36"/>
      <c r="BJ1034" s="36"/>
      <c r="BK1034" s="36"/>
      <c r="BL1034" s="36"/>
      <c r="BM1034" s="36"/>
      <c r="BN1034" s="36"/>
      <c r="BO1034" s="36"/>
    </row>
    <row r="1035" spans="1:67" x14ac:dyDescent="0.25">
      <c r="A1035" s="39"/>
      <c r="B1035" s="40"/>
      <c r="U1035" s="36"/>
      <c r="V1035" s="36"/>
      <c r="W1035" s="35"/>
      <c r="X1035" s="7"/>
      <c r="Y1035" s="7"/>
      <c r="Z1035" s="7"/>
      <c r="AA1035" s="7"/>
      <c r="AB1035" s="7"/>
      <c r="AC1035" s="7"/>
      <c r="AD1035" s="7"/>
      <c r="AE1035" s="7"/>
      <c r="AG1035" s="36"/>
      <c r="AH1035" s="36"/>
      <c r="AI1035" s="35"/>
      <c r="AJ1035" s="7"/>
      <c r="AK1035" s="7"/>
      <c r="AL1035" s="7"/>
      <c r="AM1035" s="7"/>
      <c r="AN1035" s="7"/>
      <c r="AO1035" s="7"/>
      <c r="AP1035" s="7"/>
      <c r="AQ1035" s="7"/>
      <c r="AS1035" s="36"/>
      <c r="AT1035" s="36"/>
      <c r="AU1035" s="35"/>
      <c r="AV1035" s="7"/>
      <c r="AW1035" s="7"/>
      <c r="AX1035" s="7"/>
      <c r="AY1035" s="7"/>
      <c r="AZ1035" s="7"/>
      <c r="BA1035" s="7"/>
      <c r="BB1035" s="7"/>
      <c r="BC1035" s="7"/>
      <c r="BF1035" s="7"/>
      <c r="BG1035" s="36"/>
      <c r="BH1035" s="36"/>
      <c r="BI1035" s="36"/>
      <c r="BJ1035" s="36"/>
      <c r="BK1035" s="36"/>
      <c r="BL1035" s="36"/>
      <c r="BM1035" s="36"/>
      <c r="BN1035" s="36"/>
      <c r="BO1035" s="36"/>
    </row>
    <row r="1036" spans="1:67" x14ac:dyDescent="0.25">
      <c r="A1036" s="39"/>
      <c r="B1036" s="40"/>
      <c r="U1036" s="36"/>
      <c r="V1036" s="36"/>
      <c r="W1036" s="35"/>
      <c r="X1036" s="7"/>
      <c r="Y1036" s="7"/>
      <c r="Z1036" s="7"/>
      <c r="AA1036" s="7"/>
      <c r="AB1036" s="7"/>
      <c r="AC1036" s="7"/>
      <c r="AD1036" s="7"/>
      <c r="AE1036" s="7"/>
      <c r="AG1036" s="36"/>
      <c r="AH1036" s="36"/>
      <c r="AI1036" s="35"/>
      <c r="AJ1036" s="7"/>
      <c r="AK1036" s="7"/>
      <c r="AL1036" s="7"/>
      <c r="AM1036" s="7"/>
      <c r="AN1036" s="7"/>
      <c r="AO1036" s="7"/>
      <c r="AP1036" s="7"/>
      <c r="AQ1036" s="7"/>
      <c r="AS1036" s="36"/>
      <c r="AT1036" s="36"/>
      <c r="AU1036" s="35"/>
      <c r="AV1036" s="7"/>
      <c r="AW1036" s="7"/>
      <c r="AX1036" s="7"/>
      <c r="AY1036" s="7"/>
      <c r="AZ1036" s="7"/>
      <c r="BA1036" s="7"/>
      <c r="BB1036" s="7"/>
      <c r="BC1036" s="7"/>
      <c r="BF1036" s="7"/>
      <c r="BG1036" s="36"/>
      <c r="BH1036" s="36"/>
      <c r="BI1036" s="36"/>
      <c r="BJ1036" s="36"/>
      <c r="BK1036" s="36"/>
      <c r="BL1036" s="36"/>
      <c r="BM1036" s="36"/>
      <c r="BN1036" s="36"/>
      <c r="BO1036" s="36"/>
    </row>
    <row r="1037" spans="1:67" x14ac:dyDescent="0.25">
      <c r="A1037" s="39"/>
      <c r="B1037" s="40"/>
      <c r="U1037" s="36"/>
      <c r="V1037" s="36"/>
      <c r="W1037" s="35"/>
      <c r="X1037" s="7"/>
      <c r="Y1037" s="7"/>
      <c r="Z1037" s="7"/>
      <c r="AA1037" s="7"/>
      <c r="AB1037" s="7"/>
      <c r="AC1037" s="7"/>
      <c r="AD1037" s="7"/>
      <c r="AE1037" s="7"/>
      <c r="AG1037" s="36"/>
      <c r="AH1037" s="36"/>
      <c r="AI1037" s="35"/>
      <c r="AJ1037" s="7"/>
      <c r="AK1037" s="7"/>
      <c r="AL1037" s="7"/>
      <c r="AM1037" s="7"/>
      <c r="AN1037" s="7"/>
      <c r="AO1037" s="7"/>
      <c r="AP1037" s="7"/>
      <c r="AQ1037" s="7"/>
      <c r="AS1037" s="36"/>
      <c r="AT1037" s="36"/>
      <c r="AU1037" s="35"/>
      <c r="AV1037" s="7"/>
      <c r="AW1037" s="7"/>
      <c r="AX1037" s="7"/>
      <c r="AY1037" s="7"/>
      <c r="AZ1037" s="7"/>
      <c r="BA1037" s="7"/>
      <c r="BB1037" s="7"/>
      <c r="BC1037" s="7"/>
      <c r="BF1037" s="7"/>
      <c r="BG1037" s="36"/>
      <c r="BH1037" s="36"/>
      <c r="BI1037" s="36"/>
      <c r="BJ1037" s="36"/>
      <c r="BK1037" s="36"/>
      <c r="BL1037" s="36"/>
      <c r="BM1037" s="36"/>
      <c r="BN1037" s="36"/>
      <c r="BO1037" s="36"/>
    </row>
    <row r="1038" spans="1:67" x14ac:dyDescent="0.25">
      <c r="A1038" s="39"/>
      <c r="B1038" s="40"/>
      <c r="U1038" s="36"/>
      <c r="V1038" s="36"/>
      <c r="W1038" s="35"/>
      <c r="X1038" s="7"/>
      <c r="Y1038" s="7"/>
      <c r="Z1038" s="7"/>
      <c r="AA1038" s="7"/>
      <c r="AB1038" s="7"/>
      <c r="AC1038" s="7"/>
      <c r="AD1038" s="7"/>
      <c r="AE1038" s="7"/>
      <c r="AG1038" s="36"/>
      <c r="AH1038" s="36"/>
      <c r="AI1038" s="35"/>
      <c r="AJ1038" s="7"/>
      <c r="AK1038" s="7"/>
      <c r="AL1038" s="7"/>
      <c r="AM1038" s="7"/>
      <c r="AN1038" s="7"/>
      <c r="AO1038" s="7"/>
      <c r="AP1038" s="7"/>
      <c r="AQ1038" s="7"/>
      <c r="AS1038" s="36"/>
      <c r="AT1038" s="36"/>
      <c r="AU1038" s="35"/>
      <c r="AV1038" s="7"/>
      <c r="AW1038" s="7"/>
      <c r="AX1038" s="7"/>
      <c r="AY1038" s="7"/>
      <c r="AZ1038" s="7"/>
      <c r="BA1038" s="7"/>
      <c r="BB1038" s="7"/>
      <c r="BC1038" s="7"/>
      <c r="BF1038" s="7"/>
      <c r="BG1038" s="36"/>
      <c r="BH1038" s="36"/>
      <c r="BI1038" s="36"/>
      <c r="BJ1038" s="36"/>
      <c r="BK1038" s="36"/>
      <c r="BL1038" s="36"/>
      <c r="BM1038" s="36"/>
      <c r="BN1038" s="36"/>
      <c r="BO1038" s="36"/>
    </row>
    <row r="1039" spans="1:67" x14ac:dyDescent="0.25">
      <c r="A1039" s="39"/>
      <c r="B1039" s="40"/>
      <c r="U1039" s="36"/>
      <c r="V1039" s="36"/>
      <c r="W1039" s="35"/>
      <c r="X1039" s="7"/>
      <c r="Y1039" s="7"/>
      <c r="Z1039" s="7"/>
      <c r="AA1039" s="7"/>
      <c r="AB1039" s="7"/>
      <c r="AC1039" s="7"/>
      <c r="AD1039" s="7"/>
      <c r="AE1039" s="7"/>
      <c r="AG1039" s="36"/>
      <c r="AH1039" s="36"/>
      <c r="AI1039" s="35"/>
      <c r="AJ1039" s="7"/>
      <c r="AK1039" s="7"/>
      <c r="AL1039" s="7"/>
      <c r="AM1039" s="7"/>
      <c r="AN1039" s="7"/>
      <c r="AO1039" s="7"/>
      <c r="AP1039" s="7"/>
      <c r="AQ1039" s="7"/>
      <c r="AS1039" s="36"/>
      <c r="AT1039" s="36"/>
      <c r="AU1039" s="35"/>
      <c r="AV1039" s="7"/>
      <c r="AW1039" s="7"/>
      <c r="AX1039" s="7"/>
      <c r="AY1039" s="7"/>
      <c r="AZ1039" s="7"/>
      <c r="BA1039" s="7"/>
      <c r="BB1039" s="7"/>
      <c r="BC1039" s="7"/>
      <c r="BF1039" s="7"/>
      <c r="BG1039" s="36"/>
      <c r="BH1039" s="36"/>
      <c r="BI1039" s="36"/>
      <c r="BJ1039" s="36"/>
      <c r="BK1039" s="36"/>
      <c r="BL1039" s="36"/>
      <c r="BM1039" s="36"/>
      <c r="BN1039" s="36"/>
      <c r="BO1039" s="36"/>
    </row>
    <row r="1040" spans="1:67" x14ac:dyDescent="0.25">
      <c r="A1040" s="39"/>
      <c r="B1040" s="40"/>
      <c r="U1040" s="36"/>
      <c r="V1040" s="36"/>
      <c r="W1040" s="35"/>
      <c r="X1040" s="7"/>
      <c r="Y1040" s="7"/>
      <c r="Z1040" s="7"/>
      <c r="AA1040" s="7"/>
      <c r="AB1040" s="7"/>
      <c r="AC1040" s="7"/>
      <c r="AD1040" s="7"/>
      <c r="AE1040" s="7"/>
      <c r="AG1040" s="36"/>
      <c r="AH1040" s="36"/>
      <c r="AI1040" s="35"/>
      <c r="AJ1040" s="7"/>
      <c r="AK1040" s="7"/>
      <c r="AL1040" s="7"/>
      <c r="AM1040" s="7"/>
      <c r="AN1040" s="7"/>
      <c r="AO1040" s="7"/>
      <c r="AP1040" s="7"/>
      <c r="AQ1040" s="7"/>
      <c r="AS1040" s="36"/>
      <c r="AT1040" s="36"/>
      <c r="AU1040" s="35"/>
      <c r="AV1040" s="7"/>
      <c r="AW1040" s="7"/>
      <c r="AX1040" s="7"/>
      <c r="AY1040" s="7"/>
      <c r="AZ1040" s="7"/>
      <c r="BA1040" s="7"/>
      <c r="BB1040" s="7"/>
      <c r="BC1040" s="7"/>
      <c r="BF1040" s="7"/>
      <c r="BG1040" s="36"/>
      <c r="BH1040" s="36"/>
      <c r="BI1040" s="36"/>
      <c r="BJ1040" s="36"/>
      <c r="BK1040" s="36"/>
      <c r="BL1040" s="36"/>
      <c r="BM1040" s="36"/>
      <c r="BN1040" s="36"/>
      <c r="BO1040" s="36"/>
    </row>
    <row r="1041" spans="1:67" x14ac:dyDescent="0.25">
      <c r="A1041" s="39"/>
      <c r="B1041" s="40"/>
      <c r="U1041" s="36"/>
      <c r="V1041" s="36"/>
      <c r="W1041" s="35"/>
      <c r="X1041" s="7"/>
      <c r="Y1041" s="7"/>
      <c r="Z1041" s="7"/>
      <c r="AA1041" s="7"/>
      <c r="AB1041" s="7"/>
      <c r="AC1041" s="7"/>
      <c r="AD1041" s="7"/>
      <c r="AE1041" s="7"/>
      <c r="AG1041" s="36"/>
      <c r="AH1041" s="36"/>
      <c r="AI1041" s="35"/>
      <c r="AJ1041" s="7"/>
      <c r="AK1041" s="7"/>
      <c r="AL1041" s="7"/>
      <c r="AM1041" s="7"/>
      <c r="AN1041" s="7"/>
      <c r="AO1041" s="7"/>
      <c r="AP1041" s="7"/>
      <c r="AQ1041" s="7"/>
      <c r="AS1041" s="36"/>
      <c r="AT1041" s="36"/>
      <c r="AU1041" s="35"/>
      <c r="AV1041" s="7"/>
      <c r="AW1041" s="7"/>
      <c r="AX1041" s="7"/>
      <c r="AY1041" s="7"/>
      <c r="AZ1041" s="7"/>
      <c r="BA1041" s="7"/>
      <c r="BB1041" s="7"/>
      <c r="BC1041" s="7"/>
      <c r="BF1041" s="7"/>
      <c r="BG1041" s="36"/>
      <c r="BH1041" s="36"/>
      <c r="BI1041" s="36"/>
      <c r="BJ1041" s="36"/>
      <c r="BK1041" s="36"/>
      <c r="BL1041" s="36"/>
      <c r="BM1041" s="36"/>
      <c r="BN1041" s="36"/>
      <c r="BO1041" s="36"/>
    </row>
    <row r="1042" spans="1:67" x14ac:dyDescent="0.25">
      <c r="A1042" s="39"/>
      <c r="B1042" s="40"/>
      <c r="U1042" s="36"/>
      <c r="V1042" s="36"/>
      <c r="W1042" s="35"/>
      <c r="X1042" s="7"/>
      <c r="Y1042" s="7"/>
      <c r="Z1042" s="7"/>
      <c r="AA1042" s="7"/>
      <c r="AB1042" s="7"/>
      <c r="AC1042" s="7"/>
      <c r="AD1042" s="7"/>
      <c r="AE1042" s="7"/>
      <c r="AG1042" s="36"/>
      <c r="AH1042" s="36"/>
      <c r="AI1042" s="35"/>
      <c r="AJ1042" s="7"/>
      <c r="AK1042" s="7"/>
      <c r="AL1042" s="7"/>
      <c r="AM1042" s="7"/>
      <c r="AN1042" s="7"/>
      <c r="AO1042" s="7"/>
      <c r="AP1042" s="7"/>
      <c r="AQ1042" s="7"/>
      <c r="AS1042" s="36"/>
      <c r="AT1042" s="36"/>
      <c r="AU1042" s="35"/>
      <c r="AV1042" s="7"/>
      <c r="AW1042" s="7"/>
      <c r="AX1042" s="7"/>
      <c r="AY1042" s="7"/>
      <c r="AZ1042" s="7"/>
      <c r="BA1042" s="7"/>
      <c r="BB1042" s="7"/>
      <c r="BC1042" s="7"/>
      <c r="BF1042" s="7"/>
      <c r="BG1042" s="36"/>
      <c r="BH1042" s="36"/>
      <c r="BI1042" s="36"/>
      <c r="BJ1042" s="36"/>
      <c r="BK1042" s="36"/>
      <c r="BL1042" s="36"/>
      <c r="BM1042" s="36"/>
      <c r="BN1042" s="36"/>
      <c r="BO1042" s="36"/>
    </row>
    <row r="1043" spans="1:67" x14ac:dyDescent="0.25">
      <c r="A1043" s="39"/>
      <c r="B1043" s="40"/>
      <c r="U1043" s="36"/>
      <c r="V1043" s="36"/>
      <c r="W1043" s="35"/>
      <c r="X1043" s="7"/>
      <c r="Y1043" s="7"/>
      <c r="Z1043" s="7"/>
      <c r="AA1043" s="7"/>
      <c r="AB1043" s="7"/>
      <c r="AC1043" s="7"/>
      <c r="AD1043" s="7"/>
      <c r="AE1043" s="7"/>
      <c r="AG1043" s="36"/>
      <c r="AH1043" s="36"/>
      <c r="AI1043" s="35"/>
      <c r="AJ1043" s="7"/>
      <c r="AK1043" s="7"/>
      <c r="AL1043" s="7"/>
      <c r="AM1043" s="7"/>
      <c r="AN1043" s="7"/>
      <c r="AO1043" s="7"/>
      <c r="AP1043" s="7"/>
      <c r="AQ1043" s="7"/>
      <c r="AS1043" s="36"/>
      <c r="AT1043" s="36"/>
      <c r="AU1043" s="35"/>
      <c r="AV1043" s="7"/>
      <c r="AW1043" s="7"/>
      <c r="AX1043" s="7"/>
      <c r="AY1043" s="7"/>
      <c r="AZ1043" s="7"/>
      <c r="BA1043" s="7"/>
      <c r="BB1043" s="7"/>
      <c r="BC1043" s="7"/>
      <c r="BF1043" s="7"/>
      <c r="BG1043" s="36"/>
      <c r="BH1043" s="36"/>
      <c r="BI1043" s="36"/>
      <c r="BJ1043" s="36"/>
      <c r="BK1043" s="36"/>
      <c r="BL1043" s="36"/>
      <c r="BM1043" s="36"/>
      <c r="BN1043" s="36"/>
      <c r="BO1043" s="36"/>
    </row>
    <row r="1044" spans="1:67" x14ac:dyDescent="0.25">
      <c r="A1044" s="39"/>
      <c r="B1044" s="40"/>
      <c r="U1044" s="36"/>
      <c r="V1044" s="36"/>
      <c r="W1044" s="35"/>
      <c r="X1044" s="7"/>
      <c r="Y1044" s="7"/>
      <c r="Z1044" s="7"/>
      <c r="AA1044" s="7"/>
      <c r="AB1044" s="7"/>
      <c r="AC1044" s="7"/>
      <c r="AD1044" s="7"/>
      <c r="AE1044" s="7"/>
      <c r="AG1044" s="36"/>
      <c r="AH1044" s="36"/>
      <c r="AI1044" s="35"/>
      <c r="AJ1044" s="7"/>
      <c r="AK1044" s="7"/>
      <c r="AL1044" s="7"/>
      <c r="AM1044" s="7"/>
      <c r="AN1044" s="7"/>
      <c r="AO1044" s="7"/>
      <c r="AP1044" s="7"/>
      <c r="AQ1044" s="7"/>
      <c r="AS1044" s="36"/>
      <c r="AT1044" s="36"/>
      <c r="AU1044" s="35"/>
      <c r="AV1044" s="7"/>
      <c r="AW1044" s="7"/>
      <c r="AX1044" s="7"/>
      <c r="AY1044" s="7"/>
      <c r="AZ1044" s="7"/>
      <c r="BA1044" s="7"/>
      <c r="BB1044" s="7"/>
      <c r="BC1044" s="7"/>
      <c r="BF1044" s="7"/>
      <c r="BG1044" s="36"/>
      <c r="BH1044" s="36"/>
      <c r="BI1044" s="36"/>
      <c r="BJ1044" s="36"/>
      <c r="BK1044" s="36"/>
      <c r="BL1044" s="36"/>
      <c r="BM1044" s="36"/>
      <c r="BN1044" s="36"/>
      <c r="BO1044" s="36"/>
    </row>
    <row r="1045" spans="1:67" x14ac:dyDescent="0.25">
      <c r="A1045" s="39"/>
      <c r="B1045" s="40"/>
      <c r="U1045" s="36"/>
      <c r="V1045" s="36"/>
      <c r="W1045" s="35"/>
      <c r="X1045" s="7"/>
      <c r="Y1045" s="7"/>
      <c r="Z1045" s="7"/>
      <c r="AA1045" s="7"/>
      <c r="AB1045" s="7"/>
      <c r="AC1045" s="7"/>
      <c r="AD1045" s="7"/>
      <c r="AE1045" s="7"/>
      <c r="AG1045" s="36"/>
      <c r="AH1045" s="36"/>
      <c r="AI1045" s="35"/>
      <c r="AJ1045" s="7"/>
      <c r="AK1045" s="7"/>
      <c r="AL1045" s="7"/>
      <c r="AM1045" s="7"/>
      <c r="AN1045" s="7"/>
      <c r="AO1045" s="7"/>
      <c r="AP1045" s="7"/>
      <c r="AQ1045" s="7"/>
      <c r="AS1045" s="36"/>
      <c r="AT1045" s="36"/>
      <c r="AU1045" s="35"/>
      <c r="AV1045" s="7"/>
      <c r="AW1045" s="7"/>
      <c r="AX1045" s="7"/>
      <c r="AY1045" s="7"/>
      <c r="AZ1045" s="7"/>
      <c r="BA1045" s="7"/>
      <c r="BB1045" s="7"/>
      <c r="BC1045" s="7"/>
      <c r="BF1045" s="7"/>
      <c r="BG1045" s="36"/>
      <c r="BH1045" s="36"/>
      <c r="BI1045" s="36"/>
      <c r="BJ1045" s="36"/>
      <c r="BK1045" s="36"/>
      <c r="BL1045" s="36"/>
      <c r="BM1045" s="36"/>
      <c r="BN1045" s="36"/>
      <c r="BO1045" s="36"/>
    </row>
    <row r="1046" spans="1:67" x14ac:dyDescent="0.25">
      <c r="A1046" s="39"/>
      <c r="B1046" s="40"/>
      <c r="U1046" s="36"/>
      <c r="V1046" s="36"/>
      <c r="W1046" s="35"/>
      <c r="X1046" s="7"/>
      <c r="Y1046" s="7"/>
      <c r="Z1046" s="7"/>
      <c r="AA1046" s="7"/>
      <c r="AB1046" s="7"/>
      <c r="AC1046" s="7"/>
      <c r="AD1046" s="7"/>
      <c r="AE1046" s="7"/>
      <c r="AG1046" s="36"/>
      <c r="AH1046" s="36"/>
      <c r="AI1046" s="35"/>
      <c r="AJ1046" s="7"/>
      <c r="AK1046" s="7"/>
      <c r="AL1046" s="7"/>
      <c r="AM1046" s="7"/>
      <c r="AN1046" s="7"/>
      <c r="AO1046" s="7"/>
      <c r="AP1046" s="7"/>
      <c r="AQ1046" s="7"/>
      <c r="AS1046" s="36"/>
      <c r="AT1046" s="36"/>
      <c r="AU1046" s="35"/>
      <c r="AV1046" s="7"/>
      <c r="AW1046" s="7"/>
      <c r="AX1046" s="7"/>
      <c r="AY1046" s="7"/>
      <c r="AZ1046" s="7"/>
      <c r="BA1046" s="7"/>
      <c r="BB1046" s="7"/>
      <c r="BC1046" s="7"/>
      <c r="BF1046" s="7"/>
      <c r="BG1046" s="36"/>
      <c r="BH1046" s="36"/>
      <c r="BI1046" s="36"/>
      <c r="BJ1046" s="36"/>
      <c r="BK1046" s="36"/>
      <c r="BL1046" s="36"/>
      <c r="BM1046" s="36"/>
      <c r="BN1046" s="36"/>
      <c r="BO1046" s="36"/>
    </row>
    <row r="1047" spans="1:67" x14ac:dyDescent="0.25">
      <c r="A1047" s="39"/>
      <c r="B1047" s="40"/>
      <c r="U1047" s="36"/>
      <c r="V1047" s="36"/>
      <c r="W1047" s="35"/>
      <c r="X1047" s="7"/>
      <c r="Y1047" s="7"/>
      <c r="Z1047" s="7"/>
      <c r="AA1047" s="7"/>
      <c r="AB1047" s="7"/>
      <c r="AC1047" s="7"/>
      <c r="AD1047" s="7"/>
      <c r="AE1047" s="7"/>
      <c r="AG1047" s="36"/>
      <c r="AH1047" s="36"/>
      <c r="AI1047" s="35"/>
      <c r="AJ1047" s="7"/>
      <c r="AK1047" s="7"/>
      <c r="AL1047" s="7"/>
      <c r="AM1047" s="7"/>
      <c r="AN1047" s="7"/>
      <c r="AO1047" s="7"/>
      <c r="AP1047" s="7"/>
      <c r="AQ1047" s="7"/>
      <c r="AS1047" s="36"/>
      <c r="AT1047" s="36"/>
      <c r="AU1047" s="35"/>
      <c r="AV1047" s="7"/>
      <c r="AW1047" s="7"/>
      <c r="AX1047" s="7"/>
      <c r="AY1047" s="7"/>
      <c r="AZ1047" s="7"/>
      <c r="BA1047" s="7"/>
      <c r="BB1047" s="7"/>
      <c r="BC1047" s="7"/>
      <c r="BF1047" s="7"/>
      <c r="BG1047" s="36"/>
      <c r="BH1047" s="36"/>
      <c r="BI1047" s="36"/>
      <c r="BJ1047" s="36"/>
      <c r="BK1047" s="36"/>
      <c r="BL1047" s="36"/>
      <c r="BM1047" s="36"/>
      <c r="BN1047" s="36"/>
      <c r="BO1047" s="36"/>
    </row>
    <row r="1048" spans="1:67" x14ac:dyDescent="0.25">
      <c r="A1048" s="39"/>
      <c r="B1048" s="40"/>
      <c r="U1048" s="36"/>
      <c r="V1048" s="36"/>
      <c r="W1048" s="35"/>
      <c r="X1048" s="7"/>
      <c r="Y1048" s="7"/>
      <c r="Z1048" s="7"/>
      <c r="AA1048" s="7"/>
      <c r="AB1048" s="7"/>
      <c r="AC1048" s="7"/>
      <c r="AD1048" s="7"/>
      <c r="AE1048" s="7"/>
      <c r="AG1048" s="36"/>
      <c r="AH1048" s="36"/>
      <c r="AI1048" s="35"/>
      <c r="AJ1048" s="7"/>
      <c r="AK1048" s="7"/>
      <c r="AL1048" s="7"/>
      <c r="AM1048" s="7"/>
      <c r="AN1048" s="7"/>
      <c r="AO1048" s="7"/>
      <c r="AP1048" s="7"/>
      <c r="AQ1048" s="7"/>
      <c r="AS1048" s="36"/>
      <c r="AT1048" s="36"/>
      <c r="AU1048" s="35"/>
      <c r="AV1048" s="7"/>
      <c r="AW1048" s="7"/>
      <c r="AX1048" s="7"/>
      <c r="AY1048" s="7"/>
      <c r="AZ1048" s="7"/>
      <c r="BA1048" s="7"/>
      <c r="BB1048" s="7"/>
      <c r="BC1048" s="7"/>
      <c r="BF1048" s="7"/>
      <c r="BG1048" s="36"/>
      <c r="BH1048" s="36"/>
      <c r="BI1048" s="36"/>
      <c r="BJ1048" s="36"/>
      <c r="BK1048" s="36"/>
      <c r="BL1048" s="36"/>
      <c r="BM1048" s="36"/>
      <c r="BN1048" s="36"/>
      <c r="BO1048" s="36"/>
    </row>
    <row r="1049" spans="1:67" x14ac:dyDescent="0.25">
      <c r="A1049" s="39"/>
      <c r="B1049" s="40"/>
      <c r="U1049" s="36"/>
      <c r="V1049" s="36"/>
      <c r="W1049" s="35"/>
      <c r="X1049" s="7"/>
      <c r="Y1049" s="7"/>
      <c r="Z1049" s="7"/>
      <c r="AA1049" s="7"/>
      <c r="AB1049" s="7"/>
      <c r="AC1049" s="7"/>
      <c r="AD1049" s="7"/>
      <c r="AE1049" s="7"/>
      <c r="AG1049" s="36"/>
      <c r="AH1049" s="36"/>
      <c r="AI1049" s="35"/>
      <c r="AJ1049" s="7"/>
      <c r="AK1049" s="7"/>
      <c r="AL1049" s="7"/>
      <c r="AM1049" s="7"/>
      <c r="AN1049" s="7"/>
      <c r="AO1049" s="7"/>
      <c r="AP1049" s="7"/>
      <c r="AQ1049" s="7"/>
      <c r="AS1049" s="36"/>
      <c r="AT1049" s="36"/>
      <c r="AU1049" s="35"/>
      <c r="AV1049" s="7"/>
      <c r="AW1049" s="7"/>
      <c r="AX1049" s="7"/>
      <c r="AY1049" s="7"/>
      <c r="AZ1049" s="7"/>
      <c r="BA1049" s="7"/>
      <c r="BB1049" s="7"/>
      <c r="BC1049" s="7"/>
      <c r="BF1049" s="7"/>
      <c r="BG1049" s="36"/>
      <c r="BH1049" s="36"/>
      <c r="BI1049" s="36"/>
      <c r="BJ1049" s="36"/>
      <c r="BK1049" s="36"/>
      <c r="BL1049" s="36"/>
      <c r="BM1049" s="36"/>
      <c r="BN1049" s="36"/>
      <c r="BO1049" s="36"/>
    </row>
    <row r="1050" spans="1:67" x14ac:dyDescent="0.25">
      <c r="A1050" s="39"/>
      <c r="B1050" s="40"/>
      <c r="U1050" s="36"/>
      <c r="V1050" s="36"/>
      <c r="W1050" s="35"/>
      <c r="X1050" s="7"/>
      <c r="Y1050" s="7"/>
      <c r="Z1050" s="7"/>
      <c r="AA1050" s="7"/>
      <c r="AB1050" s="7"/>
      <c r="AC1050" s="7"/>
      <c r="AD1050" s="7"/>
      <c r="AE1050" s="7"/>
      <c r="AG1050" s="36"/>
      <c r="AH1050" s="36"/>
      <c r="AI1050" s="35"/>
      <c r="AJ1050" s="7"/>
      <c r="AK1050" s="7"/>
      <c r="AL1050" s="7"/>
      <c r="AM1050" s="7"/>
      <c r="AN1050" s="7"/>
      <c r="AO1050" s="7"/>
      <c r="AP1050" s="7"/>
      <c r="AQ1050" s="7"/>
      <c r="AS1050" s="36"/>
      <c r="AT1050" s="36"/>
      <c r="AU1050" s="35"/>
      <c r="AV1050" s="7"/>
      <c r="AW1050" s="7"/>
      <c r="AX1050" s="7"/>
      <c r="AY1050" s="7"/>
      <c r="AZ1050" s="7"/>
      <c r="BA1050" s="7"/>
      <c r="BB1050" s="7"/>
      <c r="BC1050" s="7"/>
      <c r="BF1050" s="7"/>
      <c r="BG1050" s="36"/>
      <c r="BH1050" s="36"/>
      <c r="BI1050" s="36"/>
      <c r="BJ1050" s="36"/>
      <c r="BK1050" s="36"/>
      <c r="BL1050" s="36"/>
      <c r="BM1050" s="36"/>
      <c r="BN1050" s="36"/>
      <c r="BO1050" s="36"/>
    </row>
    <row r="1051" spans="1:67" x14ac:dyDescent="0.25">
      <c r="A1051" s="39"/>
      <c r="B1051" s="40"/>
      <c r="U1051" s="36"/>
      <c r="V1051" s="36"/>
      <c r="W1051" s="35"/>
      <c r="X1051" s="7"/>
      <c r="Y1051" s="7"/>
      <c r="Z1051" s="7"/>
      <c r="AA1051" s="7"/>
      <c r="AB1051" s="7"/>
      <c r="AC1051" s="7"/>
      <c r="AD1051" s="7"/>
      <c r="AE1051" s="7"/>
      <c r="AG1051" s="36"/>
      <c r="AH1051" s="36"/>
      <c r="AI1051" s="35"/>
      <c r="AJ1051" s="7"/>
      <c r="AK1051" s="7"/>
      <c r="AL1051" s="7"/>
      <c r="AM1051" s="7"/>
      <c r="AN1051" s="7"/>
      <c r="AO1051" s="7"/>
      <c r="AP1051" s="7"/>
      <c r="AQ1051" s="7"/>
      <c r="AS1051" s="36"/>
      <c r="AT1051" s="36"/>
      <c r="AU1051" s="35"/>
      <c r="AV1051" s="7"/>
      <c r="AW1051" s="7"/>
      <c r="AX1051" s="7"/>
      <c r="AY1051" s="7"/>
      <c r="AZ1051" s="7"/>
      <c r="BA1051" s="7"/>
      <c r="BB1051" s="7"/>
      <c r="BC1051" s="7"/>
      <c r="BF1051" s="7"/>
      <c r="BG1051" s="36"/>
      <c r="BH1051" s="36"/>
      <c r="BI1051" s="36"/>
      <c r="BJ1051" s="36"/>
      <c r="BK1051" s="36"/>
      <c r="BL1051" s="36"/>
      <c r="BM1051" s="36"/>
      <c r="BN1051" s="36"/>
      <c r="BO1051" s="36"/>
    </row>
    <row r="1052" spans="1:67" x14ac:dyDescent="0.25">
      <c r="A1052" s="39"/>
      <c r="B1052" s="40"/>
      <c r="U1052" s="36"/>
      <c r="V1052" s="36"/>
      <c r="W1052" s="35"/>
      <c r="X1052" s="7"/>
      <c r="Y1052" s="7"/>
      <c r="Z1052" s="7"/>
      <c r="AA1052" s="7"/>
      <c r="AB1052" s="7"/>
      <c r="AC1052" s="7"/>
      <c r="AD1052" s="7"/>
      <c r="AE1052" s="7"/>
      <c r="AG1052" s="36"/>
      <c r="AH1052" s="36"/>
      <c r="AI1052" s="35"/>
      <c r="AJ1052" s="7"/>
      <c r="AK1052" s="7"/>
      <c r="AL1052" s="7"/>
      <c r="AM1052" s="7"/>
      <c r="AN1052" s="7"/>
      <c r="AO1052" s="7"/>
      <c r="AP1052" s="7"/>
      <c r="AQ1052" s="7"/>
      <c r="AS1052" s="36"/>
      <c r="AT1052" s="36"/>
      <c r="AU1052" s="35"/>
      <c r="AV1052" s="7"/>
      <c r="AW1052" s="7"/>
      <c r="AX1052" s="7"/>
      <c r="AY1052" s="7"/>
      <c r="AZ1052" s="7"/>
      <c r="BA1052" s="7"/>
      <c r="BB1052" s="7"/>
      <c r="BC1052" s="7"/>
      <c r="BF1052" s="7"/>
      <c r="BG1052" s="36"/>
      <c r="BH1052" s="36"/>
      <c r="BI1052" s="36"/>
      <c r="BJ1052" s="36"/>
      <c r="BK1052" s="36"/>
      <c r="BL1052" s="36"/>
      <c r="BM1052" s="36"/>
      <c r="BN1052" s="36"/>
      <c r="BO1052" s="36"/>
    </row>
    <row r="1053" spans="1:67" x14ac:dyDescent="0.25">
      <c r="A1053" s="39"/>
      <c r="B1053" s="40"/>
      <c r="U1053" s="36"/>
      <c r="V1053" s="36"/>
      <c r="W1053" s="35"/>
      <c r="X1053" s="7"/>
      <c r="Y1053" s="7"/>
      <c r="Z1053" s="7"/>
      <c r="AA1053" s="7"/>
      <c r="AB1053" s="7"/>
      <c r="AC1053" s="7"/>
      <c r="AD1053" s="7"/>
      <c r="AE1053" s="7"/>
      <c r="AG1053" s="36"/>
      <c r="AH1053" s="36"/>
      <c r="AI1053" s="35"/>
      <c r="AJ1053" s="7"/>
      <c r="AK1053" s="7"/>
      <c r="AL1053" s="7"/>
      <c r="AM1053" s="7"/>
      <c r="AN1053" s="7"/>
      <c r="AO1053" s="7"/>
      <c r="AP1053" s="7"/>
      <c r="AQ1053" s="7"/>
      <c r="AS1053" s="36"/>
      <c r="AT1053" s="36"/>
      <c r="AU1053" s="35"/>
      <c r="AV1053" s="7"/>
      <c r="AW1053" s="7"/>
      <c r="AX1053" s="7"/>
      <c r="AY1053" s="7"/>
      <c r="AZ1053" s="7"/>
      <c r="BA1053" s="7"/>
      <c r="BB1053" s="7"/>
      <c r="BC1053" s="7"/>
      <c r="BF1053" s="7"/>
      <c r="BG1053" s="36"/>
      <c r="BH1053" s="36"/>
      <c r="BI1053" s="36"/>
      <c r="BJ1053" s="36"/>
      <c r="BK1053" s="36"/>
      <c r="BL1053" s="36"/>
      <c r="BM1053" s="36"/>
      <c r="BN1053" s="36"/>
      <c r="BO1053" s="36"/>
    </row>
    <row r="1054" spans="1:67" x14ac:dyDescent="0.25">
      <c r="A1054" s="39"/>
      <c r="B1054" s="40"/>
      <c r="U1054" s="36"/>
      <c r="V1054" s="36"/>
      <c r="W1054" s="35"/>
      <c r="X1054" s="7"/>
      <c r="Y1054" s="7"/>
      <c r="Z1054" s="7"/>
      <c r="AA1054" s="7"/>
      <c r="AB1054" s="7"/>
      <c r="AC1054" s="7"/>
      <c r="AD1054" s="7"/>
      <c r="AE1054" s="7"/>
      <c r="AG1054" s="36"/>
      <c r="AH1054" s="36"/>
      <c r="AI1054" s="35"/>
      <c r="AJ1054" s="7"/>
      <c r="AK1054" s="7"/>
      <c r="AL1054" s="7"/>
      <c r="AM1054" s="7"/>
      <c r="AN1054" s="7"/>
      <c r="AO1054" s="7"/>
      <c r="AP1054" s="7"/>
      <c r="AQ1054" s="7"/>
      <c r="AS1054" s="36"/>
      <c r="AT1054" s="36"/>
      <c r="AU1054" s="35"/>
      <c r="AV1054" s="7"/>
      <c r="AW1054" s="7"/>
      <c r="AX1054" s="7"/>
      <c r="AY1054" s="7"/>
      <c r="AZ1054" s="7"/>
      <c r="BA1054" s="7"/>
      <c r="BB1054" s="7"/>
      <c r="BC1054" s="7"/>
      <c r="BF1054" s="7"/>
      <c r="BG1054" s="36"/>
      <c r="BH1054" s="36"/>
      <c r="BI1054" s="36"/>
      <c r="BJ1054" s="36"/>
      <c r="BK1054" s="36"/>
      <c r="BL1054" s="36"/>
      <c r="BM1054" s="36"/>
      <c r="BN1054" s="36"/>
      <c r="BO1054" s="36"/>
    </row>
    <row r="1055" spans="1:67" x14ac:dyDescent="0.25">
      <c r="A1055" s="39"/>
      <c r="B1055" s="40"/>
      <c r="U1055" s="36"/>
      <c r="V1055" s="36"/>
      <c r="W1055" s="35"/>
      <c r="X1055" s="7"/>
      <c r="Y1055" s="7"/>
      <c r="Z1055" s="7"/>
      <c r="AA1055" s="7"/>
      <c r="AB1055" s="7"/>
      <c r="AC1055" s="7"/>
      <c r="AD1055" s="7"/>
      <c r="AE1055" s="7"/>
      <c r="AG1055" s="36"/>
      <c r="AH1055" s="36"/>
      <c r="AI1055" s="35"/>
      <c r="AJ1055" s="7"/>
      <c r="AK1055" s="7"/>
      <c r="AL1055" s="7"/>
      <c r="AM1055" s="7"/>
      <c r="AN1055" s="7"/>
      <c r="AO1055" s="7"/>
      <c r="AP1055" s="7"/>
      <c r="AQ1055" s="7"/>
      <c r="AS1055" s="36"/>
      <c r="AT1055" s="36"/>
      <c r="AU1055" s="35"/>
      <c r="AV1055" s="7"/>
      <c r="AW1055" s="7"/>
      <c r="AX1055" s="7"/>
      <c r="AY1055" s="7"/>
      <c r="AZ1055" s="7"/>
      <c r="BA1055" s="7"/>
      <c r="BB1055" s="7"/>
      <c r="BC1055" s="7"/>
      <c r="BF1055" s="7"/>
      <c r="BG1055" s="36"/>
      <c r="BH1055" s="36"/>
      <c r="BI1055" s="36"/>
      <c r="BJ1055" s="36"/>
      <c r="BK1055" s="36"/>
      <c r="BL1055" s="36"/>
      <c r="BM1055" s="36"/>
      <c r="BN1055" s="36"/>
      <c r="BO1055" s="36"/>
    </row>
    <row r="1056" spans="1:67" x14ac:dyDescent="0.25">
      <c r="A1056" s="39"/>
      <c r="B1056" s="40"/>
      <c r="U1056" s="36"/>
      <c r="V1056" s="36"/>
      <c r="W1056" s="35"/>
      <c r="X1056" s="7"/>
      <c r="Y1056" s="7"/>
      <c r="Z1056" s="7"/>
      <c r="AA1056" s="7"/>
      <c r="AB1056" s="7"/>
      <c r="AC1056" s="7"/>
      <c r="AD1056" s="7"/>
      <c r="AE1056" s="7"/>
      <c r="AG1056" s="36"/>
      <c r="AH1056" s="36"/>
      <c r="AI1056" s="35"/>
      <c r="AJ1056" s="7"/>
      <c r="AK1056" s="7"/>
      <c r="AL1056" s="7"/>
      <c r="AM1056" s="7"/>
      <c r="AN1056" s="7"/>
      <c r="AO1056" s="7"/>
      <c r="AP1056" s="7"/>
      <c r="AQ1056" s="7"/>
      <c r="AS1056" s="36"/>
      <c r="AT1056" s="36"/>
      <c r="AU1056" s="35"/>
      <c r="AV1056" s="7"/>
      <c r="AW1056" s="7"/>
      <c r="AX1056" s="7"/>
      <c r="AY1056" s="7"/>
      <c r="AZ1056" s="7"/>
      <c r="BA1056" s="7"/>
      <c r="BB1056" s="7"/>
      <c r="BC1056" s="7"/>
      <c r="BF1056" s="7"/>
      <c r="BG1056" s="36"/>
      <c r="BH1056" s="36"/>
      <c r="BI1056" s="36"/>
      <c r="BJ1056" s="36"/>
      <c r="BK1056" s="36"/>
      <c r="BL1056" s="36"/>
      <c r="BM1056" s="36"/>
      <c r="BN1056" s="36"/>
      <c r="BO1056" s="36"/>
    </row>
    <row r="1057" spans="1:67" x14ac:dyDescent="0.25">
      <c r="A1057" s="39"/>
      <c r="B1057" s="40"/>
      <c r="U1057" s="36"/>
      <c r="V1057" s="36"/>
      <c r="W1057" s="35"/>
      <c r="X1057" s="7"/>
      <c r="Y1057" s="7"/>
      <c r="Z1057" s="7"/>
      <c r="AA1057" s="7"/>
      <c r="AB1057" s="7"/>
      <c r="AC1057" s="7"/>
      <c r="AD1057" s="7"/>
      <c r="AE1057" s="7"/>
      <c r="AG1057" s="36"/>
      <c r="AH1057" s="36"/>
      <c r="AI1057" s="35"/>
      <c r="AJ1057" s="7"/>
      <c r="AK1057" s="7"/>
      <c r="AL1057" s="7"/>
      <c r="AM1057" s="7"/>
      <c r="AN1057" s="7"/>
      <c r="AO1057" s="7"/>
      <c r="AP1057" s="7"/>
      <c r="AQ1057" s="7"/>
      <c r="AS1057" s="36"/>
      <c r="AT1057" s="36"/>
      <c r="AU1057" s="35"/>
      <c r="AV1057" s="7"/>
      <c r="AW1057" s="7"/>
      <c r="AX1057" s="7"/>
      <c r="AY1057" s="7"/>
      <c r="AZ1057" s="7"/>
      <c r="BA1057" s="7"/>
      <c r="BB1057" s="7"/>
      <c r="BC1057" s="7"/>
      <c r="BF1057" s="7"/>
      <c r="BG1057" s="36"/>
      <c r="BH1057" s="36"/>
      <c r="BI1057" s="36"/>
      <c r="BJ1057" s="36"/>
      <c r="BK1057" s="36"/>
      <c r="BL1057" s="36"/>
      <c r="BM1057" s="36"/>
      <c r="BN1057" s="36"/>
      <c r="BO1057" s="36"/>
    </row>
    <row r="1058" spans="1:67" x14ac:dyDescent="0.25">
      <c r="A1058" s="39"/>
      <c r="B1058" s="40"/>
      <c r="U1058" s="36"/>
      <c r="V1058" s="36"/>
      <c r="W1058" s="35"/>
      <c r="X1058" s="7"/>
      <c r="Y1058" s="7"/>
      <c r="Z1058" s="7"/>
      <c r="AA1058" s="7"/>
      <c r="AB1058" s="7"/>
      <c r="AC1058" s="7"/>
      <c r="AD1058" s="7"/>
      <c r="AE1058" s="7"/>
      <c r="AG1058" s="36"/>
      <c r="AH1058" s="36"/>
      <c r="AI1058" s="35"/>
      <c r="AJ1058" s="7"/>
      <c r="AK1058" s="7"/>
      <c r="AL1058" s="7"/>
      <c r="AM1058" s="7"/>
      <c r="AN1058" s="7"/>
      <c r="AO1058" s="7"/>
      <c r="AP1058" s="7"/>
      <c r="AQ1058" s="7"/>
      <c r="AS1058" s="36"/>
      <c r="AT1058" s="36"/>
      <c r="AU1058" s="35"/>
      <c r="AV1058" s="7"/>
      <c r="AW1058" s="7"/>
      <c r="AX1058" s="7"/>
      <c r="AY1058" s="7"/>
      <c r="AZ1058" s="7"/>
      <c r="BA1058" s="7"/>
      <c r="BB1058" s="7"/>
      <c r="BC1058" s="7"/>
      <c r="BF1058" s="7"/>
      <c r="BG1058" s="36"/>
      <c r="BH1058" s="36"/>
      <c r="BI1058" s="36"/>
      <c r="BJ1058" s="36"/>
      <c r="BK1058" s="36"/>
      <c r="BL1058" s="36"/>
      <c r="BM1058" s="36"/>
      <c r="BN1058" s="36"/>
      <c r="BO1058" s="36"/>
    </row>
    <row r="1059" spans="1:67" x14ac:dyDescent="0.25">
      <c r="A1059" s="39"/>
      <c r="B1059" s="40"/>
      <c r="U1059" s="36"/>
      <c r="V1059" s="36"/>
      <c r="W1059" s="35"/>
      <c r="X1059" s="7"/>
      <c r="Y1059" s="7"/>
      <c r="Z1059" s="7"/>
      <c r="AA1059" s="7"/>
      <c r="AB1059" s="7"/>
      <c r="AC1059" s="7"/>
      <c r="AD1059" s="7"/>
      <c r="AE1059" s="7"/>
      <c r="AG1059" s="36"/>
      <c r="AH1059" s="36"/>
      <c r="AI1059" s="35"/>
      <c r="AJ1059" s="7"/>
      <c r="AK1059" s="7"/>
      <c r="AL1059" s="7"/>
      <c r="AM1059" s="7"/>
      <c r="AN1059" s="7"/>
      <c r="AO1059" s="7"/>
      <c r="AP1059" s="7"/>
      <c r="AQ1059" s="7"/>
      <c r="AS1059" s="36"/>
      <c r="AT1059" s="36"/>
      <c r="AU1059" s="35"/>
      <c r="AV1059" s="7"/>
      <c r="AW1059" s="7"/>
      <c r="AX1059" s="7"/>
      <c r="AY1059" s="7"/>
      <c r="AZ1059" s="7"/>
      <c r="BA1059" s="7"/>
      <c r="BB1059" s="7"/>
      <c r="BC1059" s="7"/>
      <c r="BF1059" s="7"/>
      <c r="BG1059" s="36"/>
      <c r="BH1059" s="36"/>
      <c r="BI1059" s="36"/>
      <c r="BJ1059" s="36"/>
      <c r="BK1059" s="36"/>
      <c r="BL1059" s="36"/>
      <c r="BM1059" s="36"/>
      <c r="BN1059" s="36"/>
      <c r="BO1059" s="36"/>
    </row>
    <row r="1060" spans="1:67" x14ac:dyDescent="0.25">
      <c r="A1060" s="39"/>
      <c r="B1060" s="40"/>
      <c r="U1060" s="36"/>
      <c r="V1060" s="36"/>
      <c r="W1060" s="35"/>
      <c r="X1060" s="7"/>
      <c r="Y1060" s="7"/>
      <c r="Z1060" s="7"/>
      <c r="AA1060" s="7"/>
      <c r="AB1060" s="7"/>
      <c r="AC1060" s="7"/>
      <c r="AD1060" s="7"/>
      <c r="AE1060" s="7"/>
      <c r="AG1060" s="36"/>
      <c r="AH1060" s="36"/>
      <c r="AI1060" s="35"/>
      <c r="AJ1060" s="7"/>
      <c r="AK1060" s="7"/>
      <c r="AL1060" s="7"/>
      <c r="AM1060" s="7"/>
      <c r="AN1060" s="7"/>
      <c r="AO1060" s="7"/>
      <c r="AP1060" s="7"/>
      <c r="AQ1060" s="7"/>
      <c r="AS1060" s="36"/>
      <c r="AT1060" s="36"/>
      <c r="AU1060" s="35"/>
      <c r="AV1060" s="7"/>
      <c r="AW1060" s="7"/>
      <c r="AX1060" s="7"/>
      <c r="AY1060" s="7"/>
      <c r="AZ1060" s="7"/>
      <c r="BA1060" s="7"/>
      <c r="BB1060" s="7"/>
      <c r="BC1060" s="7"/>
      <c r="BF1060" s="7"/>
      <c r="BG1060" s="36"/>
      <c r="BH1060" s="36"/>
      <c r="BI1060" s="36"/>
      <c r="BJ1060" s="36"/>
      <c r="BK1060" s="36"/>
      <c r="BL1060" s="36"/>
      <c r="BM1060" s="36"/>
      <c r="BN1060" s="36"/>
      <c r="BO1060" s="36"/>
    </row>
    <row r="1061" spans="1:67" x14ac:dyDescent="0.25">
      <c r="A1061" s="39"/>
      <c r="B1061" s="40"/>
      <c r="U1061" s="36"/>
      <c r="V1061" s="36"/>
      <c r="W1061" s="35"/>
      <c r="X1061" s="7"/>
      <c r="Y1061" s="7"/>
      <c r="Z1061" s="7"/>
      <c r="AA1061" s="7"/>
      <c r="AB1061" s="7"/>
      <c r="AC1061" s="7"/>
      <c r="AD1061" s="7"/>
      <c r="AE1061" s="7"/>
      <c r="AG1061" s="36"/>
      <c r="AH1061" s="36"/>
      <c r="AI1061" s="35"/>
      <c r="AJ1061" s="7"/>
      <c r="AK1061" s="7"/>
      <c r="AL1061" s="7"/>
      <c r="AM1061" s="7"/>
      <c r="AN1061" s="7"/>
      <c r="AO1061" s="7"/>
      <c r="AP1061" s="7"/>
      <c r="AQ1061" s="7"/>
      <c r="AS1061" s="36"/>
      <c r="AT1061" s="36"/>
      <c r="AU1061" s="35"/>
      <c r="AV1061" s="7"/>
      <c r="AW1061" s="7"/>
      <c r="AX1061" s="7"/>
      <c r="AY1061" s="7"/>
      <c r="AZ1061" s="7"/>
      <c r="BA1061" s="7"/>
      <c r="BB1061" s="7"/>
      <c r="BC1061" s="7"/>
      <c r="BF1061" s="7"/>
      <c r="BG1061" s="36"/>
      <c r="BH1061" s="36"/>
      <c r="BI1061" s="36"/>
      <c r="BJ1061" s="36"/>
      <c r="BK1061" s="36"/>
      <c r="BL1061" s="36"/>
      <c r="BM1061" s="36"/>
      <c r="BN1061" s="36"/>
      <c r="BO1061" s="36"/>
    </row>
    <row r="1062" spans="1:67" x14ac:dyDescent="0.25">
      <c r="A1062" s="39"/>
      <c r="B1062" s="40"/>
      <c r="U1062" s="36"/>
      <c r="V1062" s="36"/>
      <c r="W1062" s="35"/>
      <c r="X1062" s="7"/>
      <c r="Y1062" s="7"/>
      <c r="Z1062" s="7"/>
      <c r="AA1062" s="7"/>
      <c r="AB1062" s="7"/>
      <c r="AC1062" s="7"/>
      <c r="AD1062" s="7"/>
      <c r="AE1062" s="7"/>
      <c r="AG1062" s="36"/>
      <c r="AH1062" s="36"/>
      <c r="AI1062" s="35"/>
      <c r="AJ1062" s="7"/>
      <c r="AK1062" s="7"/>
      <c r="AL1062" s="7"/>
      <c r="AM1062" s="7"/>
      <c r="AN1062" s="7"/>
      <c r="AO1062" s="7"/>
      <c r="AP1062" s="7"/>
      <c r="AQ1062" s="7"/>
      <c r="AS1062" s="36"/>
      <c r="AT1062" s="36"/>
      <c r="AU1062" s="35"/>
      <c r="AV1062" s="7"/>
      <c r="AW1062" s="7"/>
      <c r="AX1062" s="7"/>
      <c r="AY1062" s="7"/>
      <c r="AZ1062" s="7"/>
      <c r="BA1062" s="7"/>
      <c r="BB1062" s="7"/>
      <c r="BC1062" s="7"/>
      <c r="BF1062" s="7"/>
      <c r="BG1062" s="36"/>
      <c r="BH1062" s="36"/>
      <c r="BI1062" s="36"/>
      <c r="BJ1062" s="36"/>
      <c r="BK1062" s="36"/>
      <c r="BL1062" s="36"/>
      <c r="BM1062" s="36"/>
      <c r="BN1062" s="36"/>
      <c r="BO1062" s="36"/>
    </row>
    <row r="1063" spans="1:67" x14ac:dyDescent="0.25">
      <c r="A1063" s="39"/>
      <c r="B1063" s="40"/>
      <c r="U1063" s="36"/>
      <c r="V1063" s="36"/>
      <c r="W1063" s="35"/>
      <c r="X1063" s="7"/>
      <c r="Y1063" s="7"/>
      <c r="Z1063" s="7"/>
      <c r="AA1063" s="7"/>
      <c r="AB1063" s="7"/>
      <c r="AC1063" s="7"/>
      <c r="AD1063" s="7"/>
      <c r="AE1063" s="7"/>
      <c r="AG1063" s="36"/>
      <c r="AH1063" s="36"/>
      <c r="AI1063" s="35"/>
      <c r="AJ1063" s="7"/>
      <c r="AK1063" s="7"/>
      <c r="AL1063" s="7"/>
      <c r="AM1063" s="7"/>
      <c r="AN1063" s="7"/>
      <c r="AO1063" s="7"/>
      <c r="AP1063" s="7"/>
      <c r="AQ1063" s="7"/>
      <c r="AS1063" s="36"/>
      <c r="AT1063" s="36"/>
      <c r="AU1063" s="35"/>
      <c r="AV1063" s="7"/>
      <c r="AW1063" s="7"/>
      <c r="AX1063" s="7"/>
      <c r="AY1063" s="7"/>
      <c r="AZ1063" s="7"/>
      <c r="BA1063" s="7"/>
      <c r="BB1063" s="7"/>
      <c r="BC1063" s="7"/>
      <c r="BF1063" s="7"/>
      <c r="BG1063" s="36"/>
      <c r="BH1063" s="36"/>
      <c r="BI1063" s="36"/>
      <c r="BJ1063" s="36"/>
      <c r="BK1063" s="36"/>
      <c r="BL1063" s="36"/>
      <c r="BM1063" s="36"/>
      <c r="BN1063" s="36"/>
      <c r="BO1063" s="36"/>
    </row>
    <row r="1064" spans="1:67" x14ac:dyDescent="0.25">
      <c r="A1064" s="39"/>
      <c r="B1064" s="40"/>
      <c r="U1064" s="36"/>
      <c r="V1064" s="36"/>
      <c r="W1064" s="35"/>
      <c r="X1064" s="7"/>
      <c r="Y1064" s="7"/>
      <c r="Z1064" s="7"/>
      <c r="AA1064" s="7"/>
      <c r="AB1064" s="7"/>
      <c r="AC1064" s="7"/>
      <c r="AD1064" s="7"/>
      <c r="AE1064" s="7"/>
      <c r="AG1064" s="36"/>
      <c r="AH1064" s="36"/>
      <c r="AI1064" s="35"/>
      <c r="AJ1064" s="7"/>
      <c r="AK1064" s="7"/>
      <c r="AL1064" s="7"/>
      <c r="AM1064" s="7"/>
      <c r="AN1064" s="7"/>
      <c r="AO1064" s="7"/>
      <c r="AP1064" s="7"/>
      <c r="AQ1064" s="7"/>
      <c r="AS1064" s="36"/>
      <c r="AT1064" s="36"/>
      <c r="AU1064" s="35"/>
      <c r="AV1064" s="7"/>
      <c r="AW1064" s="7"/>
      <c r="AX1064" s="7"/>
      <c r="AY1064" s="7"/>
      <c r="AZ1064" s="7"/>
      <c r="BA1064" s="7"/>
      <c r="BB1064" s="7"/>
      <c r="BC1064" s="7"/>
      <c r="BF1064" s="7"/>
      <c r="BG1064" s="36"/>
      <c r="BH1064" s="36"/>
      <c r="BI1064" s="36"/>
      <c r="BJ1064" s="36"/>
      <c r="BK1064" s="36"/>
      <c r="BL1064" s="36"/>
      <c r="BM1064" s="36"/>
      <c r="BN1064" s="36"/>
      <c r="BO1064" s="36"/>
    </row>
    <row r="1065" spans="1:67" x14ac:dyDescent="0.25">
      <c r="A1065" s="39"/>
      <c r="B1065" s="40"/>
      <c r="U1065" s="36"/>
      <c r="V1065" s="36"/>
      <c r="W1065" s="35"/>
      <c r="X1065" s="7"/>
      <c r="Y1065" s="7"/>
      <c r="Z1065" s="7"/>
      <c r="AA1065" s="7"/>
      <c r="AB1065" s="7"/>
      <c r="AC1065" s="7"/>
      <c r="AD1065" s="7"/>
      <c r="AE1065" s="7"/>
      <c r="AG1065" s="36"/>
      <c r="AH1065" s="36"/>
      <c r="AI1065" s="35"/>
      <c r="AJ1065" s="7"/>
      <c r="AK1065" s="7"/>
      <c r="AL1065" s="7"/>
      <c r="AM1065" s="7"/>
      <c r="AN1065" s="7"/>
      <c r="AO1065" s="7"/>
      <c r="AP1065" s="7"/>
      <c r="AQ1065" s="7"/>
      <c r="AS1065" s="36"/>
      <c r="AT1065" s="36"/>
      <c r="AU1065" s="35"/>
      <c r="AV1065" s="7"/>
      <c r="AW1065" s="7"/>
      <c r="AX1065" s="7"/>
      <c r="AY1065" s="7"/>
      <c r="AZ1065" s="7"/>
      <c r="BA1065" s="7"/>
      <c r="BB1065" s="7"/>
      <c r="BC1065" s="7"/>
      <c r="BF1065" s="7"/>
      <c r="BG1065" s="36"/>
      <c r="BH1065" s="36"/>
      <c r="BI1065" s="36"/>
      <c r="BJ1065" s="36"/>
      <c r="BK1065" s="36"/>
      <c r="BL1065" s="36"/>
      <c r="BM1065" s="36"/>
      <c r="BN1065" s="36"/>
      <c r="BO1065" s="36"/>
    </row>
    <row r="1066" spans="1:67" x14ac:dyDescent="0.25">
      <c r="A1066" s="39"/>
      <c r="B1066" s="40"/>
      <c r="U1066" s="36"/>
      <c r="V1066" s="36"/>
      <c r="W1066" s="35"/>
      <c r="X1066" s="7"/>
      <c r="Y1066" s="7"/>
      <c r="Z1066" s="7"/>
      <c r="AA1066" s="7"/>
      <c r="AB1066" s="7"/>
      <c r="AC1066" s="7"/>
      <c r="AD1066" s="7"/>
      <c r="AE1066" s="7"/>
      <c r="AG1066" s="36"/>
      <c r="AH1066" s="36"/>
      <c r="AI1066" s="35"/>
      <c r="AJ1066" s="7"/>
      <c r="AK1066" s="7"/>
      <c r="AL1066" s="7"/>
      <c r="AM1066" s="7"/>
      <c r="AN1066" s="7"/>
      <c r="AO1066" s="7"/>
      <c r="AP1066" s="7"/>
      <c r="AQ1066" s="7"/>
      <c r="AS1066" s="36"/>
      <c r="AT1066" s="36"/>
      <c r="AU1066" s="35"/>
      <c r="AV1066" s="7"/>
      <c r="AW1066" s="7"/>
      <c r="AX1066" s="7"/>
      <c r="AY1066" s="7"/>
      <c r="AZ1066" s="7"/>
      <c r="BA1066" s="7"/>
      <c r="BB1066" s="7"/>
      <c r="BC1066" s="7"/>
      <c r="BF1066" s="7"/>
      <c r="BG1066" s="36"/>
      <c r="BH1066" s="36"/>
      <c r="BI1066" s="36"/>
      <c r="BJ1066" s="36"/>
      <c r="BK1066" s="36"/>
      <c r="BL1066" s="36"/>
      <c r="BM1066" s="36"/>
      <c r="BN1066" s="36"/>
      <c r="BO1066" s="36"/>
    </row>
    <row r="1067" spans="1:67" x14ac:dyDescent="0.25">
      <c r="A1067" s="39"/>
      <c r="B1067" s="40"/>
      <c r="U1067" s="36"/>
      <c r="V1067" s="36"/>
      <c r="W1067" s="35"/>
      <c r="X1067" s="7"/>
      <c r="Y1067" s="7"/>
      <c r="Z1067" s="7"/>
      <c r="AA1067" s="7"/>
      <c r="AB1067" s="7"/>
      <c r="AC1067" s="7"/>
      <c r="AD1067" s="7"/>
      <c r="AE1067" s="7"/>
      <c r="AG1067" s="36"/>
      <c r="AH1067" s="36"/>
      <c r="AI1067" s="35"/>
      <c r="AJ1067" s="7"/>
      <c r="AK1067" s="7"/>
      <c r="AL1067" s="7"/>
      <c r="AM1067" s="7"/>
      <c r="AN1067" s="7"/>
      <c r="AO1067" s="7"/>
      <c r="AP1067" s="7"/>
      <c r="AQ1067" s="7"/>
      <c r="AS1067" s="36"/>
      <c r="AT1067" s="36"/>
      <c r="AU1067" s="35"/>
      <c r="AV1067" s="7"/>
      <c r="AW1067" s="7"/>
      <c r="AX1067" s="7"/>
      <c r="AY1067" s="7"/>
      <c r="AZ1067" s="7"/>
      <c r="BA1067" s="7"/>
      <c r="BB1067" s="7"/>
      <c r="BC1067" s="7"/>
      <c r="BF1067" s="7"/>
      <c r="BG1067" s="36"/>
      <c r="BH1067" s="36"/>
      <c r="BI1067" s="36"/>
      <c r="BJ1067" s="36"/>
      <c r="BK1067" s="36"/>
      <c r="BL1067" s="36"/>
      <c r="BM1067" s="36"/>
      <c r="BN1067" s="36"/>
      <c r="BO1067" s="36"/>
    </row>
    <row r="1068" spans="1:67" x14ac:dyDescent="0.25">
      <c r="A1068" s="39"/>
      <c r="B1068" s="40"/>
      <c r="U1068" s="36"/>
      <c r="V1068" s="36"/>
      <c r="W1068" s="35"/>
      <c r="X1068" s="7"/>
      <c r="Y1068" s="7"/>
      <c r="Z1068" s="7"/>
      <c r="AA1068" s="7"/>
      <c r="AB1068" s="7"/>
      <c r="AC1068" s="7"/>
      <c r="AD1068" s="7"/>
      <c r="AE1068" s="7"/>
      <c r="AG1068" s="36"/>
      <c r="AH1068" s="36"/>
      <c r="AI1068" s="35"/>
      <c r="AJ1068" s="7"/>
      <c r="AK1068" s="7"/>
      <c r="AL1068" s="7"/>
      <c r="AM1068" s="7"/>
      <c r="AN1068" s="7"/>
      <c r="AO1068" s="7"/>
      <c r="AP1068" s="7"/>
      <c r="AQ1068" s="7"/>
      <c r="AS1068" s="36"/>
      <c r="AT1068" s="36"/>
      <c r="AU1068" s="35"/>
      <c r="AV1068" s="7"/>
      <c r="AW1068" s="7"/>
      <c r="AX1068" s="7"/>
      <c r="AY1068" s="7"/>
      <c r="AZ1068" s="7"/>
      <c r="BA1068" s="7"/>
      <c r="BB1068" s="7"/>
      <c r="BC1068" s="7"/>
      <c r="BF1068" s="7"/>
      <c r="BG1068" s="36"/>
      <c r="BH1068" s="36"/>
      <c r="BI1068" s="36"/>
      <c r="BJ1068" s="36"/>
      <c r="BK1068" s="36"/>
      <c r="BL1068" s="36"/>
      <c r="BM1068" s="36"/>
      <c r="BN1068" s="36"/>
      <c r="BO1068" s="36"/>
    </row>
    <row r="1069" spans="1:67" x14ac:dyDescent="0.25">
      <c r="A1069" s="39"/>
      <c r="B1069" s="40"/>
      <c r="U1069" s="36"/>
      <c r="V1069" s="36"/>
      <c r="W1069" s="35"/>
      <c r="X1069" s="7"/>
      <c r="Y1069" s="7"/>
      <c r="Z1069" s="7"/>
      <c r="AA1069" s="7"/>
      <c r="AB1069" s="7"/>
      <c r="AC1069" s="7"/>
      <c r="AD1069" s="7"/>
      <c r="AE1069" s="7"/>
      <c r="AG1069" s="36"/>
      <c r="AH1069" s="36"/>
      <c r="AI1069" s="35"/>
      <c r="AJ1069" s="7"/>
      <c r="AK1069" s="7"/>
      <c r="AL1069" s="7"/>
      <c r="AM1069" s="7"/>
      <c r="AN1069" s="7"/>
      <c r="AO1069" s="7"/>
      <c r="AP1069" s="7"/>
      <c r="AQ1069" s="7"/>
      <c r="AS1069" s="36"/>
      <c r="AT1069" s="36"/>
      <c r="AU1069" s="35"/>
      <c r="AV1069" s="7"/>
      <c r="AW1069" s="7"/>
      <c r="AX1069" s="7"/>
      <c r="AY1069" s="7"/>
      <c r="AZ1069" s="7"/>
      <c r="BA1069" s="7"/>
      <c r="BB1069" s="7"/>
      <c r="BC1069" s="7"/>
      <c r="BF1069" s="7"/>
      <c r="BG1069" s="36"/>
      <c r="BH1069" s="36"/>
      <c r="BI1069" s="36"/>
      <c r="BJ1069" s="36"/>
      <c r="BK1069" s="36"/>
      <c r="BL1069" s="36"/>
      <c r="BM1069" s="36"/>
      <c r="BN1069" s="36"/>
      <c r="BO1069" s="36"/>
    </row>
    <row r="1070" spans="1:67" x14ac:dyDescent="0.25">
      <c r="A1070" s="39"/>
      <c r="B1070" s="40"/>
      <c r="U1070" s="36"/>
      <c r="V1070" s="36"/>
      <c r="W1070" s="35"/>
      <c r="X1070" s="7"/>
      <c r="Y1070" s="7"/>
      <c r="Z1070" s="7"/>
      <c r="AA1070" s="7"/>
      <c r="AB1070" s="7"/>
      <c r="AC1070" s="7"/>
      <c r="AD1070" s="7"/>
      <c r="AE1070" s="7"/>
      <c r="AG1070" s="36"/>
      <c r="AH1070" s="36"/>
      <c r="AI1070" s="35"/>
      <c r="AJ1070" s="7"/>
      <c r="AK1070" s="7"/>
      <c r="AL1070" s="7"/>
      <c r="AM1070" s="7"/>
      <c r="AN1070" s="7"/>
      <c r="AO1070" s="7"/>
      <c r="AP1070" s="7"/>
      <c r="AQ1070" s="7"/>
      <c r="AS1070" s="36"/>
      <c r="AT1070" s="36"/>
      <c r="AU1070" s="35"/>
      <c r="AV1070" s="7"/>
      <c r="AW1070" s="7"/>
      <c r="AX1070" s="7"/>
      <c r="AY1070" s="7"/>
      <c r="AZ1070" s="7"/>
      <c r="BA1070" s="7"/>
      <c r="BB1070" s="7"/>
      <c r="BC1070" s="7"/>
      <c r="BF1070" s="7"/>
      <c r="BG1070" s="36"/>
      <c r="BH1070" s="36"/>
      <c r="BI1070" s="36"/>
      <c r="BJ1070" s="36"/>
      <c r="BK1070" s="36"/>
      <c r="BL1070" s="36"/>
      <c r="BM1070" s="36"/>
      <c r="BN1070" s="36"/>
      <c r="BO1070" s="36"/>
    </row>
    <row r="1071" spans="1:67" x14ac:dyDescent="0.25">
      <c r="A1071" s="39"/>
      <c r="B1071" s="40"/>
      <c r="U1071" s="36"/>
      <c r="V1071" s="36"/>
      <c r="W1071" s="35"/>
      <c r="X1071" s="7"/>
      <c r="Y1071" s="7"/>
      <c r="Z1071" s="7"/>
      <c r="AA1071" s="7"/>
      <c r="AB1071" s="7"/>
      <c r="AC1071" s="7"/>
      <c r="AD1071" s="7"/>
      <c r="AE1071" s="7"/>
      <c r="AG1071" s="36"/>
      <c r="AH1071" s="36"/>
      <c r="AI1071" s="35"/>
      <c r="AJ1071" s="7"/>
      <c r="AK1071" s="7"/>
      <c r="AL1071" s="7"/>
      <c r="AM1071" s="7"/>
      <c r="AN1071" s="7"/>
      <c r="AO1071" s="7"/>
      <c r="AP1071" s="7"/>
      <c r="AQ1071" s="7"/>
      <c r="AS1071" s="36"/>
      <c r="AT1071" s="36"/>
      <c r="AU1071" s="35"/>
      <c r="AV1071" s="7"/>
      <c r="AW1071" s="7"/>
      <c r="AX1071" s="7"/>
      <c r="AY1071" s="7"/>
      <c r="AZ1071" s="7"/>
      <c r="BA1071" s="7"/>
      <c r="BB1071" s="7"/>
      <c r="BC1071" s="7"/>
      <c r="BF1071" s="7"/>
      <c r="BG1071" s="36"/>
      <c r="BH1071" s="36"/>
      <c r="BI1071" s="36"/>
      <c r="BJ1071" s="36"/>
      <c r="BK1071" s="36"/>
      <c r="BL1071" s="36"/>
      <c r="BM1071" s="36"/>
      <c r="BN1071" s="36"/>
      <c r="BO1071" s="36"/>
    </row>
    <row r="1072" spans="1:67" x14ac:dyDescent="0.25">
      <c r="A1072" s="39"/>
      <c r="B1072" s="40"/>
      <c r="U1072" s="36"/>
      <c r="V1072" s="36"/>
      <c r="W1072" s="35"/>
      <c r="X1072" s="7"/>
      <c r="Y1072" s="7"/>
      <c r="Z1072" s="7"/>
      <c r="AA1072" s="7"/>
      <c r="AB1072" s="7"/>
      <c r="AC1072" s="7"/>
      <c r="AD1072" s="7"/>
      <c r="AE1072" s="7"/>
      <c r="AG1072" s="36"/>
      <c r="AH1072" s="36"/>
      <c r="AI1072" s="35"/>
      <c r="AJ1072" s="7"/>
      <c r="AK1072" s="7"/>
      <c r="AL1072" s="7"/>
      <c r="AM1072" s="7"/>
      <c r="AN1072" s="7"/>
      <c r="AO1072" s="7"/>
      <c r="AP1072" s="7"/>
      <c r="AQ1072" s="7"/>
      <c r="AS1072" s="36"/>
      <c r="AT1072" s="36"/>
      <c r="AU1072" s="35"/>
      <c r="AV1072" s="7"/>
      <c r="AW1072" s="7"/>
      <c r="AX1072" s="7"/>
      <c r="AY1072" s="7"/>
      <c r="AZ1072" s="7"/>
      <c r="BA1072" s="7"/>
      <c r="BB1072" s="7"/>
      <c r="BC1072" s="7"/>
      <c r="BF1072" s="7"/>
      <c r="BG1072" s="36"/>
      <c r="BH1072" s="36"/>
      <c r="BI1072" s="36"/>
      <c r="BJ1072" s="36"/>
      <c r="BK1072" s="36"/>
      <c r="BL1072" s="36"/>
      <c r="BM1072" s="36"/>
      <c r="BN1072" s="36"/>
      <c r="BO1072" s="36"/>
    </row>
    <row r="1073" spans="1:67" x14ac:dyDescent="0.25">
      <c r="A1073" s="39"/>
      <c r="B1073" s="40"/>
      <c r="U1073" s="36"/>
      <c r="V1073" s="36"/>
      <c r="W1073" s="35"/>
      <c r="X1073" s="7"/>
      <c r="Y1073" s="7"/>
      <c r="Z1073" s="7"/>
      <c r="AA1073" s="7"/>
      <c r="AB1073" s="7"/>
      <c r="AC1073" s="7"/>
      <c r="AD1073" s="7"/>
      <c r="AE1073" s="7"/>
      <c r="AG1073" s="36"/>
      <c r="AH1073" s="36"/>
      <c r="AI1073" s="35"/>
      <c r="AJ1073" s="7"/>
      <c r="AK1073" s="7"/>
      <c r="AL1073" s="7"/>
      <c r="AM1073" s="7"/>
      <c r="AN1073" s="7"/>
      <c r="AO1073" s="7"/>
      <c r="AP1073" s="7"/>
      <c r="AQ1073" s="7"/>
      <c r="AS1073" s="36"/>
      <c r="AT1073" s="36"/>
      <c r="AU1073" s="35"/>
      <c r="AV1073" s="7"/>
      <c r="AW1073" s="7"/>
      <c r="AX1073" s="7"/>
      <c r="AY1073" s="7"/>
      <c r="AZ1073" s="7"/>
      <c r="BA1073" s="7"/>
      <c r="BB1073" s="7"/>
      <c r="BC1073" s="7"/>
      <c r="BF1073" s="7"/>
      <c r="BG1073" s="36"/>
      <c r="BH1073" s="36"/>
      <c r="BI1073" s="36"/>
      <c r="BJ1073" s="36"/>
      <c r="BK1073" s="36"/>
      <c r="BL1073" s="36"/>
      <c r="BM1073" s="36"/>
      <c r="BN1073" s="36"/>
      <c r="BO1073" s="36"/>
    </row>
    <row r="1074" spans="1:67" x14ac:dyDescent="0.25">
      <c r="A1074" s="39"/>
      <c r="B1074" s="40"/>
      <c r="U1074" s="36"/>
      <c r="V1074" s="36"/>
      <c r="W1074" s="35"/>
      <c r="X1074" s="7"/>
      <c r="Y1074" s="7"/>
      <c r="Z1074" s="7"/>
      <c r="AA1074" s="7"/>
      <c r="AB1074" s="7"/>
      <c r="AC1074" s="7"/>
      <c r="AD1074" s="7"/>
      <c r="AE1074" s="7"/>
      <c r="AG1074" s="36"/>
      <c r="AH1074" s="36"/>
      <c r="AI1074" s="35"/>
      <c r="AJ1074" s="7"/>
      <c r="AK1074" s="7"/>
      <c r="AL1074" s="7"/>
      <c r="AM1074" s="7"/>
      <c r="AN1074" s="7"/>
      <c r="AO1074" s="7"/>
      <c r="AP1074" s="7"/>
      <c r="AQ1074" s="7"/>
      <c r="AS1074" s="36"/>
      <c r="AT1074" s="36"/>
      <c r="AU1074" s="35"/>
      <c r="AV1074" s="7"/>
      <c r="AW1074" s="7"/>
      <c r="AX1074" s="7"/>
      <c r="AY1074" s="7"/>
      <c r="AZ1074" s="7"/>
      <c r="BA1074" s="7"/>
      <c r="BB1074" s="7"/>
      <c r="BC1074" s="7"/>
      <c r="BF1074" s="7"/>
      <c r="BG1074" s="36"/>
      <c r="BH1074" s="36"/>
      <c r="BI1074" s="36"/>
      <c r="BJ1074" s="36"/>
      <c r="BK1074" s="36"/>
      <c r="BL1074" s="36"/>
      <c r="BM1074" s="36"/>
      <c r="BN1074" s="36"/>
      <c r="BO1074" s="36"/>
    </row>
    <row r="1075" spans="1:67" x14ac:dyDescent="0.25">
      <c r="A1075" s="39"/>
      <c r="B1075" s="40"/>
      <c r="U1075" s="36"/>
      <c r="V1075" s="36"/>
      <c r="W1075" s="35"/>
      <c r="X1075" s="7"/>
      <c r="Y1075" s="7"/>
      <c r="Z1075" s="7"/>
      <c r="AA1075" s="7"/>
      <c r="AB1075" s="7"/>
      <c r="AC1075" s="7"/>
      <c r="AD1075" s="7"/>
      <c r="AE1075" s="7"/>
      <c r="AG1075" s="36"/>
      <c r="AH1075" s="36"/>
      <c r="AI1075" s="35"/>
      <c r="AJ1075" s="7"/>
      <c r="AK1075" s="7"/>
      <c r="AL1075" s="7"/>
      <c r="AM1075" s="7"/>
      <c r="AN1075" s="7"/>
      <c r="AO1075" s="7"/>
      <c r="AP1075" s="7"/>
      <c r="AQ1075" s="7"/>
      <c r="AS1075" s="36"/>
      <c r="AT1075" s="36"/>
      <c r="AU1075" s="35"/>
      <c r="AV1075" s="7"/>
      <c r="AW1075" s="7"/>
      <c r="AX1075" s="7"/>
      <c r="AY1075" s="7"/>
      <c r="AZ1075" s="7"/>
      <c r="BA1075" s="7"/>
      <c r="BB1075" s="7"/>
      <c r="BC1075" s="7"/>
      <c r="BF1075" s="7"/>
      <c r="BG1075" s="36"/>
      <c r="BH1075" s="36"/>
      <c r="BI1075" s="36"/>
      <c r="BJ1075" s="36"/>
      <c r="BK1075" s="36"/>
      <c r="BL1075" s="36"/>
      <c r="BM1075" s="36"/>
      <c r="BN1075" s="36"/>
      <c r="BO1075" s="36"/>
    </row>
    <row r="1076" spans="1:67" x14ac:dyDescent="0.25">
      <c r="A1076" s="39"/>
      <c r="B1076" s="40"/>
      <c r="U1076" s="36"/>
      <c r="V1076" s="36"/>
      <c r="W1076" s="35"/>
      <c r="X1076" s="7"/>
      <c r="Y1076" s="7"/>
      <c r="Z1076" s="7"/>
      <c r="AA1076" s="7"/>
      <c r="AB1076" s="7"/>
      <c r="AC1076" s="7"/>
      <c r="AD1076" s="7"/>
      <c r="AE1076" s="7"/>
      <c r="AG1076" s="36"/>
      <c r="AH1076" s="36"/>
      <c r="AI1076" s="35"/>
      <c r="AJ1076" s="7"/>
      <c r="AK1076" s="7"/>
      <c r="AL1076" s="7"/>
      <c r="AM1076" s="7"/>
      <c r="AN1076" s="7"/>
      <c r="AO1076" s="7"/>
      <c r="AP1076" s="7"/>
      <c r="AQ1076" s="7"/>
      <c r="AS1076" s="36"/>
      <c r="AT1076" s="36"/>
      <c r="AU1076" s="35"/>
      <c r="AV1076" s="7"/>
      <c r="AW1076" s="7"/>
      <c r="AX1076" s="7"/>
      <c r="AY1076" s="7"/>
      <c r="AZ1076" s="7"/>
      <c r="BA1076" s="7"/>
      <c r="BB1076" s="7"/>
      <c r="BC1076" s="7"/>
      <c r="BF1076" s="7"/>
      <c r="BG1076" s="36"/>
      <c r="BH1076" s="36"/>
      <c r="BI1076" s="36"/>
      <c r="BJ1076" s="36"/>
      <c r="BK1076" s="36"/>
      <c r="BL1076" s="36"/>
      <c r="BM1076" s="36"/>
      <c r="BN1076" s="36"/>
      <c r="BO1076" s="36"/>
    </row>
    <row r="1077" spans="1:67" x14ac:dyDescent="0.25">
      <c r="A1077" s="39"/>
      <c r="B1077" s="40"/>
      <c r="U1077" s="36"/>
      <c r="V1077" s="36"/>
      <c r="W1077" s="35"/>
      <c r="X1077" s="7"/>
      <c r="Y1077" s="7"/>
      <c r="Z1077" s="7"/>
      <c r="AA1077" s="7"/>
      <c r="AB1077" s="7"/>
      <c r="AC1077" s="7"/>
      <c r="AD1077" s="7"/>
      <c r="AE1077" s="7"/>
      <c r="AG1077" s="36"/>
      <c r="AH1077" s="36"/>
      <c r="AI1077" s="35"/>
      <c r="AJ1077" s="7"/>
      <c r="AK1077" s="7"/>
      <c r="AL1077" s="7"/>
      <c r="AM1077" s="7"/>
      <c r="AN1077" s="7"/>
      <c r="AO1077" s="7"/>
      <c r="AP1077" s="7"/>
      <c r="AQ1077" s="7"/>
      <c r="AS1077" s="36"/>
      <c r="AT1077" s="36"/>
      <c r="AU1077" s="35"/>
      <c r="AV1077" s="7"/>
      <c r="AW1077" s="7"/>
      <c r="AX1077" s="7"/>
      <c r="AY1077" s="7"/>
      <c r="AZ1077" s="7"/>
      <c r="BA1077" s="7"/>
      <c r="BB1077" s="7"/>
      <c r="BC1077" s="7"/>
      <c r="BF1077" s="7"/>
      <c r="BG1077" s="36"/>
      <c r="BH1077" s="36"/>
      <c r="BI1077" s="36"/>
      <c r="BJ1077" s="36"/>
      <c r="BK1077" s="36"/>
      <c r="BL1077" s="36"/>
      <c r="BM1077" s="36"/>
      <c r="BN1077" s="36"/>
      <c r="BO1077" s="36"/>
    </row>
    <row r="1078" spans="1:67" x14ac:dyDescent="0.25">
      <c r="A1078" s="39"/>
      <c r="B1078" s="40"/>
      <c r="U1078" s="36"/>
      <c r="V1078" s="36"/>
      <c r="W1078" s="35"/>
      <c r="X1078" s="7"/>
      <c r="Y1078" s="7"/>
      <c r="Z1078" s="7"/>
      <c r="AA1078" s="7"/>
      <c r="AB1078" s="7"/>
      <c r="AC1078" s="7"/>
      <c r="AD1078" s="7"/>
      <c r="AE1078" s="7"/>
      <c r="AG1078" s="36"/>
      <c r="AH1078" s="36"/>
      <c r="AI1078" s="35"/>
      <c r="AJ1078" s="7"/>
      <c r="AK1078" s="7"/>
      <c r="AL1078" s="7"/>
      <c r="AM1078" s="7"/>
      <c r="AN1078" s="7"/>
      <c r="AO1078" s="7"/>
      <c r="AP1078" s="7"/>
      <c r="AQ1078" s="7"/>
      <c r="AS1078" s="36"/>
      <c r="AT1078" s="36"/>
      <c r="AU1078" s="35"/>
      <c r="AV1078" s="7"/>
      <c r="AW1078" s="7"/>
      <c r="AX1078" s="7"/>
      <c r="AY1078" s="7"/>
      <c r="AZ1078" s="7"/>
      <c r="BA1078" s="7"/>
      <c r="BB1078" s="7"/>
      <c r="BC1078" s="7"/>
      <c r="BF1078" s="7"/>
      <c r="BG1078" s="36"/>
      <c r="BH1078" s="36"/>
      <c r="BI1078" s="36"/>
      <c r="BJ1078" s="36"/>
      <c r="BK1078" s="36"/>
      <c r="BL1078" s="36"/>
      <c r="BM1078" s="36"/>
      <c r="BN1078" s="36"/>
      <c r="BO1078" s="36"/>
    </row>
    <row r="1079" spans="1:67" x14ac:dyDescent="0.25">
      <c r="A1079" s="39"/>
      <c r="B1079" s="40"/>
      <c r="U1079" s="36"/>
      <c r="V1079" s="36"/>
      <c r="W1079" s="35"/>
      <c r="X1079" s="7"/>
      <c r="Y1079" s="7"/>
      <c r="Z1079" s="7"/>
      <c r="AA1079" s="7"/>
      <c r="AB1079" s="7"/>
      <c r="AC1079" s="7"/>
      <c r="AD1079" s="7"/>
      <c r="AE1079" s="7"/>
      <c r="AG1079" s="36"/>
      <c r="AH1079" s="36"/>
      <c r="AI1079" s="35"/>
      <c r="AJ1079" s="7"/>
      <c r="AK1079" s="7"/>
      <c r="AL1079" s="7"/>
      <c r="AM1079" s="7"/>
      <c r="AN1079" s="7"/>
      <c r="AO1079" s="7"/>
      <c r="AP1079" s="7"/>
      <c r="AQ1079" s="7"/>
      <c r="AS1079" s="36"/>
      <c r="AT1079" s="36"/>
      <c r="AU1079" s="35"/>
      <c r="AV1079" s="7"/>
      <c r="AW1079" s="7"/>
      <c r="AX1079" s="7"/>
      <c r="AY1079" s="7"/>
      <c r="AZ1079" s="7"/>
      <c r="BA1079" s="7"/>
      <c r="BB1079" s="7"/>
      <c r="BC1079" s="7"/>
      <c r="BF1079" s="7"/>
      <c r="BG1079" s="36"/>
      <c r="BH1079" s="36"/>
      <c r="BI1079" s="36"/>
      <c r="BJ1079" s="36"/>
      <c r="BK1079" s="36"/>
      <c r="BL1079" s="36"/>
      <c r="BM1079" s="36"/>
      <c r="BN1079" s="36"/>
      <c r="BO1079" s="36"/>
    </row>
    <row r="1080" spans="1:67" x14ac:dyDescent="0.25">
      <c r="A1080" s="39"/>
      <c r="B1080" s="40"/>
      <c r="U1080" s="36"/>
      <c r="V1080" s="36"/>
      <c r="W1080" s="35"/>
      <c r="X1080" s="7"/>
      <c r="Y1080" s="7"/>
      <c r="Z1080" s="7"/>
      <c r="AA1080" s="7"/>
      <c r="AB1080" s="7"/>
      <c r="AC1080" s="7"/>
      <c r="AD1080" s="7"/>
      <c r="AE1080" s="7"/>
      <c r="AG1080" s="36"/>
      <c r="AH1080" s="36"/>
      <c r="AI1080" s="35"/>
      <c r="AJ1080" s="7"/>
      <c r="AK1080" s="7"/>
      <c r="AL1080" s="7"/>
      <c r="AM1080" s="7"/>
      <c r="AN1080" s="7"/>
      <c r="AO1080" s="7"/>
      <c r="AP1080" s="7"/>
      <c r="AQ1080" s="7"/>
      <c r="AS1080" s="36"/>
      <c r="AT1080" s="36"/>
      <c r="AU1080" s="35"/>
      <c r="AV1080" s="7"/>
      <c r="AW1080" s="7"/>
      <c r="AX1080" s="7"/>
      <c r="AY1080" s="7"/>
      <c r="AZ1080" s="7"/>
      <c r="BA1080" s="7"/>
      <c r="BB1080" s="7"/>
      <c r="BC1080" s="7"/>
      <c r="BF1080" s="7"/>
      <c r="BG1080" s="36"/>
      <c r="BH1080" s="36"/>
      <c r="BI1080" s="36"/>
      <c r="BJ1080" s="36"/>
      <c r="BK1080" s="36"/>
      <c r="BL1080" s="36"/>
      <c r="BM1080" s="36"/>
      <c r="BN1080" s="36"/>
      <c r="BO1080" s="36"/>
    </row>
    <row r="1081" spans="1:67" x14ac:dyDescent="0.25">
      <c r="A1081" s="39"/>
      <c r="B1081" s="40"/>
      <c r="U1081" s="36"/>
      <c r="V1081" s="36"/>
      <c r="W1081" s="35"/>
      <c r="X1081" s="7"/>
      <c r="Y1081" s="7"/>
      <c r="Z1081" s="7"/>
      <c r="AA1081" s="7"/>
      <c r="AB1081" s="7"/>
      <c r="AC1081" s="7"/>
      <c r="AD1081" s="7"/>
      <c r="AE1081" s="7"/>
      <c r="AG1081" s="36"/>
      <c r="AH1081" s="36"/>
      <c r="AI1081" s="35"/>
      <c r="AJ1081" s="7"/>
      <c r="AK1081" s="7"/>
      <c r="AL1081" s="7"/>
      <c r="AM1081" s="7"/>
      <c r="AN1081" s="7"/>
      <c r="AO1081" s="7"/>
      <c r="AP1081" s="7"/>
      <c r="AQ1081" s="7"/>
      <c r="AS1081" s="36"/>
      <c r="AT1081" s="36"/>
      <c r="AU1081" s="35"/>
      <c r="AV1081" s="7"/>
      <c r="AW1081" s="7"/>
      <c r="AX1081" s="7"/>
      <c r="AY1081" s="7"/>
      <c r="AZ1081" s="7"/>
      <c r="BA1081" s="7"/>
      <c r="BB1081" s="7"/>
      <c r="BC1081" s="7"/>
      <c r="BF1081" s="7"/>
      <c r="BG1081" s="36"/>
      <c r="BH1081" s="36"/>
      <c r="BI1081" s="36"/>
      <c r="BJ1081" s="36"/>
      <c r="BK1081" s="36"/>
      <c r="BL1081" s="36"/>
      <c r="BM1081" s="36"/>
      <c r="BN1081" s="36"/>
      <c r="BO1081" s="36"/>
    </row>
    <row r="1082" spans="1:67" x14ac:dyDescent="0.25">
      <c r="A1082" s="39"/>
      <c r="B1082" s="40"/>
      <c r="U1082" s="36"/>
      <c r="V1082" s="36"/>
      <c r="W1082" s="35"/>
      <c r="X1082" s="7"/>
      <c r="Y1082" s="7"/>
      <c r="Z1082" s="7"/>
      <c r="AA1082" s="7"/>
      <c r="AB1082" s="7"/>
      <c r="AC1082" s="7"/>
      <c r="AD1082" s="7"/>
      <c r="AE1082" s="7"/>
      <c r="AG1082" s="36"/>
      <c r="AH1082" s="36"/>
      <c r="AI1082" s="35"/>
      <c r="AJ1082" s="7"/>
      <c r="AK1082" s="7"/>
      <c r="AL1082" s="7"/>
      <c r="AM1082" s="7"/>
      <c r="AN1082" s="7"/>
      <c r="AO1082" s="7"/>
      <c r="AP1082" s="7"/>
      <c r="AQ1082" s="7"/>
      <c r="AS1082" s="36"/>
      <c r="AT1082" s="36"/>
      <c r="AU1082" s="35"/>
      <c r="AV1082" s="7"/>
      <c r="AW1082" s="7"/>
      <c r="AX1082" s="7"/>
      <c r="AY1082" s="7"/>
      <c r="AZ1082" s="7"/>
      <c r="BA1082" s="7"/>
      <c r="BB1082" s="7"/>
      <c r="BC1082" s="7"/>
      <c r="BF1082" s="7"/>
      <c r="BG1082" s="36"/>
      <c r="BH1082" s="36"/>
      <c r="BI1082" s="36"/>
      <c r="BJ1082" s="36"/>
      <c r="BK1082" s="36"/>
      <c r="BL1082" s="36"/>
      <c r="BM1082" s="36"/>
      <c r="BN1082" s="36"/>
      <c r="BO1082" s="36"/>
    </row>
    <row r="1083" spans="1:67" x14ac:dyDescent="0.25">
      <c r="A1083" s="39"/>
      <c r="B1083" s="40"/>
      <c r="U1083" s="36"/>
      <c r="V1083" s="36"/>
      <c r="W1083" s="35"/>
      <c r="X1083" s="7"/>
      <c r="Y1083" s="7"/>
      <c r="Z1083" s="7"/>
      <c r="AA1083" s="7"/>
      <c r="AB1083" s="7"/>
      <c r="AC1083" s="7"/>
      <c r="AD1083" s="7"/>
      <c r="AE1083" s="7"/>
      <c r="AG1083" s="36"/>
      <c r="AH1083" s="36"/>
      <c r="AI1083" s="35"/>
      <c r="AJ1083" s="7"/>
      <c r="AK1083" s="7"/>
      <c r="AL1083" s="7"/>
      <c r="AM1083" s="7"/>
      <c r="AN1083" s="7"/>
      <c r="AO1083" s="7"/>
      <c r="AP1083" s="7"/>
      <c r="AQ1083" s="7"/>
      <c r="AS1083" s="36"/>
      <c r="AT1083" s="36"/>
      <c r="AU1083" s="35"/>
      <c r="AV1083" s="7"/>
      <c r="AW1083" s="7"/>
      <c r="AX1083" s="7"/>
      <c r="AY1083" s="7"/>
      <c r="AZ1083" s="7"/>
      <c r="BA1083" s="7"/>
      <c r="BB1083" s="7"/>
      <c r="BC1083" s="7"/>
      <c r="BF1083" s="7"/>
      <c r="BG1083" s="36"/>
      <c r="BH1083" s="36"/>
      <c r="BI1083" s="36"/>
      <c r="BJ1083" s="36"/>
      <c r="BK1083" s="36"/>
      <c r="BL1083" s="36"/>
      <c r="BM1083" s="36"/>
      <c r="BN1083" s="36"/>
      <c r="BO1083" s="36"/>
    </row>
    <row r="1084" spans="1:67" x14ac:dyDescent="0.25">
      <c r="A1084" s="39"/>
      <c r="B1084" s="40"/>
      <c r="U1084" s="36"/>
      <c r="V1084" s="36"/>
      <c r="W1084" s="35"/>
      <c r="X1084" s="7"/>
      <c r="Y1084" s="7"/>
      <c r="Z1084" s="7"/>
      <c r="AA1084" s="7"/>
      <c r="AB1084" s="7"/>
      <c r="AC1084" s="7"/>
      <c r="AD1084" s="7"/>
      <c r="AE1084" s="7"/>
      <c r="AG1084" s="36"/>
      <c r="AH1084" s="36"/>
      <c r="AI1084" s="35"/>
      <c r="AJ1084" s="7"/>
      <c r="AK1084" s="7"/>
      <c r="AL1084" s="7"/>
      <c r="AM1084" s="7"/>
      <c r="AN1084" s="7"/>
      <c r="AO1084" s="7"/>
      <c r="AP1084" s="7"/>
      <c r="AQ1084" s="7"/>
      <c r="AS1084" s="36"/>
      <c r="AT1084" s="36"/>
      <c r="AU1084" s="35"/>
      <c r="AV1084" s="7"/>
      <c r="AW1084" s="7"/>
      <c r="AX1084" s="7"/>
      <c r="AY1084" s="7"/>
      <c r="AZ1084" s="7"/>
      <c r="BA1084" s="7"/>
      <c r="BB1084" s="7"/>
      <c r="BC1084" s="7"/>
      <c r="BF1084" s="7"/>
      <c r="BG1084" s="36"/>
      <c r="BH1084" s="36"/>
      <c r="BI1084" s="36"/>
      <c r="BJ1084" s="36"/>
      <c r="BK1084" s="36"/>
      <c r="BL1084" s="36"/>
      <c r="BM1084" s="36"/>
      <c r="BN1084" s="36"/>
      <c r="BO1084" s="36"/>
    </row>
    <row r="1085" spans="1:67" x14ac:dyDescent="0.25">
      <c r="A1085" s="39"/>
      <c r="B1085" s="40"/>
      <c r="U1085" s="36"/>
      <c r="V1085" s="36"/>
      <c r="W1085" s="35"/>
      <c r="X1085" s="7"/>
      <c r="Y1085" s="7"/>
      <c r="Z1085" s="7"/>
      <c r="AA1085" s="7"/>
      <c r="AB1085" s="7"/>
      <c r="AC1085" s="7"/>
      <c r="AD1085" s="7"/>
      <c r="AE1085" s="7"/>
      <c r="AG1085" s="36"/>
      <c r="AH1085" s="36"/>
      <c r="AI1085" s="35"/>
      <c r="AJ1085" s="7"/>
      <c r="AK1085" s="7"/>
      <c r="AL1085" s="7"/>
      <c r="AM1085" s="7"/>
      <c r="AN1085" s="7"/>
      <c r="AO1085" s="7"/>
      <c r="AP1085" s="7"/>
      <c r="AQ1085" s="7"/>
      <c r="AS1085" s="36"/>
      <c r="AT1085" s="36"/>
      <c r="AU1085" s="35"/>
      <c r="AV1085" s="7"/>
      <c r="AW1085" s="7"/>
      <c r="AX1085" s="7"/>
      <c r="AY1085" s="7"/>
      <c r="AZ1085" s="7"/>
      <c r="BA1085" s="7"/>
      <c r="BB1085" s="7"/>
      <c r="BC1085" s="7"/>
      <c r="BF1085" s="7"/>
      <c r="BG1085" s="36"/>
      <c r="BH1085" s="36"/>
      <c r="BI1085" s="36"/>
      <c r="BJ1085" s="36"/>
      <c r="BK1085" s="36"/>
      <c r="BL1085" s="36"/>
      <c r="BM1085" s="36"/>
      <c r="BN1085" s="36"/>
      <c r="BO1085" s="36"/>
    </row>
    <row r="1086" spans="1:67" x14ac:dyDescent="0.25">
      <c r="A1086" s="39"/>
      <c r="B1086" s="40"/>
      <c r="U1086" s="36"/>
      <c r="V1086" s="36"/>
      <c r="W1086" s="35"/>
      <c r="X1086" s="7"/>
      <c r="Y1086" s="7"/>
      <c r="Z1086" s="7"/>
      <c r="AA1086" s="7"/>
      <c r="AB1086" s="7"/>
      <c r="AC1086" s="7"/>
      <c r="AD1086" s="7"/>
      <c r="AE1086" s="7"/>
      <c r="AG1086" s="36"/>
      <c r="AH1086" s="36"/>
      <c r="AI1086" s="35"/>
      <c r="AJ1086" s="7"/>
      <c r="AK1086" s="7"/>
      <c r="AL1086" s="7"/>
      <c r="AM1086" s="7"/>
      <c r="AN1086" s="7"/>
      <c r="AO1086" s="7"/>
      <c r="AP1086" s="7"/>
      <c r="AQ1086" s="7"/>
      <c r="AS1086" s="36"/>
      <c r="AT1086" s="36"/>
      <c r="AU1086" s="35"/>
      <c r="AV1086" s="7"/>
      <c r="AW1086" s="7"/>
      <c r="AX1086" s="7"/>
      <c r="AY1086" s="7"/>
      <c r="AZ1086" s="7"/>
      <c r="BA1086" s="7"/>
      <c r="BB1086" s="7"/>
      <c r="BC1086" s="7"/>
      <c r="BF1086" s="7"/>
      <c r="BG1086" s="36"/>
      <c r="BH1086" s="36"/>
      <c r="BI1086" s="36"/>
      <c r="BJ1086" s="36"/>
      <c r="BK1086" s="36"/>
      <c r="BL1086" s="36"/>
      <c r="BM1086" s="36"/>
      <c r="BN1086" s="36"/>
      <c r="BO1086" s="36"/>
    </row>
    <row r="1087" spans="1:67" x14ac:dyDescent="0.25">
      <c r="A1087" s="39"/>
      <c r="B1087" s="40"/>
      <c r="U1087" s="36"/>
      <c r="V1087" s="36"/>
      <c r="W1087" s="35"/>
      <c r="X1087" s="7"/>
      <c r="Y1087" s="7"/>
      <c r="Z1087" s="7"/>
      <c r="AA1087" s="7"/>
      <c r="AB1087" s="7"/>
      <c r="AC1087" s="7"/>
      <c r="AD1087" s="7"/>
      <c r="AE1087" s="7"/>
      <c r="AG1087" s="36"/>
      <c r="AH1087" s="36"/>
      <c r="AI1087" s="35"/>
      <c r="AJ1087" s="7"/>
      <c r="AK1087" s="7"/>
      <c r="AL1087" s="7"/>
      <c r="AM1087" s="7"/>
      <c r="AN1087" s="7"/>
      <c r="AO1087" s="7"/>
      <c r="AP1087" s="7"/>
      <c r="AQ1087" s="7"/>
      <c r="AS1087" s="36"/>
      <c r="AT1087" s="36"/>
      <c r="AU1087" s="35"/>
      <c r="AV1087" s="7"/>
      <c r="AW1087" s="7"/>
      <c r="AX1087" s="7"/>
      <c r="AY1087" s="7"/>
      <c r="AZ1087" s="7"/>
      <c r="BA1087" s="7"/>
      <c r="BB1087" s="7"/>
      <c r="BC1087" s="7"/>
      <c r="BF1087" s="7"/>
      <c r="BG1087" s="36"/>
      <c r="BH1087" s="36"/>
      <c r="BI1087" s="36"/>
      <c r="BJ1087" s="36"/>
      <c r="BK1087" s="36"/>
      <c r="BL1087" s="36"/>
      <c r="BM1087" s="36"/>
      <c r="BN1087" s="36"/>
      <c r="BO1087" s="36"/>
    </row>
    <row r="1088" spans="1:67" x14ac:dyDescent="0.25">
      <c r="A1088" s="39"/>
      <c r="B1088" s="40"/>
      <c r="U1088" s="36"/>
      <c r="V1088" s="36"/>
      <c r="W1088" s="35"/>
      <c r="X1088" s="7"/>
      <c r="Y1088" s="7"/>
      <c r="Z1088" s="7"/>
      <c r="AA1088" s="7"/>
      <c r="AB1088" s="7"/>
      <c r="AC1088" s="7"/>
      <c r="AD1088" s="7"/>
      <c r="AE1088" s="7"/>
      <c r="AG1088" s="36"/>
      <c r="AH1088" s="36"/>
      <c r="AI1088" s="35"/>
      <c r="AJ1088" s="7"/>
      <c r="AK1088" s="7"/>
      <c r="AL1088" s="7"/>
      <c r="AM1088" s="7"/>
      <c r="AN1088" s="7"/>
      <c r="AO1088" s="7"/>
      <c r="AP1088" s="7"/>
      <c r="AQ1088" s="7"/>
      <c r="AS1088" s="36"/>
      <c r="AT1088" s="36"/>
      <c r="AU1088" s="35"/>
      <c r="AV1088" s="7"/>
      <c r="AW1088" s="7"/>
      <c r="AX1088" s="7"/>
      <c r="AY1088" s="7"/>
      <c r="AZ1088" s="7"/>
      <c r="BA1088" s="7"/>
      <c r="BB1088" s="7"/>
      <c r="BC1088" s="7"/>
      <c r="BF1088" s="7"/>
      <c r="BG1088" s="36"/>
      <c r="BH1088" s="36"/>
      <c r="BI1088" s="36"/>
      <c r="BJ1088" s="36"/>
      <c r="BK1088" s="36"/>
      <c r="BL1088" s="36"/>
      <c r="BM1088" s="36"/>
      <c r="BN1088" s="36"/>
      <c r="BO1088" s="36"/>
    </row>
    <row r="1089" spans="1:67" x14ac:dyDescent="0.25">
      <c r="A1089" s="39"/>
      <c r="B1089" s="40"/>
      <c r="U1089" s="36"/>
      <c r="V1089" s="36"/>
      <c r="W1089" s="35"/>
      <c r="X1089" s="7"/>
      <c r="Y1089" s="7"/>
      <c r="Z1089" s="7"/>
      <c r="AA1089" s="7"/>
      <c r="AB1089" s="7"/>
      <c r="AC1089" s="7"/>
      <c r="AD1089" s="7"/>
      <c r="AE1089" s="7"/>
      <c r="AG1089" s="36"/>
      <c r="AH1089" s="36"/>
      <c r="AI1089" s="35"/>
      <c r="AJ1089" s="7"/>
      <c r="AK1089" s="7"/>
      <c r="AL1089" s="7"/>
      <c r="AM1089" s="7"/>
      <c r="AN1089" s="7"/>
      <c r="AO1089" s="7"/>
      <c r="AP1089" s="7"/>
      <c r="AQ1089" s="7"/>
      <c r="AS1089" s="36"/>
      <c r="AT1089" s="36"/>
      <c r="AU1089" s="35"/>
      <c r="AV1089" s="7"/>
      <c r="AW1089" s="7"/>
      <c r="AX1089" s="7"/>
      <c r="AY1089" s="7"/>
      <c r="AZ1089" s="7"/>
      <c r="BA1089" s="7"/>
      <c r="BB1089" s="7"/>
      <c r="BC1089" s="7"/>
      <c r="BF1089" s="7"/>
      <c r="BG1089" s="36"/>
      <c r="BH1089" s="36"/>
      <c r="BI1089" s="36"/>
      <c r="BJ1089" s="36"/>
      <c r="BK1089" s="36"/>
      <c r="BL1089" s="36"/>
      <c r="BM1089" s="36"/>
      <c r="BN1089" s="36"/>
      <c r="BO1089" s="36"/>
    </row>
    <row r="1090" spans="1:67" x14ac:dyDescent="0.25">
      <c r="A1090" s="39"/>
      <c r="B1090" s="40"/>
      <c r="U1090" s="36"/>
      <c r="V1090" s="36"/>
      <c r="W1090" s="35"/>
      <c r="X1090" s="7"/>
      <c r="Y1090" s="7"/>
      <c r="Z1090" s="7"/>
      <c r="AA1090" s="7"/>
      <c r="AB1090" s="7"/>
      <c r="AC1090" s="7"/>
      <c r="AD1090" s="7"/>
      <c r="AE1090" s="7"/>
      <c r="AG1090" s="36"/>
      <c r="AH1090" s="36"/>
      <c r="AI1090" s="35"/>
      <c r="AJ1090" s="7"/>
      <c r="AK1090" s="7"/>
      <c r="AL1090" s="7"/>
      <c r="AM1090" s="7"/>
      <c r="AN1090" s="7"/>
      <c r="AO1090" s="7"/>
      <c r="AP1090" s="7"/>
      <c r="AQ1090" s="7"/>
      <c r="AS1090" s="36"/>
      <c r="AT1090" s="36"/>
      <c r="AU1090" s="35"/>
      <c r="AV1090" s="7"/>
      <c r="AW1090" s="7"/>
      <c r="AX1090" s="7"/>
      <c r="AY1090" s="7"/>
      <c r="AZ1090" s="7"/>
      <c r="BA1090" s="7"/>
      <c r="BB1090" s="7"/>
      <c r="BC1090" s="7"/>
      <c r="BF1090" s="7"/>
      <c r="BG1090" s="36"/>
      <c r="BH1090" s="36"/>
      <c r="BI1090" s="36"/>
      <c r="BJ1090" s="36"/>
      <c r="BK1090" s="36"/>
      <c r="BL1090" s="36"/>
      <c r="BM1090" s="36"/>
      <c r="BN1090" s="36"/>
      <c r="BO1090" s="36"/>
    </row>
    <row r="1091" spans="1:67" x14ac:dyDescent="0.25">
      <c r="A1091" s="39"/>
      <c r="B1091" s="40"/>
      <c r="U1091" s="36"/>
      <c r="V1091" s="36"/>
      <c r="W1091" s="35"/>
      <c r="X1091" s="7"/>
      <c r="Y1091" s="7"/>
      <c r="Z1091" s="7"/>
      <c r="AA1091" s="7"/>
      <c r="AB1091" s="7"/>
      <c r="AC1091" s="7"/>
      <c r="AD1091" s="7"/>
      <c r="AE1091" s="7"/>
      <c r="AG1091" s="36"/>
      <c r="AH1091" s="36"/>
      <c r="AI1091" s="35"/>
      <c r="AJ1091" s="7"/>
      <c r="AK1091" s="7"/>
      <c r="AL1091" s="7"/>
      <c r="AM1091" s="7"/>
      <c r="AN1091" s="7"/>
      <c r="AO1091" s="7"/>
      <c r="AP1091" s="7"/>
      <c r="AQ1091" s="7"/>
      <c r="AS1091" s="36"/>
      <c r="AT1091" s="36"/>
      <c r="AU1091" s="35"/>
      <c r="AV1091" s="7"/>
      <c r="AW1091" s="7"/>
      <c r="AX1091" s="7"/>
      <c r="AY1091" s="7"/>
      <c r="AZ1091" s="7"/>
      <c r="BA1091" s="7"/>
      <c r="BB1091" s="7"/>
      <c r="BC1091" s="7"/>
      <c r="BF1091" s="7"/>
      <c r="BG1091" s="36"/>
      <c r="BH1091" s="36"/>
      <c r="BI1091" s="36"/>
      <c r="BJ1091" s="36"/>
      <c r="BK1091" s="36"/>
      <c r="BL1091" s="36"/>
      <c r="BM1091" s="36"/>
      <c r="BN1091" s="36"/>
      <c r="BO1091" s="36"/>
    </row>
    <row r="1092" spans="1:67" x14ac:dyDescent="0.25">
      <c r="A1092" s="39"/>
      <c r="B1092" s="40"/>
      <c r="U1092" s="36"/>
      <c r="V1092" s="36"/>
      <c r="W1092" s="35"/>
      <c r="X1092" s="7"/>
      <c r="Y1092" s="7"/>
      <c r="Z1092" s="7"/>
      <c r="AA1092" s="7"/>
      <c r="AB1092" s="7"/>
      <c r="AC1092" s="7"/>
      <c r="AD1092" s="7"/>
      <c r="AE1092" s="7"/>
      <c r="AG1092" s="36"/>
      <c r="AH1092" s="36"/>
      <c r="AI1092" s="35"/>
      <c r="AJ1092" s="7"/>
      <c r="AK1092" s="7"/>
      <c r="AL1092" s="7"/>
      <c r="AM1092" s="7"/>
      <c r="AN1092" s="7"/>
      <c r="AO1092" s="7"/>
      <c r="AP1092" s="7"/>
      <c r="AQ1092" s="7"/>
      <c r="AS1092" s="36"/>
      <c r="AT1092" s="36"/>
      <c r="AU1092" s="35"/>
      <c r="AV1092" s="7"/>
      <c r="AW1092" s="7"/>
      <c r="AX1092" s="7"/>
      <c r="AY1092" s="7"/>
      <c r="AZ1092" s="7"/>
      <c r="BA1092" s="7"/>
      <c r="BB1092" s="7"/>
      <c r="BC1092" s="7"/>
      <c r="BF1092" s="7"/>
      <c r="BG1092" s="36"/>
      <c r="BH1092" s="36"/>
      <c r="BI1092" s="36"/>
      <c r="BJ1092" s="36"/>
      <c r="BK1092" s="36"/>
      <c r="BL1092" s="36"/>
      <c r="BM1092" s="36"/>
      <c r="BN1092" s="36"/>
      <c r="BO1092" s="36"/>
    </row>
    <row r="1093" spans="1:67" x14ac:dyDescent="0.25">
      <c r="A1093" s="39"/>
      <c r="B1093" s="40"/>
      <c r="U1093" s="36"/>
      <c r="V1093" s="36"/>
      <c r="W1093" s="35"/>
      <c r="X1093" s="7"/>
      <c r="Y1093" s="7"/>
      <c r="Z1093" s="7"/>
      <c r="AA1093" s="7"/>
      <c r="AB1093" s="7"/>
      <c r="AC1093" s="7"/>
      <c r="AD1093" s="7"/>
      <c r="AE1093" s="7"/>
      <c r="AG1093" s="36"/>
      <c r="AH1093" s="36"/>
      <c r="AI1093" s="35"/>
      <c r="AJ1093" s="7"/>
      <c r="AK1093" s="7"/>
      <c r="AL1093" s="7"/>
      <c r="AM1093" s="7"/>
      <c r="AN1093" s="7"/>
      <c r="AO1093" s="7"/>
      <c r="AP1093" s="7"/>
      <c r="AQ1093" s="7"/>
      <c r="AS1093" s="36"/>
      <c r="AT1093" s="36"/>
      <c r="AU1093" s="35"/>
      <c r="AV1093" s="7"/>
      <c r="AW1093" s="7"/>
      <c r="AX1093" s="7"/>
      <c r="AY1093" s="7"/>
      <c r="AZ1093" s="7"/>
      <c r="BA1093" s="7"/>
      <c r="BB1093" s="7"/>
      <c r="BC1093" s="7"/>
      <c r="BF1093" s="7"/>
      <c r="BG1093" s="36"/>
      <c r="BH1093" s="36"/>
      <c r="BI1093" s="36"/>
      <c r="BJ1093" s="36"/>
      <c r="BK1093" s="36"/>
      <c r="BL1093" s="36"/>
      <c r="BM1093" s="36"/>
      <c r="BN1093" s="36"/>
      <c r="BO1093" s="36"/>
    </row>
    <row r="1094" spans="1:67" x14ac:dyDescent="0.25">
      <c r="A1094" s="39"/>
      <c r="B1094" s="40"/>
      <c r="U1094" s="36"/>
      <c r="V1094" s="36"/>
      <c r="W1094" s="35"/>
      <c r="X1094" s="7"/>
      <c r="Y1094" s="7"/>
      <c r="Z1094" s="7"/>
      <c r="AA1094" s="7"/>
      <c r="AB1094" s="7"/>
      <c r="AC1094" s="7"/>
      <c r="AD1094" s="7"/>
      <c r="AE1094" s="7"/>
      <c r="AG1094" s="36"/>
      <c r="AH1094" s="36"/>
      <c r="AI1094" s="35"/>
      <c r="AJ1094" s="7"/>
      <c r="AK1094" s="7"/>
      <c r="AL1094" s="7"/>
      <c r="AM1094" s="7"/>
      <c r="AN1094" s="7"/>
      <c r="AO1094" s="7"/>
      <c r="AP1094" s="7"/>
      <c r="AQ1094" s="7"/>
      <c r="AS1094" s="36"/>
      <c r="AT1094" s="36"/>
      <c r="AU1094" s="35"/>
      <c r="AV1094" s="7"/>
      <c r="AW1094" s="7"/>
      <c r="AX1094" s="7"/>
      <c r="AY1094" s="7"/>
      <c r="AZ1094" s="7"/>
      <c r="BA1094" s="7"/>
      <c r="BB1094" s="7"/>
      <c r="BC1094" s="7"/>
      <c r="BF1094" s="7"/>
      <c r="BG1094" s="36"/>
      <c r="BH1094" s="36"/>
      <c r="BI1094" s="36"/>
      <c r="BJ1094" s="36"/>
      <c r="BK1094" s="36"/>
      <c r="BL1094" s="36"/>
      <c r="BM1094" s="36"/>
      <c r="BN1094" s="36"/>
      <c r="BO1094" s="36"/>
    </row>
    <row r="1095" spans="1:67" x14ac:dyDescent="0.25">
      <c r="A1095" s="39"/>
      <c r="B1095" s="40"/>
      <c r="U1095" s="36"/>
      <c r="V1095" s="36"/>
      <c r="W1095" s="35"/>
      <c r="X1095" s="7"/>
      <c r="Y1095" s="7"/>
      <c r="Z1095" s="7"/>
      <c r="AA1095" s="7"/>
      <c r="AB1095" s="7"/>
      <c r="AC1095" s="7"/>
      <c r="AD1095" s="7"/>
      <c r="AE1095" s="7"/>
      <c r="AG1095" s="36"/>
      <c r="AH1095" s="36"/>
      <c r="AI1095" s="35"/>
      <c r="AJ1095" s="7"/>
      <c r="AK1095" s="7"/>
      <c r="AL1095" s="7"/>
      <c r="AM1095" s="7"/>
      <c r="AN1095" s="7"/>
      <c r="AO1095" s="7"/>
      <c r="AP1095" s="7"/>
      <c r="AQ1095" s="7"/>
      <c r="AS1095" s="36"/>
      <c r="AT1095" s="36"/>
      <c r="AU1095" s="35"/>
      <c r="AV1095" s="7"/>
      <c r="AW1095" s="7"/>
      <c r="AX1095" s="7"/>
      <c r="AY1095" s="7"/>
      <c r="AZ1095" s="7"/>
      <c r="BA1095" s="7"/>
      <c r="BB1095" s="7"/>
      <c r="BC1095" s="7"/>
      <c r="BF1095" s="7"/>
      <c r="BG1095" s="36"/>
      <c r="BH1095" s="36"/>
      <c r="BI1095" s="36"/>
      <c r="BJ1095" s="36"/>
      <c r="BK1095" s="36"/>
      <c r="BL1095" s="36"/>
      <c r="BM1095" s="36"/>
      <c r="BN1095" s="36"/>
      <c r="BO1095" s="36"/>
    </row>
    <row r="1096" spans="1:67" x14ac:dyDescent="0.25">
      <c r="A1096" s="39"/>
      <c r="B1096" s="40"/>
      <c r="U1096" s="36"/>
      <c r="V1096" s="36"/>
      <c r="W1096" s="35"/>
      <c r="X1096" s="7"/>
      <c r="Y1096" s="7"/>
      <c r="Z1096" s="7"/>
      <c r="AA1096" s="7"/>
      <c r="AB1096" s="7"/>
      <c r="AC1096" s="7"/>
      <c r="AD1096" s="7"/>
      <c r="AE1096" s="7"/>
      <c r="AG1096" s="36"/>
      <c r="AH1096" s="36"/>
      <c r="AI1096" s="35"/>
      <c r="AJ1096" s="7"/>
      <c r="AK1096" s="7"/>
      <c r="AL1096" s="7"/>
      <c r="AM1096" s="7"/>
      <c r="AN1096" s="7"/>
      <c r="AO1096" s="7"/>
      <c r="AP1096" s="7"/>
      <c r="AQ1096" s="7"/>
      <c r="AS1096" s="36"/>
      <c r="AT1096" s="36"/>
      <c r="AU1096" s="35"/>
      <c r="AV1096" s="7"/>
      <c r="AW1096" s="7"/>
      <c r="AX1096" s="7"/>
      <c r="AY1096" s="7"/>
      <c r="AZ1096" s="7"/>
      <c r="BA1096" s="7"/>
      <c r="BB1096" s="7"/>
      <c r="BC1096" s="7"/>
      <c r="BF1096" s="7"/>
      <c r="BG1096" s="36"/>
      <c r="BH1096" s="36"/>
      <c r="BI1096" s="36"/>
      <c r="BJ1096" s="36"/>
      <c r="BK1096" s="36"/>
      <c r="BL1096" s="36"/>
      <c r="BM1096" s="36"/>
      <c r="BN1096" s="36"/>
      <c r="BO1096" s="36"/>
    </row>
    <row r="1097" spans="1:67" x14ac:dyDescent="0.25">
      <c r="A1097" s="39"/>
      <c r="B1097" s="40"/>
      <c r="U1097" s="36"/>
      <c r="V1097" s="36"/>
      <c r="W1097" s="35"/>
      <c r="X1097" s="7"/>
      <c r="Y1097" s="7"/>
      <c r="Z1097" s="7"/>
      <c r="AA1097" s="7"/>
      <c r="AB1097" s="7"/>
      <c r="AC1097" s="7"/>
      <c r="AD1097" s="7"/>
      <c r="AE1097" s="7"/>
      <c r="AG1097" s="36"/>
      <c r="AH1097" s="36"/>
      <c r="AI1097" s="35"/>
      <c r="AJ1097" s="7"/>
      <c r="AK1097" s="7"/>
      <c r="AL1097" s="7"/>
      <c r="AM1097" s="7"/>
      <c r="AN1097" s="7"/>
      <c r="AO1097" s="7"/>
      <c r="AP1097" s="7"/>
      <c r="AQ1097" s="7"/>
      <c r="AS1097" s="36"/>
      <c r="AT1097" s="36"/>
      <c r="AU1097" s="35"/>
      <c r="AV1097" s="7"/>
      <c r="AW1097" s="7"/>
      <c r="AX1097" s="7"/>
      <c r="AY1097" s="7"/>
      <c r="AZ1097" s="7"/>
      <c r="BA1097" s="7"/>
      <c r="BB1097" s="7"/>
      <c r="BC1097" s="7"/>
      <c r="BF1097" s="7"/>
      <c r="BG1097" s="36"/>
      <c r="BH1097" s="36"/>
      <c r="BI1097" s="36"/>
      <c r="BJ1097" s="36"/>
      <c r="BK1097" s="36"/>
      <c r="BL1097" s="36"/>
      <c r="BM1097" s="36"/>
      <c r="BN1097" s="36"/>
      <c r="BO1097" s="36"/>
    </row>
    <row r="1098" spans="1:67" x14ac:dyDescent="0.25">
      <c r="A1098" s="39"/>
      <c r="B1098" s="40"/>
      <c r="U1098" s="36"/>
      <c r="V1098" s="36"/>
      <c r="W1098" s="35"/>
      <c r="X1098" s="7"/>
      <c r="Y1098" s="7"/>
      <c r="Z1098" s="7"/>
      <c r="AA1098" s="7"/>
      <c r="AB1098" s="7"/>
      <c r="AC1098" s="7"/>
      <c r="AD1098" s="7"/>
      <c r="AE1098" s="7"/>
      <c r="AG1098" s="36"/>
      <c r="AH1098" s="36"/>
      <c r="AI1098" s="35"/>
      <c r="AJ1098" s="7"/>
      <c r="AK1098" s="7"/>
      <c r="AL1098" s="7"/>
      <c r="AM1098" s="7"/>
      <c r="AN1098" s="7"/>
      <c r="AO1098" s="7"/>
      <c r="AP1098" s="7"/>
      <c r="AQ1098" s="7"/>
      <c r="AS1098" s="36"/>
      <c r="AT1098" s="36"/>
      <c r="AU1098" s="35"/>
      <c r="AV1098" s="7"/>
      <c r="AW1098" s="7"/>
      <c r="AX1098" s="7"/>
      <c r="AY1098" s="7"/>
      <c r="AZ1098" s="7"/>
      <c r="BA1098" s="7"/>
      <c r="BB1098" s="7"/>
      <c r="BC1098" s="7"/>
      <c r="BF1098" s="7"/>
      <c r="BG1098" s="36"/>
      <c r="BH1098" s="36"/>
      <c r="BI1098" s="36"/>
      <c r="BJ1098" s="36"/>
      <c r="BK1098" s="36"/>
      <c r="BL1098" s="36"/>
      <c r="BM1098" s="36"/>
      <c r="BN1098" s="36"/>
      <c r="BO1098" s="36"/>
    </row>
    <row r="1099" spans="1:67" x14ac:dyDescent="0.25">
      <c r="A1099" s="39"/>
      <c r="B1099" s="40"/>
      <c r="U1099" s="36"/>
      <c r="V1099" s="36"/>
      <c r="W1099" s="35"/>
      <c r="X1099" s="7"/>
      <c r="Y1099" s="7"/>
      <c r="Z1099" s="7"/>
      <c r="AA1099" s="7"/>
      <c r="AB1099" s="7"/>
      <c r="AC1099" s="7"/>
      <c r="AD1099" s="7"/>
      <c r="AE1099" s="7"/>
      <c r="AG1099" s="36"/>
      <c r="AH1099" s="36"/>
      <c r="AI1099" s="35"/>
      <c r="AJ1099" s="7"/>
      <c r="AK1099" s="7"/>
      <c r="AL1099" s="7"/>
      <c r="AM1099" s="7"/>
      <c r="AN1099" s="7"/>
      <c r="AO1099" s="7"/>
      <c r="AP1099" s="7"/>
      <c r="AQ1099" s="7"/>
      <c r="AS1099" s="36"/>
      <c r="AT1099" s="36"/>
      <c r="AU1099" s="35"/>
      <c r="AV1099" s="7"/>
      <c r="AW1099" s="7"/>
      <c r="AX1099" s="7"/>
      <c r="AY1099" s="7"/>
      <c r="AZ1099" s="7"/>
      <c r="BA1099" s="7"/>
      <c r="BB1099" s="7"/>
      <c r="BC1099" s="7"/>
      <c r="BF1099" s="7"/>
      <c r="BG1099" s="36"/>
      <c r="BH1099" s="36"/>
      <c r="BI1099" s="36"/>
      <c r="BJ1099" s="36"/>
      <c r="BK1099" s="36"/>
      <c r="BL1099" s="36"/>
      <c r="BM1099" s="36"/>
      <c r="BN1099" s="36"/>
      <c r="BO1099" s="36"/>
    </row>
    <row r="1100" spans="1:67" x14ac:dyDescent="0.25">
      <c r="A1100" s="39"/>
      <c r="B1100" s="40"/>
      <c r="U1100" s="36"/>
      <c r="V1100" s="36"/>
      <c r="W1100" s="35"/>
      <c r="X1100" s="7"/>
      <c r="Y1100" s="7"/>
      <c r="Z1100" s="7"/>
      <c r="AA1100" s="7"/>
      <c r="AB1100" s="7"/>
      <c r="AC1100" s="7"/>
      <c r="AD1100" s="7"/>
      <c r="AE1100" s="7"/>
      <c r="AG1100" s="36"/>
      <c r="AH1100" s="36"/>
      <c r="AI1100" s="35"/>
      <c r="AJ1100" s="7"/>
      <c r="AK1100" s="7"/>
      <c r="AL1100" s="7"/>
      <c r="AM1100" s="7"/>
      <c r="AN1100" s="7"/>
      <c r="AO1100" s="7"/>
      <c r="AP1100" s="7"/>
      <c r="AQ1100" s="7"/>
      <c r="AS1100" s="36"/>
      <c r="AT1100" s="36"/>
      <c r="AU1100" s="35"/>
      <c r="AV1100" s="7"/>
      <c r="AW1100" s="7"/>
      <c r="AX1100" s="7"/>
      <c r="AY1100" s="7"/>
      <c r="AZ1100" s="7"/>
      <c r="BA1100" s="7"/>
      <c r="BB1100" s="7"/>
      <c r="BC1100" s="7"/>
      <c r="BF1100" s="7"/>
      <c r="BG1100" s="36"/>
      <c r="BH1100" s="36"/>
      <c r="BI1100" s="36"/>
      <c r="BJ1100" s="36"/>
      <c r="BK1100" s="36"/>
      <c r="BL1100" s="36"/>
      <c r="BM1100" s="36"/>
      <c r="BN1100" s="36"/>
      <c r="BO1100" s="36"/>
    </row>
    <row r="1101" spans="1:67" x14ac:dyDescent="0.25">
      <c r="A1101" s="39"/>
      <c r="B1101" s="40"/>
      <c r="U1101" s="36"/>
      <c r="V1101" s="36"/>
      <c r="W1101" s="35"/>
      <c r="X1101" s="7"/>
      <c r="Y1101" s="7"/>
      <c r="Z1101" s="7"/>
      <c r="AA1101" s="7"/>
      <c r="AB1101" s="7"/>
      <c r="AC1101" s="7"/>
      <c r="AD1101" s="7"/>
      <c r="AE1101" s="7"/>
      <c r="AG1101" s="36"/>
      <c r="AH1101" s="36"/>
      <c r="AI1101" s="35"/>
      <c r="AJ1101" s="7"/>
      <c r="AK1101" s="7"/>
      <c r="AL1101" s="7"/>
      <c r="AM1101" s="7"/>
      <c r="AN1101" s="7"/>
      <c r="AO1101" s="7"/>
      <c r="AP1101" s="7"/>
      <c r="AQ1101" s="7"/>
      <c r="AS1101" s="36"/>
      <c r="AT1101" s="36"/>
      <c r="AU1101" s="35"/>
      <c r="AV1101" s="7"/>
      <c r="AW1101" s="7"/>
      <c r="AX1101" s="7"/>
      <c r="AY1101" s="7"/>
      <c r="AZ1101" s="7"/>
      <c r="BA1101" s="7"/>
      <c r="BB1101" s="7"/>
      <c r="BC1101" s="7"/>
      <c r="BF1101" s="7"/>
      <c r="BG1101" s="36"/>
      <c r="BH1101" s="36"/>
      <c r="BI1101" s="36"/>
      <c r="BJ1101" s="36"/>
      <c r="BK1101" s="36"/>
      <c r="BL1101" s="36"/>
      <c r="BM1101" s="36"/>
      <c r="BN1101" s="36"/>
      <c r="BO1101" s="36"/>
    </row>
    <row r="1102" spans="1:67" x14ac:dyDescent="0.25">
      <c r="A1102" s="39"/>
      <c r="B1102" s="40"/>
      <c r="U1102" s="36"/>
      <c r="V1102" s="36"/>
      <c r="W1102" s="35"/>
      <c r="X1102" s="7"/>
      <c r="Y1102" s="7"/>
      <c r="Z1102" s="7"/>
      <c r="AA1102" s="7"/>
      <c r="AB1102" s="7"/>
      <c r="AC1102" s="7"/>
      <c r="AD1102" s="7"/>
      <c r="AE1102" s="7"/>
      <c r="AG1102" s="36"/>
      <c r="AH1102" s="36"/>
      <c r="AI1102" s="35"/>
      <c r="AJ1102" s="7"/>
      <c r="AK1102" s="7"/>
      <c r="AL1102" s="7"/>
      <c r="AM1102" s="7"/>
      <c r="AN1102" s="7"/>
      <c r="AO1102" s="7"/>
      <c r="AP1102" s="7"/>
      <c r="AQ1102" s="7"/>
      <c r="AS1102" s="36"/>
      <c r="AT1102" s="36"/>
      <c r="AU1102" s="35"/>
      <c r="AV1102" s="7"/>
      <c r="AW1102" s="7"/>
      <c r="AX1102" s="7"/>
      <c r="AY1102" s="7"/>
      <c r="AZ1102" s="7"/>
      <c r="BA1102" s="7"/>
      <c r="BB1102" s="7"/>
      <c r="BC1102" s="7"/>
      <c r="BF1102" s="7"/>
      <c r="BG1102" s="36"/>
      <c r="BH1102" s="36"/>
      <c r="BI1102" s="36"/>
      <c r="BJ1102" s="36"/>
      <c r="BK1102" s="36"/>
      <c r="BL1102" s="36"/>
      <c r="BM1102" s="36"/>
      <c r="BN1102" s="36"/>
      <c r="BO1102" s="36"/>
    </row>
    <row r="1103" spans="1:67" x14ac:dyDescent="0.25">
      <c r="A1103" s="39"/>
      <c r="B1103" s="40"/>
      <c r="U1103" s="36"/>
      <c r="V1103" s="36"/>
      <c r="W1103" s="35"/>
      <c r="X1103" s="7"/>
      <c r="Y1103" s="7"/>
      <c r="Z1103" s="7"/>
      <c r="AA1103" s="7"/>
      <c r="AB1103" s="7"/>
      <c r="AC1103" s="7"/>
      <c r="AD1103" s="7"/>
      <c r="AE1103" s="7"/>
      <c r="AG1103" s="36"/>
      <c r="AH1103" s="36"/>
      <c r="AI1103" s="35"/>
      <c r="AJ1103" s="7"/>
      <c r="AK1103" s="7"/>
      <c r="AL1103" s="7"/>
      <c r="AM1103" s="7"/>
      <c r="AN1103" s="7"/>
      <c r="AO1103" s="7"/>
      <c r="AP1103" s="7"/>
      <c r="AQ1103" s="7"/>
      <c r="AS1103" s="36"/>
      <c r="AT1103" s="36"/>
      <c r="AU1103" s="35"/>
      <c r="AV1103" s="7"/>
      <c r="AW1103" s="7"/>
      <c r="AX1103" s="7"/>
      <c r="AY1103" s="7"/>
      <c r="AZ1103" s="7"/>
      <c r="BA1103" s="7"/>
      <c r="BB1103" s="7"/>
      <c r="BC1103" s="7"/>
      <c r="BF1103" s="7"/>
      <c r="BG1103" s="36"/>
      <c r="BH1103" s="36"/>
      <c r="BI1103" s="36"/>
      <c r="BJ1103" s="36"/>
      <c r="BK1103" s="36"/>
      <c r="BL1103" s="36"/>
      <c r="BM1103" s="36"/>
      <c r="BN1103" s="36"/>
      <c r="BO1103" s="36"/>
    </row>
    <row r="1104" spans="1:67" x14ac:dyDescent="0.25">
      <c r="A1104" s="39"/>
      <c r="B1104" s="40"/>
      <c r="U1104" s="36"/>
      <c r="V1104" s="36"/>
      <c r="W1104" s="35"/>
      <c r="X1104" s="7"/>
      <c r="Y1104" s="7"/>
      <c r="Z1104" s="7"/>
      <c r="AA1104" s="7"/>
      <c r="AB1104" s="7"/>
      <c r="AC1104" s="7"/>
      <c r="AD1104" s="7"/>
      <c r="AE1104" s="7"/>
      <c r="AG1104" s="36"/>
      <c r="AH1104" s="36"/>
      <c r="AI1104" s="35"/>
      <c r="AJ1104" s="7"/>
      <c r="AK1104" s="7"/>
      <c r="AL1104" s="7"/>
      <c r="AM1104" s="7"/>
      <c r="AN1104" s="7"/>
      <c r="AO1104" s="7"/>
      <c r="AP1104" s="7"/>
      <c r="AQ1104" s="7"/>
      <c r="AS1104" s="36"/>
      <c r="AT1104" s="36"/>
      <c r="AU1104" s="35"/>
      <c r="AV1104" s="7"/>
      <c r="AW1104" s="7"/>
      <c r="AX1104" s="7"/>
      <c r="AY1104" s="7"/>
      <c r="AZ1104" s="7"/>
      <c r="BA1104" s="7"/>
      <c r="BB1104" s="7"/>
      <c r="BC1104" s="7"/>
      <c r="BF1104" s="7"/>
      <c r="BG1104" s="36"/>
      <c r="BH1104" s="36"/>
      <c r="BI1104" s="36"/>
      <c r="BJ1104" s="36"/>
      <c r="BK1104" s="36"/>
      <c r="BL1104" s="36"/>
      <c r="BM1104" s="36"/>
      <c r="BN1104" s="36"/>
      <c r="BO1104" s="36"/>
    </row>
    <row r="1105" spans="1:67" x14ac:dyDescent="0.25">
      <c r="A1105" s="39"/>
      <c r="B1105" s="40"/>
      <c r="U1105" s="36"/>
      <c r="V1105" s="36"/>
      <c r="W1105" s="35"/>
      <c r="X1105" s="7"/>
      <c r="Y1105" s="7"/>
      <c r="Z1105" s="7"/>
      <c r="AA1105" s="7"/>
      <c r="AB1105" s="7"/>
      <c r="AC1105" s="7"/>
      <c r="AD1105" s="7"/>
      <c r="AE1105" s="7"/>
      <c r="AG1105" s="36"/>
      <c r="AH1105" s="36"/>
      <c r="AI1105" s="35"/>
      <c r="AJ1105" s="7"/>
      <c r="AK1105" s="7"/>
      <c r="AL1105" s="7"/>
      <c r="AM1105" s="7"/>
      <c r="AN1105" s="7"/>
      <c r="AO1105" s="7"/>
      <c r="AP1105" s="7"/>
      <c r="AQ1105" s="7"/>
      <c r="AS1105" s="36"/>
      <c r="AT1105" s="36"/>
      <c r="AU1105" s="35"/>
      <c r="AV1105" s="7"/>
      <c r="AW1105" s="7"/>
      <c r="AX1105" s="7"/>
      <c r="AY1105" s="7"/>
      <c r="AZ1105" s="7"/>
      <c r="BA1105" s="7"/>
      <c r="BB1105" s="7"/>
      <c r="BC1105" s="7"/>
      <c r="BF1105" s="7"/>
      <c r="BG1105" s="36"/>
      <c r="BH1105" s="36"/>
      <c r="BI1105" s="36"/>
      <c r="BJ1105" s="36"/>
      <c r="BK1105" s="36"/>
      <c r="BL1105" s="36"/>
      <c r="BM1105" s="36"/>
      <c r="BN1105" s="36"/>
      <c r="BO1105" s="36"/>
    </row>
    <row r="1106" spans="1:67" x14ac:dyDescent="0.25">
      <c r="A1106" s="39"/>
      <c r="B1106" s="40"/>
      <c r="U1106" s="36"/>
      <c r="V1106" s="36"/>
      <c r="W1106" s="35"/>
      <c r="X1106" s="7"/>
      <c r="Y1106" s="7"/>
      <c r="Z1106" s="7"/>
      <c r="AA1106" s="7"/>
      <c r="AB1106" s="7"/>
      <c r="AC1106" s="7"/>
      <c r="AD1106" s="7"/>
      <c r="AE1106" s="7"/>
      <c r="AG1106" s="36"/>
      <c r="AH1106" s="36"/>
      <c r="AI1106" s="35"/>
      <c r="AJ1106" s="7"/>
      <c r="AK1106" s="7"/>
      <c r="AL1106" s="7"/>
      <c r="AM1106" s="7"/>
      <c r="AN1106" s="7"/>
      <c r="AO1106" s="7"/>
      <c r="AP1106" s="7"/>
      <c r="AQ1106" s="7"/>
      <c r="AS1106" s="36"/>
      <c r="AT1106" s="36"/>
      <c r="AU1106" s="35"/>
      <c r="AV1106" s="7"/>
      <c r="AW1106" s="7"/>
      <c r="AX1106" s="7"/>
      <c r="AY1106" s="7"/>
      <c r="AZ1106" s="7"/>
      <c r="BA1106" s="7"/>
      <c r="BB1106" s="7"/>
      <c r="BC1106" s="7"/>
      <c r="BF1106" s="7"/>
      <c r="BG1106" s="36"/>
      <c r="BH1106" s="36"/>
      <c r="BI1106" s="36"/>
      <c r="BJ1106" s="36"/>
      <c r="BK1106" s="36"/>
      <c r="BL1106" s="36"/>
      <c r="BM1106" s="36"/>
      <c r="BN1106" s="36"/>
      <c r="BO1106" s="36"/>
    </row>
    <row r="1107" spans="1:67" x14ac:dyDescent="0.25">
      <c r="A1107" s="39"/>
      <c r="B1107" s="40"/>
      <c r="U1107" s="36"/>
      <c r="V1107" s="36"/>
      <c r="W1107" s="35"/>
      <c r="X1107" s="7"/>
      <c r="Y1107" s="7"/>
      <c r="Z1107" s="7"/>
      <c r="AA1107" s="7"/>
      <c r="AB1107" s="7"/>
      <c r="AC1107" s="7"/>
      <c r="AD1107" s="7"/>
      <c r="AE1107" s="7"/>
      <c r="AG1107" s="36"/>
      <c r="AH1107" s="36"/>
      <c r="AI1107" s="35"/>
      <c r="AJ1107" s="7"/>
      <c r="AK1107" s="7"/>
      <c r="AL1107" s="7"/>
      <c r="AM1107" s="7"/>
      <c r="AN1107" s="7"/>
      <c r="AO1107" s="7"/>
      <c r="AP1107" s="7"/>
      <c r="AQ1107" s="7"/>
      <c r="AS1107" s="36"/>
      <c r="AT1107" s="36"/>
      <c r="AU1107" s="35"/>
      <c r="AV1107" s="7"/>
      <c r="AW1107" s="7"/>
      <c r="AX1107" s="7"/>
      <c r="AY1107" s="7"/>
      <c r="AZ1107" s="7"/>
      <c r="BA1107" s="7"/>
      <c r="BB1107" s="7"/>
      <c r="BC1107" s="7"/>
      <c r="BF1107" s="7"/>
      <c r="BG1107" s="36"/>
      <c r="BH1107" s="36"/>
      <c r="BI1107" s="36"/>
      <c r="BJ1107" s="36"/>
      <c r="BK1107" s="36"/>
      <c r="BL1107" s="36"/>
      <c r="BM1107" s="36"/>
      <c r="BN1107" s="36"/>
      <c r="BO1107" s="36"/>
    </row>
    <row r="1108" spans="1:67" x14ac:dyDescent="0.25">
      <c r="A1108" s="39"/>
      <c r="B1108" s="40"/>
      <c r="U1108" s="36"/>
      <c r="V1108" s="36"/>
      <c r="W1108" s="35"/>
      <c r="X1108" s="7"/>
      <c r="Y1108" s="7"/>
      <c r="Z1108" s="7"/>
      <c r="AA1108" s="7"/>
      <c r="AB1108" s="7"/>
      <c r="AC1108" s="7"/>
      <c r="AD1108" s="7"/>
      <c r="AE1108" s="7"/>
      <c r="AG1108" s="36"/>
      <c r="AH1108" s="36"/>
      <c r="AI1108" s="35"/>
      <c r="AJ1108" s="7"/>
      <c r="AK1108" s="7"/>
      <c r="AL1108" s="7"/>
      <c r="AM1108" s="7"/>
      <c r="AN1108" s="7"/>
      <c r="AO1108" s="7"/>
      <c r="AP1108" s="7"/>
      <c r="AQ1108" s="7"/>
      <c r="AS1108" s="36"/>
      <c r="AT1108" s="36"/>
      <c r="AU1108" s="35"/>
      <c r="AV1108" s="7"/>
      <c r="AW1108" s="7"/>
      <c r="AX1108" s="7"/>
      <c r="AY1108" s="7"/>
      <c r="AZ1108" s="7"/>
      <c r="BA1108" s="7"/>
      <c r="BB1108" s="7"/>
      <c r="BC1108" s="7"/>
      <c r="BF1108" s="7"/>
      <c r="BG1108" s="36"/>
      <c r="BH1108" s="36"/>
      <c r="BI1108" s="36"/>
      <c r="BJ1108" s="36"/>
      <c r="BK1108" s="36"/>
      <c r="BL1108" s="36"/>
      <c r="BM1108" s="36"/>
      <c r="BN1108" s="36"/>
      <c r="BO1108" s="36"/>
    </row>
    <row r="1109" spans="1:67" x14ac:dyDescent="0.25">
      <c r="A1109" s="39"/>
      <c r="B1109" s="40"/>
      <c r="U1109" s="36"/>
      <c r="V1109" s="36"/>
      <c r="W1109" s="35"/>
      <c r="X1109" s="7"/>
      <c r="Y1109" s="7"/>
      <c r="Z1109" s="7"/>
      <c r="AA1109" s="7"/>
      <c r="AB1109" s="7"/>
      <c r="AC1109" s="7"/>
      <c r="AD1109" s="7"/>
      <c r="AE1109" s="7"/>
      <c r="AG1109" s="36"/>
      <c r="AH1109" s="36"/>
      <c r="AI1109" s="35"/>
      <c r="AJ1109" s="7"/>
      <c r="AK1109" s="7"/>
      <c r="AL1109" s="7"/>
      <c r="AM1109" s="7"/>
      <c r="AN1109" s="7"/>
      <c r="AO1109" s="7"/>
      <c r="AP1109" s="7"/>
      <c r="AQ1109" s="7"/>
      <c r="AS1109" s="36"/>
      <c r="AT1109" s="36"/>
      <c r="AU1109" s="35"/>
      <c r="AV1109" s="7"/>
      <c r="AW1109" s="7"/>
      <c r="AX1109" s="7"/>
      <c r="AY1109" s="7"/>
      <c r="AZ1109" s="7"/>
      <c r="BA1109" s="7"/>
      <c r="BB1109" s="7"/>
      <c r="BC1109" s="7"/>
      <c r="BF1109" s="7"/>
      <c r="BG1109" s="36"/>
      <c r="BH1109" s="36"/>
      <c r="BI1109" s="36"/>
      <c r="BJ1109" s="36"/>
      <c r="BK1109" s="36"/>
      <c r="BL1109" s="36"/>
      <c r="BM1109" s="36"/>
      <c r="BN1109" s="36"/>
      <c r="BO1109" s="36"/>
    </row>
    <row r="1110" spans="1:67" x14ac:dyDescent="0.25">
      <c r="A1110" s="39"/>
      <c r="B1110" s="40"/>
      <c r="U1110" s="36"/>
      <c r="V1110" s="36"/>
      <c r="W1110" s="35"/>
      <c r="X1110" s="7"/>
      <c r="Y1110" s="7"/>
      <c r="Z1110" s="7"/>
      <c r="AA1110" s="7"/>
      <c r="AB1110" s="7"/>
      <c r="AC1110" s="7"/>
      <c r="AD1110" s="7"/>
      <c r="AE1110" s="7"/>
      <c r="AG1110" s="36"/>
      <c r="AH1110" s="36"/>
      <c r="AI1110" s="35"/>
      <c r="AJ1110" s="7"/>
      <c r="AK1110" s="7"/>
      <c r="AL1110" s="7"/>
      <c r="AM1110" s="7"/>
      <c r="AN1110" s="7"/>
      <c r="AO1110" s="7"/>
      <c r="AP1110" s="7"/>
      <c r="AQ1110" s="7"/>
      <c r="AS1110" s="36"/>
      <c r="AT1110" s="36"/>
      <c r="AU1110" s="35"/>
      <c r="AV1110" s="7"/>
      <c r="AW1110" s="7"/>
      <c r="AX1110" s="7"/>
      <c r="AY1110" s="7"/>
      <c r="AZ1110" s="7"/>
      <c r="BA1110" s="7"/>
      <c r="BB1110" s="7"/>
      <c r="BC1110" s="7"/>
      <c r="BF1110" s="7"/>
      <c r="BG1110" s="36"/>
      <c r="BH1110" s="36"/>
      <c r="BI1110" s="36"/>
      <c r="BJ1110" s="36"/>
      <c r="BK1110" s="36"/>
      <c r="BL1110" s="36"/>
      <c r="BM1110" s="36"/>
      <c r="BN1110" s="36"/>
      <c r="BO1110" s="36"/>
    </row>
    <row r="1111" spans="1:67" x14ac:dyDescent="0.25">
      <c r="A1111" s="39"/>
      <c r="B1111" s="40"/>
      <c r="U1111" s="36"/>
      <c r="V1111" s="36"/>
      <c r="W1111" s="35"/>
      <c r="X1111" s="7"/>
      <c r="Y1111" s="7"/>
      <c r="Z1111" s="7"/>
      <c r="AA1111" s="7"/>
      <c r="AB1111" s="7"/>
      <c r="AC1111" s="7"/>
      <c r="AD1111" s="7"/>
      <c r="AE1111" s="7"/>
      <c r="AG1111" s="36"/>
      <c r="AH1111" s="36"/>
      <c r="AI1111" s="35"/>
      <c r="AJ1111" s="7"/>
      <c r="AK1111" s="7"/>
      <c r="AL1111" s="7"/>
      <c r="AM1111" s="7"/>
      <c r="AN1111" s="7"/>
      <c r="AO1111" s="7"/>
      <c r="AP1111" s="7"/>
      <c r="AQ1111" s="7"/>
      <c r="AS1111" s="36"/>
      <c r="AT1111" s="36"/>
      <c r="AU1111" s="35"/>
      <c r="AV1111" s="7"/>
      <c r="AW1111" s="7"/>
      <c r="AX1111" s="7"/>
      <c r="AY1111" s="7"/>
      <c r="AZ1111" s="7"/>
      <c r="BA1111" s="7"/>
      <c r="BB1111" s="7"/>
      <c r="BC1111" s="7"/>
      <c r="BF1111" s="7"/>
      <c r="BG1111" s="36"/>
      <c r="BH1111" s="36"/>
      <c r="BI1111" s="36"/>
      <c r="BJ1111" s="36"/>
      <c r="BK1111" s="36"/>
      <c r="BL1111" s="36"/>
      <c r="BM1111" s="36"/>
      <c r="BN1111" s="36"/>
      <c r="BO1111" s="36"/>
    </row>
    <row r="1112" spans="1:67" x14ac:dyDescent="0.25">
      <c r="A1112" s="39"/>
      <c r="B1112" s="40"/>
      <c r="U1112" s="36"/>
      <c r="V1112" s="36"/>
      <c r="W1112" s="35"/>
      <c r="X1112" s="7"/>
      <c r="Y1112" s="7"/>
      <c r="Z1112" s="7"/>
      <c r="AA1112" s="7"/>
      <c r="AB1112" s="7"/>
      <c r="AC1112" s="7"/>
      <c r="AD1112" s="7"/>
      <c r="AE1112" s="7"/>
      <c r="AG1112" s="36"/>
      <c r="AH1112" s="36"/>
      <c r="AI1112" s="35"/>
      <c r="AJ1112" s="7"/>
      <c r="AK1112" s="7"/>
      <c r="AL1112" s="7"/>
      <c r="AM1112" s="7"/>
      <c r="AN1112" s="7"/>
      <c r="AO1112" s="7"/>
      <c r="AP1112" s="7"/>
      <c r="AQ1112" s="7"/>
      <c r="AS1112" s="36"/>
      <c r="AT1112" s="36"/>
      <c r="AU1112" s="35"/>
      <c r="AV1112" s="7"/>
      <c r="AW1112" s="7"/>
      <c r="AX1112" s="7"/>
      <c r="AY1112" s="7"/>
      <c r="AZ1112" s="7"/>
      <c r="BA1112" s="7"/>
      <c r="BB1112" s="7"/>
      <c r="BC1112" s="7"/>
      <c r="BF1112" s="7"/>
      <c r="BG1112" s="36"/>
      <c r="BH1112" s="36"/>
      <c r="BI1112" s="36"/>
      <c r="BJ1112" s="36"/>
      <c r="BK1112" s="36"/>
      <c r="BL1112" s="36"/>
      <c r="BM1112" s="36"/>
      <c r="BN1112" s="36"/>
      <c r="BO1112" s="36"/>
    </row>
    <row r="1113" spans="1:67" x14ac:dyDescent="0.25">
      <c r="A1113" s="39"/>
      <c r="B1113" s="40"/>
      <c r="U1113" s="36"/>
      <c r="V1113" s="36"/>
      <c r="W1113" s="35"/>
      <c r="X1113" s="7"/>
      <c r="Y1113" s="7"/>
      <c r="Z1113" s="7"/>
      <c r="AA1113" s="7"/>
      <c r="AB1113" s="7"/>
      <c r="AC1113" s="7"/>
      <c r="AD1113" s="7"/>
      <c r="AE1113" s="7"/>
      <c r="AG1113" s="36"/>
      <c r="AH1113" s="36"/>
      <c r="AI1113" s="35"/>
      <c r="AJ1113" s="7"/>
      <c r="AK1113" s="7"/>
      <c r="AL1113" s="7"/>
      <c r="AM1113" s="7"/>
      <c r="AN1113" s="7"/>
      <c r="AO1113" s="7"/>
      <c r="AP1113" s="7"/>
      <c r="AQ1113" s="7"/>
      <c r="AS1113" s="36"/>
      <c r="AT1113" s="36"/>
      <c r="AU1113" s="35"/>
      <c r="AV1113" s="7"/>
      <c r="AW1113" s="7"/>
      <c r="AX1113" s="7"/>
      <c r="AY1113" s="7"/>
      <c r="AZ1113" s="7"/>
      <c r="BA1113" s="7"/>
      <c r="BB1113" s="7"/>
      <c r="BC1113" s="7"/>
      <c r="BF1113" s="7"/>
      <c r="BG1113" s="36"/>
      <c r="BH1113" s="36"/>
      <c r="BI1113" s="36"/>
      <c r="BJ1113" s="36"/>
      <c r="BK1113" s="36"/>
      <c r="BL1113" s="36"/>
      <c r="BM1113" s="36"/>
      <c r="BN1113" s="36"/>
      <c r="BO1113" s="36"/>
    </row>
    <row r="1114" spans="1:67" x14ac:dyDescent="0.25">
      <c r="A1114" s="39"/>
      <c r="B1114" s="40"/>
      <c r="U1114" s="36"/>
      <c r="V1114" s="36"/>
      <c r="W1114" s="35"/>
      <c r="X1114" s="7"/>
      <c r="Y1114" s="7"/>
      <c r="Z1114" s="7"/>
      <c r="AA1114" s="7"/>
      <c r="AB1114" s="7"/>
      <c r="AC1114" s="7"/>
      <c r="AD1114" s="7"/>
      <c r="AE1114" s="7"/>
      <c r="AG1114" s="36"/>
      <c r="AH1114" s="36"/>
      <c r="AI1114" s="35"/>
      <c r="AJ1114" s="7"/>
      <c r="AK1114" s="7"/>
      <c r="AL1114" s="7"/>
      <c r="AM1114" s="7"/>
      <c r="AN1114" s="7"/>
      <c r="AO1114" s="7"/>
      <c r="AP1114" s="7"/>
      <c r="AQ1114" s="7"/>
      <c r="AS1114" s="36"/>
      <c r="AT1114" s="36"/>
      <c r="AU1114" s="35"/>
      <c r="AV1114" s="7"/>
      <c r="AW1114" s="7"/>
      <c r="AX1114" s="7"/>
      <c r="AY1114" s="7"/>
      <c r="AZ1114" s="7"/>
      <c r="BA1114" s="7"/>
      <c r="BB1114" s="7"/>
      <c r="BC1114" s="7"/>
      <c r="BF1114" s="7"/>
      <c r="BG1114" s="36"/>
      <c r="BH1114" s="36"/>
      <c r="BI1114" s="36"/>
      <c r="BJ1114" s="36"/>
      <c r="BK1114" s="36"/>
      <c r="BL1114" s="36"/>
      <c r="BM1114" s="36"/>
      <c r="BN1114" s="36"/>
      <c r="BO1114" s="36"/>
    </row>
    <row r="1115" spans="1:67" x14ac:dyDescent="0.25">
      <c r="A1115" s="39"/>
      <c r="B1115" s="40"/>
      <c r="U1115" s="36"/>
      <c r="V1115" s="36"/>
      <c r="W1115" s="35"/>
      <c r="X1115" s="7"/>
      <c r="Y1115" s="7"/>
      <c r="Z1115" s="7"/>
      <c r="AA1115" s="7"/>
      <c r="AB1115" s="7"/>
      <c r="AC1115" s="7"/>
      <c r="AD1115" s="7"/>
      <c r="AE1115" s="7"/>
      <c r="AG1115" s="36"/>
      <c r="AH1115" s="36"/>
      <c r="AI1115" s="35"/>
      <c r="AJ1115" s="7"/>
      <c r="AK1115" s="7"/>
      <c r="AL1115" s="7"/>
      <c r="AM1115" s="7"/>
      <c r="AN1115" s="7"/>
      <c r="AO1115" s="7"/>
      <c r="AP1115" s="7"/>
      <c r="AQ1115" s="7"/>
      <c r="AS1115" s="36"/>
      <c r="AT1115" s="36"/>
      <c r="AU1115" s="35"/>
      <c r="AV1115" s="7"/>
      <c r="AW1115" s="7"/>
      <c r="AX1115" s="7"/>
      <c r="AY1115" s="7"/>
      <c r="AZ1115" s="7"/>
      <c r="BA1115" s="7"/>
      <c r="BB1115" s="7"/>
      <c r="BC1115" s="7"/>
      <c r="BF1115" s="7"/>
      <c r="BG1115" s="36"/>
      <c r="BH1115" s="36"/>
      <c r="BI1115" s="36"/>
      <c r="BJ1115" s="36"/>
      <c r="BK1115" s="36"/>
      <c r="BL1115" s="36"/>
      <c r="BM1115" s="36"/>
      <c r="BN1115" s="36"/>
      <c r="BO1115" s="36"/>
    </row>
    <row r="1116" spans="1:67" x14ac:dyDescent="0.25">
      <c r="A1116" s="39"/>
      <c r="B1116" s="40"/>
      <c r="U1116" s="36"/>
      <c r="V1116" s="36"/>
      <c r="W1116" s="35"/>
      <c r="X1116" s="7"/>
      <c r="Y1116" s="7"/>
      <c r="Z1116" s="7"/>
      <c r="AA1116" s="7"/>
      <c r="AB1116" s="7"/>
      <c r="AC1116" s="7"/>
      <c r="AD1116" s="7"/>
      <c r="AE1116" s="7"/>
      <c r="AG1116" s="36"/>
      <c r="AH1116" s="36"/>
      <c r="AI1116" s="35"/>
      <c r="AJ1116" s="7"/>
      <c r="AK1116" s="7"/>
      <c r="AL1116" s="7"/>
      <c r="AM1116" s="7"/>
      <c r="AN1116" s="7"/>
      <c r="AO1116" s="7"/>
      <c r="AP1116" s="7"/>
      <c r="AQ1116" s="7"/>
      <c r="AS1116" s="36"/>
      <c r="AT1116" s="36"/>
      <c r="AU1116" s="35"/>
      <c r="AV1116" s="7"/>
      <c r="AW1116" s="7"/>
      <c r="AX1116" s="7"/>
      <c r="AY1116" s="7"/>
      <c r="AZ1116" s="7"/>
      <c r="BA1116" s="7"/>
      <c r="BB1116" s="7"/>
      <c r="BC1116" s="7"/>
      <c r="BF1116" s="7"/>
      <c r="BG1116" s="36"/>
      <c r="BH1116" s="36"/>
      <c r="BI1116" s="36"/>
      <c r="BJ1116" s="36"/>
      <c r="BK1116" s="36"/>
      <c r="BL1116" s="36"/>
      <c r="BM1116" s="36"/>
      <c r="BN1116" s="36"/>
      <c r="BO1116" s="36"/>
    </row>
    <row r="1117" spans="1:67" x14ac:dyDescent="0.25">
      <c r="A1117" s="39"/>
      <c r="B1117" s="40"/>
      <c r="U1117" s="36"/>
      <c r="V1117" s="36"/>
      <c r="W1117" s="35"/>
      <c r="X1117" s="7"/>
      <c r="Y1117" s="7"/>
      <c r="Z1117" s="7"/>
      <c r="AA1117" s="7"/>
      <c r="AB1117" s="7"/>
      <c r="AC1117" s="7"/>
      <c r="AD1117" s="7"/>
      <c r="AE1117" s="7"/>
      <c r="AG1117" s="36"/>
      <c r="AH1117" s="36"/>
      <c r="AI1117" s="35"/>
      <c r="AJ1117" s="7"/>
      <c r="AK1117" s="7"/>
      <c r="AL1117" s="7"/>
      <c r="AM1117" s="7"/>
      <c r="AN1117" s="7"/>
      <c r="AO1117" s="7"/>
      <c r="AP1117" s="7"/>
      <c r="AQ1117" s="7"/>
      <c r="AS1117" s="36"/>
      <c r="AT1117" s="36"/>
      <c r="AU1117" s="35"/>
      <c r="AV1117" s="7"/>
      <c r="AW1117" s="7"/>
      <c r="AX1117" s="7"/>
      <c r="AY1117" s="7"/>
      <c r="AZ1117" s="7"/>
      <c r="BA1117" s="7"/>
      <c r="BB1117" s="7"/>
      <c r="BC1117" s="7"/>
      <c r="BF1117" s="7"/>
      <c r="BG1117" s="36"/>
      <c r="BH1117" s="36"/>
      <c r="BI1117" s="36"/>
      <c r="BJ1117" s="36"/>
      <c r="BK1117" s="36"/>
      <c r="BL1117" s="36"/>
      <c r="BM1117" s="36"/>
      <c r="BN1117" s="36"/>
      <c r="BO1117" s="36"/>
    </row>
    <row r="1118" spans="1:67" x14ac:dyDescent="0.25">
      <c r="A1118" s="39"/>
      <c r="B1118" s="40"/>
      <c r="U1118" s="36"/>
      <c r="V1118" s="36"/>
      <c r="W1118" s="35"/>
      <c r="X1118" s="7"/>
      <c r="Y1118" s="7"/>
      <c r="Z1118" s="7"/>
      <c r="AA1118" s="7"/>
      <c r="AB1118" s="7"/>
      <c r="AC1118" s="7"/>
      <c r="AD1118" s="7"/>
      <c r="AE1118" s="7"/>
      <c r="AG1118" s="36"/>
      <c r="AH1118" s="36"/>
      <c r="AI1118" s="35"/>
      <c r="AJ1118" s="7"/>
      <c r="AK1118" s="7"/>
      <c r="AL1118" s="7"/>
      <c r="AM1118" s="7"/>
      <c r="AN1118" s="7"/>
      <c r="AO1118" s="7"/>
      <c r="AP1118" s="7"/>
      <c r="AQ1118" s="7"/>
      <c r="AS1118" s="36"/>
      <c r="AT1118" s="36"/>
      <c r="AU1118" s="35"/>
      <c r="AV1118" s="7"/>
      <c r="AW1118" s="7"/>
      <c r="AX1118" s="7"/>
      <c r="AY1118" s="7"/>
      <c r="AZ1118" s="7"/>
      <c r="BA1118" s="7"/>
      <c r="BB1118" s="7"/>
      <c r="BC1118" s="7"/>
      <c r="BF1118" s="7"/>
      <c r="BG1118" s="36"/>
      <c r="BH1118" s="36"/>
      <c r="BI1118" s="36"/>
      <c r="BJ1118" s="36"/>
      <c r="BK1118" s="36"/>
      <c r="BL1118" s="36"/>
      <c r="BM1118" s="36"/>
      <c r="BN1118" s="36"/>
      <c r="BO1118" s="36"/>
    </row>
    <row r="1119" spans="1:67" x14ac:dyDescent="0.25">
      <c r="A1119" s="39"/>
      <c r="B1119" s="40"/>
      <c r="U1119" s="36"/>
      <c r="V1119" s="36"/>
      <c r="W1119" s="35"/>
      <c r="X1119" s="7"/>
      <c r="Y1119" s="7"/>
      <c r="Z1119" s="7"/>
      <c r="AA1119" s="7"/>
      <c r="AB1119" s="7"/>
      <c r="AC1119" s="7"/>
      <c r="AD1119" s="7"/>
      <c r="AE1119" s="7"/>
      <c r="AG1119" s="36"/>
      <c r="AH1119" s="36"/>
      <c r="AI1119" s="35"/>
      <c r="AJ1119" s="7"/>
      <c r="AK1119" s="7"/>
      <c r="AL1119" s="7"/>
      <c r="AM1119" s="7"/>
      <c r="AN1119" s="7"/>
      <c r="AO1119" s="7"/>
      <c r="AP1119" s="7"/>
      <c r="AQ1119" s="7"/>
      <c r="AS1119" s="36"/>
      <c r="AT1119" s="36"/>
      <c r="AU1119" s="35"/>
      <c r="AV1119" s="7"/>
      <c r="AW1119" s="7"/>
      <c r="AX1119" s="7"/>
      <c r="AY1119" s="7"/>
      <c r="AZ1119" s="7"/>
      <c r="BA1119" s="7"/>
      <c r="BB1119" s="7"/>
      <c r="BC1119" s="7"/>
      <c r="BF1119" s="7"/>
      <c r="BG1119" s="36"/>
      <c r="BH1119" s="36"/>
      <c r="BI1119" s="36"/>
      <c r="BJ1119" s="36"/>
      <c r="BK1119" s="36"/>
      <c r="BL1119" s="36"/>
      <c r="BM1119" s="36"/>
      <c r="BN1119" s="36"/>
      <c r="BO1119" s="36"/>
    </row>
    <row r="1120" spans="1:67" x14ac:dyDescent="0.25">
      <c r="A1120" s="39"/>
      <c r="B1120" s="40"/>
      <c r="U1120" s="36"/>
      <c r="V1120" s="36"/>
      <c r="W1120" s="35"/>
      <c r="X1120" s="7"/>
      <c r="Y1120" s="7"/>
      <c r="Z1120" s="7"/>
      <c r="AA1120" s="7"/>
      <c r="AB1120" s="7"/>
      <c r="AC1120" s="7"/>
      <c r="AD1120" s="7"/>
      <c r="AE1120" s="7"/>
      <c r="AG1120" s="36"/>
      <c r="AH1120" s="36"/>
      <c r="AI1120" s="35"/>
      <c r="AJ1120" s="7"/>
      <c r="AK1120" s="7"/>
      <c r="AL1120" s="7"/>
      <c r="AM1120" s="7"/>
      <c r="AN1120" s="7"/>
      <c r="AO1120" s="7"/>
      <c r="AP1120" s="7"/>
      <c r="AQ1120" s="7"/>
      <c r="AS1120" s="36"/>
      <c r="AT1120" s="36"/>
      <c r="AU1120" s="35"/>
      <c r="AV1120" s="7"/>
      <c r="AW1120" s="7"/>
      <c r="AX1120" s="7"/>
      <c r="AY1120" s="7"/>
      <c r="AZ1120" s="7"/>
      <c r="BA1120" s="7"/>
      <c r="BB1120" s="7"/>
      <c r="BC1120" s="7"/>
      <c r="BF1120" s="7"/>
      <c r="BG1120" s="36"/>
      <c r="BH1120" s="36"/>
      <c r="BI1120" s="36"/>
      <c r="BJ1120" s="36"/>
      <c r="BK1120" s="36"/>
      <c r="BL1120" s="36"/>
      <c r="BM1120" s="36"/>
      <c r="BN1120" s="36"/>
      <c r="BO1120" s="36"/>
    </row>
    <row r="1121" spans="1:67" x14ac:dyDescent="0.25">
      <c r="A1121" s="39"/>
      <c r="B1121" s="40"/>
      <c r="U1121" s="36"/>
      <c r="V1121" s="36"/>
      <c r="W1121" s="35"/>
      <c r="X1121" s="7"/>
      <c r="Y1121" s="7"/>
      <c r="Z1121" s="7"/>
      <c r="AA1121" s="7"/>
      <c r="AB1121" s="7"/>
      <c r="AC1121" s="7"/>
      <c r="AD1121" s="7"/>
      <c r="AE1121" s="7"/>
      <c r="AG1121" s="36"/>
      <c r="AH1121" s="36"/>
      <c r="AI1121" s="35"/>
      <c r="AJ1121" s="7"/>
      <c r="AK1121" s="7"/>
      <c r="AL1121" s="7"/>
      <c r="AM1121" s="7"/>
      <c r="AN1121" s="7"/>
      <c r="AO1121" s="7"/>
      <c r="AP1121" s="7"/>
      <c r="AQ1121" s="7"/>
      <c r="AS1121" s="36"/>
      <c r="AT1121" s="36"/>
      <c r="AU1121" s="35"/>
      <c r="AV1121" s="7"/>
      <c r="AW1121" s="7"/>
      <c r="AX1121" s="7"/>
      <c r="AY1121" s="7"/>
      <c r="AZ1121" s="7"/>
      <c r="BA1121" s="7"/>
      <c r="BB1121" s="7"/>
      <c r="BC1121" s="7"/>
      <c r="BF1121" s="7"/>
      <c r="BG1121" s="36"/>
      <c r="BH1121" s="36"/>
      <c r="BI1121" s="36"/>
      <c r="BJ1121" s="36"/>
      <c r="BK1121" s="36"/>
      <c r="BL1121" s="36"/>
      <c r="BM1121" s="36"/>
      <c r="BN1121" s="36"/>
      <c r="BO1121" s="36"/>
    </row>
    <row r="1122" spans="1:67" x14ac:dyDescent="0.25">
      <c r="A1122" s="39"/>
      <c r="B1122" s="40"/>
      <c r="U1122" s="36"/>
      <c r="V1122" s="36"/>
      <c r="W1122" s="35"/>
      <c r="X1122" s="7"/>
      <c r="Y1122" s="7"/>
      <c r="Z1122" s="7"/>
      <c r="AA1122" s="7"/>
      <c r="AB1122" s="7"/>
      <c r="AC1122" s="7"/>
      <c r="AD1122" s="7"/>
      <c r="AE1122" s="7"/>
      <c r="AG1122" s="36"/>
      <c r="AH1122" s="36"/>
      <c r="AI1122" s="35"/>
      <c r="AJ1122" s="7"/>
      <c r="AK1122" s="7"/>
      <c r="AL1122" s="7"/>
      <c r="AM1122" s="7"/>
      <c r="AN1122" s="7"/>
      <c r="AO1122" s="7"/>
      <c r="AP1122" s="7"/>
      <c r="AQ1122" s="7"/>
      <c r="AS1122" s="36"/>
      <c r="AT1122" s="36"/>
      <c r="AU1122" s="35"/>
      <c r="AV1122" s="7"/>
      <c r="AW1122" s="7"/>
      <c r="AX1122" s="7"/>
      <c r="AY1122" s="7"/>
      <c r="AZ1122" s="7"/>
      <c r="BA1122" s="7"/>
      <c r="BB1122" s="7"/>
      <c r="BC1122" s="7"/>
      <c r="BF1122" s="7"/>
      <c r="BG1122" s="36"/>
      <c r="BH1122" s="36"/>
      <c r="BI1122" s="36"/>
      <c r="BJ1122" s="36"/>
      <c r="BK1122" s="36"/>
      <c r="BL1122" s="36"/>
      <c r="BM1122" s="36"/>
      <c r="BN1122" s="36"/>
      <c r="BO1122" s="36"/>
    </row>
    <row r="1123" spans="1:67" x14ac:dyDescent="0.25">
      <c r="A1123" s="39"/>
      <c r="B1123" s="40"/>
      <c r="U1123" s="36"/>
      <c r="V1123" s="36"/>
      <c r="W1123" s="35"/>
      <c r="X1123" s="7"/>
      <c r="Y1123" s="7"/>
      <c r="Z1123" s="7"/>
      <c r="AA1123" s="7"/>
      <c r="AB1123" s="7"/>
      <c r="AC1123" s="7"/>
      <c r="AD1123" s="7"/>
      <c r="AE1123" s="7"/>
      <c r="AG1123" s="36"/>
      <c r="AH1123" s="36"/>
      <c r="AI1123" s="35"/>
      <c r="AJ1123" s="7"/>
      <c r="AK1123" s="7"/>
      <c r="AL1123" s="7"/>
      <c r="AM1123" s="7"/>
      <c r="AN1123" s="7"/>
      <c r="AO1123" s="7"/>
      <c r="AP1123" s="7"/>
      <c r="AQ1123" s="7"/>
      <c r="AS1123" s="36"/>
      <c r="AT1123" s="36"/>
      <c r="AU1123" s="35"/>
      <c r="AV1123" s="7"/>
      <c r="AW1123" s="7"/>
      <c r="AX1123" s="7"/>
      <c r="AY1123" s="7"/>
      <c r="AZ1123" s="7"/>
      <c r="BA1123" s="7"/>
      <c r="BB1123" s="7"/>
      <c r="BC1123" s="7"/>
      <c r="BF1123" s="7"/>
      <c r="BG1123" s="36"/>
      <c r="BH1123" s="36"/>
      <c r="BI1123" s="36"/>
      <c r="BJ1123" s="36"/>
      <c r="BK1123" s="36"/>
      <c r="BL1123" s="36"/>
      <c r="BM1123" s="36"/>
      <c r="BN1123" s="36"/>
      <c r="BO1123" s="36"/>
    </row>
    <row r="1124" spans="1:67" x14ac:dyDescent="0.25">
      <c r="A1124" s="39"/>
      <c r="B1124" s="40"/>
      <c r="U1124" s="36"/>
      <c r="V1124" s="36"/>
      <c r="W1124" s="35"/>
      <c r="X1124" s="7"/>
      <c r="Y1124" s="7"/>
      <c r="Z1124" s="7"/>
      <c r="AA1124" s="7"/>
      <c r="AB1124" s="7"/>
      <c r="AC1124" s="7"/>
      <c r="AD1124" s="7"/>
      <c r="AE1124" s="7"/>
      <c r="AG1124" s="36"/>
      <c r="AH1124" s="36"/>
      <c r="AI1124" s="35"/>
      <c r="AJ1124" s="7"/>
      <c r="AK1124" s="7"/>
      <c r="AL1124" s="7"/>
      <c r="AM1124" s="7"/>
      <c r="AN1124" s="7"/>
      <c r="AO1124" s="7"/>
      <c r="AP1124" s="7"/>
      <c r="AQ1124" s="7"/>
      <c r="AS1124" s="36"/>
      <c r="AT1124" s="36"/>
      <c r="AU1124" s="35"/>
      <c r="AV1124" s="7"/>
      <c r="AW1124" s="7"/>
      <c r="AX1124" s="7"/>
      <c r="AY1124" s="7"/>
      <c r="AZ1124" s="7"/>
      <c r="BA1124" s="7"/>
      <c r="BB1124" s="7"/>
      <c r="BC1124" s="7"/>
      <c r="BF1124" s="7"/>
      <c r="BG1124" s="36"/>
      <c r="BH1124" s="36"/>
      <c r="BI1124" s="36"/>
      <c r="BJ1124" s="36"/>
      <c r="BK1124" s="36"/>
      <c r="BL1124" s="36"/>
      <c r="BM1124" s="36"/>
      <c r="BN1124" s="36"/>
      <c r="BO1124" s="36"/>
    </row>
    <row r="1125" spans="1:67" x14ac:dyDescent="0.25">
      <c r="A1125" s="39"/>
      <c r="B1125" s="40"/>
      <c r="U1125" s="36"/>
      <c r="V1125" s="36"/>
      <c r="W1125" s="35"/>
      <c r="X1125" s="7"/>
      <c r="Y1125" s="7"/>
      <c r="Z1125" s="7"/>
      <c r="AA1125" s="7"/>
      <c r="AB1125" s="7"/>
      <c r="AC1125" s="7"/>
      <c r="AD1125" s="7"/>
      <c r="AE1125" s="7"/>
      <c r="AG1125" s="36"/>
      <c r="AH1125" s="36"/>
      <c r="AI1125" s="35"/>
      <c r="AJ1125" s="7"/>
      <c r="AK1125" s="7"/>
      <c r="AL1125" s="7"/>
      <c r="AM1125" s="7"/>
      <c r="AN1125" s="7"/>
      <c r="AO1125" s="7"/>
      <c r="AP1125" s="7"/>
      <c r="AQ1125" s="7"/>
      <c r="AS1125" s="36"/>
      <c r="AT1125" s="36"/>
      <c r="AU1125" s="35"/>
      <c r="AV1125" s="7"/>
      <c r="AW1125" s="7"/>
      <c r="AX1125" s="7"/>
      <c r="AY1125" s="7"/>
      <c r="AZ1125" s="7"/>
      <c r="BA1125" s="7"/>
      <c r="BB1125" s="7"/>
      <c r="BC1125" s="7"/>
      <c r="BF1125" s="7"/>
      <c r="BG1125" s="36"/>
      <c r="BH1125" s="36"/>
      <c r="BI1125" s="36"/>
      <c r="BJ1125" s="36"/>
      <c r="BK1125" s="36"/>
      <c r="BL1125" s="36"/>
      <c r="BM1125" s="36"/>
      <c r="BN1125" s="36"/>
      <c r="BO1125" s="36"/>
    </row>
    <row r="1126" spans="1:67" x14ac:dyDescent="0.25">
      <c r="A1126" s="39"/>
      <c r="B1126" s="40"/>
      <c r="U1126" s="36"/>
      <c r="V1126" s="36"/>
      <c r="W1126" s="35"/>
      <c r="X1126" s="7"/>
      <c r="Y1126" s="7"/>
      <c r="Z1126" s="7"/>
      <c r="AA1126" s="7"/>
      <c r="AB1126" s="7"/>
      <c r="AC1126" s="7"/>
      <c r="AD1126" s="7"/>
      <c r="AE1126" s="7"/>
      <c r="AG1126" s="36"/>
      <c r="AH1126" s="36"/>
      <c r="AI1126" s="35"/>
      <c r="AJ1126" s="7"/>
      <c r="AK1126" s="7"/>
      <c r="AL1126" s="7"/>
      <c r="AM1126" s="7"/>
      <c r="AN1126" s="7"/>
      <c r="AO1126" s="7"/>
      <c r="AP1126" s="7"/>
      <c r="AQ1126" s="7"/>
      <c r="AS1126" s="36"/>
      <c r="AT1126" s="36"/>
      <c r="AU1126" s="35"/>
      <c r="AV1126" s="7"/>
      <c r="AW1126" s="7"/>
      <c r="AX1126" s="7"/>
      <c r="AY1126" s="7"/>
      <c r="AZ1126" s="7"/>
      <c r="BA1126" s="7"/>
      <c r="BB1126" s="7"/>
      <c r="BC1126" s="7"/>
      <c r="BF1126" s="7"/>
      <c r="BG1126" s="36"/>
      <c r="BH1126" s="36"/>
      <c r="BI1126" s="36"/>
      <c r="BJ1126" s="36"/>
      <c r="BK1126" s="36"/>
      <c r="BL1126" s="36"/>
      <c r="BM1126" s="36"/>
      <c r="BN1126" s="36"/>
      <c r="BO1126" s="36"/>
    </row>
    <row r="1127" spans="1:67" x14ac:dyDescent="0.25">
      <c r="A1127" s="39"/>
      <c r="B1127" s="40"/>
      <c r="U1127" s="36"/>
      <c r="V1127" s="36"/>
      <c r="W1127" s="35"/>
      <c r="X1127" s="7"/>
      <c r="Y1127" s="7"/>
      <c r="Z1127" s="7"/>
      <c r="AA1127" s="7"/>
      <c r="AB1127" s="7"/>
      <c r="AC1127" s="7"/>
      <c r="AD1127" s="7"/>
      <c r="AE1127" s="7"/>
      <c r="AG1127" s="36"/>
      <c r="AH1127" s="36"/>
      <c r="AI1127" s="35"/>
      <c r="AJ1127" s="7"/>
      <c r="AK1127" s="7"/>
      <c r="AL1127" s="7"/>
      <c r="AM1127" s="7"/>
      <c r="AN1127" s="7"/>
      <c r="AO1127" s="7"/>
      <c r="AP1127" s="7"/>
      <c r="AQ1127" s="7"/>
      <c r="AS1127" s="36"/>
      <c r="AT1127" s="36"/>
      <c r="AU1127" s="35"/>
      <c r="AV1127" s="7"/>
      <c r="AW1127" s="7"/>
      <c r="AX1127" s="7"/>
      <c r="AY1127" s="7"/>
      <c r="AZ1127" s="7"/>
      <c r="BA1127" s="7"/>
      <c r="BB1127" s="7"/>
      <c r="BC1127" s="7"/>
      <c r="BF1127" s="7"/>
      <c r="BG1127" s="36"/>
      <c r="BH1127" s="36"/>
      <c r="BI1127" s="36"/>
      <c r="BJ1127" s="36"/>
      <c r="BK1127" s="36"/>
      <c r="BL1127" s="36"/>
      <c r="BM1127" s="36"/>
      <c r="BN1127" s="36"/>
      <c r="BO1127" s="36"/>
    </row>
    <row r="1128" spans="1:67" x14ac:dyDescent="0.25">
      <c r="A1128" s="39"/>
      <c r="B1128" s="40"/>
      <c r="U1128" s="36"/>
      <c r="V1128" s="36"/>
      <c r="W1128" s="35"/>
      <c r="X1128" s="7"/>
      <c r="Y1128" s="7"/>
      <c r="Z1128" s="7"/>
      <c r="AA1128" s="7"/>
      <c r="AB1128" s="7"/>
      <c r="AC1128" s="7"/>
      <c r="AD1128" s="7"/>
      <c r="AE1128" s="7"/>
      <c r="AG1128" s="36"/>
      <c r="AH1128" s="36"/>
      <c r="AI1128" s="35"/>
      <c r="AJ1128" s="7"/>
      <c r="AK1128" s="7"/>
      <c r="AL1128" s="7"/>
      <c r="AM1128" s="7"/>
      <c r="AN1128" s="7"/>
      <c r="AO1128" s="7"/>
      <c r="AP1128" s="7"/>
      <c r="AQ1128" s="7"/>
      <c r="AS1128" s="36"/>
      <c r="AT1128" s="36"/>
      <c r="AU1128" s="35"/>
      <c r="AV1128" s="7"/>
      <c r="AW1128" s="7"/>
      <c r="AX1128" s="7"/>
      <c r="AY1128" s="7"/>
      <c r="AZ1128" s="7"/>
      <c r="BA1128" s="7"/>
      <c r="BB1128" s="7"/>
      <c r="BC1128" s="7"/>
      <c r="BF1128" s="7"/>
      <c r="BG1128" s="36"/>
      <c r="BH1128" s="36"/>
      <c r="BI1128" s="36"/>
      <c r="BJ1128" s="36"/>
      <c r="BK1128" s="36"/>
      <c r="BL1128" s="36"/>
      <c r="BM1128" s="36"/>
      <c r="BN1128" s="36"/>
      <c r="BO1128" s="36"/>
    </row>
    <row r="1129" spans="1:67" x14ac:dyDescent="0.25">
      <c r="A1129" s="39"/>
      <c r="B1129" s="40"/>
      <c r="U1129" s="36"/>
      <c r="V1129" s="36"/>
      <c r="W1129" s="35"/>
      <c r="X1129" s="7"/>
      <c r="Y1129" s="7"/>
      <c r="Z1129" s="7"/>
      <c r="AA1129" s="7"/>
      <c r="AB1129" s="7"/>
      <c r="AC1129" s="7"/>
      <c r="AD1129" s="7"/>
      <c r="AE1129" s="7"/>
      <c r="AG1129" s="36"/>
      <c r="AH1129" s="36"/>
      <c r="AI1129" s="35"/>
      <c r="AJ1129" s="7"/>
      <c r="AK1129" s="7"/>
      <c r="AL1129" s="7"/>
      <c r="AM1129" s="7"/>
      <c r="AN1129" s="7"/>
      <c r="AO1129" s="7"/>
      <c r="AP1129" s="7"/>
      <c r="AQ1129" s="7"/>
      <c r="AS1129" s="36"/>
      <c r="AT1129" s="36"/>
      <c r="AU1129" s="35"/>
      <c r="AV1129" s="7"/>
      <c r="AW1129" s="7"/>
      <c r="AX1129" s="7"/>
      <c r="AY1129" s="7"/>
      <c r="AZ1129" s="7"/>
      <c r="BA1129" s="7"/>
      <c r="BB1129" s="7"/>
      <c r="BC1129" s="7"/>
      <c r="BF1129" s="7"/>
      <c r="BG1129" s="36"/>
      <c r="BH1129" s="36"/>
      <c r="BI1129" s="36"/>
      <c r="BJ1129" s="36"/>
      <c r="BK1129" s="36"/>
      <c r="BL1129" s="36"/>
      <c r="BM1129" s="36"/>
      <c r="BN1129" s="36"/>
      <c r="BO1129" s="36"/>
    </row>
    <row r="1130" spans="1:67" x14ac:dyDescent="0.25">
      <c r="A1130" s="39"/>
      <c r="B1130" s="40"/>
      <c r="U1130" s="36"/>
      <c r="V1130" s="36"/>
      <c r="W1130" s="35"/>
      <c r="X1130" s="7"/>
      <c r="Y1130" s="7"/>
      <c r="Z1130" s="7"/>
      <c r="AA1130" s="7"/>
      <c r="AB1130" s="7"/>
      <c r="AC1130" s="7"/>
      <c r="AD1130" s="7"/>
      <c r="AE1130" s="7"/>
      <c r="AG1130" s="36"/>
      <c r="AH1130" s="36"/>
      <c r="AI1130" s="35"/>
      <c r="AJ1130" s="7"/>
      <c r="AK1130" s="7"/>
      <c r="AL1130" s="7"/>
      <c r="AM1130" s="7"/>
      <c r="AN1130" s="7"/>
      <c r="AO1130" s="7"/>
      <c r="AP1130" s="7"/>
      <c r="AQ1130" s="7"/>
      <c r="AS1130" s="36"/>
      <c r="AT1130" s="36"/>
      <c r="AU1130" s="35"/>
      <c r="AV1130" s="7"/>
      <c r="AW1130" s="7"/>
      <c r="AX1130" s="7"/>
      <c r="AY1130" s="7"/>
      <c r="AZ1130" s="7"/>
      <c r="BA1130" s="7"/>
      <c r="BB1130" s="7"/>
      <c r="BC1130" s="7"/>
      <c r="BF1130" s="7"/>
      <c r="BG1130" s="36"/>
      <c r="BH1130" s="36"/>
      <c r="BI1130" s="36"/>
      <c r="BJ1130" s="36"/>
      <c r="BK1130" s="36"/>
      <c r="BL1130" s="36"/>
      <c r="BM1130" s="36"/>
      <c r="BN1130" s="36"/>
      <c r="BO1130" s="36"/>
    </row>
    <row r="1131" spans="1:67" x14ac:dyDescent="0.25">
      <c r="A1131" s="39"/>
      <c r="B1131" s="40"/>
      <c r="U1131" s="36"/>
      <c r="V1131" s="36"/>
      <c r="W1131" s="35"/>
      <c r="X1131" s="7"/>
      <c r="Y1131" s="7"/>
      <c r="Z1131" s="7"/>
      <c r="AA1131" s="7"/>
      <c r="AB1131" s="7"/>
      <c r="AC1131" s="7"/>
      <c r="AD1131" s="7"/>
      <c r="AE1131" s="7"/>
      <c r="AG1131" s="36"/>
      <c r="AH1131" s="36"/>
      <c r="AI1131" s="35"/>
      <c r="AJ1131" s="7"/>
      <c r="AK1131" s="7"/>
      <c r="AL1131" s="7"/>
      <c r="AM1131" s="7"/>
      <c r="AN1131" s="7"/>
      <c r="AO1131" s="7"/>
      <c r="AP1131" s="7"/>
      <c r="AQ1131" s="7"/>
      <c r="AS1131" s="36"/>
      <c r="AT1131" s="36"/>
      <c r="AU1131" s="35"/>
      <c r="AV1131" s="7"/>
      <c r="AW1131" s="7"/>
      <c r="AX1131" s="7"/>
      <c r="AY1131" s="7"/>
      <c r="AZ1131" s="7"/>
      <c r="BA1131" s="7"/>
      <c r="BB1131" s="7"/>
      <c r="BC1131" s="7"/>
      <c r="BF1131" s="7"/>
      <c r="BG1131" s="36"/>
      <c r="BH1131" s="36"/>
      <c r="BI1131" s="36"/>
      <c r="BJ1131" s="36"/>
      <c r="BK1131" s="36"/>
      <c r="BL1131" s="36"/>
      <c r="BM1131" s="36"/>
      <c r="BN1131" s="36"/>
      <c r="BO1131" s="36"/>
    </row>
    <row r="1132" spans="1:67" x14ac:dyDescent="0.25">
      <c r="A1132" s="39"/>
      <c r="B1132" s="40"/>
      <c r="U1132" s="36"/>
      <c r="V1132" s="36"/>
      <c r="W1132" s="35"/>
      <c r="X1132" s="7"/>
      <c r="Y1132" s="7"/>
      <c r="Z1132" s="7"/>
      <c r="AA1132" s="7"/>
      <c r="AB1132" s="7"/>
      <c r="AC1132" s="7"/>
      <c r="AD1132" s="7"/>
      <c r="AE1132" s="7"/>
      <c r="AG1132" s="36"/>
      <c r="AH1132" s="36"/>
      <c r="AI1132" s="35"/>
      <c r="AJ1132" s="7"/>
      <c r="AK1132" s="7"/>
      <c r="AL1132" s="7"/>
      <c r="AM1132" s="7"/>
      <c r="AN1132" s="7"/>
      <c r="AO1132" s="7"/>
      <c r="AP1132" s="7"/>
      <c r="AQ1132" s="7"/>
      <c r="AS1132" s="36"/>
      <c r="AT1132" s="36"/>
      <c r="AU1132" s="35"/>
      <c r="AV1132" s="7"/>
      <c r="AW1132" s="7"/>
      <c r="AX1132" s="7"/>
      <c r="AY1132" s="7"/>
      <c r="AZ1132" s="7"/>
      <c r="BA1132" s="7"/>
      <c r="BB1132" s="7"/>
      <c r="BC1132" s="7"/>
      <c r="BF1132" s="7"/>
      <c r="BG1132" s="36"/>
      <c r="BH1132" s="36"/>
      <c r="BI1132" s="36"/>
      <c r="BJ1132" s="36"/>
      <c r="BK1132" s="36"/>
      <c r="BL1132" s="36"/>
      <c r="BM1132" s="36"/>
      <c r="BN1132" s="36"/>
      <c r="BO1132" s="36"/>
    </row>
    <row r="1133" spans="1:67" x14ac:dyDescent="0.25">
      <c r="A1133" s="39"/>
      <c r="B1133" s="40"/>
      <c r="U1133" s="36"/>
      <c r="V1133" s="36"/>
      <c r="W1133" s="35"/>
      <c r="X1133" s="7"/>
      <c r="Y1133" s="7"/>
      <c r="Z1133" s="7"/>
      <c r="AA1133" s="7"/>
      <c r="AB1133" s="7"/>
      <c r="AC1133" s="7"/>
      <c r="AD1133" s="7"/>
      <c r="AE1133" s="7"/>
      <c r="AG1133" s="36"/>
      <c r="AH1133" s="36"/>
      <c r="AI1133" s="35"/>
      <c r="AJ1133" s="7"/>
      <c r="AK1133" s="7"/>
      <c r="AL1133" s="7"/>
      <c r="AM1133" s="7"/>
      <c r="AN1133" s="7"/>
      <c r="AO1133" s="7"/>
      <c r="AP1133" s="7"/>
      <c r="AQ1133" s="7"/>
      <c r="AS1133" s="36"/>
      <c r="AT1133" s="36"/>
      <c r="AU1133" s="35"/>
      <c r="AV1133" s="7"/>
      <c r="AW1133" s="7"/>
      <c r="AX1133" s="7"/>
      <c r="AY1133" s="7"/>
      <c r="AZ1133" s="7"/>
      <c r="BA1133" s="7"/>
      <c r="BB1133" s="7"/>
      <c r="BC1133" s="7"/>
      <c r="BF1133" s="7"/>
      <c r="BG1133" s="36"/>
      <c r="BH1133" s="36"/>
      <c r="BI1133" s="36"/>
      <c r="BJ1133" s="36"/>
      <c r="BK1133" s="36"/>
      <c r="BL1133" s="36"/>
      <c r="BM1133" s="36"/>
      <c r="BN1133" s="36"/>
      <c r="BO1133" s="36"/>
    </row>
    <row r="1134" spans="1:67" x14ac:dyDescent="0.25">
      <c r="A1134" s="39"/>
      <c r="B1134" s="40"/>
      <c r="U1134" s="36"/>
      <c r="V1134" s="36"/>
      <c r="W1134" s="35"/>
      <c r="X1134" s="7"/>
      <c r="Y1134" s="7"/>
      <c r="Z1134" s="7"/>
      <c r="AA1134" s="7"/>
      <c r="AB1134" s="7"/>
      <c r="AC1134" s="7"/>
      <c r="AD1134" s="7"/>
      <c r="AE1134" s="7"/>
      <c r="AG1134" s="36"/>
      <c r="AH1134" s="36"/>
      <c r="AI1134" s="35"/>
      <c r="AJ1134" s="7"/>
      <c r="AK1134" s="7"/>
      <c r="AL1134" s="7"/>
      <c r="AM1134" s="7"/>
      <c r="AN1134" s="7"/>
      <c r="AO1134" s="7"/>
      <c r="AP1134" s="7"/>
      <c r="AQ1134" s="7"/>
      <c r="AS1134" s="36"/>
      <c r="AT1134" s="36"/>
      <c r="AU1134" s="35"/>
      <c r="AV1134" s="7"/>
      <c r="AW1134" s="7"/>
      <c r="AX1134" s="7"/>
      <c r="AY1134" s="7"/>
      <c r="AZ1134" s="7"/>
      <c r="BA1134" s="7"/>
      <c r="BB1134" s="7"/>
      <c r="BC1134" s="7"/>
      <c r="BF1134" s="7"/>
      <c r="BG1134" s="36"/>
      <c r="BH1134" s="36"/>
      <c r="BI1134" s="36"/>
      <c r="BJ1134" s="36"/>
      <c r="BK1134" s="36"/>
      <c r="BL1134" s="36"/>
      <c r="BM1134" s="36"/>
      <c r="BN1134" s="36"/>
      <c r="BO1134" s="36"/>
    </row>
    <row r="1135" spans="1:67" x14ac:dyDescent="0.25">
      <c r="A1135" s="39"/>
      <c r="B1135" s="40"/>
      <c r="U1135" s="36"/>
      <c r="V1135" s="36"/>
      <c r="W1135" s="35"/>
      <c r="X1135" s="7"/>
      <c r="Y1135" s="7"/>
      <c r="Z1135" s="7"/>
      <c r="AA1135" s="7"/>
      <c r="AB1135" s="7"/>
      <c r="AC1135" s="7"/>
      <c r="AD1135" s="7"/>
      <c r="AE1135" s="7"/>
      <c r="AG1135" s="36"/>
      <c r="AH1135" s="36"/>
      <c r="AI1135" s="35"/>
      <c r="AJ1135" s="7"/>
      <c r="AK1135" s="7"/>
      <c r="AL1135" s="7"/>
      <c r="AM1135" s="7"/>
      <c r="AN1135" s="7"/>
      <c r="AO1135" s="7"/>
      <c r="AP1135" s="7"/>
      <c r="AQ1135" s="7"/>
      <c r="AS1135" s="36"/>
      <c r="AT1135" s="36"/>
      <c r="AU1135" s="35"/>
      <c r="AV1135" s="7"/>
      <c r="AW1135" s="7"/>
      <c r="AX1135" s="7"/>
      <c r="AY1135" s="7"/>
      <c r="AZ1135" s="7"/>
      <c r="BA1135" s="7"/>
      <c r="BB1135" s="7"/>
      <c r="BC1135" s="7"/>
      <c r="BF1135" s="7"/>
      <c r="BG1135" s="36"/>
      <c r="BH1135" s="36"/>
      <c r="BI1135" s="36"/>
      <c r="BJ1135" s="36"/>
      <c r="BK1135" s="36"/>
      <c r="BL1135" s="36"/>
      <c r="BM1135" s="36"/>
      <c r="BN1135" s="36"/>
      <c r="BO1135" s="36"/>
    </row>
    <row r="1136" spans="1:67" x14ac:dyDescent="0.25">
      <c r="A1136" s="39"/>
      <c r="B1136" s="40"/>
      <c r="U1136" s="36"/>
      <c r="V1136" s="36"/>
      <c r="W1136" s="35"/>
      <c r="X1136" s="7"/>
      <c r="Y1136" s="7"/>
      <c r="Z1136" s="7"/>
      <c r="AA1136" s="7"/>
      <c r="AB1136" s="7"/>
      <c r="AC1136" s="7"/>
      <c r="AD1136" s="7"/>
      <c r="AE1136" s="7"/>
      <c r="AG1136" s="36"/>
      <c r="AH1136" s="36"/>
      <c r="AI1136" s="35"/>
      <c r="AJ1136" s="7"/>
      <c r="AK1136" s="7"/>
      <c r="AL1136" s="7"/>
      <c r="AM1136" s="7"/>
      <c r="AN1136" s="7"/>
      <c r="AO1136" s="7"/>
      <c r="AP1136" s="7"/>
      <c r="AQ1136" s="7"/>
      <c r="AS1136" s="36"/>
      <c r="AT1136" s="36"/>
      <c r="AU1136" s="35"/>
      <c r="AV1136" s="7"/>
      <c r="AW1136" s="7"/>
      <c r="AX1136" s="7"/>
      <c r="AY1136" s="7"/>
      <c r="AZ1136" s="7"/>
      <c r="BA1136" s="7"/>
      <c r="BB1136" s="7"/>
      <c r="BC1136" s="7"/>
      <c r="BF1136" s="7"/>
      <c r="BG1136" s="36"/>
      <c r="BH1136" s="36"/>
      <c r="BI1136" s="36"/>
      <c r="BJ1136" s="36"/>
      <c r="BK1136" s="36"/>
      <c r="BL1136" s="36"/>
      <c r="BM1136" s="36"/>
      <c r="BN1136" s="36"/>
      <c r="BO1136" s="36"/>
    </row>
    <row r="1137" spans="1:67" x14ac:dyDescent="0.25">
      <c r="A1137" s="39"/>
      <c r="B1137" s="40"/>
      <c r="U1137" s="36"/>
      <c r="V1137" s="36"/>
      <c r="W1137" s="35"/>
      <c r="X1137" s="7"/>
      <c r="Y1137" s="7"/>
      <c r="Z1137" s="7"/>
      <c r="AA1137" s="7"/>
      <c r="AB1137" s="7"/>
      <c r="AC1137" s="7"/>
      <c r="AD1137" s="7"/>
      <c r="AE1137" s="7"/>
      <c r="AG1137" s="36"/>
      <c r="AH1137" s="36"/>
      <c r="AI1137" s="35"/>
      <c r="AJ1137" s="7"/>
      <c r="AK1137" s="7"/>
      <c r="AL1137" s="7"/>
      <c r="AM1137" s="7"/>
      <c r="AN1137" s="7"/>
      <c r="AO1137" s="7"/>
      <c r="AP1137" s="7"/>
      <c r="AQ1137" s="7"/>
      <c r="AS1137" s="36"/>
      <c r="AT1137" s="36"/>
      <c r="AU1137" s="35"/>
      <c r="AV1137" s="7"/>
      <c r="AW1137" s="7"/>
      <c r="AX1137" s="7"/>
      <c r="AY1137" s="7"/>
      <c r="AZ1137" s="7"/>
      <c r="BA1137" s="7"/>
      <c r="BB1137" s="7"/>
      <c r="BC1137" s="7"/>
      <c r="BF1137" s="7"/>
      <c r="BG1137" s="36"/>
      <c r="BH1137" s="36"/>
      <c r="BI1137" s="36"/>
      <c r="BJ1137" s="36"/>
      <c r="BK1137" s="36"/>
      <c r="BL1137" s="36"/>
      <c r="BM1137" s="36"/>
      <c r="BN1137" s="36"/>
      <c r="BO1137" s="36"/>
    </row>
    <row r="1138" spans="1:67" x14ac:dyDescent="0.25">
      <c r="A1138" s="39"/>
      <c r="B1138" s="40"/>
      <c r="U1138" s="36"/>
      <c r="V1138" s="36"/>
      <c r="W1138" s="35"/>
      <c r="X1138" s="7"/>
      <c r="Y1138" s="7"/>
      <c r="Z1138" s="7"/>
      <c r="AA1138" s="7"/>
      <c r="AB1138" s="7"/>
      <c r="AC1138" s="7"/>
      <c r="AD1138" s="7"/>
      <c r="AE1138" s="7"/>
      <c r="AG1138" s="36"/>
      <c r="AH1138" s="36"/>
      <c r="AI1138" s="35"/>
      <c r="AJ1138" s="7"/>
      <c r="AK1138" s="7"/>
      <c r="AL1138" s="7"/>
      <c r="AM1138" s="7"/>
      <c r="AN1138" s="7"/>
      <c r="AO1138" s="7"/>
      <c r="AP1138" s="7"/>
      <c r="AQ1138" s="7"/>
      <c r="AS1138" s="36"/>
      <c r="AT1138" s="36"/>
      <c r="AU1138" s="35"/>
      <c r="AV1138" s="7"/>
      <c r="AW1138" s="7"/>
      <c r="AX1138" s="7"/>
      <c r="AY1138" s="7"/>
      <c r="AZ1138" s="7"/>
      <c r="BA1138" s="7"/>
      <c r="BB1138" s="7"/>
      <c r="BC1138" s="7"/>
      <c r="BF1138" s="7"/>
      <c r="BG1138" s="36"/>
      <c r="BH1138" s="36"/>
      <c r="BI1138" s="36"/>
      <c r="BJ1138" s="36"/>
      <c r="BK1138" s="36"/>
      <c r="BL1138" s="36"/>
      <c r="BM1138" s="36"/>
      <c r="BN1138" s="36"/>
      <c r="BO1138" s="36"/>
    </row>
    <row r="1139" spans="1:67" x14ac:dyDescent="0.25">
      <c r="A1139" s="39"/>
      <c r="B1139" s="40"/>
      <c r="U1139" s="36"/>
      <c r="V1139" s="36"/>
      <c r="W1139" s="35"/>
      <c r="X1139" s="7"/>
      <c r="Y1139" s="7"/>
      <c r="Z1139" s="7"/>
      <c r="AA1139" s="7"/>
      <c r="AB1139" s="7"/>
      <c r="AC1139" s="7"/>
      <c r="AD1139" s="7"/>
      <c r="AE1139" s="7"/>
      <c r="AG1139" s="36"/>
      <c r="AH1139" s="36"/>
      <c r="AI1139" s="35"/>
      <c r="AJ1139" s="7"/>
      <c r="AK1139" s="7"/>
      <c r="AL1139" s="7"/>
      <c r="AM1139" s="7"/>
      <c r="AN1139" s="7"/>
      <c r="AO1139" s="7"/>
      <c r="AP1139" s="7"/>
      <c r="AQ1139" s="7"/>
      <c r="AS1139" s="36"/>
      <c r="AT1139" s="36"/>
      <c r="AU1139" s="35"/>
      <c r="AV1139" s="7"/>
      <c r="AW1139" s="7"/>
      <c r="AX1139" s="7"/>
      <c r="AY1139" s="7"/>
      <c r="AZ1139" s="7"/>
      <c r="BA1139" s="7"/>
      <c r="BB1139" s="7"/>
      <c r="BC1139" s="7"/>
      <c r="BF1139" s="7"/>
      <c r="BG1139" s="36"/>
      <c r="BH1139" s="36"/>
      <c r="BI1139" s="36"/>
      <c r="BJ1139" s="36"/>
      <c r="BK1139" s="36"/>
      <c r="BL1139" s="36"/>
      <c r="BM1139" s="36"/>
      <c r="BN1139" s="36"/>
      <c r="BO1139" s="36"/>
    </row>
    <row r="1140" spans="1:67" x14ac:dyDescent="0.25">
      <c r="A1140" s="39"/>
      <c r="B1140" s="40"/>
      <c r="U1140" s="36"/>
      <c r="V1140" s="36"/>
      <c r="W1140" s="35"/>
      <c r="X1140" s="7"/>
      <c r="Y1140" s="7"/>
      <c r="Z1140" s="7"/>
      <c r="AA1140" s="7"/>
      <c r="AB1140" s="7"/>
      <c r="AC1140" s="7"/>
      <c r="AD1140" s="7"/>
      <c r="AE1140" s="7"/>
      <c r="AG1140" s="36"/>
      <c r="AH1140" s="36"/>
      <c r="AI1140" s="35"/>
      <c r="AJ1140" s="7"/>
      <c r="AK1140" s="7"/>
      <c r="AL1140" s="7"/>
      <c r="AM1140" s="7"/>
      <c r="AN1140" s="7"/>
      <c r="AO1140" s="7"/>
      <c r="AP1140" s="7"/>
      <c r="AQ1140" s="7"/>
      <c r="AS1140" s="36"/>
      <c r="AT1140" s="36"/>
      <c r="AU1140" s="35"/>
      <c r="AV1140" s="7"/>
      <c r="AW1140" s="7"/>
      <c r="AX1140" s="7"/>
      <c r="AY1140" s="7"/>
      <c r="AZ1140" s="7"/>
      <c r="BA1140" s="7"/>
      <c r="BB1140" s="7"/>
      <c r="BC1140" s="7"/>
      <c r="BF1140" s="7"/>
      <c r="BG1140" s="36"/>
      <c r="BH1140" s="36"/>
      <c r="BI1140" s="36"/>
      <c r="BJ1140" s="36"/>
      <c r="BK1140" s="36"/>
      <c r="BL1140" s="36"/>
      <c r="BM1140" s="36"/>
      <c r="BN1140" s="36"/>
      <c r="BO1140" s="36"/>
    </row>
    <row r="1141" spans="1:67" x14ac:dyDescent="0.25">
      <c r="A1141" s="39"/>
      <c r="B1141" s="40"/>
      <c r="U1141" s="36"/>
      <c r="V1141" s="36"/>
      <c r="W1141" s="35"/>
      <c r="X1141" s="7"/>
      <c r="Y1141" s="7"/>
      <c r="Z1141" s="7"/>
      <c r="AA1141" s="7"/>
      <c r="AB1141" s="7"/>
      <c r="AC1141" s="7"/>
      <c r="AD1141" s="7"/>
      <c r="AE1141" s="7"/>
      <c r="AG1141" s="36"/>
      <c r="AH1141" s="36"/>
      <c r="AI1141" s="35"/>
      <c r="AJ1141" s="7"/>
      <c r="AK1141" s="7"/>
      <c r="AL1141" s="7"/>
      <c r="AM1141" s="7"/>
      <c r="AN1141" s="7"/>
      <c r="AO1141" s="7"/>
      <c r="AP1141" s="7"/>
      <c r="AQ1141" s="7"/>
      <c r="AS1141" s="36"/>
      <c r="AT1141" s="36"/>
      <c r="AU1141" s="35"/>
      <c r="AV1141" s="7"/>
      <c r="AW1141" s="7"/>
      <c r="AX1141" s="7"/>
      <c r="AY1141" s="7"/>
      <c r="AZ1141" s="7"/>
      <c r="BA1141" s="7"/>
      <c r="BB1141" s="7"/>
      <c r="BC1141" s="7"/>
      <c r="BF1141" s="7"/>
      <c r="BG1141" s="36"/>
      <c r="BH1141" s="36"/>
      <c r="BI1141" s="36"/>
      <c r="BJ1141" s="36"/>
      <c r="BK1141" s="36"/>
      <c r="BL1141" s="36"/>
      <c r="BM1141" s="36"/>
      <c r="BN1141" s="36"/>
      <c r="BO1141" s="36"/>
    </row>
    <row r="1142" spans="1:67" x14ac:dyDescent="0.25">
      <c r="A1142" s="39"/>
      <c r="B1142" s="40"/>
      <c r="U1142" s="36"/>
      <c r="V1142" s="36"/>
      <c r="W1142" s="35"/>
      <c r="X1142" s="7"/>
      <c r="Y1142" s="7"/>
      <c r="Z1142" s="7"/>
      <c r="AA1142" s="7"/>
      <c r="AB1142" s="7"/>
      <c r="AC1142" s="7"/>
      <c r="AD1142" s="7"/>
      <c r="AE1142" s="7"/>
      <c r="AG1142" s="36"/>
      <c r="AH1142" s="36"/>
      <c r="AI1142" s="35"/>
      <c r="AJ1142" s="7"/>
      <c r="AK1142" s="7"/>
      <c r="AL1142" s="7"/>
      <c r="AM1142" s="7"/>
      <c r="AN1142" s="7"/>
      <c r="AO1142" s="7"/>
      <c r="AP1142" s="7"/>
      <c r="AQ1142" s="7"/>
      <c r="AS1142" s="36"/>
      <c r="AT1142" s="36"/>
      <c r="AU1142" s="35"/>
      <c r="AV1142" s="7"/>
      <c r="AW1142" s="7"/>
      <c r="AX1142" s="7"/>
      <c r="AY1142" s="7"/>
      <c r="AZ1142" s="7"/>
      <c r="BA1142" s="7"/>
      <c r="BB1142" s="7"/>
      <c r="BC1142" s="7"/>
      <c r="BF1142" s="7"/>
      <c r="BG1142" s="36"/>
      <c r="BH1142" s="36"/>
      <c r="BI1142" s="36"/>
      <c r="BJ1142" s="36"/>
      <c r="BK1142" s="36"/>
      <c r="BL1142" s="36"/>
      <c r="BM1142" s="36"/>
      <c r="BN1142" s="36"/>
      <c r="BO1142" s="36"/>
    </row>
    <row r="1143" spans="1:67" x14ac:dyDescent="0.25">
      <c r="A1143" s="39"/>
      <c r="B1143" s="40"/>
      <c r="U1143" s="36"/>
      <c r="V1143" s="36"/>
      <c r="W1143" s="35"/>
      <c r="X1143" s="7"/>
      <c r="Y1143" s="7"/>
      <c r="Z1143" s="7"/>
      <c r="AA1143" s="7"/>
      <c r="AB1143" s="7"/>
      <c r="AC1143" s="7"/>
      <c r="AD1143" s="7"/>
      <c r="AE1143" s="7"/>
      <c r="AG1143" s="36"/>
      <c r="AH1143" s="36"/>
      <c r="AI1143" s="35"/>
      <c r="AJ1143" s="7"/>
      <c r="AK1143" s="7"/>
      <c r="AL1143" s="7"/>
      <c r="AM1143" s="7"/>
      <c r="AN1143" s="7"/>
      <c r="AO1143" s="7"/>
      <c r="AP1143" s="7"/>
      <c r="AQ1143" s="7"/>
      <c r="AS1143" s="36"/>
      <c r="AT1143" s="36"/>
      <c r="AU1143" s="35"/>
      <c r="AV1143" s="7"/>
      <c r="AW1143" s="7"/>
      <c r="AX1143" s="7"/>
      <c r="AY1143" s="7"/>
      <c r="AZ1143" s="7"/>
      <c r="BA1143" s="7"/>
      <c r="BB1143" s="7"/>
      <c r="BC1143" s="7"/>
      <c r="BF1143" s="7"/>
      <c r="BG1143" s="36"/>
      <c r="BH1143" s="36"/>
      <c r="BI1143" s="36"/>
      <c r="BJ1143" s="36"/>
      <c r="BK1143" s="36"/>
      <c r="BL1143" s="36"/>
      <c r="BM1143" s="36"/>
      <c r="BN1143" s="36"/>
      <c r="BO1143" s="36"/>
    </row>
    <row r="1144" spans="1:67" x14ac:dyDescent="0.25">
      <c r="A1144" s="39"/>
      <c r="B1144" s="40"/>
      <c r="U1144" s="36"/>
      <c r="V1144" s="36"/>
      <c r="W1144" s="35"/>
      <c r="X1144" s="7"/>
      <c r="Y1144" s="7"/>
      <c r="Z1144" s="7"/>
      <c r="AA1144" s="7"/>
      <c r="AB1144" s="7"/>
      <c r="AC1144" s="7"/>
      <c r="AD1144" s="7"/>
      <c r="AE1144" s="7"/>
      <c r="AG1144" s="36"/>
      <c r="AH1144" s="36"/>
      <c r="AI1144" s="35"/>
      <c r="AJ1144" s="7"/>
      <c r="AK1144" s="7"/>
      <c r="AL1144" s="7"/>
      <c r="AM1144" s="7"/>
      <c r="AN1144" s="7"/>
      <c r="AO1144" s="7"/>
      <c r="AP1144" s="7"/>
      <c r="AQ1144" s="7"/>
      <c r="AS1144" s="36"/>
      <c r="AT1144" s="36"/>
      <c r="AU1144" s="35"/>
      <c r="AV1144" s="7"/>
      <c r="AW1144" s="7"/>
      <c r="AX1144" s="7"/>
      <c r="AY1144" s="7"/>
      <c r="AZ1144" s="7"/>
      <c r="BA1144" s="7"/>
      <c r="BB1144" s="7"/>
      <c r="BC1144" s="7"/>
      <c r="BF1144" s="7"/>
      <c r="BG1144" s="36"/>
      <c r="BH1144" s="36"/>
      <c r="BI1144" s="36"/>
      <c r="BJ1144" s="36"/>
      <c r="BK1144" s="36"/>
      <c r="BL1144" s="36"/>
      <c r="BM1144" s="36"/>
      <c r="BN1144" s="36"/>
      <c r="BO1144" s="36"/>
    </row>
    <row r="1145" spans="1:67" x14ac:dyDescent="0.25">
      <c r="A1145" s="39"/>
      <c r="B1145" s="40"/>
      <c r="U1145" s="36"/>
      <c r="V1145" s="36"/>
      <c r="W1145" s="35"/>
      <c r="X1145" s="7"/>
      <c r="Y1145" s="7"/>
      <c r="Z1145" s="7"/>
      <c r="AA1145" s="7"/>
      <c r="AB1145" s="7"/>
      <c r="AC1145" s="7"/>
      <c r="AD1145" s="7"/>
      <c r="AE1145" s="7"/>
      <c r="AG1145" s="36"/>
      <c r="AH1145" s="36"/>
      <c r="AI1145" s="35"/>
      <c r="AJ1145" s="7"/>
      <c r="AK1145" s="7"/>
      <c r="AL1145" s="7"/>
      <c r="AM1145" s="7"/>
      <c r="AN1145" s="7"/>
      <c r="AO1145" s="7"/>
      <c r="AP1145" s="7"/>
      <c r="AQ1145" s="7"/>
      <c r="AS1145" s="36"/>
      <c r="AT1145" s="36"/>
      <c r="AU1145" s="35"/>
      <c r="AV1145" s="7"/>
      <c r="AW1145" s="7"/>
      <c r="AX1145" s="7"/>
      <c r="AY1145" s="7"/>
      <c r="AZ1145" s="7"/>
      <c r="BA1145" s="7"/>
      <c r="BB1145" s="7"/>
      <c r="BC1145" s="7"/>
      <c r="BF1145" s="7"/>
      <c r="BG1145" s="36"/>
      <c r="BH1145" s="36"/>
      <c r="BI1145" s="36"/>
      <c r="BJ1145" s="36"/>
      <c r="BK1145" s="36"/>
      <c r="BL1145" s="36"/>
      <c r="BM1145" s="36"/>
      <c r="BN1145" s="36"/>
      <c r="BO1145" s="36"/>
    </row>
    <row r="1146" spans="1:67" x14ac:dyDescent="0.25">
      <c r="A1146" s="39"/>
      <c r="B1146" s="40"/>
      <c r="U1146" s="36"/>
      <c r="V1146" s="36"/>
      <c r="W1146" s="35"/>
      <c r="X1146" s="7"/>
      <c r="Y1146" s="7"/>
      <c r="Z1146" s="7"/>
      <c r="AA1146" s="7"/>
      <c r="AB1146" s="7"/>
      <c r="AC1146" s="7"/>
      <c r="AD1146" s="7"/>
      <c r="AE1146" s="7"/>
      <c r="AG1146" s="36"/>
      <c r="AH1146" s="36"/>
      <c r="AI1146" s="35"/>
      <c r="AJ1146" s="7"/>
      <c r="AK1146" s="7"/>
      <c r="AL1146" s="7"/>
      <c r="AM1146" s="7"/>
      <c r="AN1146" s="7"/>
      <c r="AO1146" s="7"/>
      <c r="AP1146" s="7"/>
      <c r="AQ1146" s="7"/>
      <c r="AS1146" s="36"/>
      <c r="AT1146" s="36"/>
      <c r="AU1146" s="35"/>
      <c r="AV1146" s="7"/>
      <c r="AW1146" s="7"/>
      <c r="AX1146" s="7"/>
      <c r="AY1146" s="7"/>
      <c r="AZ1146" s="7"/>
      <c r="BA1146" s="7"/>
      <c r="BB1146" s="7"/>
      <c r="BC1146" s="7"/>
      <c r="BF1146" s="7"/>
      <c r="BG1146" s="36"/>
      <c r="BH1146" s="36"/>
      <c r="BI1146" s="36"/>
      <c r="BJ1146" s="36"/>
      <c r="BK1146" s="36"/>
      <c r="BL1146" s="36"/>
      <c r="BM1146" s="36"/>
      <c r="BN1146" s="36"/>
      <c r="BO1146" s="36"/>
    </row>
    <row r="1147" spans="1:67" x14ac:dyDescent="0.25">
      <c r="A1147" s="39"/>
      <c r="B1147" s="40"/>
      <c r="U1147" s="36"/>
      <c r="V1147" s="36"/>
      <c r="W1147" s="35"/>
      <c r="X1147" s="7"/>
      <c r="Y1147" s="7"/>
      <c r="Z1147" s="7"/>
      <c r="AA1147" s="7"/>
      <c r="AB1147" s="7"/>
      <c r="AC1147" s="7"/>
      <c r="AD1147" s="7"/>
      <c r="AE1147" s="7"/>
      <c r="AG1147" s="36"/>
      <c r="AH1147" s="36"/>
      <c r="AI1147" s="35"/>
      <c r="AJ1147" s="7"/>
      <c r="AK1147" s="7"/>
      <c r="AL1147" s="7"/>
      <c r="AM1147" s="7"/>
      <c r="AN1147" s="7"/>
      <c r="AO1147" s="7"/>
      <c r="AP1147" s="7"/>
      <c r="AQ1147" s="7"/>
      <c r="AS1147" s="36"/>
      <c r="AT1147" s="36"/>
      <c r="AU1147" s="35"/>
      <c r="AV1147" s="7"/>
      <c r="AW1147" s="7"/>
      <c r="AX1147" s="7"/>
      <c r="AY1147" s="7"/>
      <c r="AZ1147" s="7"/>
      <c r="BA1147" s="7"/>
      <c r="BB1147" s="7"/>
      <c r="BC1147" s="7"/>
      <c r="BF1147" s="7"/>
      <c r="BG1147" s="36"/>
      <c r="BH1147" s="36"/>
      <c r="BI1147" s="36"/>
      <c r="BJ1147" s="36"/>
      <c r="BK1147" s="36"/>
      <c r="BL1147" s="36"/>
      <c r="BM1147" s="36"/>
      <c r="BN1147" s="36"/>
      <c r="BO1147" s="36"/>
    </row>
    <row r="1148" spans="1:67" x14ac:dyDescent="0.25">
      <c r="A1148" s="39"/>
      <c r="B1148" s="40"/>
      <c r="U1148" s="36"/>
      <c r="V1148" s="36"/>
      <c r="W1148" s="35"/>
      <c r="X1148" s="7"/>
      <c r="Y1148" s="7"/>
      <c r="Z1148" s="7"/>
      <c r="AA1148" s="7"/>
      <c r="AB1148" s="7"/>
      <c r="AC1148" s="7"/>
      <c r="AD1148" s="7"/>
      <c r="AE1148" s="7"/>
      <c r="AG1148" s="36"/>
      <c r="AH1148" s="36"/>
      <c r="AI1148" s="35"/>
      <c r="AJ1148" s="7"/>
      <c r="AK1148" s="7"/>
      <c r="AL1148" s="7"/>
      <c r="AM1148" s="7"/>
      <c r="AN1148" s="7"/>
      <c r="AO1148" s="7"/>
      <c r="AP1148" s="7"/>
      <c r="AQ1148" s="7"/>
      <c r="AS1148" s="36"/>
      <c r="AT1148" s="36"/>
      <c r="AU1148" s="35"/>
      <c r="AV1148" s="7"/>
      <c r="AW1148" s="7"/>
      <c r="AX1148" s="7"/>
      <c r="AY1148" s="7"/>
      <c r="AZ1148" s="7"/>
      <c r="BA1148" s="7"/>
      <c r="BB1148" s="7"/>
      <c r="BC1148" s="7"/>
      <c r="BF1148" s="7"/>
      <c r="BG1148" s="36"/>
      <c r="BH1148" s="36"/>
      <c r="BI1148" s="36"/>
      <c r="BJ1148" s="36"/>
      <c r="BK1148" s="36"/>
      <c r="BL1148" s="36"/>
      <c r="BM1148" s="36"/>
      <c r="BN1148" s="36"/>
      <c r="BO1148" s="36"/>
    </row>
    <row r="1149" spans="1:67" x14ac:dyDescent="0.25">
      <c r="A1149" s="39"/>
      <c r="B1149" s="40"/>
      <c r="U1149" s="36"/>
      <c r="V1149" s="36"/>
      <c r="W1149" s="35"/>
      <c r="X1149" s="7"/>
      <c r="Y1149" s="7"/>
      <c r="Z1149" s="7"/>
      <c r="AA1149" s="7"/>
      <c r="AB1149" s="7"/>
      <c r="AC1149" s="7"/>
      <c r="AD1149" s="7"/>
      <c r="AE1149" s="7"/>
      <c r="AG1149" s="36"/>
      <c r="AH1149" s="36"/>
      <c r="AI1149" s="35"/>
      <c r="AJ1149" s="7"/>
      <c r="AK1149" s="7"/>
      <c r="AL1149" s="7"/>
      <c r="AM1149" s="7"/>
      <c r="AN1149" s="7"/>
      <c r="AO1149" s="7"/>
      <c r="AP1149" s="7"/>
      <c r="AQ1149" s="7"/>
      <c r="AS1149" s="36"/>
      <c r="AT1149" s="36"/>
      <c r="AU1149" s="35"/>
      <c r="AV1149" s="7"/>
      <c r="AW1149" s="7"/>
      <c r="AX1149" s="7"/>
      <c r="AY1149" s="7"/>
      <c r="AZ1149" s="7"/>
      <c r="BA1149" s="7"/>
      <c r="BB1149" s="7"/>
      <c r="BC1149" s="7"/>
      <c r="BF1149" s="7"/>
      <c r="BG1149" s="36"/>
      <c r="BH1149" s="36"/>
      <c r="BI1149" s="36"/>
      <c r="BJ1149" s="36"/>
      <c r="BK1149" s="36"/>
      <c r="BL1149" s="36"/>
      <c r="BM1149" s="36"/>
      <c r="BN1149" s="36"/>
      <c r="BO1149" s="36"/>
    </row>
    <row r="1150" spans="1:67" x14ac:dyDescent="0.25">
      <c r="A1150" s="39"/>
      <c r="B1150" s="40"/>
      <c r="U1150" s="36"/>
      <c r="V1150" s="36"/>
      <c r="W1150" s="35"/>
      <c r="X1150" s="7"/>
      <c r="Y1150" s="7"/>
      <c r="Z1150" s="7"/>
      <c r="AA1150" s="7"/>
      <c r="AB1150" s="7"/>
      <c r="AC1150" s="7"/>
      <c r="AD1150" s="7"/>
      <c r="AE1150" s="7"/>
      <c r="AG1150" s="36"/>
      <c r="AH1150" s="36"/>
      <c r="AI1150" s="35"/>
      <c r="AJ1150" s="7"/>
      <c r="AK1150" s="7"/>
      <c r="AL1150" s="7"/>
      <c r="AM1150" s="7"/>
      <c r="AN1150" s="7"/>
      <c r="AO1150" s="7"/>
      <c r="AP1150" s="7"/>
      <c r="AQ1150" s="7"/>
      <c r="AS1150" s="36"/>
      <c r="AT1150" s="36"/>
      <c r="AU1150" s="35"/>
      <c r="AV1150" s="7"/>
      <c r="AW1150" s="7"/>
      <c r="AX1150" s="7"/>
      <c r="AY1150" s="7"/>
      <c r="AZ1150" s="7"/>
      <c r="BA1150" s="7"/>
      <c r="BB1150" s="7"/>
      <c r="BC1150" s="7"/>
      <c r="BF1150" s="7"/>
      <c r="BG1150" s="36"/>
      <c r="BH1150" s="36"/>
      <c r="BI1150" s="36"/>
      <c r="BJ1150" s="36"/>
      <c r="BK1150" s="36"/>
      <c r="BL1150" s="36"/>
      <c r="BM1150" s="36"/>
      <c r="BN1150" s="36"/>
      <c r="BO1150" s="36"/>
    </row>
    <row r="1151" spans="1:67" x14ac:dyDescent="0.25">
      <c r="A1151" s="39"/>
      <c r="B1151" s="40"/>
      <c r="U1151" s="36"/>
      <c r="V1151" s="36"/>
      <c r="W1151" s="35"/>
      <c r="X1151" s="7"/>
      <c r="Y1151" s="7"/>
      <c r="Z1151" s="7"/>
      <c r="AA1151" s="7"/>
      <c r="AB1151" s="7"/>
      <c r="AC1151" s="7"/>
      <c r="AD1151" s="7"/>
      <c r="AE1151" s="7"/>
      <c r="AG1151" s="36"/>
      <c r="AH1151" s="36"/>
      <c r="AI1151" s="35"/>
      <c r="AJ1151" s="7"/>
      <c r="AK1151" s="7"/>
      <c r="AL1151" s="7"/>
      <c r="AM1151" s="7"/>
      <c r="AN1151" s="7"/>
      <c r="AO1151" s="7"/>
      <c r="AP1151" s="7"/>
      <c r="AQ1151" s="7"/>
      <c r="AS1151" s="36"/>
      <c r="AT1151" s="36"/>
      <c r="AU1151" s="35"/>
      <c r="AV1151" s="7"/>
      <c r="AW1151" s="7"/>
      <c r="AX1151" s="7"/>
      <c r="AY1151" s="7"/>
      <c r="AZ1151" s="7"/>
      <c r="BA1151" s="7"/>
      <c r="BB1151" s="7"/>
      <c r="BC1151" s="7"/>
      <c r="BF1151" s="7"/>
      <c r="BG1151" s="36"/>
      <c r="BH1151" s="36"/>
      <c r="BI1151" s="36"/>
      <c r="BJ1151" s="36"/>
      <c r="BK1151" s="36"/>
      <c r="BL1151" s="36"/>
      <c r="BM1151" s="36"/>
      <c r="BN1151" s="36"/>
      <c r="BO1151" s="36"/>
    </row>
    <row r="1152" spans="1:67" x14ac:dyDescent="0.25">
      <c r="A1152" s="39"/>
      <c r="B1152" s="40"/>
      <c r="U1152" s="36"/>
      <c r="V1152" s="36"/>
      <c r="W1152" s="35"/>
      <c r="X1152" s="7"/>
      <c r="Y1152" s="7"/>
      <c r="Z1152" s="7"/>
      <c r="AA1152" s="7"/>
      <c r="AB1152" s="7"/>
      <c r="AC1152" s="7"/>
      <c r="AD1152" s="7"/>
      <c r="AE1152" s="7"/>
      <c r="AG1152" s="36"/>
      <c r="AH1152" s="36"/>
      <c r="AI1152" s="35"/>
      <c r="AJ1152" s="7"/>
      <c r="AK1152" s="7"/>
      <c r="AL1152" s="7"/>
      <c r="AM1152" s="7"/>
      <c r="AN1152" s="7"/>
      <c r="AO1152" s="7"/>
      <c r="AP1152" s="7"/>
      <c r="AQ1152" s="7"/>
      <c r="AS1152" s="36"/>
      <c r="AT1152" s="36"/>
      <c r="AU1152" s="35"/>
      <c r="AV1152" s="7"/>
      <c r="AW1152" s="7"/>
      <c r="AX1152" s="7"/>
      <c r="AY1152" s="7"/>
      <c r="AZ1152" s="7"/>
      <c r="BA1152" s="7"/>
      <c r="BB1152" s="7"/>
      <c r="BC1152" s="7"/>
      <c r="BF1152" s="7"/>
      <c r="BG1152" s="36"/>
      <c r="BH1152" s="36"/>
      <c r="BI1152" s="36"/>
      <c r="BJ1152" s="36"/>
      <c r="BK1152" s="36"/>
      <c r="BL1152" s="36"/>
      <c r="BM1152" s="36"/>
      <c r="BN1152" s="36"/>
      <c r="BO1152" s="36"/>
    </row>
    <row r="1153" spans="1:67" x14ac:dyDescent="0.25">
      <c r="A1153" s="39"/>
      <c r="B1153" s="40"/>
      <c r="U1153" s="36"/>
      <c r="V1153" s="36"/>
      <c r="W1153" s="35"/>
      <c r="X1153" s="7"/>
      <c r="Y1153" s="7"/>
      <c r="Z1153" s="7"/>
      <c r="AA1153" s="7"/>
      <c r="AB1153" s="7"/>
      <c r="AC1153" s="7"/>
      <c r="AD1153" s="7"/>
      <c r="AE1153" s="7"/>
      <c r="AG1153" s="36"/>
      <c r="AH1153" s="36"/>
      <c r="AI1153" s="35"/>
      <c r="AJ1153" s="7"/>
      <c r="AK1153" s="7"/>
      <c r="AL1153" s="7"/>
      <c r="AM1153" s="7"/>
      <c r="AN1153" s="7"/>
      <c r="AO1153" s="7"/>
      <c r="AP1153" s="7"/>
      <c r="AQ1153" s="7"/>
      <c r="AS1153" s="36"/>
      <c r="AT1153" s="36"/>
      <c r="AU1153" s="35"/>
      <c r="AV1153" s="7"/>
      <c r="AW1153" s="7"/>
      <c r="AX1153" s="7"/>
      <c r="AY1153" s="7"/>
      <c r="AZ1153" s="7"/>
      <c r="BA1153" s="7"/>
      <c r="BB1153" s="7"/>
      <c r="BC1153" s="7"/>
      <c r="BF1153" s="7"/>
      <c r="BG1153" s="36"/>
      <c r="BH1153" s="36"/>
      <c r="BI1153" s="36"/>
      <c r="BJ1153" s="36"/>
      <c r="BK1153" s="36"/>
      <c r="BL1153" s="36"/>
      <c r="BM1153" s="36"/>
      <c r="BN1153" s="36"/>
      <c r="BO1153" s="36"/>
    </row>
    <row r="1154" spans="1:67" x14ac:dyDescent="0.25">
      <c r="A1154" s="39"/>
      <c r="B1154" s="40"/>
      <c r="U1154" s="36"/>
      <c r="V1154" s="36"/>
      <c r="W1154" s="35"/>
      <c r="X1154" s="7"/>
      <c r="Y1154" s="7"/>
      <c r="Z1154" s="7"/>
      <c r="AA1154" s="7"/>
      <c r="AB1154" s="7"/>
      <c r="AC1154" s="7"/>
      <c r="AD1154" s="7"/>
      <c r="AE1154" s="7"/>
      <c r="AG1154" s="36"/>
      <c r="AH1154" s="36"/>
      <c r="AI1154" s="35"/>
      <c r="AJ1154" s="7"/>
      <c r="AK1154" s="7"/>
      <c r="AL1154" s="7"/>
      <c r="AM1154" s="7"/>
      <c r="AN1154" s="7"/>
      <c r="AO1154" s="7"/>
      <c r="AP1154" s="7"/>
      <c r="AQ1154" s="7"/>
      <c r="AS1154" s="36"/>
      <c r="AT1154" s="36"/>
      <c r="AU1154" s="35"/>
      <c r="AV1154" s="7"/>
      <c r="AW1154" s="7"/>
      <c r="AX1154" s="7"/>
      <c r="AY1154" s="7"/>
      <c r="AZ1154" s="7"/>
      <c r="BA1154" s="7"/>
      <c r="BB1154" s="7"/>
      <c r="BC1154" s="7"/>
      <c r="BF1154" s="7"/>
      <c r="BG1154" s="36"/>
      <c r="BH1154" s="36"/>
      <c r="BI1154" s="36"/>
      <c r="BJ1154" s="36"/>
      <c r="BK1154" s="36"/>
      <c r="BL1154" s="36"/>
      <c r="BM1154" s="36"/>
      <c r="BN1154" s="36"/>
      <c r="BO1154" s="36"/>
    </row>
    <row r="1155" spans="1:67" x14ac:dyDescent="0.25">
      <c r="A1155" s="39"/>
      <c r="B1155" s="40"/>
      <c r="U1155" s="36"/>
      <c r="V1155" s="36"/>
      <c r="W1155" s="35"/>
      <c r="X1155" s="7"/>
      <c r="Y1155" s="7"/>
      <c r="Z1155" s="7"/>
      <c r="AA1155" s="7"/>
      <c r="AB1155" s="7"/>
      <c r="AC1155" s="7"/>
      <c r="AD1155" s="7"/>
      <c r="AE1155" s="7"/>
      <c r="AG1155" s="36"/>
      <c r="AH1155" s="36"/>
      <c r="AI1155" s="35"/>
      <c r="AJ1155" s="7"/>
      <c r="AK1155" s="7"/>
      <c r="AL1155" s="7"/>
      <c r="AM1155" s="7"/>
      <c r="AN1155" s="7"/>
      <c r="AO1155" s="7"/>
      <c r="AP1155" s="7"/>
      <c r="AQ1155" s="7"/>
      <c r="AS1155" s="36"/>
      <c r="AT1155" s="36"/>
      <c r="AU1155" s="35"/>
      <c r="AV1155" s="7"/>
      <c r="AW1155" s="7"/>
      <c r="AX1155" s="7"/>
      <c r="AY1155" s="7"/>
      <c r="AZ1155" s="7"/>
      <c r="BA1155" s="7"/>
      <c r="BB1155" s="7"/>
      <c r="BC1155" s="7"/>
      <c r="BF1155" s="7"/>
      <c r="BG1155" s="36"/>
      <c r="BH1155" s="36"/>
      <c r="BI1155" s="36"/>
      <c r="BJ1155" s="36"/>
      <c r="BK1155" s="36"/>
      <c r="BL1155" s="36"/>
      <c r="BM1155" s="36"/>
      <c r="BN1155" s="36"/>
      <c r="BO1155" s="36"/>
    </row>
    <row r="1156" spans="1:67" x14ac:dyDescent="0.25">
      <c r="A1156" s="39"/>
      <c r="B1156" s="40"/>
      <c r="U1156" s="36"/>
      <c r="V1156" s="36"/>
      <c r="W1156" s="35"/>
      <c r="X1156" s="7"/>
      <c r="Y1156" s="7"/>
      <c r="Z1156" s="7"/>
      <c r="AA1156" s="7"/>
      <c r="AB1156" s="7"/>
      <c r="AC1156" s="7"/>
      <c r="AD1156" s="7"/>
      <c r="AE1156" s="7"/>
      <c r="AG1156" s="36"/>
      <c r="AH1156" s="36"/>
      <c r="AI1156" s="35"/>
      <c r="AJ1156" s="7"/>
      <c r="AK1156" s="7"/>
      <c r="AL1156" s="7"/>
      <c r="AM1156" s="7"/>
      <c r="AN1156" s="7"/>
      <c r="AO1156" s="7"/>
      <c r="AP1156" s="7"/>
      <c r="AQ1156" s="7"/>
      <c r="AS1156" s="36"/>
      <c r="AT1156" s="36"/>
      <c r="AU1156" s="35"/>
      <c r="AV1156" s="7"/>
      <c r="AW1156" s="7"/>
      <c r="AX1156" s="7"/>
      <c r="AY1156" s="7"/>
      <c r="AZ1156" s="7"/>
      <c r="BA1156" s="7"/>
      <c r="BB1156" s="7"/>
      <c r="BC1156" s="7"/>
      <c r="BF1156" s="7"/>
      <c r="BG1156" s="36"/>
      <c r="BH1156" s="36"/>
      <c r="BI1156" s="36"/>
      <c r="BJ1156" s="36"/>
      <c r="BK1156" s="36"/>
      <c r="BL1156" s="36"/>
      <c r="BM1156" s="36"/>
      <c r="BN1156" s="36"/>
      <c r="BO1156" s="36"/>
    </row>
    <row r="1157" spans="1:67" x14ac:dyDescent="0.25">
      <c r="A1157" s="39"/>
      <c r="B1157" s="40"/>
      <c r="U1157" s="36"/>
      <c r="V1157" s="36"/>
      <c r="W1157" s="35"/>
      <c r="X1157" s="7"/>
      <c r="Y1157" s="7"/>
      <c r="Z1157" s="7"/>
      <c r="AA1157" s="7"/>
      <c r="AB1157" s="7"/>
      <c r="AC1157" s="7"/>
      <c r="AD1157" s="7"/>
      <c r="AE1157" s="7"/>
      <c r="AG1157" s="36"/>
      <c r="AH1157" s="36"/>
      <c r="AI1157" s="35"/>
      <c r="AJ1157" s="7"/>
      <c r="AK1157" s="7"/>
      <c r="AL1157" s="7"/>
      <c r="AM1157" s="7"/>
      <c r="AN1157" s="7"/>
      <c r="AO1157" s="7"/>
      <c r="AP1157" s="7"/>
      <c r="AQ1157" s="7"/>
      <c r="AS1157" s="36"/>
      <c r="AT1157" s="36"/>
      <c r="AU1157" s="35"/>
      <c r="AV1157" s="7"/>
      <c r="AW1157" s="7"/>
      <c r="AX1157" s="7"/>
      <c r="AY1157" s="7"/>
      <c r="AZ1157" s="7"/>
      <c r="BA1157" s="7"/>
      <c r="BB1157" s="7"/>
      <c r="BC1157" s="7"/>
      <c r="BF1157" s="7"/>
      <c r="BG1157" s="36"/>
      <c r="BH1157" s="36"/>
      <c r="BI1157" s="36"/>
      <c r="BJ1157" s="36"/>
      <c r="BK1157" s="36"/>
      <c r="BL1157" s="36"/>
      <c r="BM1157" s="36"/>
      <c r="BN1157" s="36"/>
      <c r="BO1157" s="36"/>
    </row>
    <row r="1158" spans="1:67" x14ac:dyDescent="0.25">
      <c r="A1158" s="39"/>
      <c r="B1158" s="40"/>
      <c r="U1158" s="36"/>
      <c r="V1158" s="36"/>
      <c r="W1158" s="35"/>
      <c r="X1158" s="7"/>
      <c r="Y1158" s="7"/>
      <c r="Z1158" s="7"/>
      <c r="AA1158" s="7"/>
      <c r="AB1158" s="7"/>
      <c r="AC1158" s="7"/>
      <c r="AD1158" s="7"/>
      <c r="AE1158" s="7"/>
      <c r="AG1158" s="36"/>
      <c r="AH1158" s="36"/>
      <c r="AI1158" s="35"/>
      <c r="AJ1158" s="7"/>
      <c r="AK1158" s="7"/>
      <c r="AL1158" s="7"/>
      <c r="AM1158" s="7"/>
      <c r="AN1158" s="7"/>
      <c r="AO1158" s="7"/>
      <c r="AP1158" s="7"/>
      <c r="AQ1158" s="7"/>
      <c r="AS1158" s="36"/>
      <c r="AT1158" s="36"/>
      <c r="AU1158" s="35"/>
      <c r="AV1158" s="7"/>
      <c r="AW1158" s="7"/>
      <c r="AX1158" s="7"/>
      <c r="AY1158" s="7"/>
      <c r="AZ1158" s="7"/>
      <c r="BA1158" s="7"/>
      <c r="BB1158" s="7"/>
      <c r="BC1158" s="7"/>
      <c r="BF1158" s="7"/>
      <c r="BG1158" s="36"/>
      <c r="BH1158" s="36"/>
      <c r="BI1158" s="36"/>
      <c r="BJ1158" s="36"/>
      <c r="BK1158" s="36"/>
      <c r="BL1158" s="36"/>
      <c r="BM1158" s="36"/>
      <c r="BN1158" s="36"/>
      <c r="BO1158" s="36"/>
    </row>
    <row r="1159" spans="1:67" x14ac:dyDescent="0.25">
      <c r="A1159" s="39"/>
      <c r="B1159" s="40"/>
      <c r="U1159" s="36"/>
      <c r="V1159" s="36"/>
      <c r="W1159" s="35"/>
      <c r="X1159" s="7"/>
      <c r="Y1159" s="7"/>
      <c r="Z1159" s="7"/>
      <c r="AA1159" s="7"/>
      <c r="AB1159" s="7"/>
      <c r="AC1159" s="7"/>
      <c r="AD1159" s="7"/>
      <c r="AE1159" s="7"/>
      <c r="AG1159" s="36"/>
      <c r="AH1159" s="36"/>
      <c r="AI1159" s="35"/>
      <c r="AJ1159" s="7"/>
      <c r="AK1159" s="7"/>
      <c r="AL1159" s="7"/>
      <c r="AM1159" s="7"/>
      <c r="AN1159" s="7"/>
      <c r="AO1159" s="7"/>
      <c r="AP1159" s="7"/>
      <c r="AQ1159" s="7"/>
      <c r="AS1159" s="36"/>
      <c r="AT1159" s="36"/>
      <c r="AU1159" s="35"/>
      <c r="AV1159" s="7"/>
      <c r="AW1159" s="7"/>
      <c r="AX1159" s="7"/>
      <c r="AY1159" s="7"/>
      <c r="AZ1159" s="7"/>
      <c r="BA1159" s="7"/>
      <c r="BB1159" s="7"/>
      <c r="BC1159" s="7"/>
      <c r="BF1159" s="7"/>
      <c r="BG1159" s="36"/>
      <c r="BH1159" s="36"/>
      <c r="BI1159" s="36"/>
      <c r="BJ1159" s="36"/>
      <c r="BK1159" s="36"/>
      <c r="BL1159" s="36"/>
      <c r="BM1159" s="36"/>
      <c r="BN1159" s="36"/>
      <c r="BO1159" s="36"/>
    </row>
    <row r="1160" spans="1:67" x14ac:dyDescent="0.25">
      <c r="A1160" s="39"/>
      <c r="B1160" s="40"/>
      <c r="U1160" s="36"/>
      <c r="V1160" s="36"/>
      <c r="W1160" s="35"/>
      <c r="X1160" s="7"/>
      <c r="Y1160" s="7"/>
      <c r="Z1160" s="7"/>
      <c r="AA1160" s="7"/>
      <c r="AB1160" s="7"/>
      <c r="AC1160" s="7"/>
      <c r="AD1160" s="7"/>
      <c r="AE1160" s="7"/>
      <c r="AG1160" s="36"/>
      <c r="AH1160" s="36"/>
      <c r="AI1160" s="35"/>
      <c r="AJ1160" s="7"/>
      <c r="AK1160" s="7"/>
      <c r="AL1160" s="7"/>
      <c r="AM1160" s="7"/>
      <c r="AN1160" s="7"/>
      <c r="AO1160" s="7"/>
      <c r="AP1160" s="7"/>
      <c r="AQ1160" s="7"/>
      <c r="AS1160" s="36"/>
      <c r="AT1160" s="36"/>
      <c r="AU1160" s="35"/>
      <c r="AV1160" s="7"/>
      <c r="AW1160" s="7"/>
      <c r="AX1160" s="7"/>
      <c r="AY1160" s="7"/>
      <c r="AZ1160" s="7"/>
      <c r="BA1160" s="7"/>
      <c r="BB1160" s="7"/>
      <c r="BC1160" s="7"/>
      <c r="BF1160" s="7"/>
      <c r="BG1160" s="36"/>
      <c r="BH1160" s="36"/>
      <c r="BI1160" s="36"/>
      <c r="BJ1160" s="36"/>
      <c r="BK1160" s="36"/>
      <c r="BL1160" s="36"/>
      <c r="BM1160" s="36"/>
      <c r="BN1160" s="36"/>
      <c r="BO1160" s="36"/>
    </row>
    <row r="1161" spans="1:67" x14ac:dyDescent="0.25">
      <c r="A1161" s="39"/>
      <c r="B1161" s="40"/>
      <c r="U1161" s="36"/>
      <c r="V1161" s="36"/>
      <c r="W1161" s="35"/>
      <c r="X1161" s="7"/>
      <c r="Y1161" s="7"/>
      <c r="Z1161" s="7"/>
      <c r="AA1161" s="7"/>
      <c r="AB1161" s="7"/>
      <c r="AC1161" s="7"/>
      <c r="AD1161" s="7"/>
      <c r="AE1161" s="7"/>
      <c r="AG1161" s="36"/>
      <c r="AH1161" s="36"/>
      <c r="AI1161" s="35"/>
      <c r="AJ1161" s="7"/>
      <c r="AK1161" s="7"/>
      <c r="AL1161" s="7"/>
      <c r="AM1161" s="7"/>
      <c r="AN1161" s="7"/>
      <c r="AO1161" s="7"/>
      <c r="AP1161" s="7"/>
      <c r="AQ1161" s="7"/>
      <c r="AS1161" s="36"/>
      <c r="AT1161" s="36"/>
      <c r="AU1161" s="35"/>
      <c r="AV1161" s="7"/>
      <c r="AW1161" s="7"/>
      <c r="AX1161" s="7"/>
      <c r="AY1161" s="7"/>
      <c r="AZ1161" s="7"/>
      <c r="BA1161" s="7"/>
      <c r="BB1161" s="7"/>
      <c r="BC1161" s="7"/>
      <c r="BF1161" s="7"/>
      <c r="BG1161" s="36"/>
      <c r="BH1161" s="36"/>
      <c r="BI1161" s="36"/>
      <c r="BJ1161" s="36"/>
      <c r="BK1161" s="36"/>
      <c r="BL1161" s="36"/>
      <c r="BM1161" s="36"/>
      <c r="BN1161" s="36"/>
      <c r="BO1161" s="36"/>
    </row>
    <row r="1162" spans="1:67" x14ac:dyDescent="0.25">
      <c r="A1162" s="39"/>
      <c r="B1162" s="40"/>
      <c r="U1162" s="36"/>
      <c r="V1162" s="36"/>
      <c r="W1162" s="35"/>
      <c r="X1162" s="7"/>
      <c r="Y1162" s="7"/>
      <c r="Z1162" s="7"/>
      <c r="AA1162" s="7"/>
      <c r="AB1162" s="7"/>
      <c r="AC1162" s="7"/>
      <c r="AD1162" s="7"/>
      <c r="AE1162" s="7"/>
      <c r="AG1162" s="36"/>
      <c r="AH1162" s="36"/>
      <c r="AI1162" s="35"/>
      <c r="AJ1162" s="7"/>
      <c r="AK1162" s="7"/>
      <c r="AL1162" s="7"/>
      <c r="AM1162" s="7"/>
      <c r="AN1162" s="7"/>
      <c r="AO1162" s="7"/>
      <c r="AP1162" s="7"/>
      <c r="AQ1162" s="7"/>
      <c r="AS1162" s="36"/>
      <c r="AT1162" s="36"/>
      <c r="AU1162" s="35"/>
      <c r="AV1162" s="7"/>
      <c r="AW1162" s="7"/>
      <c r="AX1162" s="7"/>
      <c r="AY1162" s="7"/>
      <c r="AZ1162" s="7"/>
      <c r="BA1162" s="7"/>
      <c r="BB1162" s="7"/>
      <c r="BC1162" s="7"/>
      <c r="BF1162" s="7"/>
      <c r="BG1162" s="36"/>
      <c r="BH1162" s="36"/>
      <c r="BI1162" s="36"/>
      <c r="BJ1162" s="36"/>
      <c r="BK1162" s="36"/>
      <c r="BL1162" s="36"/>
      <c r="BM1162" s="36"/>
      <c r="BN1162" s="36"/>
      <c r="BO1162" s="36"/>
    </row>
    <row r="1163" spans="1:67" x14ac:dyDescent="0.25">
      <c r="A1163" s="39"/>
      <c r="B1163" s="40"/>
      <c r="U1163" s="36"/>
      <c r="V1163" s="36"/>
      <c r="W1163" s="35"/>
      <c r="X1163" s="7"/>
      <c r="Y1163" s="7"/>
      <c r="Z1163" s="7"/>
      <c r="AA1163" s="7"/>
      <c r="AB1163" s="7"/>
      <c r="AC1163" s="7"/>
      <c r="AD1163" s="7"/>
      <c r="AE1163" s="7"/>
      <c r="AG1163" s="36"/>
      <c r="AH1163" s="36"/>
      <c r="AI1163" s="35"/>
      <c r="AJ1163" s="7"/>
      <c r="AK1163" s="7"/>
      <c r="AL1163" s="7"/>
      <c r="AM1163" s="7"/>
      <c r="AN1163" s="7"/>
      <c r="AO1163" s="7"/>
      <c r="AP1163" s="7"/>
      <c r="AQ1163" s="7"/>
      <c r="AS1163" s="36"/>
      <c r="AT1163" s="36"/>
      <c r="AU1163" s="35"/>
      <c r="AV1163" s="7"/>
      <c r="AW1163" s="7"/>
      <c r="AX1163" s="7"/>
      <c r="AY1163" s="7"/>
      <c r="AZ1163" s="7"/>
      <c r="BA1163" s="7"/>
      <c r="BB1163" s="7"/>
      <c r="BC1163" s="7"/>
      <c r="BF1163" s="7"/>
      <c r="BG1163" s="36"/>
      <c r="BH1163" s="36"/>
      <c r="BI1163" s="36"/>
      <c r="BJ1163" s="36"/>
      <c r="BK1163" s="36"/>
      <c r="BL1163" s="36"/>
      <c r="BM1163" s="36"/>
      <c r="BN1163" s="36"/>
      <c r="BO1163" s="36"/>
    </row>
    <row r="1164" spans="1:67" x14ac:dyDescent="0.25">
      <c r="A1164" s="39"/>
      <c r="B1164" s="40"/>
      <c r="U1164" s="36"/>
      <c r="V1164" s="36"/>
      <c r="W1164" s="35"/>
      <c r="X1164" s="7"/>
      <c r="Y1164" s="7"/>
      <c r="Z1164" s="7"/>
      <c r="AA1164" s="7"/>
      <c r="AB1164" s="7"/>
      <c r="AC1164" s="7"/>
      <c r="AD1164" s="7"/>
      <c r="AE1164" s="7"/>
      <c r="AG1164" s="36"/>
      <c r="AH1164" s="36"/>
      <c r="AI1164" s="35"/>
      <c r="AJ1164" s="7"/>
      <c r="AK1164" s="7"/>
      <c r="AL1164" s="7"/>
      <c r="AM1164" s="7"/>
      <c r="AN1164" s="7"/>
      <c r="AO1164" s="7"/>
      <c r="AP1164" s="7"/>
      <c r="AQ1164" s="7"/>
      <c r="AS1164" s="36"/>
      <c r="AT1164" s="36"/>
      <c r="AU1164" s="35"/>
      <c r="AV1164" s="7"/>
      <c r="AW1164" s="7"/>
      <c r="AX1164" s="7"/>
      <c r="AY1164" s="7"/>
      <c r="AZ1164" s="7"/>
      <c r="BA1164" s="7"/>
      <c r="BB1164" s="7"/>
      <c r="BC1164" s="7"/>
      <c r="BF1164" s="7"/>
      <c r="BG1164" s="36"/>
      <c r="BH1164" s="36"/>
      <c r="BI1164" s="36"/>
      <c r="BJ1164" s="36"/>
      <c r="BK1164" s="36"/>
      <c r="BL1164" s="36"/>
      <c r="BM1164" s="36"/>
      <c r="BN1164" s="36"/>
      <c r="BO1164" s="36"/>
    </row>
    <row r="1165" spans="1:67" x14ac:dyDescent="0.25">
      <c r="A1165" s="39"/>
      <c r="B1165" s="40"/>
      <c r="U1165" s="36"/>
      <c r="V1165" s="36"/>
      <c r="W1165" s="35"/>
      <c r="X1165" s="7"/>
      <c r="Y1165" s="7"/>
      <c r="Z1165" s="7"/>
      <c r="AA1165" s="7"/>
      <c r="AB1165" s="7"/>
      <c r="AC1165" s="7"/>
      <c r="AD1165" s="7"/>
      <c r="AE1165" s="7"/>
      <c r="AG1165" s="36"/>
      <c r="AH1165" s="36"/>
      <c r="AI1165" s="35"/>
      <c r="AJ1165" s="7"/>
      <c r="AK1165" s="7"/>
      <c r="AL1165" s="7"/>
      <c r="AM1165" s="7"/>
      <c r="AN1165" s="7"/>
      <c r="AO1165" s="7"/>
      <c r="AP1165" s="7"/>
      <c r="AQ1165" s="7"/>
      <c r="AS1165" s="36"/>
      <c r="AT1165" s="36"/>
      <c r="AU1165" s="35"/>
      <c r="AV1165" s="7"/>
      <c r="AW1165" s="7"/>
      <c r="AX1165" s="7"/>
      <c r="AY1165" s="7"/>
      <c r="AZ1165" s="7"/>
      <c r="BA1165" s="7"/>
      <c r="BB1165" s="7"/>
      <c r="BC1165" s="7"/>
      <c r="BF1165" s="7"/>
      <c r="BG1165" s="36"/>
      <c r="BH1165" s="36"/>
      <c r="BI1165" s="36"/>
      <c r="BJ1165" s="36"/>
      <c r="BK1165" s="36"/>
      <c r="BL1165" s="36"/>
      <c r="BM1165" s="36"/>
      <c r="BN1165" s="36"/>
      <c r="BO1165" s="36"/>
    </row>
    <row r="1166" spans="1:67" x14ac:dyDescent="0.25">
      <c r="A1166" s="39"/>
      <c r="B1166" s="40"/>
      <c r="U1166" s="36"/>
      <c r="V1166" s="36"/>
      <c r="W1166" s="35"/>
      <c r="X1166" s="7"/>
      <c r="Y1166" s="7"/>
      <c r="Z1166" s="7"/>
      <c r="AA1166" s="7"/>
      <c r="AB1166" s="7"/>
      <c r="AC1166" s="7"/>
      <c r="AD1166" s="7"/>
      <c r="AE1166" s="7"/>
      <c r="AG1166" s="36"/>
      <c r="AH1166" s="36"/>
      <c r="AI1166" s="35"/>
      <c r="AJ1166" s="7"/>
      <c r="AK1166" s="7"/>
      <c r="AL1166" s="7"/>
      <c r="AM1166" s="7"/>
      <c r="AN1166" s="7"/>
      <c r="AO1166" s="7"/>
      <c r="AP1166" s="7"/>
      <c r="AQ1166" s="7"/>
      <c r="AS1166" s="36"/>
      <c r="AT1166" s="36"/>
      <c r="AU1166" s="35"/>
      <c r="AV1166" s="7"/>
      <c r="AW1166" s="7"/>
      <c r="AX1166" s="7"/>
      <c r="AY1166" s="7"/>
      <c r="AZ1166" s="7"/>
      <c r="BA1166" s="7"/>
      <c r="BB1166" s="7"/>
      <c r="BC1166" s="7"/>
      <c r="BF1166" s="7"/>
      <c r="BG1166" s="36"/>
      <c r="BH1166" s="36"/>
      <c r="BI1166" s="36"/>
      <c r="BJ1166" s="36"/>
      <c r="BK1166" s="36"/>
      <c r="BL1166" s="36"/>
      <c r="BM1166" s="36"/>
      <c r="BN1166" s="36"/>
      <c r="BO1166" s="36"/>
    </row>
    <row r="1167" spans="1:67" x14ac:dyDescent="0.25">
      <c r="A1167" s="39"/>
      <c r="B1167" s="40"/>
      <c r="U1167" s="36"/>
      <c r="V1167" s="36"/>
      <c r="W1167" s="35"/>
      <c r="X1167" s="7"/>
      <c r="Y1167" s="7"/>
      <c r="Z1167" s="7"/>
      <c r="AA1167" s="7"/>
      <c r="AB1167" s="7"/>
      <c r="AC1167" s="7"/>
      <c r="AD1167" s="7"/>
      <c r="AE1167" s="7"/>
      <c r="AG1167" s="36"/>
      <c r="AH1167" s="36"/>
      <c r="AI1167" s="35"/>
      <c r="AJ1167" s="7"/>
      <c r="AK1167" s="7"/>
      <c r="AL1167" s="7"/>
      <c r="AM1167" s="7"/>
      <c r="AN1167" s="7"/>
      <c r="AO1167" s="7"/>
      <c r="AP1167" s="7"/>
      <c r="AQ1167" s="7"/>
      <c r="AS1167" s="36"/>
      <c r="AT1167" s="36"/>
      <c r="AU1167" s="35"/>
      <c r="AV1167" s="7"/>
      <c r="AW1167" s="7"/>
      <c r="AX1167" s="7"/>
      <c r="AY1167" s="7"/>
      <c r="AZ1167" s="7"/>
      <c r="BA1167" s="7"/>
      <c r="BB1167" s="7"/>
      <c r="BC1167" s="7"/>
      <c r="BF1167" s="7"/>
      <c r="BG1167" s="36"/>
      <c r="BH1167" s="36"/>
      <c r="BI1167" s="36"/>
      <c r="BJ1167" s="36"/>
      <c r="BK1167" s="36"/>
      <c r="BL1167" s="36"/>
      <c r="BM1167" s="36"/>
      <c r="BN1167" s="36"/>
      <c r="BO1167" s="36"/>
    </row>
    <row r="1168" spans="1:67" x14ac:dyDescent="0.25">
      <c r="A1168" s="39"/>
      <c r="B1168" s="40"/>
      <c r="U1168" s="36"/>
      <c r="V1168" s="36"/>
      <c r="W1168" s="35"/>
      <c r="X1168" s="7"/>
      <c r="Y1168" s="7"/>
      <c r="Z1168" s="7"/>
      <c r="AA1168" s="7"/>
      <c r="AB1168" s="7"/>
      <c r="AC1168" s="7"/>
      <c r="AD1168" s="7"/>
      <c r="AE1168" s="7"/>
      <c r="AG1168" s="36"/>
      <c r="AH1168" s="36"/>
      <c r="AI1168" s="35"/>
      <c r="AJ1168" s="7"/>
      <c r="AK1168" s="7"/>
      <c r="AL1168" s="7"/>
      <c r="AM1168" s="7"/>
      <c r="AN1168" s="7"/>
      <c r="AO1168" s="7"/>
      <c r="AP1168" s="7"/>
      <c r="AQ1168" s="7"/>
      <c r="AS1168" s="36"/>
      <c r="AT1168" s="36"/>
      <c r="AU1168" s="35"/>
      <c r="AV1168" s="7"/>
      <c r="AW1168" s="7"/>
      <c r="AX1168" s="7"/>
      <c r="AY1168" s="7"/>
      <c r="AZ1168" s="7"/>
      <c r="BA1168" s="7"/>
      <c r="BB1168" s="7"/>
      <c r="BC1168" s="7"/>
      <c r="BF1168" s="7"/>
      <c r="BG1168" s="36"/>
      <c r="BH1168" s="36"/>
      <c r="BI1168" s="36"/>
      <c r="BJ1168" s="36"/>
      <c r="BK1168" s="36"/>
      <c r="BL1168" s="36"/>
      <c r="BM1168" s="36"/>
      <c r="BN1168" s="36"/>
      <c r="BO1168" s="36"/>
    </row>
    <row r="1169" spans="1:67" x14ac:dyDescent="0.25">
      <c r="A1169" s="39"/>
      <c r="B1169" s="40"/>
      <c r="U1169" s="36"/>
      <c r="V1169" s="36"/>
      <c r="W1169" s="35"/>
      <c r="X1169" s="7"/>
      <c r="Y1169" s="7"/>
      <c r="Z1169" s="7"/>
      <c r="AA1169" s="7"/>
      <c r="AB1169" s="7"/>
      <c r="AC1169" s="7"/>
      <c r="AD1169" s="7"/>
      <c r="AE1169" s="7"/>
      <c r="AG1169" s="36"/>
      <c r="AH1169" s="36"/>
      <c r="AI1169" s="35"/>
      <c r="AJ1169" s="7"/>
      <c r="AK1169" s="7"/>
      <c r="AL1169" s="7"/>
      <c r="AM1169" s="7"/>
      <c r="AN1169" s="7"/>
      <c r="AO1169" s="7"/>
      <c r="AP1169" s="7"/>
      <c r="AQ1169" s="7"/>
      <c r="AS1169" s="36"/>
      <c r="AT1169" s="36"/>
      <c r="AU1169" s="35"/>
      <c r="AV1169" s="7"/>
      <c r="AW1169" s="7"/>
      <c r="AX1169" s="7"/>
      <c r="AY1169" s="7"/>
      <c r="AZ1169" s="7"/>
      <c r="BA1169" s="7"/>
      <c r="BB1169" s="7"/>
      <c r="BC1169" s="7"/>
      <c r="BF1169" s="7"/>
      <c r="BG1169" s="36"/>
      <c r="BH1169" s="36"/>
      <c r="BI1169" s="36"/>
      <c r="BJ1169" s="36"/>
      <c r="BK1169" s="36"/>
      <c r="BL1169" s="36"/>
      <c r="BM1169" s="36"/>
      <c r="BN1169" s="36"/>
      <c r="BO1169" s="36"/>
    </row>
    <row r="1170" spans="1:67" x14ac:dyDescent="0.25">
      <c r="A1170" s="39"/>
      <c r="B1170" s="40"/>
      <c r="U1170" s="36"/>
      <c r="V1170" s="36"/>
      <c r="W1170" s="35"/>
      <c r="X1170" s="7"/>
      <c r="Y1170" s="7"/>
      <c r="Z1170" s="7"/>
      <c r="AA1170" s="7"/>
      <c r="AB1170" s="7"/>
      <c r="AC1170" s="7"/>
      <c r="AD1170" s="7"/>
      <c r="AE1170" s="7"/>
      <c r="AG1170" s="36"/>
      <c r="AH1170" s="36"/>
      <c r="AI1170" s="35"/>
      <c r="AJ1170" s="7"/>
      <c r="AK1170" s="7"/>
      <c r="AL1170" s="7"/>
      <c r="AM1170" s="7"/>
      <c r="AN1170" s="7"/>
      <c r="AO1170" s="7"/>
      <c r="AP1170" s="7"/>
      <c r="AQ1170" s="7"/>
      <c r="AS1170" s="36"/>
      <c r="AT1170" s="36"/>
      <c r="AU1170" s="35"/>
      <c r="AV1170" s="7"/>
      <c r="AW1170" s="7"/>
      <c r="AX1170" s="7"/>
      <c r="AY1170" s="7"/>
      <c r="AZ1170" s="7"/>
      <c r="BA1170" s="7"/>
      <c r="BB1170" s="7"/>
      <c r="BC1170" s="7"/>
      <c r="BF1170" s="7"/>
      <c r="BG1170" s="36"/>
      <c r="BH1170" s="36"/>
      <c r="BI1170" s="36"/>
      <c r="BJ1170" s="36"/>
      <c r="BK1170" s="36"/>
      <c r="BL1170" s="36"/>
      <c r="BM1170" s="36"/>
      <c r="BN1170" s="36"/>
      <c r="BO1170" s="36"/>
    </row>
    <row r="1171" spans="1:67" x14ac:dyDescent="0.25">
      <c r="A1171" s="39"/>
      <c r="B1171" s="40"/>
      <c r="U1171" s="36"/>
      <c r="V1171" s="36"/>
      <c r="W1171" s="35"/>
      <c r="X1171" s="7"/>
      <c r="Y1171" s="7"/>
      <c r="Z1171" s="7"/>
      <c r="AA1171" s="7"/>
      <c r="AB1171" s="7"/>
      <c r="AC1171" s="7"/>
      <c r="AD1171" s="7"/>
      <c r="AE1171" s="7"/>
      <c r="AG1171" s="36"/>
      <c r="AH1171" s="36"/>
      <c r="AI1171" s="35"/>
      <c r="AJ1171" s="7"/>
      <c r="AK1171" s="7"/>
      <c r="AL1171" s="7"/>
      <c r="AM1171" s="7"/>
      <c r="AN1171" s="7"/>
      <c r="AO1171" s="7"/>
      <c r="AP1171" s="7"/>
      <c r="AQ1171" s="7"/>
      <c r="AS1171" s="36"/>
      <c r="AT1171" s="36"/>
      <c r="AU1171" s="35"/>
      <c r="AV1171" s="7"/>
      <c r="AW1171" s="7"/>
      <c r="AX1171" s="7"/>
      <c r="AY1171" s="7"/>
      <c r="AZ1171" s="7"/>
      <c r="BA1171" s="7"/>
      <c r="BB1171" s="7"/>
      <c r="BC1171" s="7"/>
      <c r="BF1171" s="7"/>
      <c r="BG1171" s="36"/>
      <c r="BH1171" s="36"/>
      <c r="BI1171" s="36"/>
      <c r="BJ1171" s="36"/>
      <c r="BK1171" s="36"/>
      <c r="BL1171" s="36"/>
      <c r="BM1171" s="36"/>
      <c r="BN1171" s="36"/>
      <c r="BO1171" s="36"/>
    </row>
    <row r="1172" spans="1:67" x14ac:dyDescent="0.25">
      <c r="A1172" s="39"/>
      <c r="B1172" s="40"/>
      <c r="U1172" s="36"/>
      <c r="V1172" s="36"/>
      <c r="W1172" s="35"/>
      <c r="X1172" s="7"/>
      <c r="Y1172" s="7"/>
      <c r="Z1172" s="7"/>
      <c r="AA1172" s="7"/>
      <c r="AB1172" s="7"/>
      <c r="AC1172" s="7"/>
      <c r="AD1172" s="7"/>
      <c r="AE1172" s="7"/>
      <c r="AG1172" s="36"/>
      <c r="AH1172" s="36"/>
      <c r="AI1172" s="35"/>
      <c r="AJ1172" s="7"/>
      <c r="AK1172" s="7"/>
      <c r="AL1172" s="7"/>
      <c r="AM1172" s="7"/>
      <c r="AN1172" s="7"/>
      <c r="AO1172" s="7"/>
      <c r="AP1172" s="7"/>
      <c r="AQ1172" s="7"/>
      <c r="AS1172" s="36"/>
      <c r="AT1172" s="36"/>
      <c r="AU1172" s="35"/>
      <c r="AV1172" s="7"/>
      <c r="AW1172" s="7"/>
      <c r="AX1172" s="7"/>
      <c r="AY1172" s="7"/>
      <c r="AZ1172" s="7"/>
      <c r="BA1172" s="7"/>
      <c r="BB1172" s="7"/>
      <c r="BC1172" s="7"/>
      <c r="BF1172" s="7"/>
      <c r="BG1172" s="36"/>
      <c r="BH1172" s="36"/>
      <c r="BI1172" s="36"/>
      <c r="BJ1172" s="36"/>
      <c r="BK1172" s="36"/>
      <c r="BL1172" s="36"/>
      <c r="BM1172" s="36"/>
      <c r="BN1172" s="36"/>
      <c r="BO1172" s="36"/>
    </row>
    <row r="1173" spans="1:67" x14ac:dyDescent="0.25">
      <c r="A1173" s="39"/>
      <c r="B1173" s="40"/>
      <c r="U1173" s="36"/>
      <c r="V1173" s="36"/>
      <c r="W1173" s="35"/>
      <c r="X1173" s="7"/>
      <c r="Y1173" s="7"/>
      <c r="Z1173" s="7"/>
      <c r="AA1173" s="7"/>
      <c r="AB1173" s="7"/>
      <c r="AC1173" s="7"/>
      <c r="AD1173" s="7"/>
      <c r="AE1173" s="7"/>
      <c r="AG1173" s="36"/>
      <c r="AH1173" s="36"/>
      <c r="AI1173" s="35"/>
      <c r="AJ1173" s="7"/>
      <c r="AK1173" s="7"/>
      <c r="AL1173" s="7"/>
      <c r="AM1173" s="7"/>
      <c r="AN1173" s="7"/>
      <c r="AO1173" s="7"/>
      <c r="AP1173" s="7"/>
      <c r="AQ1173" s="7"/>
      <c r="AS1173" s="36"/>
      <c r="AT1173" s="36"/>
      <c r="AU1173" s="35"/>
      <c r="AV1173" s="7"/>
      <c r="AW1173" s="7"/>
      <c r="AX1173" s="7"/>
      <c r="AY1173" s="7"/>
      <c r="AZ1173" s="7"/>
      <c r="BA1173" s="7"/>
      <c r="BB1173" s="7"/>
      <c r="BC1173" s="7"/>
      <c r="BF1173" s="7"/>
      <c r="BG1173" s="36"/>
      <c r="BH1173" s="36"/>
      <c r="BI1173" s="36"/>
      <c r="BJ1173" s="36"/>
      <c r="BK1173" s="36"/>
      <c r="BL1173" s="36"/>
      <c r="BM1173" s="36"/>
      <c r="BN1173" s="36"/>
      <c r="BO1173" s="36"/>
    </row>
    <row r="1174" spans="1:67" x14ac:dyDescent="0.25">
      <c r="A1174" s="39"/>
      <c r="B1174" s="40"/>
      <c r="U1174" s="36"/>
      <c r="V1174" s="36"/>
      <c r="W1174" s="35"/>
      <c r="X1174" s="7"/>
      <c r="Y1174" s="7"/>
      <c r="Z1174" s="7"/>
      <c r="AA1174" s="7"/>
      <c r="AB1174" s="7"/>
      <c r="AC1174" s="7"/>
      <c r="AD1174" s="7"/>
      <c r="AE1174" s="7"/>
      <c r="AG1174" s="36"/>
      <c r="AH1174" s="36"/>
      <c r="AI1174" s="35"/>
      <c r="AJ1174" s="7"/>
      <c r="AK1174" s="7"/>
      <c r="AL1174" s="7"/>
      <c r="AM1174" s="7"/>
      <c r="AN1174" s="7"/>
      <c r="AO1174" s="7"/>
      <c r="AP1174" s="7"/>
      <c r="AQ1174" s="7"/>
      <c r="AS1174" s="36"/>
      <c r="AT1174" s="36"/>
      <c r="AU1174" s="35"/>
      <c r="AV1174" s="7"/>
      <c r="AW1174" s="7"/>
      <c r="AX1174" s="7"/>
      <c r="AY1174" s="7"/>
      <c r="AZ1174" s="7"/>
      <c r="BA1174" s="7"/>
      <c r="BB1174" s="7"/>
      <c r="BC1174" s="7"/>
      <c r="BF1174" s="7"/>
      <c r="BG1174" s="36"/>
      <c r="BH1174" s="36"/>
      <c r="BI1174" s="36"/>
      <c r="BJ1174" s="36"/>
      <c r="BK1174" s="36"/>
      <c r="BL1174" s="36"/>
      <c r="BM1174" s="36"/>
      <c r="BN1174" s="36"/>
      <c r="BO1174" s="36"/>
    </row>
    <row r="1175" spans="1:67" x14ac:dyDescent="0.25">
      <c r="A1175" s="39"/>
      <c r="B1175" s="40"/>
      <c r="U1175" s="36"/>
      <c r="V1175" s="36"/>
      <c r="W1175" s="35"/>
      <c r="X1175" s="7"/>
      <c r="Y1175" s="7"/>
      <c r="Z1175" s="7"/>
      <c r="AA1175" s="7"/>
      <c r="AB1175" s="7"/>
      <c r="AC1175" s="7"/>
      <c r="AD1175" s="7"/>
      <c r="AE1175" s="7"/>
      <c r="AG1175" s="36"/>
      <c r="AH1175" s="36"/>
      <c r="AI1175" s="35"/>
      <c r="AJ1175" s="7"/>
      <c r="AK1175" s="7"/>
      <c r="AL1175" s="7"/>
      <c r="AM1175" s="7"/>
      <c r="AN1175" s="7"/>
      <c r="AO1175" s="7"/>
      <c r="AP1175" s="7"/>
      <c r="AQ1175" s="7"/>
      <c r="AS1175" s="36"/>
      <c r="AT1175" s="36"/>
      <c r="AU1175" s="35"/>
      <c r="AV1175" s="7"/>
      <c r="AW1175" s="7"/>
      <c r="AX1175" s="7"/>
      <c r="AY1175" s="7"/>
      <c r="AZ1175" s="7"/>
      <c r="BA1175" s="7"/>
      <c r="BB1175" s="7"/>
      <c r="BC1175" s="7"/>
      <c r="BF1175" s="7"/>
      <c r="BG1175" s="36"/>
      <c r="BH1175" s="36"/>
      <c r="BI1175" s="36"/>
      <c r="BJ1175" s="36"/>
      <c r="BK1175" s="36"/>
      <c r="BL1175" s="36"/>
      <c r="BM1175" s="36"/>
      <c r="BN1175" s="36"/>
      <c r="BO1175" s="36"/>
    </row>
    <row r="1176" spans="1:67" x14ac:dyDescent="0.25">
      <c r="A1176" s="39"/>
      <c r="B1176" s="40"/>
      <c r="U1176" s="36"/>
      <c r="V1176" s="36"/>
      <c r="W1176" s="35"/>
      <c r="X1176" s="7"/>
      <c r="Y1176" s="7"/>
      <c r="Z1176" s="7"/>
      <c r="AA1176" s="7"/>
      <c r="AB1176" s="7"/>
      <c r="AC1176" s="7"/>
      <c r="AD1176" s="7"/>
      <c r="AE1176" s="7"/>
      <c r="AG1176" s="36"/>
      <c r="AH1176" s="36"/>
      <c r="AI1176" s="35"/>
      <c r="AJ1176" s="7"/>
      <c r="AK1176" s="7"/>
      <c r="AL1176" s="7"/>
      <c r="AM1176" s="7"/>
      <c r="AN1176" s="7"/>
      <c r="AO1176" s="7"/>
      <c r="AP1176" s="7"/>
      <c r="AQ1176" s="7"/>
      <c r="AS1176" s="36"/>
      <c r="AT1176" s="36"/>
      <c r="AU1176" s="35"/>
      <c r="AV1176" s="7"/>
      <c r="AW1176" s="7"/>
      <c r="AX1176" s="7"/>
      <c r="AY1176" s="7"/>
      <c r="AZ1176" s="7"/>
      <c r="BA1176" s="7"/>
      <c r="BB1176" s="7"/>
      <c r="BC1176" s="7"/>
      <c r="BF1176" s="7"/>
      <c r="BG1176" s="36"/>
      <c r="BH1176" s="36"/>
      <c r="BI1176" s="36"/>
      <c r="BJ1176" s="36"/>
      <c r="BK1176" s="36"/>
      <c r="BL1176" s="36"/>
      <c r="BM1176" s="36"/>
      <c r="BN1176" s="36"/>
      <c r="BO1176" s="36"/>
    </row>
    <row r="1177" spans="1:67" x14ac:dyDescent="0.25">
      <c r="A1177" s="39"/>
      <c r="B1177" s="40"/>
      <c r="U1177" s="36"/>
      <c r="V1177" s="36"/>
      <c r="W1177" s="35"/>
      <c r="X1177" s="7"/>
      <c r="Y1177" s="7"/>
      <c r="Z1177" s="7"/>
      <c r="AA1177" s="7"/>
      <c r="AB1177" s="7"/>
      <c r="AC1177" s="7"/>
      <c r="AD1177" s="7"/>
      <c r="AE1177" s="7"/>
      <c r="AG1177" s="36"/>
      <c r="AH1177" s="36"/>
      <c r="AI1177" s="35"/>
      <c r="AJ1177" s="7"/>
      <c r="AK1177" s="7"/>
      <c r="AL1177" s="7"/>
      <c r="AM1177" s="7"/>
      <c r="AN1177" s="7"/>
      <c r="AO1177" s="7"/>
      <c r="AP1177" s="7"/>
      <c r="AQ1177" s="7"/>
      <c r="AS1177" s="36"/>
      <c r="AT1177" s="36"/>
      <c r="AU1177" s="35"/>
      <c r="AV1177" s="7"/>
      <c r="AW1177" s="7"/>
      <c r="AX1177" s="7"/>
      <c r="AY1177" s="7"/>
      <c r="AZ1177" s="7"/>
      <c r="BA1177" s="7"/>
      <c r="BB1177" s="7"/>
      <c r="BC1177" s="7"/>
      <c r="BF1177" s="7"/>
      <c r="BG1177" s="36"/>
      <c r="BH1177" s="36"/>
      <c r="BI1177" s="36"/>
      <c r="BJ1177" s="36"/>
      <c r="BK1177" s="36"/>
      <c r="BL1177" s="36"/>
      <c r="BM1177" s="36"/>
      <c r="BN1177" s="36"/>
      <c r="BO1177" s="36"/>
    </row>
    <row r="1178" spans="1:67" x14ac:dyDescent="0.25">
      <c r="A1178" s="39"/>
      <c r="B1178" s="40"/>
      <c r="U1178" s="36"/>
      <c r="V1178" s="36"/>
      <c r="W1178" s="35"/>
      <c r="X1178" s="7"/>
      <c r="Y1178" s="7"/>
      <c r="Z1178" s="7"/>
      <c r="AA1178" s="7"/>
      <c r="AB1178" s="7"/>
      <c r="AC1178" s="7"/>
      <c r="AD1178" s="7"/>
      <c r="AE1178" s="7"/>
      <c r="AG1178" s="36"/>
      <c r="AH1178" s="36"/>
      <c r="AI1178" s="35"/>
      <c r="AJ1178" s="7"/>
      <c r="AK1178" s="7"/>
      <c r="AL1178" s="7"/>
      <c r="AM1178" s="7"/>
      <c r="AN1178" s="7"/>
      <c r="AO1178" s="7"/>
      <c r="AP1178" s="7"/>
      <c r="AQ1178" s="7"/>
      <c r="AS1178" s="36"/>
      <c r="AT1178" s="36"/>
      <c r="AU1178" s="35"/>
      <c r="AV1178" s="7"/>
      <c r="AW1178" s="7"/>
      <c r="AX1178" s="7"/>
      <c r="AY1178" s="7"/>
      <c r="AZ1178" s="7"/>
      <c r="BA1178" s="7"/>
      <c r="BB1178" s="7"/>
      <c r="BC1178" s="7"/>
      <c r="BF1178" s="7"/>
      <c r="BG1178" s="36"/>
      <c r="BH1178" s="36"/>
      <c r="BI1178" s="36"/>
      <c r="BJ1178" s="36"/>
      <c r="BK1178" s="36"/>
      <c r="BL1178" s="36"/>
      <c r="BM1178" s="36"/>
      <c r="BN1178" s="36"/>
      <c r="BO1178" s="36"/>
    </row>
    <row r="1179" spans="1:67" x14ac:dyDescent="0.25">
      <c r="A1179" s="39"/>
      <c r="B1179" s="40"/>
      <c r="U1179" s="36"/>
      <c r="V1179" s="36"/>
      <c r="W1179" s="35"/>
      <c r="X1179" s="7"/>
      <c r="Y1179" s="7"/>
      <c r="Z1179" s="7"/>
      <c r="AA1179" s="7"/>
      <c r="AB1179" s="7"/>
      <c r="AC1179" s="7"/>
      <c r="AD1179" s="7"/>
      <c r="AE1179" s="7"/>
      <c r="AG1179" s="36"/>
      <c r="AH1179" s="36"/>
      <c r="AI1179" s="35"/>
      <c r="AJ1179" s="7"/>
      <c r="AK1179" s="7"/>
      <c r="AL1179" s="7"/>
      <c r="AM1179" s="7"/>
      <c r="AN1179" s="7"/>
      <c r="AO1179" s="7"/>
      <c r="AP1179" s="7"/>
      <c r="AQ1179" s="7"/>
      <c r="AS1179" s="36"/>
      <c r="AT1179" s="36"/>
      <c r="AU1179" s="35"/>
      <c r="AV1179" s="7"/>
      <c r="AW1179" s="7"/>
      <c r="AX1179" s="7"/>
      <c r="AY1179" s="7"/>
      <c r="AZ1179" s="7"/>
      <c r="BA1179" s="7"/>
      <c r="BB1179" s="7"/>
      <c r="BC1179" s="7"/>
      <c r="BF1179" s="7"/>
      <c r="BG1179" s="36"/>
      <c r="BH1179" s="36"/>
      <c r="BI1179" s="36"/>
      <c r="BJ1179" s="36"/>
      <c r="BK1179" s="36"/>
      <c r="BL1179" s="36"/>
      <c r="BM1179" s="36"/>
      <c r="BN1179" s="36"/>
      <c r="BO1179" s="36"/>
    </row>
    <row r="1180" spans="1:67" x14ac:dyDescent="0.25">
      <c r="A1180" s="39"/>
      <c r="B1180" s="40"/>
      <c r="U1180" s="36"/>
      <c r="V1180" s="36"/>
      <c r="W1180" s="35"/>
      <c r="X1180" s="7"/>
      <c r="Y1180" s="7"/>
      <c r="Z1180" s="7"/>
      <c r="AA1180" s="7"/>
      <c r="AB1180" s="7"/>
      <c r="AC1180" s="7"/>
      <c r="AD1180" s="7"/>
      <c r="AE1180" s="7"/>
      <c r="AG1180" s="36"/>
      <c r="AH1180" s="36"/>
      <c r="AI1180" s="35"/>
      <c r="AJ1180" s="7"/>
      <c r="AK1180" s="7"/>
      <c r="AL1180" s="7"/>
      <c r="AM1180" s="7"/>
      <c r="AN1180" s="7"/>
      <c r="AO1180" s="7"/>
      <c r="AP1180" s="7"/>
      <c r="AQ1180" s="7"/>
      <c r="AS1180" s="36"/>
      <c r="AT1180" s="36"/>
      <c r="AU1180" s="35"/>
      <c r="AV1180" s="7"/>
      <c r="AW1180" s="7"/>
      <c r="AX1180" s="7"/>
      <c r="AY1180" s="7"/>
      <c r="AZ1180" s="7"/>
      <c r="BA1180" s="7"/>
      <c r="BB1180" s="7"/>
      <c r="BC1180" s="7"/>
      <c r="BF1180" s="7"/>
      <c r="BG1180" s="36"/>
      <c r="BH1180" s="36"/>
      <c r="BI1180" s="36"/>
      <c r="BJ1180" s="36"/>
      <c r="BK1180" s="36"/>
      <c r="BL1180" s="36"/>
      <c r="BM1180" s="36"/>
      <c r="BN1180" s="36"/>
      <c r="BO1180" s="36"/>
    </row>
    <row r="1181" spans="1:67" x14ac:dyDescent="0.25">
      <c r="A1181" s="39"/>
      <c r="B1181" s="40"/>
      <c r="U1181" s="36"/>
      <c r="V1181" s="36"/>
      <c r="W1181" s="35"/>
      <c r="X1181" s="7"/>
      <c r="Y1181" s="7"/>
      <c r="Z1181" s="7"/>
      <c r="AA1181" s="7"/>
      <c r="AB1181" s="7"/>
      <c r="AC1181" s="7"/>
      <c r="AD1181" s="7"/>
      <c r="AE1181" s="7"/>
      <c r="AG1181" s="36"/>
      <c r="AH1181" s="36"/>
      <c r="AI1181" s="35"/>
      <c r="AJ1181" s="7"/>
      <c r="AK1181" s="7"/>
      <c r="AL1181" s="7"/>
      <c r="AM1181" s="7"/>
      <c r="AN1181" s="7"/>
      <c r="AO1181" s="7"/>
      <c r="AP1181" s="7"/>
      <c r="AQ1181" s="7"/>
      <c r="AS1181" s="36"/>
      <c r="AT1181" s="36"/>
      <c r="AU1181" s="35"/>
      <c r="AV1181" s="7"/>
      <c r="AW1181" s="7"/>
      <c r="AX1181" s="7"/>
      <c r="AY1181" s="7"/>
      <c r="AZ1181" s="7"/>
      <c r="BA1181" s="7"/>
      <c r="BB1181" s="7"/>
      <c r="BC1181" s="7"/>
      <c r="BF1181" s="7"/>
      <c r="BG1181" s="36"/>
      <c r="BH1181" s="36"/>
      <c r="BI1181" s="36"/>
      <c r="BJ1181" s="36"/>
      <c r="BK1181" s="36"/>
      <c r="BL1181" s="36"/>
      <c r="BM1181" s="36"/>
      <c r="BN1181" s="36"/>
      <c r="BO1181" s="36"/>
    </row>
    <row r="1182" spans="1:67" x14ac:dyDescent="0.25">
      <c r="A1182" s="39"/>
      <c r="B1182" s="40"/>
      <c r="U1182" s="36"/>
      <c r="V1182" s="36"/>
      <c r="W1182" s="35"/>
      <c r="X1182" s="7"/>
      <c r="Y1182" s="7"/>
      <c r="Z1182" s="7"/>
      <c r="AA1182" s="7"/>
      <c r="AB1182" s="7"/>
      <c r="AC1182" s="7"/>
      <c r="AD1182" s="7"/>
      <c r="AE1182" s="7"/>
      <c r="AG1182" s="36"/>
      <c r="AH1182" s="36"/>
      <c r="AI1182" s="35"/>
      <c r="AJ1182" s="7"/>
      <c r="AK1182" s="7"/>
      <c r="AL1182" s="7"/>
      <c r="AM1182" s="7"/>
      <c r="AN1182" s="7"/>
      <c r="AO1182" s="7"/>
      <c r="AP1182" s="7"/>
      <c r="AQ1182" s="7"/>
      <c r="AS1182" s="36"/>
      <c r="AT1182" s="36"/>
      <c r="AU1182" s="35"/>
      <c r="AV1182" s="7"/>
      <c r="AW1182" s="7"/>
      <c r="AX1182" s="7"/>
      <c r="AY1182" s="7"/>
      <c r="AZ1182" s="7"/>
      <c r="BA1182" s="7"/>
      <c r="BB1182" s="7"/>
      <c r="BC1182" s="7"/>
      <c r="BF1182" s="7"/>
      <c r="BG1182" s="36"/>
      <c r="BH1182" s="36"/>
      <c r="BI1182" s="36"/>
      <c r="BJ1182" s="36"/>
      <c r="BK1182" s="36"/>
      <c r="BL1182" s="36"/>
      <c r="BM1182" s="36"/>
      <c r="BN1182" s="36"/>
      <c r="BO1182" s="36"/>
    </row>
    <row r="1183" spans="1:67" x14ac:dyDescent="0.25">
      <c r="A1183" s="39"/>
      <c r="B1183" s="40"/>
      <c r="U1183" s="36"/>
      <c r="V1183" s="36"/>
      <c r="W1183" s="35"/>
      <c r="X1183" s="7"/>
      <c r="Y1183" s="7"/>
      <c r="Z1183" s="7"/>
      <c r="AA1183" s="7"/>
      <c r="AB1183" s="7"/>
      <c r="AC1183" s="7"/>
      <c r="AD1183" s="7"/>
      <c r="AE1183" s="7"/>
      <c r="AG1183" s="36"/>
      <c r="AH1183" s="36"/>
      <c r="AI1183" s="35"/>
      <c r="AJ1183" s="7"/>
      <c r="AK1183" s="7"/>
      <c r="AL1183" s="7"/>
      <c r="AM1183" s="7"/>
      <c r="AN1183" s="7"/>
      <c r="AO1183" s="7"/>
      <c r="AP1183" s="7"/>
      <c r="AQ1183" s="7"/>
      <c r="AS1183" s="36"/>
      <c r="AT1183" s="36"/>
      <c r="AU1183" s="35"/>
      <c r="AV1183" s="7"/>
      <c r="AW1183" s="7"/>
      <c r="AX1183" s="7"/>
      <c r="AY1183" s="7"/>
      <c r="AZ1183" s="7"/>
      <c r="BA1183" s="7"/>
      <c r="BB1183" s="7"/>
      <c r="BC1183" s="7"/>
      <c r="BF1183" s="7"/>
      <c r="BG1183" s="36"/>
      <c r="BH1183" s="36"/>
      <c r="BI1183" s="36"/>
      <c r="BJ1183" s="36"/>
      <c r="BK1183" s="36"/>
      <c r="BL1183" s="36"/>
      <c r="BM1183" s="36"/>
      <c r="BN1183" s="36"/>
      <c r="BO1183" s="36"/>
    </row>
    <row r="1184" spans="1:67" x14ac:dyDescent="0.25">
      <c r="A1184" s="39"/>
      <c r="B1184" s="40"/>
      <c r="U1184" s="36"/>
      <c r="V1184" s="36"/>
      <c r="W1184" s="35"/>
      <c r="X1184" s="7"/>
      <c r="Y1184" s="7"/>
      <c r="Z1184" s="7"/>
      <c r="AA1184" s="7"/>
      <c r="AB1184" s="7"/>
      <c r="AC1184" s="7"/>
      <c r="AD1184" s="7"/>
      <c r="AE1184" s="7"/>
      <c r="AG1184" s="36"/>
      <c r="AH1184" s="36"/>
      <c r="AI1184" s="35"/>
      <c r="AJ1184" s="7"/>
      <c r="AK1184" s="7"/>
      <c r="AL1184" s="7"/>
      <c r="AM1184" s="7"/>
      <c r="AN1184" s="7"/>
      <c r="AO1184" s="7"/>
      <c r="AP1184" s="7"/>
      <c r="AQ1184" s="7"/>
      <c r="AS1184" s="36"/>
      <c r="AT1184" s="36"/>
      <c r="AU1184" s="35"/>
      <c r="AV1184" s="7"/>
      <c r="AW1184" s="7"/>
      <c r="AX1184" s="7"/>
      <c r="AY1184" s="7"/>
      <c r="AZ1184" s="7"/>
      <c r="BA1184" s="7"/>
      <c r="BB1184" s="7"/>
      <c r="BC1184" s="7"/>
      <c r="BF1184" s="7"/>
      <c r="BG1184" s="36"/>
      <c r="BH1184" s="36"/>
      <c r="BI1184" s="36"/>
      <c r="BJ1184" s="36"/>
      <c r="BK1184" s="36"/>
      <c r="BL1184" s="36"/>
      <c r="BM1184" s="36"/>
      <c r="BN1184" s="36"/>
      <c r="BO1184" s="36"/>
    </row>
    <row r="1185" spans="1:67" x14ac:dyDescent="0.25">
      <c r="A1185" s="39"/>
      <c r="B1185" s="40"/>
      <c r="U1185" s="36"/>
      <c r="V1185" s="36"/>
      <c r="W1185" s="35"/>
      <c r="X1185" s="7"/>
      <c r="Y1185" s="7"/>
      <c r="Z1185" s="7"/>
      <c r="AA1185" s="7"/>
      <c r="AB1185" s="7"/>
      <c r="AC1185" s="7"/>
      <c r="AD1185" s="7"/>
      <c r="AE1185" s="7"/>
      <c r="AG1185" s="36"/>
      <c r="AH1185" s="36"/>
      <c r="AI1185" s="35"/>
      <c r="AJ1185" s="7"/>
      <c r="AK1185" s="7"/>
      <c r="AL1185" s="7"/>
      <c r="AM1185" s="7"/>
      <c r="AN1185" s="7"/>
      <c r="AO1185" s="7"/>
      <c r="AP1185" s="7"/>
      <c r="AQ1185" s="7"/>
      <c r="AS1185" s="36"/>
      <c r="AT1185" s="36"/>
      <c r="AU1185" s="35"/>
      <c r="AV1185" s="7"/>
      <c r="AW1185" s="7"/>
      <c r="AX1185" s="7"/>
      <c r="AY1185" s="7"/>
      <c r="AZ1185" s="7"/>
      <c r="BA1185" s="7"/>
      <c r="BB1185" s="7"/>
      <c r="BC1185" s="7"/>
      <c r="BF1185" s="7"/>
      <c r="BG1185" s="36"/>
      <c r="BH1185" s="36"/>
      <c r="BI1185" s="36"/>
      <c r="BJ1185" s="36"/>
      <c r="BK1185" s="36"/>
      <c r="BL1185" s="36"/>
      <c r="BM1185" s="36"/>
      <c r="BN1185" s="36"/>
      <c r="BO1185" s="36"/>
    </row>
    <row r="1186" spans="1:67" x14ac:dyDescent="0.25">
      <c r="A1186" s="39"/>
      <c r="B1186" s="40"/>
      <c r="U1186" s="36"/>
      <c r="V1186" s="36"/>
      <c r="W1186" s="35"/>
      <c r="X1186" s="7"/>
      <c r="Y1186" s="7"/>
      <c r="Z1186" s="7"/>
      <c r="AA1186" s="7"/>
      <c r="AB1186" s="7"/>
      <c r="AC1186" s="7"/>
      <c r="AD1186" s="7"/>
      <c r="AE1186" s="7"/>
      <c r="AG1186" s="36"/>
      <c r="AH1186" s="36"/>
      <c r="AI1186" s="35"/>
      <c r="AJ1186" s="7"/>
      <c r="AK1186" s="7"/>
      <c r="AL1186" s="7"/>
      <c r="AM1186" s="7"/>
      <c r="AN1186" s="7"/>
      <c r="AO1186" s="7"/>
      <c r="AP1186" s="7"/>
      <c r="AQ1186" s="7"/>
      <c r="AS1186" s="36"/>
      <c r="AT1186" s="36"/>
      <c r="AU1186" s="35"/>
      <c r="AV1186" s="7"/>
      <c r="AW1186" s="7"/>
      <c r="AX1186" s="7"/>
      <c r="AY1186" s="7"/>
      <c r="AZ1186" s="7"/>
      <c r="BA1186" s="7"/>
      <c r="BB1186" s="7"/>
      <c r="BC1186" s="7"/>
      <c r="BF1186" s="7"/>
      <c r="BG1186" s="36"/>
      <c r="BH1186" s="36"/>
      <c r="BI1186" s="36"/>
      <c r="BJ1186" s="36"/>
      <c r="BK1186" s="36"/>
      <c r="BL1186" s="36"/>
      <c r="BM1186" s="36"/>
      <c r="BN1186" s="36"/>
      <c r="BO1186" s="36"/>
    </row>
    <row r="1187" spans="1:67" x14ac:dyDescent="0.25">
      <c r="A1187" s="39"/>
      <c r="B1187" s="40"/>
      <c r="U1187" s="36"/>
      <c r="V1187" s="36"/>
      <c r="W1187" s="35"/>
      <c r="X1187" s="7"/>
      <c r="Y1187" s="7"/>
      <c r="Z1187" s="7"/>
      <c r="AA1187" s="7"/>
      <c r="AB1187" s="7"/>
      <c r="AC1187" s="7"/>
      <c r="AD1187" s="7"/>
      <c r="AE1187" s="7"/>
      <c r="AG1187" s="36"/>
      <c r="AH1187" s="36"/>
      <c r="AI1187" s="35"/>
      <c r="AJ1187" s="7"/>
      <c r="AK1187" s="7"/>
      <c r="AL1187" s="7"/>
      <c r="AM1187" s="7"/>
      <c r="AN1187" s="7"/>
      <c r="AO1187" s="7"/>
      <c r="AP1187" s="7"/>
      <c r="AQ1187" s="7"/>
      <c r="AS1187" s="36"/>
      <c r="AT1187" s="36"/>
      <c r="AU1187" s="35"/>
      <c r="AV1187" s="7"/>
      <c r="AW1187" s="7"/>
      <c r="AX1187" s="7"/>
      <c r="AY1187" s="7"/>
      <c r="AZ1187" s="7"/>
      <c r="BA1187" s="7"/>
      <c r="BB1187" s="7"/>
      <c r="BC1187" s="7"/>
      <c r="BF1187" s="7"/>
      <c r="BG1187" s="36"/>
      <c r="BH1187" s="36"/>
      <c r="BI1187" s="36"/>
      <c r="BJ1187" s="36"/>
      <c r="BK1187" s="36"/>
      <c r="BL1187" s="36"/>
      <c r="BM1187" s="36"/>
      <c r="BN1187" s="36"/>
      <c r="BO1187" s="36"/>
    </row>
    <row r="1188" spans="1:67" x14ac:dyDescent="0.25">
      <c r="A1188" s="39"/>
      <c r="B1188" s="40"/>
      <c r="U1188" s="36"/>
      <c r="V1188" s="36"/>
      <c r="W1188" s="35"/>
      <c r="X1188" s="7"/>
      <c r="Y1188" s="7"/>
      <c r="Z1188" s="7"/>
      <c r="AA1188" s="7"/>
      <c r="AB1188" s="7"/>
      <c r="AC1188" s="7"/>
      <c r="AD1188" s="7"/>
      <c r="AE1188" s="7"/>
      <c r="AG1188" s="36"/>
      <c r="AH1188" s="36"/>
      <c r="AI1188" s="35"/>
      <c r="AJ1188" s="7"/>
      <c r="AK1188" s="7"/>
      <c r="AL1188" s="7"/>
      <c r="AM1188" s="7"/>
      <c r="AN1188" s="7"/>
      <c r="AO1188" s="7"/>
      <c r="AP1188" s="7"/>
      <c r="AQ1188" s="7"/>
      <c r="AS1188" s="36"/>
      <c r="AT1188" s="36"/>
      <c r="AU1188" s="35"/>
      <c r="AV1188" s="7"/>
      <c r="AW1188" s="7"/>
      <c r="AX1188" s="7"/>
      <c r="AY1188" s="7"/>
      <c r="AZ1188" s="7"/>
      <c r="BA1188" s="7"/>
      <c r="BB1188" s="7"/>
      <c r="BC1188" s="7"/>
      <c r="BF1188" s="7"/>
      <c r="BG1188" s="36"/>
      <c r="BH1188" s="36"/>
      <c r="BI1188" s="36"/>
      <c r="BJ1188" s="36"/>
      <c r="BK1188" s="36"/>
      <c r="BL1188" s="36"/>
      <c r="BM1188" s="36"/>
      <c r="BN1188" s="36"/>
      <c r="BO1188" s="36"/>
    </row>
    <row r="1189" spans="1:67" x14ac:dyDescent="0.25">
      <c r="A1189" s="39"/>
      <c r="B1189" s="40"/>
      <c r="U1189" s="36"/>
      <c r="V1189" s="36"/>
      <c r="W1189" s="35"/>
      <c r="X1189" s="7"/>
      <c r="Y1189" s="7"/>
      <c r="Z1189" s="7"/>
      <c r="AA1189" s="7"/>
      <c r="AB1189" s="7"/>
      <c r="AC1189" s="7"/>
      <c r="AD1189" s="7"/>
      <c r="AE1189" s="7"/>
      <c r="AG1189" s="36"/>
      <c r="AH1189" s="36"/>
      <c r="AI1189" s="35"/>
      <c r="AJ1189" s="7"/>
      <c r="AK1189" s="7"/>
      <c r="AL1189" s="7"/>
      <c r="AM1189" s="7"/>
      <c r="AN1189" s="7"/>
      <c r="AO1189" s="7"/>
      <c r="AP1189" s="7"/>
      <c r="AQ1189" s="7"/>
      <c r="AS1189" s="36"/>
      <c r="AT1189" s="36"/>
      <c r="AU1189" s="35"/>
      <c r="AV1189" s="7"/>
      <c r="AW1189" s="7"/>
      <c r="AX1189" s="7"/>
      <c r="AY1189" s="7"/>
      <c r="AZ1189" s="7"/>
      <c r="BA1189" s="7"/>
      <c r="BB1189" s="7"/>
      <c r="BC1189" s="7"/>
      <c r="BF1189" s="7"/>
      <c r="BG1189" s="36"/>
      <c r="BH1189" s="36"/>
      <c r="BI1189" s="36"/>
      <c r="BJ1189" s="36"/>
      <c r="BK1189" s="36"/>
      <c r="BL1189" s="36"/>
      <c r="BM1189" s="36"/>
      <c r="BN1189" s="36"/>
      <c r="BO1189" s="36"/>
    </row>
    <row r="1190" spans="1:67" x14ac:dyDescent="0.25">
      <c r="A1190" s="39"/>
      <c r="B1190" s="40"/>
      <c r="U1190" s="36"/>
      <c r="V1190" s="36"/>
      <c r="W1190" s="35"/>
      <c r="X1190" s="7"/>
      <c r="Y1190" s="7"/>
      <c r="Z1190" s="7"/>
      <c r="AA1190" s="7"/>
      <c r="AB1190" s="7"/>
      <c r="AC1190" s="7"/>
      <c r="AD1190" s="7"/>
      <c r="AE1190" s="7"/>
      <c r="AG1190" s="36"/>
      <c r="AH1190" s="36"/>
      <c r="AI1190" s="35"/>
      <c r="AJ1190" s="7"/>
      <c r="AK1190" s="7"/>
      <c r="AL1190" s="7"/>
      <c r="AM1190" s="7"/>
      <c r="AN1190" s="7"/>
      <c r="AO1190" s="7"/>
      <c r="AP1190" s="7"/>
      <c r="AQ1190" s="7"/>
      <c r="AS1190" s="36"/>
      <c r="AT1190" s="36"/>
      <c r="AU1190" s="35"/>
      <c r="AV1190" s="7"/>
      <c r="AW1190" s="7"/>
      <c r="AX1190" s="7"/>
      <c r="AY1190" s="7"/>
      <c r="AZ1190" s="7"/>
      <c r="BA1190" s="7"/>
      <c r="BB1190" s="7"/>
      <c r="BC1190" s="7"/>
      <c r="BF1190" s="7"/>
      <c r="BG1190" s="36"/>
      <c r="BH1190" s="36"/>
      <c r="BI1190" s="36"/>
      <c r="BJ1190" s="36"/>
      <c r="BK1190" s="36"/>
      <c r="BL1190" s="36"/>
      <c r="BM1190" s="36"/>
      <c r="BN1190" s="36"/>
      <c r="BO1190" s="36"/>
    </row>
    <row r="1191" spans="1:67" x14ac:dyDescent="0.25">
      <c r="A1191" s="39"/>
      <c r="B1191" s="40"/>
      <c r="U1191" s="36"/>
      <c r="V1191" s="36"/>
      <c r="W1191" s="35"/>
      <c r="X1191" s="7"/>
      <c r="Y1191" s="7"/>
      <c r="Z1191" s="7"/>
      <c r="AA1191" s="7"/>
      <c r="AB1191" s="7"/>
      <c r="AC1191" s="7"/>
      <c r="AD1191" s="7"/>
      <c r="AE1191" s="7"/>
      <c r="AG1191" s="36"/>
      <c r="AH1191" s="36"/>
      <c r="AI1191" s="35"/>
      <c r="AJ1191" s="7"/>
      <c r="AK1191" s="7"/>
      <c r="AL1191" s="7"/>
      <c r="AM1191" s="7"/>
      <c r="AN1191" s="7"/>
      <c r="AO1191" s="7"/>
      <c r="AP1191" s="7"/>
      <c r="AQ1191" s="7"/>
      <c r="AS1191" s="36"/>
      <c r="AT1191" s="36"/>
      <c r="AU1191" s="35"/>
      <c r="AV1191" s="7"/>
      <c r="AW1191" s="7"/>
      <c r="AX1191" s="7"/>
      <c r="AY1191" s="7"/>
      <c r="AZ1191" s="7"/>
      <c r="BA1191" s="7"/>
      <c r="BB1191" s="7"/>
      <c r="BC1191" s="7"/>
      <c r="BF1191" s="7"/>
      <c r="BG1191" s="36"/>
      <c r="BH1191" s="36"/>
      <c r="BI1191" s="36"/>
      <c r="BJ1191" s="36"/>
      <c r="BK1191" s="36"/>
      <c r="BL1191" s="36"/>
      <c r="BM1191" s="36"/>
      <c r="BN1191" s="36"/>
      <c r="BO1191" s="36"/>
    </row>
    <row r="1192" spans="1:67" x14ac:dyDescent="0.25">
      <c r="A1192" s="39"/>
      <c r="B1192" s="40"/>
      <c r="U1192" s="36"/>
      <c r="V1192" s="36"/>
      <c r="W1192" s="35"/>
      <c r="X1192" s="7"/>
      <c r="Y1192" s="7"/>
      <c r="Z1192" s="7"/>
      <c r="AA1192" s="7"/>
      <c r="AB1192" s="7"/>
      <c r="AC1192" s="7"/>
      <c r="AD1192" s="7"/>
      <c r="AE1192" s="7"/>
      <c r="AG1192" s="36"/>
      <c r="AH1192" s="36"/>
      <c r="AI1192" s="35"/>
      <c r="AJ1192" s="7"/>
      <c r="AK1192" s="7"/>
      <c r="AL1192" s="7"/>
      <c r="AM1192" s="7"/>
      <c r="AN1192" s="7"/>
      <c r="AO1192" s="7"/>
      <c r="AP1192" s="7"/>
      <c r="AQ1192" s="7"/>
      <c r="AS1192" s="36"/>
      <c r="AT1192" s="36"/>
      <c r="AU1192" s="35"/>
      <c r="AV1192" s="7"/>
      <c r="AW1192" s="7"/>
      <c r="AX1192" s="7"/>
      <c r="AY1192" s="7"/>
      <c r="AZ1192" s="7"/>
      <c r="BA1192" s="7"/>
      <c r="BB1192" s="7"/>
      <c r="BC1192" s="7"/>
      <c r="BF1192" s="7"/>
      <c r="BG1192" s="36"/>
      <c r="BH1192" s="36"/>
      <c r="BI1192" s="36"/>
      <c r="BJ1192" s="36"/>
      <c r="BK1192" s="36"/>
      <c r="BL1192" s="36"/>
      <c r="BM1192" s="36"/>
      <c r="BN1192" s="36"/>
      <c r="BO1192" s="36"/>
    </row>
    <row r="1193" spans="1:67" x14ac:dyDescent="0.25">
      <c r="A1193" s="39"/>
      <c r="B1193" s="40"/>
      <c r="U1193" s="36"/>
      <c r="V1193" s="36"/>
      <c r="W1193" s="35"/>
      <c r="X1193" s="7"/>
      <c r="Y1193" s="7"/>
      <c r="Z1193" s="7"/>
      <c r="AA1193" s="7"/>
      <c r="AB1193" s="7"/>
      <c r="AC1193" s="7"/>
      <c r="AD1193" s="7"/>
      <c r="AE1193" s="7"/>
      <c r="AG1193" s="36"/>
      <c r="AH1193" s="36"/>
      <c r="AI1193" s="35"/>
      <c r="AJ1193" s="7"/>
      <c r="AK1193" s="7"/>
      <c r="AL1193" s="7"/>
      <c r="AM1193" s="7"/>
      <c r="AN1193" s="7"/>
      <c r="AO1193" s="7"/>
      <c r="AP1193" s="7"/>
      <c r="AQ1193" s="7"/>
      <c r="AS1193" s="36"/>
      <c r="AT1193" s="36"/>
      <c r="AU1193" s="35"/>
      <c r="AV1193" s="7"/>
      <c r="AW1193" s="7"/>
      <c r="AX1193" s="7"/>
      <c r="AY1193" s="7"/>
      <c r="AZ1193" s="7"/>
      <c r="BA1193" s="7"/>
      <c r="BB1193" s="7"/>
      <c r="BC1193" s="7"/>
      <c r="BF1193" s="7"/>
      <c r="BG1193" s="36"/>
      <c r="BH1193" s="36"/>
      <c r="BI1193" s="36"/>
      <c r="BJ1193" s="36"/>
      <c r="BK1193" s="36"/>
      <c r="BL1193" s="36"/>
      <c r="BM1193" s="36"/>
      <c r="BN1193" s="36"/>
      <c r="BO1193" s="36"/>
    </row>
    <row r="1194" spans="1:67" x14ac:dyDescent="0.25">
      <c r="A1194" s="39"/>
      <c r="B1194" s="40"/>
      <c r="U1194" s="36"/>
      <c r="V1194" s="36"/>
      <c r="W1194" s="35"/>
      <c r="X1194" s="7"/>
      <c r="Y1194" s="7"/>
      <c r="Z1194" s="7"/>
      <c r="AA1194" s="7"/>
      <c r="AB1194" s="7"/>
      <c r="AC1194" s="7"/>
      <c r="AD1194" s="7"/>
      <c r="AE1194" s="7"/>
      <c r="AG1194" s="36"/>
      <c r="AH1194" s="36"/>
      <c r="AI1194" s="35"/>
      <c r="AJ1194" s="7"/>
      <c r="AK1194" s="7"/>
      <c r="AL1194" s="7"/>
      <c r="AM1194" s="7"/>
      <c r="AN1194" s="7"/>
      <c r="AO1194" s="7"/>
      <c r="AP1194" s="7"/>
      <c r="AQ1194" s="7"/>
      <c r="AS1194" s="36"/>
      <c r="AT1194" s="36"/>
      <c r="AU1194" s="35"/>
      <c r="AV1194" s="7"/>
      <c r="AW1194" s="7"/>
      <c r="AX1194" s="7"/>
      <c r="AY1194" s="7"/>
      <c r="AZ1194" s="7"/>
      <c r="BA1194" s="7"/>
      <c r="BB1194" s="7"/>
      <c r="BC1194" s="7"/>
      <c r="BF1194" s="7"/>
      <c r="BG1194" s="36"/>
      <c r="BH1194" s="36"/>
      <c r="BI1194" s="36"/>
      <c r="BJ1194" s="36"/>
      <c r="BK1194" s="36"/>
      <c r="BL1194" s="36"/>
      <c r="BM1194" s="36"/>
      <c r="BN1194" s="36"/>
      <c r="BO1194" s="36"/>
    </row>
    <row r="1195" spans="1:67" x14ac:dyDescent="0.25">
      <c r="A1195" s="39"/>
      <c r="B1195" s="40"/>
      <c r="U1195" s="36"/>
      <c r="V1195" s="36"/>
      <c r="W1195" s="35"/>
      <c r="X1195" s="7"/>
      <c r="Y1195" s="7"/>
      <c r="Z1195" s="7"/>
      <c r="AA1195" s="7"/>
      <c r="AB1195" s="7"/>
      <c r="AC1195" s="7"/>
      <c r="AD1195" s="7"/>
      <c r="AE1195" s="7"/>
      <c r="AG1195" s="36"/>
      <c r="AH1195" s="36"/>
      <c r="AI1195" s="35"/>
      <c r="AJ1195" s="7"/>
      <c r="AK1195" s="7"/>
      <c r="AL1195" s="7"/>
      <c r="AM1195" s="7"/>
      <c r="AN1195" s="7"/>
      <c r="AO1195" s="7"/>
      <c r="AP1195" s="7"/>
      <c r="AQ1195" s="7"/>
      <c r="AS1195" s="36"/>
      <c r="AT1195" s="36"/>
      <c r="AU1195" s="35"/>
      <c r="AV1195" s="7"/>
      <c r="AW1195" s="7"/>
      <c r="AX1195" s="7"/>
      <c r="AY1195" s="7"/>
      <c r="AZ1195" s="7"/>
      <c r="BA1195" s="7"/>
      <c r="BB1195" s="7"/>
      <c r="BC1195" s="7"/>
      <c r="BF1195" s="7"/>
      <c r="BG1195" s="36"/>
      <c r="BH1195" s="36"/>
      <c r="BI1195" s="36"/>
      <c r="BJ1195" s="36"/>
      <c r="BK1195" s="36"/>
      <c r="BL1195" s="36"/>
      <c r="BM1195" s="36"/>
      <c r="BN1195" s="36"/>
      <c r="BO1195" s="36"/>
    </row>
    <row r="1196" spans="1:67" x14ac:dyDescent="0.25">
      <c r="A1196" s="39"/>
      <c r="B1196" s="40"/>
      <c r="U1196" s="36"/>
      <c r="V1196" s="36"/>
      <c r="W1196" s="35"/>
      <c r="X1196" s="7"/>
      <c r="Y1196" s="7"/>
      <c r="Z1196" s="7"/>
      <c r="AA1196" s="7"/>
      <c r="AB1196" s="7"/>
      <c r="AC1196" s="7"/>
      <c r="AD1196" s="7"/>
      <c r="AE1196" s="7"/>
      <c r="AG1196" s="36"/>
      <c r="AH1196" s="36"/>
      <c r="AI1196" s="35"/>
      <c r="AJ1196" s="7"/>
      <c r="AK1196" s="7"/>
      <c r="AL1196" s="7"/>
      <c r="AM1196" s="7"/>
      <c r="AN1196" s="7"/>
      <c r="AO1196" s="7"/>
      <c r="AP1196" s="7"/>
      <c r="AQ1196" s="7"/>
      <c r="AS1196" s="36"/>
      <c r="AT1196" s="36"/>
      <c r="AU1196" s="35"/>
      <c r="AV1196" s="7"/>
      <c r="AW1196" s="7"/>
      <c r="AX1196" s="7"/>
      <c r="AY1196" s="7"/>
      <c r="AZ1196" s="7"/>
      <c r="BA1196" s="7"/>
      <c r="BB1196" s="7"/>
      <c r="BC1196" s="7"/>
      <c r="BF1196" s="7"/>
      <c r="BG1196" s="36"/>
      <c r="BH1196" s="36"/>
      <c r="BI1196" s="36"/>
      <c r="BJ1196" s="36"/>
      <c r="BK1196" s="36"/>
      <c r="BL1196" s="36"/>
      <c r="BM1196" s="36"/>
      <c r="BN1196" s="36"/>
      <c r="BO1196" s="36"/>
    </row>
    <row r="1197" spans="1:67" x14ac:dyDescent="0.25">
      <c r="A1197" s="39"/>
      <c r="B1197" s="40"/>
      <c r="U1197" s="36"/>
      <c r="V1197" s="36"/>
      <c r="W1197" s="35"/>
      <c r="X1197" s="7"/>
      <c r="Y1197" s="7"/>
      <c r="Z1197" s="7"/>
      <c r="AA1197" s="7"/>
      <c r="AB1197" s="7"/>
      <c r="AC1197" s="7"/>
      <c r="AD1197" s="7"/>
      <c r="AE1197" s="7"/>
      <c r="AG1197" s="36"/>
      <c r="AH1197" s="36"/>
      <c r="AI1197" s="35"/>
      <c r="AJ1197" s="7"/>
      <c r="AK1197" s="7"/>
      <c r="AL1197" s="7"/>
      <c r="AM1197" s="7"/>
      <c r="AN1197" s="7"/>
      <c r="AO1197" s="7"/>
      <c r="AP1197" s="7"/>
      <c r="AQ1197" s="7"/>
      <c r="AS1197" s="36"/>
      <c r="AT1197" s="36"/>
      <c r="AU1197" s="35"/>
      <c r="AV1197" s="7"/>
      <c r="AW1197" s="7"/>
      <c r="AX1197" s="7"/>
      <c r="AY1197" s="7"/>
      <c r="AZ1197" s="7"/>
      <c r="BA1197" s="7"/>
      <c r="BB1197" s="7"/>
      <c r="BC1197" s="7"/>
      <c r="BF1197" s="7"/>
      <c r="BG1197" s="36"/>
      <c r="BH1197" s="36"/>
      <c r="BI1197" s="36"/>
      <c r="BJ1197" s="36"/>
      <c r="BK1197" s="36"/>
      <c r="BL1197" s="36"/>
      <c r="BM1197" s="36"/>
      <c r="BN1197" s="36"/>
      <c r="BO1197" s="36"/>
    </row>
    <row r="1198" spans="1:67" x14ac:dyDescent="0.25">
      <c r="A1198" s="39"/>
      <c r="B1198" s="40"/>
      <c r="U1198" s="36"/>
      <c r="V1198" s="36"/>
      <c r="W1198" s="35"/>
      <c r="X1198" s="7"/>
      <c r="Y1198" s="7"/>
      <c r="Z1198" s="7"/>
      <c r="AA1198" s="7"/>
      <c r="AB1198" s="7"/>
      <c r="AC1198" s="7"/>
      <c r="AD1198" s="7"/>
      <c r="AE1198" s="7"/>
      <c r="AG1198" s="36"/>
      <c r="AH1198" s="36"/>
      <c r="AI1198" s="35"/>
      <c r="AJ1198" s="7"/>
      <c r="AK1198" s="7"/>
      <c r="AL1198" s="7"/>
      <c r="AM1198" s="7"/>
      <c r="AN1198" s="7"/>
      <c r="AO1198" s="7"/>
      <c r="AP1198" s="7"/>
      <c r="AQ1198" s="7"/>
      <c r="AS1198" s="36"/>
      <c r="AT1198" s="36"/>
      <c r="AU1198" s="35"/>
      <c r="AV1198" s="7"/>
      <c r="AW1198" s="7"/>
      <c r="AX1198" s="7"/>
      <c r="AY1198" s="7"/>
      <c r="AZ1198" s="7"/>
      <c r="BA1198" s="7"/>
      <c r="BB1198" s="7"/>
      <c r="BC1198" s="7"/>
      <c r="BF1198" s="7"/>
      <c r="BG1198" s="36"/>
      <c r="BH1198" s="36"/>
      <c r="BI1198" s="36"/>
      <c r="BJ1198" s="36"/>
      <c r="BK1198" s="36"/>
      <c r="BL1198" s="36"/>
      <c r="BM1198" s="36"/>
      <c r="BN1198" s="36"/>
      <c r="BO1198" s="36"/>
    </row>
    <row r="1199" spans="1:67" x14ac:dyDescent="0.25">
      <c r="A1199" s="39"/>
      <c r="B1199" s="40"/>
      <c r="U1199" s="36"/>
      <c r="V1199" s="36"/>
      <c r="W1199" s="35"/>
      <c r="X1199" s="7"/>
      <c r="Y1199" s="7"/>
      <c r="Z1199" s="7"/>
      <c r="AA1199" s="7"/>
      <c r="AB1199" s="7"/>
      <c r="AC1199" s="7"/>
      <c r="AD1199" s="7"/>
      <c r="AE1199" s="7"/>
      <c r="AG1199" s="36"/>
      <c r="AH1199" s="36"/>
      <c r="AI1199" s="35"/>
      <c r="AJ1199" s="7"/>
      <c r="AK1199" s="7"/>
      <c r="AL1199" s="7"/>
      <c r="AM1199" s="7"/>
      <c r="AN1199" s="7"/>
      <c r="AO1199" s="7"/>
      <c r="AP1199" s="7"/>
      <c r="AQ1199" s="7"/>
      <c r="AS1199" s="36"/>
      <c r="AT1199" s="36"/>
      <c r="AU1199" s="35"/>
      <c r="AV1199" s="7"/>
      <c r="AW1199" s="7"/>
      <c r="AX1199" s="7"/>
      <c r="AY1199" s="7"/>
      <c r="AZ1199" s="7"/>
      <c r="BA1199" s="7"/>
      <c r="BB1199" s="7"/>
      <c r="BC1199" s="7"/>
      <c r="BF1199" s="7"/>
      <c r="BG1199" s="36"/>
      <c r="BH1199" s="36"/>
      <c r="BI1199" s="36"/>
      <c r="BJ1199" s="36"/>
      <c r="BK1199" s="36"/>
      <c r="BL1199" s="36"/>
      <c r="BM1199" s="36"/>
      <c r="BN1199" s="36"/>
      <c r="BO1199" s="36"/>
    </row>
    <row r="1200" spans="1:67" x14ac:dyDescent="0.25">
      <c r="A1200" s="39"/>
      <c r="B1200" s="40"/>
      <c r="U1200" s="36"/>
      <c r="V1200" s="36"/>
      <c r="W1200" s="35"/>
      <c r="X1200" s="7"/>
      <c r="Y1200" s="7"/>
      <c r="Z1200" s="7"/>
      <c r="AA1200" s="7"/>
      <c r="AB1200" s="7"/>
      <c r="AC1200" s="7"/>
      <c r="AD1200" s="7"/>
      <c r="AE1200" s="7"/>
      <c r="AG1200" s="36"/>
      <c r="AH1200" s="36"/>
      <c r="AI1200" s="35"/>
      <c r="AJ1200" s="7"/>
      <c r="AK1200" s="7"/>
      <c r="AL1200" s="7"/>
      <c r="AM1200" s="7"/>
      <c r="AN1200" s="7"/>
      <c r="AO1200" s="7"/>
      <c r="AP1200" s="7"/>
      <c r="AQ1200" s="7"/>
      <c r="AS1200" s="36"/>
      <c r="AT1200" s="36"/>
      <c r="AU1200" s="35"/>
      <c r="AV1200" s="7"/>
      <c r="AW1200" s="7"/>
      <c r="AX1200" s="7"/>
      <c r="AY1200" s="7"/>
      <c r="AZ1200" s="7"/>
      <c r="BA1200" s="7"/>
      <c r="BB1200" s="7"/>
      <c r="BC1200" s="7"/>
      <c r="BF1200" s="7"/>
      <c r="BG1200" s="36"/>
      <c r="BH1200" s="36"/>
      <c r="BI1200" s="36"/>
      <c r="BJ1200" s="36"/>
      <c r="BK1200" s="36"/>
      <c r="BL1200" s="36"/>
      <c r="BM1200" s="36"/>
      <c r="BN1200" s="36"/>
      <c r="BO1200" s="36"/>
    </row>
    <row r="1201" spans="1:67" x14ac:dyDescent="0.25">
      <c r="A1201" s="39"/>
      <c r="B1201" s="40"/>
      <c r="U1201" s="36"/>
      <c r="V1201" s="36"/>
      <c r="W1201" s="35"/>
      <c r="X1201" s="7"/>
      <c r="Y1201" s="7"/>
      <c r="Z1201" s="7"/>
      <c r="AA1201" s="7"/>
      <c r="AB1201" s="7"/>
      <c r="AC1201" s="7"/>
      <c r="AD1201" s="7"/>
      <c r="AE1201" s="7"/>
      <c r="AG1201" s="36"/>
      <c r="AH1201" s="36"/>
      <c r="AI1201" s="35"/>
      <c r="AJ1201" s="7"/>
      <c r="AK1201" s="7"/>
      <c r="AL1201" s="7"/>
      <c r="AM1201" s="7"/>
      <c r="AN1201" s="7"/>
      <c r="AO1201" s="7"/>
      <c r="AP1201" s="7"/>
      <c r="AQ1201" s="7"/>
      <c r="AS1201" s="36"/>
      <c r="AT1201" s="36"/>
      <c r="AU1201" s="35"/>
      <c r="AV1201" s="7"/>
      <c r="AW1201" s="7"/>
      <c r="AX1201" s="7"/>
      <c r="AY1201" s="7"/>
      <c r="AZ1201" s="7"/>
      <c r="BA1201" s="7"/>
      <c r="BB1201" s="7"/>
      <c r="BC1201" s="7"/>
      <c r="BF1201" s="7"/>
      <c r="BG1201" s="36"/>
      <c r="BH1201" s="36"/>
      <c r="BI1201" s="36"/>
      <c r="BJ1201" s="36"/>
      <c r="BK1201" s="36"/>
      <c r="BL1201" s="36"/>
      <c r="BM1201" s="36"/>
      <c r="BN1201" s="36"/>
      <c r="BO1201" s="36"/>
    </row>
    <row r="1202" spans="1:67" x14ac:dyDescent="0.25">
      <c r="A1202" s="39"/>
      <c r="B1202" s="40"/>
      <c r="U1202" s="36"/>
      <c r="V1202" s="36"/>
      <c r="W1202" s="35"/>
      <c r="X1202" s="7"/>
      <c r="Y1202" s="7"/>
      <c r="Z1202" s="7"/>
      <c r="AA1202" s="7"/>
      <c r="AB1202" s="7"/>
      <c r="AC1202" s="7"/>
      <c r="AD1202" s="7"/>
      <c r="AE1202" s="7"/>
      <c r="AG1202" s="36"/>
      <c r="AH1202" s="36"/>
      <c r="AI1202" s="35"/>
      <c r="AJ1202" s="7"/>
      <c r="AK1202" s="7"/>
      <c r="AL1202" s="7"/>
      <c r="AM1202" s="7"/>
      <c r="AN1202" s="7"/>
      <c r="AO1202" s="7"/>
      <c r="AP1202" s="7"/>
      <c r="AQ1202" s="7"/>
      <c r="AS1202" s="36"/>
      <c r="AT1202" s="36"/>
      <c r="AU1202" s="35"/>
      <c r="AV1202" s="7"/>
      <c r="AW1202" s="7"/>
      <c r="AX1202" s="7"/>
      <c r="AY1202" s="7"/>
      <c r="AZ1202" s="7"/>
      <c r="BA1202" s="7"/>
      <c r="BB1202" s="7"/>
      <c r="BC1202" s="7"/>
      <c r="BF1202" s="7"/>
      <c r="BG1202" s="36"/>
      <c r="BH1202" s="36"/>
      <c r="BI1202" s="36"/>
      <c r="BJ1202" s="36"/>
      <c r="BK1202" s="36"/>
      <c r="BL1202" s="36"/>
      <c r="BM1202" s="36"/>
      <c r="BN1202" s="36"/>
      <c r="BO1202" s="36"/>
    </row>
    <row r="1203" spans="1:67" x14ac:dyDescent="0.25">
      <c r="A1203" s="39"/>
      <c r="B1203" s="40"/>
      <c r="U1203" s="36"/>
      <c r="V1203" s="36"/>
      <c r="W1203" s="35"/>
      <c r="X1203" s="7"/>
      <c r="Y1203" s="7"/>
      <c r="Z1203" s="7"/>
      <c r="AA1203" s="7"/>
      <c r="AB1203" s="7"/>
      <c r="AC1203" s="7"/>
      <c r="AD1203" s="7"/>
      <c r="AE1203" s="7"/>
      <c r="AG1203" s="36"/>
      <c r="AH1203" s="36"/>
      <c r="AI1203" s="35"/>
      <c r="AJ1203" s="7"/>
      <c r="AK1203" s="7"/>
      <c r="AL1203" s="7"/>
      <c r="AM1203" s="7"/>
      <c r="AN1203" s="7"/>
      <c r="AO1203" s="7"/>
      <c r="AP1203" s="7"/>
      <c r="AQ1203" s="7"/>
      <c r="AS1203" s="36"/>
      <c r="AT1203" s="36"/>
      <c r="AU1203" s="35"/>
      <c r="AV1203" s="7"/>
      <c r="AW1203" s="7"/>
      <c r="AX1203" s="7"/>
      <c r="AY1203" s="7"/>
      <c r="AZ1203" s="7"/>
      <c r="BA1203" s="7"/>
      <c r="BB1203" s="7"/>
      <c r="BC1203" s="7"/>
      <c r="BF1203" s="7"/>
      <c r="BG1203" s="36"/>
      <c r="BH1203" s="36"/>
      <c r="BI1203" s="36"/>
      <c r="BJ1203" s="36"/>
      <c r="BK1203" s="36"/>
      <c r="BL1203" s="36"/>
      <c r="BM1203" s="36"/>
      <c r="BN1203" s="36"/>
      <c r="BO1203" s="36"/>
    </row>
    <row r="1204" spans="1:67" x14ac:dyDescent="0.25">
      <c r="A1204" s="39"/>
      <c r="B1204" s="40"/>
      <c r="U1204" s="36"/>
      <c r="V1204" s="36"/>
      <c r="W1204" s="35"/>
      <c r="X1204" s="7"/>
      <c r="Y1204" s="7"/>
      <c r="Z1204" s="7"/>
      <c r="AA1204" s="7"/>
      <c r="AB1204" s="7"/>
      <c r="AC1204" s="7"/>
      <c r="AD1204" s="7"/>
      <c r="AE1204" s="7"/>
      <c r="AG1204" s="36"/>
      <c r="AH1204" s="36"/>
      <c r="AI1204" s="35"/>
      <c r="AJ1204" s="7"/>
      <c r="AK1204" s="7"/>
      <c r="AL1204" s="7"/>
      <c r="AM1204" s="7"/>
      <c r="AN1204" s="7"/>
      <c r="AO1204" s="7"/>
      <c r="AP1204" s="7"/>
      <c r="AQ1204" s="7"/>
      <c r="AS1204" s="36"/>
      <c r="AT1204" s="36"/>
      <c r="AU1204" s="35"/>
      <c r="AV1204" s="7"/>
      <c r="AW1204" s="7"/>
      <c r="AX1204" s="7"/>
      <c r="AY1204" s="7"/>
      <c r="AZ1204" s="7"/>
      <c r="BA1204" s="7"/>
      <c r="BB1204" s="7"/>
      <c r="BC1204" s="7"/>
      <c r="BF1204" s="7"/>
      <c r="BG1204" s="36"/>
      <c r="BH1204" s="36"/>
      <c r="BI1204" s="36"/>
      <c r="BJ1204" s="36"/>
      <c r="BK1204" s="36"/>
      <c r="BL1204" s="36"/>
      <c r="BM1204" s="36"/>
      <c r="BN1204" s="36"/>
      <c r="BO1204" s="36"/>
    </row>
    <row r="1205" spans="1:67" x14ac:dyDescent="0.25">
      <c r="A1205" s="39"/>
      <c r="B1205" s="40"/>
      <c r="U1205" s="36"/>
      <c r="V1205" s="36"/>
      <c r="W1205" s="35"/>
      <c r="X1205" s="7"/>
      <c r="Y1205" s="7"/>
      <c r="Z1205" s="7"/>
      <c r="AA1205" s="7"/>
      <c r="AB1205" s="7"/>
      <c r="AC1205" s="7"/>
      <c r="AD1205" s="7"/>
      <c r="AE1205" s="7"/>
      <c r="AG1205" s="36"/>
      <c r="AH1205" s="36"/>
      <c r="AI1205" s="35"/>
      <c r="AJ1205" s="7"/>
      <c r="AK1205" s="7"/>
      <c r="AL1205" s="7"/>
      <c r="AM1205" s="7"/>
      <c r="AN1205" s="7"/>
      <c r="AO1205" s="7"/>
      <c r="AP1205" s="7"/>
      <c r="AQ1205" s="7"/>
      <c r="AS1205" s="36"/>
      <c r="AT1205" s="36"/>
      <c r="AU1205" s="35"/>
      <c r="AV1205" s="7"/>
      <c r="AW1205" s="7"/>
      <c r="AX1205" s="7"/>
      <c r="AY1205" s="7"/>
      <c r="AZ1205" s="7"/>
      <c r="BA1205" s="7"/>
      <c r="BB1205" s="7"/>
      <c r="BC1205" s="7"/>
      <c r="BF1205" s="7"/>
      <c r="BG1205" s="36"/>
      <c r="BH1205" s="36"/>
      <c r="BI1205" s="36"/>
      <c r="BJ1205" s="36"/>
      <c r="BK1205" s="36"/>
      <c r="BL1205" s="36"/>
      <c r="BM1205" s="36"/>
      <c r="BN1205" s="36"/>
      <c r="BO1205" s="36"/>
    </row>
    <row r="1206" spans="1:67" x14ac:dyDescent="0.25">
      <c r="A1206" s="39"/>
      <c r="B1206" s="40"/>
      <c r="U1206" s="36"/>
      <c r="V1206" s="36"/>
      <c r="W1206" s="35"/>
      <c r="X1206" s="7"/>
      <c r="Y1206" s="7"/>
      <c r="Z1206" s="7"/>
      <c r="AA1206" s="7"/>
      <c r="AB1206" s="7"/>
      <c r="AC1206" s="7"/>
      <c r="AD1206" s="7"/>
      <c r="AE1206" s="7"/>
      <c r="AG1206" s="36"/>
      <c r="AH1206" s="36"/>
      <c r="AI1206" s="35"/>
      <c r="AJ1206" s="7"/>
      <c r="AK1206" s="7"/>
      <c r="AL1206" s="7"/>
      <c r="AM1206" s="7"/>
      <c r="AN1206" s="7"/>
      <c r="AO1206" s="7"/>
      <c r="AP1206" s="7"/>
      <c r="AQ1206" s="7"/>
      <c r="AS1206" s="36"/>
      <c r="AT1206" s="36"/>
      <c r="AU1206" s="35"/>
      <c r="AV1206" s="7"/>
      <c r="AW1206" s="7"/>
      <c r="AX1206" s="7"/>
      <c r="AY1206" s="7"/>
      <c r="AZ1206" s="7"/>
      <c r="BA1206" s="7"/>
      <c r="BB1206" s="7"/>
      <c r="BC1206" s="7"/>
      <c r="BF1206" s="7"/>
      <c r="BG1206" s="36"/>
      <c r="BH1206" s="36"/>
      <c r="BI1206" s="36"/>
      <c r="BJ1206" s="36"/>
      <c r="BK1206" s="36"/>
      <c r="BL1206" s="36"/>
      <c r="BM1206" s="36"/>
      <c r="BN1206" s="36"/>
      <c r="BO1206" s="36"/>
    </row>
    <row r="1207" spans="1:67" x14ac:dyDescent="0.25">
      <c r="A1207" s="39"/>
      <c r="B1207" s="40"/>
      <c r="U1207" s="36"/>
      <c r="V1207" s="36"/>
      <c r="W1207" s="35"/>
      <c r="X1207" s="7"/>
      <c r="Y1207" s="7"/>
      <c r="Z1207" s="7"/>
      <c r="AA1207" s="7"/>
      <c r="AB1207" s="7"/>
      <c r="AC1207" s="7"/>
      <c r="AD1207" s="7"/>
      <c r="AE1207" s="7"/>
      <c r="AG1207" s="36"/>
      <c r="AH1207" s="36"/>
      <c r="AI1207" s="35"/>
      <c r="AJ1207" s="7"/>
      <c r="AK1207" s="7"/>
      <c r="AL1207" s="7"/>
      <c r="AM1207" s="7"/>
      <c r="AN1207" s="7"/>
      <c r="AO1207" s="7"/>
      <c r="AP1207" s="7"/>
      <c r="AQ1207" s="7"/>
      <c r="AS1207" s="36"/>
      <c r="AT1207" s="36"/>
      <c r="AU1207" s="35"/>
      <c r="AV1207" s="7"/>
      <c r="AW1207" s="7"/>
      <c r="AX1207" s="7"/>
      <c r="AY1207" s="7"/>
      <c r="AZ1207" s="7"/>
      <c r="BA1207" s="7"/>
      <c r="BB1207" s="7"/>
      <c r="BC1207" s="7"/>
      <c r="BF1207" s="7"/>
      <c r="BG1207" s="36"/>
      <c r="BH1207" s="36"/>
      <c r="BI1207" s="36"/>
      <c r="BJ1207" s="36"/>
      <c r="BK1207" s="36"/>
      <c r="BL1207" s="36"/>
      <c r="BM1207" s="36"/>
      <c r="BN1207" s="36"/>
      <c r="BO1207" s="36"/>
    </row>
    <row r="1208" spans="1:67" x14ac:dyDescent="0.25">
      <c r="A1208" s="39"/>
      <c r="B1208" s="40"/>
      <c r="U1208" s="36"/>
      <c r="V1208" s="36"/>
      <c r="W1208" s="35"/>
      <c r="X1208" s="7"/>
      <c r="Y1208" s="7"/>
      <c r="Z1208" s="7"/>
      <c r="AA1208" s="7"/>
      <c r="AB1208" s="7"/>
      <c r="AC1208" s="7"/>
      <c r="AD1208" s="7"/>
      <c r="AE1208" s="7"/>
      <c r="AG1208" s="36"/>
      <c r="AH1208" s="36"/>
      <c r="AI1208" s="35"/>
      <c r="AJ1208" s="7"/>
      <c r="AK1208" s="7"/>
      <c r="AL1208" s="7"/>
      <c r="AM1208" s="7"/>
      <c r="AN1208" s="7"/>
      <c r="AO1208" s="7"/>
      <c r="AP1208" s="7"/>
      <c r="AQ1208" s="7"/>
      <c r="AS1208" s="36"/>
      <c r="AT1208" s="36"/>
      <c r="AU1208" s="35"/>
      <c r="AV1208" s="7"/>
      <c r="AW1208" s="7"/>
      <c r="AX1208" s="7"/>
      <c r="AY1208" s="7"/>
      <c r="AZ1208" s="7"/>
      <c r="BA1208" s="7"/>
      <c r="BB1208" s="7"/>
      <c r="BC1208" s="7"/>
      <c r="BF1208" s="7"/>
      <c r="BG1208" s="36"/>
      <c r="BH1208" s="36"/>
      <c r="BI1208" s="36"/>
      <c r="BJ1208" s="36"/>
      <c r="BK1208" s="36"/>
      <c r="BL1208" s="36"/>
      <c r="BM1208" s="36"/>
      <c r="BN1208" s="36"/>
      <c r="BO1208" s="36"/>
    </row>
    <row r="1209" spans="1:67" x14ac:dyDescent="0.25">
      <c r="A1209" s="39"/>
      <c r="B1209" s="40"/>
      <c r="U1209" s="36"/>
      <c r="V1209" s="36"/>
      <c r="W1209" s="35"/>
      <c r="X1209" s="7"/>
      <c r="Y1209" s="7"/>
      <c r="Z1209" s="7"/>
      <c r="AA1209" s="7"/>
      <c r="AB1209" s="7"/>
      <c r="AC1209" s="7"/>
      <c r="AD1209" s="7"/>
      <c r="AE1209" s="7"/>
      <c r="AG1209" s="36"/>
      <c r="AH1209" s="36"/>
      <c r="AI1209" s="35"/>
      <c r="AJ1209" s="7"/>
      <c r="AK1209" s="7"/>
      <c r="AL1209" s="7"/>
      <c r="AM1209" s="7"/>
      <c r="AN1209" s="7"/>
      <c r="AO1209" s="7"/>
      <c r="AP1209" s="7"/>
      <c r="AQ1209" s="7"/>
      <c r="AS1209" s="36"/>
      <c r="AT1209" s="36"/>
      <c r="AU1209" s="35"/>
      <c r="AV1209" s="7"/>
      <c r="AW1209" s="7"/>
      <c r="AX1209" s="7"/>
      <c r="AY1209" s="7"/>
      <c r="AZ1209" s="7"/>
      <c r="BA1209" s="7"/>
      <c r="BB1209" s="7"/>
      <c r="BC1209" s="7"/>
      <c r="BF1209" s="7"/>
      <c r="BG1209" s="36"/>
      <c r="BH1209" s="36"/>
      <c r="BI1209" s="36"/>
      <c r="BJ1209" s="36"/>
      <c r="BK1209" s="36"/>
      <c r="BL1209" s="36"/>
      <c r="BM1209" s="36"/>
      <c r="BN1209" s="36"/>
      <c r="BO1209" s="36"/>
    </row>
    <row r="1210" spans="1:67" x14ac:dyDescent="0.25">
      <c r="A1210" s="39"/>
      <c r="B1210" s="40"/>
      <c r="U1210" s="36"/>
      <c r="V1210" s="36"/>
      <c r="W1210" s="35"/>
      <c r="X1210" s="7"/>
      <c r="Y1210" s="7"/>
      <c r="Z1210" s="7"/>
      <c r="AA1210" s="7"/>
      <c r="AB1210" s="7"/>
      <c r="AC1210" s="7"/>
      <c r="AD1210" s="7"/>
      <c r="AE1210" s="7"/>
      <c r="AG1210" s="36"/>
      <c r="AH1210" s="36"/>
      <c r="AI1210" s="35"/>
      <c r="AJ1210" s="7"/>
      <c r="AK1210" s="7"/>
      <c r="AL1210" s="7"/>
      <c r="AM1210" s="7"/>
      <c r="AN1210" s="7"/>
      <c r="AO1210" s="7"/>
      <c r="AP1210" s="7"/>
      <c r="AQ1210" s="7"/>
      <c r="AS1210" s="36"/>
      <c r="AT1210" s="36"/>
      <c r="AU1210" s="35"/>
      <c r="AV1210" s="7"/>
      <c r="AW1210" s="7"/>
      <c r="AX1210" s="7"/>
      <c r="AY1210" s="7"/>
      <c r="AZ1210" s="7"/>
      <c r="BA1210" s="7"/>
      <c r="BB1210" s="7"/>
      <c r="BC1210" s="7"/>
      <c r="BF1210" s="7"/>
      <c r="BG1210" s="36"/>
      <c r="BH1210" s="36"/>
      <c r="BI1210" s="36"/>
      <c r="BJ1210" s="36"/>
      <c r="BK1210" s="36"/>
      <c r="BL1210" s="36"/>
      <c r="BM1210" s="36"/>
      <c r="BN1210" s="36"/>
      <c r="BO1210" s="36"/>
    </row>
    <row r="1211" spans="1:67" x14ac:dyDescent="0.25">
      <c r="A1211" s="39"/>
      <c r="B1211" s="40"/>
      <c r="U1211" s="36"/>
      <c r="V1211" s="36"/>
      <c r="W1211" s="35"/>
      <c r="X1211" s="7"/>
      <c r="Y1211" s="7"/>
      <c r="Z1211" s="7"/>
      <c r="AA1211" s="7"/>
      <c r="AB1211" s="7"/>
      <c r="AC1211" s="7"/>
      <c r="AD1211" s="7"/>
      <c r="AE1211" s="7"/>
      <c r="AG1211" s="36"/>
      <c r="AH1211" s="36"/>
      <c r="AI1211" s="35"/>
      <c r="AJ1211" s="7"/>
      <c r="AK1211" s="7"/>
      <c r="AL1211" s="7"/>
      <c r="AM1211" s="7"/>
      <c r="AN1211" s="7"/>
      <c r="AO1211" s="7"/>
      <c r="AP1211" s="7"/>
      <c r="AQ1211" s="7"/>
      <c r="AS1211" s="36"/>
      <c r="AT1211" s="36"/>
      <c r="AU1211" s="35"/>
      <c r="AV1211" s="7"/>
      <c r="AW1211" s="7"/>
      <c r="AX1211" s="7"/>
      <c r="AY1211" s="7"/>
      <c r="AZ1211" s="7"/>
      <c r="BA1211" s="7"/>
      <c r="BB1211" s="7"/>
      <c r="BC1211" s="7"/>
      <c r="BF1211" s="7"/>
      <c r="BG1211" s="36"/>
      <c r="BH1211" s="36"/>
      <c r="BI1211" s="36"/>
      <c r="BJ1211" s="36"/>
      <c r="BK1211" s="36"/>
      <c r="BL1211" s="36"/>
      <c r="BM1211" s="36"/>
      <c r="BN1211" s="36"/>
      <c r="BO1211" s="36"/>
    </row>
    <row r="1212" spans="1:67" x14ac:dyDescent="0.25">
      <c r="A1212" s="39"/>
      <c r="B1212" s="40"/>
      <c r="U1212" s="36"/>
      <c r="V1212" s="36"/>
      <c r="W1212" s="35"/>
      <c r="X1212" s="7"/>
      <c r="Y1212" s="7"/>
      <c r="Z1212" s="7"/>
      <c r="AA1212" s="7"/>
      <c r="AB1212" s="7"/>
      <c r="AC1212" s="7"/>
      <c r="AD1212" s="7"/>
      <c r="AE1212" s="7"/>
      <c r="AG1212" s="36"/>
      <c r="AH1212" s="36"/>
      <c r="AI1212" s="35"/>
      <c r="AJ1212" s="7"/>
      <c r="AK1212" s="7"/>
      <c r="AL1212" s="7"/>
      <c r="AM1212" s="7"/>
      <c r="AN1212" s="7"/>
      <c r="AO1212" s="7"/>
      <c r="AP1212" s="7"/>
      <c r="AQ1212" s="7"/>
      <c r="AS1212" s="36"/>
      <c r="AT1212" s="36"/>
      <c r="AU1212" s="35"/>
      <c r="AV1212" s="7"/>
      <c r="AW1212" s="7"/>
      <c r="AX1212" s="7"/>
      <c r="AY1212" s="7"/>
      <c r="AZ1212" s="7"/>
      <c r="BA1212" s="7"/>
      <c r="BB1212" s="7"/>
      <c r="BC1212" s="7"/>
      <c r="BF1212" s="7"/>
      <c r="BG1212" s="36"/>
      <c r="BH1212" s="36"/>
      <c r="BI1212" s="36"/>
      <c r="BJ1212" s="36"/>
      <c r="BK1212" s="36"/>
      <c r="BL1212" s="36"/>
      <c r="BM1212" s="36"/>
      <c r="BN1212" s="36"/>
      <c r="BO1212" s="36"/>
    </row>
    <row r="1213" spans="1:67" x14ac:dyDescent="0.25">
      <c r="A1213" s="39"/>
      <c r="B1213" s="40"/>
      <c r="U1213" s="36"/>
      <c r="V1213" s="36"/>
      <c r="W1213" s="35"/>
      <c r="X1213" s="7"/>
      <c r="Y1213" s="7"/>
      <c r="Z1213" s="7"/>
      <c r="AA1213" s="7"/>
      <c r="AB1213" s="7"/>
      <c r="AC1213" s="7"/>
      <c r="AD1213" s="7"/>
      <c r="AE1213" s="7"/>
      <c r="AG1213" s="36"/>
      <c r="AH1213" s="36"/>
      <c r="AI1213" s="35"/>
      <c r="AJ1213" s="7"/>
      <c r="AK1213" s="7"/>
      <c r="AL1213" s="7"/>
      <c r="AM1213" s="7"/>
      <c r="AN1213" s="7"/>
      <c r="AO1213" s="7"/>
      <c r="AP1213" s="7"/>
      <c r="AQ1213" s="7"/>
      <c r="AS1213" s="36"/>
      <c r="AT1213" s="36"/>
      <c r="AU1213" s="35"/>
      <c r="AV1213" s="7"/>
      <c r="AW1213" s="7"/>
      <c r="AX1213" s="7"/>
      <c r="AY1213" s="7"/>
      <c r="AZ1213" s="7"/>
      <c r="BA1213" s="7"/>
      <c r="BB1213" s="7"/>
      <c r="BC1213" s="7"/>
      <c r="BF1213" s="7"/>
      <c r="BG1213" s="36"/>
      <c r="BH1213" s="36"/>
      <c r="BI1213" s="36"/>
      <c r="BJ1213" s="36"/>
      <c r="BK1213" s="36"/>
      <c r="BL1213" s="36"/>
      <c r="BM1213" s="36"/>
      <c r="BN1213" s="36"/>
      <c r="BO1213" s="36"/>
    </row>
    <row r="1214" spans="1:67" x14ac:dyDescent="0.25">
      <c r="A1214" s="39"/>
      <c r="B1214" s="40"/>
      <c r="U1214" s="36"/>
      <c r="V1214" s="36"/>
      <c r="W1214" s="35"/>
      <c r="X1214" s="7"/>
      <c r="Y1214" s="7"/>
      <c r="Z1214" s="7"/>
      <c r="AA1214" s="7"/>
      <c r="AB1214" s="7"/>
      <c r="AC1214" s="7"/>
      <c r="AD1214" s="7"/>
      <c r="AE1214" s="7"/>
      <c r="AG1214" s="36"/>
      <c r="AH1214" s="36"/>
      <c r="AI1214" s="35"/>
      <c r="AJ1214" s="7"/>
      <c r="AK1214" s="7"/>
      <c r="AL1214" s="7"/>
      <c r="AM1214" s="7"/>
      <c r="AN1214" s="7"/>
      <c r="AO1214" s="7"/>
      <c r="AP1214" s="7"/>
      <c r="AQ1214" s="7"/>
      <c r="AS1214" s="36"/>
      <c r="AT1214" s="36"/>
      <c r="AU1214" s="35"/>
      <c r="AV1214" s="7"/>
      <c r="AW1214" s="7"/>
      <c r="AX1214" s="7"/>
      <c r="AY1214" s="7"/>
      <c r="AZ1214" s="7"/>
      <c r="BA1214" s="7"/>
      <c r="BB1214" s="7"/>
      <c r="BC1214" s="7"/>
      <c r="BF1214" s="7"/>
      <c r="BG1214" s="36"/>
      <c r="BH1214" s="36"/>
      <c r="BI1214" s="36"/>
      <c r="BJ1214" s="36"/>
      <c r="BK1214" s="36"/>
      <c r="BL1214" s="36"/>
      <c r="BM1214" s="36"/>
      <c r="BN1214" s="36"/>
      <c r="BO1214" s="36"/>
    </row>
    <row r="1215" spans="1:67" x14ac:dyDescent="0.25">
      <c r="A1215" s="39"/>
      <c r="B1215" s="40"/>
      <c r="U1215" s="36"/>
      <c r="V1215" s="36"/>
      <c r="W1215" s="35"/>
      <c r="X1215" s="7"/>
      <c r="Y1215" s="7"/>
      <c r="Z1215" s="7"/>
      <c r="AA1215" s="7"/>
      <c r="AB1215" s="7"/>
      <c r="AC1215" s="7"/>
      <c r="AD1215" s="7"/>
      <c r="AE1215" s="7"/>
      <c r="AG1215" s="36"/>
      <c r="AH1215" s="36"/>
      <c r="AI1215" s="35"/>
      <c r="AJ1215" s="7"/>
      <c r="AK1215" s="7"/>
      <c r="AL1215" s="7"/>
      <c r="AM1215" s="7"/>
      <c r="AN1215" s="7"/>
      <c r="AO1215" s="7"/>
      <c r="AP1215" s="7"/>
      <c r="AQ1215" s="7"/>
      <c r="AS1215" s="36"/>
      <c r="AT1215" s="36"/>
      <c r="AU1215" s="35"/>
      <c r="AV1215" s="7"/>
      <c r="AW1215" s="7"/>
      <c r="AX1215" s="7"/>
      <c r="AY1215" s="7"/>
      <c r="AZ1215" s="7"/>
      <c r="BA1215" s="7"/>
      <c r="BB1215" s="7"/>
      <c r="BC1215" s="7"/>
      <c r="BF1215" s="7"/>
      <c r="BG1215" s="36"/>
      <c r="BH1215" s="36"/>
      <c r="BI1215" s="36"/>
      <c r="BJ1215" s="36"/>
      <c r="BK1215" s="36"/>
      <c r="BL1215" s="36"/>
      <c r="BM1215" s="36"/>
      <c r="BN1215" s="36"/>
      <c r="BO1215" s="36"/>
    </row>
    <row r="1216" spans="1:67" x14ac:dyDescent="0.25">
      <c r="A1216" s="39"/>
      <c r="B1216" s="40"/>
      <c r="U1216" s="36"/>
      <c r="V1216" s="36"/>
      <c r="W1216" s="35"/>
      <c r="X1216" s="7"/>
      <c r="Y1216" s="7"/>
      <c r="Z1216" s="7"/>
      <c r="AA1216" s="7"/>
      <c r="AB1216" s="7"/>
      <c r="AC1216" s="7"/>
      <c r="AD1216" s="7"/>
      <c r="AE1216" s="7"/>
      <c r="AG1216" s="36"/>
      <c r="AH1216" s="36"/>
      <c r="AI1216" s="35"/>
      <c r="AJ1216" s="7"/>
      <c r="AK1216" s="7"/>
      <c r="AL1216" s="7"/>
      <c r="AM1216" s="7"/>
      <c r="AN1216" s="7"/>
      <c r="AO1216" s="7"/>
      <c r="AP1216" s="7"/>
      <c r="AQ1216" s="7"/>
      <c r="AS1216" s="36"/>
      <c r="AT1216" s="36"/>
      <c r="AU1216" s="35"/>
      <c r="AV1216" s="7"/>
      <c r="AW1216" s="7"/>
      <c r="AX1216" s="7"/>
      <c r="AY1216" s="7"/>
      <c r="AZ1216" s="7"/>
      <c r="BA1216" s="7"/>
      <c r="BB1216" s="7"/>
      <c r="BC1216" s="7"/>
      <c r="BF1216" s="7"/>
      <c r="BG1216" s="36"/>
      <c r="BH1216" s="36"/>
      <c r="BI1216" s="36"/>
      <c r="BJ1216" s="36"/>
      <c r="BK1216" s="36"/>
      <c r="BL1216" s="36"/>
      <c r="BM1216" s="36"/>
      <c r="BN1216" s="36"/>
      <c r="BO1216" s="36"/>
    </row>
    <row r="1217" spans="1:67" x14ac:dyDescent="0.25">
      <c r="A1217" s="39"/>
      <c r="B1217" s="40"/>
      <c r="U1217" s="36"/>
      <c r="V1217" s="36"/>
      <c r="W1217" s="35"/>
      <c r="X1217" s="7"/>
      <c r="Y1217" s="7"/>
      <c r="Z1217" s="7"/>
      <c r="AA1217" s="7"/>
      <c r="AB1217" s="7"/>
      <c r="AC1217" s="7"/>
      <c r="AD1217" s="7"/>
      <c r="AE1217" s="7"/>
      <c r="AG1217" s="36"/>
      <c r="AH1217" s="36"/>
      <c r="AI1217" s="35"/>
      <c r="AJ1217" s="7"/>
      <c r="AK1217" s="7"/>
      <c r="AL1217" s="7"/>
      <c r="AM1217" s="7"/>
      <c r="AN1217" s="7"/>
      <c r="AO1217" s="7"/>
      <c r="AP1217" s="7"/>
      <c r="AQ1217" s="7"/>
      <c r="AS1217" s="36"/>
      <c r="AT1217" s="36"/>
      <c r="AU1217" s="35"/>
      <c r="AV1217" s="7"/>
      <c r="AW1217" s="7"/>
      <c r="AX1217" s="7"/>
      <c r="AY1217" s="7"/>
      <c r="AZ1217" s="7"/>
      <c r="BA1217" s="7"/>
      <c r="BB1217" s="7"/>
      <c r="BC1217" s="7"/>
      <c r="BF1217" s="7"/>
      <c r="BG1217" s="36"/>
      <c r="BH1217" s="36"/>
      <c r="BI1217" s="36"/>
      <c r="BJ1217" s="36"/>
      <c r="BK1217" s="36"/>
      <c r="BL1217" s="36"/>
      <c r="BM1217" s="36"/>
      <c r="BN1217" s="36"/>
      <c r="BO1217" s="36"/>
    </row>
    <row r="1218" spans="1:67" x14ac:dyDescent="0.25">
      <c r="A1218" s="39"/>
      <c r="B1218" s="40"/>
      <c r="U1218" s="36"/>
      <c r="V1218" s="36"/>
      <c r="W1218" s="35"/>
      <c r="X1218" s="7"/>
      <c r="Y1218" s="7"/>
      <c r="Z1218" s="7"/>
      <c r="AA1218" s="7"/>
      <c r="AB1218" s="7"/>
      <c r="AC1218" s="7"/>
      <c r="AD1218" s="7"/>
      <c r="AE1218" s="7"/>
      <c r="AG1218" s="36"/>
      <c r="AH1218" s="36"/>
      <c r="AI1218" s="35"/>
      <c r="AJ1218" s="7"/>
      <c r="AK1218" s="7"/>
      <c r="AL1218" s="7"/>
      <c r="AM1218" s="7"/>
      <c r="AN1218" s="7"/>
      <c r="AO1218" s="7"/>
      <c r="AP1218" s="7"/>
      <c r="AQ1218" s="7"/>
      <c r="AS1218" s="36"/>
      <c r="AT1218" s="36"/>
      <c r="AU1218" s="35"/>
      <c r="AV1218" s="7"/>
      <c r="AW1218" s="7"/>
      <c r="AX1218" s="7"/>
      <c r="AY1218" s="7"/>
      <c r="AZ1218" s="7"/>
      <c r="BA1218" s="7"/>
      <c r="BB1218" s="7"/>
      <c r="BC1218" s="7"/>
      <c r="BF1218" s="7"/>
      <c r="BG1218" s="36"/>
      <c r="BH1218" s="36"/>
      <c r="BI1218" s="36"/>
      <c r="BJ1218" s="36"/>
      <c r="BK1218" s="36"/>
      <c r="BL1218" s="36"/>
      <c r="BM1218" s="36"/>
      <c r="BN1218" s="36"/>
      <c r="BO1218" s="36"/>
    </row>
    <row r="1219" spans="1:67" x14ac:dyDescent="0.25">
      <c r="A1219" s="39"/>
      <c r="B1219" s="40"/>
      <c r="U1219" s="36"/>
      <c r="V1219" s="36"/>
      <c r="W1219" s="35"/>
      <c r="X1219" s="7"/>
      <c r="Y1219" s="7"/>
      <c r="Z1219" s="7"/>
      <c r="AA1219" s="7"/>
      <c r="AB1219" s="7"/>
      <c r="AC1219" s="7"/>
      <c r="AD1219" s="7"/>
      <c r="AE1219" s="7"/>
      <c r="AG1219" s="36"/>
      <c r="AH1219" s="36"/>
      <c r="AI1219" s="35"/>
      <c r="AJ1219" s="7"/>
      <c r="AK1219" s="7"/>
      <c r="AL1219" s="7"/>
      <c r="AM1219" s="7"/>
      <c r="AN1219" s="7"/>
      <c r="AO1219" s="7"/>
      <c r="AP1219" s="7"/>
      <c r="AQ1219" s="7"/>
      <c r="AS1219" s="36"/>
      <c r="AT1219" s="36"/>
      <c r="AU1219" s="35"/>
      <c r="AV1219" s="7"/>
      <c r="AW1219" s="7"/>
      <c r="AX1219" s="7"/>
      <c r="AY1219" s="7"/>
      <c r="AZ1219" s="7"/>
      <c r="BA1219" s="7"/>
      <c r="BB1219" s="7"/>
      <c r="BC1219" s="7"/>
      <c r="BF1219" s="7"/>
      <c r="BG1219" s="36"/>
      <c r="BH1219" s="36"/>
      <c r="BI1219" s="36"/>
      <c r="BJ1219" s="36"/>
      <c r="BK1219" s="36"/>
      <c r="BL1219" s="36"/>
      <c r="BM1219" s="36"/>
      <c r="BN1219" s="36"/>
      <c r="BO1219" s="36"/>
    </row>
    <row r="1220" spans="1:67" x14ac:dyDescent="0.25">
      <c r="A1220" s="39"/>
      <c r="B1220" s="40"/>
      <c r="U1220" s="36"/>
      <c r="V1220" s="36"/>
      <c r="W1220" s="35"/>
      <c r="X1220" s="7"/>
      <c r="Y1220" s="7"/>
      <c r="Z1220" s="7"/>
      <c r="AA1220" s="7"/>
      <c r="AB1220" s="7"/>
      <c r="AC1220" s="7"/>
      <c r="AD1220" s="7"/>
      <c r="AE1220" s="7"/>
      <c r="AG1220" s="36"/>
      <c r="AH1220" s="36"/>
      <c r="AI1220" s="35"/>
      <c r="AJ1220" s="7"/>
      <c r="AK1220" s="7"/>
      <c r="AL1220" s="7"/>
      <c r="AM1220" s="7"/>
      <c r="AN1220" s="7"/>
      <c r="AO1220" s="7"/>
      <c r="AP1220" s="7"/>
      <c r="AQ1220" s="7"/>
      <c r="AS1220" s="36"/>
      <c r="AT1220" s="36"/>
      <c r="AU1220" s="35"/>
      <c r="AV1220" s="7"/>
      <c r="AW1220" s="7"/>
      <c r="AX1220" s="7"/>
      <c r="AY1220" s="7"/>
      <c r="AZ1220" s="7"/>
      <c r="BA1220" s="7"/>
      <c r="BB1220" s="7"/>
      <c r="BC1220" s="7"/>
      <c r="BF1220" s="7"/>
      <c r="BG1220" s="36"/>
      <c r="BH1220" s="36"/>
      <c r="BI1220" s="36"/>
      <c r="BJ1220" s="36"/>
      <c r="BK1220" s="36"/>
      <c r="BL1220" s="36"/>
      <c r="BM1220" s="36"/>
      <c r="BN1220" s="36"/>
      <c r="BO1220" s="36"/>
    </row>
    <row r="1221" spans="1:67" x14ac:dyDescent="0.25">
      <c r="A1221" s="39"/>
      <c r="B1221" s="40"/>
      <c r="U1221" s="36"/>
      <c r="V1221" s="36"/>
      <c r="W1221" s="35"/>
      <c r="X1221" s="7"/>
      <c r="Y1221" s="7"/>
      <c r="Z1221" s="7"/>
      <c r="AA1221" s="7"/>
      <c r="AB1221" s="7"/>
      <c r="AC1221" s="7"/>
      <c r="AD1221" s="7"/>
      <c r="AE1221" s="7"/>
      <c r="AG1221" s="36"/>
      <c r="AH1221" s="36"/>
      <c r="AI1221" s="35"/>
      <c r="AJ1221" s="7"/>
      <c r="AK1221" s="7"/>
      <c r="AL1221" s="7"/>
      <c r="AM1221" s="7"/>
      <c r="AN1221" s="7"/>
      <c r="AO1221" s="7"/>
      <c r="AP1221" s="7"/>
      <c r="AQ1221" s="7"/>
      <c r="AS1221" s="36"/>
      <c r="AT1221" s="36"/>
      <c r="AU1221" s="35"/>
      <c r="AV1221" s="7"/>
      <c r="AW1221" s="7"/>
      <c r="AX1221" s="7"/>
      <c r="AY1221" s="7"/>
      <c r="AZ1221" s="7"/>
      <c r="BA1221" s="7"/>
      <c r="BB1221" s="7"/>
      <c r="BC1221" s="7"/>
      <c r="BF1221" s="7"/>
      <c r="BG1221" s="36"/>
      <c r="BH1221" s="36"/>
      <c r="BI1221" s="36"/>
      <c r="BJ1221" s="36"/>
      <c r="BK1221" s="36"/>
      <c r="BL1221" s="36"/>
      <c r="BM1221" s="36"/>
      <c r="BN1221" s="36"/>
      <c r="BO1221" s="36"/>
    </row>
    <row r="1222" spans="1:67" x14ac:dyDescent="0.25">
      <c r="A1222" s="39"/>
      <c r="B1222" s="40"/>
      <c r="U1222" s="36"/>
      <c r="V1222" s="36"/>
      <c r="W1222" s="35"/>
      <c r="X1222" s="7"/>
      <c r="Y1222" s="7"/>
      <c r="Z1222" s="7"/>
      <c r="AA1222" s="7"/>
      <c r="AB1222" s="7"/>
      <c r="AC1222" s="7"/>
      <c r="AD1222" s="7"/>
      <c r="AE1222" s="7"/>
      <c r="AG1222" s="36"/>
      <c r="AH1222" s="36"/>
      <c r="AI1222" s="35"/>
      <c r="AJ1222" s="7"/>
      <c r="AK1222" s="7"/>
      <c r="AL1222" s="7"/>
      <c r="AM1222" s="7"/>
      <c r="AN1222" s="7"/>
      <c r="AO1222" s="7"/>
      <c r="AP1222" s="7"/>
      <c r="AQ1222" s="7"/>
      <c r="AS1222" s="36"/>
      <c r="AT1222" s="36"/>
      <c r="AU1222" s="35"/>
      <c r="AV1222" s="7"/>
      <c r="AW1222" s="7"/>
      <c r="AX1222" s="7"/>
      <c r="AY1222" s="7"/>
      <c r="AZ1222" s="7"/>
      <c r="BA1222" s="7"/>
      <c r="BB1222" s="7"/>
      <c r="BC1222" s="7"/>
      <c r="BF1222" s="7"/>
      <c r="BG1222" s="36"/>
      <c r="BH1222" s="36"/>
      <c r="BI1222" s="36"/>
      <c r="BJ1222" s="36"/>
      <c r="BK1222" s="36"/>
      <c r="BL1222" s="36"/>
      <c r="BM1222" s="36"/>
      <c r="BN1222" s="36"/>
      <c r="BO1222" s="36"/>
    </row>
    <row r="1223" spans="1:67" x14ac:dyDescent="0.25">
      <c r="A1223" s="39"/>
      <c r="B1223" s="40"/>
      <c r="U1223" s="36"/>
      <c r="V1223" s="36"/>
      <c r="W1223" s="35"/>
      <c r="X1223" s="7"/>
      <c r="Y1223" s="7"/>
      <c r="Z1223" s="7"/>
      <c r="AA1223" s="7"/>
      <c r="AB1223" s="7"/>
      <c r="AC1223" s="7"/>
      <c r="AD1223" s="7"/>
      <c r="AE1223" s="7"/>
      <c r="AG1223" s="36"/>
      <c r="AH1223" s="36"/>
      <c r="AI1223" s="35"/>
      <c r="AJ1223" s="7"/>
      <c r="AK1223" s="7"/>
      <c r="AL1223" s="7"/>
      <c r="AM1223" s="7"/>
      <c r="AN1223" s="7"/>
      <c r="AO1223" s="7"/>
      <c r="AP1223" s="7"/>
      <c r="AQ1223" s="7"/>
      <c r="AS1223" s="36"/>
      <c r="AT1223" s="36"/>
      <c r="AU1223" s="35"/>
      <c r="AV1223" s="7"/>
      <c r="AW1223" s="7"/>
      <c r="AX1223" s="7"/>
      <c r="AY1223" s="7"/>
      <c r="AZ1223" s="7"/>
      <c r="BA1223" s="7"/>
      <c r="BB1223" s="7"/>
      <c r="BC1223" s="7"/>
      <c r="BF1223" s="7"/>
      <c r="BG1223" s="36"/>
      <c r="BH1223" s="36"/>
      <c r="BI1223" s="36"/>
      <c r="BJ1223" s="36"/>
      <c r="BK1223" s="36"/>
      <c r="BL1223" s="36"/>
      <c r="BM1223" s="36"/>
      <c r="BN1223" s="36"/>
      <c r="BO1223" s="36"/>
    </row>
    <row r="1224" spans="1:67" x14ac:dyDescent="0.25">
      <c r="A1224" s="39"/>
      <c r="B1224" s="40"/>
      <c r="U1224" s="36"/>
      <c r="V1224" s="36"/>
      <c r="W1224" s="35"/>
      <c r="X1224" s="7"/>
      <c r="Y1224" s="7"/>
      <c r="Z1224" s="7"/>
      <c r="AA1224" s="7"/>
      <c r="AB1224" s="7"/>
      <c r="AC1224" s="7"/>
      <c r="AD1224" s="7"/>
      <c r="AE1224" s="7"/>
      <c r="AG1224" s="36"/>
      <c r="AH1224" s="36"/>
      <c r="AI1224" s="35"/>
      <c r="AJ1224" s="7"/>
      <c r="AK1224" s="7"/>
      <c r="AL1224" s="7"/>
      <c r="AM1224" s="7"/>
      <c r="AN1224" s="7"/>
      <c r="AO1224" s="7"/>
      <c r="AP1224" s="7"/>
      <c r="AQ1224" s="7"/>
      <c r="AS1224" s="36"/>
      <c r="AT1224" s="36"/>
      <c r="AU1224" s="35"/>
      <c r="AV1224" s="7"/>
      <c r="AW1224" s="7"/>
      <c r="AX1224" s="7"/>
      <c r="AY1224" s="7"/>
      <c r="AZ1224" s="7"/>
      <c r="BA1224" s="7"/>
      <c r="BB1224" s="7"/>
      <c r="BC1224" s="7"/>
      <c r="BF1224" s="7"/>
      <c r="BG1224" s="36"/>
      <c r="BH1224" s="36"/>
      <c r="BI1224" s="36"/>
      <c r="BJ1224" s="36"/>
      <c r="BK1224" s="36"/>
      <c r="BL1224" s="36"/>
      <c r="BM1224" s="36"/>
      <c r="BN1224" s="36"/>
      <c r="BO1224" s="36"/>
    </row>
    <row r="1225" spans="1:67" x14ac:dyDescent="0.25">
      <c r="A1225" s="39"/>
      <c r="B1225" s="40"/>
      <c r="U1225" s="36"/>
      <c r="V1225" s="36"/>
      <c r="W1225" s="35"/>
      <c r="X1225" s="7"/>
      <c r="Y1225" s="7"/>
      <c r="Z1225" s="7"/>
      <c r="AA1225" s="7"/>
      <c r="AB1225" s="7"/>
      <c r="AC1225" s="7"/>
      <c r="AD1225" s="7"/>
      <c r="AE1225" s="7"/>
      <c r="AG1225" s="36"/>
      <c r="AH1225" s="36"/>
      <c r="AI1225" s="35"/>
      <c r="AJ1225" s="7"/>
      <c r="AK1225" s="7"/>
      <c r="AL1225" s="7"/>
      <c r="AM1225" s="7"/>
      <c r="AN1225" s="7"/>
      <c r="AO1225" s="7"/>
      <c r="AP1225" s="7"/>
      <c r="AQ1225" s="7"/>
      <c r="AS1225" s="36"/>
      <c r="AT1225" s="36"/>
      <c r="AU1225" s="35"/>
      <c r="AV1225" s="7"/>
      <c r="AW1225" s="7"/>
      <c r="AX1225" s="7"/>
      <c r="AY1225" s="7"/>
      <c r="AZ1225" s="7"/>
      <c r="BA1225" s="7"/>
      <c r="BB1225" s="7"/>
      <c r="BC1225" s="7"/>
      <c r="BF1225" s="7"/>
      <c r="BG1225" s="36"/>
      <c r="BH1225" s="36"/>
      <c r="BI1225" s="36"/>
      <c r="BJ1225" s="36"/>
      <c r="BK1225" s="36"/>
      <c r="BL1225" s="36"/>
      <c r="BM1225" s="36"/>
      <c r="BN1225" s="36"/>
      <c r="BO1225" s="36"/>
    </row>
    <row r="1226" spans="1:67" x14ac:dyDescent="0.25">
      <c r="A1226" s="39"/>
      <c r="B1226" s="40"/>
      <c r="U1226" s="36"/>
      <c r="V1226" s="36"/>
      <c r="W1226" s="35"/>
      <c r="X1226" s="7"/>
      <c r="Y1226" s="7"/>
      <c r="Z1226" s="7"/>
      <c r="AA1226" s="7"/>
      <c r="AB1226" s="7"/>
      <c r="AC1226" s="7"/>
      <c r="AD1226" s="7"/>
      <c r="AE1226" s="7"/>
      <c r="AG1226" s="36"/>
      <c r="AH1226" s="36"/>
      <c r="AI1226" s="35"/>
      <c r="AJ1226" s="7"/>
      <c r="AK1226" s="7"/>
      <c r="AL1226" s="7"/>
      <c r="AM1226" s="7"/>
      <c r="AN1226" s="7"/>
      <c r="AO1226" s="7"/>
      <c r="AP1226" s="7"/>
      <c r="AQ1226" s="7"/>
      <c r="AS1226" s="36"/>
      <c r="AT1226" s="36"/>
      <c r="AU1226" s="35"/>
      <c r="AV1226" s="7"/>
      <c r="AW1226" s="7"/>
      <c r="AX1226" s="7"/>
      <c r="AY1226" s="7"/>
      <c r="AZ1226" s="7"/>
      <c r="BA1226" s="7"/>
      <c r="BB1226" s="7"/>
      <c r="BC1226" s="7"/>
      <c r="BF1226" s="7"/>
      <c r="BG1226" s="36"/>
      <c r="BH1226" s="36"/>
      <c r="BI1226" s="36"/>
      <c r="BJ1226" s="36"/>
      <c r="BK1226" s="36"/>
      <c r="BL1226" s="36"/>
      <c r="BM1226" s="36"/>
      <c r="BN1226" s="36"/>
      <c r="BO1226" s="36"/>
    </row>
    <row r="1227" spans="1:67" x14ac:dyDescent="0.25">
      <c r="A1227" s="39"/>
      <c r="B1227" s="40"/>
      <c r="U1227" s="36"/>
      <c r="V1227" s="36"/>
      <c r="W1227" s="35"/>
      <c r="X1227" s="7"/>
      <c r="Y1227" s="7"/>
      <c r="Z1227" s="7"/>
      <c r="AA1227" s="7"/>
      <c r="AB1227" s="7"/>
      <c r="AC1227" s="7"/>
      <c r="AD1227" s="7"/>
      <c r="AE1227" s="7"/>
      <c r="AG1227" s="36"/>
      <c r="AH1227" s="36"/>
      <c r="AI1227" s="35"/>
      <c r="AJ1227" s="7"/>
      <c r="AK1227" s="7"/>
      <c r="AL1227" s="7"/>
      <c r="AM1227" s="7"/>
      <c r="AN1227" s="7"/>
      <c r="AO1227" s="7"/>
      <c r="AP1227" s="7"/>
      <c r="AQ1227" s="7"/>
      <c r="AS1227" s="36"/>
      <c r="AT1227" s="36"/>
      <c r="AU1227" s="35"/>
      <c r="AV1227" s="7"/>
      <c r="AW1227" s="7"/>
      <c r="AX1227" s="7"/>
      <c r="AY1227" s="7"/>
      <c r="AZ1227" s="7"/>
      <c r="BA1227" s="7"/>
      <c r="BB1227" s="7"/>
      <c r="BC1227" s="7"/>
      <c r="BF1227" s="7"/>
      <c r="BG1227" s="36"/>
      <c r="BH1227" s="36"/>
      <c r="BI1227" s="36"/>
      <c r="BJ1227" s="36"/>
      <c r="BK1227" s="36"/>
      <c r="BL1227" s="36"/>
      <c r="BM1227" s="36"/>
      <c r="BN1227" s="36"/>
      <c r="BO1227" s="36"/>
    </row>
    <row r="1228" spans="1:67" x14ac:dyDescent="0.25">
      <c r="A1228" s="39"/>
      <c r="B1228" s="40"/>
      <c r="U1228" s="36"/>
      <c r="V1228" s="36"/>
      <c r="W1228" s="35"/>
      <c r="X1228" s="7"/>
      <c r="Y1228" s="7"/>
      <c r="Z1228" s="7"/>
      <c r="AA1228" s="7"/>
      <c r="AB1228" s="7"/>
      <c r="AC1228" s="7"/>
      <c r="AD1228" s="7"/>
      <c r="AE1228" s="7"/>
      <c r="AG1228" s="36"/>
      <c r="AH1228" s="36"/>
      <c r="AI1228" s="35"/>
      <c r="AJ1228" s="7"/>
      <c r="AK1228" s="7"/>
      <c r="AL1228" s="7"/>
      <c r="AM1228" s="7"/>
      <c r="AN1228" s="7"/>
      <c r="AO1228" s="7"/>
      <c r="AP1228" s="7"/>
      <c r="AQ1228" s="7"/>
      <c r="AS1228" s="36"/>
      <c r="AT1228" s="36"/>
      <c r="AU1228" s="35"/>
      <c r="AV1228" s="7"/>
      <c r="AW1228" s="7"/>
      <c r="AX1228" s="7"/>
      <c r="AY1228" s="7"/>
      <c r="AZ1228" s="7"/>
      <c r="BA1228" s="7"/>
      <c r="BB1228" s="7"/>
      <c r="BC1228" s="7"/>
      <c r="BF1228" s="7"/>
      <c r="BG1228" s="36"/>
      <c r="BH1228" s="36"/>
      <c r="BI1228" s="36"/>
      <c r="BJ1228" s="36"/>
      <c r="BK1228" s="36"/>
      <c r="BL1228" s="36"/>
      <c r="BM1228" s="36"/>
      <c r="BN1228" s="36"/>
      <c r="BO1228" s="36"/>
    </row>
    <row r="1229" spans="1:67" x14ac:dyDescent="0.25">
      <c r="A1229" s="39"/>
      <c r="B1229" s="40"/>
      <c r="U1229" s="36"/>
      <c r="V1229" s="36"/>
      <c r="W1229" s="35"/>
      <c r="X1229" s="7"/>
      <c r="Y1229" s="7"/>
      <c r="Z1229" s="7"/>
      <c r="AA1229" s="7"/>
      <c r="AB1229" s="7"/>
      <c r="AC1229" s="7"/>
      <c r="AD1229" s="7"/>
      <c r="AE1229" s="7"/>
      <c r="AG1229" s="36"/>
      <c r="AH1229" s="36"/>
      <c r="AI1229" s="35"/>
      <c r="AJ1229" s="7"/>
      <c r="AK1229" s="7"/>
      <c r="AL1229" s="7"/>
      <c r="AM1229" s="7"/>
      <c r="AN1229" s="7"/>
      <c r="AO1229" s="7"/>
      <c r="AP1229" s="7"/>
      <c r="AQ1229" s="7"/>
      <c r="AS1229" s="36"/>
      <c r="AT1229" s="36"/>
      <c r="AU1229" s="35"/>
      <c r="AV1229" s="7"/>
      <c r="AW1229" s="7"/>
      <c r="AX1229" s="7"/>
      <c r="AY1229" s="7"/>
      <c r="AZ1229" s="7"/>
      <c r="BA1229" s="7"/>
      <c r="BB1229" s="7"/>
      <c r="BC1229" s="7"/>
      <c r="BF1229" s="7"/>
      <c r="BG1229" s="36"/>
      <c r="BH1229" s="36"/>
      <c r="BI1229" s="36"/>
      <c r="BJ1229" s="36"/>
      <c r="BK1229" s="36"/>
      <c r="BL1229" s="36"/>
      <c r="BM1229" s="36"/>
      <c r="BN1229" s="36"/>
      <c r="BO1229" s="36"/>
    </row>
    <row r="1230" spans="1:67" x14ac:dyDescent="0.25">
      <c r="A1230" s="39"/>
      <c r="B1230" s="40"/>
      <c r="U1230" s="36"/>
      <c r="V1230" s="36"/>
      <c r="W1230" s="35"/>
      <c r="X1230" s="7"/>
      <c r="Y1230" s="7"/>
      <c r="Z1230" s="7"/>
      <c r="AA1230" s="7"/>
      <c r="AB1230" s="7"/>
      <c r="AC1230" s="7"/>
      <c r="AD1230" s="7"/>
      <c r="AE1230" s="7"/>
      <c r="AG1230" s="36"/>
      <c r="AH1230" s="36"/>
      <c r="AI1230" s="35"/>
      <c r="AJ1230" s="7"/>
      <c r="AK1230" s="7"/>
      <c r="AL1230" s="7"/>
      <c r="AM1230" s="7"/>
      <c r="AN1230" s="7"/>
      <c r="AO1230" s="7"/>
      <c r="AP1230" s="7"/>
      <c r="AQ1230" s="7"/>
      <c r="AS1230" s="36"/>
      <c r="AT1230" s="36"/>
      <c r="AU1230" s="35"/>
      <c r="AV1230" s="7"/>
      <c r="AW1230" s="7"/>
      <c r="AX1230" s="7"/>
      <c r="AY1230" s="7"/>
      <c r="AZ1230" s="7"/>
      <c r="BA1230" s="7"/>
      <c r="BB1230" s="7"/>
      <c r="BC1230" s="7"/>
      <c r="BF1230" s="7"/>
      <c r="BG1230" s="36"/>
      <c r="BH1230" s="36"/>
      <c r="BI1230" s="36"/>
      <c r="BJ1230" s="36"/>
      <c r="BK1230" s="36"/>
      <c r="BL1230" s="36"/>
      <c r="BM1230" s="36"/>
      <c r="BN1230" s="36"/>
      <c r="BO1230" s="36"/>
    </row>
    <row r="1231" spans="1:67" x14ac:dyDescent="0.25">
      <c r="A1231" s="39"/>
      <c r="B1231" s="40"/>
      <c r="U1231" s="36"/>
      <c r="V1231" s="36"/>
      <c r="W1231" s="35"/>
      <c r="X1231" s="7"/>
      <c r="Y1231" s="7"/>
      <c r="Z1231" s="7"/>
      <c r="AA1231" s="7"/>
      <c r="AB1231" s="7"/>
      <c r="AC1231" s="7"/>
      <c r="AD1231" s="7"/>
      <c r="AE1231" s="7"/>
      <c r="AG1231" s="36"/>
      <c r="AH1231" s="36"/>
      <c r="AI1231" s="35"/>
      <c r="AJ1231" s="7"/>
      <c r="AK1231" s="7"/>
      <c r="AL1231" s="7"/>
      <c r="AM1231" s="7"/>
      <c r="AN1231" s="7"/>
      <c r="AO1231" s="7"/>
      <c r="AP1231" s="7"/>
      <c r="AQ1231" s="7"/>
      <c r="AS1231" s="36"/>
      <c r="AT1231" s="36"/>
      <c r="AU1231" s="35"/>
      <c r="AV1231" s="7"/>
      <c r="AW1231" s="7"/>
      <c r="AX1231" s="7"/>
      <c r="AY1231" s="7"/>
      <c r="AZ1231" s="7"/>
      <c r="BA1231" s="7"/>
      <c r="BB1231" s="7"/>
      <c r="BC1231" s="7"/>
      <c r="BF1231" s="7"/>
      <c r="BG1231" s="36"/>
      <c r="BH1231" s="36"/>
      <c r="BI1231" s="36"/>
      <c r="BJ1231" s="36"/>
      <c r="BK1231" s="36"/>
      <c r="BL1231" s="36"/>
      <c r="BM1231" s="36"/>
      <c r="BN1231" s="36"/>
      <c r="BO1231" s="36"/>
    </row>
    <row r="1232" spans="1:67" x14ac:dyDescent="0.25">
      <c r="A1232" s="39"/>
      <c r="B1232" s="40"/>
      <c r="U1232" s="36"/>
      <c r="V1232" s="36"/>
      <c r="W1232" s="35"/>
      <c r="X1232" s="7"/>
      <c r="Y1232" s="7"/>
      <c r="Z1232" s="7"/>
      <c r="AA1232" s="7"/>
      <c r="AB1232" s="7"/>
      <c r="AC1232" s="7"/>
      <c r="AD1232" s="7"/>
      <c r="AE1232" s="7"/>
      <c r="AG1232" s="36"/>
      <c r="AH1232" s="36"/>
      <c r="AI1232" s="35"/>
      <c r="AJ1232" s="7"/>
      <c r="AK1232" s="7"/>
      <c r="AL1232" s="7"/>
      <c r="AM1232" s="7"/>
      <c r="AN1232" s="7"/>
      <c r="AO1232" s="7"/>
      <c r="AP1232" s="7"/>
      <c r="AQ1232" s="7"/>
      <c r="AS1232" s="36"/>
      <c r="AT1232" s="36"/>
      <c r="AU1232" s="35"/>
      <c r="AV1232" s="7"/>
      <c r="AW1232" s="7"/>
      <c r="AX1232" s="7"/>
      <c r="AY1232" s="7"/>
      <c r="AZ1232" s="7"/>
      <c r="BA1232" s="7"/>
      <c r="BB1232" s="7"/>
      <c r="BC1232" s="7"/>
      <c r="BF1232" s="7"/>
      <c r="BG1232" s="36"/>
      <c r="BH1232" s="36"/>
      <c r="BI1232" s="36"/>
      <c r="BJ1232" s="36"/>
      <c r="BK1232" s="36"/>
      <c r="BL1232" s="36"/>
      <c r="BM1232" s="36"/>
      <c r="BN1232" s="36"/>
      <c r="BO1232" s="36"/>
    </row>
    <row r="1233" spans="1:67" x14ac:dyDescent="0.25">
      <c r="A1233" s="39"/>
      <c r="B1233" s="40"/>
      <c r="U1233" s="36"/>
      <c r="V1233" s="36"/>
      <c r="W1233" s="35"/>
      <c r="X1233" s="7"/>
      <c r="Y1233" s="7"/>
      <c r="Z1233" s="7"/>
      <c r="AA1233" s="7"/>
      <c r="AB1233" s="7"/>
      <c r="AC1233" s="7"/>
      <c r="AD1233" s="7"/>
      <c r="AE1233" s="7"/>
      <c r="AG1233" s="36"/>
      <c r="AH1233" s="36"/>
      <c r="AI1233" s="35"/>
      <c r="AJ1233" s="7"/>
      <c r="AK1233" s="7"/>
      <c r="AL1233" s="7"/>
      <c r="AM1233" s="7"/>
      <c r="AN1233" s="7"/>
      <c r="AO1233" s="7"/>
      <c r="AP1233" s="7"/>
      <c r="AQ1233" s="7"/>
      <c r="AS1233" s="36"/>
      <c r="AT1233" s="36"/>
      <c r="AU1233" s="35"/>
      <c r="AV1233" s="7"/>
      <c r="AW1233" s="7"/>
      <c r="AX1233" s="7"/>
      <c r="AY1233" s="7"/>
      <c r="AZ1233" s="7"/>
      <c r="BA1233" s="7"/>
      <c r="BB1233" s="7"/>
      <c r="BC1233" s="7"/>
      <c r="BF1233" s="7"/>
      <c r="BG1233" s="36"/>
      <c r="BH1233" s="36"/>
      <c r="BI1233" s="36"/>
      <c r="BJ1233" s="36"/>
      <c r="BK1233" s="36"/>
      <c r="BL1233" s="36"/>
      <c r="BM1233" s="36"/>
      <c r="BN1233" s="36"/>
      <c r="BO1233" s="36"/>
    </row>
    <row r="1234" spans="1:67" x14ac:dyDescent="0.25">
      <c r="A1234" s="39"/>
      <c r="B1234" s="40"/>
      <c r="U1234" s="36"/>
      <c r="V1234" s="36"/>
      <c r="W1234" s="35"/>
      <c r="X1234" s="7"/>
      <c r="Y1234" s="7"/>
      <c r="Z1234" s="7"/>
      <c r="AA1234" s="7"/>
      <c r="AB1234" s="7"/>
      <c r="AC1234" s="7"/>
      <c r="AD1234" s="7"/>
      <c r="AE1234" s="7"/>
      <c r="AG1234" s="36"/>
      <c r="AH1234" s="36"/>
      <c r="AI1234" s="35"/>
      <c r="AJ1234" s="7"/>
      <c r="AK1234" s="7"/>
      <c r="AL1234" s="7"/>
      <c r="AM1234" s="7"/>
      <c r="AN1234" s="7"/>
      <c r="AO1234" s="7"/>
      <c r="AP1234" s="7"/>
      <c r="AQ1234" s="7"/>
      <c r="AS1234" s="36"/>
      <c r="AT1234" s="36"/>
      <c r="AU1234" s="35"/>
      <c r="AV1234" s="7"/>
      <c r="AW1234" s="7"/>
      <c r="AX1234" s="7"/>
      <c r="AY1234" s="7"/>
      <c r="AZ1234" s="7"/>
      <c r="BA1234" s="7"/>
      <c r="BB1234" s="7"/>
      <c r="BC1234" s="7"/>
      <c r="BF1234" s="7"/>
      <c r="BG1234" s="36"/>
      <c r="BH1234" s="36"/>
      <c r="BI1234" s="36"/>
      <c r="BJ1234" s="36"/>
      <c r="BK1234" s="36"/>
      <c r="BL1234" s="36"/>
      <c r="BM1234" s="36"/>
      <c r="BN1234" s="36"/>
      <c r="BO1234" s="36"/>
    </row>
    <row r="1235" spans="1:67" x14ac:dyDescent="0.25">
      <c r="A1235" s="39"/>
      <c r="B1235" s="40"/>
      <c r="U1235" s="36"/>
      <c r="V1235" s="36"/>
      <c r="W1235" s="35"/>
      <c r="X1235" s="7"/>
      <c r="Y1235" s="7"/>
      <c r="Z1235" s="7"/>
      <c r="AA1235" s="7"/>
      <c r="AB1235" s="7"/>
      <c r="AC1235" s="7"/>
      <c r="AD1235" s="7"/>
      <c r="AE1235" s="7"/>
      <c r="AG1235" s="36"/>
      <c r="AH1235" s="36"/>
      <c r="AI1235" s="35"/>
      <c r="AJ1235" s="7"/>
      <c r="AK1235" s="7"/>
      <c r="AL1235" s="7"/>
      <c r="AM1235" s="7"/>
      <c r="AN1235" s="7"/>
      <c r="AO1235" s="7"/>
      <c r="AP1235" s="7"/>
      <c r="AQ1235" s="7"/>
      <c r="AS1235" s="36"/>
      <c r="AT1235" s="36"/>
      <c r="AU1235" s="35"/>
      <c r="AV1235" s="7"/>
      <c r="AW1235" s="7"/>
      <c r="AX1235" s="7"/>
      <c r="AY1235" s="7"/>
      <c r="AZ1235" s="7"/>
      <c r="BA1235" s="7"/>
      <c r="BB1235" s="7"/>
      <c r="BC1235" s="7"/>
      <c r="BF1235" s="7"/>
      <c r="BG1235" s="36"/>
      <c r="BH1235" s="36"/>
      <c r="BI1235" s="36"/>
      <c r="BJ1235" s="36"/>
      <c r="BK1235" s="36"/>
      <c r="BL1235" s="36"/>
      <c r="BM1235" s="36"/>
      <c r="BN1235" s="36"/>
      <c r="BO1235" s="36"/>
    </row>
    <row r="1236" spans="1:67" x14ac:dyDescent="0.25">
      <c r="A1236" s="39"/>
      <c r="B1236" s="40"/>
      <c r="U1236" s="36"/>
      <c r="V1236" s="36"/>
      <c r="W1236" s="35"/>
      <c r="X1236" s="7"/>
      <c r="Y1236" s="7"/>
      <c r="Z1236" s="7"/>
      <c r="AA1236" s="7"/>
      <c r="AB1236" s="7"/>
      <c r="AC1236" s="7"/>
      <c r="AD1236" s="7"/>
      <c r="AE1236" s="7"/>
      <c r="AG1236" s="36"/>
      <c r="AH1236" s="36"/>
      <c r="AI1236" s="35"/>
      <c r="AJ1236" s="7"/>
      <c r="AK1236" s="7"/>
      <c r="AL1236" s="7"/>
      <c r="AM1236" s="7"/>
      <c r="AN1236" s="7"/>
      <c r="AO1236" s="7"/>
      <c r="AP1236" s="7"/>
      <c r="AQ1236" s="7"/>
      <c r="AS1236" s="36"/>
      <c r="AT1236" s="36"/>
      <c r="AU1236" s="35"/>
      <c r="AV1236" s="7"/>
      <c r="AW1236" s="7"/>
      <c r="AX1236" s="7"/>
      <c r="AY1236" s="7"/>
      <c r="AZ1236" s="7"/>
      <c r="BA1236" s="7"/>
      <c r="BB1236" s="7"/>
      <c r="BC1236" s="7"/>
      <c r="BF1236" s="7"/>
      <c r="BG1236" s="36"/>
      <c r="BH1236" s="36"/>
      <c r="BI1236" s="36"/>
      <c r="BJ1236" s="36"/>
      <c r="BK1236" s="36"/>
      <c r="BL1236" s="36"/>
      <c r="BM1236" s="36"/>
      <c r="BN1236" s="36"/>
      <c r="BO1236" s="36"/>
    </row>
    <row r="1237" spans="1:67" x14ac:dyDescent="0.25">
      <c r="A1237" s="39"/>
      <c r="B1237" s="40"/>
      <c r="U1237" s="36"/>
      <c r="V1237" s="36"/>
      <c r="W1237" s="35"/>
      <c r="X1237" s="7"/>
      <c r="Y1237" s="7"/>
      <c r="Z1237" s="7"/>
      <c r="AA1237" s="7"/>
      <c r="AB1237" s="7"/>
      <c r="AC1237" s="7"/>
      <c r="AD1237" s="7"/>
      <c r="AE1237" s="7"/>
      <c r="AG1237" s="36"/>
      <c r="AH1237" s="36"/>
      <c r="AI1237" s="35"/>
      <c r="AJ1237" s="7"/>
      <c r="AK1237" s="7"/>
      <c r="AL1237" s="7"/>
      <c r="AM1237" s="7"/>
      <c r="AN1237" s="7"/>
      <c r="AO1237" s="7"/>
      <c r="AP1237" s="7"/>
      <c r="AQ1237" s="7"/>
      <c r="AS1237" s="36"/>
      <c r="AT1237" s="36"/>
      <c r="AU1237" s="35"/>
      <c r="AV1237" s="7"/>
      <c r="AW1237" s="7"/>
      <c r="AX1237" s="7"/>
      <c r="AY1237" s="7"/>
      <c r="AZ1237" s="7"/>
      <c r="BA1237" s="7"/>
      <c r="BB1237" s="7"/>
      <c r="BC1237" s="7"/>
      <c r="BF1237" s="7"/>
      <c r="BG1237" s="36"/>
      <c r="BH1237" s="36"/>
      <c r="BI1237" s="36"/>
      <c r="BJ1237" s="36"/>
      <c r="BK1237" s="36"/>
      <c r="BL1237" s="36"/>
      <c r="BM1237" s="36"/>
      <c r="BN1237" s="36"/>
      <c r="BO1237" s="36"/>
    </row>
    <row r="1238" spans="1:67" x14ac:dyDescent="0.25">
      <c r="A1238" s="39"/>
      <c r="B1238" s="40"/>
      <c r="U1238" s="36"/>
      <c r="V1238" s="36"/>
      <c r="W1238" s="35"/>
      <c r="X1238" s="7"/>
      <c r="Y1238" s="7"/>
      <c r="Z1238" s="7"/>
      <c r="AA1238" s="7"/>
      <c r="AB1238" s="7"/>
      <c r="AC1238" s="7"/>
      <c r="AD1238" s="7"/>
      <c r="AE1238" s="7"/>
      <c r="AG1238" s="36"/>
      <c r="AH1238" s="36"/>
      <c r="AI1238" s="35"/>
      <c r="AJ1238" s="7"/>
      <c r="AK1238" s="7"/>
      <c r="AL1238" s="7"/>
      <c r="AM1238" s="7"/>
      <c r="AN1238" s="7"/>
      <c r="AO1238" s="7"/>
      <c r="AP1238" s="7"/>
      <c r="AQ1238" s="7"/>
      <c r="AS1238" s="36"/>
      <c r="AT1238" s="36"/>
      <c r="AU1238" s="35"/>
      <c r="AV1238" s="7"/>
      <c r="AW1238" s="7"/>
      <c r="AX1238" s="7"/>
      <c r="AY1238" s="7"/>
      <c r="AZ1238" s="7"/>
      <c r="BA1238" s="7"/>
      <c r="BB1238" s="7"/>
      <c r="BC1238" s="7"/>
      <c r="BF1238" s="7"/>
      <c r="BG1238" s="36"/>
      <c r="BH1238" s="36"/>
      <c r="BI1238" s="36"/>
      <c r="BJ1238" s="36"/>
      <c r="BK1238" s="36"/>
      <c r="BL1238" s="36"/>
      <c r="BM1238" s="36"/>
      <c r="BN1238" s="36"/>
      <c r="BO1238" s="36"/>
    </row>
    <row r="1239" spans="1:67" x14ac:dyDescent="0.25">
      <c r="A1239" s="39"/>
      <c r="B1239" s="40"/>
      <c r="U1239" s="36"/>
      <c r="V1239" s="36"/>
      <c r="W1239" s="35"/>
      <c r="X1239" s="7"/>
      <c r="Y1239" s="7"/>
      <c r="Z1239" s="7"/>
      <c r="AA1239" s="7"/>
      <c r="AB1239" s="7"/>
      <c r="AC1239" s="7"/>
      <c r="AD1239" s="7"/>
      <c r="AE1239" s="7"/>
      <c r="AG1239" s="36"/>
      <c r="AH1239" s="36"/>
      <c r="AI1239" s="35"/>
      <c r="AJ1239" s="7"/>
      <c r="AK1239" s="7"/>
      <c r="AL1239" s="7"/>
      <c r="AM1239" s="7"/>
      <c r="AN1239" s="7"/>
      <c r="AO1239" s="7"/>
      <c r="AP1239" s="7"/>
      <c r="AQ1239" s="7"/>
      <c r="AS1239" s="36"/>
      <c r="AT1239" s="36"/>
      <c r="AU1239" s="35"/>
      <c r="AV1239" s="7"/>
      <c r="AW1239" s="7"/>
      <c r="AX1239" s="7"/>
      <c r="AY1239" s="7"/>
      <c r="AZ1239" s="7"/>
      <c r="BA1239" s="7"/>
      <c r="BB1239" s="7"/>
      <c r="BC1239" s="7"/>
      <c r="BF1239" s="7"/>
      <c r="BG1239" s="36"/>
      <c r="BH1239" s="36"/>
      <c r="BI1239" s="36"/>
      <c r="BJ1239" s="36"/>
      <c r="BK1239" s="36"/>
      <c r="BL1239" s="36"/>
      <c r="BM1239" s="36"/>
      <c r="BN1239" s="36"/>
      <c r="BO1239" s="36"/>
    </row>
    <row r="1240" spans="1:67" x14ac:dyDescent="0.25">
      <c r="A1240" s="39"/>
      <c r="B1240" s="40"/>
      <c r="U1240" s="36"/>
      <c r="V1240" s="36"/>
      <c r="W1240" s="35"/>
      <c r="X1240" s="7"/>
      <c r="Y1240" s="7"/>
      <c r="Z1240" s="7"/>
      <c r="AA1240" s="7"/>
      <c r="AB1240" s="7"/>
      <c r="AC1240" s="7"/>
      <c r="AD1240" s="7"/>
      <c r="AE1240" s="7"/>
      <c r="AG1240" s="36"/>
      <c r="AH1240" s="36"/>
      <c r="AI1240" s="35"/>
      <c r="AJ1240" s="7"/>
      <c r="AK1240" s="7"/>
      <c r="AL1240" s="7"/>
      <c r="AM1240" s="7"/>
      <c r="AN1240" s="7"/>
      <c r="AO1240" s="7"/>
      <c r="AP1240" s="7"/>
      <c r="AQ1240" s="7"/>
      <c r="AS1240" s="36"/>
      <c r="AT1240" s="36"/>
      <c r="AU1240" s="35"/>
      <c r="AV1240" s="7"/>
      <c r="AW1240" s="7"/>
      <c r="AX1240" s="7"/>
      <c r="AY1240" s="7"/>
      <c r="AZ1240" s="7"/>
      <c r="BA1240" s="7"/>
      <c r="BB1240" s="7"/>
      <c r="BC1240" s="7"/>
      <c r="BF1240" s="7"/>
      <c r="BG1240" s="36"/>
      <c r="BH1240" s="36"/>
      <c r="BI1240" s="36"/>
      <c r="BJ1240" s="36"/>
      <c r="BK1240" s="36"/>
      <c r="BL1240" s="36"/>
      <c r="BM1240" s="36"/>
      <c r="BN1240" s="36"/>
      <c r="BO1240" s="36"/>
    </row>
    <row r="1241" spans="1:67" x14ac:dyDescent="0.25">
      <c r="A1241" s="39"/>
      <c r="B1241" s="40"/>
      <c r="U1241" s="36"/>
      <c r="V1241" s="36"/>
      <c r="W1241" s="35"/>
      <c r="X1241" s="7"/>
      <c r="Y1241" s="7"/>
      <c r="Z1241" s="7"/>
      <c r="AA1241" s="7"/>
      <c r="AB1241" s="7"/>
      <c r="AC1241" s="7"/>
      <c r="AD1241" s="7"/>
      <c r="AE1241" s="7"/>
      <c r="AG1241" s="36"/>
      <c r="AH1241" s="36"/>
      <c r="AI1241" s="35"/>
      <c r="AJ1241" s="7"/>
      <c r="AK1241" s="7"/>
      <c r="AL1241" s="7"/>
      <c r="AM1241" s="7"/>
      <c r="AN1241" s="7"/>
      <c r="AO1241" s="7"/>
      <c r="AP1241" s="7"/>
      <c r="AQ1241" s="7"/>
      <c r="AS1241" s="36"/>
      <c r="AT1241" s="36"/>
      <c r="AU1241" s="35"/>
      <c r="AV1241" s="7"/>
      <c r="AW1241" s="7"/>
      <c r="AX1241" s="7"/>
      <c r="AY1241" s="7"/>
      <c r="AZ1241" s="7"/>
      <c r="BA1241" s="7"/>
      <c r="BB1241" s="7"/>
      <c r="BC1241" s="7"/>
      <c r="BF1241" s="7"/>
      <c r="BG1241" s="36"/>
      <c r="BH1241" s="36"/>
      <c r="BI1241" s="36"/>
      <c r="BJ1241" s="36"/>
      <c r="BK1241" s="36"/>
      <c r="BL1241" s="36"/>
      <c r="BM1241" s="36"/>
      <c r="BN1241" s="36"/>
      <c r="BO1241" s="36"/>
    </row>
    <row r="1242" spans="1:67" x14ac:dyDescent="0.25">
      <c r="A1242" s="39"/>
      <c r="B1242" s="40"/>
      <c r="U1242" s="36"/>
      <c r="V1242" s="36"/>
      <c r="W1242" s="35"/>
      <c r="X1242" s="7"/>
      <c r="Y1242" s="7"/>
      <c r="Z1242" s="7"/>
      <c r="AA1242" s="7"/>
      <c r="AB1242" s="7"/>
      <c r="AC1242" s="7"/>
      <c r="AD1242" s="7"/>
      <c r="AE1242" s="7"/>
      <c r="AG1242" s="36"/>
      <c r="AH1242" s="36"/>
      <c r="AI1242" s="35"/>
      <c r="AJ1242" s="7"/>
      <c r="AK1242" s="7"/>
      <c r="AL1242" s="7"/>
      <c r="AM1242" s="7"/>
      <c r="AN1242" s="7"/>
      <c r="AO1242" s="7"/>
      <c r="AP1242" s="7"/>
      <c r="AQ1242" s="7"/>
      <c r="AS1242" s="36"/>
      <c r="AT1242" s="36"/>
      <c r="AU1242" s="35"/>
      <c r="AV1242" s="7"/>
      <c r="AW1242" s="7"/>
      <c r="AX1242" s="7"/>
      <c r="AY1242" s="7"/>
      <c r="AZ1242" s="7"/>
      <c r="BA1242" s="7"/>
      <c r="BB1242" s="7"/>
      <c r="BC1242" s="7"/>
      <c r="BF1242" s="7"/>
      <c r="BG1242" s="36"/>
      <c r="BH1242" s="36"/>
      <c r="BI1242" s="36"/>
      <c r="BJ1242" s="36"/>
      <c r="BK1242" s="36"/>
      <c r="BL1242" s="36"/>
      <c r="BM1242" s="36"/>
      <c r="BN1242" s="36"/>
      <c r="BO1242" s="36"/>
    </row>
    <row r="1243" spans="1:67" x14ac:dyDescent="0.25">
      <c r="A1243" s="39"/>
      <c r="B1243" s="40"/>
      <c r="U1243" s="36"/>
      <c r="V1243" s="36"/>
      <c r="W1243" s="35"/>
      <c r="X1243" s="7"/>
      <c r="Y1243" s="7"/>
      <c r="Z1243" s="7"/>
      <c r="AA1243" s="7"/>
      <c r="AB1243" s="7"/>
      <c r="AC1243" s="7"/>
      <c r="AD1243" s="7"/>
      <c r="AE1243" s="7"/>
      <c r="AG1243" s="36"/>
      <c r="AH1243" s="36"/>
      <c r="AI1243" s="35"/>
      <c r="AJ1243" s="7"/>
      <c r="AK1243" s="7"/>
      <c r="AL1243" s="7"/>
      <c r="AM1243" s="7"/>
      <c r="AN1243" s="7"/>
      <c r="AO1243" s="7"/>
      <c r="AP1243" s="7"/>
      <c r="AQ1243" s="7"/>
      <c r="AS1243" s="36"/>
      <c r="AT1243" s="36"/>
      <c r="AU1243" s="35"/>
      <c r="AV1243" s="7"/>
      <c r="AW1243" s="7"/>
      <c r="AX1243" s="7"/>
      <c r="AY1243" s="7"/>
      <c r="AZ1243" s="7"/>
      <c r="BA1243" s="7"/>
      <c r="BB1243" s="7"/>
      <c r="BC1243" s="7"/>
      <c r="BF1243" s="7"/>
      <c r="BG1243" s="36"/>
      <c r="BH1243" s="36"/>
      <c r="BI1243" s="36"/>
      <c r="BJ1243" s="36"/>
      <c r="BK1243" s="36"/>
      <c r="BL1243" s="36"/>
      <c r="BM1243" s="36"/>
      <c r="BN1243" s="36"/>
      <c r="BO1243" s="36"/>
    </row>
    <row r="1244" spans="1:67" x14ac:dyDescent="0.25">
      <c r="A1244" s="39"/>
      <c r="B1244" s="40"/>
      <c r="U1244" s="36"/>
      <c r="V1244" s="36"/>
      <c r="W1244" s="35"/>
      <c r="X1244" s="7"/>
      <c r="Y1244" s="7"/>
      <c r="Z1244" s="7"/>
      <c r="AA1244" s="7"/>
      <c r="AB1244" s="7"/>
      <c r="AC1244" s="7"/>
      <c r="AD1244" s="7"/>
      <c r="AE1244" s="7"/>
      <c r="AG1244" s="36"/>
      <c r="AH1244" s="36"/>
      <c r="AI1244" s="35"/>
      <c r="AJ1244" s="7"/>
      <c r="AK1244" s="7"/>
      <c r="AL1244" s="7"/>
      <c r="AM1244" s="7"/>
      <c r="AN1244" s="7"/>
      <c r="AO1244" s="7"/>
      <c r="AP1244" s="7"/>
      <c r="AQ1244" s="7"/>
      <c r="AS1244" s="36"/>
      <c r="AT1244" s="36"/>
      <c r="AU1244" s="35"/>
      <c r="AV1244" s="7"/>
      <c r="AW1244" s="7"/>
      <c r="AX1244" s="7"/>
      <c r="AY1244" s="7"/>
      <c r="AZ1244" s="7"/>
      <c r="BA1244" s="7"/>
      <c r="BB1244" s="7"/>
      <c r="BC1244" s="7"/>
      <c r="BF1244" s="7"/>
      <c r="BG1244" s="36"/>
      <c r="BH1244" s="36"/>
      <c r="BI1244" s="36"/>
      <c r="BJ1244" s="36"/>
      <c r="BK1244" s="36"/>
      <c r="BL1244" s="36"/>
      <c r="BM1244" s="36"/>
      <c r="BN1244" s="36"/>
      <c r="BO1244" s="36"/>
    </row>
    <row r="1245" spans="1:67" x14ac:dyDescent="0.25">
      <c r="A1245" s="39"/>
      <c r="B1245" s="40"/>
      <c r="U1245" s="36"/>
      <c r="V1245" s="36"/>
      <c r="W1245" s="35"/>
      <c r="X1245" s="7"/>
      <c r="Y1245" s="7"/>
      <c r="Z1245" s="7"/>
      <c r="AA1245" s="7"/>
      <c r="AB1245" s="7"/>
      <c r="AC1245" s="7"/>
      <c r="AD1245" s="7"/>
      <c r="AE1245" s="7"/>
      <c r="AG1245" s="36"/>
      <c r="AH1245" s="36"/>
      <c r="AI1245" s="35"/>
      <c r="AJ1245" s="7"/>
      <c r="AK1245" s="7"/>
      <c r="AL1245" s="7"/>
      <c r="AM1245" s="7"/>
      <c r="AN1245" s="7"/>
      <c r="AO1245" s="7"/>
      <c r="AP1245" s="7"/>
      <c r="AQ1245" s="7"/>
      <c r="AS1245" s="36"/>
      <c r="AT1245" s="36"/>
      <c r="AU1245" s="35"/>
      <c r="AV1245" s="7"/>
      <c r="AW1245" s="7"/>
      <c r="AX1245" s="7"/>
      <c r="AY1245" s="7"/>
      <c r="AZ1245" s="7"/>
      <c r="BA1245" s="7"/>
      <c r="BB1245" s="7"/>
      <c r="BC1245" s="7"/>
      <c r="BF1245" s="7"/>
      <c r="BG1245" s="36"/>
      <c r="BH1245" s="36"/>
      <c r="BI1245" s="36"/>
      <c r="BJ1245" s="36"/>
      <c r="BK1245" s="36"/>
      <c r="BL1245" s="36"/>
      <c r="BM1245" s="36"/>
      <c r="BN1245" s="36"/>
      <c r="BO1245" s="36"/>
    </row>
    <row r="1246" spans="1:67" x14ac:dyDescent="0.25">
      <c r="A1246" s="39"/>
      <c r="B1246" s="40"/>
      <c r="U1246" s="36"/>
      <c r="V1246" s="36"/>
      <c r="W1246" s="35"/>
      <c r="X1246" s="7"/>
      <c r="Y1246" s="7"/>
      <c r="Z1246" s="7"/>
      <c r="AA1246" s="7"/>
      <c r="AB1246" s="7"/>
      <c r="AC1246" s="7"/>
      <c r="AD1246" s="7"/>
      <c r="AE1246" s="7"/>
      <c r="AG1246" s="36"/>
      <c r="AH1246" s="36"/>
      <c r="AI1246" s="35"/>
      <c r="AJ1246" s="7"/>
      <c r="AK1246" s="7"/>
      <c r="AL1246" s="7"/>
      <c r="AM1246" s="7"/>
      <c r="AN1246" s="7"/>
      <c r="AO1246" s="7"/>
      <c r="AP1246" s="7"/>
      <c r="AQ1246" s="7"/>
      <c r="AS1246" s="36"/>
      <c r="AT1246" s="36"/>
      <c r="AU1246" s="35"/>
      <c r="AV1246" s="7"/>
      <c r="AW1246" s="7"/>
      <c r="AX1246" s="7"/>
      <c r="AY1246" s="7"/>
      <c r="AZ1246" s="7"/>
      <c r="BA1246" s="7"/>
      <c r="BB1246" s="7"/>
      <c r="BC1246" s="7"/>
      <c r="BF1246" s="7"/>
      <c r="BG1246" s="36"/>
      <c r="BH1246" s="36"/>
      <c r="BI1246" s="36"/>
      <c r="BJ1246" s="36"/>
      <c r="BK1246" s="36"/>
      <c r="BL1246" s="36"/>
      <c r="BM1246" s="36"/>
      <c r="BN1246" s="36"/>
      <c r="BO1246" s="36"/>
    </row>
    <row r="1247" spans="1:67" x14ac:dyDescent="0.25">
      <c r="A1247" s="39"/>
      <c r="B1247" s="40"/>
      <c r="U1247" s="36"/>
      <c r="V1247" s="36"/>
      <c r="W1247" s="35"/>
      <c r="X1247" s="7"/>
      <c r="Y1247" s="7"/>
      <c r="Z1247" s="7"/>
      <c r="AA1247" s="7"/>
      <c r="AB1247" s="7"/>
      <c r="AC1247" s="7"/>
      <c r="AD1247" s="7"/>
      <c r="AE1247" s="7"/>
      <c r="AG1247" s="36"/>
      <c r="AH1247" s="36"/>
      <c r="AI1247" s="35"/>
      <c r="AJ1247" s="7"/>
      <c r="AK1247" s="7"/>
      <c r="AL1247" s="7"/>
      <c r="AM1247" s="7"/>
      <c r="AN1247" s="7"/>
      <c r="AO1247" s="7"/>
      <c r="AP1247" s="7"/>
      <c r="AQ1247" s="7"/>
      <c r="AS1247" s="36"/>
      <c r="AT1247" s="36"/>
      <c r="AU1247" s="35"/>
      <c r="AV1247" s="7"/>
      <c r="AW1247" s="7"/>
      <c r="AX1247" s="7"/>
      <c r="AY1247" s="7"/>
      <c r="AZ1247" s="7"/>
      <c r="BA1247" s="7"/>
      <c r="BB1247" s="7"/>
      <c r="BC1247" s="7"/>
      <c r="BF1247" s="7"/>
      <c r="BG1247" s="36"/>
      <c r="BH1247" s="36"/>
      <c r="BI1247" s="36"/>
      <c r="BJ1247" s="36"/>
      <c r="BK1247" s="36"/>
      <c r="BL1247" s="36"/>
      <c r="BM1247" s="36"/>
      <c r="BN1247" s="36"/>
      <c r="BO1247" s="36"/>
    </row>
    <row r="1248" spans="1:67" x14ac:dyDescent="0.25">
      <c r="A1248" s="39"/>
      <c r="B1248" s="40"/>
      <c r="U1248" s="36"/>
      <c r="V1248" s="36"/>
      <c r="W1248" s="35"/>
      <c r="X1248" s="7"/>
      <c r="Y1248" s="7"/>
      <c r="Z1248" s="7"/>
      <c r="AA1248" s="7"/>
      <c r="AB1248" s="7"/>
      <c r="AC1248" s="7"/>
      <c r="AD1248" s="7"/>
      <c r="AE1248" s="7"/>
      <c r="AG1248" s="36"/>
      <c r="AH1248" s="36"/>
      <c r="AI1248" s="35"/>
      <c r="AJ1248" s="7"/>
      <c r="AK1248" s="7"/>
      <c r="AL1248" s="7"/>
      <c r="AM1248" s="7"/>
      <c r="AN1248" s="7"/>
      <c r="AO1248" s="7"/>
      <c r="AP1248" s="7"/>
      <c r="AQ1248" s="7"/>
      <c r="AS1248" s="36"/>
      <c r="AT1248" s="36"/>
      <c r="AU1248" s="35"/>
      <c r="AV1248" s="7"/>
      <c r="AW1248" s="7"/>
      <c r="AX1248" s="7"/>
      <c r="AY1248" s="7"/>
      <c r="AZ1248" s="7"/>
      <c r="BA1248" s="7"/>
      <c r="BB1248" s="7"/>
      <c r="BC1248" s="7"/>
      <c r="BF1248" s="7"/>
      <c r="BG1248" s="36"/>
      <c r="BH1248" s="36"/>
      <c r="BI1248" s="36"/>
      <c r="BJ1248" s="36"/>
      <c r="BK1248" s="36"/>
      <c r="BL1248" s="36"/>
      <c r="BM1248" s="36"/>
      <c r="BN1248" s="36"/>
      <c r="BO1248" s="36"/>
    </row>
    <row r="1249" spans="1:67" x14ac:dyDescent="0.25">
      <c r="A1249" s="39"/>
      <c r="B1249" s="40"/>
      <c r="U1249" s="36"/>
      <c r="V1249" s="36"/>
      <c r="W1249" s="35"/>
      <c r="X1249" s="7"/>
      <c r="Y1249" s="7"/>
      <c r="Z1249" s="7"/>
      <c r="AA1249" s="7"/>
      <c r="AB1249" s="7"/>
      <c r="AC1249" s="7"/>
      <c r="AD1249" s="7"/>
      <c r="AE1249" s="7"/>
      <c r="AG1249" s="36"/>
      <c r="AH1249" s="36"/>
      <c r="AI1249" s="35"/>
      <c r="AJ1249" s="7"/>
      <c r="AK1249" s="7"/>
      <c r="AL1249" s="7"/>
      <c r="AM1249" s="7"/>
      <c r="AN1249" s="7"/>
      <c r="AO1249" s="7"/>
      <c r="AP1249" s="7"/>
      <c r="AQ1249" s="7"/>
      <c r="AS1249" s="36"/>
      <c r="AT1249" s="36"/>
      <c r="AU1249" s="35"/>
      <c r="AV1249" s="7"/>
      <c r="AW1249" s="7"/>
      <c r="AX1249" s="7"/>
      <c r="AY1249" s="7"/>
      <c r="AZ1249" s="7"/>
      <c r="BA1249" s="7"/>
      <c r="BB1249" s="7"/>
      <c r="BC1249" s="7"/>
      <c r="BF1249" s="7"/>
      <c r="BG1249" s="36"/>
      <c r="BH1249" s="36"/>
      <c r="BI1249" s="36"/>
      <c r="BJ1249" s="36"/>
      <c r="BK1249" s="36"/>
      <c r="BL1249" s="36"/>
      <c r="BM1249" s="36"/>
      <c r="BN1249" s="36"/>
      <c r="BO1249" s="36"/>
    </row>
    <row r="1250" spans="1:67" x14ac:dyDescent="0.25">
      <c r="A1250" s="39"/>
      <c r="B1250" s="40"/>
      <c r="U1250" s="36"/>
      <c r="V1250" s="36"/>
      <c r="W1250" s="35"/>
      <c r="X1250" s="7"/>
      <c r="Y1250" s="7"/>
      <c r="Z1250" s="7"/>
      <c r="AA1250" s="7"/>
      <c r="AB1250" s="7"/>
      <c r="AC1250" s="7"/>
      <c r="AD1250" s="7"/>
      <c r="AE1250" s="7"/>
      <c r="AG1250" s="36"/>
      <c r="AH1250" s="36"/>
      <c r="AI1250" s="35"/>
      <c r="AJ1250" s="7"/>
      <c r="AK1250" s="7"/>
      <c r="AL1250" s="7"/>
      <c r="AM1250" s="7"/>
      <c r="AN1250" s="7"/>
      <c r="AO1250" s="7"/>
      <c r="AP1250" s="7"/>
      <c r="AQ1250" s="7"/>
      <c r="AS1250" s="36"/>
      <c r="AT1250" s="36"/>
      <c r="AU1250" s="35"/>
      <c r="AV1250" s="7"/>
      <c r="AW1250" s="7"/>
      <c r="AX1250" s="7"/>
      <c r="AY1250" s="7"/>
      <c r="AZ1250" s="7"/>
      <c r="BA1250" s="7"/>
      <c r="BB1250" s="7"/>
      <c r="BC1250" s="7"/>
      <c r="BF1250" s="7"/>
      <c r="BG1250" s="36"/>
      <c r="BH1250" s="36"/>
      <c r="BI1250" s="36"/>
      <c r="BJ1250" s="36"/>
      <c r="BK1250" s="36"/>
      <c r="BL1250" s="36"/>
      <c r="BM1250" s="36"/>
      <c r="BN1250" s="36"/>
      <c r="BO1250" s="36"/>
    </row>
    <row r="1251" spans="1:67" x14ac:dyDescent="0.25">
      <c r="A1251" s="39"/>
      <c r="B1251" s="40"/>
      <c r="U1251" s="36"/>
      <c r="V1251" s="36"/>
      <c r="W1251" s="35"/>
      <c r="X1251" s="7"/>
      <c r="Y1251" s="7"/>
      <c r="Z1251" s="7"/>
      <c r="AA1251" s="7"/>
      <c r="AB1251" s="7"/>
      <c r="AC1251" s="7"/>
      <c r="AD1251" s="7"/>
      <c r="AE1251" s="7"/>
      <c r="AG1251" s="36"/>
      <c r="AH1251" s="36"/>
      <c r="AI1251" s="35"/>
      <c r="AJ1251" s="7"/>
      <c r="AK1251" s="7"/>
      <c r="AL1251" s="7"/>
      <c r="AM1251" s="7"/>
      <c r="AN1251" s="7"/>
      <c r="AO1251" s="7"/>
      <c r="AP1251" s="7"/>
      <c r="AQ1251" s="7"/>
      <c r="AS1251" s="36"/>
      <c r="AT1251" s="36"/>
      <c r="AU1251" s="35"/>
      <c r="AV1251" s="7"/>
      <c r="AW1251" s="7"/>
      <c r="AX1251" s="7"/>
      <c r="AY1251" s="7"/>
      <c r="AZ1251" s="7"/>
      <c r="BA1251" s="7"/>
      <c r="BB1251" s="7"/>
      <c r="BC1251" s="7"/>
      <c r="BF1251" s="7"/>
      <c r="BG1251" s="36"/>
      <c r="BH1251" s="36"/>
      <c r="BI1251" s="36"/>
      <c r="BJ1251" s="36"/>
      <c r="BK1251" s="36"/>
      <c r="BL1251" s="36"/>
      <c r="BM1251" s="36"/>
      <c r="BN1251" s="36"/>
      <c r="BO1251" s="36"/>
    </row>
    <row r="1252" spans="1:67" x14ac:dyDescent="0.25">
      <c r="A1252" s="39"/>
      <c r="B1252" s="40"/>
      <c r="U1252" s="36"/>
      <c r="V1252" s="36"/>
      <c r="W1252" s="35"/>
      <c r="X1252" s="7"/>
      <c r="Y1252" s="7"/>
      <c r="Z1252" s="7"/>
      <c r="AA1252" s="7"/>
      <c r="AB1252" s="7"/>
      <c r="AC1252" s="7"/>
      <c r="AD1252" s="7"/>
      <c r="AE1252" s="7"/>
      <c r="AG1252" s="36"/>
      <c r="AH1252" s="36"/>
      <c r="AI1252" s="35"/>
      <c r="AJ1252" s="7"/>
      <c r="AK1252" s="7"/>
      <c r="AL1252" s="7"/>
      <c r="AM1252" s="7"/>
      <c r="AN1252" s="7"/>
      <c r="AO1252" s="7"/>
      <c r="AP1252" s="7"/>
      <c r="AQ1252" s="7"/>
      <c r="AS1252" s="36"/>
      <c r="AT1252" s="36"/>
      <c r="AU1252" s="35"/>
      <c r="AV1252" s="7"/>
      <c r="AW1252" s="7"/>
      <c r="AX1252" s="7"/>
      <c r="AY1252" s="7"/>
      <c r="AZ1252" s="7"/>
      <c r="BA1252" s="7"/>
      <c r="BB1252" s="7"/>
      <c r="BC1252" s="7"/>
      <c r="BF1252" s="7"/>
      <c r="BG1252" s="36"/>
      <c r="BH1252" s="36"/>
      <c r="BI1252" s="36"/>
      <c r="BJ1252" s="36"/>
      <c r="BK1252" s="36"/>
      <c r="BL1252" s="36"/>
      <c r="BM1252" s="36"/>
      <c r="BN1252" s="36"/>
      <c r="BO1252" s="36"/>
    </row>
    <row r="1253" spans="1:67" x14ac:dyDescent="0.25">
      <c r="A1253" s="39"/>
      <c r="B1253" s="40"/>
      <c r="U1253" s="36"/>
      <c r="V1253" s="36"/>
      <c r="W1253" s="35"/>
      <c r="X1253" s="7"/>
      <c r="Y1253" s="7"/>
      <c r="Z1253" s="7"/>
      <c r="AA1253" s="7"/>
      <c r="AB1253" s="7"/>
      <c r="AC1253" s="7"/>
      <c r="AD1253" s="7"/>
      <c r="AE1253" s="7"/>
      <c r="AG1253" s="36"/>
      <c r="AH1253" s="36"/>
      <c r="AI1253" s="35"/>
      <c r="AJ1253" s="7"/>
      <c r="AK1253" s="7"/>
      <c r="AL1253" s="7"/>
      <c r="AM1253" s="7"/>
      <c r="AN1253" s="7"/>
      <c r="AO1253" s="7"/>
      <c r="AP1253" s="7"/>
      <c r="AQ1253" s="7"/>
      <c r="AS1253" s="36"/>
      <c r="AT1253" s="36"/>
      <c r="AU1253" s="35"/>
      <c r="AV1253" s="7"/>
      <c r="AW1253" s="7"/>
      <c r="AX1253" s="7"/>
      <c r="AY1253" s="7"/>
      <c r="AZ1253" s="7"/>
      <c r="BA1253" s="7"/>
      <c r="BB1253" s="7"/>
      <c r="BC1253" s="7"/>
      <c r="BF1253" s="7"/>
      <c r="BG1253" s="36"/>
      <c r="BH1253" s="36"/>
      <c r="BI1253" s="36"/>
      <c r="BJ1253" s="36"/>
      <c r="BK1253" s="36"/>
      <c r="BL1253" s="36"/>
      <c r="BM1253" s="36"/>
      <c r="BN1253" s="36"/>
      <c r="BO1253" s="36"/>
    </row>
    <row r="1254" spans="1:67" x14ac:dyDescent="0.25">
      <c r="A1254" s="39"/>
      <c r="B1254" s="40"/>
      <c r="U1254" s="36"/>
      <c r="V1254" s="36"/>
      <c r="W1254" s="35"/>
      <c r="X1254" s="7"/>
      <c r="Y1254" s="7"/>
      <c r="Z1254" s="7"/>
      <c r="AA1254" s="7"/>
      <c r="AB1254" s="7"/>
      <c r="AC1254" s="7"/>
      <c r="AD1254" s="7"/>
      <c r="AE1254" s="7"/>
      <c r="AG1254" s="36"/>
      <c r="AH1254" s="36"/>
      <c r="AI1254" s="35"/>
      <c r="AJ1254" s="7"/>
      <c r="AK1254" s="7"/>
      <c r="AL1254" s="7"/>
      <c r="AM1254" s="7"/>
      <c r="AN1254" s="7"/>
      <c r="AO1254" s="7"/>
      <c r="AP1254" s="7"/>
      <c r="AQ1254" s="7"/>
      <c r="AS1254" s="36"/>
      <c r="AT1254" s="36"/>
      <c r="AU1254" s="35"/>
      <c r="AV1254" s="7"/>
      <c r="AW1254" s="7"/>
      <c r="AX1254" s="7"/>
      <c r="AY1254" s="7"/>
      <c r="AZ1254" s="7"/>
      <c r="BA1254" s="7"/>
      <c r="BB1254" s="7"/>
      <c r="BC1254" s="7"/>
      <c r="BF1254" s="7"/>
      <c r="BG1254" s="36"/>
      <c r="BH1254" s="36"/>
      <c r="BI1254" s="36"/>
      <c r="BJ1254" s="36"/>
      <c r="BK1254" s="36"/>
      <c r="BL1254" s="36"/>
      <c r="BM1254" s="36"/>
      <c r="BN1254" s="36"/>
      <c r="BO1254" s="36"/>
    </row>
    <row r="1255" spans="1:67" x14ac:dyDescent="0.25">
      <c r="A1255" s="39"/>
      <c r="B1255" s="40"/>
      <c r="U1255" s="36"/>
      <c r="V1255" s="36"/>
      <c r="W1255" s="35"/>
      <c r="X1255" s="7"/>
      <c r="Y1255" s="7"/>
      <c r="Z1255" s="7"/>
      <c r="AA1255" s="7"/>
      <c r="AB1255" s="7"/>
      <c r="AC1255" s="7"/>
      <c r="AD1255" s="7"/>
      <c r="AE1255" s="7"/>
      <c r="AG1255" s="36"/>
      <c r="AH1255" s="36"/>
      <c r="AI1255" s="35"/>
      <c r="AJ1255" s="7"/>
      <c r="AK1255" s="7"/>
      <c r="AL1255" s="7"/>
      <c r="AM1255" s="7"/>
      <c r="AN1255" s="7"/>
      <c r="AO1255" s="7"/>
      <c r="AP1255" s="7"/>
      <c r="AQ1255" s="7"/>
      <c r="AS1255" s="36"/>
      <c r="AT1255" s="36"/>
      <c r="AU1255" s="35"/>
      <c r="AV1255" s="7"/>
      <c r="AW1255" s="7"/>
      <c r="AX1255" s="7"/>
      <c r="AY1255" s="7"/>
      <c r="AZ1255" s="7"/>
      <c r="BA1255" s="7"/>
      <c r="BB1255" s="7"/>
      <c r="BC1255" s="7"/>
      <c r="BF1255" s="7"/>
      <c r="BG1255" s="36"/>
      <c r="BH1255" s="36"/>
      <c r="BI1255" s="36"/>
      <c r="BJ1255" s="36"/>
      <c r="BK1255" s="36"/>
      <c r="BL1255" s="36"/>
      <c r="BM1255" s="36"/>
      <c r="BN1255" s="36"/>
      <c r="BO1255" s="36"/>
    </row>
    <row r="1256" spans="1:67" x14ac:dyDescent="0.25">
      <c r="A1256" s="39"/>
      <c r="B1256" s="40"/>
      <c r="U1256" s="36"/>
      <c r="V1256" s="36"/>
      <c r="W1256" s="35"/>
      <c r="X1256" s="7"/>
      <c r="Y1256" s="7"/>
      <c r="Z1256" s="7"/>
      <c r="AA1256" s="7"/>
      <c r="AB1256" s="7"/>
      <c r="AC1256" s="7"/>
      <c r="AD1256" s="7"/>
      <c r="AE1256" s="7"/>
      <c r="AG1256" s="36"/>
      <c r="AH1256" s="36"/>
      <c r="AI1256" s="35"/>
      <c r="AJ1256" s="7"/>
      <c r="AK1256" s="7"/>
      <c r="AL1256" s="7"/>
      <c r="AM1256" s="7"/>
      <c r="AN1256" s="7"/>
      <c r="AO1256" s="7"/>
      <c r="AP1256" s="7"/>
      <c r="AQ1256" s="7"/>
      <c r="AS1256" s="36"/>
      <c r="AT1256" s="36"/>
      <c r="AU1256" s="35"/>
      <c r="AV1256" s="7"/>
      <c r="AW1256" s="7"/>
      <c r="AX1256" s="7"/>
      <c r="AY1256" s="7"/>
      <c r="AZ1256" s="7"/>
      <c r="BA1256" s="7"/>
      <c r="BB1256" s="7"/>
      <c r="BC1256" s="7"/>
      <c r="BF1256" s="7"/>
      <c r="BG1256" s="36"/>
      <c r="BH1256" s="36"/>
      <c r="BI1256" s="36"/>
      <c r="BJ1256" s="36"/>
      <c r="BK1256" s="36"/>
      <c r="BL1256" s="36"/>
      <c r="BM1256" s="36"/>
      <c r="BN1256" s="36"/>
      <c r="BO1256" s="36"/>
    </row>
    <row r="1257" spans="1:67" x14ac:dyDescent="0.25">
      <c r="A1257" s="39"/>
      <c r="B1257" s="40"/>
      <c r="U1257" s="36"/>
      <c r="V1257" s="36"/>
      <c r="W1257" s="35"/>
      <c r="X1257" s="7"/>
      <c r="Y1257" s="7"/>
      <c r="Z1257" s="7"/>
      <c r="AA1257" s="7"/>
      <c r="AB1257" s="7"/>
      <c r="AC1257" s="7"/>
      <c r="AD1257" s="7"/>
      <c r="AE1257" s="7"/>
      <c r="AG1257" s="36"/>
      <c r="AH1257" s="36"/>
      <c r="AI1257" s="35"/>
      <c r="AJ1257" s="7"/>
      <c r="AK1257" s="7"/>
      <c r="AL1257" s="7"/>
      <c r="AM1257" s="7"/>
      <c r="AN1257" s="7"/>
      <c r="AO1257" s="7"/>
      <c r="AP1257" s="7"/>
      <c r="AQ1257" s="7"/>
      <c r="AS1257" s="36"/>
      <c r="AT1257" s="36"/>
      <c r="AU1257" s="35"/>
      <c r="AV1257" s="7"/>
      <c r="AW1257" s="7"/>
      <c r="AX1257" s="7"/>
      <c r="AY1257" s="7"/>
      <c r="AZ1257" s="7"/>
      <c r="BA1257" s="7"/>
      <c r="BB1257" s="7"/>
      <c r="BC1257" s="7"/>
      <c r="BF1257" s="7"/>
      <c r="BG1257" s="36"/>
      <c r="BH1257" s="36"/>
      <c r="BI1257" s="36"/>
      <c r="BJ1257" s="36"/>
      <c r="BK1257" s="36"/>
      <c r="BL1257" s="36"/>
      <c r="BM1257" s="36"/>
      <c r="BN1257" s="36"/>
      <c r="BO1257" s="36"/>
    </row>
    <row r="1258" spans="1:67" x14ac:dyDescent="0.25">
      <c r="A1258" s="39"/>
      <c r="B1258" s="40"/>
      <c r="U1258" s="36"/>
      <c r="V1258" s="36"/>
      <c r="W1258" s="35"/>
      <c r="X1258" s="7"/>
      <c r="Y1258" s="7"/>
      <c r="Z1258" s="7"/>
      <c r="AA1258" s="7"/>
      <c r="AB1258" s="7"/>
      <c r="AC1258" s="7"/>
      <c r="AD1258" s="7"/>
      <c r="AE1258" s="7"/>
      <c r="AG1258" s="36"/>
      <c r="AH1258" s="36"/>
      <c r="AI1258" s="35"/>
      <c r="AJ1258" s="7"/>
      <c r="AK1258" s="7"/>
      <c r="AL1258" s="7"/>
      <c r="AM1258" s="7"/>
      <c r="AN1258" s="7"/>
      <c r="AO1258" s="7"/>
      <c r="AP1258" s="7"/>
      <c r="AQ1258" s="7"/>
      <c r="AS1258" s="36"/>
      <c r="AT1258" s="36"/>
      <c r="AU1258" s="35"/>
      <c r="AV1258" s="7"/>
      <c r="AW1258" s="7"/>
      <c r="AX1258" s="7"/>
      <c r="AY1258" s="7"/>
      <c r="AZ1258" s="7"/>
      <c r="BA1258" s="7"/>
      <c r="BB1258" s="7"/>
      <c r="BC1258" s="7"/>
      <c r="BF1258" s="7"/>
      <c r="BG1258" s="36"/>
      <c r="BH1258" s="36"/>
      <c r="BI1258" s="36"/>
      <c r="BJ1258" s="36"/>
      <c r="BK1258" s="36"/>
      <c r="BL1258" s="36"/>
      <c r="BM1258" s="36"/>
      <c r="BN1258" s="36"/>
      <c r="BO1258" s="36"/>
    </row>
    <row r="1259" spans="1:67" x14ac:dyDescent="0.25">
      <c r="A1259" s="39"/>
      <c r="B1259" s="40"/>
      <c r="U1259" s="36"/>
      <c r="V1259" s="36"/>
      <c r="W1259" s="35"/>
      <c r="X1259" s="7"/>
      <c r="Y1259" s="7"/>
      <c r="Z1259" s="7"/>
      <c r="AA1259" s="7"/>
      <c r="AB1259" s="7"/>
      <c r="AC1259" s="7"/>
      <c r="AD1259" s="7"/>
      <c r="AE1259" s="7"/>
      <c r="AG1259" s="36"/>
      <c r="AH1259" s="36"/>
      <c r="AI1259" s="35"/>
      <c r="AJ1259" s="7"/>
      <c r="AK1259" s="7"/>
      <c r="AL1259" s="7"/>
      <c r="AM1259" s="7"/>
      <c r="AN1259" s="7"/>
      <c r="AO1259" s="7"/>
      <c r="AP1259" s="7"/>
      <c r="AQ1259" s="7"/>
      <c r="AS1259" s="36"/>
      <c r="AT1259" s="36"/>
      <c r="AU1259" s="35"/>
      <c r="AV1259" s="7"/>
      <c r="AW1259" s="7"/>
      <c r="AX1259" s="7"/>
      <c r="AY1259" s="7"/>
      <c r="AZ1259" s="7"/>
      <c r="BA1259" s="7"/>
      <c r="BB1259" s="7"/>
      <c r="BC1259" s="7"/>
      <c r="BF1259" s="7"/>
      <c r="BG1259" s="36"/>
      <c r="BH1259" s="36"/>
      <c r="BI1259" s="36"/>
      <c r="BJ1259" s="36"/>
      <c r="BK1259" s="36"/>
      <c r="BL1259" s="36"/>
      <c r="BM1259" s="36"/>
      <c r="BN1259" s="36"/>
      <c r="BO1259" s="36"/>
    </row>
    <row r="1260" spans="1:67" x14ac:dyDescent="0.25">
      <c r="A1260" s="39"/>
      <c r="B1260" s="40"/>
      <c r="U1260" s="36"/>
      <c r="V1260" s="36"/>
      <c r="W1260" s="35"/>
      <c r="X1260" s="7"/>
      <c r="Y1260" s="7"/>
      <c r="Z1260" s="7"/>
      <c r="AA1260" s="7"/>
      <c r="AB1260" s="7"/>
      <c r="AC1260" s="7"/>
      <c r="AD1260" s="7"/>
      <c r="AE1260" s="7"/>
      <c r="AG1260" s="36"/>
      <c r="AH1260" s="36"/>
      <c r="AI1260" s="35"/>
      <c r="AJ1260" s="7"/>
      <c r="AK1260" s="7"/>
      <c r="AL1260" s="7"/>
      <c r="AM1260" s="7"/>
      <c r="AN1260" s="7"/>
      <c r="AO1260" s="7"/>
      <c r="AP1260" s="7"/>
      <c r="AQ1260" s="7"/>
      <c r="AS1260" s="36"/>
      <c r="AT1260" s="36"/>
      <c r="AU1260" s="35"/>
      <c r="AV1260" s="7"/>
      <c r="AW1260" s="7"/>
      <c r="AX1260" s="7"/>
      <c r="AY1260" s="7"/>
      <c r="AZ1260" s="7"/>
      <c r="BA1260" s="7"/>
      <c r="BB1260" s="7"/>
      <c r="BC1260" s="7"/>
      <c r="BF1260" s="7"/>
      <c r="BG1260" s="36"/>
      <c r="BH1260" s="36"/>
      <c r="BI1260" s="36"/>
      <c r="BJ1260" s="36"/>
      <c r="BK1260" s="36"/>
      <c r="BL1260" s="36"/>
      <c r="BM1260" s="36"/>
      <c r="BN1260" s="36"/>
      <c r="BO1260" s="36"/>
    </row>
    <row r="1261" spans="1:67" x14ac:dyDescent="0.25">
      <c r="A1261" s="39"/>
      <c r="B1261" s="40"/>
      <c r="U1261" s="36"/>
      <c r="V1261" s="36"/>
      <c r="W1261" s="35"/>
      <c r="X1261" s="7"/>
      <c r="Y1261" s="7"/>
      <c r="Z1261" s="7"/>
      <c r="AA1261" s="7"/>
      <c r="AB1261" s="7"/>
      <c r="AC1261" s="7"/>
      <c r="AD1261" s="7"/>
      <c r="AE1261" s="7"/>
      <c r="AG1261" s="36"/>
      <c r="AH1261" s="36"/>
      <c r="AI1261" s="35"/>
      <c r="AJ1261" s="7"/>
      <c r="AK1261" s="7"/>
      <c r="AL1261" s="7"/>
      <c r="AM1261" s="7"/>
      <c r="AN1261" s="7"/>
      <c r="AO1261" s="7"/>
      <c r="AP1261" s="7"/>
      <c r="AQ1261" s="7"/>
      <c r="AS1261" s="36"/>
      <c r="AT1261" s="36"/>
      <c r="AU1261" s="35"/>
      <c r="AV1261" s="7"/>
      <c r="AW1261" s="7"/>
      <c r="AX1261" s="7"/>
      <c r="AY1261" s="7"/>
      <c r="AZ1261" s="7"/>
      <c r="BA1261" s="7"/>
      <c r="BB1261" s="7"/>
      <c r="BC1261" s="7"/>
      <c r="BF1261" s="7"/>
      <c r="BG1261" s="36"/>
      <c r="BH1261" s="36"/>
      <c r="BI1261" s="36"/>
      <c r="BJ1261" s="36"/>
      <c r="BK1261" s="36"/>
      <c r="BL1261" s="36"/>
      <c r="BM1261" s="36"/>
      <c r="BN1261" s="36"/>
      <c r="BO1261" s="36"/>
    </row>
    <row r="1262" spans="1:67" x14ac:dyDescent="0.25">
      <c r="A1262" s="39"/>
      <c r="B1262" s="40"/>
      <c r="U1262" s="36"/>
      <c r="V1262" s="36"/>
      <c r="W1262" s="35"/>
      <c r="X1262" s="7"/>
      <c r="Y1262" s="7"/>
      <c r="Z1262" s="7"/>
      <c r="AA1262" s="7"/>
      <c r="AB1262" s="7"/>
      <c r="AC1262" s="7"/>
      <c r="AD1262" s="7"/>
      <c r="AE1262" s="7"/>
      <c r="AG1262" s="36"/>
      <c r="AH1262" s="36"/>
      <c r="AI1262" s="35"/>
      <c r="AJ1262" s="7"/>
      <c r="AK1262" s="7"/>
      <c r="AL1262" s="7"/>
      <c r="AM1262" s="7"/>
      <c r="AN1262" s="7"/>
      <c r="AO1262" s="7"/>
      <c r="AP1262" s="7"/>
      <c r="AQ1262" s="7"/>
      <c r="AS1262" s="36"/>
      <c r="AT1262" s="36"/>
      <c r="AU1262" s="35"/>
      <c r="AV1262" s="7"/>
      <c r="AW1262" s="7"/>
      <c r="AX1262" s="7"/>
      <c r="AY1262" s="7"/>
      <c r="AZ1262" s="7"/>
      <c r="BA1262" s="7"/>
      <c r="BB1262" s="7"/>
      <c r="BC1262" s="7"/>
      <c r="BF1262" s="7"/>
      <c r="BG1262" s="36"/>
      <c r="BH1262" s="36"/>
      <c r="BI1262" s="36"/>
      <c r="BJ1262" s="36"/>
      <c r="BK1262" s="36"/>
      <c r="BL1262" s="36"/>
      <c r="BM1262" s="36"/>
      <c r="BN1262" s="36"/>
      <c r="BO1262" s="36"/>
    </row>
    <row r="1263" spans="1:67" x14ac:dyDescent="0.25">
      <c r="A1263" s="39"/>
      <c r="B1263" s="40"/>
      <c r="U1263" s="36"/>
      <c r="V1263" s="36"/>
      <c r="W1263" s="35"/>
      <c r="X1263" s="7"/>
      <c r="Y1263" s="7"/>
      <c r="Z1263" s="7"/>
      <c r="AA1263" s="7"/>
      <c r="AB1263" s="7"/>
      <c r="AC1263" s="7"/>
      <c r="AD1263" s="7"/>
      <c r="AE1263" s="7"/>
      <c r="AG1263" s="36"/>
      <c r="AH1263" s="36"/>
      <c r="AI1263" s="35"/>
      <c r="AJ1263" s="7"/>
      <c r="AK1263" s="7"/>
      <c r="AL1263" s="7"/>
      <c r="AM1263" s="7"/>
      <c r="AN1263" s="7"/>
      <c r="AO1263" s="7"/>
      <c r="AP1263" s="7"/>
      <c r="AQ1263" s="7"/>
      <c r="AS1263" s="36"/>
      <c r="AT1263" s="36"/>
      <c r="AU1263" s="35"/>
      <c r="AV1263" s="7"/>
      <c r="AW1263" s="7"/>
      <c r="AX1263" s="7"/>
      <c r="AY1263" s="7"/>
      <c r="AZ1263" s="7"/>
      <c r="BA1263" s="7"/>
      <c r="BB1263" s="7"/>
      <c r="BC1263" s="7"/>
      <c r="BF1263" s="7"/>
      <c r="BG1263" s="36"/>
      <c r="BH1263" s="36"/>
      <c r="BI1263" s="36"/>
      <c r="BJ1263" s="36"/>
      <c r="BK1263" s="36"/>
      <c r="BL1263" s="36"/>
      <c r="BM1263" s="36"/>
      <c r="BN1263" s="36"/>
      <c r="BO1263" s="36"/>
    </row>
    <row r="1264" spans="1:67" x14ac:dyDescent="0.25">
      <c r="A1264" s="39"/>
      <c r="B1264" s="40"/>
      <c r="U1264" s="36"/>
      <c r="V1264" s="36"/>
      <c r="W1264" s="35"/>
      <c r="X1264" s="7"/>
      <c r="Y1264" s="7"/>
      <c r="Z1264" s="7"/>
      <c r="AA1264" s="7"/>
      <c r="AB1264" s="7"/>
      <c r="AC1264" s="7"/>
      <c r="AD1264" s="7"/>
      <c r="AE1264" s="7"/>
      <c r="AG1264" s="36"/>
      <c r="AH1264" s="36"/>
      <c r="AI1264" s="35"/>
      <c r="AJ1264" s="7"/>
      <c r="AK1264" s="7"/>
      <c r="AL1264" s="7"/>
      <c r="AM1264" s="7"/>
      <c r="AN1264" s="7"/>
      <c r="AO1264" s="7"/>
      <c r="AP1264" s="7"/>
      <c r="AQ1264" s="7"/>
      <c r="AS1264" s="36"/>
      <c r="AT1264" s="36"/>
      <c r="AU1264" s="35"/>
      <c r="AV1264" s="7"/>
      <c r="AW1264" s="7"/>
      <c r="AX1264" s="7"/>
      <c r="AY1264" s="7"/>
      <c r="AZ1264" s="7"/>
      <c r="BA1264" s="7"/>
      <c r="BB1264" s="7"/>
      <c r="BC1264" s="7"/>
      <c r="BF1264" s="7"/>
      <c r="BG1264" s="36"/>
      <c r="BH1264" s="36"/>
      <c r="BI1264" s="36"/>
      <c r="BJ1264" s="36"/>
      <c r="BK1264" s="36"/>
      <c r="BL1264" s="36"/>
      <c r="BM1264" s="36"/>
      <c r="BN1264" s="36"/>
      <c r="BO1264" s="36"/>
    </row>
    <row r="1265" spans="1:67" x14ac:dyDescent="0.25">
      <c r="A1265" s="39"/>
      <c r="B1265" s="40"/>
      <c r="U1265" s="36"/>
      <c r="V1265" s="36"/>
      <c r="W1265" s="35"/>
      <c r="X1265" s="7"/>
      <c r="Y1265" s="7"/>
      <c r="Z1265" s="7"/>
      <c r="AA1265" s="7"/>
      <c r="AB1265" s="7"/>
      <c r="AC1265" s="7"/>
      <c r="AD1265" s="7"/>
      <c r="AE1265" s="7"/>
      <c r="AG1265" s="36"/>
      <c r="AH1265" s="36"/>
      <c r="AI1265" s="35"/>
      <c r="AJ1265" s="7"/>
      <c r="AK1265" s="7"/>
      <c r="AL1265" s="7"/>
      <c r="AM1265" s="7"/>
      <c r="AN1265" s="7"/>
      <c r="AO1265" s="7"/>
      <c r="AP1265" s="7"/>
      <c r="AQ1265" s="7"/>
      <c r="AS1265" s="36"/>
      <c r="AT1265" s="36"/>
      <c r="AU1265" s="35"/>
      <c r="AV1265" s="7"/>
      <c r="AW1265" s="7"/>
      <c r="AX1265" s="7"/>
      <c r="AY1265" s="7"/>
      <c r="AZ1265" s="7"/>
      <c r="BA1265" s="7"/>
      <c r="BB1265" s="7"/>
      <c r="BC1265" s="7"/>
      <c r="BF1265" s="7"/>
      <c r="BG1265" s="36"/>
      <c r="BH1265" s="36"/>
      <c r="BI1265" s="36"/>
      <c r="BJ1265" s="36"/>
      <c r="BK1265" s="36"/>
      <c r="BL1265" s="36"/>
      <c r="BM1265" s="36"/>
      <c r="BN1265" s="36"/>
      <c r="BO1265" s="36"/>
    </row>
    <row r="1266" spans="1:67" x14ac:dyDescent="0.25">
      <c r="A1266" s="39"/>
      <c r="B1266" s="40"/>
      <c r="U1266" s="36"/>
      <c r="V1266" s="36"/>
      <c r="W1266" s="35"/>
      <c r="X1266" s="7"/>
      <c r="Y1266" s="7"/>
      <c r="Z1266" s="7"/>
      <c r="AA1266" s="7"/>
      <c r="AB1266" s="7"/>
      <c r="AC1266" s="7"/>
      <c r="AD1266" s="7"/>
      <c r="AE1266" s="7"/>
      <c r="AG1266" s="36"/>
      <c r="AH1266" s="36"/>
      <c r="AI1266" s="35"/>
      <c r="AJ1266" s="7"/>
      <c r="AK1266" s="7"/>
      <c r="AL1266" s="7"/>
      <c r="AM1266" s="7"/>
      <c r="AN1266" s="7"/>
      <c r="AO1266" s="7"/>
      <c r="AP1266" s="7"/>
      <c r="AQ1266" s="7"/>
      <c r="AS1266" s="36"/>
      <c r="AT1266" s="36"/>
      <c r="AU1266" s="35"/>
      <c r="AV1266" s="7"/>
      <c r="AW1266" s="7"/>
      <c r="AX1266" s="7"/>
      <c r="AY1266" s="7"/>
      <c r="AZ1266" s="7"/>
      <c r="BA1266" s="7"/>
      <c r="BB1266" s="7"/>
      <c r="BC1266" s="7"/>
      <c r="BF1266" s="7"/>
      <c r="BG1266" s="36"/>
      <c r="BH1266" s="36"/>
      <c r="BI1266" s="36"/>
      <c r="BJ1266" s="36"/>
      <c r="BK1266" s="36"/>
      <c r="BL1266" s="36"/>
      <c r="BM1266" s="36"/>
      <c r="BN1266" s="36"/>
      <c r="BO1266" s="36"/>
    </row>
    <row r="1267" spans="1:67" x14ac:dyDescent="0.25">
      <c r="A1267" s="39"/>
      <c r="B1267" s="40"/>
      <c r="U1267" s="36"/>
      <c r="V1267" s="36"/>
      <c r="W1267" s="35"/>
      <c r="X1267" s="7"/>
      <c r="Y1267" s="7"/>
      <c r="Z1267" s="7"/>
      <c r="AA1267" s="7"/>
      <c r="AB1267" s="7"/>
      <c r="AC1267" s="7"/>
      <c r="AD1267" s="7"/>
      <c r="AE1267" s="7"/>
      <c r="AG1267" s="36"/>
      <c r="AH1267" s="36"/>
      <c r="AI1267" s="35"/>
      <c r="AJ1267" s="7"/>
      <c r="AK1267" s="7"/>
      <c r="AL1267" s="7"/>
      <c r="AM1267" s="7"/>
      <c r="AN1267" s="7"/>
      <c r="AO1267" s="7"/>
      <c r="AP1267" s="7"/>
      <c r="AQ1267" s="7"/>
      <c r="AS1267" s="36"/>
      <c r="AT1267" s="36"/>
      <c r="AU1267" s="35"/>
      <c r="AV1267" s="7"/>
      <c r="AW1267" s="7"/>
      <c r="AX1267" s="7"/>
      <c r="AY1267" s="7"/>
      <c r="AZ1267" s="7"/>
      <c r="BA1267" s="7"/>
      <c r="BB1267" s="7"/>
      <c r="BC1267" s="7"/>
      <c r="BF1267" s="7"/>
      <c r="BG1267" s="36"/>
      <c r="BH1267" s="36"/>
      <c r="BI1267" s="36"/>
      <c r="BJ1267" s="36"/>
      <c r="BK1267" s="36"/>
      <c r="BL1267" s="36"/>
      <c r="BM1267" s="36"/>
      <c r="BN1267" s="36"/>
      <c r="BO1267" s="36"/>
    </row>
    <row r="1268" spans="1:67" x14ac:dyDescent="0.25">
      <c r="A1268" s="39"/>
      <c r="B1268" s="40"/>
      <c r="U1268" s="36"/>
      <c r="V1268" s="36"/>
      <c r="W1268" s="35"/>
      <c r="X1268" s="7"/>
      <c r="Y1268" s="7"/>
      <c r="Z1268" s="7"/>
      <c r="AA1268" s="7"/>
      <c r="AB1268" s="7"/>
      <c r="AC1268" s="7"/>
      <c r="AD1268" s="7"/>
      <c r="AE1268" s="7"/>
      <c r="AG1268" s="36"/>
      <c r="AH1268" s="36"/>
      <c r="AI1268" s="35"/>
      <c r="AJ1268" s="7"/>
      <c r="AK1268" s="7"/>
      <c r="AL1268" s="7"/>
      <c r="AM1268" s="7"/>
      <c r="AN1268" s="7"/>
      <c r="AO1268" s="7"/>
      <c r="AP1268" s="7"/>
      <c r="AQ1268" s="7"/>
      <c r="AS1268" s="36"/>
      <c r="AT1268" s="36"/>
      <c r="AU1268" s="35"/>
      <c r="AV1268" s="7"/>
      <c r="AW1268" s="7"/>
      <c r="AX1268" s="7"/>
      <c r="AY1268" s="7"/>
      <c r="AZ1268" s="7"/>
      <c r="BA1268" s="7"/>
      <c r="BB1268" s="7"/>
      <c r="BC1268" s="7"/>
      <c r="BF1268" s="7"/>
      <c r="BG1268" s="36"/>
      <c r="BH1268" s="36"/>
      <c r="BI1268" s="36"/>
      <c r="BJ1268" s="36"/>
      <c r="BK1268" s="36"/>
      <c r="BL1268" s="36"/>
      <c r="BM1268" s="36"/>
      <c r="BN1268" s="36"/>
      <c r="BO1268" s="36"/>
    </row>
    <row r="1269" spans="1:67" x14ac:dyDescent="0.25">
      <c r="A1269" s="39"/>
      <c r="B1269" s="40"/>
      <c r="U1269" s="36"/>
      <c r="V1269" s="36"/>
      <c r="W1269" s="35"/>
      <c r="X1269" s="7"/>
      <c r="Y1269" s="7"/>
      <c r="Z1269" s="7"/>
      <c r="AA1269" s="7"/>
      <c r="AB1269" s="7"/>
      <c r="AC1269" s="7"/>
      <c r="AD1269" s="7"/>
      <c r="AE1269" s="7"/>
      <c r="AG1269" s="36"/>
      <c r="AH1269" s="36"/>
      <c r="AI1269" s="35"/>
      <c r="AJ1269" s="7"/>
      <c r="AK1269" s="7"/>
      <c r="AL1269" s="7"/>
      <c r="AM1269" s="7"/>
      <c r="AN1269" s="7"/>
      <c r="AO1269" s="7"/>
      <c r="AP1269" s="7"/>
      <c r="AQ1269" s="7"/>
      <c r="AS1269" s="36"/>
      <c r="AT1269" s="36"/>
      <c r="AU1269" s="35"/>
      <c r="AV1269" s="7"/>
      <c r="AW1269" s="7"/>
      <c r="AX1269" s="7"/>
      <c r="AY1269" s="7"/>
      <c r="AZ1269" s="7"/>
      <c r="BA1269" s="7"/>
      <c r="BB1269" s="7"/>
      <c r="BC1269" s="7"/>
      <c r="BF1269" s="7"/>
      <c r="BG1269" s="36"/>
      <c r="BH1269" s="36"/>
      <c r="BI1269" s="36"/>
      <c r="BJ1269" s="36"/>
      <c r="BK1269" s="36"/>
      <c r="BL1269" s="36"/>
      <c r="BM1269" s="36"/>
      <c r="BN1269" s="36"/>
      <c r="BO1269" s="36"/>
    </row>
    <row r="1270" spans="1:67" x14ac:dyDescent="0.25">
      <c r="A1270" s="39"/>
      <c r="B1270" s="40"/>
      <c r="U1270" s="36"/>
      <c r="V1270" s="36"/>
      <c r="W1270" s="35"/>
      <c r="X1270" s="7"/>
      <c r="Y1270" s="7"/>
      <c r="Z1270" s="7"/>
      <c r="AA1270" s="7"/>
      <c r="AB1270" s="7"/>
      <c r="AC1270" s="7"/>
      <c r="AD1270" s="7"/>
      <c r="AE1270" s="7"/>
      <c r="AG1270" s="36"/>
      <c r="AH1270" s="36"/>
      <c r="AI1270" s="35"/>
      <c r="AJ1270" s="7"/>
      <c r="AK1270" s="7"/>
      <c r="AL1270" s="7"/>
      <c r="AM1270" s="7"/>
      <c r="AN1270" s="7"/>
      <c r="AO1270" s="7"/>
      <c r="AP1270" s="7"/>
      <c r="AQ1270" s="7"/>
      <c r="AS1270" s="36"/>
      <c r="AT1270" s="36"/>
      <c r="AU1270" s="35"/>
      <c r="AV1270" s="7"/>
      <c r="AW1270" s="7"/>
      <c r="AX1270" s="7"/>
      <c r="AY1270" s="7"/>
      <c r="AZ1270" s="7"/>
      <c r="BA1270" s="7"/>
      <c r="BB1270" s="7"/>
      <c r="BC1270" s="7"/>
      <c r="BF1270" s="7"/>
      <c r="BG1270" s="36"/>
      <c r="BH1270" s="36"/>
      <c r="BI1270" s="36"/>
      <c r="BJ1270" s="36"/>
      <c r="BK1270" s="36"/>
      <c r="BL1270" s="36"/>
      <c r="BM1270" s="36"/>
      <c r="BN1270" s="36"/>
      <c r="BO1270" s="36"/>
    </row>
    <row r="1271" spans="1:67" x14ac:dyDescent="0.25">
      <c r="A1271" s="39"/>
      <c r="B1271" s="40"/>
      <c r="U1271" s="36"/>
      <c r="V1271" s="36"/>
      <c r="W1271" s="35"/>
      <c r="X1271" s="7"/>
      <c r="Y1271" s="7"/>
      <c r="Z1271" s="7"/>
      <c r="AA1271" s="7"/>
      <c r="AB1271" s="7"/>
      <c r="AC1271" s="7"/>
      <c r="AD1271" s="7"/>
      <c r="AE1271" s="7"/>
      <c r="AG1271" s="36"/>
      <c r="AH1271" s="36"/>
      <c r="AI1271" s="35"/>
      <c r="AJ1271" s="7"/>
      <c r="AK1271" s="7"/>
      <c r="AL1271" s="7"/>
      <c r="AM1271" s="7"/>
      <c r="AN1271" s="7"/>
      <c r="AO1271" s="7"/>
      <c r="AP1271" s="7"/>
      <c r="AQ1271" s="7"/>
      <c r="AS1271" s="36"/>
      <c r="AT1271" s="36"/>
      <c r="AU1271" s="35"/>
      <c r="AV1271" s="7"/>
      <c r="AW1271" s="7"/>
      <c r="AX1271" s="7"/>
      <c r="AY1271" s="7"/>
      <c r="AZ1271" s="7"/>
      <c r="BA1271" s="7"/>
      <c r="BB1271" s="7"/>
      <c r="BC1271" s="7"/>
      <c r="BF1271" s="7"/>
      <c r="BG1271" s="36"/>
      <c r="BH1271" s="36"/>
      <c r="BI1271" s="36"/>
      <c r="BJ1271" s="36"/>
      <c r="BK1271" s="36"/>
      <c r="BL1271" s="36"/>
      <c r="BM1271" s="36"/>
      <c r="BN1271" s="36"/>
      <c r="BO1271" s="36"/>
    </row>
    <row r="1272" spans="1:67" x14ac:dyDescent="0.25">
      <c r="A1272" s="39"/>
      <c r="B1272" s="40"/>
      <c r="U1272" s="36"/>
      <c r="V1272" s="36"/>
      <c r="W1272" s="35"/>
      <c r="X1272" s="7"/>
      <c r="Y1272" s="7"/>
      <c r="Z1272" s="7"/>
      <c r="AA1272" s="7"/>
      <c r="AB1272" s="7"/>
      <c r="AC1272" s="7"/>
      <c r="AD1272" s="7"/>
      <c r="AE1272" s="7"/>
      <c r="AG1272" s="36"/>
      <c r="AH1272" s="36"/>
      <c r="AI1272" s="35"/>
      <c r="AJ1272" s="7"/>
      <c r="AK1272" s="7"/>
      <c r="AL1272" s="7"/>
      <c r="AM1272" s="7"/>
      <c r="AN1272" s="7"/>
      <c r="AO1272" s="7"/>
      <c r="AP1272" s="7"/>
      <c r="AQ1272" s="7"/>
      <c r="AS1272" s="36"/>
      <c r="AT1272" s="36"/>
      <c r="AU1272" s="35"/>
      <c r="AV1272" s="7"/>
      <c r="AW1272" s="7"/>
      <c r="AX1272" s="7"/>
      <c r="AY1272" s="7"/>
      <c r="AZ1272" s="7"/>
      <c r="BA1272" s="7"/>
      <c r="BB1272" s="7"/>
      <c r="BC1272" s="7"/>
      <c r="BF1272" s="7"/>
      <c r="BG1272" s="36"/>
      <c r="BH1272" s="36"/>
      <c r="BI1272" s="36"/>
      <c r="BJ1272" s="36"/>
      <c r="BK1272" s="36"/>
      <c r="BL1272" s="36"/>
      <c r="BM1272" s="36"/>
      <c r="BN1272" s="36"/>
      <c r="BO1272" s="36"/>
    </row>
    <row r="1273" spans="1:67" x14ac:dyDescent="0.25">
      <c r="A1273" s="39"/>
      <c r="B1273" s="40"/>
      <c r="U1273" s="36"/>
      <c r="V1273" s="36"/>
      <c r="W1273" s="35"/>
      <c r="X1273" s="7"/>
      <c r="Y1273" s="7"/>
      <c r="Z1273" s="7"/>
      <c r="AA1273" s="7"/>
      <c r="AB1273" s="7"/>
      <c r="AC1273" s="7"/>
      <c r="AD1273" s="7"/>
      <c r="AE1273" s="7"/>
      <c r="AG1273" s="36"/>
      <c r="AH1273" s="36"/>
      <c r="AI1273" s="35"/>
      <c r="AJ1273" s="7"/>
      <c r="AK1273" s="7"/>
      <c r="AL1273" s="7"/>
      <c r="AM1273" s="7"/>
      <c r="AN1273" s="7"/>
      <c r="AO1273" s="7"/>
      <c r="AP1273" s="7"/>
      <c r="AQ1273" s="7"/>
      <c r="AS1273" s="36"/>
      <c r="AT1273" s="36"/>
      <c r="AU1273" s="35"/>
      <c r="AV1273" s="7"/>
      <c r="AW1273" s="7"/>
      <c r="AX1273" s="7"/>
      <c r="AY1273" s="7"/>
      <c r="AZ1273" s="7"/>
      <c r="BA1273" s="7"/>
      <c r="BB1273" s="7"/>
      <c r="BC1273" s="7"/>
      <c r="BF1273" s="7"/>
      <c r="BG1273" s="36"/>
      <c r="BH1273" s="36"/>
      <c r="BI1273" s="36"/>
      <c r="BJ1273" s="36"/>
      <c r="BK1273" s="36"/>
      <c r="BL1273" s="36"/>
      <c r="BM1273" s="36"/>
      <c r="BN1273" s="36"/>
      <c r="BO1273" s="36"/>
    </row>
    <row r="1274" spans="1:67" x14ac:dyDescent="0.25">
      <c r="A1274" s="39"/>
      <c r="B1274" s="40"/>
      <c r="U1274" s="36"/>
      <c r="V1274" s="36"/>
      <c r="W1274" s="35"/>
      <c r="X1274" s="7"/>
      <c r="Y1274" s="7"/>
      <c r="Z1274" s="7"/>
      <c r="AA1274" s="7"/>
      <c r="AB1274" s="7"/>
      <c r="AC1274" s="7"/>
      <c r="AD1274" s="7"/>
      <c r="AE1274" s="7"/>
      <c r="AG1274" s="36"/>
      <c r="AH1274" s="36"/>
      <c r="AI1274" s="35"/>
      <c r="AJ1274" s="7"/>
      <c r="AK1274" s="7"/>
      <c r="AL1274" s="7"/>
      <c r="AM1274" s="7"/>
      <c r="AN1274" s="7"/>
      <c r="AO1274" s="7"/>
      <c r="AP1274" s="7"/>
      <c r="AQ1274" s="7"/>
      <c r="AS1274" s="36"/>
      <c r="AT1274" s="36"/>
      <c r="AU1274" s="35"/>
      <c r="AV1274" s="7"/>
      <c r="AW1274" s="7"/>
      <c r="AX1274" s="7"/>
      <c r="AY1274" s="7"/>
      <c r="AZ1274" s="7"/>
      <c r="BA1274" s="7"/>
      <c r="BB1274" s="7"/>
      <c r="BC1274" s="7"/>
      <c r="BF1274" s="7"/>
      <c r="BG1274" s="36"/>
      <c r="BH1274" s="36"/>
      <c r="BI1274" s="36"/>
      <c r="BJ1274" s="36"/>
      <c r="BK1274" s="36"/>
      <c r="BL1274" s="36"/>
      <c r="BM1274" s="36"/>
      <c r="BN1274" s="36"/>
      <c r="BO1274" s="36"/>
    </row>
    <row r="1275" spans="1:67" x14ac:dyDescent="0.25">
      <c r="A1275" s="39"/>
      <c r="B1275" s="40"/>
      <c r="U1275" s="36"/>
      <c r="V1275" s="36"/>
      <c r="W1275" s="35"/>
      <c r="X1275" s="7"/>
      <c r="Y1275" s="7"/>
      <c r="Z1275" s="7"/>
      <c r="AA1275" s="7"/>
      <c r="AB1275" s="7"/>
      <c r="AC1275" s="7"/>
      <c r="AD1275" s="7"/>
      <c r="AE1275" s="7"/>
      <c r="AG1275" s="36"/>
      <c r="AH1275" s="36"/>
      <c r="AI1275" s="35"/>
      <c r="AJ1275" s="7"/>
      <c r="AK1275" s="7"/>
      <c r="AL1275" s="7"/>
      <c r="AM1275" s="7"/>
      <c r="AN1275" s="7"/>
      <c r="AO1275" s="7"/>
      <c r="AP1275" s="7"/>
      <c r="AQ1275" s="7"/>
      <c r="AS1275" s="36"/>
      <c r="AT1275" s="36"/>
      <c r="AU1275" s="35"/>
      <c r="AV1275" s="7"/>
      <c r="AW1275" s="7"/>
      <c r="AX1275" s="7"/>
      <c r="AY1275" s="7"/>
      <c r="AZ1275" s="7"/>
      <c r="BA1275" s="7"/>
      <c r="BB1275" s="7"/>
      <c r="BC1275" s="7"/>
      <c r="BF1275" s="7"/>
      <c r="BG1275" s="36"/>
      <c r="BH1275" s="36"/>
      <c r="BI1275" s="36"/>
      <c r="BJ1275" s="36"/>
      <c r="BK1275" s="36"/>
      <c r="BL1275" s="36"/>
      <c r="BM1275" s="36"/>
      <c r="BN1275" s="36"/>
      <c r="BO1275" s="36"/>
    </row>
    <row r="1276" spans="1:67" x14ac:dyDescent="0.25">
      <c r="A1276" s="39"/>
      <c r="B1276" s="40"/>
      <c r="U1276" s="36"/>
      <c r="V1276" s="36"/>
      <c r="W1276" s="35"/>
      <c r="X1276" s="7"/>
      <c r="Y1276" s="7"/>
      <c r="Z1276" s="7"/>
      <c r="AA1276" s="7"/>
      <c r="AB1276" s="7"/>
      <c r="AC1276" s="7"/>
      <c r="AD1276" s="7"/>
      <c r="AE1276" s="7"/>
      <c r="AG1276" s="36"/>
      <c r="AH1276" s="36"/>
      <c r="AI1276" s="35"/>
      <c r="AJ1276" s="7"/>
      <c r="AK1276" s="7"/>
      <c r="AL1276" s="7"/>
      <c r="AM1276" s="7"/>
      <c r="AN1276" s="7"/>
      <c r="AO1276" s="7"/>
      <c r="AP1276" s="7"/>
      <c r="AQ1276" s="7"/>
      <c r="AS1276" s="36"/>
      <c r="AT1276" s="36"/>
      <c r="AU1276" s="35"/>
      <c r="AV1276" s="7"/>
      <c r="AW1276" s="7"/>
      <c r="AX1276" s="7"/>
      <c r="AY1276" s="7"/>
      <c r="AZ1276" s="7"/>
      <c r="BA1276" s="7"/>
      <c r="BB1276" s="7"/>
      <c r="BC1276" s="7"/>
      <c r="BF1276" s="7"/>
      <c r="BG1276" s="36"/>
      <c r="BH1276" s="36"/>
      <c r="BI1276" s="36"/>
      <c r="BJ1276" s="36"/>
      <c r="BK1276" s="36"/>
      <c r="BL1276" s="36"/>
      <c r="BM1276" s="36"/>
      <c r="BN1276" s="36"/>
      <c r="BO1276" s="36"/>
    </row>
    <row r="1277" spans="1:67" x14ac:dyDescent="0.25">
      <c r="A1277" s="39"/>
      <c r="B1277" s="40"/>
      <c r="U1277" s="36"/>
      <c r="V1277" s="36"/>
      <c r="W1277" s="35"/>
      <c r="X1277" s="7"/>
      <c r="Y1277" s="7"/>
      <c r="Z1277" s="7"/>
      <c r="AA1277" s="7"/>
      <c r="AB1277" s="7"/>
      <c r="AC1277" s="7"/>
      <c r="AD1277" s="7"/>
      <c r="AE1277" s="7"/>
      <c r="AG1277" s="36"/>
      <c r="AH1277" s="36"/>
      <c r="AI1277" s="35"/>
      <c r="AJ1277" s="7"/>
      <c r="AK1277" s="7"/>
      <c r="AL1277" s="7"/>
      <c r="AM1277" s="7"/>
      <c r="AN1277" s="7"/>
      <c r="AO1277" s="7"/>
      <c r="AP1277" s="7"/>
      <c r="AQ1277" s="7"/>
      <c r="AS1277" s="36"/>
      <c r="AT1277" s="36"/>
      <c r="AU1277" s="35"/>
      <c r="AV1277" s="7"/>
      <c r="AW1277" s="7"/>
      <c r="AX1277" s="7"/>
      <c r="AY1277" s="7"/>
      <c r="AZ1277" s="7"/>
      <c r="BA1277" s="7"/>
      <c r="BB1277" s="7"/>
      <c r="BC1277" s="7"/>
      <c r="BF1277" s="7"/>
      <c r="BG1277" s="36"/>
      <c r="BH1277" s="36"/>
      <c r="BI1277" s="36"/>
      <c r="BJ1277" s="36"/>
      <c r="BK1277" s="36"/>
      <c r="BL1277" s="36"/>
      <c r="BM1277" s="36"/>
      <c r="BN1277" s="36"/>
      <c r="BO1277" s="36"/>
    </row>
    <row r="1278" spans="1:67" x14ac:dyDescent="0.25">
      <c r="A1278" s="39"/>
      <c r="B1278" s="40"/>
      <c r="U1278" s="36"/>
      <c r="V1278" s="36"/>
      <c r="W1278" s="35"/>
      <c r="X1278" s="7"/>
      <c r="Y1278" s="7"/>
      <c r="Z1278" s="7"/>
      <c r="AA1278" s="7"/>
      <c r="AB1278" s="7"/>
      <c r="AC1278" s="7"/>
      <c r="AD1278" s="7"/>
      <c r="AE1278" s="7"/>
      <c r="AG1278" s="36"/>
      <c r="AH1278" s="36"/>
      <c r="AI1278" s="35"/>
      <c r="AJ1278" s="7"/>
      <c r="AK1278" s="7"/>
      <c r="AL1278" s="7"/>
      <c r="AM1278" s="7"/>
      <c r="AN1278" s="7"/>
      <c r="AO1278" s="7"/>
      <c r="AP1278" s="7"/>
      <c r="AQ1278" s="7"/>
      <c r="AS1278" s="36"/>
      <c r="AT1278" s="36"/>
      <c r="AU1278" s="35"/>
      <c r="AV1278" s="7"/>
      <c r="AW1278" s="7"/>
      <c r="AX1278" s="7"/>
      <c r="AY1278" s="7"/>
      <c r="AZ1278" s="7"/>
      <c r="BA1278" s="7"/>
      <c r="BB1278" s="7"/>
      <c r="BC1278" s="7"/>
      <c r="BF1278" s="7"/>
      <c r="BG1278" s="36"/>
      <c r="BH1278" s="36"/>
      <c r="BI1278" s="36"/>
      <c r="BJ1278" s="36"/>
      <c r="BK1278" s="36"/>
      <c r="BL1278" s="36"/>
      <c r="BM1278" s="36"/>
      <c r="BN1278" s="36"/>
      <c r="BO1278" s="36"/>
    </row>
    <row r="1279" spans="1:67" x14ac:dyDescent="0.25">
      <c r="A1279" s="39"/>
      <c r="B1279" s="40"/>
      <c r="U1279" s="36"/>
      <c r="V1279" s="36"/>
      <c r="W1279" s="35"/>
      <c r="X1279" s="7"/>
      <c r="Y1279" s="7"/>
      <c r="Z1279" s="7"/>
      <c r="AA1279" s="7"/>
      <c r="AB1279" s="7"/>
      <c r="AC1279" s="7"/>
      <c r="AD1279" s="7"/>
      <c r="AE1279" s="7"/>
      <c r="AG1279" s="36"/>
      <c r="AH1279" s="36"/>
      <c r="AI1279" s="35"/>
      <c r="AJ1279" s="7"/>
      <c r="AK1279" s="7"/>
      <c r="AL1279" s="7"/>
      <c r="AM1279" s="7"/>
      <c r="AN1279" s="7"/>
      <c r="AO1279" s="7"/>
      <c r="AP1279" s="7"/>
      <c r="AQ1279" s="7"/>
      <c r="AS1279" s="36"/>
      <c r="AT1279" s="36"/>
      <c r="AU1279" s="35"/>
      <c r="AV1279" s="7"/>
      <c r="AW1279" s="7"/>
      <c r="AX1279" s="7"/>
      <c r="AY1279" s="7"/>
      <c r="AZ1279" s="7"/>
      <c r="BA1279" s="7"/>
      <c r="BB1279" s="7"/>
      <c r="BC1279" s="7"/>
      <c r="BF1279" s="7"/>
      <c r="BG1279" s="36"/>
      <c r="BH1279" s="36"/>
      <c r="BI1279" s="36"/>
      <c r="BJ1279" s="36"/>
      <c r="BK1279" s="36"/>
      <c r="BL1279" s="36"/>
      <c r="BM1279" s="36"/>
      <c r="BN1279" s="36"/>
      <c r="BO1279" s="36"/>
    </row>
    <row r="1280" spans="1:67" x14ac:dyDescent="0.25">
      <c r="A1280" s="39"/>
      <c r="B1280" s="40"/>
      <c r="U1280" s="36"/>
      <c r="V1280" s="36"/>
      <c r="W1280" s="35"/>
      <c r="X1280" s="7"/>
      <c r="Y1280" s="7"/>
      <c r="Z1280" s="7"/>
      <c r="AA1280" s="7"/>
      <c r="AB1280" s="7"/>
      <c r="AC1280" s="7"/>
      <c r="AD1280" s="7"/>
      <c r="AE1280" s="7"/>
      <c r="AG1280" s="36"/>
      <c r="AH1280" s="36"/>
      <c r="AI1280" s="35"/>
      <c r="AJ1280" s="7"/>
      <c r="AK1280" s="7"/>
      <c r="AL1280" s="7"/>
      <c r="AM1280" s="7"/>
      <c r="AN1280" s="7"/>
      <c r="AO1280" s="7"/>
      <c r="AP1280" s="7"/>
      <c r="AQ1280" s="7"/>
      <c r="AS1280" s="36"/>
      <c r="AT1280" s="36"/>
      <c r="AU1280" s="35"/>
      <c r="AV1280" s="7"/>
      <c r="AW1280" s="7"/>
      <c r="AX1280" s="7"/>
      <c r="AY1280" s="7"/>
      <c r="AZ1280" s="7"/>
      <c r="BA1280" s="7"/>
      <c r="BB1280" s="7"/>
      <c r="BC1280" s="7"/>
      <c r="BF1280" s="7"/>
      <c r="BG1280" s="36"/>
      <c r="BH1280" s="36"/>
      <c r="BI1280" s="36"/>
      <c r="BJ1280" s="36"/>
      <c r="BK1280" s="36"/>
      <c r="BL1280" s="36"/>
      <c r="BM1280" s="36"/>
      <c r="BN1280" s="36"/>
      <c r="BO1280" s="36"/>
    </row>
    <row r="1281" spans="1:67" x14ac:dyDescent="0.25">
      <c r="A1281" s="39"/>
      <c r="B1281" s="40"/>
      <c r="U1281" s="36"/>
      <c r="V1281" s="36"/>
      <c r="W1281" s="35"/>
      <c r="X1281" s="7"/>
      <c r="Y1281" s="7"/>
      <c r="Z1281" s="7"/>
      <c r="AA1281" s="7"/>
      <c r="AB1281" s="7"/>
      <c r="AC1281" s="7"/>
      <c r="AD1281" s="7"/>
      <c r="AE1281" s="7"/>
      <c r="AG1281" s="36"/>
      <c r="AH1281" s="36"/>
      <c r="AI1281" s="35"/>
      <c r="AJ1281" s="7"/>
      <c r="AK1281" s="7"/>
      <c r="AL1281" s="7"/>
      <c r="AM1281" s="7"/>
      <c r="AN1281" s="7"/>
      <c r="AO1281" s="7"/>
      <c r="AP1281" s="7"/>
      <c r="AQ1281" s="7"/>
      <c r="AS1281" s="36"/>
      <c r="AT1281" s="36"/>
      <c r="AU1281" s="35"/>
      <c r="AV1281" s="7"/>
      <c r="AW1281" s="7"/>
      <c r="AX1281" s="7"/>
      <c r="AY1281" s="7"/>
      <c r="AZ1281" s="7"/>
      <c r="BA1281" s="7"/>
      <c r="BB1281" s="7"/>
      <c r="BC1281" s="7"/>
      <c r="BF1281" s="7"/>
      <c r="BG1281" s="36"/>
      <c r="BH1281" s="36"/>
      <c r="BI1281" s="36"/>
      <c r="BJ1281" s="36"/>
      <c r="BK1281" s="36"/>
      <c r="BL1281" s="36"/>
      <c r="BM1281" s="36"/>
      <c r="BN1281" s="36"/>
      <c r="BO1281" s="36"/>
    </row>
    <row r="1282" spans="1:67" x14ac:dyDescent="0.25">
      <c r="A1282" s="39"/>
      <c r="B1282" s="40"/>
      <c r="U1282" s="36"/>
      <c r="V1282" s="36"/>
      <c r="W1282" s="35"/>
      <c r="X1282" s="7"/>
      <c r="Y1282" s="7"/>
      <c r="Z1282" s="7"/>
      <c r="AA1282" s="7"/>
      <c r="AB1282" s="7"/>
      <c r="AC1282" s="7"/>
      <c r="AD1282" s="7"/>
      <c r="AE1282" s="7"/>
      <c r="AG1282" s="36"/>
      <c r="AH1282" s="36"/>
      <c r="AI1282" s="35"/>
      <c r="AJ1282" s="7"/>
      <c r="AK1282" s="7"/>
      <c r="AL1282" s="7"/>
      <c r="AM1282" s="7"/>
      <c r="AN1282" s="7"/>
      <c r="AO1282" s="7"/>
      <c r="AP1282" s="7"/>
      <c r="AQ1282" s="7"/>
      <c r="AS1282" s="36"/>
      <c r="AT1282" s="36"/>
      <c r="AU1282" s="35"/>
      <c r="AV1282" s="7"/>
      <c r="AW1282" s="7"/>
      <c r="AX1282" s="7"/>
      <c r="AY1282" s="7"/>
      <c r="AZ1282" s="7"/>
      <c r="BA1282" s="7"/>
      <c r="BB1282" s="7"/>
      <c r="BC1282" s="7"/>
      <c r="BF1282" s="7"/>
      <c r="BG1282" s="36"/>
      <c r="BH1282" s="36"/>
      <c r="BI1282" s="36"/>
      <c r="BJ1282" s="36"/>
      <c r="BK1282" s="36"/>
      <c r="BL1282" s="36"/>
      <c r="BM1282" s="36"/>
      <c r="BN1282" s="36"/>
      <c r="BO1282" s="36"/>
    </row>
    <row r="1283" spans="1:67" x14ac:dyDescent="0.25">
      <c r="A1283" s="39"/>
      <c r="B1283" s="40"/>
      <c r="U1283" s="36"/>
      <c r="V1283" s="36"/>
      <c r="W1283" s="35"/>
      <c r="X1283" s="7"/>
      <c r="Y1283" s="7"/>
      <c r="Z1283" s="7"/>
      <c r="AA1283" s="7"/>
      <c r="AB1283" s="7"/>
      <c r="AC1283" s="7"/>
      <c r="AD1283" s="7"/>
      <c r="AE1283" s="7"/>
      <c r="AG1283" s="36"/>
      <c r="AH1283" s="36"/>
      <c r="AI1283" s="35"/>
      <c r="AJ1283" s="7"/>
      <c r="AK1283" s="7"/>
      <c r="AL1283" s="7"/>
      <c r="AM1283" s="7"/>
      <c r="AN1283" s="7"/>
      <c r="AO1283" s="7"/>
      <c r="AP1283" s="7"/>
      <c r="AQ1283" s="7"/>
      <c r="AS1283" s="36"/>
      <c r="AT1283" s="36"/>
      <c r="AU1283" s="35"/>
      <c r="AV1283" s="7"/>
      <c r="AW1283" s="7"/>
      <c r="AX1283" s="7"/>
      <c r="AY1283" s="7"/>
      <c r="AZ1283" s="7"/>
      <c r="BA1283" s="7"/>
      <c r="BB1283" s="7"/>
      <c r="BC1283" s="7"/>
      <c r="BF1283" s="7"/>
      <c r="BG1283" s="36"/>
      <c r="BH1283" s="36"/>
      <c r="BI1283" s="36"/>
      <c r="BJ1283" s="36"/>
      <c r="BK1283" s="36"/>
      <c r="BL1283" s="36"/>
      <c r="BM1283" s="36"/>
      <c r="BN1283" s="36"/>
      <c r="BO1283" s="36"/>
    </row>
    <row r="1284" spans="1:67" x14ac:dyDescent="0.25">
      <c r="A1284" s="39"/>
      <c r="B1284" s="40"/>
      <c r="U1284" s="36"/>
      <c r="V1284" s="36"/>
      <c r="W1284" s="35"/>
      <c r="X1284" s="7"/>
      <c r="Y1284" s="7"/>
      <c r="Z1284" s="7"/>
      <c r="AA1284" s="7"/>
      <c r="AB1284" s="7"/>
      <c r="AC1284" s="7"/>
      <c r="AD1284" s="7"/>
      <c r="AE1284" s="7"/>
      <c r="AG1284" s="36"/>
      <c r="AH1284" s="36"/>
      <c r="AI1284" s="35"/>
      <c r="AJ1284" s="7"/>
      <c r="AK1284" s="7"/>
      <c r="AL1284" s="7"/>
      <c r="AM1284" s="7"/>
      <c r="AN1284" s="7"/>
      <c r="AO1284" s="7"/>
      <c r="AP1284" s="7"/>
      <c r="AQ1284" s="7"/>
      <c r="AS1284" s="36"/>
      <c r="AT1284" s="36"/>
      <c r="AU1284" s="35"/>
      <c r="AV1284" s="7"/>
      <c r="AW1284" s="7"/>
      <c r="AX1284" s="7"/>
      <c r="AY1284" s="7"/>
      <c r="AZ1284" s="7"/>
      <c r="BA1284" s="7"/>
      <c r="BB1284" s="7"/>
      <c r="BC1284" s="7"/>
      <c r="BF1284" s="7"/>
      <c r="BG1284" s="36"/>
      <c r="BH1284" s="36"/>
      <c r="BI1284" s="36"/>
      <c r="BJ1284" s="36"/>
      <c r="BK1284" s="36"/>
      <c r="BL1284" s="36"/>
      <c r="BM1284" s="36"/>
      <c r="BN1284" s="36"/>
      <c r="BO1284" s="36"/>
    </row>
    <row r="1285" spans="1:67" x14ac:dyDescent="0.25">
      <c r="A1285" s="39"/>
      <c r="B1285" s="40"/>
      <c r="U1285" s="36"/>
      <c r="V1285" s="36"/>
      <c r="W1285" s="35"/>
      <c r="X1285" s="7"/>
      <c r="Y1285" s="7"/>
      <c r="Z1285" s="7"/>
      <c r="AA1285" s="7"/>
      <c r="AB1285" s="7"/>
      <c r="AC1285" s="7"/>
      <c r="AD1285" s="7"/>
      <c r="AE1285" s="7"/>
      <c r="AG1285" s="36"/>
      <c r="AH1285" s="36"/>
      <c r="AI1285" s="35"/>
      <c r="AJ1285" s="7"/>
      <c r="AK1285" s="7"/>
      <c r="AL1285" s="7"/>
      <c r="AM1285" s="7"/>
      <c r="AN1285" s="7"/>
      <c r="AO1285" s="7"/>
      <c r="AP1285" s="7"/>
      <c r="AQ1285" s="7"/>
      <c r="AS1285" s="36"/>
      <c r="AT1285" s="36"/>
      <c r="AU1285" s="35"/>
      <c r="AV1285" s="7"/>
      <c r="AW1285" s="7"/>
      <c r="AX1285" s="7"/>
      <c r="AY1285" s="7"/>
      <c r="AZ1285" s="7"/>
      <c r="BA1285" s="7"/>
      <c r="BB1285" s="7"/>
      <c r="BC1285" s="7"/>
      <c r="BF1285" s="7"/>
      <c r="BG1285" s="36"/>
      <c r="BH1285" s="36"/>
      <c r="BI1285" s="36"/>
      <c r="BJ1285" s="36"/>
      <c r="BK1285" s="36"/>
      <c r="BL1285" s="36"/>
      <c r="BM1285" s="36"/>
      <c r="BN1285" s="36"/>
      <c r="BO1285" s="36"/>
    </row>
    <row r="1286" spans="1:67" x14ac:dyDescent="0.25">
      <c r="A1286" s="39"/>
      <c r="B1286" s="40"/>
      <c r="U1286" s="36"/>
      <c r="V1286" s="36"/>
      <c r="W1286" s="35"/>
      <c r="X1286" s="7"/>
      <c r="Y1286" s="7"/>
      <c r="Z1286" s="7"/>
      <c r="AA1286" s="7"/>
      <c r="AB1286" s="7"/>
      <c r="AC1286" s="7"/>
      <c r="AD1286" s="7"/>
      <c r="AE1286" s="7"/>
      <c r="AG1286" s="36"/>
      <c r="AH1286" s="36"/>
      <c r="AI1286" s="35"/>
      <c r="AJ1286" s="7"/>
      <c r="AK1286" s="7"/>
      <c r="AL1286" s="7"/>
      <c r="AM1286" s="7"/>
      <c r="AN1286" s="7"/>
      <c r="AO1286" s="7"/>
      <c r="AP1286" s="7"/>
      <c r="AQ1286" s="7"/>
      <c r="AS1286" s="36"/>
      <c r="AT1286" s="36"/>
      <c r="AU1286" s="35"/>
      <c r="AV1286" s="7"/>
      <c r="AW1286" s="7"/>
      <c r="AX1286" s="7"/>
      <c r="AY1286" s="7"/>
      <c r="AZ1286" s="7"/>
      <c r="BA1286" s="7"/>
      <c r="BB1286" s="7"/>
      <c r="BC1286" s="7"/>
      <c r="BF1286" s="7"/>
      <c r="BG1286" s="36"/>
      <c r="BH1286" s="36"/>
      <c r="BI1286" s="36"/>
      <c r="BJ1286" s="36"/>
      <c r="BK1286" s="36"/>
      <c r="BL1286" s="36"/>
      <c r="BM1286" s="36"/>
      <c r="BN1286" s="36"/>
      <c r="BO1286" s="36"/>
    </row>
    <row r="1287" spans="1:67" x14ac:dyDescent="0.25">
      <c r="A1287" s="39"/>
      <c r="B1287" s="40"/>
      <c r="U1287" s="36"/>
      <c r="V1287" s="36"/>
      <c r="W1287" s="35"/>
      <c r="X1287" s="7"/>
      <c r="Y1287" s="7"/>
      <c r="Z1287" s="7"/>
      <c r="AA1287" s="7"/>
      <c r="AB1287" s="7"/>
      <c r="AC1287" s="7"/>
      <c r="AD1287" s="7"/>
      <c r="AE1287" s="7"/>
      <c r="AG1287" s="36"/>
      <c r="AH1287" s="36"/>
      <c r="AI1287" s="35"/>
      <c r="AJ1287" s="7"/>
      <c r="AK1287" s="7"/>
      <c r="AL1287" s="7"/>
      <c r="AM1287" s="7"/>
      <c r="AN1287" s="7"/>
      <c r="AO1287" s="7"/>
      <c r="AP1287" s="7"/>
      <c r="AQ1287" s="7"/>
      <c r="AS1287" s="36"/>
      <c r="AT1287" s="36"/>
      <c r="AU1287" s="35"/>
      <c r="AV1287" s="7"/>
      <c r="AW1287" s="7"/>
      <c r="AX1287" s="7"/>
      <c r="AY1287" s="7"/>
      <c r="AZ1287" s="7"/>
      <c r="BA1287" s="7"/>
      <c r="BB1287" s="7"/>
      <c r="BC1287" s="7"/>
      <c r="BF1287" s="7"/>
      <c r="BG1287" s="36"/>
      <c r="BH1287" s="36"/>
      <c r="BI1287" s="36"/>
      <c r="BJ1287" s="36"/>
      <c r="BK1287" s="36"/>
      <c r="BL1287" s="36"/>
      <c r="BM1287" s="36"/>
      <c r="BN1287" s="36"/>
      <c r="BO1287" s="36"/>
    </row>
    <row r="1288" spans="1:67" x14ac:dyDescent="0.25">
      <c r="A1288" s="39"/>
      <c r="B1288" s="40"/>
      <c r="U1288" s="36"/>
      <c r="V1288" s="36"/>
      <c r="W1288" s="35"/>
      <c r="X1288" s="7"/>
      <c r="Y1288" s="7"/>
      <c r="Z1288" s="7"/>
      <c r="AA1288" s="7"/>
      <c r="AB1288" s="7"/>
      <c r="AC1288" s="7"/>
      <c r="AD1288" s="7"/>
      <c r="AE1288" s="7"/>
      <c r="AG1288" s="36"/>
      <c r="AH1288" s="36"/>
      <c r="AI1288" s="35"/>
      <c r="AJ1288" s="7"/>
      <c r="AK1288" s="7"/>
      <c r="AL1288" s="7"/>
      <c r="AM1288" s="7"/>
      <c r="AN1288" s="7"/>
      <c r="AO1288" s="7"/>
      <c r="AP1288" s="7"/>
      <c r="AQ1288" s="7"/>
      <c r="AS1288" s="36"/>
      <c r="AT1288" s="36"/>
      <c r="AU1288" s="35"/>
      <c r="AV1288" s="7"/>
      <c r="AW1288" s="7"/>
      <c r="AX1288" s="7"/>
      <c r="AY1288" s="7"/>
      <c r="AZ1288" s="7"/>
      <c r="BA1288" s="7"/>
      <c r="BB1288" s="7"/>
      <c r="BC1288" s="7"/>
      <c r="BF1288" s="7"/>
      <c r="BG1288" s="36"/>
      <c r="BH1288" s="36"/>
      <c r="BI1288" s="36"/>
      <c r="BJ1288" s="36"/>
      <c r="BK1288" s="36"/>
      <c r="BL1288" s="36"/>
      <c r="BM1288" s="36"/>
      <c r="BN1288" s="36"/>
      <c r="BO1288" s="36"/>
    </row>
    <row r="1289" spans="1:67" x14ac:dyDescent="0.25">
      <c r="A1289" s="39"/>
      <c r="B1289" s="40"/>
      <c r="U1289" s="36"/>
      <c r="V1289" s="36"/>
      <c r="W1289" s="35"/>
      <c r="X1289" s="7"/>
      <c r="Y1289" s="7"/>
      <c r="Z1289" s="7"/>
      <c r="AA1289" s="7"/>
      <c r="AB1289" s="7"/>
      <c r="AC1289" s="7"/>
      <c r="AD1289" s="7"/>
      <c r="AE1289" s="7"/>
      <c r="AG1289" s="36"/>
      <c r="AH1289" s="36"/>
      <c r="AI1289" s="35"/>
      <c r="AJ1289" s="7"/>
      <c r="AK1289" s="7"/>
      <c r="AL1289" s="7"/>
      <c r="AM1289" s="7"/>
      <c r="AN1289" s="7"/>
      <c r="AO1289" s="7"/>
      <c r="AP1289" s="7"/>
      <c r="AQ1289" s="7"/>
      <c r="AS1289" s="36"/>
      <c r="AT1289" s="36"/>
      <c r="AU1289" s="35"/>
      <c r="AV1289" s="7"/>
      <c r="AW1289" s="7"/>
      <c r="AX1289" s="7"/>
      <c r="AY1289" s="7"/>
      <c r="AZ1289" s="7"/>
      <c r="BA1289" s="7"/>
      <c r="BB1289" s="7"/>
      <c r="BC1289" s="7"/>
      <c r="BF1289" s="7"/>
      <c r="BG1289" s="36"/>
      <c r="BH1289" s="36"/>
      <c r="BI1289" s="36"/>
      <c r="BJ1289" s="36"/>
      <c r="BK1289" s="36"/>
      <c r="BL1289" s="36"/>
      <c r="BM1289" s="36"/>
      <c r="BN1289" s="36"/>
      <c r="BO1289" s="36"/>
    </row>
    <row r="1290" spans="1:67" x14ac:dyDescent="0.25">
      <c r="A1290" s="39"/>
      <c r="B1290" s="40"/>
      <c r="U1290" s="36"/>
      <c r="V1290" s="36"/>
      <c r="W1290" s="35"/>
      <c r="X1290" s="7"/>
      <c r="Y1290" s="7"/>
      <c r="Z1290" s="7"/>
      <c r="AA1290" s="7"/>
      <c r="AB1290" s="7"/>
      <c r="AC1290" s="7"/>
      <c r="AD1290" s="7"/>
      <c r="AE1290" s="7"/>
      <c r="AG1290" s="36"/>
      <c r="AH1290" s="36"/>
      <c r="AI1290" s="35"/>
      <c r="AJ1290" s="7"/>
      <c r="AK1290" s="7"/>
      <c r="AL1290" s="7"/>
      <c r="AM1290" s="7"/>
      <c r="AN1290" s="7"/>
      <c r="AO1290" s="7"/>
      <c r="AP1290" s="7"/>
      <c r="AQ1290" s="7"/>
      <c r="AS1290" s="36"/>
      <c r="AT1290" s="36"/>
      <c r="AU1290" s="35"/>
      <c r="AV1290" s="7"/>
      <c r="AW1290" s="7"/>
      <c r="AX1290" s="7"/>
      <c r="AY1290" s="7"/>
      <c r="AZ1290" s="7"/>
      <c r="BA1290" s="7"/>
      <c r="BB1290" s="7"/>
      <c r="BC1290" s="7"/>
      <c r="BF1290" s="7"/>
      <c r="BG1290" s="36"/>
      <c r="BH1290" s="36"/>
      <c r="BI1290" s="36"/>
      <c r="BJ1290" s="36"/>
      <c r="BK1290" s="36"/>
      <c r="BL1290" s="36"/>
      <c r="BM1290" s="36"/>
      <c r="BN1290" s="36"/>
      <c r="BO1290" s="36"/>
    </row>
    <row r="1291" spans="1:67" x14ac:dyDescent="0.25">
      <c r="A1291" s="39"/>
      <c r="B1291" s="40"/>
      <c r="U1291" s="36"/>
      <c r="V1291" s="36"/>
      <c r="W1291" s="35"/>
      <c r="X1291" s="7"/>
      <c r="Y1291" s="7"/>
      <c r="Z1291" s="7"/>
      <c r="AA1291" s="7"/>
      <c r="AB1291" s="7"/>
      <c r="AC1291" s="7"/>
      <c r="AD1291" s="7"/>
      <c r="AE1291" s="7"/>
      <c r="AG1291" s="36"/>
      <c r="AH1291" s="36"/>
      <c r="AI1291" s="35"/>
      <c r="AJ1291" s="7"/>
      <c r="AK1291" s="7"/>
      <c r="AL1291" s="7"/>
      <c r="AM1291" s="7"/>
      <c r="AN1291" s="7"/>
      <c r="AO1291" s="7"/>
      <c r="AP1291" s="7"/>
      <c r="AQ1291" s="7"/>
      <c r="AS1291" s="36"/>
      <c r="AT1291" s="36"/>
      <c r="AU1291" s="35"/>
      <c r="AV1291" s="7"/>
      <c r="AW1291" s="7"/>
      <c r="AX1291" s="7"/>
      <c r="AY1291" s="7"/>
      <c r="AZ1291" s="7"/>
      <c r="BA1291" s="7"/>
      <c r="BB1291" s="7"/>
      <c r="BC1291" s="7"/>
      <c r="BF1291" s="7"/>
      <c r="BG1291" s="36"/>
      <c r="BH1291" s="36"/>
      <c r="BI1291" s="36"/>
      <c r="BJ1291" s="36"/>
      <c r="BK1291" s="36"/>
      <c r="BL1291" s="36"/>
      <c r="BM1291" s="36"/>
      <c r="BN1291" s="36"/>
      <c r="BO1291" s="36"/>
    </row>
    <row r="1292" spans="1:67" x14ac:dyDescent="0.25">
      <c r="A1292" s="39"/>
      <c r="B1292" s="40"/>
      <c r="U1292" s="36"/>
      <c r="V1292" s="36"/>
      <c r="W1292" s="35"/>
      <c r="X1292" s="7"/>
      <c r="Y1292" s="7"/>
      <c r="Z1292" s="7"/>
      <c r="AA1292" s="7"/>
      <c r="AB1292" s="7"/>
      <c r="AC1292" s="7"/>
      <c r="AD1292" s="7"/>
      <c r="AE1292" s="7"/>
      <c r="AG1292" s="36"/>
      <c r="AH1292" s="36"/>
      <c r="AI1292" s="35"/>
      <c r="AJ1292" s="7"/>
      <c r="AK1292" s="7"/>
      <c r="AL1292" s="7"/>
      <c r="AM1292" s="7"/>
      <c r="AN1292" s="7"/>
      <c r="AO1292" s="7"/>
      <c r="AP1292" s="7"/>
      <c r="AQ1292" s="7"/>
      <c r="AS1292" s="36"/>
      <c r="AT1292" s="36"/>
      <c r="AU1292" s="35"/>
      <c r="AV1292" s="7"/>
      <c r="AW1292" s="7"/>
      <c r="AX1292" s="7"/>
      <c r="AY1292" s="7"/>
      <c r="AZ1292" s="7"/>
      <c r="BA1292" s="7"/>
      <c r="BB1292" s="7"/>
      <c r="BC1292" s="7"/>
      <c r="BF1292" s="7"/>
      <c r="BG1292" s="36"/>
      <c r="BH1292" s="36"/>
      <c r="BI1292" s="36"/>
      <c r="BJ1292" s="36"/>
      <c r="BK1292" s="36"/>
      <c r="BL1292" s="36"/>
      <c r="BM1292" s="36"/>
      <c r="BN1292" s="36"/>
      <c r="BO1292" s="36"/>
    </row>
    <row r="1293" spans="1:67" x14ac:dyDescent="0.25">
      <c r="A1293" s="39"/>
      <c r="B1293" s="40"/>
      <c r="U1293" s="36"/>
      <c r="V1293" s="36"/>
      <c r="W1293" s="35"/>
      <c r="X1293" s="7"/>
      <c r="Y1293" s="7"/>
      <c r="Z1293" s="7"/>
      <c r="AA1293" s="7"/>
      <c r="AB1293" s="7"/>
      <c r="AC1293" s="7"/>
      <c r="AD1293" s="7"/>
      <c r="AE1293" s="7"/>
      <c r="AG1293" s="36"/>
      <c r="AH1293" s="36"/>
      <c r="AI1293" s="35"/>
      <c r="AJ1293" s="7"/>
      <c r="AK1293" s="7"/>
      <c r="AL1293" s="7"/>
      <c r="AM1293" s="7"/>
      <c r="AN1293" s="7"/>
      <c r="AO1293" s="7"/>
      <c r="AP1293" s="7"/>
      <c r="AQ1293" s="7"/>
      <c r="AS1293" s="36"/>
      <c r="AT1293" s="36"/>
      <c r="AU1293" s="35"/>
      <c r="AV1293" s="7"/>
      <c r="AW1293" s="7"/>
      <c r="AX1293" s="7"/>
      <c r="AY1293" s="7"/>
      <c r="AZ1293" s="7"/>
      <c r="BA1293" s="7"/>
      <c r="BB1293" s="7"/>
      <c r="BC1293" s="7"/>
      <c r="BF1293" s="7"/>
      <c r="BG1293" s="36"/>
      <c r="BH1293" s="36"/>
      <c r="BI1293" s="36"/>
      <c r="BJ1293" s="36"/>
      <c r="BK1293" s="36"/>
      <c r="BL1293" s="36"/>
      <c r="BM1293" s="36"/>
      <c r="BN1293" s="36"/>
      <c r="BO1293" s="36"/>
    </row>
    <row r="1294" spans="1:67" x14ac:dyDescent="0.25">
      <c r="A1294" s="39"/>
      <c r="B1294" s="40"/>
      <c r="U1294" s="36"/>
      <c r="V1294" s="36"/>
      <c r="W1294" s="35"/>
      <c r="X1294" s="7"/>
      <c r="Y1294" s="7"/>
      <c r="Z1294" s="7"/>
      <c r="AA1294" s="7"/>
      <c r="AB1294" s="7"/>
      <c r="AC1294" s="7"/>
      <c r="AD1294" s="7"/>
      <c r="AE1294" s="7"/>
      <c r="AG1294" s="36"/>
      <c r="AH1294" s="36"/>
      <c r="AI1294" s="35"/>
      <c r="AJ1294" s="7"/>
      <c r="AK1294" s="7"/>
      <c r="AL1294" s="7"/>
      <c r="AM1294" s="7"/>
      <c r="AN1294" s="7"/>
      <c r="AO1294" s="7"/>
      <c r="AP1294" s="7"/>
      <c r="AQ1294" s="7"/>
      <c r="AS1294" s="36"/>
      <c r="AT1294" s="36"/>
      <c r="AU1294" s="35"/>
      <c r="AV1294" s="7"/>
      <c r="AW1294" s="7"/>
      <c r="AX1294" s="7"/>
      <c r="AY1294" s="7"/>
      <c r="AZ1294" s="7"/>
      <c r="BA1294" s="7"/>
      <c r="BB1294" s="7"/>
      <c r="BC1294" s="7"/>
      <c r="BF1294" s="7"/>
      <c r="BG1294" s="36"/>
      <c r="BH1294" s="36"/>
      <c r="BI1294" s="36"/>
      <c r="BJ1294" s="36"/>
      <c r="BK1294" s="36"/>
      <c r="BL1294" s="36"/>
      <c r="BM1294" s="36"/>
      <c r="BN1294" s="36"/>
      <c r="BO1294" s="36"/>
    </row>
    <row r="1295" spans="1:67" x14ac:dyDescent="0.25">
      <c r="A1295" s="39"/>
      <c r="B1295" s="40"/>
      <c r="U1295" s="36"/>
      <c r="V1295" s="36"/>
      <c r="W1295" s="35"/>
      <c r="X1295" s="7"/>
      <c r="Y1295" s="7"/>
      <c r="Z1295" s="7"/>
      <c r="AA1295" s="7"/>
      <c r="AB1295" s="7"/>
      <c r="AC1295" s="7"/>
      <c r="AD1295" s="7"/>
      <c r="AE1295" s="7"/>
      <c r="AG1295" s="36"/>
      <c r="AH1295" s="36"/>
      <c r="AI1295" s="35"/>
      <c r="AJ1295" s="7"/>
      <c r="AK1295" s="7"/>
      <c r="AL1295" s="7"/>
      <c r="AM1295" s="7"/>
      <c r="AN1295" s="7"/>
      <c r="AO1295" s="7"/>
      <c r="AP1295" s="7"/>
      <c r="AQ1295" s="7"/>
      <c r="AS1295" s="36"/>
      <c r="AT1295" s="36"/>
      <c r="AU1295" s="35"/>
      <c r="AV1295" s="7"/>
      <c r="AW1295" s="7"/>
      <c r="AX1295" s="7"/>
      <c r="AY1295" s="7"/>
      <c r="AZ1295" s="7"/>
      <c r="BA1295" s="7"/>
      <c r="BB1295" s="7"/>
      <c r="BC1295" s="7"/>
      <c r="BF1295" s="7"/>
      <c r="BG1295" s="36"/>
      <c r="BH1295" s="36"/>
      <c r="BI1295" s="36"/>
      <c r="BJ1295" s="36"/>
      <c r="BK1295" s="36"/>
      <c r="BL1295" s="36"/>
      <c r="BM1295" s="36"/>
      <c r="BN1295" s="36"/>
      <c r="BO1295" s="36"/>
    </row>
    <row r="1296" spans="1:67" x14ac:dyDescent="0.25">
      <c r="A1296" s="39"/>
      <c r="B1296" s="40"/>
      <c r="U1296" s="36"/>
      <c r="V1296" s="36"/>
      <c r="W1296" s="35"/>
      <c r="X1296" s="7"/>
      <c r="Y1296" s="7"/>
      <c r="Z1296" s="7"/>
      <c r="AA1296" s="7"/>
      <c r="AB1296" s="7"/>
      <c r="AC1296" s="7"/>
      <c r="AD1296" s="7"/>
      <c r="AE1296" s="7"/>
      <c r="AG1296" s="36"/>
      <c r="AH1296" s="36"/>
      <c r="AI1296" s="35"/>
      <c r="AJ1296" s="7"/>
      <c r="AK1296" s="7"/>
      <c r="AL1296" s="7"/>
      <c r="AM1296" s="7"/>
      <c r="AN1296" s="7"/>
      <c r="AO1296" s="7"/>
      <c r="AP1296" s="7"/>
      <c r="AQ1296" s="7"/>
      <c r="AS1296" s="36"/>
      <c r="AT1296" s="36"/>
      <c r="AU1296" s="35"/>
      <c r="AV1296" s="7"/>
      <c r="AW1296" s="7"/>
      <c r="AX1296" s="7"/>
      <c r="AY1296" s="7"/>
      <c r="AZ1296" s="7"/>
      <c r="BA1296" s="7"/>
      <c r="BB1296" s="7"/>
      <c r="BC1296" s="7"/>
      <c r="BF1296" s="7"/>
      <c r="BG1296" s="36"/>
      <c r="BH1296" s="36"/>
      <c r="BI1296" s="36"/>
      <c r="BJ1296" s="36"/>
      <c r="BK1296" s="36"/>
      <c r="BL1296" s="36"/>
      <c r="BM1296" s="36"/>
      <c r="BN1296" s="36"/>
      <c r="BO1296" s="36"/>
    </row>
    <row r="1297" spans="1:67" x14ac:dyDescent="0.25">
      <c r="A1297" s="39"/>
      <c r="B1297" s="40"/>
      <c r="U1297" s="36"/>
      <c r="V1297" s="36"/>
      <c r="W1297" s="35"/>
      <c r="X1297" s="7"/>
      <c r="Y1297" s="7"/>
      <c r="Z1297" s="7"/>
      <c r="AA1297" s="7"/>
      <c r="AB1297" s="7"/>
      <c r="AC1297" s="7"/>
      <c r="AD1297" s="7"/>
      <c r="AE1297" s="7"/>
      <c r="AG1297" s="36"/>
      <c r="AH1297" s="36"/>
      <c r="AI1297" s="35"/>
      <c r="AJ1297" s="7"/>
      <c r="AK1297" s="7"/>
      <c r="AL1297" s="7"/>
      <c r="AM1297" s="7"/>
      <c r="AN1297" s="7"/>
      <c r="AO1297" s="7"/>
      <c r="AP1297" s="7"/>
      <c r="AQ1297" s="7"/>
      <c r="AS1297" s="36"/>
      <c r="AT1297" s="36"/>
      <c r="AU1297" s="35"/>
      <c r="AV1297" s="7"/>
      <c r="AW1297" s="7"/>
      <c r="AX1297" s="7"/>
      <c r="AY1297" s="7"/>
      <c r="AZ1297" s="7"/>
      <c r="BA1297" s="7"/>
      <c r="BB1297" s="7"/>
      <c r="BC1297" s="7"/>
      <c r="BF1297" s="7"/>
      <c r="BG1297" s="36"/>
      <c r="BH1297" s="36"/>
      <c r="BI1297" s="36"/>
      <c r="BJ1297" s="36"/>
      <c r="BK1297" s="36"/>
      <c r="BL1297" s="36"/>
      <c r="BM1297" s="36"/>
      <c r="BN1297" s="36"/>
      <c r="BO1297" s="36"/>
    </row>
    <row r="1298" spans="1:67" x14ac:dyDescent="0.25">
      <c r="A1298" s="39"/>
      <c r="B1298" s="40"/>
      <c r="U1298" s="36"/>
      <c r="V1298" s="36"/>
      <c r="W1298" s="35"/>
      <c r="X1298" s="7"/>
      <c r="Y1298" s="7"/>
      <c r="Z1298" s="7"/>
      <c r="AA1298" s="7"/>
      <c r="AB1298" s="7"/>
      <c r="AC1298" s="7"/>
      <c r="AD1298" s="7"/>
      <c r="AE1298" s="7"/>
      <c r="AG1298" s="36"/>
      <c r="AH1298" s="36"/>
      <c r="AI1298" s="35"/>
      <c r="AJ1298" s="7"/>
      <c r="AK1298" s="7"/>
      <c r="AL1298" s="7"/>
      <c r="AM1298" s="7"/>
      <c r="AN1298" s="7"/>
      <c r="AO1298" s="7"/>
      <c r="AP1298" s="7"/>
      <c r="AQ1298" s="7"/>
      <c r="AS1298" s="36"/>
      <c r="AT1298" s="36"/>
      <c r="AU1298" s="35"/>
      <c r="AV1298" s="7"/>
      <c r="AW1298" s="7"/>
      <c r="AX1298" s="7"/>
      <c r="AY1298" s="7"/>
      <c r="AZ1298" s="7"/>
      <c r="BA1298" s="7"/>
      <c r="BB1298" s="7"/>
      <c r="BC1298" s="7"/>
      <c r="BF1298" s="7"/>
      <c r="BG1298" s="36"/>
      <c r="BH1298" s="36"/>
      <c r="BI1298" s="36"/>
      <c r="BJ1298" s="36"/>
      <c r="BK1298" s="36"/>
      <c r="BL1298" s="36"/>
      <c r="BM1298" s="36"/>
      <c r="BN1298" s="36"/>
      <c r="BO1298" s="36"/>
    </row>
    <row r="1299" spans="1:67" x14ac:dyDescent="0.25">
      <c r="A1299" s="39"/>
      <c r="B1299" s="40"/>
      <c r="U1299" s="36"/>
      <c r="V1299" s="36"/>
      <c r="W1299" s="35"/>
      <c r="X1299" s="7"/>
      <c r="Y1299" s="7"/>
      <c r="Z1299" s="7"/>
      <c r="AA1299" s="7"/>
      <c r="AB1299" s="7"/>
      <c r="AC1299" s="7"/>
      <c r="AD1299" s="7"/>
      <c r="AE1299" s="7"/>
      <c r="AG1299" s="36"/>
      <c r="AH1299" s="36"/>
      <c r="AI1299" s="35"/>
      <c r="AJ1299" s="7"/>
      <c r="AK1299" s="7"/>
      <c r="AL1299" s="7"/>
      <c r="AM1299" s="7"/>
      <c r="AN1299" s="7"/>
      <c r="AO1299" s="7"/>
      <c r="AP1299" s="7"/>
      <c r="AQ1299" s="7"/>
      <c r="AS1299" s="36"/>
      <c r="AT1299" s="36"/>
      <c r="AU1299" s="35"/>
      <c r="AV1299" s="7"/>
      <c r="AW1299" s="7"/>
      <c r="AX1299" s="7"/>
      <c r="AY1299" s="7"/>
      <c r="AZ1299" s="7"/>
      <c r="BA1299" s="7"/>
      <c r="BB1299" s="7"/>
      <c r="BC1299" s="7"/>
      <c r="BF1299" s="7"/>
      <c r="BG1299" s="36"/>
      <c r="BH1299" s="36"/>
      <c r="BI1299" s="36"/>
      <c r="BJ1299" s="36"/>
      <c r="BK1299" s="36"/>
      <c r="BL1299" s="36"/>
      <c r="BM1299" s="36"/>
      <c r="BN1299" s="36"/>
      <c r="BO1299" s="36"/>
    </row>
    <row r="1300" spans="1:67" x14ac:dyDescent="0.25">
      <c r="A1300" s="39"/>
      <c r="B1300" s="40"/>
      <c r="U1300" s="36"/>
      <c r="V1300" s="36"/>
      <c r="W1300" s="35"/>
      <c r="X1300" s="7"/>
      <c r="Y1300" s="7"/>
      <c r="Z1300" s="7"/>
      <c r="AA1300" s="7"/>
      <c r="AB1300" s="7"/>
      <c r="AC1300" s="7"/>
      <c r="AD1300" s="7"/>
      <c r="AE1300" s="7"/>
      <c r="AG1300" s="36"/>
      <c r="AH1300" s="36"/>
      <c r="AI1300" s="35"/>
      <c r="AJ1300" s="7"/>
      <c r="AK1300" s="7"/>
      <c r="AL1300" s="7"/>
      <c r="AM1300" s="7"/>
      <c r="AN1300" s="7"/>
      <c r="AO1300" s="7"/>
      <c r="AP1300" s="7"/>
      <c r="AQ1300" s="7"/>
      <c r="AS1300" s="36"/>
      <c r="AT1300" s="36"/>
      <c r="AU1300" s="35"/>
      <c r="AV1300" s="7"/>
      <c r="AW1300" s="7"/>
      <c r="AX1300" s="7"/>
      <c r="AY1300" s="7"/>
      <c r="AZ1300" s="7"/>
      <c r="BA1300" s="7"/>
      <c r="BB1300" s="7"/>
      <c r="BC1300" s="7"/>
      <c r="BF1300" s="7"/>
      <c r="BG1300" s="36"/>
      <c r="BH1300" s="36"/>
      <c r="BI1300" s="36"/>
      <c r="BJ1300" s="36"/>
      <c r="BK1300" s="36"/>
      <c r="BL1300" s="36"/>
      <c r="BM1300" s="36"/>
      <c r="BN1300" s="36"/>
      <c r="BO1300" s="36"/>
    </row>
    <row r="1301" spans="1:67" x14ac:dyDescent="0.25">
      <c r="A1301" s="39"/>
      <c r="B1301" s="40"/>
      <c r="U1301" s="36"/>
      <c r="V1301" s="36"/>
      <c r="W1301" s="35"/>
      <c r="X1301" s="7"/>
      <c r="Y1301" s="7"/>
      <c r="Z1301" s="7"/>
      <c r="AA1301" s="7"/>
      <c r="AB1301" s="7"/>
      <c r="AC1301" s="7"/>
      <c r="AD1301" s="7"/>
      <c r="AE1301" s="7"/>
      <c r="AG1301" s="36"/>
      <c r="AH1301" s="36"/>
      <c r="AI1301" s="35"/>
      <c r="AJ1301" s="7"/>
      <c r="AK1301" s="7"/>
      <c r="AL1301" s="7"/>
      <c r="AM1301" s="7"/>
      <c r="AN1301" s="7"/>
      <c r="AO1301" s="7"/>
      <c r="AP1301" s="7"/>
      <c r="AQ1301" s="7"/>
      <c r="AS1301" s="36"/>
      <c r="AT1301" s="36"/>
      <c r="AU1301" s="35"/>
      <c r="AV1301" s="7"/>
      <c r="AW1301" s="7"/>
      <c r="AX1301" s="7"/>
      <c r="AY1301" s="7"/>
      <c r="AZ1301" s="7"/>
      <c r="BA1301" s="7"/>
      <c r="BB1301" s="7"/>
      <c r="BC1301" s="7"/>
      <c r="BF1301" s="7"/>
      <c r="BG1301" s="36"/>
      <c r="BH1301" s="36"/>
      <c r="BI1301" s="36"/>
      <c r="BJ1301" s="36"/>
      <c r="BK1301" s="36"/>
      <c r="BL1301" s="36"/>
      <c r="BM1301" s="36"/>
      <c r="BN1301" s="36"/>
      <c r="BO1301" s="36"/>
    </row>
    <row r="1302" spans="1:67" x14ac:dyDescent="0.25">
      <c r="A1302" s="39"/>
      <c r="B1302" s="40"/>
      <c r="U1302" s="36"/>
      <c r="V1302" s="36"/>
      <c r="W1302" s="35"/>
      <c r="X1302" s="7"/>
      <c r="Y1302" s="7"/>
      <c r="Z1302" s="7"/>
      <c r="AA1302" s="7"/>
      <c r="AB1302" s="7"/>
      <c r="AC1302" s="7"/>
      <c r="AD1302" s="7"/>
      <c r="AE1302" s="7"/>
      <c r="AG1302" s="36"/>
      <c r="AH1302" s="36"/>
      <c r="AI1302" s="35"/>
      <c r="AJ1302" s="7"/>
      <c r="AK1302" s="7"/>
      <c r="AL1302" s="7"/>
      <c r="AM1302" s="7"/>
      <c r="AN1302" s="7"/>
      <c r="AO1302" s="7"/>
      <c r="AP1302" s="7"/>
      <c r="AQ1302" s="7"/>
      <c r="AS1302" s="36"/>
      <c r="AT1302" s="36"/>
      <c r="AU1302" s="35"/>
      <c r="AV1302" s="7"/>
      <c r="AW1302" s="7"/>
      <c r="AX1302" s="7"/>
      <c r="AY1302" s="7"/>
      <c r="AZ1302" s="7"/>
      <c r="BA1302" s="7"/>
      <c r="BB1302" s="7"/>
      <c r="BC1302" s="7"/>
      <c r="BF1302" s="7"/>
      <c r="BG1302" s="36"/>
      <c r="BH1302" s="36"/>
      <c r="BI1302" s="36"/>
      <c r="BJ1302" s="36"/>
      <c r="BK1302" s="36"/>
      <c r="BL1302" s="36"/>
      <c r="BM1302" s="36"/>
      <c r="BN1302" s="36"/>
      <c r="BO1302" s="36"/>
    </row>
    <row r="1303" spans="1:67" x14ac:dyDescent="0.25">
      <c r="A1303" s="39"/>
      <c r="B1303" s="40"/>
      <c r="U1303" s="36"/>
      <c r="V1303" s="36"/>
      <c r="W1303" s="35"/>
      <c r="X1303" s="7"/>
      <c r="Y1303" s="7"/>
      <c r="Z1303" s="7"/>
      <c r="AA1303" s="7"/>
      <c r="AB1303" s="7"/>
      <c r="AC1303" s="7"/>
      <c r="AD1303" s="7"/>
      <c r="AE1303" s="7"/>
      <c r="AG1303" s="36"/>
      <c r="AH1303" s="36"/>
      <c r="AI1303" s="35"/>
      <c r="AJ1303" s="7"/>
      <c r="AK1303" s="7"/>
      <c r="AL1303" s="7"/>
      <c r="AM1303" s="7"/>
      <c r="AN1303" s="7"/>
      <c r="AO1303" s="7"/>
      <c r="AP1303" s="7"/>
      <c r="AQ1303" s="7"/>
      <c r="AS1303" s="36"/>
      <c r="AT1303" s="36"/>
      <c r="AU1303" s="35"/>
      <c r="AV1303" s="7"/>
      <c r="AW1303" s="7"/>
      <c r="AX1303" s="7"/>
      <c r="AY1303" s="7"/>
      <c r="AZ1303" s="7"/>
      <c r="BA1303" s="7"/>
      <c r="BB1303" s="7"/>
      <c r="BC1303" s="7"/>
      <c r="BF1303" s="7"/>
      <c r="BG1303" s="36"/>
      <c r="BH1303" s="36"/>
      <c r="BI1303" s="36"/>
      <c r="BJ1303" s="36"/>
      <c r="BK1303" s="36"/>
      <c r="BL1303" s="36"/>
      <c r="BM1303" s="36"/>
      <c r="BN1303" s="36"/>
      <c r="BO1303" s="36"/>
    </row>
    <row r="1304" spans="1:67" x14ac:dyDescent="0.25">
      <c r="A1304" s="39"/>
      <c r="B1304" s="40"/>
      <c r="U1304" s="36"/>
      <c r="V1304" s="36"/>
      <c r="W1304" s="35"/>
      <c r="X1304" s="7"/>
      <c r="Y1304" s="7"/>
      <c r="Z1304" s="7"/>
      <c r="AA1304" s="7"/>
      <c r="AB1304" s="7"/>
      <c r="AC1304" s="7"/>
      <c r="AD1304" s="7"/>
      <c r="AE1304" s="7"/>
      <c r="AG1304" s="36"/>
      <c r="AH1304" s="36"/>
      <c r="AI1304" s="35"/>
      <c r="AJ1304" s="7"/>
      <c r="AK1304" s="7"/>
      <c r="AL1304" s="7"/>
      <c r="AM1304" s="7"/>
      <c r="AN1304" s="7"/>
      <c r="AO1304" s="7"/>
      <c r="AP1304" s="7"/>
      <c r="AQ1304" s="7"/>
      <c r="AS1304" s="36"/>
      <c r="AT1304" s="36"/>
      <c r="AU1304" s="35"/>
      <c r="AV1304" s="7"/>
      <c r="AW1304" s="7"/>
      <c r="AX1304" s="7"/>
      <c r="AY1304" s="7"/>
      <c r="AZ1304" s="7"/>
      <c r="BA1304" s="7"/>
      <c r="BB1304" s="7"/>
      <c r="BC1304" s="7"/>
      <c r="BF1304" s="7"/>
      <c r="BG1304" s="36"/>
      <c r="BH1304" s="36"/>
      <c r="BI1304" s="36"/>
      <c r="BJ1304" s="36"/>
      <c r="BK1304" s="36"/>
      <c r="BL1304" s="36"/>
      <c r="BM1304" s="36"/>
      <c r="BN1304" s="36"/>
      <c r="BO1304" s="36"/>
    </row>
    <row r="1305" spans="1:67" x14ac:dyDescent="0.25">
      <c r="A1305" s="39"/>
      <c r="B1305" s="40"/>
      <c r="U1305" s="36"/>
      <c r="V1305" s="36"/>
      <c r="W1305" s="35"/>
      <c r="X1305" s="7"/>
      <c r="Y1305" s="7"/>
      <c r="Z1305" s="7"/>
      <c r="AA1305" s="7"/>
      <c r="AB1305" s="7"/>
      <c r="AC1305" s="7"/>
      <c r="AD1305" s="7"/>
      <c r="AE1305" s="7"/>
      <c r="AG1305" s="36"/>
      <c r="AH1305" s="36"/>
      <c r="AI1305" s="35"/>
      <c r="AJ1305" s="7"/>
      <c r="AK1305" s="7"/>
      <c r="AL1305" s="7"/>
      <c r="AM1305" s="7"/>
      <c r="AN1305" s="7"/>
      <c r="AO1305" s="7"/>
      <c r="AP1305" s="7"/>
      <c r="AQ1305" s="7"/>
      <c r="AS1305" s="36"/>
      <c r="AT1305" s="36"/>
      <c r="AU1305" s="35"/>
      <c r="AV1305" s="7"/>
      <c r="AW1305" s="7"/>
      <c r="AX1305" s="7"/>
      <c r="AY1305" s="7"/>
      <c r="AZ1305" s="7"/>
      <c r="BA1305" s="7"/>
      <c r="BB1305" s="7"/>
      <c r="BC1305" s="7"/>
      <c r="BF1305" s="7"/>
      <c r="BG1305" s="36"/>
      <c r="BH1305" s="36"/>
      <c r="BI1305" s="36"/>
      <c r="BJ1305" s="36"/>
      <c r="BK1305" s="36"/>
      <c r="BL1305" s="36"/>
      <c r="BM1305" s="36"/>
      <c r="BN1305" s="36"/>
      <c r="BO1305" s="36"/>
    </row>
    <row r="1306" spans="1:67" x14ac:dyDescent="0.25">
      <c r="A1306" s="39"/>
      <c r="B1306" s="40"/>
      <c r="U1306" s="36"/>
      <c r="V1306" s="36"/>
      <c r="W1306" s="35"/>
      <c r="X1306" s="7"/>
      <c r="Y1306" s="7"/>
      <c r="Z1306" s="7"/>
      <c r="AA1306" s="7"/>
      <c r="AB1306" s="7"/>
      <c r="AC1306" s="7"/>
      <c r="AD1306" s="7"/>
      <c r="AE1306" s="7"/>
      <c r="AG1306" s="36"/>
      <c r="AH1306" s="36"/>
      <c r="AI1306" s="35"/>
      <c r="AJ1306" s="7"/>
      <c r="AK1306" s="7"/>
      <c r="AL1306" s="7"/>
      <c r="AM1306" s="7"/>
      <c r="AN1306" s="7"/>
      <c r="AO1306" s="7"/>
      <c r="AP1306" s="7"/>
      <c r="AQ1306" s="7"/>
      <c r="AS1306" s="36"/>
      <c r="AT1306" s="36"/>
      <c r="AU1306" s="35"/>
      <c r="AV1306" s="7"/>
      <c r="AW1306" s="7"/>
      <c r="AX1306" s="7"/>
      <c r="AY1306" s="7"/>
      <c r="AZ1306" s="7"/>
      <c r="BA1306" s="7"/>
      <c r="BB1306" s="7"/>
      <c r="BC1306" s="7"/>
      <c r="BF1306" s="7"/>
      <c r="BG1306" s="36"/>
      <c r="BH1306" s="36"/>
      <c r="BI1306" s="36"/>
      <c r="BJ1306" s="36"/>
      <c r="BK1306" s="36"/>
      <c r="BL1306" s="36"/>
      <c r="BM1306" s="36"/>
      <c r="BN1306" s="36"/>
      <c r="BO1306" s="36"/>
    </row>
    <row r="1307" spans="1:67" x14ac:dyDescent="0.25">
      <c r="A1307" s="39"/>
      <c r="B1307" s="40"/>
      <c r="U1307" s="36"/>
      <c r="V1307" s="36"/>
      <c r="W1307" s="35"/>
      <c r="X1307" s="7"/>
      <c r="Y1307" s="7"/>
      <c r="Z1307" s="7"/>
      <c r="AA1307" s="7"/>
      <c r="AB1307" s="7"/>
      <c r="AC1307" s="7"/>
      <c r="AD1307" s="7"/>
      <c r="AE1307" s="7"/>
      <c r="AG1307" s="36"/>
      <c r="AH1307" s="36"/>
      <c r="AI1307" s="35"/>
      <c r="AJ1307" s="7"/>
      <c r="AK1307" s="7"/>
      <c r="AL1307" s="7"/>
      <c r="AM1307" s="7"/>
      <c r="AN1307" s="7"/>
      <c r="AO1307" s="7"/>
      <c r="AP1307" s="7"/>
      <c r="AQ1307" s="7"/>
      <c r="AS1307" s="36"/>
      <c r="AT1307" s="36"/>
      <c r="AU1307" s="35"/>
      <c r="AV1307" s="7"/>
      <c r="AW1307" s="7"/>
      <c r="AX1307" s="7"/>
      <c r="AY1307" s="7"/>
      <c r="AZ1307" s="7"/>
      <c r="BA1307" s="7"/>
      <c r="BB1307" s="7"/>
      <c r="BC1307" s="7"/>
      <c r="BF1307" s="7"/>
      <c r="BG1307" s="36"/>
      <c r="BH1307" s="36"/>
      <c r="BI1307" s="36"/>
      <c r="BJ1307" s="36"/>
      <c r="BK1307" s="36"/>
      <c r="BL1307" s="36"/>
      <c r="BM1307" s="36"/>
      <c r="BN1307" s="36"/>
      <c r="BO1307" s="36"/>
    </row>
    <row r="1308" spans="1:67" x14ac:dyDescent="0.25">
      <c r="A1308" s="39"/>
      <c r="B1308" s="40"/>
      <c r="U1308" s="36"/>
      <c r="V1308" s="36"/>
      <c r="W1308" s="35"/>
      <c r="X1308" s="7"/>
      <c r="Y1308" s="7"/>
      <c r="Z1308" s="7"/>
      <c r="AA1308" s="7"/>
      <c r="AB1308" s="7"/>
      <c r="AC1308" s="7"/>
      <c r="AD1308" s="7"/>
      <c r="AE1308" s="7"/>
      <c r="AG1308" s="36"/>
      <c r="AH1308" s="36"/>
      <c r="AI1308" s="35"/>
      <c r="AJ1308" s="7"/>
      <c r="AK1308" s="7"/>
      <c r="AL1308" s="7"/>
      <c r="AM1308" s="7"/>
      <c r="AN1308" s="7"/>
      <c r="AO1308" s="7"/>
      <c r="AP1308" s="7"/>
      <c r="AQ1308" s="7"/>
      <c r="AS1308" s="36"/>
      <c r="AT1308" s="36"/>
      <c r="AU1308" s="35"/>
      <c r="AV1308" s="7"/>
      <c r="AW1308" s="7"/>
      <c r="AX1308" s="7"/>
      <c r="AY1308" s="7"/>
      <c r="AZ1308" s="7"/>
      <c r="BA1308" s="7"/>
      <c r="BB1308" s="7"/>
      <c r="BC1308" s="7"/>
      <c r="BF1308" s="7"/>
      <c r="BG1308" s="36"/>
      <c r="BH1308" s="36"/>
      <c r="BI1308" s="36"/>
      <c r="BJ1308" s="36"/>
      <c r="BK1308" s="36"/>
      <c r="BL1308" s="36"/>
      <c r="BM1308" s="36"/>
      <c r="BN1308" s="36"/>
      <c r="BO1308" s="36"/>
    </row>
    <row r="1309" spans="1:67" x14ac:dyDescent="0.25">
      <c r="A1309" s="39"/>
      <c r="B1309" s="40"/>
      <c r="U1309" s="36"/>
      <c r="V1309" s="36"/>
      <c r="W1309" s="35"/>
      <c r="X1309" s="7"/>
      <c r="Y1309" s="7"/>
      <c r="Z1309" s="7"/>
      <c r="AA1309" s="7"/>
      <c r="AB1309" s="7"/>
      <c r="AC1309" s="7"/>
      <c r="AD1309" s="7"/>
      <c r="AE1309" s="7"/>
      <c r="AG1309" s="36"/>
      <c r="AH1309" s="36"/>
      <c r="AI1309" s="35"/>
      <c r="AJ1309" s="7"/>
      <c r="AK1309" s="7"/>
      <c r="AL1309" s="7"/>
      <c r="AM1309" s="7"/>
      <c r="AN1309" s="7"/>
      <c r="AO1309" s="7"/>
      <c r="AP1309" s="7"/>
      <c r="AQ1309" s="7"/>
      <c r="AS1309" s="36"/>
      <c r="AT1309" s="36"/>
      <c r="AU1309" s="35"/>
      <c r="AV1309" s="7"/>
      <c r="AW1309" s="7"/>
      <c r="AX1309" s="7"/>
      <c r="AY1309" s="7"/>
      <c r="AZ1309" s="7"/>
      <c r="BA1309" s="7"/>
      <c r="BB1309" s="7"/>
      <c r="BC1309" s="7"/>
      <c r="BF1309" s="7"/>
      <c r="BG1309" s="36"/>
      <c r="BH1309" s="36"/>
      <c r="BI1309" s="36"/>
      <c r="BJ1309" s="36"/>
      <c r="BK1309" s="36"/>
      <c r="BL1309" s="36"/>
      <c r="BM1309" s="36"/>
      <c r="BN1309" s="36"/>
      <c r="BO1309" s="36"/>
    </row>
    <row r="1310" spans="1:67" x14ac:dyDescent="0.25">
      <c r="A1310" s="39"/>
      <c r="B1310" s="40"/>
      <c r="U1310" s="36"/>
      <c r="V1310" s="36"/>
      <c r="W1310" s="35"/>
      <c r="X1310" s="7"/>
      <c r="Y1310" s="7"/>
      <c r="Z1310" s="7"/>
      <c r="AA1310" s="7"/>
      <c r="AB1310" s="7"/>
      <c r="AC1310" s="7"/>
      <c r="AD1310" s="7"/>
      <c r="AE1310" s="7"/>
      <c r="AG1310" s="36"/>
      <c r="AH1310" s="36"/>
      <c r="AI1310" s="35"/>
      <c r="AJ1310" s="7"/>
      <c r="AK1310" s="7"/>
      <c r="AL1310" s="7"/>
      <c r="AM1310" s="7"/>
      <c r="AN1310" s="7"/>
      <c r="AO1310" s="7"/>
      <c r="AP1310" s="7"/>
      <c r="AQ1310" s="7"/>
      <c r="AS1310" s="36"/>
      <c r="AT1310" s="36"/>
      <c r="AU1310" s="35"/>
      <c r="AV1310" s="7"/>
      <c r="AW1310" s="7"/>
      <c r="AX1310" s="7"/>
      <c r="AY1310" s="7"/>
      <c r="AZ1310" s="7"/>
      <c r="BA1310" s="7"/>
      <c r="BB1310" s="7"/>
      <c r="BC1310" s="7"/>
      <c r="BF1310" s="7"/>
      <c r="BG1310" s="36"/>
      <c r="BH1310" s="36"/>
      <c r="BI1310" s="36"/>
      <c r="BJ1310" s="36"/>
      <c r="BK1310" s="36"/>
      <c r="BL1310" s="36"/>
      <c r="BM1310" s="36"/>
      <c r="BN1310" s="36"/>
      <c r="BO1310" s="36"/>
    </row>
    <row r="1311" spans="1:67" x14ac:dyDescent="0.25">
      <c r="A1311" s="39"/>
      <c r="B1311" s="40"/>
      <c r="U1311" s="36"/>
      <c r="V1311" s="36"/>
      <c r="W1311" s="35"/>
      <c r="X1311" s="7"/>
      <c r="Y1311" s="7"/>
      <c r="Z1311" s="7"/>
      <c r="AA1311" s="7"/>
      <c r="AB1311" s="7"/>
      <c r="AC1311" s="7"/>
      <c r="AD1311" s="7"/>
      <c r="AE1311" s="7"/>
      <c r="AG1311" s="36"/>
      <c r="AH1311" s="36"/>
      <c r="AI1311" s="35"/>
      <c r="AJ1311" s="7"/>
      <c r="AK1311" s="7"/>
      <c r="AL1311" s="7"/>
      <c r="AM1311" s="7"/>
      <c r="AN1311" s="7"/>
      <c r="AO1311" s="7"/>
      <c r="AP1311" s="7"/>
      <c r="AQ1311" s="7"/>
      <c r="AS1311" s="36"/>
      <c r="AT1311" s="36"/>
      <c r="AU1311" s="35"/>
      <c r="AV1311" s="7"/>
      <c r="AW1311" s="7"/>
      <c r="AX1311" s="7"/>
      <c r="AY1311" s="7"/>
      <c r="AZ1311" s="7"/>
      <c r="BA1311" s="7"/>
      <c r="BB1311" s="7"/>
      <c r="BC1311" s="7"/>
      <c r="BF1311" s="7"/>
      <c r="BG1311" s="36"/>
      <c r="BH1311" s="36"/>
      <c r="BI1311" s="36"/>
      <c r="BJ1311" s="36"/>
      <c r="BK1311" s="36"/>
      <c r="BL1311" s="36"/>
      <c r="BM1311" s="36"/>
      <c r="BN1311" s="36"/>
      <c r="BO1311" s="36"/>
    </row>
    <row r="1312" spans="1:67" x14ac:dyDescent="0.25">
      <c r="A1312" s="39"/>
      <c r="B1312" s="40"/>
      <c r="U1312" s="36"/>
      <c r="V1312" s="36"/>
      <c r="W1312" s="35"/>
      <c r="X1312" s="7"/>
      <c r="Y1312" s="7"/>
      <c r="Z1312" s="7"/>
      <c r="AA1312" s="7"/>
      <c r="AB1312" s="7"/>
      <c r="AC1312" s="7"/>
      <c r="AD1312" s="7"/>
      <c r="AE1312" s="7"/>
      <c r="AG1312" s="36"/>
      <c r="AH1312" s="36"/>
      <c r="AI1312" s="35"/>
      <c r="AJ1312" s="7"/>
      <c r="AK1312" s="7"/>
      <c r="AL1312" s="7"/>
      <c r="AM1312" s="7"/>
      <c r="AN1312" s="7"/>
      <c r="AO1312" s="7"/>
      <c r="AP1312" s="7"/>
      <c r="AQ1312" s="7"/>
      <c r="AS1312" s="36"/>
      <c r="AT1312" s="36"/>
      <c r="AU1312" s="35"/>
      <c r="AV1312" s="7"/>
      <c r="AW1312" s="7"/>
      <c r="AX1312" s="7"/>
      <c r="AY1312" s="7"/>
      <c r="AZ1312" s="7"/>
      <c r="BA1312" s="7"/>
      <c r="BB1312" s="7"/>
      <c r="BC1312" s="7"/>
      <c r="BF1312" s="7"/>
      <c r="BG1312" s="36"/>
      <c r="BH1312" s="36"/>
      <c r="BI1312" s="36"/>
      <c r="BJ1312" s="36"/>
      <c r="BK1312" s="36"/>
      <c r="BL1312" s="36"/>
      <c r="BM1312" s="36"/>
      <c r="BN1312" s="36"/>
      <c r="BO1312" s="36"/>
    </row>
    <row r="1313" spans="1:67" x14ac:dyDescent="0.25">
      <c r="A1313" s="39"/>
      <c r="B1313" s="40"/>
      <c r="U1313" s="36"/>
      <c r="V1313" s="36"/>
      <c r="W1313" s="35"/>
      <c r="X1313" s="7"/>
      <c r="Y1313" s="7"/>
      <c r="Z1313" s="7"/>
      <c r="AA1313" s="7"/>
      <c r="AB1313" s="7"/>
      <c r="AC1313" s="7"/>
      <c r="AD1313" s="7"/>
      <c r="AE1313" s="7"/>
      <c r="AG1313" s="36"/>
      <c r="AH1313" s="36"/>
      <c r="AI1313" s="35"/>
      <c r="AJ1313" s="7"/>
      <c r="AK1313" s="7"/>
      <c r="AL1313" s="7"/>
      <c r="AM1313" s="7"/>
      <c r="AN1313" s="7"/>
      <c r="AO1313" s="7"/>
      <c r="AP1313" s="7"/>
      <c r="AQ1313" s="7"/>
      <c r="AS1313" s="36"/>
      <c r="AT1313" s="36"/>
      <c r="AU1313" s="35"/>
      <c r="AV1313" s="7"/>
      <c r="AW1313" s="7"/>
      <c r="AX1313" s="7"/>
      <c r="AY1313" s="7"/>
      <c r="AZ1313" s="7"/>
      <c r="BA1313" s="7"/>
      <c r="BB1313" s="7"/>
      <c r="BC1313" s="7"/>
      <c r="BF1313" s="7"/>
      <c r="BG1313" s="36"/>
      <c r="BH1313" s="36"/>
      <c r="BI1313" s="36"/>
      <c r="BJ1313" s="36"/>
      <c r="BK1313" s="36"/>
      <c r="BL1313" s="36"/>
      <c r="BM1313" s="36"/>
      <c r="BN1313" s="36"/>
      <c r="BO1313" s="36"/>
    </row>
    <row r="1314" spans="1:67" x14ac:dyDescent="0.25">
      <c r="A1314" s="39"/>
      <c r="B1314" s="40"/>
      <c r="U1314" s="36"/>
      <c r="V1314" s="36"/>
      <c r="W1314" s="35"/>
      <c r="X1314" s="7"/>
      <c r="Y1314" s="7"/>
      <c r="Z1314" s="7"/>
      <c r="AA1314" s="7"/>
      <c r="AB1314" s="7"/>
      <c r="AC1314" s="7"/>
      <c r="AD1314" s="7"/>
      <c r="AE1314" s="7"/>
      <c r="AG1314" s="36"/>
      <c r="AH1314" s="36"/>
      <c r="AI1314" s="35"/>
      <c r="AJ1314" s="7"/>
      <c r="AK1314" s="7"/>
      <c r="AL1314" s="7"/>
      <c r="AM1314" s="7"/>
      <c r="AN1314" s="7"/>
      <c r="AO1314" s="7"/>
      <c r="AP1314" s="7"/>
      <c r="AQ1314" s="7"/>
      <c r="AS1314" s="36"/>
      <c r="AT1314" s="36"/>
      <c r="AU1314" s="35"/>
      <c r="AV1314" s="7"/>
      <c r="AW1314" s="7"/>
      <c r="AX1314" s="7"/>
      <c r="AY1314" s="7"/>
      <c r="AZ1314" s="7"/>
      <c r="BA1314" s="7"/>
      <c r="BB1314" s="7"/>
      <c r="BC1314" s="7"/>
      <c r="BF1314" s="7"/>
      <c r="BG1314" s="36"/>
      <c r="BH1314" s="36"/>
      <c r="BI1314" s="36"/>
      <c r="BJ1314" s="36"/>
      <c r="BK1314" s="36"/>
      <c r="BL1314" s="36"/>
      <c r="BM1314" s="36"/>
      <c r="BN1314" s="36"/>
      <c r="BO1314" s="36"/>
    </row>
    <row r="1315" spans="1:67" x14ac:dyDescent="0.25">
      <c r="A1315" s="39"/>
      <c r="B1315" s="40"/>
      <c r="U1315" s="36"/>
      <c r="V1315" s="36"/>
      <c r="W1315" s="35"/>
      <c r="X1315" s="7"/>
      <c r="Y1315" s="7"/>
      <c r="Z1315" s="7"/>
      <c r="AA1315" s="7"/>
      <c r="AB1315" s="7"/>
      <c r="AC1315" s="7"/>
      <c r="AD1315" s="7"/>
      <c r="AE1315" s="7"/>
      <c r="AG1315" s="36"/>
      <c r="AH1315" s="36"/>
      <c r="AI1315" s="35"/>
      <c r="AJ1315" s="7"/>
      <c r="AK1315" s="7"/>
      <c r="AL1315" s="7"/>
      <c r="AM1315" s="7"/>
      <c r="AN1315" s="7"/>
      <c r="AO1315" s="7"/>
      <c r="AP1315" s="7"/>
      <c r="AQ1315" s="7"/>
      <c r="AS1315" s="36"/>
      <c r="AT1315" s="36"/>
      <c r="AU1315" s="35"/>
      <c r="AV1315" s="7"/>
      <c r="AW1315" s="7"/>
      <c r="AX1315" s="7"/>
      <c r="AY1315" s="7"/>
      <c r="AZ1315" s="7"/>
      <c r="BA1315" s="7"/>
      <c r="BB1315" s="7"/>
      <c r="BC1315" s="7"/>
      <c r="BF1315" s="7"/>
      <c r="BG1315" s="36"/>
      <c r="BH1315" s="36"/>
      <c r="BI1315" s="36"/>
      <c r="BJ1315" s="36"/>
      <c r="BK1315" s="36"/>
      <c r="BL1315" s="36"/>
      <c r="BM1315" s="36"/>
      <c r="BN1315" s="36"/>
      <c r="BO1315" s="36"/>
    </row>
    <row r="1316" spans="1:67" x14ac:dyDescent="0.25">
      <c r="A1316" s="39"/>
      <c r="B1316" s="40"/>
      <c r="U1316" s="36"/>
      <c r="V1316" s="36"/>
      <c r="W1316" s="35"/>
      <c r="X1316" s="7"/>
      <c r="Y1316" s="7"/>
      <c r="Z1316" s="7"/>
      <c r="AA1316" s="7"/>
      <c r="AB1316" s="7"/>
      <c r="AC1316" s="7"/>
      <c r="AD1316" s="7"/>
      <c r="AE1316" s="7"/>
      <c r="AG1316" s="36"/>
      <c r="AH1316" s="36"/>
      <c r="AI1316" s="35"/>
      <c r="AJ1316" s="7"/>
      <c r="AK1316" s="7"/>
      <c r="AL1316" s="7"/>
      <c r="AM1316" s="7"/>
      <c r="AN1316" s="7"/>
      <c r="AO1316" s="7"/>
      <c r="AP1316" s="7"/>
      <c r="AQ1316" s="7"/>
      <c r="AS1316" s="36"/>
      <c r="AT1316" s="36"/>
      <c r="AU1316" s="35"/>
      <c r="AV1316" s="7"/>
      <c r="AW1316" s="7"/>
      <c r="AX1316" s="7"/>
      <c r="AY1316" s="7"/>
      <c r="AZ1316" s="7"/>
      <c r="BA1316" s="7"/>
      <c r="BB1316" s="7"/>
      <c r="BC1316" s="7"/>
      <c r="BF1316" s="7"/>
      <c r="BG1316" s="36"/>
      <c r="BH1316" s="36"/>
      <c r="BI1316" s="36"/>
      <c r="BJ1316" s="36"/>
      <c r="BK1316" s="36"/>
      <c r="BL1316" s="36"/>
      <c r="BM1316" s="36"/>
      <c r="BN1316" s="36"/>
      <c r="BO1316" s="36"/>
    </row>
    <row r="1317" spans="1:67" x14ac:dyDescent="0.25">
      <c r="A1317" s="39"/>
      <c r="B1317" s="40"/>
      <c r="U1317" s="36"/>
      <c r="V1317" s="36"/>
      <c r="W1317" s="35"/>
      <c r="X1317" s="7"/>
      <c r="Y1317" s="7"/>
      <c r="Z1317" s="7"/>
      <c r="AA1317" s="7"/>
      <c r="AB1317" s="7"/>
      <c r="AC1317" s="7"/>
      <c r="AD1317" s="7"/>
      <c r="AE1317" s="7"/>
      <c r="AG1317" s="36"/>
      <c r="AH1317" s="36"/>
      <c r="AI1317" s="35"/>
      <c r="AJ1317" s="7"/>
      <c r="AK1317" s="7"/>
      <c r="AL1317" s="7"/>
      <c r="AM1317" s="7"/>
      <c r="AN1317" s="7"/>
      <c r="AO1317" s="7"/>
      <c r="AP1317" s="7"/>
      <c r="AQ1317" s="7"/>
      <c r="AS1317" s="36"/>
      <c r="AT1317" s="36"/>
      <c r="AU1317" s="35"/>
      <c r="AV1317" s="7"/>
      <c r="AW1317" s="7"/>
      <c r="AX1317" s="7"/>
      <c r="AY1317" s="7"/>
      <c r="AZ1317" s="7"/>
      <c r="BA1317" s="7"/>
      <c r="BB1317" s="7"/>
      <c r="BC1317" s="7"/>
      <c r="BF1317" s="7"/>
      <c r="BG1317" s="36"/>
      <c r="BH1317" s="36"/>
      <c r="BI1317" s="36"/>
      <c r="BJ1317" s="36"/>
      <c r="BK1317" s="36"/>
      <c r="BL1317" s="36"/>
      <c r="BM1317" s="36"/>
      <c r="BN1317" s="36"/>
      <c r="BO1317" s="36"/>
    </row>
    <row r="1318" spans="1:67" x14ac:dyDescent="0.25">
      <c r="A1318" s="39"/>
      <c r="B1318" s="40"/>
      <c r="U1318" s="36"/>
      <c r="V1318" s="36"/>
      <c r="W1318" s="35"/>
      <c r="X1318" s="7"/>
      <c r="Y1318" s="7"/>
      <c r="Z1318" s="7"/>
      <c r="AA1318" s="7"/>
      <c r="AB1318" s="7"/>
      <c r="AC1318" s="7"/>
      <c r="AD1318" s="7"/>
      <c r="AE1318" s="7"/>
      <c r="AG1318" s="36"/>
      <c r="AH1318" s="36"/>
      <c r="AI1318" s="35"/>
      <c r="AJ1318" s="7"/>
      <c r="AK1318" s="7"/>
      <c r="AL1318" s="7"/>
      <c r="AM1318" s="7"/>
      <c r="AN1318" s="7"/>
      <c r="AO1318" s="7"/>
      <c r="AP1318" s="7"/>
      <c r="AQ1318" s="7"/>
      <c r="AS1318" s="36"/>
      <c r="AT1318" s="36"/>
      <c r="AU1318" s="35"/>
      <c r="AV1318" s="7"/>
      <c r="AW1318" s="7"/>
      <c r="AX1318" s="7"/>
      <c r="AY1318" s="7"/>
      <c r="AZ1318" s="7"/>
      <c r="BA1318" s="7"/>
      <c r="BB1318" s="7"/>
      <c r="BC1318" s="7"/>
      <c r="BF1318" s="7"/>
      <c r="BG1318" s="36"/>
      <c r="BH1318" s="36"/>
      <c r="BI1318" s="36"/>
      <c r="BJ1318" s="36"/>
      <c r="BK1318" s="36"/>
      <c r="BL1318" s="36"/>
      <c r="BM1318" s="36"/>
      <c r="BN1318" s="36"/>
      <c r="BO1318" s="36"/>
    </row>
    <row r="1319" spans="1:67" x14ac:dyDescent="0.25">
      <c r="A1319" s="39"/>
      <c r="B1319" s="40"/>
      <c r="U1319" s="36"/>
      <c r="V1319" s="36"/>
      <c r="W1319" s="35"/>
      <c r="X1319" s="7"/>
      <c r="Y1319" s="7"/>
      <c r="Z1319" s="7"/>
      <c r="AA1319" s="7"/>
      <c r="AB1319" s="7"/>
      <c r="AC1319" s="7"/>
      <c r="AD1319" s="7"/>
      <c r="AE1319" s="7"/>
      <c r="AG1319" s="36"/>
      <c r="AH1319" s="36"/>
      <c r="AI1319" s="35"/>
      <c r="AJ1319" s="7"/>
      <c r="AK1319" s="7"/>
      <c r="AL1319" s="7"/>
      <c r="AM1319" s="7"/>
      <c r="AN1319" s="7"/>
      <c r="AO1319" s="7"/>
      <c r="AP1319" s="7"/>
      <c r="AQ1319" s="7"/>
      <c r="AS1319" s="36"/>
      <c r="AT1319" s="36"/>
      <c r="AU1319" s="35"/>
      <c r="AV1319" s="7"/>
      <c r="AW1319" s="7"/>
      <c r="AX1319" s="7"/>
      <c r="AY1319" s="7"/>
      <c r="AZ1319" s="7"/>
      <c r="BA1319" s="7"/>
      <c r="BB1319" s="7"/>
      <c r="BC1319" s="7"/>
      <c r="BF1319" s="7"/>
      <c r="BG1319" s="36"/>
      <c r="BH1319" s="36"/>
      <c r="BI1319" s="36"/>
      <c r="BJ1319" s="36"/>
      <c r="BK1319" s="36"/>
      <c r="BL1319" s="36"/>
      <c r="BM1319" s="36"/>
      <c r="BN1319" s="36"/>
      <c r="BO1319" s="36"/>
    </row>
    <row r="1320" spans="1:67" x14ac:dyDescent="0.25">
      <c r="A1320" s="39"/>
      <c r="B1320" s="40"/>
      <c r="U1320" s="36"/>
      <c r="V1320" s="36"/>
      <c r="W1320" s="35"/>
      <c r="X1320" s="7"/>
      <c r="Y1320" s="7"/>
      <c r="Z1320" s="7"/>
      <c r="AA1320" s="7"/>
      <c r="AB1320" s="7"/>
      <c r="AC1320" s="7"/>
      <c r="AD1320" s="7"/>
      <c r="AE1320" s="7"/>
      <c r="AG1320" s="36"/>
      <c r="AH1320" s="36"/>
      <c r="AI1320" s="35"/>
      <c r="AJ1320" s="7"/>
      <c r="AK1320" s="7"/>
      <c r="AL1320" s="7"/>
      <c r="AM1320" s="7"/>
      <c r="AN1320" s="7"/>
      <c r="AO1320" s="7"/>
      <c r="AP1320" s="7"/>
      <c r="AQ1320" s="7"/>
      <c r="AS1320" s="36"/>
      <c r="AT1320" s="36"/>
      <c r="AU1320" s="35"/>
      <c r="AV1320" s="7"/>
      <c r="AW1320" s="7"/>
      <c r="AX1320" s="7"/>
      <c r="AY1320" s="7"/>
      <c r="AZ1320" s="7"/>
      <c r="BA1320" s="7"/>
      <c r="BB1320" s="7"/>
      <c r="BC1320" s="7"/>
      <c r="BF1320" s="7"/>
      <c r="BG1320" s="36"/>
      <c r="BH1320" s="36"/>
      <c r="BI1320" s="36"/>
      <c r="BJ1320" s="36"/>
      <c r="BK1320" s="36"/>
      <c r="BL1320" s="36"/>
      <c r="BM1320" s="36"/>
      <c r="BN1320" s="36"/>
      <c r="BO1320" s="36"/>
    </row>
    <row r="1321" spans="1:67" x14ac:dyDescent="0.25">
      <c r="A1321" s="39"/>
      <c r="B1321" s="40"/>
      <c r="U1321" s="36"/>
      <c r="V1321" s="36"/>
      <c r="W1321" s="35"/>
      <c r="X1321" s="7"/>
      <c r="Y1321" s="7"/>
      <c r="Z1321" s="7"/>
      <c r="AA1321" s="7"/>
      <c r="AB1321" s="7"/>
      <c r="AC1321" s="7"/>
      <c r="AD1321" s="7"/>
      <c r="AE1321" s="7"/>
      <c r="AG1321" s="36"/>
      <c r="AH1321" s="36"/>
      <c r="AI1321" s="35"/>
      <c r="AJ1321" s="7"/>
      <c r="AK1321" s="7"/>
      <c r="AL1321" s="7"/>
      <c r="AM1321" s="7"/>
      <c r="AN1321" s="7"/>
      <c r="AO1321" s="7"/>
      <c r="AP1321" s="7"/>
      <c r="AQ1321" s="7"/>
      <c r="AS1321" s="36"/>
      <c r="AT1321" s="36"/>
      <c r="AU1321" s="35"/>
      <c r="AV1321" s="7"/>
      <c r="AW1321" s="7"/>
      <c r="AX1321" s="7"/>
      <c r="AY1321" s="7"/>
      <c r="AZ1321" s="7"/>
      <c r="BA1321" s="7"/>
      <c r="BB1321" s="7"/>
      <c r="BC1321" s="7"/>
      <c r="BF1321" s="7"/>
      <c r="BG1321" s="36"/>
      <c r="BH1321" s="36"/>
      <c r="BI1321" s="36"/>
      <c r="BJ1321" s="36"/>
      <c r="BK1321" s="36"/>
      <c r="BL1321" s="36"/>
      <c r="BM1321" s="36"/>
      <c r="BN1321" s="36"/>
      <c r="BO1321" s="36"/>
    </row>
    <row r="1322" spans="1:67" x14ac:dyDescent="0.25">
      <c r="A1322" s="39"/>
      <c r="B1322" s="40"/>
      <c r="U1322" s="36"/>
      <c r="V1322" s="36"/>
      <c r="W1322" s="35"/>
      <c r="X1322" s="7"/>
      <c r="Y1322" s="7"/>
      <c r="Z1322" s="7"/>
      <c r="AA1322" s="7"/>
      <c r="AB1322" s="7"/>
      <c r="AC1322" s="7"/>
      <c r="AD1322" s="7"/>
      <c r="AE1322" s="7"/>
      <c r="AG1322" s="36"/>
      <c r="AH1322" s="36"/>
      <c r="AI1322" s="35"/>
      <c r="AJ1322" s="7"/>
      <c r="AK1322" s="7"/>
      <c r="AL1322" s="7"/>
      <c r="AM1322" s="7"/>
      <c r="AN1322" s="7"/>
      <c r="AO1322" s="7"/>
      <c r="AP1322" s="7"/>
      <c r="AQ1322" s="7"/>
      <c r="AS1322" s="36"/>
      <c r="AT1322" s="36"/>
      <c r="AU1322" s="35"/>
      <c r="AV1322" s="7"/>
      <c r="AW1322" s="7"/>
      <c r="AX1322" s="7"/>
      <c r="AY1322" s="7"/>
      <c r="AZ1322" s="7"/>
      <c r="BA1322" s="7"/>
      <c r="BB1322" s="7"/>
      <c r="BC1322" s="7"/>
      <c r="BF1322" s="7"/>
      <c r="BG1322" s="36"/>
      <c r="BH1322" s="36"/>
      <c r="BI1322" s="36"/>
      <c r="BJ1322" s="36"/>
      <c r="BK1322" s="36"/>
      <c r="BL1322" s="36"/>
      <c r="BM1322" s="36"/>
      <c r="BN1322" s="36"/>
      <c r="BO1322" s="36"/>
    </row>
    <row r="1323" spans="1:67" x14ac:dyDescent="0.25">
      <c r="A1323" s="39"/>
      <c r="B1323" s="40"/>
      <c r="U1323" s="36"/>
      <c r="V1323" s="36"/>
      <c r="W1323" s="35"/>
      <c r="X1323" s="7"/>
      <c r="Y1323" s="7"/>
      <c r="Z1323" s="7"/>
      <c r="AA1323" s="7"/>
      <c r="AB1323" s="7"/>
      <c r="AC1323" s="7"/>
      <c r="AD1323" s="7"/>
      <c r="AE1323" s="7"/>
      <c r="AG1323" s="36"/>
      <c r="AH1323" s="36"/>
      <c r="AI1323" s="35"/>
      <c r="AJ1323" s="7"/>
      <c r="AK1323" s="7"/>
      <c r="AL1323" s="7"/>
      <c r="AM1323" s="7"/>
      <c r="AN1323" s="7"/>
      <c r="AO1323" s="7"/>
      <c r="AP1323" s="7"/>
      <c r="AQ1323" s="7"/>
      <c r="AS1323" s="36"/>
      <c r="AT1323" s="36"/>
      <c r="AU1323" s="35"/>
      <c r="AV1323" s="7"/>
      <c r="AW1323" s="7"/>
      <c r="AX1323" s="7"/>
      <c r="AY1323" s="7"/>
      <c r="AZ1323" s="7"/>
      <c r="BA1323" s="7"/>
      <c r="BB1323" s="7"/>
      <c r="BC1323" s="7"/>
      <c r="BF1323" s="7"/>
      <c r="BG1323" s="36"/>
      <c r="BH1323" s="36"/>
      <c r="BI1323" s="36"/>
      <c r="BJ1323" s="36"/>
      <c r="BK1323" s="36"/>
      <c r="BL1323" s="36"/>
      <c r="BM1323" s="36"/>
      <c r="BN1323" s="36"/>
      <c r="BO1323" s="36"/>
    </row>
    <row r="1324" spans="1:67" x14ac:dyDescent="0.25">
      <c r="A1324" s="39"/>
      <c r="B1324" s="40"/>
      <c r="U1324" s="36"/>
      <c r="V1324" s="36"/>
      <c r="W1324" s="35"/>
      <c r="X1324" s="7"/>
      <c r="Y1324" s="7"/>
      <c r="Z1324" s="7"/>
      <c r="AA1324" s="7"/>
      <c r="AB1324" s="7"/>
      <c r="AC1324" s="7"/>
      <c r="AD1324" s="7"/>
      <c r="AE1324" s="7"/>
      <c r="AG1324" s="36"/>
      <c r="AH1324" s="36"/>
      <c r="AI1324" s="35"/>
      <c r="AJ1324" s="7"/>
      <c r="AK1324" s="7"/>
      <c r="AL1324" s="7"/>
      <c r="AM1324" s="7"/>
      <c r="AN1324" s="7"/>
      <c r="AO1324" s="7"/>
      <c r="AP1324" s="7"/>
      <c r="AQ1324" s="7"/>
      <c r="AS1324" s="36"/>
      <c r="AT1324" s="36"/>
      <c r="AU1324" s="35"/>
      <c r="AV1324" s="7"/>
      <c r="AW1324" s="7"/>
      <c r="AX1324" s="7"/>
      <c r="AY1324" s="7"/>
      <c r="AZ1324" s="7"/>
      <c r="BA1324" s="7"/>
      <c r="BB1324" s="7"/>
      <c r="BC1324" s="7"/>
      <c r="BF1324" s="7"/>
      <c r="BG1324" s="36"/>
      <c r="BH1324" s="36"/>
      <c r="BI1324" s="36"/>
      <c r="BJ1324" s="36"/>
      <c r="BK1324" s="36"/>
      <c r="BL1324" s="36"/>
      <c r="BM1324" s="36"/>
      <c r="BN1324" s="36"/>
      <c r="BO1324" s="36"/>
    </row>
    <row r="1325" spans="1:67" x14ac:dyDescent="0.25">
      <c r="A1325" s="39"/>
      <c r="B1325" s="40"/>
      <c r="U1325" s="36"/>
      <c r="V1325" s="36"/>
      <c r="W1325" s="35"/>
      <c r="X1325" s="7"/>
      <c r="Y1325" s="7"/>
      <c r="Z1325" s="7"/>
      <c r="AA1325" s="7"/>
      <c r="AB1325" s="7"/>
      <c r="AC1325" s="7"/>
      <c r="AD1325" s="7"/>
      <c r="AE1325" s="7"/>
      <c r="AG1325" s="36"/>
      <c r="AH1325" s="36"/>
      <c r="AI1325" s="35"/>
      <c r="AJ1325" s="7"/>
      <c r="AK1325" s="7"/>
      <c r="AL1325" s="7"/>
      <c r="AM1325" s="7"/>
      <c r="AN1325" s="7"/>
      <c r="AO1325" s="7"/>
      <c r="AP1325" s="7"/>
      <c r="AQ1325" s="7"/>
      <c r="AS1325" s="36"/>
      <c r="AT1325" s="36"/>
      <c r="AU1325" s="35"/>
      <c r="AV1325" s="7"/>
      <c r="AW1325" s="7"/>
      <c r="AX1325" s="7"/>
      <c r="AY1325" s="7"/>
      <c r="AZ1325" s="7"/>
      <c r="BA1325" s="7"/>
      <c r="BB1325" s="7"/>
      <c r="BC1325" s="7"/>
      <c r="BF1325" s="7"/>
      <c r="BG1325" s="36"/>
      <c r="BH1325" s="36"/>
      <c r="BI1325" s="36"/>
      <c r="BJ1325" s="36"/>
      <c r="BK1325" s="36"/>
      <c r="BL1325" s="36"/>
      <c r="BM1325" s="36"/>
      <c r="BN1325" s="36"/>
      <c r="BO1325" s="36"/>
    </row>
    <row r="1326" spans="1:67" x14ac:dyDescent="0.25">
      <c r="A1326" s="39"/>
      <c r="B1326" s="40"/>
      <c r="U1326" s="36"/>
      <c r="V1326" s="36"/>
      <c r="W1326" s="35"/>
      <c r="X1326" s="7"/>
      <c r="Y1326" s="7"/>
      <c r="Z1326" s="7"/>
      <c r="AA1326" s="7"/>
      <c r="AB1326" s="7"/>
      <c r="AC1326" s="7"/>
      <c r="AD1326" s="7"/>
      <c r="AE1326" s="7"/>
      <c r="AG1326" s="36"/>
      <c r="AH1326" s="36"/>
      <c r="AI1326" s="35"/>
      <c r="AJ1326" s="7"/>
      <c r="AK1326" s="7"/>
      <c r="AL1326" s="7"/>
      <c r="AM1326" s="7"/>
      <c r="AN1326" s="7"/>
      <c r="AO1326" s="7"/>
      <c r="AP1326" s="7"/>
      <c r="AQ1326" s="7"/>
      <c r="AS1326" s="36"/>
      <c r="AT1326" s="36"/>
      <c r="AU1326" s="35"/>
      <c r="AV1326" s="7"/>
      <c r="AW1326" s="7"/>
      <c r="AX1326" s="7"/>
      <c r="AY1326" s="7"/>
      <c r="AZ1326" s="7"/>
      <c r="BA1326" s="7"/>
      <c r="BB1326" s="7"/>
      <c r="BC1326" s="7"/>
      <c r="BF1326" s="7"/>
      <c r="BG1326" s="36"/>
      <c r="BH1326" s="36"/>
      <c r="BI1326" s="36"/>
      <c r="BJ1326" s="36"/>
      <c r="BK1326" s="36"/>
      <c r="BL1326" s="36"/>
      <c r="BM1326" s="36"/>
      <c r="BN1326" s="36"/>
      <c r="BO1326" s="36"/>
    </row>
    <row r="1327" spans="1:67" x14ac:dyDescent="0.25">
      <c r="A1327" s="39"/>
      <c r="B1327" s="40"/>
      <c r="U1327" s="36"/>
      <c r="V1327" s="36"/>
      <c r="W1327" s="35"/>
      <c r="X1327" s="7"/>
      <c r="Y1327" s="7"/>
      <c r="Z1327" s="7"/>
      <c r="AA1327" s="7"/>
      <c r="AB1327" s="7"/>
      <c r="AC1327" s="7"/>
      <c r="AD1327" s="7"/>
      <c r="AE1327" s="7"/>
      <c r="AG1327" s="36"/>
      <c r="AH1327" s="36"/>
      <c r="AI1327" s="35"/>
      <c r="AJ1327" s="7"/>
      <c r="AK1327" s="7"/>
      <c r="AL1327" s="7"/>
      <c r="AM1327" s="7"/>
      <c r="AN1327" s="7"/>
      <c r="AO1327" s="7"/>
      <c r="AP1327" s="7"/>
      <c r="AQ1327" s="7"/>
      <c r="AS1327" s="36"/>
      <c r="AT1327" s="36"/>
      <c r="AU1327" s="35"/>
      <c r="AV1327" s="7"/>
      <c r="AW1327" s="7"/>
      <c r="AX1327" s="7"/>
      <c r="AY1327" s="7"/>
      <c r="AZ1327" s="7"/>
      <c r="BA1327" s="7"/>
      <c r="BB1327" s="7"/>
      <c r="BC1327" s="7"/>
      <c r="BF1327" s="7"/>
      <c r="BG1327" s="36"/>
      <c r="BH1327" s="36"/>
      <c r="BI1327" s="36"/>
      <c r="BJ1327" s="36"/>
      <c r="BK1327" s="36"/>
      <c r="BL1327" s="36"/>
      <c r="BM1327" s="36"/>
      <c r="BN1327" s="36"/>
      <c r="BO1327" s="36"/>
    </row>
    <row r="1328" spans="1:67" x14ac:dyDescent="0.25">
      <c r="A1328" s="39"/>
      <c r="B1328" s="40"/>
      <c r="U1328" s="36"/>
      <c r="V1328" s="36"/>
      <c r="W1328" s="35"/>
      <c r="X1328" s="7"/>
      <c r="Y1328" s="7"/>
      <c r="Z1328" s="7"/>
      <c r="AA1328" s="7"/>
      <c r="AB1328" s="7"/>
      <c r="AC1328" s="7"/>
      <c r="AD1328" s="7"/>
      <c r="AE1328" s="7"/>
      <c r="AG1328" s="36"/>
      <c r="AH1328" s="36"/>
      <c r="AI1328" s="35"/>
      <c r="AJ1328" s="7"/>
      <c r="AK1328" s="7"/>
      <c r="AL1328" s="7"/>
      <c r="AM1328" s="7"/>
      <c r="AN1328" s="7"/>
      <c r="AO1328" s="7"/>
      <c r="AP1328" s="7"/>
      <c r="AQ1328" s="7"/>
      <c r="AS1328" s="36"/>
      <c r="AT1328" s="36"/>
      <c r="AU1328" s="35"/>
      <c r="AV1328" s="7"/>
      <c r="AW1328" s="7"/>
      <c r="AX1328" s="7"/>
      <c r="AY1328" s="7"/>
      <c r="AZ1328" s="7"/>
      <c r="BA1328" s="7"/>
      <c r="BB1328" s="7"/>
      <c r="BC1328" s="7"/>
      <c r="BF1328" s="7"/>
      <c r="BG1328" s="36"/>
      <c r="BH1328" s="36"/>
      <c r="BI1328" s="36"/>
      <c r="BJ1328" s="36"/>
      <c r="BK1328" s="36"/>
      <c r="BL1328" s="36"/>
      <c r="BM1328" s="36"/>
      <c r="BN1328" s="36"/>
      <c r="BO1328" s="36"/>
    </row>
    <row r="1329" spans="1:67" x14ac:dyDescent="0.25">
      <c r="A1329" s="39"/>
      <c r="B1329" s="40"/>
      <c r="U1329" s="36"/>
      <c r="V1329" s="36"/>
      <c r="W1329" s="35"/>
      <c r="X1329" s="7"/>
      <c r="Y1329" s="7"/>
      <c r="Z1329" s="7"/>
      <c r="AA1329" s="7"/>
      <c r="AB1329" s="7"/>
      <c r="AC1329" s="7"/>
      <c r="AD1329" s="7"/>
      <c r="AE1329" s="7"/>
      <c r="AG1329" s="36"/>
      <c r="AH1329" s="36"/>
      <c r="AI1329" s="35"/>
      <c r="AJ1329" s="7"/>
      <c r="AK1329" s="7"/>
      <c r="AL1329" s="7"/>
      <c r="AM1329" s="7"/>
      <c r="AN1329" s="7"/>
      <c r="AO1329" s="7"/>
      <c r="AP1329" s="7"/>
      <c r="AQ1329" s="7"/>
      <c r="AS1329" s="36"/>
      <c r="AT1329" s="36"/>
      <c r="AU1329" s="35"/>
      <c r="AV1329" s="7"/>
      <c r="AW1329" s="7"/>
      <c r="AX1329" s="7"/>
      <c r="AY1329" s="7"/>
      <c r="AZ1329" s="7"/>
      <c r="BA1329" s="7"/>
      <c r="BB1329" s="7"/>
      <c r="BC1329" s="7"/>
      <c r="BF1329" s="7"/>
      <c r="BG1329" s="36"/>
      <c r="BH1329" s="36"/>
      <c r="BI1329" s="36"/>
      <c r="BJ1329" s="36"/>
      <c r="BK1329" s="36"/>
      <c r="BL1329" s="36"/>
      <c r="BM1329" s="36"/>
      <c r="BN1329" s="36"/>
      <c r="BO1329" s="36"/>
    </row>
    <row r="1330" spans="1:67" x14ac:dyDescent="0.25">
      <c r="A1330" s="39"/>
      <c r="B1330" s="40"/>
      <c r="U1330" s="36"/>
      <c r="V1330" s="36"/>
      <c r="W1330" s="35"/>
      <c r="X1330" s="7"/>
      <c r="Y1330" s="7"/>
      <c r="Z1330" s="7"/>
      <c r="AA1330" s="7"/>
      <c r="AB1330" s="7"/>
      <c r="AC1330" s="7"/>
      <c r="AD1330" s="7"/>
      <c r="AE1330" s="7"/>
      <c r="AG1330" s="36"/>
      <c r="AH1330" s="36"/>
      <c r="AI1330" s="35"/>
      <c r="AJ1330" s="7"/>
      <c r="AK1330" s="7"/>
      <c r="AL1330" s="7"/>
      <c r="AM1330" s="7"/>
      <c r="AN1330" s="7"/>
      <c r="AO1330" s="7"/>
      <c r="AP1330" s="7"/>
      <c r="AQ1330" s="7"/>
      <c r="AS1330" s="36"/>
      <c r="AT1330" s="36"/>
      <c r="AU1330" s="35"/>
      <c r="AV1330" s="7"/>
      <c r="AW1330" s="7"/>
      <c r="AX1330" s="7"/>
      <c r="AY1330" s="7"/>
      <c r="AZ1330" s="7"/>
      <c r="BA1330" s="7"/>
      <c r="BB1330" s="7"/>
      <c r="BC1330" s="7"/>
      <c r="BF1330" s="7"/>
      <c r="BG1330" s="36"/>
      <c r="BH1330" s="36"/>
      <c r="BI1330" s="36"/>
      <c r="BJ1330" s="36"/>
      <c r="BK1330" s="36"/>
      <c r="BL1330" s="36"/>
      <c r="BM1330" s="36"/>
      <c r="BN1330" s="36"/>
      <c r="BO1330" s="36"/>
    </row>
    <row r="1331" spans="1:67" x14ac:dyDescent="0.25">
      <c r="A1331" s="39"/>
      <c r="B1331" s="40"/>
      <c r="U1331" s="36"/>
      <c r="V1331" s="36"/>
      <c r="W1331" s="35"/>
      <c r="X1331" s="7"/>
      <c r="Y1331" s="7"/>
      <c r="Z1331" s="7"/>
      <c r="AA1331" s="7"/>
      <c r="AB1331" s="7"/>
      <c r="AC1331" s="7"/>
      <c r="AD1331" s="7"/>
      <c r="AE1331" s="7"/>
      <c r="AG1331" s="36"/>
      <c r="AH1331" s="36"/>
      <c r="AI1331" s="35"/>
      <c r="AJ1331" s="7"/>
      <c r="AK1331" s="7"/>
      <c r="AL1331" s="7"/>
      <c r="AM1331" s="7"/>
      <c r="AN1331" s="7"/>
      <c r="AO1331" s="7"/>
      <c r="AP1331" s="7"/>
      <c r="AQ1331" s="7"/>
      <c r="AS1331" s="36"/>
      <c r="AT1331" s="36"/>
      <c r="AU1331" s="35"/>
      <c r="AV1331" s="7"/>
      <c r="AW1331" s="7"/>
      <c r="AX1331" s="7"/>
      <c r="AY1331" s="7"/>
      <c r="AZ1331" s="7"/>
      <c r="BA1331" s="7"/>
      <c r="BB1331" s="7"/>
      <c r="BC1331" s="7"/>
      <c r="BF1331" s="7"/>
      <c r="BG1331" s="36"/>
      <c r="BH1331" s="36"/>
      <c r="BI1331" s="36"/>
      <c r="BJ1331" s="36"/>
      <c r="BK1331" s="36"/>
      <c r="BL1331" s="36"/>
      <c r="BM1331" s="36"/>
      <c r="BN1331" s="36"/>
      <c r="BO1331" s="36"/>
    </row>
    <row r="1332" spans="1:67" x14ac:dyDescent="0.25">
      <c r="A1332" s="39"/>
      <c r="B1332" s="40"/>
      <c r="U1332" s="36"/>
      <c r="V1332" s="36"/>
      <c r="W1332" s="35"/>
      <c r="X1332" s="7"/>
      <c r="Y1332" s="7"/>
      <c r="Z1332" s="7"/>
      <c r="AA1332" s="7"/>
      <c r="AB1332" s="7"/>
      <c r="AC1332" s="7"/>
      <c r="AD1332" s="7"/>
      <c r="AE1332" s="7"/>
      <c r="AG1332" s="36"/>
      <c r="AH1332" s="36"/>
      <c r="AI1332" s="35"/>
      <c r="AJ1332" s="7"/>
      <c r="AK1332" s="7"/>
      <c r="AL1332" s="7"/>
      <c r="AM1332" s="7"/>
      <c r="AN1332" s="7"/>
      <c r="AO1332" s="7"/>
      <c r="AP1332" s="7"/>
      <c r="AQ1332" s="7"/>
      <c r="AS1332" s="36"/>
      <c r="AT1332" s="36"/>
      <c r="AU1332" s="35"/>
      <c r="AV1332" s="7"/>
      <c r="AW1332" s="7"/>
      <c r="AX1332" s="7"/>
      <c r="AY1332" s="7"/>
      <c r="AZ1332" s="7"/>
      <c r="BA1332" s="7"/>
      <c r="BB1332" s="7"/>
      <c r="BC1332" s="7"/>
      <c r="BF1332" s="7"/>
      <c r="BG1332" s="36"/>
      <c r="BH1332" s="36"/>
      <c r="BI1332" s="36"/>
      <c r="BJ1332" s="36"/>
      <c r="BK1332" s="36"/>
      <c r="BL1332" s="36"/>
      <c r="BM1332" s="36"/>
      <c r="BN1332" s="36"/>
      <c r="BO1332" s="36"/>
    </row>
    <row r="1333" spans="1:67" x14ac:dyDescent="0.25">
      <c r="A1333" s="39"/>
      <c r="B1333" s="40"/>
      <c r="U1333" s="36"/>
      <c r="V1333" s="36"/>
      <c r="W1333" s="35"/>
      <c r="X1333" s="7"/>
      <c r="Y1333" s="7"/>
      <c r="Z1333" s="7"/>
      <c r="AA1333" s="7"/>
      <c r="AB1333" s="7"/>
      <c r="AC1333" s="7"/>
      <c r="AD1333" s="7"/>
      <c r="AE1333" s="7"/>
      <c r="AG1333" s="36"/>
      <c r="AH1333" s="36"/>
      <c r="AI1333" s="35"/>
      <c r="AJ1333" s="7"/>
      <c r="AK1333" s="7"/>
      <c r="AL1333" s="7"/>
      <c r="AM1333" s="7"/>
      <c r="AN1333" s="7"/>
      <c r="AO1333" s="7"/>
      <c r="AP1333" s="7"/>
      <c r="AQ1333" s="7"/>
      <c r="AS1333" s="36"/>
      <c r="AT1333" s="36"/>
      <c r="AU1333" s="35"/>
      <c r="AV1333" s="7"/>
      <c r="AW1333" s="7"/>
      <c r="AX1333" s="7"/>
      <c r="AY1333" s="7"/>
      <c r="AZ1333" s="7"/>
      <c r="BA1333" s="7"/>
      <c r="BB1333" s="7"/>
      <c r="BC1333" s="7"/>
      <c r="BF1333" s="7"/>
      <c r="BG1333" s="36"/>
      <c r="BH1333" s="36"/>
      <c r="BI1333" s="36"/>
      <c r="BJ1333" s="36"/>
      <c r="BK1333" s="36"/>
      <c r="BL1333" s="36"/>
      <c r="BM1333" s="36"/>
      <c r="BN1333" s="36"/>
      <c r="BO1333" s="36"/>
    </row>
    <row r="1334" spans="1:67" x14ac:dyDescent="0.25">
      <c r="A1334" s="39"/>
      <c r="B1334" s="40"/>
      <c r="U1334" s="36"/>
      <c r="V1334" s="36"/>
      <c r="W1334" s="35"/>
      <c r="X1334" s="7"/>
      <c r="Y1334" s="7"/>
      <c r="Z1334" s="7"/>
      <c r="AA1334" s="7"/>
      <c r="AB1334" s="7"/>
      <c r="AC1334" s="7"/>
      <c r="AD1334" s="7"/>
      <c r="AE1334" s="7"/>
      <c r="AG1334" s="36"/>
      <c r="AH1334" s="36"/>
      <c r="AI1334" s="35"/>
      <c r="AJ1334" s="7"/>
      <c r="AK1334" s="7"/>
      <c r="AL1334" s="7"/>
      <c r="AM1334" s="7"/>
      <c r="AN1334" s="7"/>
      <c r="AO1334" s="7"/>
      <c r="AP1334" s="7"/>
      <c r="AQ1334" s="7"/>
      <c r="AS1334" s="36"/>
      <c r="AT1334" s="36"/>
      <c r="AU1334" s="35"/>
      <c r="AV1334" s="7"/>
      <c r="AW1334" s="7"/>
      <c r="AX1334" s="7"/>
      <c r="AY1334" s="7"/>
      <c r="AZ1334" s="7"/>
      <c r="BA1334" s="7"/>
      <c r="BB1334" s="7"/>
      <c r="BC1334" s="7"/>
      <c r="BF1334" s="7"/>
      <c r="BG1334" s="36"/>
      <c r="BH1334" s="36"/>
      <c r="BI1334" s="36"/>
      <c r="BJ1334" s="36"/>
      <c r="BK1334" s="36"/>
      <c r="BL1334" s="36"/>
      <c r="BM1334" s="36"/>
      <c r="BN1334" s="36"/>
      <c r="BO1334" s="36"/>
    </row>
    <row r="1335" spans="1:67" x14ac:dyDescent="0.25">
      <c r="A1335" s="39"/>
      <c r="B1335" s="40"/>
      <c r="U1335" s="36"/>
      <c r="V1335" s="36"/>
      <c r="W1335" s="35"/>
      <c r="X1335" s="7"/>
      <c r="Y1335" s="7"/>
      <c r="Z1335" s="7"/>
      <c r="AA1335" s="7"/>
      <c r="AB1335" s="7"/>
      <c r="AC1335" s="7"/>
      <c r="AD1335" s="7"/>
      <c r="AE1335" s="7"/>
      <c r="AG1335" s="36"/>
      <c r="AH1335" s="36"/>
      <c r="AI1335" s="35"/>
      <c r="AJ1335" s="7"/>
      <c r="AK1335" s="7"/>
      <c r="AL1335" s="7"/>
      <c r="AM1335" s="7"/>
      <c r="AN1335" s="7"/>
      <c r="AO1335" s="7"/>
      <c r="AP1335" s="7"/>
      <c r="AQ1335" s="7"/>
      <c r="AS1335" s="36"/>
      <c r="AT1335" s="36"/>
      <c r="AU1335" s="35"/>
      <c r="AV1335" s="7"/>
      <c r="AW1335" s="7"/>
      <c r="AX1335" s="7"/>
      <c r="AY1335" s="7"/>
      <c r="AZ1335" s="7"/>
      <c r="BA1335" s="7"/>
      <c r="BB1335" s="7"/>
      <c r="BC1335" s="7"/>
      <c r="BF1335" s="7"/>
      <c r="BG1335" s="36"/>
      <c r="BH1335" s="36"/>
      <c r="BI1335" s="36"/>
      <c r="BJ1335" s="36"/>
      <c r="BK1335" s="36"/>
      <c r="BL1335" s="36"/>
      <c r="BM1335" s="36"/>
      <c r="BN1335" s="36"/>
      <c r="BO1335" s="36"/>
    </row>
    <row r="1336" spans="1:67" x14ac:dyDescent="0.25">
      <c r="A1336" s="39"/>
      <c r="B1336" s="40"/>
      <c r="U1336" s="36"/>
      <c r="V1336" s="36"/>
      <c r="W1336" s="35"/>
      <c r="X1336" s="7"/>
      <c r="Y1336" s="7"/>
      <c r="Z1336" s="7"/>
      <c r="AA1336" s="7"/>
      <c r="AB1336" s="7"/>
      <c r="AC1336" s="7"/>
      <c r="AD1336" s="7"/>
      <c r="AE1336" s="7"/>
      <c r="AG1336" s="36"/>
      <c r="AH1336" s="36"/>
      <c r="AI1336" s="35"/>
      <c r="AJ1336" s="7"/>
      <c r="AK1336" s="7"/>
      <c r="AL1336" s="7"/>
      <c r="AM1336" s="7"/>
      <c r="AN1336" s="7"/>
      <c r="AO1336" s="7"/>
      <c r="AP1336" s="7"/>
      <c r="AQ1336" s="7"/>
      <c r="AS1336" s="36"/>
      <c r="AT1336" s="36"/>
      <c r="AU1336" s="35"/>
      <c r="AV1336" s="7"/>
      <c r="AW1336" s="7"/>
      <c r="AX1336" s="7"/>
      <c r="AY1336" s="7"/>
      <c r="AZ1336" s="7"/>
      <c r="BA1336" s="7"/>
      <c r="BB1336" s="7"/>
      <c r="BC1336" s="7"/>
      <c r="BF1336" s="7"/>
      <c r="BG1336" s="36"/>
      <c r="BH1336" s="36"/>
      <c r="BI1336" s="36"/>
      <c r="BJ1336" s="36"/>
      <c r="BK1336" s="36"/>
      <c r="BL1336" s="36"/>
      <c r="BM1336" s="36"/>
      <c r="BN1336" s="36"/>
      <c r="BO1336" s="36"/>
    </row>
    <row r="1337" spans="1:67" x14ac:dyDescent="0.25">
      <c r="A1337" s="39"/>
      <c r="B1337" s="40"/>
      <c r="U1337" s="36"/>
      <c r="V1337" s="36"/>
      <c r="W1337" s="35"/>
      <c r="X1337" s="7"/>
      <c r="Y1337" s="7"/>
      <c r="Z1337" s="7"/>
      <c r="AA1337" s="7"/>
      <c r="AB1337" s="7"/>
      <c r="AC1337" s="7"/>
      <c r="AD1337" s="7"/>
      <c r="AE1337" s="7"/>
      <c r="AG1337" s="36"/>
      <c r="AH1337" s="36"/>
      <c r="AI1337" s="35"/>
      <c r="AJ1337" s="7"/>
      <c r="AK1337" s="7"/>
      <c r="AL1337" s="7"/>
      <c r="AM1337" s="7"/>
      <c r="AN1337" s="7"/>
      <c r="AO1337" s="7"/>
      <c r="AP1337" s="7"/>
      <c r="AQ1337" s="7"/>
      <c r="AS1337" s="36"/>
      <c r="AT1337" s="36"/>
      <c r="AU1337" s="35"/>
      <c r="AV1337" s="7"/>
      <c r="AW1337" s="7"/>
      <c r="AX1337" s="7"/>
      <c r="AY1337" s="7"/>
      <c r="AZ1337" s="7"/>
      <c r="BA1337" s="7"/>
      <c r="BB1337" s="7"/>
      <c r="BC1337" s="7"/>
      <c r="BF1337" s="7"/>
      <c r="BG1337" s="36"/>
      <c r="BH1337" s="36"/>
      <c r="BI1337" s="36"/>
      <c r="BJ1337" s="36"/>
      <c r="BK1337" s="36"/>
      <c r="BL1337" s="36"/>
      <c r="BM1337" s="36"/>
      <c r="BN1337" s="36"/>
      <c r="BO1337" s="36"/>
    </row>
    <row r="1338" spans="1:67" x14ac:dyDescent="0.25">
      <c r="A1338" s="39"/>
      <c r="B1338" s="40"/>
      <c r="U1338" s="36"/>
      <c r="V1338" s="36"/>
      <c r="W1338" s="35"/>
      <c r="X1338" s="7"/>
      <c r="Y1338" s="7"/>
      <c r="Z1338" s="7"/>
      <c r="AA1338" s="7"/>
      <c r="AB1338" s="7"/>
      <c r="AC1338" s="7"/>
      <c r="AD1338" s="7"/>
      <c r="AE1338" s="7"/>
      <c r="AG1338" s="36"/>
      <c r="AH1338" s="36"/>
      <c r="AI1338" s="35"/>
      <c r="AJ1338" s="7"/>
      <c r="AK1338" s="7"/>
      <c r="AL1338" s="7"/>
      <c r="AM1338" s="7"/>
      <c r="AN1338" s="7"/>
      <c r="AO1338" s="7"/>
      <c r="AP1338" s="7"/>
      <c r="AQ1338" s="7"/>
      <c r="AS1338" s="36"/>
      <c r="AT1338" s="36"/>
      <c r="AU1338" s="35"/>
      <c r="AV1338" s="7"/>
      <c r="AW1338" s="7"/>
      <c r="AX1338" s="7"/>
      <c r="AY1338" s="7"/>
      <c r="AZ1338" s="7"/>
      <c r="BA1338" s="7"/>
      <c r="BB1338" s="7"/>
      <c r="BC1338" s="7"/>
      <c r="BF1338" s="7"/>
      <c r="BG1338" s="36"/>
      <c r="BH1338" s="36"/>
      <c r="BI1338" s="36"/>
      <c r="BJ1338" s="36"/>
      <c r="BK1338" s="36"/>
      <c r="BL1338" s="36"/>
      <c r="BM1338" s="36"/>
      <c r="BN1338" s="36"/>
      <c r="BO1338" s="36"/>
    </row>
    <row r="1339" spans="1:67" x14ac:dyDescent="0.25">
      <c r="A1339" s="39"/>
      <c r="B1339" s="40"/>
      <c r="U1339" s="36"/>
      <c r="V1339" s="36"/>
      <c r="W1339" s="35"/>
      <c r="X1339" s="7"/>
      <c r="Y1339" s="7"/>
      <c r="Z1339" s="7"/>
      <c r="AA1339" s="7"/>
      <c r="AB1339" s="7"/>
      <c r="AC1339" s="7"/>
      <c r="AD1339" s="7"/>
      <c r="AE1339" s="7"/>
      <c r="AG1339" s="36"/>
      <c r="AH1339" s="36"/>
      <c r="AI1339" s="35"/>
      <c r="AJ1339" s="7"/>
      <c r="AK1339" s="7"/>
      <c r="AL1339" s="7"/>
      <c r="AM1339" s="7"/>
      <c r="AN1339" s="7"/>
      <c r="AO1339" s="7"/>
      <c r="AP1339" s="7"/>
      <c r="AQ1339" s="7"/>
      <c r="AS1339" s="36"/>
      <c r="AT1339" s="36"/>
      <c r="AU1339" s="35"/>
      <c r="AV1339" s="7"/>
      <c r="AW1339" s="7"/>
      <c r="AX1339" s="7"/>
      <c r="AY1339" s="7"/>
      <c r="AZ1339" s="7"/>
      <c r="BA1339" s="7"/>
      <c r="BB1339" s="7"/>
      <c r="BC1339" s="7"/>
      <c r="BF1339" s="7"/>
      <c r="BG1339" s="36"/>
      <c r="BH1339" s="36"/>
      <c r="BI1339" s="36"/>
      <c r="BJ1339" s="36"/>
      <c r="BK1339" s="36"/>
      <c r="BL1339" s="36"/>
      <c r="BM1339" s="36"/>
      <c r="BN1339" s="36"/>
      <c r="BO1339" s="36"/>
    </row>
    <row r="1340" spans="1:67" x14ac:dyDescent="0.25">
      <c r="A1340" s="39"/>
      <c r="B1340" s="40"/>
      <c r="U1340" s="36"/>
      <c r="V1340" s="36"/>
      <c r="W1340" s="35"/>
      <c r="X1340" s="7"/>
      <c r="Y1340" s="7"/>
      <c r="Z1340" s="7"/>
      <c r="AA1340" s="7"/>
      <c r="AB1340" s="7"/>
      <c r="AC1340" s="7"/>
      <c r="AD1340" s="7"/>
      <c r="AE1340" s="7"/>
      <c r="AG1340" s="36"/>
      <c r="AH1340" s="36"/>
      <c r="AI1340" s="35"/>
      <c r="AJ1340" s="7"/>
      <c r="AK1340" s="7"/>
      <c r="AL1340" s="7"/>
      <c r="AM1340" s="7"/>
      <c r="AN1340" s="7"/>
      <c r="AO1340" s="7"/>
      <c r="AP1340" s="7"/>
      <c r="AQ1340" s="7"/>
      <c r="AS1340" s="36"/>
      <c r="AT1340" s="36"/>
      <c r="AU1340" s="35"/>
      <c r="AV1340" s="7"/>
      <c r="AW1340" s="7"/>
      <c r="AX1340" s="7"/>
      <c r="AY1340" s="7"/>
      <c r="AZ1340" s="7"/>
      <c r="BA1340" s="7"/>
      <c r="BB1340" s="7"/>
      <c r="BC1340" s="7"/>
      <c r="BF1340" s="7"/>
      <c r="BG1340" s="36"/>
      <c r="BH1340" s="36"/>
      <c r="BI1340" s="36"/>
      <c r="BJ1340" s="36"/>
      <c r="BK1340" s="36"/>
      <c r="BL1340" s="36"/>
      <c r="BM1340" s="36"/>
      <c r="BN1340" s="36"/>
      <c r="BO1340" s="36"/>
    </row>
    <row r="1341" spans="1:67" x14ac:dyDescent="0.25">
      <c r="A1341" s="39"/>
      <c r="B1341" s="40"/>
      <c r="U1341" s="36"/>
      <c r="V1341" s="36"/>
      <c r="W1341" s="35"/>
      <c r="X1341" s="7"/>
      <c r="Y1341" s="7"/>
      <c r="Z1341" s="7"/>
      <c r="AA1341" s="7"/>
      <c r="AB1341" s="7"/>
      <c r="AC1341" s="7"/>
      <c r="AD1341" s="7"/>
      <c r="AE1341" s="7"/>
      <c r="AG1341" s="36"/>
      <c r="AH1341" s="36"/>
      <c r="AI1341" s="35"/>
      <c r="AJ1341" s="7"/>
      <c r="AK1341" s="7"/>
      <c r="AL1341" s="7"/>
      <c r="AM1341" s="7"/>
      <c r="AN1341" s="7"/>
      <c r="AO1341" s="7"/>
      <c r="AP1341" s="7"/>
      <c r="AQ1341" s="7"/>
      <c r="AS1341" s="36"/>
      <c r="AT1341" s="36"/>
      <c r="AU1341" s="35"/>
      <c r="AV1341" s="7"/>
      <c r="AW1341" s="7"/>
      <c r="AX1341" s="7"/>
      <c r="AY1341" s="7"/>
      <c r="AZ1341" s="7"/>
      <c r="BA1341" s="7"/>
      <c r="BB1341" s="7"/>
      <c r="BC1341" s="7"/>
      <c r="BF1341" s="7"/>
      <c r="BG1341" s="36"/>
      <c r="BH1341" s="36"/>
      <c r="BI1341" s="36"/>
      <c r="BJ1341" s="36"/>
      <c r="BK1341" s="36"/>
      <c r="BL1341" s="36"/>
      <c r="BM1341" s="36"/>
      <c r="BN1341" s="36"/>
      <c r="BO1341" s="36"/>
    </row>
    <row r="1342" spans="1:67" x14ac:dyDescent="0.25">
      <c r="A1342" s="39"/>
      <c r="B1342" s="40"/>
      <c r="U1342" s="36"/>
      <c r="V1342" s="36"/>
      <c r="W1342" s="35"/>
      <c r="X1342" s="7"/>
      <c r="Y1342" s="7"/>
      <c r="Z1342" s="7"/>
      <c r="AA1342" s="7"/>
      <c r="AB1342" s="7"/>
      <c r="AC1342" s="7"/>
      <c r="AD1342" s="7"/>
      <c r="AE1342" s="7"/>
      <c r="AG1342" s="36"/>
      <c r="AH1342" s="36"/>
      <c r="AI1342" s="35"/>
      <c r="AJ1342" s="7"/>
      <c r="AK1342" s="7"/>
      <c r="AL1342" s="7"/>
      <c r="AM1342" s="7"/>
      <c r="AN1342" s="7"/>
      <c r="AO1342" s="7"/>
      <c r="AP1342" s="7"/>
      <c r="AQ1342" s="7"/>
      <c r="AS1342" s="36"/>
      <c r="AT1342" s="36"/>
      <c r="AU1342" s="35"/>
      <c r="AV1342" s="7"/>
      <c r="AW1342" s="7"/>
      <c r="AX1342" s="7"/>
      <c r="AY1342" s="7"/>
      <c r="AZ1342" s="7"/>
      <c r="BA1342" s="7"/>
      <c r="BB1342" s="7"/>
      <c r="BC1342" s="7"/>
      <c r="BF1342" s="7"/>
      <c r="BG1342" s="36"/>
      <c r="BH1342" s="36"/>
      <c r="BI1342" s="36"/>
      <c r="BJ1342" s="36"/>
      <c r="BK1342" s="36"/>
      <c r="BL1342" s="36"/>
      <c r="BM1342" s="36"/>
      <c r="BN1342" s="36"/>
      <c r="BO1342" s="36"/>
    </row>
    <row r="1343" spans="1:67" x14ac:dyDescent="0.25">
      <c r="A1343" s="39"/>
      <c r="B1343" s="40"/>
      <c r="U1343" s="36"/>
      <c r="V1343" s="36"/>
      <c r="W1343" s="35"/>
      <c r="X1343" s="7"/>
      <c r="Y1343" s="7"/>
      <c r="Z1343" s="7"/>
      <c r="AA1343" s="7"/>
      <c r="AB1343" s="7"/>
      <c r="AC1343" s="7"/>
      <c r="AD1343" s="7"/>
      <c r="AE1343" s="7"/>
      <c r="AG1343" s="36"/>
      <c r="AH1343" s="36"/>
      <c r="AI1343" s="35"/>
      <c r="AJ1343" s="7"/>
      <c r="AK1343" s="7"/>
      <c r="AL1343" s="7"/>
      <c r="AM1343" s="7"/>
      <c r="AN1343" s="7"/>
      <c r="AO1343" s="7"/>
      <c r="AP1343" s="7"/>
      <c r="AQ1343" s="7"/>
      <c r="AS1343" s="36"/>
      <c r="AT1343" s="36"/>
      <c r="AU1343" s="35"/>
      <c r="AV1343" s="7"/>
      <c r="AW1343" s="7"/>
      <c r="AX1343" s="7"/>
      <c r="AY1343" s="7"/>
      <c r="AZ1343" s="7"/>
      <c r="BA1343" s="7"/>
      <c r="BB1343" s="7"/>
      <c r="BC1343" s="7"/>
      <c r="BF1343" s="7"/>
      <c r="BG1343" s="36"/>
      <c r="BH1343" s="36"/>
      <c r="BI1343" s="36"/>
      <c r="BJ1343" s="36"/>
      <c r="BK1343" s="36"/>
      <c r="BL1343" s="36"/>
      <c r="BM1343" s="36"/>
      <c r="BN1343" s="36"/>
      <c r="BO1343" s="36"/>
    </row>
    <row r="1344" spans="1:67" x14ac:dyDescent="0.25">
      <c r="A1344" s="39"/>
      <c r="B1344" s="40"/>
      <c r="U1344" s="36"/>
      <c r="V1344" s="36"/>
      <c r="W1344" s="35"/>
      <c r="X1344" s="7"/>
      <c r="Y1344" s="7"/>
      <c r="Z1344" s="7"/>
      <c r="AA1344" s="7"/>
      <c r="AB1344" s="7"/>
      <c r="AC1344" s="7"/>
      <c r="AD1344" s="7"/>
      <c r="AE1344" s="7"/>
      <c r="AG1344" s="36"/>
      <c r="AH1344" s="36"/>
      <c r="AI1344" s="35"/>
      <c r="AJ1344" s="7"/>
      <c r="AK1344" s="7"/>
      <c r="AL1344" s="7"/>
      <c r="AM1344" s="7"/>
      <c r="AN1344" s="7"/>
      <c r="AO1344" s="7"/>
      <c r="AP1344" s="7"/>
      <c r="AQ1344" s="7"/>
      <c r="AS1344" s="36"/>
      <c r="AT1344" s="36"/>
      <c r="AU1344" s="35"/>
      <c r="AV1344" s="7"/>
      <c r="AW1344" s="7"/>
      <c r="AX1344" s="7"/>
      <c r="AY1344" s="7"/>
      <c r="AZ1344" s="7"/>
      <c r="BA1344" s="7"/>
      <c r="BB1344" s="7"/>
      <c r="BC1344" s="7"/>
      <c r="BF1344" s="7"/>
      <c r="BG1344" s="36"/>
      <c r="BH1344" s="36"/>
      <c r="BI1344" s="36"/>
      <c r="BJ1344" s="36"/>
      <c r="BK1344" s="36"/>
      <c r="BL1344" s="36"/>
      <c r="BM1344" s="36"/>
      <c r="BN1344" s="36"/>
      <c r="BO1344" s="36"/>
    </row>
    <row r="1345" spans="1:67" x14ac:dyDescent="0.25">
      <c r="A1345" s="39"/>
      <c r="B1345" s="40"/>
      <c r="U1345" s="36"/>
      <c r="V1345" s="36"/>
      <c r="W1345" s="35"/>
      <c r="X1345" s="7"/>
      <c r="Y1345" s="7"/>
      <c r="Z1345" s="7"/>
      <c r="AA1345" s="7"/>
      <c r="AB1345" s="7"/>
      <c r="AC1345" s="7"/>
      <c r="AD1345" s="7"/>
      <c r="AE1345" s="7"/>
      <c r="AG1345" s="36"/>
      <c r="AH1345" s="36"/>
      <c r="AI1345" s="35"/>
      <c r="AJ1345" s="7"/>
      <c r="AK1345" s="7"/>
      <c r="AL1345" s="7"/>
      <c r="AM1345" s="7"/>
      <c r="AN1345" s="7"/>
      <c r="AO1345" s="7"/>
      <c r="AP1345" s="7"/>
      <c r="AQ1345" s="7"/>
      <c r="AS1345" s="36"/>
      <c r="AT1345" s="36"/>
      <c r="AU1345" s="35"/>
      <c r="AV1345" s="7"/>
      <c r="AW1345" s="7"/>
      <c r="AX1345" s="7"/>
      <c r="AY1345" s="7"/>
      <c r="AZ1345" s="7"/>
      <c r="BA1345" s="7"/>
      <c r="BB1345" s="7"/>
      <c r="BC1345" s="7"/>
      <c r="BF1345" s="7"/>
      <c r="BG1345" s="36"/>
      <c r="BH1345" s="36"/>
      <c r="BI1345" s="36"/>
      <c r="BJ1345" s="36"/>
      <c r="BK1345" s="36"/>
      <c r="BL1345" s="36"/>
      <c r="BM1345" s="36"/>
      <c r="BN1345" s="36"/>
      <c r="BO1345" s="36"/>
    </row>
    <row r="1346" spans="1:67" x14ac:dyDescent="0.25">
      <c r="A1346" s="39"/>
      <c r="B1346" s="40"/>
      <c r="U1346" s="36"/>
      <c r="V1346" s="36"/>
      <c r="W1346" s="35"/>
      <c r="X1346" s="7"/>
      <c r="Y1346" s="7"/>
      <c r="Z1346" s="7"/>
      <c r="AA1346" s="7"/>
      <c r="AB1346" s="7"/>
      <c r="AC1346" s="7"/>
      <c r="AD1346" s="7"/>
      <c r="AE1346" s="7"/>
      <c r="AG1346" s="36"/>
      <c r="AH1346" s="36"/>
      <c r="AI1346" s="35"/>
      <c r="AJ1346" s="7"/>
      <c r="AK1346" s="7"/>
      <c r="AL1346" s="7"/>
      <c r="AM1346" s="7"/>
      <c r="AN1346" s="7"/>
      <c r="AO1346" s="7"/>
      <c r="AP1346" s="7"/>
      <c r="AQ1346" s="7"/>
      <c r="AS1346" s="36"/>
      <c r="AT1346" s="36"/>
      <c r="AU1346" s="35"/>
      <c r="AV1346" s="7"/>
      <c r="AW1346" s="7"/>
      <c r="AX1346" s="7"/>
      <c r="AY1346" s="7"/>
      <c r="AZ1346" s="7"/>
      <c r="BA1346" s="7"/>
      <c r="BB1346" s="7"/>
      <c r="BC1346" s="7"/>
      <c r="BF1346" s="7"/>
      <c r="BG1346" s="36"/>
      <c r="BH1346" s="36"/>
      <c r="BI1346" s="36"/>
      <c r="BJ1346" s="36"/>
      <c r="BK1346" s="36"/>
      <c r="BL1346" s="36"/>
      <c r="BM1346" s="36"/>
      <c r="BN1346" s="36"/>
      <c r="BO1346" s="36"/>
    </row>
    <row r="1347" spans="1:67" x14ac:dyDescent="0.25">
      <c r="A1347" s="39"/>
      <c r="B1347" s="40"/>
      <c r="U1347" s="36"/>
      <c r="V1347" s="36"/>
      <c r="W1347" s="35"/>
      <c r="X1347" s="7"/>
      <c r="Y1347" s="7"/>
      <c r="Z1347" s="7"/>
      <c r="AA1347" s="7"/>
      <c r="AB1347" s="7"/>
      <c r="AC1347" s="7"/>
      <c r="AD1347" s="7"/>
      <c r="AE1347" s="7"/>
      <c r="AG1347" s="36"/>
      <c r="AH1347" s="36"/>
      <c r="AI1347" s="35"/>
      <c r="AJ1347" s="7"/>
      <c r="AK1347" s="7"/>
      <c r="AL1347" s="7"/>
      <c r="AM1347" s="7"/>
      <c r="AN1347" s="7"/>
      <c r="AO1347" s="7"/>
      <c r="AP1347" s="7"/>
      <c r="AQ1347" s="7"/>
      <c r="AS1347" s="36"/>
      <c r="AT1347" s="36"/>
      <c r="AU1347" s="35"/>
      <c r="AV1347" s="7"/>
      <c r="AW1347" s="7"/>
      <c r="AX1347" s="7"/>
      <c r="AY1347" s="7"/>
      <c r="AZ1347" s="7"/>
      <c r="BA1347" s="7"/>
      <c r="BB1347" s="7"/>
      <c r="BC1347" s="7"/>
      <c r="BF1347" s="7"/>
      <c r="BG1347" s="36"/>
      <c r="BH1347" s="36"/>
      <c r="BI1347" s="36"/>
      <c r="BJ1347" s="36"/>
      <c r="BK1347" s="36"/>
      <c r="BL1347" s="36"/>
      <c r="BM1347" s="36"/>
      <c r="BN1347" s="36"/>
      <c r="BO1347" s="36"/>
    </row>
    <row r="1348" spans="1:67" x14ac:dyDescent="0.25">
      <c r="A1348" s="39"/>
      <c r="B1348" s="40"/>
      <c r="U1348" s="36"/>
      <c r="V1348" s="36"/>
      <c r="W1348" s="35"/>
      <c r="X1348" s="7"/>
      <c r="Y1348" s="7"/>
      <c r="Z1348" s="7"/>
      <c r="AA1348" s="7"/>
      <c r="AB1348" s="7"/>
      <c r="AC1348" s="7"/>
      <c r="AD1348" s="7"/>
      <c r="AE1348" s="7"/>
      <c r="AG1348" s="36"/>
      <c r="AH1348" s="36"/>
      <c r="AI1348" s="35"/>
      <c r="AJ1348" s="7"/>
      <c r="AK1348" s="7"/>
      <c r="AL1348" s="7"/>
      <c r="AM1348" s="7"/>
      <c r="AN1348" s="7"/>
      <c r="AO1348" s="7"/>
      <c r="AP1348" s="7"/>
      <c r="AQ1348" s="7"/>
      <c r="AS1348" s="36"/>
      <c r="AT1348" s="36"/>
      <c r="AU1348" s="35"/>
      <c r="AV1348" s="7"/>
      <c r="AW1348" s="7"/>
      <c r="AX1348" s="7"/>
      <c r="AY1348" s="7"/>
      <c r="AZ1348" s="7"/>
      <c r="BA1348" s="7"/>
      <c r="BB1348" s="7"/>
      <c r="BC1348" s="7"/>
      <c r="BF1348" s="7"/>
      <c r="BG1348" s="36"/>
      <c r="BH1348" s="36"/>
      <c r="BI1348" s="36"/>
      <c r="BJ1348" s="36"/>
      <c r="BK1348" s="36"/>
      <c r="BL1348" s="36"/>
      <c r="BM1348" s="36"/>
      <c r="BN1348" s="36"/>
      <c r="BO1348" s="36"/>
    </row>
    <row r="1349" spans="1:67" x14ac:dyDescent="0.25">
      <c r="A1349" s="39"/>
      <c r="B1349" s="40"/>
      <c r="U1349" s="36"/>
      <c r="V1349" s="36"/>
      <c r="W1349" s="35"/>
      <c r="X1349" s="7"/>
      <c r="Y1349" s="7"/>
      <c r="Z1349" s="7"/>
      <c r="AA1349" s="7"/>
      <c r="AB1349" s="7"/>
      <c r="AC1349" s="7"/>
      <c r="AD1349" s="7"/>
      <c r="AE1349" s="7"/>
      <c r="AG1349" s="36"/>
      <c r="AH1349" s="36"/>
      <c r="AI1349" s="35"/>
      <c r="AJ1349" s="7"/>
      <c r="AK1349" s="7"/>
      <c r="AL1349" s="7"/>
      <c r="AM1349" s="7"/>
      <c r="AN1349" s="7"/>
      <c r="AO1349" s="7"/>
      <c r="AP1349" s="7"/>
      <c r="AQ1349" s="7"/>
      <c r="AS1349" s="36"/>
      <c r="AT1349" s="36"/>
      <c r="AU1349" s="35"/>
      <c r="AV1349" s="7"/>
      <c r="AW1349" s="7"/>
      <c r="AX1349" s="7"/>
      <c r="AY1349" s="7"/>
      <c r="AZ1349" s="7"/>
      <c r="BA1349" s="7"/>
      <c r="BB1349" s="7"/>
      <c r="BC1349" s="7"/>
      <c r="BF1349" s="7"/>
      <c r="BG1349" s="36"/>
      <c r="BH1349" s="36"/>
      <c r="BI1349" s="36"/>
      <c r="BJ1349" s="36"/>
      <c r="BK1349" s="36"/>
      <c r="BL1349" s="36"/>
      <c r="BM1349" s="36"/>
      <c r="BN1349" s="36"/>
      <c r="BO1349" s="36"/>
    </row>
    <row r="1350" spans="1:67" x14ac:dyDescent="0.25">
      <c r="A1350" s="39"/>
      <c r="B1350" s="40"/>
      <c r="U1350" s="36"/>
      <c r="V1350" s="36"/>
      <c r="W1350" s="35"/>
      <c r="X1350" s="7"/>
      <c r="Y1350" s="7"/>
      <c r="Z1350" s="7"/>
      <c r="AA1350" s="7"/>
      <c r="AB1350" s="7"/>
      <c r="AC1350" s="7"/>
      <c r="AD1350" s="7"/>
      <c r="AE1350" s="7"/>
      <c r="AG1350" s="36"/>
      <c r="AH1350" s="36"/>
      <c r="AI1350" s="35"/>
      <c r="AJ1350" s="7"/>
      <c r="AK1350" s="7"/>
      <c r="AL1350" s="7"/>
      <c r="AM1350" s="7"/>
      <c r="AN1350" s="7"/>
      <c r="AO1350" s="7"/>
      <c r="AP1350" s="7"/>
      <c r="AQ1350" s="7"/>
      <c r="AS1350" s="36"/>
      <c r="AT1350" s="36"/>
      <c r="AU1350" s="35"/>
      <c r="AV1350" s="7"/>
      <c r="AW1350" s="7"/>
      <c r="AX1350" s="7"/>
      <c r="AY1350" s="7"/>
      <c r="AZ1350" s="7"/>
      <c r="BA1350" s="7"/>
      <c r="BB1350" s="7"/>
      <c r="BC1350" s="7"/>
      <c r="BF1350" s="7"/>
      <c r="BG1350" s="36"/>
      <c r="BH1350" s="36"/>
      <c r="BI1350" s="36"/>
      <c r="BJ1350" s="36"/>
      <c r="BK1350" s="36"/>
      <c r="BL1350" s="36"/>
      <c r="BM1350" s="36"/>
      <c r="BN1350" s="36"/>
      <c r="BO1350" s="36"/>
    </row>
    <row r="1351" spans="1:67" x14ac:dyDescent="0.25">
      <c r="A1351" s="39"/>
      <c r="B1351" s="40"/>
      <c r="U1351" s="36"/>
      <c r="V1351" s="36"/>
      <c r="W1351" s="35"/>
      <c r="X1351" s="7"/>
      <c r="Y1351" s="7"/>
      <c r="Z1351" s="7"/>
      <c r="AA1351" s="7"/>
      <c r="AB1351" s="7"/>
      <c r="AC1351" s="7"/>
      <c r="AD1351" s="7"/>
      <c r="AE1351" s="7"/>
      <c r="AG1351" s="36"/>
      <c r="AH1351" s="36"/>
      <c r="AI1351" s="35"/>
      <c r="AJ1351" s="7"/>
      <c r="AK1351" s="7"/>
      <c r="AL1351" s="7"/>
      <c r="AM1351" s="7"/>
      <c r="AN1351" s="7"/>
      <c r="AO1351" s="7"/>
      <c r="AP1351" s="7"/>
      <c r="AQ1351" s="7"/>
      <c r="AS1351" s="36"/>
      <c r="AT1351" s="36"/>
      <c r="AU1351" s="35"/>
      <c r="AV1351" s="7"/>
      <c r="AW1351" s="7"/>
      <c r="AX1351" s="7"/>
      <c r="AY1351" s="7"/>
      <c r="AZ1351" s="7"/>
      <c r="BA1351" s="7"/>
      <c r="BB1351" s="7"/>
      <c r="BC1351" s="7"/>
      <c r="BF1351" s="7"/>
      <c r="BG1351" s="36"/>
      <c r="BH1351" s="36"/>
      <c r="BI1351" s="36"/>
      <c r="BJ1351" s="36"/>
      <c r="BK1351" s="36"/>
      <c r="BL1351" s="36"/>
      <c r="BM1351" s="36"/>
      <c r="BN1351" s="36"/>
      <c r="BO1351" s="36"/>
    </row>
    <row r="1352" spans="1:67" x14ac:dyDescent="0.25">
      <c r="A1352" s="39"/>
      <c r="B1352" s="40"/>
      <c r="U1352" s="36"/>
      <c r="V1352" s="36"/>
      <c r="W1352" s="35"/>
      <c r="X1352" s="7"/>
      <c r="Y1352" s="7"/>
      <c r="Z1352" s="7"/>
      <c r="AA1352" s="7"/>
      <c r="AB1352" s="7"/>
      <c r="AC1352" s="7"/>
      <c r="AD1352" s="7"/>
      <c r="AE1352" s="7"/>
      <c r="AG1352" s="36"/>
      <c r="AH1352" s="36"/>
      <c r="AI1352" s="35"/>
      <c r="AJ1352" s="7"/>
      <c r="AK1352" s="7"/>
      <c r="AL1352" s="7"/>
      <c r="AM1352" s="7"/>
      <c r="AN1352" s="7"/>
      <c r="AO1352" s="7"/>
      <c r="AP1352" s="7"/>
      <c r="AQ1352" s="7"/>
      <c r="AS1352" s="36"/>
      <c r="AT1352" s="36"/>
      <c r="AU1352" s="35"/>
      <c r="AV1352" s="7"/>
      <c r="AW1352" s="7"/>
      <c r="AX1352" s="7"/>
      <c r="AY1352" s="7"/>
      <c r="AZ1352" s="7"/>
      <c r="BA1352" s="7"/>
      <c r="BB1352" s="7"/>
      <c r="BC1352" s="7"/>
      <c r="BF1352" s="7"/>
      <c r="BG1352" s="36"/>
      <c r="BH1352" s="36"/>
      <c r="BI1352" s="36"/>
      <c r="BJ1352" s="36"/>
      <c r="BK1352" s="36"/>
      <c r="BL1352" s="36"/>
      <c r="BM1352" s="36"/>
      <c r="BN1352" s="36"/>
      <c r="BO1352" s="36"/>
    </row>
    <row r="1353" spans="1:67" x14ac:dyDescent="0.25">
      <c r="A1353" s="39"/>
      <c r="B1353" s="40"/>
      <c r="U1353" s="36"/>
      <c r="V1353" s="36"/>
      <c r="W1353" s="35"/>
      <c r="X1353" s="7"/>
      <c r="Y1353" s="7"/>
      <c r="Z1353" s="7"/>
      <c r="AA1353" s="7"/>
      <c r="AB1353" s="7"/>
      <c r="AC1353" s="7"/>
      <c r="AD1353" s="7"/>
      <c r="AE1353" s="7"/>
      <c r="AG1353" s="36"/>
      <c r="AH1353" s="36"/>
      <c r="AI1353" s="35"/>
      <c r="AJ1353" s="7"/>
      <c r="AK1353" s="7"/>
      <c r="AL1353" s="7"/>
      <c r="AM1353" s="7"/>
      <c r="AN1353" s="7"/>
      <c r="AO1353" s="7"/>
      <c r="AP1353" s="7"/>
      <c r="AQ1353" s="7"/>
      <c r="AS1353" s="36"/>
      <c r="AT1353" s="36"/>
      <c r="AU1353" s="35"/>
      <c r="AV1353" s="7"/>
      <c r="AW1353" s="7"/>
      <c r="AX1353" s="7"/>
      <c r="AY1353" s="7"/>
      <c r="AZ1353" s="7"/>
      <c r="BA1353" s="7"/>
      <c r="BB1353" s="7"/>
      <c r="BC1353" s="7"/>
      <c r="BF1353" s="7"/>
      <c r="BG1353" s="36"/>
      <c r="BH1353" s="36"/>
      <c r="BI1353" s="36"/>
      <c r="BJ1353" s="36"/>
      <c r="BK1353" s="36"/>
      <c r="BL1353" s="36"/>
      <c r="BM1353" s="36"/>
      <c r="BN1353" s="36"/>
      <c r="BO1353" s="36"/>
    </row>
    <row r="1354" spans="1:67" x14ac:dyDescent="0.25">
      <c r="A1354" s="39"/>
      <c r="B1354" s="40"/>
      <c r="U1354" s="36"/>
      <c r="V1354" s="36"/>
      <c r="W1354" s="35"/>
      <c r="X1354" s="7"/>
      <c r="Y1354" s="7"/>
      <c r="Z1354" s="7"/>
      <c r="AA1354" s="7"/>
      <c r="AB1354" s="7"/>
      <c r="AC1354" s="7"/>
      <c r="AD1354" s="7"/>
      <c r="AE1354" s="7"/>
      <c r="AG1354" s="36"/>
      <c r="AH1354" s="36"/>
      <c r="AI1354" s="35"/>
      <c r="AJ1354" s="7"/>
      <c r="AK1354" s="7"/>
      <c r="AL1354" s="7"/>
      <c r="AM1354" s="7"/>
      <c r="AN1354" s="7"/>
      <c r="AO1354" s="7"/>
      <c r="AP1354" s="7"/>
      <c r="AQ1354" s="7"/>
      <c r="AS1354" s="36"/>
      <c r="AT1354" s="36"/>
      <c r="AU1354" s="35"/>
      <c r="AV1354" s="7"/>
      <c r="AW1354" s="7"/>
      <c r="AX1354" s="7"/>
      <c r="AY1354" s="7"/>
      <c r="AZ1354" s="7"/>
      <c r="BA1354" s="7"/>
      <c r="BB1354" s="7"/>
      <c r="BC1354" s="7"/>
      <c r="BF1354" s="7"/>
      <c r="BG1354" s="36"/>
      <c r="BH1354" s="36"/>
      <c r="BI1354" s="36"/>
      <c r="BJ1354" s="36"/>
      <c r="BK1354" s="36"/>
      <c r="BL1354" s="36"/>
      <c r="BM1354" s="36"/>
      <c r="BN1354" s="36"/>
      <c r="BO1354" s="36"/>
    </row>
    <row r="1355" spans="1:67" x14ac:dyDescent="0.25">
      <c r="A1355" s="39"/>
      <c r="B1355" s="40"/>
      <c r="U1355" s="36"/>
      <c r="V1355" s="36"/>
      <c r="W1355" s="35"/>
      <c r="X1355" s="7"/>
      <c r="Y1355" s="7"/>
      <c r="Z1355" s="7"/>
      <c r="AA1355" s="7"/>
      <c r="AB1355" s="7"/>
      <c r="AC1355" s="7"/>
      <c r="AD1355" s="7"/>
      <c r="AE1355" s="7"/>
      <c r="AG1355" s="36"/>
      <c r="AH1355" s="36"/>
      <c r="AI1355" s="35"/>
      <c r="AJ1355" s="7"/>
      <c r="AK1355" s="7"/>
      <c r="AL1355" s="7"/>
      <c r="AM1355" s="7"/>
      <c r="AN1355" s="7"/>
      <c r="AO1355" s="7"/>
      <c r="AP1355" s="7"/>
      <c r="AQ1355" s="7"/>
      <c r="AS1355" s="36"/>
      <c r="AT1355" s="36"/>
      <c r="AU1355" s="35"/>
      <c r="AV1355" s="7"/>
      <c r="AW1355" s="7"/>
      <c r="AX1355" s="7"/>
      <c r="AY1355" s="7"/>
      <c r="AZ1355" s="7"/>
      <c r="BA1355" s="7"/>
      <c r="BB1355" s="7"/>
      <c r="BC1355" s="7"/>
      <c r="BF1355" s="7"/>
      <c r="BG1355" s="36"/>
      <c r="BH1355" s="36"/>
      <c r="BI1355" s="36"/>
      <c r="BJ1355" s="36"/>
      <c r="BK1355" s="36"/>
      <c r="BL1355" s="36"/>
      <c r="BM1355" s="36"/>
      <c r="BN1355" s="36"/>
      <c r="BO1355" s="36"/>
    </row>
    <row r="1356" spans="1:67" x14ac:dyDescent="0.25">
      <c r="A1356" s="39"/>
      <c r="B1356" s="40"/>
      <c r="U1356" s="36"/>
      <c r="V1356" s="36"/>
      <c r="W1356" s="35"/>
      <c r="X1356" s="7"/>
      <c r="Y1356" s="7"/>
      <c r="Z1356" s="7"/>
      <c r="AA1356" s="7"/>
      <c r="AB1356" s="7"/>
      <c r="AC1356" s="7"/>
      <c r="AD1356" s="7"/>
      <c r="AE1356" s="7"/>
      <c r="AG1356" s="36"/>
      <c r="AH1356" s="36"/>
      <c r="AI1356" s="35"/>
      <c r="AJ1356" s="7"/>
      <c r="AK1356" s="7"/>
      <c r="AL1356" s="7"/>
      <c r="AM1356" s="7"/>
      <c r="AN1356" s="7"/>
      <c r="AO1356" s="7"/>
      <c r="AP1356" s="7"/>
      <c r="AQ1356" s="7"/>
      <c r="AS1356" s="36"/>
      <c r="AT1356" s="36"/>
      <c r="AU1356" s="35"/>
      <c r="AV1356" s="7"/>
      <c r="AW1356" s="7"/>
      <c r="AX1356" s="7"/>
      <c r="AY1356" s="7"/>
      <c r="AZ1356" s="7"/>
      <c r="BA1356" s="7"/>
      <c r="BB1356" s="7"/>
      <c r="BC1356" s="7"/>
      <c r="BF1356" s="7"/>
      <c r="BG1356" s="36"/>
      <c r="BH1356" s="36"/>
      <c r="BI1356" s="36"/>
      <c r="BJ1356" s="36"/>
      <c r="BK1356" s="36"/>
      <c r="BL1356" s="36"/>
      <c r="BM1356" s="36"/>
      <c r="BN1356" s="36"/>
      <c r="BO1356" s="36"/>
    </row>
    <row r="1357" spans="1:67" x14ac:dyDescent="0.25">
      <c r="A1357" s="39"/>
      <c r="B1357" s="40"/>
      <c r="U1357" s="36"/>
      <c r="V1357" s="36"/>
      <c r="W1357" s="35"/>
      <c r="X1357" s="7"/>
      <c r="Y1357" s="7"/>
      <c r="Z1357" s="7"/>
      <c r="AA1357" s="7"/>
      <c r="AB1357" s="7"/>
      <c r="AC1357" s="7"/>
      <c r="AD1357" s="7"/>
      <c r="AE1357" s="7"/>
      <c r="AG1357" s="36"/>
      <c r="AH1357" s="36"/>
      <c r="AI1357" s="35"/>
      <c r="AJ1357" s="7"/>
      <c r="AK1357" s="7"/>
      <c r="AL1357" s="7"/>
      <c r="AM1357" s="7"/>
      <c r="AN1357" s="7"/>
      <c r="AO1357" s="7"/>
      <c r="AP1357" s="7"/>
      <c r="AQ1357" s="7"/>
      <c r="AS1357" s="36"/>
      <c r="AT1357" s="36"/>
      <c r="AU1357" s="35"/>
      <c r="AV1357" s="7"/>
      <c r="AW1357" s="7"/>
      <c r="AX1357" s="7"/>
      <c r="AY1357" s="7"/>
      <c r="AZ1357" s="7"/>
      <c r="BA1357" s="7"/>
      <c r="BB1357" s="7"/>
      <c r="BC1357" s="7"/>
      <c r="BF1357" s="7"/>
      <c r="BG1357" s="36"/>
      <c r="BH1357" s="36"/>
      <c r="BI1357" s="36"/>
      <c r="BJ1357" s="36"/>
      <c r="BK1357" s="36"/>
      <c r="BL1357" s="36"/>
      <c r="BM1357" s="36"/>
      <c r="BN1357" s="36"/>
      <c r="BO1357" s="36"/>
    </row>
    <row r="1358" spans="1:67" x14ac:dyDescent="0.25">
      <c r="A1358" s="39"/>
      <c r="B1358" s="40"/>
      <c r="U1358" s="36"/>
      <c r="V1358" s="36"/>
      <c r="W1358" s="35"/>
      <c r="X1358" s="7"/>
      <c r="Y1358" s="7"/>
      <c r="Z1358" s="7"/>
      <c r="AA1358" s="7"/>
      <c r="AB1358" s="7"/>
      <c r="AC1358" s="7"/>
      <c r="AD1358" s="7"/>
      <c r="AE1358" s="7"/>
      <c r="AG1358" s="36"/>
      <c r="AH1358" s="36"/>
      <c r="AI1358" s="35"/>
      <c r="AJ1358" s="7"/>
      <c r="AK1358" s="7"/>
      <c r="AL1358" s="7"/>
      <c r="AM1358" s="7"/>
      <c r="AN1358" s="7"/>
      <c r="AO1358" s="7"/>
      <c r="AP1358" s="7"/>
      <c r="AQ1358" s="7"/>
      <c r="AS1358" s="36"/>
      <c r="AT1358" s="36"/>
      <c r="AU1358" s="35"/>
      <c r="AV1358" s="7"/>
      <c r="AW1358" s="7"/>
      <c r="AX1358" s="7"/>
      <c r="AY1358" s="7"/>
      <c r="AZ1358" s="7"/>
      <c r="BA1358" s="7"/>
      <c r="BB1358" s="7"/>
      <c r="BC1358" s="7"/>
      <c r="BF1358" s="7"/>
      <c r="BG1358" s="36"/>
      <c r="BH1358" s="36"/>
      <c r="BI1358" s="36"/>
      <c r="BJ1358" s="36"/>
      <c r="BK1358" s="36"/>
      <c r="BL1358" s="36"/>
      <c r="BM1358" s="36"/>
      <c r="BN1358" s="36"/>
      <c r="BO1358" s="36"/>
    </row>
    <row r="1359" spans="1:67" x14ac:dyDescent="0.25">
      <c r="A1359" s="39"/>
      <c r="B1359" s="40"/>
      <c r="U1359" s="36"/>
      <c r="V1359" s="36"/>
      <c r="W1359" s="35"/>
      <c r="X1359" s="7"/>
      <c r="Y1359" s="7"/>
      <c r="Z1359" s="7"/>
      <c r="AA1359" s="7"/>
      <c r="AB1359" s="7"/>
      <c r="AC1359" s="7"/>
      <c r="AD1359" s="7"/>
      <c r="AE1359" s="7"/>
      <c r="AG1359" s="36"/>
      <c r="AH1359" s="36"/>
      <c r="AI1359" s="35"/>
      <c r="AJ1359" s="7"/>
      <c r="AK1359" s="7"/>
      <c r="AL1359" s="7"/>
      <c r="AM1359" s="7"/>
      <c r="AN1359" s="7"/>
      <c r="AO1359" s="7"/>
      <c r="AP1359" s="7"/>
      <c r="AQ1359" s="7"/>
      <c r="AS1359" s="36"/>
      <c r="AT1359" s="36"/>
      <c r="AU1359" s="35"/>
      <c r="AV1359" s="7"/>
      <c r="AW1359" s="7"/>
      <c r="AX1359" s="7"/>
      <c r="AY1359" s="7"/>
      <c r="AZ1359" s="7"/>
      <c r="BA1359" s="7"/>
      <c r="BB1359" s="7"/>
      <c r="BC1359" s="7"/>
      <c r="BF1359" s="7"/>
      <c r="BG1359" s="36"/>
      <c r="BH1359" s="36"/>
      <c r="BI1359" s="36"/>
      <c r="BJ1359" s="36"/>
      <c r="BK1359" s="36"/>
      <c r="BL1359" s="36"/>
      <c r="BM1359" s="36"/>
      <c r="BN1359" s="36"/>
      <c r="BO1359" s="36"/>
    </row>
    <row r="1360" spans="1:67" x14ac:dyDescent="0.25">
      <c r="A1360" s="39"/>
      <c r="B1360" s="40"/>
      <c r="U1360" s="36"/>
      <c r="V1360" s="36"/>
      <c r="W1360" s="35"/>
      <c r="X1360" s="7"/>
      <c r="Y1360" s="7"/>
      <c r="Z1360" s="7"/>
      <c r="AA1360" s="7"/>
      <c r="AB1360" s="7"/>
      <c r="AC1360" s="7"/>
      <c r="AD1360" s="7"/>
      <c r="AE1360" s="7"/>
      <c r="AG1360" s="36"/>
      <c r="AH1360" s="36"/>
      <c r="AI1360" s="35"/>
      <c r="AJ1360" s="7"/>
      <c r="AK1360" s="7"/>
      <c r="AL1360" s="7"/>
      <c r="AM1360" s="7"/>
      <c r="AN1360" s="7"/>
      <c r="AO1360" s="7"/>
      <c r="AP1360" s="7"/>
      <c r="AQ1360" s="7"/>
      <c r="AS1360" s="36"/>
      <c r="AT1360" s="36"/>
      <c r="AU1360" s="35"/>
      <c r="AV1360" s="7"/>
      <c r="AW1360" s="7"/>
      <c r="AX1360" s="7"/>
      <c r="AY1360" s="7"/>
      <c r="AZ1360" s="7"/>
      <c r="BA1360" s="7"/>
      <c r="BB1360" s="7"/>
      <c r="BC1360" s="7"/>
      <c r="BF1360" s="7"/>
      <c r="BG1360" s="36"/>
      <c r="BH1360" s="36"/>
      <c r="BI1360" s="36"/>
      <c r="BJ1360" s="36"/>
      <c r="BK1360" s="36"/>
      <c r="BL1360" s="36"/>
      <c r="BM1360" s="36"/>
      <c r="BN1360" s="36"/>
      <c r="BO1360" s="36"/>
    </row>
    <row r="1361" spans="1:67" x14ac:dyDescent="0.25">
      <c r="A1361" s="39"/>
      <c r="B1361" s="40"/>
      <c r="U1361" s="36"/>
      <c r="V1361" s="36"/>
      <c r="W1361" s="35"/>
      <c r="X1361" s="7"/>
      <c r="Y1361" s="7"/>
      <c r="Z1361" s="7"/>
      <c r="AA1361" s="7"/>
      <c r="AB1361" s="7"/>
      <c r="AC1361" s="7"/>
      <c r="AD1361" s="7"/>
      <c r="AE1361" s="7"/>
      <c r="AG1361" s="36"/>
      <c r="AH1361" s="36"/>
      <c r="AI1361" s="35"/>
      <c r="AJ1361" s="7"/>
      <c r="AK1361" s="7"/>
      <c r="AL1361" s="7"/>
      <c r="AM1361" s="7"/>
      <c r="AN1361" s="7"/>
      <c r="AO1361" s="7"/>
      <c r="AP1361" s="7"/>
      <c r="AQ1361" s="7"/>
      <c r="AS1361" s="36"/>
      <c r="AT1361" s="36"/>
      <c r="AU1361" s="35"/>
      <c r="AV1361" s="7"/>
      <c r="AW1361" s="7"/>
      <c r="AX1361" s="7"/>
      <c r="AY1361" s="7"/>
      <c r="AZ1361" s="7"/>
      <c r="BA1361" s="7"/>
      <c r="BB1361" s="7"/>
      <c r="BC1361" s="7"/>
      <c r="BF1361" s="7"/>
      <c r="BG1361" s="36"/>
      <c r="BH1361" s="36"/>
      <c r="BI1361" s="36"/>
      <c r="BJ1361" s="36"/>
      <c r="BK1361" s="36"/>
      <c r="BL1361" s="36"/>
      <c r="BM1361" s="36"/>
      <c r="BN1361" s="36"/>
      <c r="BO1361" s="36"/>
    </row>
    <row r="1362" spans="1:67" x14ac:dyDescent="0.25">
      <c r="A1362" s="39"/>
      <c r="B1362" s="40"/>
      <c r="U1362" s="36"/>
      <c r="V1362" s="36"/>
      <c r="W1362" s="35"/>
      <c r="X1362" s="7"/>
      <c r="Y1362" s="7"/>
      <c r="Z1362" s="7"/>
      <c r="AA1362" s="7"/>
      <c r="AB1362" s="7"/>
      <c r="AC1362" s="7"/>
      <c r="AD1362" s="7"/>
      <c r="AE1362" s="7"/>
      <c r="AG1362" s="36"/>
      <c r="AH1362" s="36"/>
      <c r="AI1362" s="35"/>
      <c r="AJ1362" s="7"/>
      <c r="AK1362" s="7"/>
      <c r="AL1362" s="7"/>
      <c r="AM1362" s="7"/>
      <c r="AN1362" s="7"/>
      <c r="AO1362" s="7"/>
      <c r="AP1362" s="7"/>
      <c r="AQ1362" s="7"/>
      <c r="AS1362" s="36"/>
      <c r="AT1362" s="36"/>
      <c r="AU1362" s="35"/>
      <c r="AV1362" s="7"/>
      <c r="AW1362" s="7"/>
      <c r="AX1362" s="7"/>
      <c r="AY1362" s="7"/>
      <c r="AZ1362" s="7"/>
      <c r="BA1362" s="7"/>
      <c r="BB1362" s="7"/>
      <c r="BC1362" s="7"/>
      <c r="BF1362" s="7"/>
      <c r="BG1362" s="36"/>
      <c r="BH1362" s="36"/>
      <c r="BI1362" s="36"/>
      <c r="BJ1362" s="36"/>
      <c r="BK1362" s="36"/>
      <c r="BL1362" s="36"/>
      <c r="BM1362" s="36"/>
      <c r="BN1362" s="36"/>
      <c r="BO1362" s="36"/>
    </row>
    <row r="1363" spans="1:67" x14ac:dyDescent="0.25">
      <c r="A1363" s="39"/>
      <c r="B1363" s="40"/>
      <c r="U1363" s="36"/>
      <c r="V1363" s="36"/>
      <c r="W1363" s="35"/>
      <c r="X1363" s="7"/>
      <c r="Y1363" s="7"/>
      <c r="Z1363" s="7"/>
      <c r="AA1363" s="7"/>
      <c r="AB1363" s="7"/>
      <c r="AC1363" s="7"/>
      <c r="AD1363" s="7"/>
      <c r="AE1363" s="7"/>
      <c r="AG1363" s="36"/>
      <c r="AH1363" s="36"/>
      <c r="AI1363" s="35"/>
      <c r="AJ1363" s="7"/>
      <c r="AK1363" s="7"/>
      <c r="AL1363" s="7"/>
      <c r="AM1363" s="7"/>
      <c r="AN1363" s="7"/>
      <c r="AO1363" s="7"/>
      <c r="AP1363" s="7"/>
      <c r="AQ1363" s="7"/>
      <c r="AS1363" s="36"/>
      <c r="AT1363" s="36"/>
      <c r="AU1363" s="35"/>
      <c r="AV1363" s="7"/>
      <c r="AW1363" s="7"/>
      <c r="AX1363" s="7"/>
      <c r="AY1363" s="7"/>
      <c r="AZ1363" s="7"/>
      <c r="BA1363" s="7"/>
      <c r="BB1363" s="7"/>
      <c r="BC1363" s="7"/>
      <c r="BF1363" s="7"/>
      <c r="BG1363" s="36"/>
      <c r="BH1363" s="36"/>
      <c r="BI1363" s="36"/>
      <c r="BJ1363" s="36"/>
      <c r="BK1363" s="36"/>
      <c r="BL1363" s="36"/>
      <c r="BM1363" s="36"/>
      <c r="BN1363" s="36"/>
      <c r="BO1363" s="36"/>
    </row>
    <row r="1364" spans="1:67" x14ac:dyDescent="0.25">
      <c r="A1364" s="39"/>
      <c r="B1364" s="40"/>
      <c r="U1364" s="36"/>
      <c r="V1364" s="36"/>
      <c r="W1364" s="35"/>
      <c r="X1364" s="7"/>
      <c r="Y1364" s="7"/>
      <c r="Z1364" s="7"/>
      <c r="AA1364" s="7"/>
      <c r="AB1364" s="7"/>
      <c r="AC1364" s="7"/>
      <c r="AD1364" s="7"/>
      <c r="AE1364" s="7"/>
      <c r="AG1364" s="36"/>
      <c r="AH1364" s="36"/>
      <c r="AI1364" s="35"/>
      <c r="AJ1364" s="7"/>
      <c r="AK1364" s="7"/>
      <c r="AL1364" s="7"/>
      <c r="AM1364" s="7"/>
      <c r="AN1364" s="7"/>
      <c r="AO1364" s="7"/>
      <c r="AP1364" s="7"/>
      <c r="AQ1364" s="7"/>
      <c r="AS1364" s="36"/>
      <c r="AT1364" s="36"/>
      <c r="AU1364" s="35"/>
      <c r="AV1364" s="7"/>
      <c r="AW1364" s="7"/>
      <c r="AX1364" s="7"/>
      <c r="AY1364" s="7"/>
      <c r="AZ1364" s="7"/>
      <c r="BA1364" s="7"/>
      <c r="BB1364" s="7"/>
      <c r="BC1364" s="7"/>
      <c r="BF1364" s="7"/>
      <c r="BG1364" s="36"/>
      <c r="BH1364" s="36"/>
      <c r="BI1364" s="36"/>
      <c r="BJ1364" s="36"/>
      <c r="BK1364" s="36"/>
      <c r="BL1364" s="36"/>
      <c r="BM1364" s="36"/>
      <c r="BN1364" s="36"/>
      <c r="BO1364" s="36"/>
    </row>
    <row r="1365" spans="1:67" x14ac:dyDescent="0.25">
      <c r="A1365" s="39"/>
      <c r="B1365" s="40"/>
      <c r="U1365" s="36"/>
      <c r="V1365" s="36"/>
      <c r="W1365" s="35"/>
      <c r="X1365" s="7"/>
      <c r="Y1365" s="7"/>
      <c r="Z1365" s="7"/>
      <c r="AA1365" s="7"/>
      <c r="AB1365" s="7"/>
      <c r="AC1365" s="7"/>
      <c r="AD1365" s="7"/>
      <c r="AE1365" s="7"/>
      <c r="AG1365" s="36"/>
      <c r="AH1365" s="36"/>
      <c r="AI1365" s="35"/>
      <c r="AJ1365" s="7"/>
      <c r="AK1365" s="7"/>
      <c r="AL1365" s="7"/>
      <c r="AM1365" s="7"/>
      <c r="AN1365" s="7"/>
      <c r="AO1365" s="7"/>
      <c r="AP1365" s="7"/>
      <c r="AQ1365" s="7"/>
      <c r="AS1365" s="36"/>
      <c r="AT1365" s="36"/>
      <c r="AU1365" s="35"/>
      <c r="AV1365" s="7"/>
      <c r="AW1365" s="7"/>
      <c r="AX1365" s="7"/>
      <c r="AY1365" s="7"/>
      <c r="AZ1365" s="7"/>
      <c r="BA1365" s="7"/>
      <c r="BB1365" s="7"/>
      <c r="BC1365" s="7"/>
      <c r="BF1365" s="7"/>
      <c r="BG1365" s="36"/>
      <c r="BH1365" s="36"/>
      <c r="BI1365" s="36"/>
      <c r="BJ1365" s="36"/>
      <c r="BK1365" s="36"/>
      <c r="BL1365" s="36"/>
      <c r="BM1365" s="36"/>
      <c r="BN1365" s="36"/>
      <c r="BO1365" s="36"/>
    </row>
    <row r="1366" spans="1:67" x14ac:dyDescent="0.25">
      <c r="A1366" s="39"/>
      <c r="B1366" s="40"/>
      <c r="U1366" s="36"/>
      <c r="V1366" s="36"/>
      <c r="W1366" s="35"/>
      <c r="X1366" s="7"/>
      <c r="Y1366" s="7"/>
      <c r="Z1366" s="7"/>
      <c r="AA1366" s="7"/>
      <c r="AB1366" s="7"/>
      <c r="AC1366" s="7"/>
      <c r="AD1366" s="7"/>
      <c r="AE1366" s="7"/>
      <c r="AG1366" s="36"/>
      <c r="AH1366" s="36"/>
      <c r="AI1366" s="35"/>
      <c r="AJ1366" s="7"/>
      <c r="AK1366" s="7"/>
      <c r="AL1366" s="7"/>
      <c r="AM1366" s="7"/>
      <c r="AN1366" s="7"/>
      <c r="AO1366" s="7"/>
      <c r="AP1366" s="7"/>
      <c r="AQ1366" s="7"/>
      <c r="AS1366" s="36"/>
      <c r="AT1366" s="36"/>
      <c r="AU1366" s="35"/>
      <c r="AV1366" s="7"/>
      <c r="AW1366" s="7"/>
      <c r="AX1366" s="7"/>
      <c r="AY1366" s="7"/>
      <c r="AZ1366" s="7"/>
      <c r="BA1366" s="7"/>
      <c r="BB1366" s="7"/>
      <c r="BC1366" s="7"/>
      <c r="BF1366" s="7"/>
      <c r="BG1366" s="36"/>
      <c r="BH1366" s="36"/>
      <c r="BI1366" s="36"/>
      <c r="BJ1366" s="36"/>
      <c r="BK1366" s="36"/>
      <c r="BL1366" s="36"/>
      <c r="BM1366" s="36"/>
      <c r="BN1366" s="36"/>
      <c r="BO1366" s="36"/>
    </row>
    <row r="1367" spans="1:67" x14ac:dyDescent="0.25">
      <c r="A1367" s="39"/>
      <c r="B1367" s="40"/>
      <c r="U1367" s="36"/>
      <c r="V1367" s="36"/>
      <c r="W1367" s="35"/>
      <c r="X1367" s="7"/>
      <c r="Y1367" s="7"/>
      <c r="Z1367" s="7"/>
      <c r="AA1367" s="7"/>
      <c r="AB1367" s="7"/>
      <c r="AC1367" s="7"/>
      <c r="AD1367" s="7"/>
      <c r="AE1367" s="7"/>
      <c r="AG1367" s="36"/>
      <c r="AH1367" s="36"/>
      <c r="AI1367" s="35"/>
      <c r="AJ1367" s="7"/>
      <c r="AK1367" s="7"/>
      <c r="AL1367" s="7"/>
      <c r="AM1367" s="7"/>
      <c r="AN1367" s="7"/>
      <c r="AO1367" s="7"/>
      <c r="AP1367" s="7"/>
      <c r="AQ1367" s="7"/>
      <c r="AS1367" s="36"/>
      <c r="AT1367" s="36"/>
      <c r="AU1367" s="35"/>
      <c r="AV1367" s="7"/>
      <c r="AW1367" s="7"/>
      <c r="AX1367" s="7"/>
      <c r="AY1367" s="7"/>
      <c r="AZ1367" s="7"/>
      <c r="BA1367" s="7"/>
      <c r="BB1367" s="7"/>
      <c r="BC1367" s="7"/>
      <c r="BF1367" s="7"/>
      <c r="BG1367" s="36"/>
      <c r="BH1367" s="36"/>
      <c r="BI1367" s="36"/>
      <c r="BJ1367" s="36"/>
      <c r="BK1367" s="36"/>
      <c r="BL1367" s="36"/>
      <c r="BM1367" s="36"/>
      <c r="BN1367" s="36"/>
      <c r="BO1367" s="36"/>
    </row>
    <row r="1368" spans="1:67" x14ac:dyDescent="0.25">
      <c r="A1368" s="39"/>
      <c r="B1368" s="40"/>
      <c r="U1368" s="36"/>
      <c r="V1368" s="36"/>
      <c r="W1368" s="35"/>
      <c r="X1368" s="7"/>
      <c r="Y1368" s="7"/>
      <c r="Z1368" s="7"/>
      <c r="AA1368" s="7"/>
      <c r="AB1368" s="7"/>
      <c r="AC1368" s="7"/>
      <c r="AD1368" s="7"/>
      <c r="AE1368" s="7"/>
      <c r="AG1368" s="36"/>
      <c r="AH1368" s="36"/>
      <c r="AI1368" s="35"/>
      <c r="AJ1368" s="7"/>
      <c r="AK1368" s="7"/>
      <c r="AL1368" s="7"/>
      <c r="AM1368" s="7"/>
      <c r="AN1368" s="7"/>
      <c r="AO1368" s="7"/>
      <c r="AP1368" s="7"/>
      <c r="AQ1368" s="7"/>
      <c r="AS1368" s="36"/>
      <c r="AT1368" s="36"/>
      <c r="AU1368" s="35"/>
      <c r="AV1368" s="7"/>
      <c r="AW1368" s="7"/>
      <c r="AX1368" s="7"/>
      <c r="AY1368" s="7"/>
      <c r="AZ1368" s="7"/>
      <c r="BA1368" s="7"/>
      <c r="BB1368" s="7"/>
      <c r="BC1368" s="7"/>
      <c r="BF1368" s="7"/>
      <c r="BG1368" s="36"/>
      <c r="BH1368" s="36"/>
      <c r="BI1368" s="36"/>
      <c r="BJ1368" s="36"/>
      <c r="BK1368" s="36"/>
      <c r="BL1368" s="36"/>
      <c r="BM1368" s="36"/>
      <c r="BN1368" s="36"/>
      <c r="BO1368" s="36"/>
    </row>
    <row r="1369" spans="1:67" x14ac:dyDescent="0.25">
      <c r="A1369" s="39"/>
      <c r="B1369" s="40"/>
      <c r="U1369" s="36"/>
      <c r="V1369" s="36"/>
      <c r="W1369" s="35"/>
      <c r="X1369" s="7"/>
      <c r="Y1369" s="7"/>
      <c r="Z1369" s="7"/>
      <c r="AA1369" s="7"/>
      <c r="AB1369" s="7"/>
      <c r="AC1369" s="7"/>
      <c r="AD1369" s="7"/>
      <c r="AE1369" s="7"/>
      <c r="AG1369" s="36"/>
      <c r="AH1369" s="36"/>
      <c r="AI1369" s="35"/>
      <c r="AJ1369" s="7"/>
      <c r="AK1369" s="7"/>
      <c r="AL1369" s="7"/>
      <c r="AM1369" s="7"/>
      <c r="AN1369" s="7"/>
      <c r="AO1369" s="7"/>
      <c r="AP1369" s="7"/>
      <c r="AQ1369" s="7"/>
      <c r="AS1369" s="36"/>
      <c r="AT1369" s="36"/>
      <c r="AU1369" s="35"/>
      <c r="AV1369" s="7"/>
      <c r="AW1369" s="7"/>
      <c r="AX1369" s="7"/>
      <c r="AY1369" s="7"/>
      <c r="AZ1369" s="7"/>
      <c r="BA1369" s="7"/>
      <c r="BB1369" s="7"/>
      <c r="BC1369" s="7"/>
      <c r="BF1369" s="7"/>
      <c r="BG1369" s="36"/>
      <c r="BH1369" s="36"/>
      <c r="BI1369" s="36"/>
      <c r="BJ1369" s="36"/>
      <c r="BK1369" s="36"/>
      <c r="BL1369" s="36"/>
      <c r="BM1369" s="36"/>
      <c r="BN1369" s="36"/>
      <c r="BO1369" s="36"/>
    </row>
    <row r="1370" spans="1:67" x14ac:dyDescent="0.25">
      <c r="A1370" s="39"/>
      <c r="B1370" s="40"/>
      <c r="U1370" s="36"/>
      <c r="V1370" s="36"/>
      <c r="W1370" s="35"/>
      <c r="X1370" s="7"/>
      <c r="Y1370" s="7"/>
      <c r="Z1370" s="7"/>
      <c r="AA1370" s="7"/>
      <c r="AB1370" s="7"/>
      <c r="AC1370" s="7"/>
      <c r="AD1370" s="7"/>
      <c r="AE1370" s="7"/>
      <c r="AG1370" s="36"/>
      <c r="AH1370" s="36"/>
      <c r="AI1370" s="35"/>
      <c r="AJ1370" s="7"/>
      <c r="AK1370" s="7"/>
      <c r="AL1370" s="7"/>
      <c r="AM1370" s="7"/>
      <c r="AN1370" s="7"/>
      <c r="AO1370" s="7"/>
      <c r="AP1370" s="7"/>
      <c r="AQ1370" s="7"/>
      <c r="AS1370" s="36"/>
      <c r="AT1370" s="36"/>
      <c r="AU1370" s="35"/>
      <c r="AV1370" s="7"/>
      <c r="AW1370" s="7"/>
      <c r="AX1370" s="7"/>
      <c r="AY1370" s="7"/>
      <c r="AZ1370" s="7"/>
      <c r="BA1370" s="7"/>
      <c r="BB1370" s="7"/>
      <c r="BC1370" s="7"/>
      <c r="BF1370" s="7"/>
      <c r="BG1370" s="36"/>
      <c r="BH1370" s="36"/>
      <c r="BI1370" s="36"/>
      <c r="BJ1370" s="36"/>
      <c r="BK1370" s="36"/>
      <c r="BL1370" s="36"/>
      <c r="BM1370" s="36"/>
      <c r="BN1370" s="36"/>
      <c r="BO1370" s="36"/>
    </row>
    <row r="1371" spans="1:67" x14ac:dyDescent="0.25">
      <c r="A1371" s="39"/>
      <c r="B1371" s="40"/>
      <c r="U1371" s="36"/>
      <c r="V1371" s="36"/>
      <c r="W1371" s="35"/>
      <c r="X1371" s="7"/>
      <c r="Y1371" s="7"/>
      <c r="Z1371" s="7"/>
      <c r="AA1371" s="7"/>
      <c r="AB1371" s="7"/>
      <c r="AC1371" s="7"/>
      <c r="AD1371" s="7"/>
      <c r="AE1371" s="7"/>
      <c r="AG1371" s="36"/>
      <c r="AH1371" s="36"/>
      <c r="AI1371" s="35"/>
      <c r="AJ1371" s="7"/>
      <c r="AK1371" s="7"/>
      <c r="AL1371" s="7"/>
      <c r="AM1371" s="7"/>
      <c r="AN1371" s="7"/>
      <c r="AO1371" s="7"/>
      <c r="AP1371" s="7"/>
      <c r="AQ1371" s="7"/>
      <c r="AS1371" s="36"/>
      <c r="AT1371" s="36"/>
      <c r="AU1371" s="35"/>
      <c r="AV1371" s="7"/>
      <c r="AW1371" s="7"/>
      <c r="AX1371" s="7"/>
      <c r="AY1371" s="7"/>
      <c r="AZ1371" s="7"/>
      <c r="BA1371" s="7"/>
      <c r="BB1371" s="7"/>
      <c r="BC1371" s="7"/>
      <c r="BF1371" s="7"/>
      <c r="BG1371" s="36"/>
      <c r="BH1371" s="36"/>
      <c r="BI1371" s="36"/>
      <c r="BJ1371" s="36"/>
      <c r="BK1371" s="36"/>
      <c r="BL1371" s="36"/>
      <c r="BM1371" s="36"/>
      <c r="BN1371" s="36"/>
      <c r="BO1371" s="36"/>
    </row>
    <row r="1372" spans="1:67" x14ac:dyDescent="0.25">
      <c r="A1372" s="39"/>
      <c r="B1372" s="40"/>
      <c r="U1372" s="36"/>
      <c r="V1372" s="36"/>
      <c r="W1372" s="35"/>
      <c r="X1372" s="7"/>
      <c r="Y1372" s="7"/>
      <c r="Z1372" s="7"/>
      <c r="AA1372" s="7"/>
      <c r="AB1372" s="7"/>
      <c r="AC1372" s="7"/>
      <c r="AD1372" s="7"/>
      <c r="AE1372" s="7"/>
      <c r="AG1372" s="36"/>
      <c r="AH1372" s="36"/>
      <c r="AI1372" s="35"/>
      <c r="AJ1372" s="7"/>
      <c r="AK1372" s="7"/>
      <c r="AL1372" s="7"/>
      <c r="AM1372" s="7"/>
      <c r="AN1372" s="7"/>
      <c r="AO1372" s="7"/>
      <c r="AP1372" s="7"/>
      <c r="AQ1372" s="7"/>
      <c r="AS1372" s="36"/>
      <c r="AT1372" s="36"/>
      <c r="AU1372" s="35"/>
      <c r="AV1372" s="7"/>
      <c r="AW1372" s="7"/>
      <c r="AX1372" s="7"/>
      <c r="AY1372" s="7"/>
      <c r="AZ1372" s="7"/>
      <c r="BA1372" s="7"/>
      <c r="BB1372" s="7"/>
      <c r="BC1372" s="7"/>
      <c r="BF1372" s="7"/>
      <c r="BG1372" s="36"/>
      <c r="BH1372" s="36"/>
      <c r="BI1372" s="36"/>
      <c r="BJ1372" s="36"/>
      <c r="BK1372" s="36"/>
      <c r="BL1372" s="36"/>
      <c r="BM1372" s="36"/>
      <c r="BN1372" s="36"/>
      <c r="BO1372" s="36"/>
    </row>
    <row r="1373" spans="1:67" x14ac:dyDescent="0.25">
      <c r="A1373" s="39"/>
      <c r="B1373" s="40"/>
      <c r="U1373" s="36"/>
      <c r="V1373" s="36"/>
      <c r="W1373" s="35"/>
      <c r="X1373" s="7"/>
      <c r="Y1373" s="7"/>
      <c r="Z1373" s="7"/>
      <c r="AA1373" s="7"/>
      <c r="AB1373" s="7"/>
      <c r="AC1373" s="7"/>
      <c r="AD1373" s="7"/>
      <c r="AE1373" s="7"/>
      <c r="AG1373" s="36"/>
      <c r="AH1373" s="36"/>
      <c r="AI1373" s="35"/>
      <c r="AJ1373" s="7"/>
      <c r="AK1373" s="7"/>
      <c r="AL1373" s="7"/>
      <c r="AM1373" s="7"/>
      <c r="AN1373" s="7"/>
      <c r="AO1373" s="7"/>
      <c r="AP1373" s="7"/>
      <c r="AQ1373" s="7"/>
      <c r="AS1373" s="36"/>
      <c r="AT1373" s="36"/>
      <c r="AU1373" s="35"/>
      <c r="AV1373" s="7"/>
      <c r="AW1373" s="7"/>
      <c r="AX1373" s="7"/>
      <c r="AY1373" s="7"/>
      <c r="AZ1373" s="7"/>
      <c r="BA1373" s="7"/>
      <c r="BB1373" s="7"/>
      <c r="BC1373" s="7"/>
      <c r="BF1373" s="7"/>
      <c r="BG1373" s="36"/>
      <c r="BH1373" s="36"/>
      <c r="BI1373" s="36"/>
      <c r="BJ1373" s="36"/>
      <c r="BK1373" s="36"/>
      <c r="BL1373" s="36"/>
      <c r="BM1373" s="36"/>
      <c r="BN1373" s="36"/>
      <c r="BO1373" s="36"/>
    </row>
    <row r="1374" spans="1:67" x14ac:dyDescent="0.25">
      <c r="A1374" s="39"/>
      <c r="B1374" s="40"/>
      <c r="U1374" s="36"/>
      <c r="V1374" s="36"/>
      <c r="W1374" s="35"/>
      <c r="X1374" s="7"/>
      <c r="Y1374" s="7"/>
      <c r="Z1374" s="7"/>
      <c r="AA1374" s="7"/>
      <c r="AB1374" s="7"/>
      <c r="AC1374" s="7"/>
      <c r="AD1374" s="7"/>
      <c r="AE1374" s="7"/>
      <c r="AG1374" s="36"/>
      <c r="AH1374" s="36"/>
      <c r="AI1374" s="35"/>
      <c r="AJ1374" s="7"/>
      <c r="AK1374" s="7"/>
      <c r="AL1374" s="7"/>
      <c r="AM1374" s="7"/>
      <c r="AN1374" s="7"/>
      <c r="AO1374" s="7"/>
      <c r="AP1374" s="7"/>
      <c r="AQ1374" s="7"/>
      <c r="AS1374" s="36"/>
      <c r="AT1374" s="36"/>
      <c r="AU1374" s="35"/>
      <c r="AV1374" s="7"/>
      <c r="AW1374" s="7"/>
      <c r="AX1374" s="7"/>
      <c r="AY1374" s="7"/>
      <c r="AZ1374" s="7"/>
      <c r="BA1374" s="7"/>
      <c r="BB1374" s="7"/>
      <c r="BC1374" s="7"/>
      <c r="BF1374" s="7"/>
      <c r="BG1374" s="36"/>
      <c r="BH1374" s="36"/>
      <c r="BI1374" s="36"/>
      <c r="BJ1374" s="36"/>
      <c r="BK1374" s="36"/>
      <c r="BL1374" s="36"/>
      <c r="BM1374" s="36"/>
      <c r="BN1374" s="36"/>
      <c r="BO1374" s="36"/>
    </row>
    <row r="1375" spans="1:67" x14ac:dyDescent="0.25">
      <c r="A1375" s="39"/>
      <c r="B1375" s="40"/>
      <c r="U1375" s="36"/>
      <c r="V1375" s="36"/>
      <c r="W1375" s="35"/>
      <c r="X1375" s="7"/>
      <c r="Y1375" s="7"/>
      <c r="Z1375" s="7"/>
      <c r="AA1375" s="7"/>
      <c r="AB1375" s="7"/>
      <c r="AC1375" s="7"/>
      <c r="AD1375" s="7"/>
      <c r="AE1375" s="7"/>
      <c r="AG1375" s="36"/>
      <c r="AH1375" s="36"/>
      <c r="AI1375" s="35"/>
      <c r="AJ1375" s="7"/>
      <c r="AK1375" s="7"/>
      <c r="AL1375" s="7"/>
      <c r="AM1375" s="7"/>
      <c r="AN1375" s="7"/>
      <c r="AO1375" s="7"/>
      <c r="AP1375" s="7"/>
      <c r="AQ1375" s="7"/>
      <c r="AS1375" s="36"/>
      <c r="AT1375" s="36"/>
      <c r="AU1375" s="35"/>
      <c r="AV1375" s="7"/>
      <c r="AW1375" s="7"/>
      <c r="AX1375" s="7"/>
      <c r="AY1375" s="7"/>
      <c r="AZ1375" s="7"/>
      <c r="BA1375" s="7"/>
      <c r="BB1375" s="7"/>
      <c r="BC1375" s="7"/>
      <c r="BF1375" s="7"/>
      <c r="BG1375" s="36"/>
      <c r="BH1375" s="36"/>
      <c r="BI1375" s="36"/>
      <c r="BJ1375" s="36"/>
      <c r="BK1375" s="36"/>
      <c r="BL1375" s="36"/>
      <c r="BM1375" s="36"/>
      <c r="BN1375" s="36"/>
      <c r="BO1375" s="36"/>
    </row>
    <row r="1376" spans="1:67" x14ac:dyDescent="0.25">
      <c r="A1376" s="39"/>
      <c r="B1376" s="40"/>
      <c r="U1376" s="36"/>
      <c r="V1376" s="36"/>
      <c r="W1376" s="35"/>
      <c r="X1376" s="7"/>
      <c r="Y1376" s="7"/>
      <c r="Z1376" s="7"/>
      <c r="AA1376" s="7"/>
      <c r="AB1376" s="7"/>
      <c r="AC1376" s="7"/>
      <c r="AD1376" s="7"/>
      <c r="AE1376" s="7"/>
      <c r="AG1376" s="36"/>
      <c r="AH1376" s="36"/>
      <c r="AI1376" s="35"/>
      <c r="AJ1376" s="7"/>
      <c r="AK1376" s="7"/>
      <c r="AL1376" s="7"/>
      <c r="AM1376" s="7"/>
      <c r="AN1376" s="7"/>
      <c r="AO1376" s="7"/>
      <c r="AP1376" s="7"/>
      <c r="AQ1376" s="7"/>
      <c r="AS1376" s="36"/>
      <c r="AT1376" s="36"/>
      <c r="AU1376" s="35"/>
      <c r="AV1376" s="7"/>
      <c r="AW1376" s="7"/>
      <c r="AX1376" s="7"/>
      <c r="AY1376" s="7"/>
      <c r="AZ1376" s="7"/>
      <c r="BA1376" s="7"/>
      <c r="BB1376" s="7"/>
      <c r="BC1376" s="7"/>
      <c r="BF1376" s="7"/>
      <c r="BG1376" s="36"/>
      <c r="BH1376" s="36"/>
      <c r="BI1376" s="36"/>
      <c r="BJ1376" s="36"/>
      <c r="BK1376" s="36"/>
      <c r="BL1376" s="36"/>
      <c r="BM1376" s="36"/>
      <c r="BN1376" s="36"/>
      <c r="BO1376" s="36"/>
    </row>
    <row r="1377" spans="1:67" x14ac:dyDescent="0.25">
      <c r="A1377" s="39"/>
      <c r="B1377" s="40"/>
      <c r="U1377" s="36"/>
      <c r="V1377" s="36"/>
      <c r="W1377" s="35"/>
      <c r="X1377" s="7"/>
      <c r="Y1377" s="7"/>
      <c r="Z1377" s="7"/>
      <c r="AA1377" s="7"/>
      <c r="AB1377" s="7"/>
      <c r="AC1377" s="7"/>
      <c r="AD1377" s="7"/>
      <c r="AE1377" s="7"/>
      <c r="AG1377" s="36"/>
      <c r="AH1377" s="36"/>
      <c r="AI1377" s="35"/>
      <c r="AJ1377" s="7"/>
      <c r="AK1377" s="7"/>
      <c r="AL1377" s="7"/>
      <c r="AM1377" s="7"/>
      <c r="AN1377" s="7"/>
      <c r="AO1377" s="7"/>
      <c r="AP1377" s="7"/>
      <c r="AQ1377" s="7"/>
      <c r="AS1377" s="36"/>
      <c r="AT1377" s="36"/>
      <c r="AU1377" s="35"/>
      <c r="AV1377" s="7"/>
      <c r="AW1377" s="7"/>
      <c r="AX1377" s="7"/>
      <c r="AY1377" s="7"/>
      <c r="AZ1377" s="7"/>
      <c r="BA1377" s="7"/>
      <c r="BB1377" s="7"/>
      <c r="BC1377" s="7"/>
      <c r="BF1377" s="7"/>
      <c r="BG1377" s="36"/>
      <c r="BH1377" s="36"/>
      <c r="BI1377" s="36"/>
      <c r="BJ1377" s="36"/>
      <c r="BK1377" s="36"/>
      <c r="BL1377" s="36"/>
      <c r="BM1377" s="36"/>
      <c r="BN1377" s="36"/>
      <c r="BO1377" s="36"/>
    </row>
    <row r="1378" spans="1:67" x14ac:dyDescent="0.25">
      <c r="A1378" s="39"/>
      <c r="B1378" s="40"/>
      <c r="U1378" s="36"/>
      <c r="V1378" s="36"/>
      <c r="W1378" s="35"/>
      <c r="X1378" s="7"/>
      <c r="Y1378" s="7"/>
      <c r="Z1378" s="7"/>
      <c r="AA1378" s="7"/>
      <c r="AB1378" s="7"/>
      <c r="AC1378" s="7"/>
      <c r="AD1378" s="7"/>
      <c r="AE1378" s="7"/>
      <c r="AG1378" s="36"/>
      <c r="AH1378" s="36"/>
      <c r="AI1378" s="35"/>
      <c r="AJ1378" s="7"/>
      <c r="AK1378" s="7"/>
      <c r="AL1378" s="7"/>
      <c r="AM1378" s="7"/>
      <c r="AN1378" s="7"/>
      <c r="AO1378" s="7"/>
      <c r="AP1378" s="7"/>
      <c r="AQ1378" s="7"/>
      <c r="AS1378" s="36"/>
      <c r="AT1378" s="36"/>
      <c r="AU1378" s="35"/>
      <c r="AV1378" s="7"/>
      <c r="AW1378" s="7"/>
      <c r="AX1378" s="7"/>
      <c r="AY1378" s="7"/>
      <c r="AZ1378" s="7"/>
      <c r="BA1378" s="7"/>
      <c r="BB1378" s="7"/>
      <c r="BC1378" s="7"/>
      <c r="BF1378" s="7"/>
      <c r="BG1378" s="36"/>
      <c r="BH1378" s="36"/>
      <c r="BI1378" s="36"/>
      <c r="BJ1378" s="36"/>
      <c r="BK1378" s="36"/>
      <c r="BL1378" s="36"/>
      <c r="BM1378" s="36"/>
      <c r="BN1378" s="36"/>
      <c r="BO1378" s="36"/>
    </row>
    <row r="1379" spans="1:67" x14ac:dyDescent="0.25">
      <c r="A1379" s="39"/>
      <c r="B1379" s="40"/>
      <c r="U1379" s="36"/>
      <c r="V1379" s="36"/>
      <c r="W1379" s="35"/>
      <c r="X1379" s="7"/>
      <c r="Y1379" s="7"/>
      <c r="Z1379" s="7"/>
      <c r="AA1379" s="7"/>
      <c r="AB1379" s="7"/>
      <c r="AC1379" s="7"/>
      <c r="AD1379" s="7"/>
      <c r="AE1379" s="7"/>
      <c r="AG1379" s="36"/>
      <c r="AH1379" s="36"/>
      <c r="AI1379" s="35"/>
      <c r="AJ1379" s="7"/>
      <c r="AK1379" s="7"/>
      <c r="AL1379" s="7"/>
      <c r="AM1379" s="7"/>
      <c r="AN1379" s="7"/>
      <c r="AO1379" s="7"/>
      <c r="AP1379" s="7"/>
      <c r="AQ1379" s="7"/>
      <c r="AS1379" s="36"/>
      <c r="AT1379" s="36"/>
      <c r="AU1379" s="35"/>
      <c r="AV1379" s="7"/>
      <c r="AW1379" s="7"/>
      <c r="AX1379" s="7"/>
      <c r="AY1379" s="7"/>
      <c r="AZ1379" s="7"/>
      <c r="BA1379" s="7"/>
      <c r="BB1379" s="7"/>
      <c r="BC1379" s="7"/>
      <c r="BF1379" s="7"/>
      <c r="BG1379" s="36"/>
      <c r="BH1379" s="36"/>
      <c r="BI1379" s="36"/>
      <c r="BJ1379" s="36"/>
      <c r="BK1379" s="36"/>
      <c r="BL1379" s="36"/>
      <c r="BM1379" s="36"/>
      <c r="BN1379" s="36"/>
      <c r="BO1379" s="36"/>
    </row>
    <row r="1380" spans="1:67" x14ac:dyDescent="0.25">
      <c r="A1380" s="39"/>
      <c r="B1380" s="40"/>
      <c r="U1380" s="36"/>
      <c r="V1380" s="36"/>
      <c r="W1380" s="35"/>
      <c r="X1380" s="7"/>
      <c r="Y1380" s="7"/>
      <c r="Z1380" s="7"/>
      <c r="AA1380" s="7"/>
      <c r="AB1380" s="7"/>
      <c r="AC1380" s="7"/>
      <c r="AD1380" s="7"/>
      <c r="AE1380" s="7"/>
      <c r="AG1380" s="36"/>
      <c r="AH1380" s="36"/>
      <c r="AI1380" s="35"/>
      <c r="AJ1380" s="7"/>
      <c r="AK1380" s="7"/>
      <c r="AL1380" s="7"/>
      <c r="AM1380" s="7"/>
      <c r="AN1380" s="7"/>
      <c r="AO1380" s="7"/>
      <c r="AP1380" s="7"/>
      <c r="AQ1380" s="7"/>
      <c r="AS1380" s="36"/>
      <c r="AT1380" s="36"/>
      <c r="AU1380" s="35"/>
      <c r="AV1380" s="7"/>
      <c r="AW1380" s="7"/>
      <c r="AX1380" s="7"/>
      <c r="AY1380" s="7"/>
      <c r="AZ1380" s="7"/>
      <c r="BA1380" s="7"/>
      <c r="BB1380" s="7"/>
      <c r="BC1380" s="7"/>
      <c r="BF1380" s="7"/>
      <c r="BG1380" s="36"/>
      <c r="BH1380" s="36"/>
      <c r="BI1380" s="36"/>
      <c r="BJ1380" s="36"/>
      <c r="BK1380" s="36"/>
      <c r="BL1380" s="36"/>
      <c r="BM1380" s="36"/>
      <c r="BN1380" s="36"/>
      <c r="BO1380" s="36"/>
    </row>
    <row r="1381" spans="1:67" x14ac:dyDescent="0.25">
      <c r="A1381" s="39"/>
      <c r="B1381" s="40"/>
      <c r="U1381" s="36"/>
      <c r="V1381" s="36"/>
      <c r="W1381" s="35"/>
      <c r="X1381" s="7"/>
      <c r="Y1381" s="7"/>
      <c r="Z1381" s="7"/>
      <c r="AA1381" s="7"/>
      <c r="AB1381" s="7"/>
      <c r="AC1381" s="7"/>
      <c r="AD1381" s="7"/>
      <c r="AE1381" s="7"/>
      <c r="AG1381" s="36"/>
      <c r="AH1381" s="36"/>
      <c r="AI1381" s="35"/>
      <c r="AJ1381" s="7"/>
      <c r="AK1381" s="7"/>
      <c r="AL1381" s="7"/>
      <c r="AM1381" s="7"/>
      <c r="AN1381" s="7"/>
      <c r="AO1381" s="7"/>
      <c r="AP1381" s="7"/>
      <c r="AQ1381" s="7"/>
      <c r="AS1381" s="36"/>
      <c r="AT1381" s="36"/>
      <c r="AU1381" s="35"/>
      <c r="AV1381" s="7"/>
      <c r="AW1381" s="7"/>
      <c r="AX1381" s="7"/>
      <c r="AY1381" s="7"/>
      <c r="AZ1381" s="7"/>
      <c r="BA1381" s="7"/>
      <c r="BB1381" s="7"/>
      <c r="BC1381" s="7"/>
      <c r="BF1381" s="7"/>
      <c r="BG1381" s="36"/>
      <c r="BH1381" s="36"/>
      <c r="BI1381" s="36"/>
      <c r="BJ1381" s="36"/>
      <c r="BK1381" s="36"/>
      <c r="BL1381" s="36"/>
      <c r="BM1381" s="36"/>
      <c r="BN1381" s="36"/>
      <c r="BO1381" s="36"/>
    </row>
    <row r="1382" spans="1:67" x14ac:dyDescent="0.25">
      <c r="A1382" s="39"/>
      <c r="B1382" s="40"/>
      <c r="U1382" s="36"/>
      <c r="V1382" s="36"/>
      <c r="W1382" s="35"/>
      <c r="X1382" s="7"/>
      <c r="Y1382" s="7"/>
      <c r="Z1382" s="7"/>
      <c r="AA1382" s="7"/>
      <c r="AB1382" s="7"/>
      <c r="AC1382" s="7"/>
      <c r="AD1382" s="7"/>
      <c r="AE1382" s="7"/>
      <c r="AG1382" s="36"/>
      <c r="AH1382" s="36"/>
      <c r="AI1382" s="35"/>
      <c r="AJ1382" s="7"/>
      <c r="AK1382" s="7"/>
      <c r="AL1382" s="7"/>
      <c r="AM1382" s="7"/>
      <c r="AN1382" s="7"/>
      <c r="AO1382" s="7"/>
      <c r="AP1382" s="7"/>
      <c r="AQ1382" s="7"/>
      <c r="AS1382" s="36"/>
      <c r="AT1382" s="36"/>
      <c r="AU1382" s="35"/>
      <c r="AV1382" s="7"/>
      <c r="AW1382" s="7"/>
      <c r="AX1382" s="7"/>
      <c r="AY1382" s="7"/>
      <c r="AZ1382" s="7"/>
      <c r="BA1382" s="7"/>
      <c r="BB1382" s="7"/>
      <c r="BC1382" s="7"/>
      <c r="BF1382" s="7"/>
      <c r="BG1382" s="36"/>
      <c r="BH1382" s="36"/>
      <c r="BI1382" s="36"/>
      <c r="BJ1382" s="36"/>
      <c r="BK1382" s="36"/>
      <c r="BL1382" s="36"/>
      <c r="BM1382" s="36"/>
      <c r="BN1382" s="36"/>
      <c r="BO1382" s="36"/>
    </row>
    <row r="1383" spans="1:67" x14ac:dyDescent="0.25">
      <c r="A1383" s="39"/>
      <c r="B1383" s="40"/>
      <c r="U1383" s="36"/>
      <c r="V1383" s="36"/>
      <c r="W1383" s="35"/>
      <c r="X1383" s="7"/>
      <c r="Y1383" s="7"/>
      <c r="Z1383" s="7"/>
      <c r="AA1383" s="7"/>
      <c r="AB1383" s="7"/>
      <c r="AC1383" s="7"/>
      <c r="AD1383" s="7"/>
      <c r="AE1383" s="7"/>
      <c r="AG1383" s="36"/>
      <c r="AH1383" s="36"/>
      <c r="AI1383" s="35"/>
      <c r="AJ1383" s="7"/>
      <c r="AK1383" s="7"/>
      <c r="AL1383" s="7"/>
      <c r="AM1383" s="7"/>
      <c r="AN1383" s="7"/>
      <c r="AO1383" s="7"/>
      <c r="AP1383" s="7"/>
      <c r="AQ1383" s="7"/>
      <c r="AS1383" s="36"/>
      <c r="AT1383" s="36"/>
      <c r="AU1383" s="35"/>
      <c r="AV1383" s="7"/>
      <c r="AW1383" s="7"/>
      <c r="AX1383" s="7"/>
      <c r="AY1383" s="7"/>
      <c r="AZ1383" s="7"/>
      <c r="BA1383" s="7"/>
      <c r="BB1383" s="7"/>
      <c r="BC1383" s="7"/>
      <c r="BF1383" s="7"/>
      <c r="BG1383" s="36"/>
      <c r="BH1383" s="36"/>
      <c r="BI1383" s="36"/>
      <c r="BJ1383" s="36"/>
      <c r="BK1383" s="36"/>
      <c r="BL1383" s="36"/>
      <c r="BM1383" s="36"/>
      <c r="BN1383" s="36"/>
      <c r="BO1383" s="36"/>
    </row>
    <row r="1384" spans="1:67" x14ac:dyDescent="0.25">
      <c r="A1384" s="39"/>
      <c r="B1384" s="40"/>
      <c r="U1384" s="36"/>
      <c r="V1384" s="36"/>
      <c r="W1384" s="35"/>
      <c r="X1384" s="7"/>
      <c r="Y1384" s="7"/>
      <c r="Z1384" s="7"/>
      <c r="AA1384" s="7"/>
      <c r="AB1384" s="7"/>
      <c r="AC1384" s="7"/>
      <c r="AD1384" s="7"/>
      <c r="AE1384" s="7"/>
      <c r="AG1384" s="36"/>
      <c r="AH1384" s="36"/>
      <c r="AI1384" s="35"/>
      <c r="AJ1384" s="7"/>
      <c r="AK1384" s="7"/>
      <c r="AL1384" s="7"/>
      <c r="AM1384" s="7"/>
      <c r="AN1384" s="7"/>
      <c r="AO1384" s="7"/>
      <c r="AP1384" s="7"/>
      <c r="AQ1384" s="7"/>
      <c r="AS1384" s="36"/>
      <c r="AT1384" s="36"/>
      <c r="AU1384" s="35"/>
      <c r="AV1384" s="7"/>
      <c r="AW1384" s="7"/>
      <c r="AX1384" s="7"/>
      <c r="AY1384" s="7"/>
      <c r="AZ1384" s="7"/>
      <c r="BA1384" s="7"/>
      <c r="BB1384" s="7"/>
      <c r="BC1384" s="7"/>
      <c r="BF1384" s="7"/>
      <c r="BG1384" s="36"/>
      <c r="BH1384" s="36"/>
      <c r="BI1384" s="36"/>
      <c r="BJ1384" s="36"/>
      <c r="BK1384" s="36"/>
      <c r="BL1384" s="36"/>
      <c r="BM1384" s="36"/>
      <c r="BN1384" s="36"/>
      <c r="BO1384" s="36"/>
    </row>
    <row r="1385" spans="1:67" x14ac:dyDescent="0.25">
      <c r="A1385" s="39"/>
      <c r="B1385" s="40"/>
      <c r="U1385" s="36"/>
      <c r="V1385" s="36"/>
      <c r="W1385" s="35"/>
      <c r="X1385" s="7"/>
      <c r="Y1385" s="7"/>
      <c r="Z1385" s="7"/>
      <c r="AA1385" s="7"/>
      <c r="AB1385" s="7"/>
      <c r="AC1385" s="7"/>
      <c r="AD1385" s="7"/>
      <c r="AE1385" s="7"/>
      <c r="AG1385" s="36"/>
      <c r="AH1385" s="36"/>
      <c r="AI1385" s="35"/>
      <c r="AJ1385" s="7"/>
      <c r="AK1385" s="7"/>
      <c r="AL1385" s="7"/>
      <c r="AM1385" s="7"/>
      <c r="AN1385" s="7"/>
      <c r="AO1385" s="7"/>
      <c r="AP1385" s="7"/>
      <c r="AQ1385" s="7"/>
      <c r="AS1385" s="36"/>
      <c r="AT1385" s="36"/>
      <c r="AU1385" s="35"/>
      <c r="AV1385" s="7"/>
      <c r="AW1385" s="7"/>
      <c r="AX1385" s="7"/>
      <c r="AY1385" s="7"/>
      <c r="AZ1385" s="7"/>
      <c r="BA1385" s="7"/>
      <c r="BB1385" s="7"/>
      <c r="BC1385" s="7"/>
      <c r="BF1385" s="7"/>
      <c r="BG1385" s="36"/>
      <c r="BH1385" s="36"/>
      <c r="BI1385" s="36"/>
      <c r="BJ1385" s="36"/>
      <c r="BK1385" s="36"/>
      <c r="BL1385" s="36"/>
      <c r="BM1385" s="36"/>
      <c r="BN1385" s="36"/>
      <c r="BO1385" s="36"/>
    </row>
    <row r="1386" spans="1:67" x14ac:dyDescent="0.25">
      <c r="A1386" s="39"/>
      <c r="B1386" s="40"/>
      <c r="U1386" s="36"/>
      <c r="V1386" s="36"/>
      <c r="W1386" s="35"/>
      <c r="X1386" s="7"/>
      <c r="Y1386" s="7"/>
      <c r="Z1386" s="7"/>
      <c r="AA1386" s="7"/>
      <c r="AB1386" s="7"/>
      <c r="AC1386" s="7"/>
      <c r="AD1386" s="7"/>
      <c r="AE1386" s="7"/>
      <c r="AG1386" s="36"/>
      <c r="AH1386" s="36"/>
      <c r="AI1386" s="35"/>
      <c r="AJ1386" s="7"/>
      <c r="AK1386" s="7"/>
      <c r="AL1386" s="7"/>
      <c r="AM1386" s="7"/>
      <c r="AN1386" s="7"/>
      <c r="AO1386" s="7"/>
      <c r="AP1386" s="7"/>
      <c r="AQ1386" s="7"/>
      <c r="AS1386" s="36"/>
      <c r="AT1386" s="36"/>
      <c r="AU1386" s="35"/>
      <c r="AV1386" s="7"/>
      <c r="AW1386" s="7"/>
      <c r="AX1386" s="7"/>
      <c r="AY1386" s="7"/>
      <c r="AZ1386" s="7"/>
      <c r="BA1386" s="7"/>
      <c r="BB1386" s="7"/>
      <c r="BC1386" s="7"/>
      <c r="BF1386" s="7"/>
      <c r="BG1386" s="36"/>
      <c r="BH1386" s="36"/>
      <c r="BI1386" s="36"/>
      <c r="BJ1386" s="36"/>
      <c r="BK1386" s="36"/>
      <c r="BL1386" s="36"/>
      <c r="BM1386" s="36"/>
      <c r="BN1386" s="36"/>
      <c r="BO1386" s="36"/>
    </row>
    <row r="1387" spans="1:67" x14ac:dyDescent="0.25">
      <c r="A1387" s="39"/>
      <c r="B1387" s="40"/>
      <c r="U1387" s="36"/>
      <c r="V1387" s="36"/>
      <c r="W1387" s="35"/>
      <c r="X1387" s="7"/>
      <c r="Y1387" s="7"/>
      <c r="Z1387" s="7"/>
      <c r="AA1387" s="7"/>
      <c r="AB1387" s="7"/>
      <c r="AC1387" s="7"/>
      <c r="AD1387" s="7"/>
      <c r="AE1387" s="7"/>
      <c r="AG1387" s="36"/>
      <c r="AH1387" s="36"/>
      <c r="AI1387" s="35"/>
      <c r="AJ1387" s="7"/>
      <c r="AK1387" s="7"/>
      <c r="AL1387" s="7"/>
      <c r="AM1387" s="7"/>
      <c r="AN1387" s="7"/>
      <c r="AO1387" s="7"/>
      <c r="AP1387" s="7"/>
      <c r="AQ1387" s="7"/>
      <c r="AS1387" s="36"/>
      <c r="AT1387" s="36"/>
      <c r="AU1387" s="35"/>
      <c r="AV1387" s="7"/>
      <c r="AW1387" s="7"/>
      <c r="AX1387" s="7"/>
      <c r="AY1387" s="7"/>
      <c r="AZ1387" s="7"/>
      <c r="BA1387" s="7"/>
      <c r="BB1387" s="7"/>
      <c r="BC1387" s="7"/>
      <c r="BF1387" s="7"/>
      <c r="BG1387" s="36"/>
      <c r="BH1387" s="36"/>
      <c r="BI1387" s="36"/>
      <c r="BJ1387" s="36"/>
      <c r="BK1387" s="36"/>
      <c r="BL1387" s="36"/>
      <c r="BM1387" s="36"/>
      <c r="BN1387" s="36"/>
      <c r="BO1387" s="36"/>
    </row>
    <row r="1388" spans="1:67" x14ac:dyDescent="0.25">
      <c r="A1388" s="39"/>
      <c r="B1388" s="40"/>
      <c r="U1388" s="36"/>
      <c r="V1388" s="36"/>
      <c r="W1388" s="35"/>
      <c r="X1388" s="7"/>
      <c r="Y1388" s="7"/>
      <c r="Z1388" s="7"/>
      <c r="AA1388" s="7"/>
      <c r="AB1388" s="7"/>
      <c r="AC1388" s="7"/>
      <c r="AD1388" s="7"/>
      <c r="AE1388" s="7"/>
      <c r="AG1388" s="36"/>
      <c r="AH1388" s="36"/>
      <c r="AI1388" s="35"/>
      <c r="AJ1388" s="7"/>
      <c r="AK1388" s="7"/>
      <c r="AL1388" s="7"/>
      <c r="AM1388" s="7"/>
      <c r="AN1388" s="7"/>
      <c r="AO1388" s="7"/>
      <c r="AP1388" s="7"/>
      <c r="AQ1388" s="7"/>
      <c r="AS1388" s="36"/>
      <c r="AT1388" s="36"/>
      <c r="AU1388" s="35"/>
      <c r="AV1388" s="7"/>
      <c r="AW1388" s="7"/>
      <c r="AX1388" s="7"/>
      <c r="AY1388" s="7"/>
      <c r="AZ1388" s="7"/>
      <c r="BA1388" s="7"/>
      <c r="BB1388" s="7"/>
      <c r="BC1388" s="7"/>
      <c r="BF1388" s="7"/>
      <c r="BG1388" s="36"/>
      <c r="BH1388" s="36"/>
      <c r="BI1388" s="36"/>
      <c r="BJ1388" s="36"/>
      <c r="BK1388" s="36"/>
      <c r="BL1388" s="36"/>
      <c r="BM1388" s="36"/>
      <c r="BN1388" s="36"/>
      <c r="BO1388" s="36"/>
    </row>
    <row r="1389" spans="1:67" x14ac:dyDescent="0.25">
      <c r="A1389" s="39"/>
      <c r="B1389" s="40"/>
      <c r="U1389" s="36"/>
      <c r="V1389" s="36"/>
      <c r="W1389" s="35"/>
      <c r="X1389" s="7"/>
      <c r="Y1389" s="7"/>
      <c r="Z1389" s="7"/>
      <c r="AA1389" s="7"/>
      <c r="AB1389" s="7"/>
      <c r="AC1389" s="7"/>
      <c r="AD1389" s="7"/>
      <c r="AE1389" s="7"/>
      <c r="AG1389" s="36"/>
      <c r="AH1389" s="36"/>
      <c r="AI1389" s="35"/>
      <c r="AJ1389" s="7"/>
      <c r="AK1389" s="7"/>
      <c r="AL1389" s="7"/>
      <c r="AM1389" s="7"/>
      <c r="AN1389" s="7"/>
      <c r="AO1389" s="7"/>
      <c r="AP1389" s="7"/>
      <c r="AQ1389" s="7"/>
      <c r="AS1389" s="36"/>
      <c r="AT1389" s="36"/>
      <c r="AU1389" s="35"/>
      <c r="AV1389" s="7"/>
      <c r="AW1389" s="7"/>
      <c r="AX1389" s="7"/>
      <c r="AY1389" s="7"/>
      <c r="AZ1389" s="7"/>
      <c r="BA1389" s="7"/>
      <c r="BB1389" s="7"/>
      <c r="BC1389" s="7"/>
      <c r="BF1389" s="7"/>
      <c r="BG1389" s="36"/>
      <c r="BH1389" s="36"/>
      <c r="BI1389" s="36"/>
      <c r="BJ1389" s="36"/>
      <c r="BK1389" s="36"/>
      <c r="BL1389" s="36"/>
      <c r="BM1389" s="36"/>
      <c r="BN1389" s="36"/>
      <c r="BO1389" s="36"/>
    </row>
    <row r="1390" spans="1:67" x14ac:dyDescent="0.25">
      <c r="A1390" s="39"/>
      <c r="B1390" s="40"/>
      <c r="U1390" s="36"/>
      <c r="V1390" s="36"/>
      <c r="W1390" s="35"/>
      <c r="X1390" s="7"/>
      <c r="Y1390" s="7"/>
      <c r="Z1390" s="7"/>
      <c r="AA1390" s="7"/>
      <c r="AB1390" s="7"/>
      <c r="AC1390" s="7"/>
      <c r="AD1390" s="7"/>
      <c r="AE1390" s="7"/>
      <c r="AG1390" s="36"/>
      <c r="AH1390" s="36"/>
      <c r="AI1390" s="35"/>
      <c r="AJ1390" s="7"/>
      <c r="AK1390" s="7"/>
      <c r="AL1390" s="7"/>
      <c r="AM1390" s="7"/>
      <c r="AN1390" s="7"/>
      <c r="AO1390" s="7"/>
      <c r="AP1390" s="7"/>
      <c r="AQ1390" s="7"/>
      <c r="AS1390" s="36"/>
      <c r="AT1390" s="36"/>
      <c r="AU1390" s="35"/>
      <c r="AV1390" s="7"/>
      <c r="AW1390" s="7"/>
      <c r="AX1390" s="7"/>
      <c r="AY1390" s="7"/>
      <c r="AZ1390" s="7"/>
      <c r="BA1390" s="7"/>
      <c r="BB1390" s="7"/>
      <c r="BC1390" s="7"/>
      <c r="BF1390" s="7"/>
      <c r="BG1390" s="36"/>
      <c r="BH1390" s="36"/>
      <c r="BI1390" s="36"/>
      <c r="BJ1390" s="36"/>
      <c r="BK1390" s="36"/>
      <c r="BL1390" s="36"/>
      <c r="BM1390" s="36"/>
      <c r="BN1390" s="36"/>
      <c r="BO1390" s="36"/>
    </row>
    <row r="1391" spans="1:67" x14ac:dyDescent="0.25">
      <c r="A1391" s="39"/>
      <c r="B1391" s="40"/>
      <c r="U1391" s="36"/>
      <c r="V1391" s="36"/>
      <c r="W1391" s="35"/>
      <c r="X1391" s="7"/>
      <c r="Y1391" s="7"/>
      <c r="Z1391" s="7"/>
      <c r="AA1391" s="7"/>
      <c r="AB1391" s="7"/>
      <c r="AC1391" s="7"/>
      <c r="AD1391" s="7"/>
      <c r="AE1391" s="7"/>
      <c r="AG1391" s="36"/>
      <c r="AH1391" s="36"/>
      <c r="AI1391" s="35"/>
      <c r="AJ1391" s="7"/>
      <c r="AK1391" s="7"/>
      <c r="AL1391" s="7"/>
      <c r="AM1391" s="7"/>
      <c r="AN1391" s="7"/>
      <c r="AO1391" s="7"/>
      <c r="AP1391" s="7"/>
      <c r="AQ1391" s="7"/>
      <c r="AS1391" s="36"/>
      <c r="AT1391" s="36"/>
      <c r="AU1391" s="35"/>
      <c r="AV1391" s="7"/>
      <c r="AW1391" s="7"/>
      <c r="AX1391" s="7"/>
      <c r="AY1391" s="7"/>
      <c r="AZ1391" s="7"/>
      <c r="BA1391" s="7"/>
      <c r="BB1391" s="7"/>
      <c r="BC1391" s="7"/>
      <c r="BF1391" s="7"/>
      <c r="BG1391" s="36"/>
      <c r="BH1391" s="36"/>
      <c r="BI1391" s="36"/>
      <c r="BJ1391" s="36"/>
      <c r="BK1391" s="36"/>
      <c r="BL1391" s="36"/>
      <c r="BM1391" s="36"/>
      <c r="BN1391" s="36"/>
      <c r="BO1391" s="36"/>
    </row>
    <row r="1392" spans="1:67" x14ac:dyDescent="0.25">
      <c r="A1392" s="39"/>
      <c r="B1392" s="40"/>
      <c r="U1392" s="36"/>
      <c r="V1392" s="36"/>
      <c r="W1392" s="35"/>
      <c r="X1392" s="7"/>
      <c r="Y1392" s="7"/>
      <c r="Z1392" s="7"/>
      <c r="AA1392" s="7"/>
      <c r="AB1392" s="7"/>
      <c r="AC1392" s="7"/>
      <c r="AD1392" s="7"/>
      <c r="AE1392" s="7"/>
      <c r="AG1392" s="36"/>
      <c r="AH1392" s="36"/>
      <c r="AI1392" s="35"/>
      <c r="AJ1392" s="7"/>
      <c r="AK1392" s="7"/>
      <c r="AL1392" s="7"/>
      <c r="AM1392" s="7"/>
      <c r="AN1392" s="7"/>
      <c r="AO1392" s="7"/>
      <c r="AP1392" s="7"/>
      <c r="AQ1392" s="7"/>
      <c r="AS1392" s="36"/>
      <c r="AT1392" s="36"/>
      <c r="AU1392" s="35"/>
      <c r="AV1392" s="7"/>
      <c r="AW1392" s="7"/>
      <c r="AX1392" s="7"/>
      <c r="AY1392" s="7"/>
      <c r="AZ1392" s="7"/>
      <c r="BA1392" s="7"/>
      <c r="BB1392" s="7"/>
      <c r="BC1392" s="7"/>
      <c r="BF1392" s="7"/>
      <c r="BG1392" s="36"/>
      <c r="BH1392" s="36"/>
      <c r="BI1392" s="36"/>
      <c r="BJ1392" s="36"/>
      <c r="BK1392" s="36"/>
      <c r="BL1392" s="36"/>
      <c r="BM1392" s="36"/>
      <c r="BN1392" s="36"/>
      <c r="BO1392" s="36"/>
    </row>
    <row r="1393" spans="1:67" x14ac:dyDescent="0.25">
      <c r="A1393" s="39"/>
      <c r="B1393" s="40"/>
      <c r="U1393" s="36"/>
      <c r="V1393" s="36"/>
      <c r="W1393" s="35"/>
      <c r="X1393" s="7"/>
      <c r="Y1393" s="7"/>
      <c r="Z1393" s="7"/>
      <c r="AA1393" s="7"/>
      <c r="AB1393" s="7"/>
      <c r="AC1393" s="7"/>
      <c r="AD1393" s="7"/>
      <c r="AE1393" s="7"/>
      <c r="AG1393" s="36"/>
      <c r="AH1393" s="36"/>
      <c r="AI1393" s="35"/>
      <c r="AJ1393" s="7"/>
      <c r="AK1393" s="7"/>
      <c r="AL1393" s="7"/>
      <c r="AM1393" s="7"/>
      <c r="AN1393" s="7"/>
      <c r="AO1393" s="7"/>
      <c r="AP1393" s="7"/>
      <c r="AQ1393" s="7"/>
      <c r="AS1393" s="36"/>
      <c r="AT1393" s="36"/>
      <c r="AU1393" s="35"/>
      <c r="AV1393" s="7"/>
      <c r="AW1393" s="7"/>
      <c r="AX1393" s="7"/>
      <c r="AY1393" s="7"/>
      <c r="AZ1393" s="7"/>
      <c r="BA1393" s="7"/>
      <c r="BB1393" s="7"/>
      <c r="BC1393" s="7"/>
      <c r="BF1393" s="7"/>
      <c r="BG1393" s="36"/>
      <c r="BH1393" s="36"/>
      <c r="BI1393" s="36"/>
      <c r="BJ1393" s="36"/>
      <c r="BK1393" s="36"/>
      <c r="BL1393" s="36"/>
      <c r="BM1393" s="36"/>
      <c r="BN1393" s="36"/>
      <c r="BO1393" s="36"/>
    </row>
    <row r="1394" spans="1:67" x14ac:dyDescent="0.25">
      <c r="A1394" s="39"/>
      <c r="B1394" s="40"/>
      <c r="U1394" s="36"/>
      <c r="V1394" s="36"/>
      <c r="W1394" s="35"/>
      <c r="X1394" s="7"/>
      <c r="Y1394" s="7"/>
      <c r="Z1394" s="7"/>
      <c r="AA1394" s="7"/>
      <c r="AB1394" s="7"/>
      <c r="AC1394" s="7"/>
      <c r="AD1394" s="7"/>
      <c r="AE1394" s="7"/>
      <c r="AG1394" s="36"/>
      <c r="AH1394" s="36"/>
      <c r="AI1394" s="35"/>
      <c r="AJ1394" s="7"/>
      <c r="AK1394" s="7"/>
      <c r="AL1394" s="7"/>
      <c r="AM1394" s="7"/>
      <c r="AN1394" s="7"/>
      <c r="AO1394" s="7"/>
      <c r="AP1394" s="7"/>
      <c r="AQ1394" s="7"/>
      <c r="AS1394" s="36"/>
      <c r="AT1394" s="36"/>
      <c r="AU1394" s="35"/>
      <c r="AV1394" s="7"/>
      <c r="AW1394" s="7"/>
      <c r="AX1394" s="7"/>
      <c r="AY1394" s="7"/>
      <c r="AZ1394" s="7"/>
      <c r="BA1394" s="7"/>
      <c r="BB1394" s="7"/>
      <c r="BC1394" s="7"/>
      <c r="BF1394" s="7"/>
      <c r="BG1394" s="36"/>
      <c r="BH1394" s="36"/>
      <c r="BI1394" s="36"/>
      <c r="BJ1394" s="36"/>
      <c r="BK1394" s="36"/>
      <c r="BL1394" s="36"/>
      <c r="BM1394" s="36"/>
      <c r="BN1394" s="36"/>
      <c r="BO1394" s="36"/>
    </row>
    <row r="1395" spans="1:67" x14ac:dyDescent="0.25">
      <c r="A1395" s="39"/>
      <c r="B1395" s="40"/>
      <c r="U1395" s="36"/>
      <c r="V1395" s="36"/>
      <c r="W1395" s="35"/>
      <c r="X1395" s="7"/>
      <c r="Y1395" s="7"/>
      <c r="Z1395" s="7"/>
      <c r="AA1395" s="7"/>
      <c r="AB1395" s="7"/>
      <c r="AC1395" s="7"/>
      <c r="AD1395" s="7"/>
      <c r="AE1395" s="7"/>
      <c r="AG1395" s="36"/>
      <c r="AH1395" s="36"/>
      <c r="AI1395" s="35"/>
      <c r="AJ1395" s="7"/>
      <c r="AK1395" s="7"/>
      <c r="AL1395" s="7"/>
      <c r="AM1395" s="7"/>
      <c r="AN1395" s="7"/>
      <c r="AO1395" s="7"/>
      <c r="AP1395" s="7"/>
      <c r="AQ1395" s="7"/>
      <c r="AS1395" s="36"/>
      <c r="AT1395" s="36"/>
      <c r="AU1395" s="35"/>
      <c r="AV1395" s="7"/>
      <c r="AW1395" s="7"/>
      <c r="AX1395" s="7"/>
      <c r="AY1395" s="7"/>
      <c r="AZ1395" s="7"/>
      <c r="BA1395" s="7"/>
      <c r="BB1395" s="7"/>
      <c r="BC1395" s="7"/>
      <c r="BF1395" s="7"/>
      <c r="BG1395" s="36"/>
      <c r="BH1395" s="36"/>
      <c r="BI1395" s="36"/>
      <c r="BJ1395" s="36"/>
      <c r="BK1395" s="36"/>
      <c r="BL1395" s="36"/>
      <c r="BM1395" s="36"/>
      <c r="BN1395" s="36"/>
      <c r="BO1395" s="36"/>
    </row>
    <row r="1396" spans="1:67" x14ac:dyDescent="0.25">
      <c r="A1396" s="39"/>
      <c r="B1396" s="40"/>
      <c r="U1396" s="36"/>
      <c r="V1396" s="36"/>
      <c r="W1396" s="35"/>
      <c r="X1396" s="7"/>
      <c r="Y1396" s="7"/>
      <c r="Z1396" s="7"/>
      <c r="AA1396" s="7"/>
      <c r="AB1396" s="7"/>
      <c r="AC1396" s="7"/>
      <c r="AD1396" s="7"/>
      <c r="AE1396" s="7"/>
      <c r="AG1396" s="36"/>
      <c r="AH1396" s="36"/>
      <c r="AI1396" s="35"/>
      <c r="AJ1396" s="7"/>
      <c r="AK1396" s="7"/>
      <c r="AL1396" s="7"/>
      <c r="AM1396" s="7"/>
      <c r="AN1396" s="7"/>
      <c r="AO1396" s="7"/>
      <c r="AP1396" s="7"/>
      <c r="AQ1396" s="7"/>
      <c r="AS1396" s="36"/>
      <c r="AT1396" s="36"/>
      <c r="AU1396" s="35"/>
      <c r="AV1396" s="7"/>
      <c r="AW1396" s="7"/>
      <c r="AX1396" s="7"/>
      <c r="AY1396" s="7"/>
      <c r="AZ1396" s="7"/>
      <c r="BA1396" s="7"/>
      <c r="BB1396" s="7"/>
      <c r="BC1396" s="7"/>
      <c r="BF1396" s="7"/>
      <c r="BG1396" s="36"/>
      <c r="BH1396" s="36"/>
      <c r="BI1396" s="36"/>
      <c r="BJ1396" s="36"/>
      <c r="BK1396" s="36"/>
      <c r="BL1396" s="36"/>
      <c r="BM1396" s="36"/>
      <c r="BN1396" s="36"/>
      <c r="BO1396" s="36"/>
    </row>
    <row r="1397" spans="1:67" x14ac:dyDescent="0.25">
      <c r="A1397" s="39"/>
      <c r="B1397" s="40"/>
      <c r="U1397" s="36"/>
      <c r="V1397" s="36"/>
      <c r="W1397" s="35"/>
      <c r="X1397" s="7"/>
      <c r="Y1397" s="7"/>
      <c r="Z1397" s="7"/>
      <c r="AA1397" s="7"/>
      <c r="AB1397" s="7"/>
      <c r="AC1397" s="7"/>
      <c r="AD1397" s="7"/>
      <c r="AE1397" s="7"/>
      <c r="AG1397" s="36"/>
      <c r="AH1397" s="36"/>
      <c r="AI1397" s="35"/>
      <c r="AJ1397" s="7"/>
      <c r="AK1397" s="7"/>
      <c r="AL1397" s="7"/>
      <c r="AM1397" s="7"/>
      <c r="AN1397" s="7"/>
      <c r="AO1397" s="7"/>
      <c r="AP1397" s="7"/>
      <c r="AQ1397" s="7"/>
      <c r="AS1397" s="36"/>
      <c r="AT1397" s="36"/>
      <c r="AU1397" s="35"/>
      <c r="AV1397" s="7"/>
      <c r="AW1397" s="7"/>
      <c r="AX1397" s="7"/>
      <c r="AY1397" s="7"/>
      <c r="AZ1397" s="7"/>
      <c r="BA1397" s="7"/>
      <c r="BB1397" s="7"/>
      <c r="BC1397" s="7"/>
      <c r="BF1397" s="7"/>
      <c r="BG1397" s="36"/>
      <c r="BH1397" s="36"/>
      <c r="BI1397" s="36"/>
      <c r="BJ1397" s="36"/>
      <c r="BK1397" s="36"/>
      <c r="BL1397" s="36"/>
      <c r="BM1397" s="36"/>
      <c r="BN1397" s="36"/>
      <c r="BO1397" s="36"/>
    </row>
    <row r="1398" spans="1:67" x14ac:dyDescent="0.25">
      <c r="A1398" s="39"/>
      <c r="B1398" s="40"/>
      <c r="U1398" s="36"/>
      <c r="V1398" s="36"/>
      <c r="W1398" s="35"/>
      <c r="X1398" s="7"/>
      <c r="Y1398" s="7"/>
      <c r="Z1398" s="7"/>
      <c r="AA1398" s="7"/>
      <c r="AB1398" s="7"/>
      <c r="AC1398" s="7"/>
      <c r="AD1398" s="7"/>
      <c r="AE1398" s="7"/>
      <c r="AG1398" s="36"/>
      <c r="AH1398" s="36"/>
      <c r="AI1398" s="35"/>
      <c r="AJ1398" s="7"/>
      <c r="AK1398" s="7"/>
      <c r="AL1398" s="7"/>
      <c r="AM1398" s="7"/>
      <c r="AN1398" s="7"/>
      <c r="AO1398" s="7"/>
      <c r="AP1398" s="7"/>
      <c r="AQ1398" s="7"/>
      <c r="AS1398" s="36"/>
      <c r="AT1398" s="36"/>
      <c r="AU1398" s="35"/>
      <c r="AV1398" s="7"/>
      <c r="AW1398" s="7"/>
      <c r="AX1398" s="7"/>
      <c r="AY1398" s="7"/>
      <c r="AZ1398" s="7"/>
      <c r="BA1398" s="7"/>
      <c r="BB1398" s="7"/>
      <c r="BC1398" s="7"/>
      <c r="BF1398" s="7"/>
      <c r="BG1398" s="36"/>
      <c r="BH1398" s="36"/>
      <c r="BI1398" s="36"/>
      <c r="BJ1398" s="36"/>
      <c r="BK1398" s="36"/>
      <c r="BL1398" s="36"/>
      <c r="BM1398" s="36"/>
      <c r="BN1398" s="36"/>
      <c r="BO1398" s="36"/>
    </row>
    <row r="1399" spans="1:67" x14ac:dyDescent="0.25">
      <c r="A1399" s="39"/>
      <c r="B1399" s="40"/>
      <c r="U1399" s="36"/>
      <c r="V1399" s="36"/>
      <c r="W1399" s="35"/>
      <c r="X1399" s="7"/>
      <c r="Y1399" s="7"/>
      <c r="Z1399" s="7"/>
      <c r="AA1399" s="7"/>
      <c r="AB1399" s="7"/>
      <c r="AC1399" s="7"/>
      <c r="AD1399" s="7"/>
      <c r="AE1399" s="7"/>
      <c r="AG1399" s="36"/>
      <c r="AH1399" s="36"/>
      <c r="AI1399" s="35"/>
      <c r="AJ1399" s="7"/>
      <c r="AK1399" s="7"/>
      <c r="AL1399" s="7"/>
      <c r="AM1399" s="7"/>
      <c r="AN1399" s="7"/>
      <c r="AO1399" s="7"/>
      <c r="AP1399" s="7"/>
      <c r="AQ1399" s="7"/>
      <c r="AS1399" s="36"/>
      <c r="AT1399" s="36"/>
      <c r="AU1399" s="35"/>
      <c r="AV1399" s="7"/>
      <c r="AW1399" s="7"/>
      <c r="AX1399" s="7"/>
      <c r="AY1399" s="7"/>
      <c r="AZ1399" s="7"/>
      <c r="BA1399" s="7"/>
      <c r="BB1399" s="7"/>
      <c r="BC1399" s="7"/>
      <c r="BF1399" s="7"/>
      <c r="BG1399" s="36"/>
      <c r="BH1399" s="36"/>
      <c r="BI1399" s="36"/>
      <c r="BJ1399" s="36"/>
      <c r="BK1399" s="36"/>
      <c r="BL1399" s="36"/>
      <c r="BM1399" s="36"/>
      <c r="BN1399" s="36"/>
      <c r="BO1399" s="36"/>
    </row>
    <row r="1400" spans="1:67" x14ac:dyDescent="0.25">
      <c r="A1400" s="39"/>
      <c r="B1400" s="40"/>
      <c r="U1400" s="36"/>
      <c r="V1400" s="36"/>
      <c r="W1400" s="35"/>
      <c r="X1400" s="7"/>
      <c r="Y1400" s="7"/>
      <c r="Z1400" s="7"/>
      <c r="AA1400" s="7"/>
      <c r="AB1400" s="7"/>
      <c r="AC1400" s="7"/>
      <c r="AD1400" s="7"/>
      <c r="AE1400" s="7"/>
      <c r="AG1400" s="36"/>
      <c r="AH1400" s="36"/>
      <c r="AI1400" s="35"/>
      <c r="AJ1400" s="7"/>
      <c r="AK1400" s="7"/>
      <c r="AL1400" s="7"/>
      <c r="AM1400" s="7"/>
      <c r="AN1400" s="7"/>
      <c r="AO1400" s="7"/>
      <c r="AP1400" s="7"/>
      <c r="AQ1400" s="7"/>
      <c r="AS1400" s="36"/>
      <c r="AT1400" s="36"/>
      <c r="AU1400" s="35"/>
      <c r="AV1400" s="7"/>
      <c r="AW1400" s="7"/>
      <c r="AX1400" s="7"/>
      <c r="AY1400" s="7"/>
      <c r="AZ1400" s="7"/>
      <c r="BA1400" s="7"/>
      <c r="BB1400" s="7"/>
      <c r="BC1400" s="7"/>
      <c r="BF1400" s="7"/>
      <c r="BG1400" s="36"/>
      <c r="BH1400" s="36"/>
      <c r="BI1400" s="36"/>
      <c r="BJ1400" s="36"/>
      <c r="BK1400" s="36"/>
      <c r="BL1400" s="36"/>
      <c r="BM1400" s="36"/>
      <c r="BN1400" s="36"/>
      <c r="BO1400" s="36"/>
    </row>
    <row r="1401" spans="1:67" x14ac:dyDescent="0.25">
      <c r="A1401" s="39"/>
      <c r="B1401" s="40"/>
      <c r="U1401" s="36"/>
      <c r="V1401" s="36"/>
      <c r="W1401" s="35"/>
      <c r="X1401" s="7"/>
      <c r="Y1401" s="7"/>
      <c r="Z1401" s="7"/>
      <c r="AA1401" s="7"/>
      <c r="AB1401" s="7"/>
      <c r="AC1401" s="7"/>
      <c r="AD1401" s="7"/>
      <c r="AE1401" s="7"/>
      <c r="AG1401" s="36"/>
      <c r="AH1401" s="36"/>
      <c r="AI1401" s="35"/>
      <c r="AJ1401" s="7"/>
      <c r="AK1401" s="7"/>
      <c r="AL1401" s="7"/>
      <c r="AM1401" s="7"/>
      <c r="AN1401" s="7"/>
      <c r="AO1401" s="7"/>
      <c r="AP1401" s="7"/>
      <c r="AQ1401" s="7"/>
      <c r="AS1401" s="36"/>
      <c r="AT1401" s="36"/>
      <c r="AU1401" s="35"/>
      <c r="AV1401" s="7"/>
      <c r="AW1401" s="7"/>
      <c r="AX1401" s="7"/>
      <c r="AY1401" s="7"/>
      <c r="AZ1401" s="7"/>
      <c r="BA1401" s="7"/>
      <c r="BB1401" s="7"/>
      <c r="BC1401" s="7"/>
      <c r="BF1401" s="7"/>
      <c r="BG1401" s="36"/>
      <c r="BH1401" s="36"/>
      <c r="BI1401" s="36"/>
      <c r="BJ1401" s="36"/>
      <c r="BK1401" s="36"/>
      <c r="BL1401" s="36"/>
      <c r="BM1401" s="36"/>
      <c r="BN1401" s="36"/>
      <c r="BO1401" s="36"/>
    </row>
    <row r="1402" spans="1:67" x14ac:dyDescent="0.25">
      <c r="A1402" s="39"/>
      <c r="B1402" s="40"/>
      <c r="U1402" s="36"/>
      <c r="V1402" s="36"/>
      <c r="W1402" s="35"/>
      <c r="X1402" s="7"/>
      <c r="Y1402" s="7"/>
      <c r="Z1402" s="7"/>
      <c r="AA1402" s="7"/>
      <c r="AB1402" s="7"/>
      <c r="AC1402" s="7"/>
      <c r="AD1402" s="7"/>
      <c r="AE1402" s="7"/>
      <c r="AG1402" s="36"/>
      <c r="AH1402" s="36"/>
      <c r="AI1402" s="35"/>
      <c r="AJ1402" s="7"/>
      <c r="AK1402" s="7"/>
      <c r="AL1402" s="7"/>
      <c r="AM1402" s="7"/>
      <c r="AN1402" s="7"/>
      <c r="AO1402" s="7"/>
      <c r="AP1402" s="7"/>
      <c r="AQ1402" s="7"/>
      <c r="AS1402" s="36"/>
      <c r="AT1402" s="36"/>
      <c r="AU1402" s="35"/>
      <c r="AV1402" s="7"/>
      <c r="AW1402" s="7"/>
      <c r="AX1402" s="7"/>
      <c r="AY1402" s="7"/>
      <c r="AZ1402" s="7"/>
      <c r="BA1402" s="7"/>
      <c r="BB1402" s="7"/>
      <c r="BC1402" s="7"/>
      <c r="BF1402" s="7"/>
      <c r="BG1402" s="36"/>
      <c r="BH1402" s="36"/>
      <c r="BI1402" s="36"/>
      <c r="BJ1402" s="36"/>
      <c r="BK1402" s="36"/>
      <c r="BL1402" s="36"/>
      <c r="BM1402" s="36"/>
      <c r="BN1402" s="36"/>
      <c r="BO1402" s="36"/>
    </row>
    <row r="1403" spans="1:67" x14ac:dyDescent="0.25">
      <c r="A1403" s="39"/>
      <c r="B1403" s="40"/>
      <c r="U1403" s="36"/>
      <c r="V1403" s="36"/>
      <c r="W1403" s="35"/>
      <c r="X1403" s="7"/>
      <c r="Y1403" s="7"/>
      <c r="Z1403" s="7"/>
      <c r="AA1403" s="7"/>
      <c r="AB1403" s="7"/>
      <c r="AC1403" s="7"/>
      <c r="AD1403" s="7"/>
      <c r="AE1403" s="7"/>
      <c r="AG1403" s="36"/>
      <c r="AH1403" s="36"/>
      <c r="AI1403" s="35"/>
      <c r="AJ1403" s="7"/>
      <c r="AK1403" s="7"/>
      <c r="AL1403" s="7"/>
      <c r="AM1403" s="7"/>
      <c r="AN1403" s="7"/>
      <c r="AO1403" s="7"/>
      <c r="AP1403" s="7"/>
      <c r="AQ1403" s="7"/>
      <c r="AS1403" s="36"/>
      <c r="AT1403" s="36"/>
      <c r="AU1403" s="35"/>
      <c r="AV1403" s="7"/>
      <c r="AW1403" s="7"/>
      <c r="AX1403" s="7"/>
      <c r="AY1403" s="7"/>
      <c r="AZ1403" s="7"/>
      <c r="BA1403" s="7"/>
      <c r="BB1403" s="7"/>
      <c r="BC1403" s="7"/>
      <c r="BF1403" s="7"/>
      <c r="BG1403" s="36"/>
      <c r="BH1403" s="36"/>
      <c r="BI1403" s="36"/>
      <c r="BJ1403" s="36"/>
      <c r="BK1403" s="36"/>
      <c r="BL1403" s="36"/>
      <c r="BM1403" s="36"/>
      <c r="BN1403" s="36"/>
      <c r="BO1403" s="36"/>
    </row>
    <row r="1404" spans="1:67" x14ac:dyDescent="0.25">
      <c r="A1404" s="39"/>
      <c r="B1404" s="40"/>
      <c r="U1404" s="36"/>
      <c r="V1404" s="36"/>
      <c r="W1404" s="35"/>
      <c r="X1404" s="7"/>
      <c r="Y1404" s="7"/>
      <c r="Z1404" s="7"/>
      <c r="AA1404" s="7"/>
      <c r="AB1404" s="7"/>
      <c r="AC1404" s="7"/>
      <c r="AD1404" s="7"/>
      <c r="AE1404" s="7"/>
      <c r="AG1404" s="36"/>
      <c r="AH1404" s="36"/>
      <c r="AI1404" s="35"/>
      <c r="AJ1404" s="7"/>
      <c r="AK1404" s="7"/>
      <c r="AL1404" s="7"/>
      <c r="AM1404" s="7"/>
      <c r="AN1404" s="7"/>
      <c r="AO1404" s="7"/>
      <c r="AP1404" s="7"/>
      <c r="AQ1404" s="7"/>
      <c r="AS1404" s="36"/>
      <c r="AT1404" s="36"/>
      <c r="AU1404" s="35"/>
      <c r="AV1404" s="7"/>
      <c r="AW1404" s="7"/>
      <c r="AX1404" s="7"/>
      <c r="AY1404" s="7"/>
      <c r="AZ1404" s="7"/>
      <c r="BA1404" s="7"/>
      <c r="BB1404" s="7"/>
      <c r="BC1404" s="7"/>
      <c r="BF1404" s="7"/>
      <c r="BG1404" s="36"/>
      <c r="BH1404" s="36"/>
      <c r="BI1404" s="36"/>
      <c r="BJ1404" s="36"/>
      <c r="BK1404" s="36"/>
      <c r="BL1404" s="36"/>
      <c r="BM1404" s="36"/>
      <c r="BN1404" s="36"/>
      <c r="BO1404" s="36"/>
    </row>
    <row r="1405" spans="1:67" x14ac:dyDescent="0.25">
      <c r="A1405" s="39"/>
      <c r="B1405" s="40"/>
      <c r="U1405" s="36"/>
      <c r="V1405" s="36"/>
      <c r="W1405" s="35"/>
      <c r="X1405" s="7"/>
      <c r="Y1405" s="7"/>
      <c r="Z1405" s="7"/>
      <c r="AA1405" s="7"/>
      <c r="AB1405" s="7"/>
      <c r="AC1405" s="7"/>
      <c r="AD1405" s="7"/>
      <c r="AE1405" s="7"/>
      <c r="AG1405" s="36"/>
      <c r="AH1405" s="36"/>
      <c r="AI1405" s="35"/>
      <c r="AJ1405" s="7"/>
      <c r="AK1405" s="7"/>
      <c r="AL1405" s="7"/>
      <c r="AM1405" s="7"/>
      <c r="AN1405" s="7"/>
      <c r="AO1405" s="7"/>
      <c r="AP1405" s="7"/>
      <c r="AQ1405" s="7"/>
      <c r="AS1405" s="36"/>
      <c r="AT1405" s="36"/>
      <c r="AU1405" s="35"/>
      <c r="AV1405" s="7"/>
      <c r="AW1405" s="7"/>
      <c r="AX1405" s="7"/>
      <c r="AY1405" s="7"/>
      <c r="AZ1405" s="7"/>
      <c r="BA1405" s="7"/>
      <c r="BB1405" s="7"/>
      <c r="BC1405" s="7"/>
      <c r="BF1405" s="7"/>
      <c r="BG1405" s="36"/>
      <c r="BH1405" s="36"/>
      <c r="BI1405" s="36"/>
      <c r="BJ1405" s="36"/>
      <c r="BK1405" s="36"/>
      <c r="BL1405" s="36"/>
      <c r="BM1405" s="36"/>
      <c r="BN1405" s="36"/>
      <c r="BO1405" s="36"/>
    </row>
    <row r="1406" spans="1:67" x14ac:dyDescent="0.25">
      <c r="A1406" s="39"/>
      <c r="B1406" s="40"/>
      <c r="U1406" s="36"/>
      <c r="V1406" s="36"/>
      <c r="W1406" s="35"/>
      <c r="X1406" s="7"/>
      <c r="Y1406" s="7"/>
      <c r="Z1406" s="7"/>
      <c r="AA1406" s="7"/>
      <c r="AB1406" s="7"/>
      <c r="AC1406" s="7"/>
      <c r="AD1406" s="7"/>
      <c r="AE1406" s="7"/>
      <c r="AG1406" s="36"/>
      <c r="AH1406" s="36"/>
      <c r="AI1406" s="35"/>
      <c r="AJ1406" s="7"/>
      <c r="AK1406" s="7"/>
      <c r="AL1406" s="7"/>
      <c r="AM1406" s="7"/>
      <c r="AN1406" s="7"/>
      <c r="AO1406" s="7"/>
      <c r="AP1406" s="7"/>
      <c r="AQ1406" s="7"/>
      <c r="AS1406" s="36"/>
      <c r="AT1406" s="36"/>
      <c r="AU1406" s="35"/>
      <c r="AV1406" s="7"/>
      <c r="AW1406" s="7"/>
      <c r="AX1406" s="7"/>
      <c r="AY1406" s="7"/>
      <c r="AZ1406" s="7"/>
      <c r="BA1406" s="7"/>
      <c r="BB1406" s="7"/>
      <c r="BC1406" s="7"/>
      <c r="BF1406" s="7"/>
      <c r="BG1406" s="36"/>
      <c r="BH1406" s="36"/>
      <c r="BI1406" s="36"/>
      <c r="BJ1406" s="36"/>
      <c r="BK1406" s="36"/>
      <c r="BL1406" s="36"/>
      <c r="BM1406" s="36"/>
      <c r="BN1406" s="36"/>
      <c r="BO1406" s="36"/>
    </row>
    <row r="1407" spans="1:67" x14ac:dyDescent="0.25">
      <c r="A1407" s="39"/>
      <c r="B1407" s="40"/>
      <c r="U1407" s="36"/>
      <c r="V1407" s="36"/>
      <c r="W1407" s="35"/>
      <c r="X1407" s="7"/>
      <c r="Y1407" s="7"/>
      <c r="Z1407" s="7"/>
      <c r="AA1407" s="7"/>
      <c r="AB1407" s="7"/>
      <c r="AC1407" s="7"/>
      <c r="AD1407" s="7"/>
      <c r="AE1407" s="7"/>
      <c r="AG1407" s="36"/>
      <c r="AH1407" s="36"/>
      <c r="AI1407" s="35"/>
      <c r="AJ1407" s="7"/>
      <c r="AK1407" s="7"/>
      <c r="AL1407" s="7"/>
      <c r="AM1407" s="7"/>
      <c r="AN1407" s="7"/>
      <c r="AO1407" s="7"/>
      <c r="AP1407" s="7"/>
      <c r="AQ1407" s="7"/>
      <c r="AS1407" s="36"/>
      <c r="AT1407" s="36"/>
      <c r="AU1407" s="35"/>
      <c r="AV1407" s="7"/>
      <c r="AW1407" s="7"/>
      <c r="AX1407" s="7"/>
      <c r="AY1407" s="7"/>
      <c r="AZ1407" s="7"/>
      <c r="BA1407" s="7"/>
      <c r="BB1407" s="7"/>
      <c r="BC1407" s="7"/>
      <c r="BF1407" s="7"/>
      <c r="BG1407" s="36"/>
      <c r="BH1407" s="36"/>
      <c r="BI1407" s="36"/>
      <c r="BJ1407" s="36"/>
      <c r="BK1407" s="36"/>
      <c r="BL1407" s="36"/>
      <c r="BM1407" s="36"/>
      <c r="BN1407" s="36"/>
      <c r="BO1407" s="36"/>
    </row>
    <row r="1408" spans="1:67" x14ac:dyDescent="0.25">
      <c r="A1408" s="39"/>
      <c r="B1408" s="40"/>
      <c r="U1408" s="36"/>
      <c r="V1408" s="36"/>
      <c r="W1408" s="35"/>
      <c r="X1408" s="7"/>
      <c r="Y1408" s="7"/>
      <c r="Z1408" s="7"/>
      <c r="AA1408" s="7"/>
      <c r="AB1408" s="7"/>
      <c r="AC1408" s="7"/>
      <c r="AD1408" s="7"/>
      <c r="AE1408" s="7"/>
      <c r="AG1408" s="36"/>
      <c r="AH1408" s="36"/>
      <c r="AI1408" s="35"/>
      <c r="AJ1408" s="7"/>
      <c r="AK1408" s="7"/>
      <c r="AL1408" s="7"/>
      <c r="AM1408" s="7"/>
      <c r="AN1408" s="7"/>
      <c r="AO1408" s="7"/>
      <c r="AP1408" s="7"/>
      <c r="AQ1408" s="7"/>
      <c r="AS1408" s="36"/>
      <c r="AT1408" s="36"/>
      <c r="AU1408" s="35"/>
      <c r="AV1408" s="7"/>
      <c r="AW1408" s="7"/>
      <c r="AX1408" s="7"/>
      <c r="AY1408" s="7"/>
      <c r="AZ1408" s="7"/>
      <c r="BA1408" s="7"/>
      <c r="BB1408" s="7"/>
      <c r="BC1408" s="7"/>
      <c r="BF1408" s="7"/>
      <c r="BG1408" s="36"/>
      <c r="BH1408" s="36"/>
      <c r="BI1408" s="36"/>
      <c r="BJ1408" s="36"/>
      <c r="BK1408" s="36"/>
      <c r="BL1408" s="36"/>
      <c r="BM1408" s="36"/>
      <c r="BN1408" s="36"/>
      <c r="BO1408" s="36"/>
    </row>
    <row r="1409" spans="1:67" x14ac:dyDescent="0.25">
      <c r="A1409" s="39"/>
      <c r="B1409" s="40"/>
      <c r="U1409" s="36"/>
      <c r="V1409" s="36"/>
      <c r="W1409" s="35"/>
      <c r="X1409" s="7"/>
      <c r="Y1409" s="7"/>
      <c r="Z1409" s="7"/>
      <c r="AA1409" s="7"/>
      <c r="AB1409" s="7"/>
      <c r="AC1409" s="7"/>
      <c r="AD1409" s="7"/>
      <c r="AE1409" s="7"/>
      <c r="AG1409" s="36"/>
      <c r="AH1409" s="36"/>
      <c r="AI1409" s="35"/>
      <c r="AJ1409" s="7"/>
      <c r="AK1409" s="7"/>
      <c r="AL1409" s="7"/>
      <c r="AM1409" s="7"/>
      <c r="AN1409" s="7"/>
      <c r="AO1409" s="7"/>
      <c r="AP1409" s="7"/>
      <c r="AQ1409" s="7"/>
      <c r="AS1409" s="36"/>
      <c r="AT1409" s="36"/>
      <c r="AU1409" s="35"/>
      <c r="AV1409" s="7"/>
      <c r="AW1409" s="7"/>
      <c r="AX1409" s="7"/>
      <c r="AY1409" s="7"/>
      <c r="AZ1409" s="7"/>
      <c r="BA1409" s="7"/>
      <c r="BB1409" s="7"/>
      <c r="BC1409" s="7"/>
      <c r="BF1409" s="7"/>
      <c r="BG1409" s="36"/>
      <c r="BH1409" s="36"/>
      <c r="BI1409" s="36"/>
      <c r="BJ1409" s="36"/>
      <c r="BK1409" s="36"/>
      <c r="BL1409" s="36"/>
      <c r="BM1409" s="36"/>
      <c r="BN1409" s="36"/>
      <c r="BO1409" s="36"/>
    </row>
    <row r="1410" spans="1:67" x14ac:dyDescent="0.25">
      <c r="A1410" s="39"/>
      <c r="B1410" s="40"/>
      <c r="U1410" s="36"/>
      <c r="V1410" s="36"/>
      <c r="W1410" s="35"/>
      <c r="X1410" s="7"/>
      <c r="Y1410" s="7"/>
      <c r="Z1410" s="7"/>
      <c r="AA1410" s="7"/>
      <c r="AB1410" s="7"/>
      <c r="AC1410" s="7"/>
      <c r="AD1410" s="7"/>
      <c r="AE1410" s="7"/>
      <c r="AG1410" s="36"/>
      <c r="AH1410" s="36"/>
      <c r="AI1410" s="35"/>
      <c r="AJ1410" s="7"/>
      <c r="AK1410" s="7"/>
      <c r="AL1410" s="7"/>
      <c r="AM1410" s="7"/>
      <c r="AN1410" s="7"/>
      <c r="AO1410" s="7"/>
      <c r="AP1410" s="7"/>
      <c r="AQ1410" s="7"/>
      <c r="AS1410" s="36"/>
      <c r="AT1410" s="36"/>
      <c r="AU1410" s="35"/>
      <c r="AV1410" s="7"/>
      <c r="AW1410" s="7"/>
      <c r="AX1410" s="7"/>
      <c r="AY1410" s="7"/>
      <c r="AZ1410" s="7"/>
      <c r="BA1410" s="7"/>
      <c r="BB1410" s="7"/>
      <c r="BC1410" s="7"/>
      <c r="BF1410" s="7"/>
      <c r="BG1410" s="36"/>
      <c r="BH1410" s="36"/>
      <c r="BI1410" s="36"/>
      <c r="BJ1410" s="36"/>
      <c r="BK1410" s="36"/>
      <c r="BL1410" s="36"/>
      <c r="BM1410" s="36"/>
      <c r="BN1410" s="36"/>
      <c r="BO1410" s="36"/>
    </row>
    <row r="1411" spans="1:67" x14ac:dyDescent="0.25">
      <c r="A1411" s="39"/>
      <c r="B1411" s="40"/>
      <c r="U1411" s="36"/>
      <c r="V1411" s="36"/>
      <c r="W1411" s="35"/>
      <c r="X1411" s="7"/>
      <c r="Y1411" s="7"/>
      <c r="Z1411" s="7"/>
      <c r="AA1411" s="7"/>
      <c r="AB1411" s="7"/>
      <c r="AC1411" s="7"/>
      <c r="AD1411" s="7"/>
      <c r="AE1411" s="7"/>
      <c r="AG1411" s="36"/>
      <c r="AH1411" s="36"/>
      <c r="AI1411" s="35"/>
      <c r="AJ1411" s="7"/>
      <c r="AK1411" s="7"/>
      <c r="AL1411" s="7"/>
      <c r="AM1411" s="7"/>
      <c r="AN1411" s="7"/>
      <c r="AO1411" s="7"/>
      <c r="AP1411" s="7"/>
      <c r="AQ1411" s="7"/>
      <c r="AS1411" s="36"/>
      <c r="AT1411" s="36"/>
      <c r="AU1411" s="35"/>
      <c r="AV1411" s="7"/>
      <c r="AW1411" s="7"/>
      <c r="AX1411" s="7"/>
      <c r="AY1411" s="7"/>
      <c r="AZ1411" s="7"/>
      <c r="BA1411" s="7"/>
      <c r="BB1411" s="7"/>
      <c r="BC1411" s="7"/>
      <c r="BF1411" s="7"/>
      <c r="BG1411" s="36"/>
      <c r="BH1411" s="36"/>
      <c r="BI1411" s="36"/>
      <c r="BJ1411" s="36"/>
      <c r="BK1411" s="36"/>
      <c r="BL1411" s="36"/>
      <c r="BM1411" s="36"/>
      <c r="BN1411" s="36"/>
      <c r="BO1411" s="36"/>
    </row>
    <row r="1412" spans="1:67" x14ac:dyDescent="0.25">
      <c r="A1412" s="39"/>
      <c r="B1412" s="40"/>
      <c r="U1412" s="36"/>
      <c r="V1412" s="36"/>
      <c r="W1412" s="35"/>
      <c r="X1412" s="7"/>
      <c r="Y1412" s="7"/>
      <c r="Z1412" s="7"/>
      <c r="AA1412" s="7"/>
      <c r="AB1412" s="7"/>
      <c r="AC1412" s="7"/>
      <c r="AD1412" s="7"/>
      <c r="AE1412" s="7"/>
      <c r="AG1412" s="36"/>
      <c r="AH1412" s="36"/>
      <c r="AI1412" s="35"/>
      <c r="AJ1412" s="7"/>
      <c r="AK1412" s="7"/>
      <c r="AL1412" s="7"/>
      <c r="AM1412" s="7"/>
      <c r="AN1412" s="7"/>
      <c r="AO1412" s="7"/>
      <c r="AP1412" s="7"/>
      <c r="AQ1412" s="7"/>
      <c r="AS1412" s="36"/>
      <c r="AT1412" s="36"/>
      <c r="AU1412" s="35"/>
      <c r="AV1412" s="7"/>
      <c r="AW1412" s="7"/>
      <c r="AX1412" s="7"/>
      <c r="AY1412" s="7"/>
      <c r="AZ1412" s="7"/>
      <c r="BA1412" s="7"/>
      <c r="BB1412" s="7"/>
      <c r="BC1412" s="7"/>
      <c r="BF1412" s="7"/>
      <c r="BG1412" s="36"/>
      <c r="BH1412" s="36"/>
      <c r="BI1412" s="36"/>
      <c r="BJ1412" s="36"/>
      <c r="BK1412" s="36"/>
      <c r="BL1412" s="36"/>
      <c r="BM1412" s="36"/>
      <c r="BN1412" s="36"/>
      <c r="BO1412" s="36"/>
    </row>
    <row r="1413" spans="1:67" x14ac:dyDescent="0.25">
      <c r="A1413" s="39"/>
      <c r="B1413" s="40"/>
      <c r="U1413" s="36"/>
      <c r="V1413" s="36"/>
      <c r="W1413" s="35"/>
      <c r="X1413" s="7"/>
      <c r="Y1413" s="7"/>
      <c r="Z1413" s="7"/>
      <c r="AA1413" s="7"/>
      <c r="AB1413" s="7"/>
      <c r="AC1413" s="7"/>
      <c r="AD1413" s="7"/>
      <c r="AE1413" s="7"/>
      <c r="AG1413" s="36"/>
      <c r="AH1413" s="36"/>
      <c r="AI1413" s="35"/>
      <c r="AJ1413" s="7"/>
      <c r="AK1413" s="7"/>
      <c r="AL1413" s="7"/>
      <c r="AM1413" s="7"/>
      <c r="AN1413" s="7"/>
      <c r="AO1413" s="7"/>
      <c r="AP1413" s="7"/>
      <c r="AQ1413" s="7"/>
      <c r="AS1413" s="36"/>
      <c r="AT1413" s="36"/>
      <c r="AU1413" s="35"/>
      <c r="AV1413" s="7"/>
      <c r="AW1413" s="7"/>
      <c r="AX1413" s="7"/>
      <c r="AY1413" s="7"/>
      <c r="AZ1413" s="7"/>
      <c r="BA1413" s="7"/>
      <c r="BB1413" s="7"/>
      <c r="BC1413" s="7"/>
      <c r="BF1413" s="7"/>
      <c r="BG1413" s="36"/>
      <c r="BH1413" s="36"/>
      <c r="BI1413" s="36"/>
      <c r="BJ1413" s="36"/>
      <c r="BK1413" s="36"/>
      <c r="BL1413" s="36"/>
      <c r="BM1413" s="36"/>
      <c r="BN1413" s="36"/>
      <c r="BO1413" s="36"/>
    </row>
    <row r="1414" spans="1:67" x14ac:dyDescent="0.25">
      <c r="A1414" s="39"/>
      <c r="B1414" s="40"/>
      <c r="U1414" s="36"/>
      <c r="V1414" s="36"/>
      <c r="W1414" s="35"/>
      <c r="X1414" s="7"/>
      <c r="Y1414" s="7"/>
      <c r="Z1414" s="7"/>
      <c r="AA1414" s="7"/>
      <c r="AB1414" s="7"/>
      <c r="AC1414" s="7"/>
      <c r="AD1414" s="7"/>
      <c r="AE1414" s="7"/>
      <c r="AG1414" s="36"/>
      <c r="AH1414" s="36"/>
      <c r="AI1414" s="35"/>
      <c r="AJ1414" s="7"/>
      <c r="AK1414" s="7"/>
      <c r="AL1414" s="7"/>
      <c r="AM1414" s="7"/>
      <c r="AN1414" s="7"/>
      <c r="AO1414" s="7"/>
      <c r="AP1414" s="7"/>
      <c r="AQ1414" s="7"/>
      <c r="AS1414" s="36"/>
      <c r="AT1414" s="36"/>
      <c r="AU1414" s="35"/>
      <c r="AV1414" s="7"/>
      <c r="AW1414" s="7"/>
      <c r="AX1414" s="7"/>
      <c r="AY1414" s="7"/>
      <c r="AZ1414" s="7"/>
      <c r="BA1414" s="7"/>
      <c r="BB1414" s="7"/>
      <c r="BC1414" s="7"/>
      <c r="BF1414" s="7"/>
      <c r="BG1414" s="36"/>
      <c r="BH1414" s="36"/>
      <c r="BI1414" s="36"/>
      <c r="BJ1414" s="36"/>
      <c r="BK1414" s="36"/>
      <c r="BL1414" s="36"/>
      <c r="BM1414" s="36"/>
      <c r="BN1414" s="36"/>
      <c r="BO1414" s="36"/>
    </row>
    <row r="1415" spans="1:67" x14ac:dyDescent="0.25">
      <c r="A1415" s="39"/>
      <c r="B1415" s="40"/>
      <c r="U1415" s="36"/>
      <c r="V1415" s="36"/>
      <c r="W1415" s="35"/>
      <c r="X1415" s="7"/>
      <c r="Y1415" s="7"/>
      <c r="Z1415" s="7"/>
      <c r="AA1415" s="7"/>
      <c r="AB1415" s="7"/>
      <c r="AC1415" s="7"/>
      <c r="AD1415" s="7"/>
      <c r="AE1415" s="7"/>
      <c r="AG1415" s="36"/>
      <c r="AH1415" s="36"/>
      <c r="AI1415" s="35"/>
      <c r="AJ1415" s="7"/>
      <c r="AK1415" s="7"/>
      <c r="AL1415" s="7"/>
      <c r="AM1415" s="7"/>
      <c r="AN1415" s="7"/>
      <c r="AO1415" s="7"/>
      <c r="AP1415" s="7"/>
      <c r="AQ1415" s="7"/>
      <c r="AS1415" s="36"/>
      <c r="AT1415" s="36"/>
      <c r="AU1415" s="35"/>
      <c r="AV1415" s="7"/>
      <c r="AW1415" s="7"/>
      <c r="AX1415" s="7"/>
      <c r="AY1415" s="7"/>
      <c r="AZ1415" s="7"/>
      <c r="BA1415" s="7"/>
      <c r="BB1415" s="7"/>
      <c r="BC1415" s="7"/>
      <c r="BF1415" s="7"/>
      <c r="BG1415" s="36"/>
      <c r="BH1415" s="36"/>
      <c r="BI1415" s="36"/>
      <c r="BJ1415" s="36"/>
      <c r="BK1415" s="36"/>
      <c r="BL1415" s="36"/>
      <c r="BM1415" s="36"/>
      <c r="BN1415" s="36"/>
      <c r="BO1415" s="36"/>
    </row>
    <row r="1416" spans="1:67" x14ac:dyDescent="0.25">
      <c r="A1416" s="39"/>
      <c r="B1416" s="40"/>
      <c r="U1416" s="36"/>
      <c r="V1416" s="36"/>
      <c r="W1416" s="35"/>
      <c r="X1416" s="7"/>
      <c r="Y1416" s="7"/>
      <c r="Z1416" s="7"/>
      <c r="AA1416" s="7"/>
      <c r="AB1416" s="7"/>
      <c r="AC1416" s="7"/>
      <c r="AD1416" s="7"/>
      <c r="AE1416" s="7"/>
      <c r="AG1416" s="36"/>
      <c r="AH1416" s="36"/>
      <c r="AI1416" s="35"/>
      <c r="AJ1416" s="7"/>
      <c r="AK1416" s="7"/>
      <c r="AL1416" s="7"/>
      <c r="AM1416" s="7"/>
      <c r="AN1416" s="7"/>
      <c r="AO1416" s="7"/>
      <c r="AP1416" s="7"/>
      <c r="AQ1416" s="7"/>
      <c r="AS1416" s="36"/>
      <c r="AT1416" s="36"/>
      <c r="AU1416" s="35"/>
      <c r="AV1416" s="7"/>
      <c r="AW1416" s="7"/>
      <c r="AX1416" s="7"/>
      <c r="AY1416" s="7"/>
      <c r="AZ1416" s="7"/>
      <c r="BA1416" s="7"/>
      <c r="BB1416" s="7"/>
      <c r="BC1416" s="7"/>
      <c r="BF1416" s="7"/>
      <c r="BG1416" s="36"/>
      <c r="BH1416" s="36"/>
      <c r="BI1416" s="36"/>
      <c r="BJ1416" s="36"/>
      <c r="BK1416" s="36"/>
      <c r="BL1416" s="36"/>
      <c r="BM1416" s="36"/>
      <c r="BN1416" s="36"/>
      <c r="BO1416" s="36"/>
    </row>
    <row r="1417" spans="1:67" x14ac:dyDescent="0.25">
      <c r="A1417" s="39"/>
      <c r="B1417" s="40"/>
      <c r="U1417" s="36"/>
      <c r="V1417" s="36"/>
      <c r="W1417" s="35"/>
      <c r="X1417" s="7"/>
      <c r="Y1417" s="7"/>
      <c r="Z1417" s="7"/>
      <c r="AA1417" s="7"/>
      <c r="AB1417" s="7"/>
      <c r="AC1417" s="7"/>
      <c r="AD1417" s="7"/>
      <c r="AE1417" s="7"/>
      <c r="AG1417" s="36"/>
      <c r="AH1417" s="36"/>
      <c r="AI1417" s="35"/>
      <c r="AJ1417" s="7"/>
      <c r="AK1417" s="7"/>
      <c r="AL1417" s="7"/>
      <c r="AM1417" s="7"/>
      <c r="AN1417" s="7"/>
      <c r="AO1417" s="7"/>
      <c r="AP1417" s="7"/>
      <c r="AQ1417" s="7"/>
      <c r="AS1417" s="36"/>
      <c r="AT1417" s="36"/>
      <c r="AU1417" s="35"/>
      <c r="AV1417" s="7"/>
      <c r="AW1417" s="7"/>
      <c r="AX1417" s="7"/>
      <c r="AY1417" s="7"/>
      <c r="AZ1417" s="7"/>
      <c r="BA1417" s="7"/>
      <c r="BB1417" s="7"/>
      <c r="BC1417" s="7"/>
      <c r="BF1417" s="7"/>
      <c r="BG1417" s="36"/>
      <c r="BH1417" s="36"/>
      <c r="BI1417" s="36"/>
      <c r="BJ1417" s="36"/>
      <c r="BK1417" s="36"/>
      <c r="BL1417" s="36"/>
      <c r="BM1417" s="36"/>
      <c r="BN1417" s="36"/>
      <c r="BO1417" s="36"/>
    </row>
    <row r="1418" spans="1:67" x14ac:dyDescent="0.25">
      <c r="A1418" s="39"/>
      <c r="B1418" s="40"/>
      <c r="U1418" s="36"/>
      <c r="V1418" s="36"/>
      <c r="W1418" s="35"/>
      <c r="X1418" s="7"/>
      <c r="Y1418" s="7"/>
      <c r="Z1418" s="7"/>
      <c r="AA1418" s="7"/>
      <c r="AB1418" s="7"/>
      <c r="AC1418" s="7"/>
      <c r="AD1418" s="7"/>
      <c r="AE1418" s="7"/>
      <c r="AG1418" s="36"/>
      <c r="AH1418" s="36"/>
      <c r="AI1418" s="35"/>
      <c r="AJ1418" s="7"/>
      <c r="AK1418" s="7"/>
      <c r="AL1418" s="7"/>
      <c r="AM1418" s="7"/>
      <c r="AN1418" s="7"/>
      <c r="AO1418" s="7"/>
      <c r="AP1418" s="7"/>
      <c r="AQ1418" s="7"/>
      <c r="AS1418" s="36"/>
      <c r="AT1418" s="36"/>
      <c r="AU1418" s="35"/>
      <c r="AV1418" s="7"/>
      <c r="AW1418" s="7"/>
      <c r="AX1418" s="7"/>
      <c r="AY1418" s="7"/>
      <c r="AZ1418" s="7"/>
      <c r="BA1418" s="7"/>
      <c r="BB1418" s="7"/>
      <c r="BC1418" s="7"/>
      <c r="BF1418" s="7"/>
      <c r="BG1418" s="36"/>
      <c r="BH1418" s="36"/>
      <c r="BI1418" s="36"/>
      <c r="BJ1418" s="36"/>
      <c r="BK1418" s="36"/>
      <c r="BL1418" s="36"/>
      <c r="BM1418" s="36"/>
      <c r="BN1418" s="36"/>
      <c r="BO1418" s="36"/>
    </row>
    <row r="1419" spans="1:67" x14ac:dyDescent="0.25">
      <c r="A1419" s="39"/>
      <c r="B1419" s="40"/>
      <c r="U1419" s="36"/>
      <c r="V1419" s="36"/>
      <c r="W1419" s="35"/>
      <c r="X1419" s="7"/>
      <c r="Y1419" s="7"/>
      <c r="Z1419" s="7"/>
      <c r="AA1419" s="7"/>
      <c r="AB1419" s="7"/>
      <c r="AC1419" s="7"/>
      <c r="AD1419" s="7"/>
      <c r="AE1419" s="7"/>
      <c r="AG1419" s="36"/>
      <c r="AH1419" s="36"/>
      <c r="AI1419" s="35"/>
      <c r="AJ1419" s="7"/>
      <c r="AK1419" s="7"/>
      <c r="AL1419" s="7"/>
      <c r="AM1419" s="7"/>
      <c r="AN1419" s="7"/>
      <c r="AO1419" s="7"/>
      <c r="AP1419" s="7"/>
      <c r="AQ1419" s="7"/>
      <c r="AS1419" s="36"/>
      <c r="AT1419" s="36"/>
      <c r="AU1419" s="35"/>
      <c r="AV1419" s="7"/>
      <c r="AW1419" s="7"/>
      <c r="AX1419" s="7"/>
      <c r="AY1419" s="7"/>
      <c r="AZ1419" s="7"/>
      <c r="BA1419" s="7"/>
      <c r="BB1419" s="7"/>
      <c r="BC1419" s="7"/>
      <c r="BF1419" s="7"/>
      <c r="BG1419" s="36"/>
      <c r="BH1419" s="36"/>
      <c r="BI1419" s="36"/>
      <c r="BJ1419" s="36"/>
      <c r="BK1419" s="36"/>
      <c r="BL1419" s="36"/>
      <c r="BM1419" s="36"/>
      <c r="BN1419" s="36"/>
      <c r="BO1419" s="36"/>
    </row>
    <row r="1420" spans="1:67" x14ac:dyDescent="0.25">
      <c r="A1420" s="39"/>
      <c r="B1420" s="40"/>
      <c r="U1420" s="36"/>
      <c r="V1420" s="36"/>
      <c r="W1420" s="35"/>
      <c r="X1420" s="7"/>
      <c r="Y1420" s="7"/>
      <c r="Z1420" s="7"/>
      <c r="AA1420" s="7"/>
      <c r="AB1420" s="7"/>
      <c r="AC1420" s="7"/>
      <c r="AD1420" s="7"/>
      <c r="AE1420" s="7"/>
      <c r="AG1420" s="36"/>
      <c r="AH1420" s="36"/>
      <c r="AI1420" s="35"/>
      <c r="AJ1420" s="7"/>
      <c r="AK1420" s="7"/>
      <c r="AL1420" s="7"/>
      <c r="AM1420" s="7"/>
      <c r="AN1420" s="7"/>
      <c r="AO1420" s="7"/>
      <c r="AP1420" s="7"/>
      <c r="AQ1420" s="7"/>
      <c r="AS1420" s="36"/>
      <c r="AT1420" s="36"/>
      <c r="AU1420" s="35"/>
      <c r="AV1420" s="7"/>
      <c r="AW1420" s="7"/>
      <c r="AX1420" s="7"/>
      <c r="AY1420" s="7"/>
      <c r="AZ1420" s="7"/>
      <c r="BA1420" s="7"/>
      <c r="BB1420" s="7"/>
      <c r="BC1420" s="7"/>
      <c r="BF1420" s="7"/>
      <c r="BG1420" s="36"/>
      <c r="BH1420" s="36"/>
      <c r="BI1420" s="36"/>
      <c r="BJ1420" s="36"/>
      <c r="BK1420" s="36"/>
      <c r="BL1420" s="36"/>
      <c r="BM1420" s="36"/>
      <c r="BN1420" s="36"/>
      <c r="BO1420" s="36"/>
    </row>
    <row r="1421" spans="1:67" x14ac:dyDescent="0.25">
      <c r="A1421" s="39"/>
      <c r="B1421" s="40"/>
      <c r="U1421" s="36"/>
      <c r="V1421" s="36"/>
      <c r="W1421" s="35"/>
      <c r="X1421" s="7"/>
      <c r="Y1421" s="7"/>
      <c r="Z1421" s="7"/>
      <c r="AA1421" s="7"/>
      <c r="AB1421" s="7"/>
      <c r="AC1421" s="7"/>
      <c r="AD1421" s="7"/>
      <c r="AE1421" s="7"/>
      <c r="AG1421" s="36"/>
      <c r="AH1421" s="36"/>
      <c r="AI1421" s="35"/>
      <c r="AJ1421" s="7"/>
      <c r="AK1421" s="7"/>
      <c r="AL1421" s="7"/>
      <c r="AM1421" s="7"/>
      <c r="AN1421" s="7"/>
      <c r="AO1421" s="7"/>
      <c r="AP1421" s="7"/>
      <c r="AQ1421" s="7"/>
      <c r="AS1421" s="36"/>
      <c r="AT1421" s="36"/>
      <c r="AU1421" s="35"/>
      <c r="AV1421" s="7"/>
      <c r="AW1421" s="7"/>
      <c r="AX1421" s="7"/>
      <c r="AY1421" s="7"/>
      <c r="AZ1421" s="7"/>
      <c r="BA1421" s="7"/>
      <c r="BB1421" s="7"/>
      <c r="BC1421" s="7"/>
      <c r="BF1421" s="7"/>
      <c r="BG1421" s="36"/>
      <c r="BH1421" s="36"/>
      <c r="BI1421" s="36"/>
      <c r="BJ1421" s="36"/>
      <c r="BK1421" s="36"/>
      <c r="BL1421" s="36"/>
      <c r="BM1421" s="36"/>
      <c r="BN1421" s="36"/>
      <c r="BO1421" s="36"/>
    </row>
    <row r="1422" spans="1:67" x14ac:dyDescent="0.25">
      <c r="A1422" s="39"/>
      <c r="B1422" s="40"/>
      <c r="U1422" s="36"/>
      <c r="V1422" s="36"/>
      <c r="W1422" s="35"/>
      <c r="X1422" s="7"/>
      <c r="Y1422" s="7"/>
      <c r="Z1422" s="7"/>
      <c r="AA1422" s="7"/>
      <c r="AB1422" s="7"/>
      <c r="AC1422" s="7"/>
      <c r="AD1422" s="7"/>
      <c r="AE1422" s="7"/>
      <c r="AG1422" s="36"/>
      <c r="AH1422" s="36"/>
      <c r="AI1422" s="35"/>
      <c r="AJ1422" s="7"/>
      <c r="AK1422" s="7"/>
      <c r="AL1422" s="7"/>
      <c r="AM1422" s="7"/>
      <c r="AN1422" s="7"/>
      <c r="AO1422" s="7"/>
      <c r="AP1422" s="7"/>
      <c r="AQ1422" s="7"/>
      <c r="AS1422" s="36"/>
      <c r="AT1422" s="36"/>
      <c r="AU1422" s="35"/>
      <c r="AV1422" s="7"/>
      <c r="AW1422" s="7"/>
      <c r="AX1422" s="7"/>
      <c r="AY1422" s="7"/>
      <c r="AZ1422" s="7"/>
      <c r="BA1422" s="7"/>
      <c r="BB1422" s="7"/>
      <c r="BC1422" s="7"/>
      <c r="BF1422" s="7"/>
      <c r="BG1422" s="36"/>
      <c r="BH1422" s="36"/>
      <c r="BI1422" s="36"/>
      <c r="BJ1422" s="36"/>
      <c r="BK1422" s="36"/>
      <c r="BL1422" s="36"/>
      <c r="BM1422" s="36"/>
      <c r="BN1422" s="36"/>
      <c r="BO1422" s="36"/>
    </row>
    <row r="1423" spans="1:67" x14ac:dyDescent="0.25">
      <c r="A1423" s="39"/>
      <c r="B1423" s="40"/>
      <c r="U1423" s="36"/>
      <c r="V1423" s="36"/>
      <c r="W1423" s="35"/>
      <c r="X1423" s="7"/>
      <c r="Y1423" s="7"/>
      <c r="Z1423" s="7"/>
      <c r="AA1423" s="7"/>
      <c r="AB1423" s="7"/>
      <c r="AC1423" s="7"/>
      <c r="AD1423" s="7"/>
      <c r="AE1423" s="7"/>
      <c r="AG1423" s="36"/>
      <c r="AH1423" s="36"/>
      <c r="AI1423" s="35"/>
      <c r="AJ1423" s="7"/>
      <c r="AK1423" s="7"/>
      <c r="AL1423" s="7"/>
      <c r="AM1423" s="7"/>
      <c r="AN1423" s="7"/>
      <c r="AO1423" s="7"/>
      <c r="AP1423" s="7"/>
      <c r="AQ1423" s="7"/>
      <c r="AS1423" s="36"/>
      <c r="AT1423" s="36"/>
      <c r="AU1423" s="35"/>
      <c r="AV1423" s="7"/>
      <c r="AW1423" s="7"/>
      <c r="AX1423" s="7"/>
      <c r="AY1423" s="7"/>
      <c r="AZ1423" s="7"/>
      <c r="BA1423" s="7"/>
      <c r="BB1423" s="7"/>
      <c r="BC1423" s="7"/>
      <c r="BF1423" s="7"/>
      <c r="BG1423" s="36"/>
      <c r="BH1423" s="36"/>
      <c r="BI1423" s="36"/>
      <c r="BJ1423" s="36"/>
      <c r="BK1423" s="36"/>
      <c r="BL1423" s="36"/>
      <c r="BM1423" s="36"/>
      <c r="BN1423" s="36"/>
      <c r="BO1423" s="36"/>
    </row>
    <row r="1424" spans="1:67" x14ac:dyDescent="0.25">
      <c r="A1424" s="39"/>
      <c r="B1424" s="40"/>
      <c r="U1424" s="36"/>
      <c r="V1424" s="36"/>
      <c r="W1424" s="35"/>
      <c r="X1424" s="7"/>
      <c r="Y1424" s="7"/>
      <c r="Z1424" s="7"/>
      <c r="AA1424" s="7"/>
      <c r="AB1424" s="7"/>
      <c r="AC1424" s="7"/>
      <c r="AD1424" s="7"/>
      <c r="AE1424" s="7"/>
      <c r="AG1424" s="36"/>
      <c r="AH1424" s="36"/>
      <c r="AI1424" s="35"/>
      <c r="AJ1424" s="7"/>
      <c r="AK1424" s="7"/>
      <c r="AL1424" s="7"/>
      <c r="AM1424" s="7"/>
      <c r="AN1424" s="7"/>
      <c r="AO1424" s="7"/>
      <c r="AP1424" s="7"/>
      <c r="AQ1424" s="7"/>
      <c r="AS1424" s="36"/>
      <c r="AT1424" s="36"/>
      <c r="AU1424" s="35"/>
      <c r="AV1424" s="7"/>
      <c r="AW1424" s="7"/>
      <c r="AX1424" s="7"/>
      <c r="AY1424" s="7"/>
      <c r="AZ1424" s="7"/>
      <c r="BA1424" s="7"/>
      <c r="BB1424" s="7"/>
      <c r="BC1424" s="7"/>
      <c r="BF1424" s="7"/>
      <c r="BG1424" s="36"/>
      <c r="BH1424" s="36"/>
      <c r="BI1424" s="36"/>
      <c r="BJ1424" s="36"/>
      <c r="BK1424" s="36"/>
      <c r="BL1424" s="36"/>
      <c r="BM1424" s="36"/>
      <c r="BN1424" s="36"/>
      <c r="BO1424" s="36"/>
    </row>
    <row r="1425" spans="1:67" x14ac:dyDescent="0.25">
      <c r="A1425" s="39"/>
      <c r="B1425" s="40"/>
      <c r="U1425" s="36"/>
      <c r="V1425" s="36"/>
      <c r="W1425" s="35"/>
      <c r="X1425" s="7"/>
      <c r="Y1425" s="7"/>
      <c r="Z1425" s="7"/>
      <c r="AA1425" s="7"/>
      <c r="AB1425" s="7"/>
      <c r="AC1425" s="7"/>
      <c r="AD1425" s="7"/>
      <c r="AE1425" s="7"/>
      <c r="AG1425" s="36"/>
      <c r="AH1425" s="36"/>
      <c r="AI1425" s="35"/>
      <c r="AJ1425" s="7"/>
      <c r="AK1425" s="7"/>
      <c r="AL1425" s="7"/>
      <c r="AM1425" s="7"/>
      <c r="AN1425" s="7"/>
      <c r="AO1425" s="7"/>
      <c r="AP1425" s="7"/>
      <c r="AQ1425" s="7"/>
      <c r="AS1425" s="36"/>
      <c r="AT1425" s="36"/>
      <c r="AU1425" s="35"/>
      <c r="AV1425" s="7"/>
      <c r="AW1425" s="7"/>
      <c r="AX1425" s="7"/>
      <c r="AY1425" s="7"/>
      <c r="AZ1425" s="7"/>
      <c r="BA1425" s="7"/>
      <c r="BB1425" s="7"/>
      <c r="BC1425" s="7"/>
      <c r="BF1425" s="7"/>
      <c r="BG1425" s="36"/>
      <c r="BH1425" s="36"/>
      <c r="BI1425" s="36"/>
      <c r="BJ1425" s="36"/>
      <c r="BK1425" s="36"/>
      <c r="BL1425" s="36"/>
      <c r="BM1425" s="36"/>
      <c r="BN1425" s="36"/>
      <c r="BO1425" s="36"/>
    </row>
    <row r="1426" spans="1:67" x14ac:dyDescent="0.25">
      <c r="A1426" s="39"/>
      <c r="B1426" s="40"/>
      <c r="U1426" s="36"/>
      <c r="V1426" s="36"/>
      <c r="W1426" s="35"/>
      <c r="X1426" s="7"/>
      <c r="Y1426" s="7"/>
      <c r="Z1426" s="7"/>
      <c r="AA1426" s="7"/>
      <c r="AB1426" s="7"/>
      <c r="AC1426" s="7"/>
      <c r="AD1426" s="7"/>
      <c r="AE1426" s="7"/>
      <c r="AG1426" s="36"/>
      <c r="AH1426" s="36"/>
      <c r="AI1426" s="35"/>
      <c r="AJ1426" s="7"/>
      <c r="AK1426" s="7"/>
      <c r="AL1426" s="7"/>
      <c r="AM1426" s="7"/>
      <c r="AN1426" s="7"/>
      <c r="AO1426" s="7"/>
      <c r="AP1426" s="7"/>
      <c r="AQ1426" s="7"/>
      <c r="AS1426" s="36"/>
      <c r="AT1426" s="36"/>
      <c r="AU1426" s="35"/>
      <c r="AV1426" s="7"/>
      <c r="AW1426" s="7"/>
      <c r="AX1426" s="7"/>
      <c r="AY1426" s="7"/>
      <c r="AZ1426" s="7"/>
      <c r="BA1426" s="7"/>
      <c r="BB1426" s="7"/>
      <c r="BC1426" s="7"/>
      <c r="BF1426" s="7"/>
      <c r="BG1426" s="36"/>
      <c r="BH1426" s="36"/>
      <c r="BI1426" s="36"/>
      <c r="BJ1426" s="36"/>
      <c r="BK1426" s="36"/>
      <c r="BL1426" s="36"/>
      <c r="BM1426" s="36"/>
      <c r="BN1426" s="36"/>
      <c r="BO1426" s="36"/>
    </row>
    <row r="1427" spans="1:67" x14ac:dyDescent="0.25">
      <c r="A1427" s="39"/>
      <c r="B1427" s="40"/>
      <c r="U1427" s="36"/>
      <c r="V1427" s="36"/>
      <c r="W1427" s="35"/>
      <c r="X1427" s="7"/>
      <c r="Y1427" s="7"/>
      <c r="Z1427" s="7"/>
      <c r="AA1427" s="7"/>
      <c r="AB1427" s="7"/>
      <c r="AC1427" s="7"/>
      <c r="AD1427" s="7"/>
      <c r="AE1427" s="7"/>
      <c r="AG1427" s="36"/>
      <c r="AH1427" s="36"/>
      <c r="AI1427" s="35"/>
      <c r="AJ1427" s="7"/>
      <c r="AK1427" s="7"/>
      <c r="AL1427" s="7"/>
      <c r="AM1427" s="7"/>
      <c r="AN1427" s="7"/>
      <c r="AO1427" s="7"/>
      <c r="AP1427" s="7"/>
      <c r="AQ1427" s="7"/>
      <c r="AS1427" s="36"/>
      <c r="AT1427" s="36"/>
      <c r="AU1427" s="35"/>
      <c r="AV1427" s="7"/>
      <c r="AW1427" s="7"/>
      <c r="AX1427" s="7"/>
      <c r="AY1427" s="7"/>
      <c r="AZ1427" s="7"/>
      <c r="BA1427" s="7"/>
      <c r="BB1427" s="7"/>
      <c r="BC1427" s="7"/>
      <c r="BF1427" s="7"/>
      <c r="BG1427" s="36"/>
      <c r="BH1427" s="36"/>
      <c r="BI1427" s="36"/>
      <c r="BJ1427" s="36"/>
      <c r="BK1427" s="36"/>
      <c r="BL1427" s="36"/>
      <c r="BM1427" s="36"/>
      <c r="BN1427" s="36"/>
      <c r="BO1427" s="36"/>
    </row>
    <row r="1428" spans="1:67" x14ac:dyDescent="0.25">
      <c r="A1428" s="39"/>
      <c r="B1428" s="40"/>
      <c r="U1428" s="36"/>
      <c r="V1428" s="36"/>
      <c r="W1428" s="35"/>
      <c r="X1428" s="7"/>
      <c r="Y1428" s="7"/>
      <c r="Z1428" s="7"/>
      <c r="AA1428" s="7"/>
      <c r="AB1428" s="7"/>
      <c r="AC1428" s="7"/>
      <c r="AD1428" s="7"/>
      <c r="AE1428" s="7"/>
      <c r="AG1428" s="36"/>
      <c r="AH1428" s="36"/>
      <c r="AI1428" s="35"/>
      <c r="AJ1428" s="7"/>
      <c r="AK1428" s="7"/>
      <c r="AL1428" s="7"/>
      <c r="AM1428" s="7"/>
      <c r="AN1428" s="7"/>
      <c r="AO1428" s="7"/>
      <c r="AP1428" s="7"/>
      <c r="AQ1428" s="7"/>
      <c r="AS1428" s="36"/>
      <c r="AT1428" s="36"/>
      <c r="AU1428" s="35"/>
      <c r="AV1428" s="7"/>
      <c r="AW1428" s="7"/>
      <c r="AX1428" s="7"/>
      <c r="AY1428" s="7"/>
      <c r="AZ1428" s="7"/>
      <c r="BA1428" s="7"/>
      <c r="BB1428" s="7"/>
      <c r="BC1428" s="7"/>
      <c r="BF1428" s="7"/>
      <c r="BG1428" s="36"/>
      <c r="BH1428" s="36"/>
      <c r="BI1428" s="36"/>
      <c r="BJ1428" s="36"/>
      <c r="BK1428" s="36"/>
      <c r="BL1428" s="36"/>
      <c r="BM1428" s="36"/>
      <c r="BN1428" s="36"/>
      <c r="BO1428" s="36"/>
    </row>
    <row r="1429" spans="1:67" x14ac:dyDescent="0.25">
      <c r="A1429" s="39"/>
      <c r="B1429" s="40"/>
      <c r="U1429" s="36"/>
      <c r="V1429" s="36"/>
      <c r="W1429" s="35"/>
      <c r="X1429" s="7"/>
      <c r="Y1429" s="7"/>
      <c r="Z1429" s="7"/>
      <c r="AA1429" s="7"/>
      <c r="AB1429" s="7"/>
      <c r="AC1429" s="7"/>
      <c r="AD1429" s="7"/>
      <c r="AE1429" s="7"/>
      <c r="AG1429" s="36"/>
      <c r="AH1429" s="36"/>
      <c r="AI1429" s="35"/>
      <c r="AJ1429" s="7"/>
      <c r="AK1429" s="7"/>
      <c r="AL1429" s="7"/>
      <c r="AM1429" s="7"/>
      <c r="AN1429" s="7"/>
      <c r="AO1429" s="7"/>
      <c r="AP1429" s="7"/>
      <c r="AQ1429" s="7"/>
      <c r="AS1429" s="36"/>
      <c r="AT1429" s="36"/>
      <c r="AU1429" s="35"/>
      <c r="AV1429" s="7"/>
      <c r="AW1429" s="7"/>
      <c r="AX1429" s="7"/>
      <c r="AY1429" s="7"/>
      <c r="AZ1429" s="7"/>
      <c r="BA1429" s="7"/>
      <c r="BB1429" s="7"/>
      <c r="BC1429" s="7"/>
      <c r="BF1429" s="7"/>
      <c r="BG1429" s="36"/>
      <c r="BH1429" s="36"/>
      <c r="BI1429" s="36"/>
      <c r="BJ1429" s="36"/>
      <c r="BK1429" s="36"/>
      <c r="BL1429" s="36"/>
      <c r="BM1429" s="36"/>
      <c r="BN1429" s="36"/>
      <c r="BO1429" s="36"/>
    </row>
    <row r="1430" spans="1:67" x14ac:dyDescent="0.25">
      <c r="A1430" s="39"/>
      <c r="B1430" s="40"/>
      <c r="U1430" s="36"/>
      <c r="V1430" s="36"/>
      <c r="W1430" s="35"/>
      <c r="X1430" s="7"/>
      <c r="Y1430" s="7"/>
      <c r="Z1430" s="7"/>
      <c r="AA1430" s="7"/>
      <c r="AB1430" s="7"/>
      <c r="AC1430" s="7"/>
      <c r="AD1430" s="7"/>
      <c r="AE1430" s="7"/>
      <c r="AG1430" s="36"/>
      <c r="AH1430" s="36"/>
      <c r="AI1430" s="35"/>
      <c r="AJ1430" s="7"/>
      <c r="AK1430" s="7"/>
      <c r="AL1430" s="7"/>
      <c r="AM1430" s="7"/>
      <c r="AN1430" s="7"/>
      <c r="AO1430" s="7"/>
      <c r="AP1430" s="7"/>
      <c r="AQ1430" s="7"/>
      <c r="AS1430" s="36"/>
      <c r="AT1430" s="36"/>
      <c r="AU1430" s="35"/>
      <c r="AV1430" s="7"/>
      <c r="AW1430" s="7"/>
      <c r="AX1430" s="7"/>
      <c r="AY1430" s="7"/>
      <c r="AZ1430" s="7"/>
      <c r="BA1430" s="7"/>
      <c r="BB1430" s="7"/>
      <c r="BC1430" s="7"/>
      <c r="BF1430" s="7"/>
      <c r="BG1430" s="36"/>
      <c r="BH1430" s="36"/>
      <c r="BI1430" s="36"/>
      <c r="BJ1430" s="36"/>
      <c r="BK1430" s="36"/>
      <c r="BL1430" s="36"/>
      <c r="BM1430" s="36"/>
      <c r="BN1430" s="36"/>
      <c r="BO1430" s="36"/>
    </row>
    <row r="1431" spans="1:67" x14ac:dyDescent="0.25">
      <c r="A1431" s="39"/>
      <c r="B1431" s="40"/>
      <c r="U1431" s="36"/>
      <c r="V1431" s="36"/>
      <c r="W1431" s="35"/>
      <c r="X1431" s="7"/>
      <c r="Y1431" s="7"/>
      <c r="Z1431" s="7"/>
      <c r="AA1431" s="7"/>
      <c r="AB1431" s="7"/>
      <c r="AC1431" s="7"/>
      <c r="AD1431" s="7"/>
      <c r="AE1431" s="7"/>
      <c r="AG1431" s="36"/>
      <c r="AH1431" s="36"/>
      <c r="AI1431" s="35"/>
      <c r="AJ1431" s="7"/>
      <c r="AK1431" s="7"/>
      <c r="AL1431" s="7"/>
      <c r="AM1431" s="7"/>
      <c r="AN1431" s="7"/>
      <c r="AO1431" s="7"/>
      <c r="AP1431" s="7"/>
      <c r="AQ1431" s="7"/>
      <c r="AS1431" s="36"/>
      <c r="AT1431" s="36"/>
      <c r="AU1431" s="35"/>
      <c r="AV1431" s="7"/>
      <c r="AW1431" s="7"/>
      <c r="AX1431" s="7"/>
      <c r="AY1431" s="7"/>
      <c r="AZ1431" s="7"/>
      <c r="BA1431" s="7"/>
      <c r="BB1431" s="7"/>
      <c r="BC1431" s="7"/>
      <c r="BF1431" s="7"/>
      <c r="BG1431" s="36"/>
      <c r="BH1431" s="36"/>
      <c r="BI1431" s="36"/>
      <c r="BJ1431" s="36"/>
      <c r="BK1431" s="36"/>
      <c r="BL1431" s="36"/>
      <c r="BM1431" s="36"/>
      <c r="BN1431" s="36"/>
      <c r="BO1431" s="36"/>
    </row>
    <row r="1432" spans="1:67" x14ac:dyDescent="0.25">
      <c r="A1432" s="39"/>
      <c r="B1432" s="40"/>
      <c r="U1432" s="36"/>
      <c r="V1432" s="36"/>
      <c r="W1432" s="35"/>
      <c r="X1432" s="7"/>
      <c r="Y1432" s="7"/>
      <c r="Z1432" s="7"/>
      <c r="AA1432" s="7"/>
      <c r="AB1432" s="7"/>
      <c r="AC1432" s="7"/>
      <c r="AD1432" s="7"/>
      <c r="AE1432" s="7"/>
      <c r="AG1432" s="36"/>
      <c r="AH1432" s="36"/>
      <c r="AI1432" s="35"/>
      <c r="AJ1432" s="7"/>
      <c r="AK1432" s="7"/>
      <c r="AL1432" s="7"/>
      <c r="AM1432" s="7"/>
      <c r="AN1432" s="7"/>
      <c r="AO1432" s="7"/>
      <c r="AP1432" s="7"/>
      <c r="AQ1432" s="7"/>
      <c r="AS1432" s="36"/>
      <c r="AT1432" s="36"/>
      <c r="AU1432" s="35"/>
      <c r="AV1432" s="7"/>
      <c r="AW1432" s="7"/>
      <c r="AX1432" s="7"/>
      <c r="AY1432" s="7"/>
      <c r="AZ1432" s="7"/>
      <c r="BA1432" s="7"/>
      <c r="BB1432" s="7"/>
      <c r="BC1432" s="7"/>
      <c r="BF1432" s="7"/>
      <c r="BG1432" s="36"/>
      <c r="BH1432" s="36"/>
      <c r="BI1432" s="36"/>
      <c r="BJ1432" s="36"/>
      <c r="BK1432" s="36"/>
      <c r="BL1432" s="36"/>
      <c r="BM1432" s="36"/>
      <c r="BN1432" s="36"/>
      <c r="BO1432" s="36"/>
    </row>
    <row r="1433" spans="1:67" x14ac:dyDescent="0.25">
      <c r="A1433" s="39"/>
      <c r="B1433" s="40"/>
      <c r="U1433" s="36"/>
      <c r="V1433" s="36"/>
      <c r="W1433" s="35"/>
      <c r="X1433" s="7"/>
      <c r="Y1433" s="7"/>
      <c r="Z1433" s="7"/>
      <c r="AA1433" s="7"/>
      <c r="AB1433" s="7"/>
      <c r="AC1433" s="7"/>
      <c r="AD1433" s="7"/>
      <c r="AE1433" s="7"/>
      <c r="AG1433" s="36"/>
      <c r="AH1433" s="36"/>
      <c r="AI1433" s="35"/>
      <c r="AJ1433" s="7"/>
      <c r="AK1433" s="7"/>
      <c r="AL1433" s="7"/>
      <c r="AM1433" s="7"/>
      <c r="AN1433" s="7"/>
      <c r="AO1433" s="7"/>
      <c r="AP1433" s="7"/>
      <c r="AQ1433" s="7"/>
      <c r="AS1433" s="36"/>
      <c r="AT1433" s="36"/>
      <c r="AU1433" s="35"/>
      <c r="AV1433" s="7"/>
      <c r="AW1433" s="7"/>
      <c r="AX1433" s="7"/>
      <c r="AY1433" s="7"/>
      <c r="AZ1433" s="7"/>
      <c r="BA1433" s="7"/>
      <c r="BB1433" s="7"/>
      <c r="BC1433" s="7"/>
      <c r="BF1433" s="7"/>
      <c r="BG1433" s="36"/>
      <c r="BH1433" s="36"/>
      <c r="BI1433" s="36"/>
      <c r="BJ1433" s="36"/>
      <c r="BK1433" s="36"/>
      <c r="BL1433" s="36"/>
      <c r="BM1433" s="36"/>
      <c r="BN1433" s="36"/>
      <c r="BO1433" s="36"/>
    </row>
    <row r="1434" spans="1:67" x14ac:dyDescent="0.25">
      <c r="A1434" s="39"/>
      <c r="B1434" s="40"/>
      <c r="U1434" s="36"/>
      <c r="V1434" s="36"/>
      <c r="W1434" s="35"/>
      <c r="X1434" s="7"/>
      <c r="Y1434" s="7"/>
      <c r="Z1434" s="7"/>
      <c r="AA1434" s="7"/>
      <c r="AB1434" s="7"/>
      <c r="AC1434" s="7"/>
      <c r="AD1434" s="7"/>
      <c r="AE1434" s="7"/>
      <c r="AG1434" s="36"/>
      <c r="AH1434" s="36"/>
      <c r="AI1434" s="35"/>
      <c r="AJ1434" s="7"/>
      <c r="AK1434" s="7"/>
      <c r="AL1434" s="7"/>
      <c r="AM1434" s="7"/>
      <c r="AN1434" s="7"/>
      <c r="AO1434" s="7"/>
      <c r="AP1434" s="7"/>
      <c r="AQ1434" s="7"/>
      <c r="AS1434" s="36"/>
      <c r="AT1434" s="36"/>
      <c r="AU1434" s="35"/>
      <c r="AV1434" s="7"/>
      <c r="AW1434" s="7"/>
      <c r="AX1434" s="7"/>
      <c r="AY1434" s="7"/>
      <c r="AZ1434" s="7"/>
      <c r="BA1434" s="7"/>
      <c r="BB1434" s="7"/>
      <c r="BC1434" s="7"/>
      <c r="BF1434" s="7"/>
      <c r="BG1434" s="36"/>
      <c r="BH1434" s="36"/>
      <c r="BI1434" s="36"/>
      <c r="BJ1434" s="36"/>
      <c r="BK1434" s="36"/>
      <c r="BL1434" s="36"/>
      <c r="BM1434" s="36"/>
      <c r="BN1434" s="36"/>
      <c r="BO1434" s="36"/>
    </row>
    <row r="1435" spans="1:67" x14ac:dyDescent="0.25">
      <c r="A1435" s="39"/>
      <c r="B1435" s="40"/>
      <c r="U1435" s="36"/>
      <c r="V1435" s="36"/>
      <c r="W1435" s="35"/>
      <c r="X1435" s="7"/>
      <c r="Y1435" s="7"/>
      <c r="Z1435" s="7"/>
      <c r="AA1435" s="7"/>
      <c r="AB1435" s="7"/>
      <c r="AC1435" s="7"/>
      <c r="AD1435" s="7"/>
      <c r="AE1435" s="7"/>
      <c r="AG1435" s="36"/>
      <c r="AH1435" s="36"/>
      <c r="AI1435" s="35"/>
      <c r="AJ1435" s="7"/>
      <c r="AK1435" s="7"/>
      <c r="AL1435" s="7"/>
      <c r="AM1435" s="7"/>
      <c r="AN1435" s="7"/>
      <c r="AO1435" s="7"/>
      <c r="AP1435" s="7"/>
      <c r="AQ1435" s="7"/>
      <c r="AS1435" s="36"/>
      <c r="AT1435" s="36"/>
      <c r="AU1435" s="35"/>
      <c r="AV1435" s="7"/>
      <c r="AW1435" s="7"/>
      <c r="AX1435" s="7"/>
      <c r="AY1435" s="7"/>
      <c r="AZ1435" s="7"/>
      <c r="BA1435" s="7"/>
      <c r="BB1435" s="7"/>
      <c r="BC1435" s="7"/>
      <c r="BF1435" s="7"/>
      <c r="BG1435" s="36"/>
      <c r="BH1435" s="36"/>
      <c r="BI1435" s="36"/>
      <c r="BJ1435" s="36"/>
      <c r="BK1435" s="36"/>
      <c r="BL1435" s="36"/>
      <c r="BM1435" s="36"/>
      <c r="BN1435" s="36"/>
      <c r="BO1435" s="36"/>
    </row>
    <row r="1436" spans="1:67" x14ac:dyDescent="0.25">
      <c r="A1436" s="39"/>
      <c r="B1436" s="40"/>
      <c r="U1436" s="36"/>
      <c r="V1436" s="36"/>
      <c r="W1436" s="35"/>
      <c r="X1436" s="7"/>
      <c r="Y1436" s="7"/>
      <c r="Z1436" s="7"/>
      <c r="AA1436" s="7"/>
      <c r="AB1436" s="7"/>
      <c r="AC1436" s="7"/>
      <c r="AD1436" s="7"/>
      <c r="AE1436" s="7"/>
      <c r="AG1436" s="36"/>
      <c r="AH1436" s="36"/>
      <c r="AI1436" s="35"/>
      <c r="AJ1436" s="7"/>
      <c r="AK1436" s="7"/>
      <c r="AL1436" s="7"/>
      <c r="AM1436" s="7"/>
      <c r="AN1436" s="7"/>
      <c r="AO1436" s="7"/>
      <c r="AP1436" s="7"/>
      <c r="AQ1436" s="7"/>
      <c r="AS1436" s="36"/>
      <c r="AT1436" s="36"/>
      <c r="AU1436" s="35"/>
      <c r="AV1436" s="7"/>
      <c r="AW1436" s="7"/>
      <c r="AX1436" s="7"/>
      <c r="AY1436" s="7"/>
      <c r="AZ1436" s="7"/>
      <c r="BA1436" s="7"/>
      <c r="BB1436" s="7"/>
      <c r="BC1436" s="7"/>
      <c r="BF1436" s="7"/>
      <c r="BG1436" s="36"/>
      <c r="BH1436" s="36"/>
      <c r="BI1436" s="36"/>
      <c r="BJ1436" s="36"/>
      <c r="BK1436" s="36"/>
      <c r="BL1436" s="36"/>
      <c r="BM1436" s="36"/>
      <c r="BN1436" s="36"/>
      <c r="BO1436" s="36"/>
    </row>
    <row r="1437" spans="1:67" x14ac:dyDescent="0.25">
      <c r="A1437" s="39"/>
      <c r="B1437" s="40"/>
      <c r="U1437" s="36"/>
      <c r="V1437" s="36"/>
      <c r="W1437" s="35"/>
      <c r="X1437" s="7"/>
      <c r="Y1437" s="7"/>
      <c r="Z1437" s="7"/>
      <c r="AA1437" s="7"/>
      <c r="AB1437" s="7"/>
      <c r="AC1437" s="7"/>
      <c r="AD1437" s="7"/>
      <c r="AE1437" s="7"/>
      <c r="AG1437" s="36"/>
      <c r="AH1437" s="36"/>
      <c r="AI1437" s="35"/>
      <c r="AJ1437" s="7"/>
      <c r="AK1437" s="7"/>
      <c r="AL1437" s="7"/>
      <c r="AM1437" s="7"/>
      <c r="AN1437" s="7"/>
      <c r="AO1437" s="7"/>
      <c r="AP1437" s="7"/>
      <c r="AQ1437" s="7"/>
      <c r="AS1437" s="36"/>
      <c r="AT1437" s="36"/>
      <c r="AU1437" s="35"/>
      <c r="AV1437" s="7"/>
      <c r="AW1437" s="7"/>
      <c r="AX1437" s="7"/>
      <c r="AY1437" s="7"/>
      <c r="AZ1437" s="7"/>
      <c r="BA1437" s="7"/>
      <c r="BB1437" s="7"/>
      <c r="BC1437" s="7"/>
      <c r="BF1437" s="7"/>
      <c r="BG1437" s="36"/>
      <c r="BH1437" s="36"/>
      <c r="BI1437" s="36"/>
      <c r="BJ1437" s="36"/>
      <c r="BK1437" s="36"/>
      <c r="BL1437" s="36"/>
      <c r="BM1437" s="36"/>
      <c r="BN1437" s="36"/>
      <c r="BO1437" s="36"/>
    </row>
    <row r="1438" spans="1:67" x14ac:dyDescent="0.25">
      <c r="A1438" s="39"/>
      <c r="B1438" s="40"/>
      <c r="U1438" s="36"/>
      <c r="V1438" s="36"/>
      <c r="W1438" s="35"/>
      <c r="X1438" s="7"/>
      <c r="Y1438" s="7"/>
      <c r="Z1438" s="7"/>
      <c r="AA1438" s="7"/>
      <c r="AB1438" s="7"/>
      <c r="AC1438" s="7"/>
      <c r="AD1438" s="7"/>
      <c r="AE1438" s="7"/>
      <c r="AG1438" s="36"/>
      <c r="AH1438" s="36"/>
      <c r="AI1438" s="35"/>
      <c r="AJ1438" s="7"/>
      <c r="AK1438" s="7"/>
      <c r="AL1438" s="7"/>
      <c r="AM1438" s="7"/>
      <c r="AN1438" s="7"/>
      <c r="AO1438" s="7"/>
      <c r="AP1438" s="7"/>
      <c r="AQ1438" s="7"/>
      <c r="AS1438" s="36"/>
      <c r="AT1438" s="36"/>
      <c r="AU1438" s="35"/>
      <c r="AV1438" s="7"/>
      <c r="AW1438" s="7"/>
      <c r="AX1438" s="7"/>
      <c r="AY1438" s="7"/>
      <c r="AZ1438" s="7"/>
      <c r="BA1438" s="7"/>
      <c r="BB1438" s="7"/>
      <c r="BC1438" s="7"/>
      <c r="BF1438" s="7"/>
      <c r="BG1438" s="36"/>
      <c r="BH1438" s="36"/>
      <c r="BI1438" s="36"/>
      <c r="BJ1438" s="36"/>
      <c r="BK1438" s="36"/>
      <c r="BL1438" s="36"/>
      <c r="BM1438" s="36"/>
      <c r="BN1438" s="36"/>
      <c r="BO1438" s="36"/>
    </row>
    <row r="1439" spans="1:67" x14ac:dyDescent="0.25">
      <c r="A1439" s="39"/>
      <c r="B1439" s="40"/>
      <c r="U1439" s="36"/>
      <c r="V1439" s="36"/>
      <c r="W1439" s="35"/>
      <c r="X1439" s="7"/>
      <c r="Y1439" s="7"/>
      <c r="Z1439" s="7"/>
      <c r="AA1439" s="7"/>
      <c r="AB1439" s="7"/>
      <c r="AC1439" s="7"/>
      <c r="AD1439" s="7"/>
      <c r="AE1439" s="7"/>
      <c r="AG1439" s="36"/>
      <c r="AH1439" s="36"/>
      <c r="AI1439" s="35"/>
      <c r="AJ1439" s="7"/>
      <c r="AK1439" s="7"/>
      <c r="AL1439" s="7"/>
      <c r="AM1439" s="7"/>
      <c r="AN1439" s="7"/>
      <c r="AO1439" s="7"/>
      <c r="AP1439" s="7"/>
      <c r="AQ1439" s="7"/>
      <c r="AS1439" s="36"/>
      <c r="AT1439" s="36"/>
      <c r="AU1439" s="35"/>
      <c r="AV1439" s="7"/>
      <c r="AW1439" s="7"/>
      <c r="AX1439" s="7"/>
      <c r="AY1439" s="7"/>
      <c r="AZ1439" s="7"/>
      <c r="BA1439" s="7"/>
      <c r="BB1439" s="7"/>
      <c r="BC1439" s="7"/>
      <c r="BF1439" s="7"/>
      <c r="BG1439" s="36"/>
      <c r="BH1439" s="36"/>
      <c r="BI1439" s="36"/>
      <c r="BJ1439" s="36"/>
      <c r="BK1439" s="36"/>
      <c r="BL1439" s="36"/>
      <c r="BM1439" s="36"/>
      <c r="BN1439" s="36"/>
      <c r="BO1439" s="36"/>
    </row>
    <row r="1440" spans="1:67" x14ac:dyDescent="0.25">
      <c r="A1440" s="39"/>
      <c r="B1440" s="40"/>
      <c r="U1440" s="36"/>
      <c r="V1440" s="36"/>
      <c r="W1440" s="35"/>
      <c r="X1440" s="7"/>
      <c r="Y1440" s="7"/>
      <c r="Z1440" s="7"/>
      <c r="AA1440" s="7"/>
      <c r="AB1440" s="7"/>
      <c r="AC1440" s="7"/>
      <c r="AD1440" s="7"/>
      <c r="AE1440" s="7"/>
      <c r="AG1440" s="36"/>
      <c r="AH1440" s="36"/>
      <c r="AI1440" s="35"/>
      <c r="AJ1440" s="7"/>
      <c r="AK1440" s="7"/>
      <c r="AL1440" s="7"/>
      <c r="AM1440" s="7"/>
      <c r="AN1440" s="7"/>
      <c r="AO1440" s="7"/>
      <c r="AP1440" s="7"/>
      <c r="AQ1440" s="7"/>
      <c r="AS1440" s="36"/>
      <c r="AT1440" s="36"/>
      <c r="AU1440" s="35"/>
      <c r="AV1440" s="7"/>
      <c r="AW1440" s="7"/>
      <c r="AX1440" s="7"/>
      <c r="AY1440" s="7"/>
      <c r="AZ1440" s="7"/>
      <c r="BA1440" s="7"/>
      <c r="BB1440" s="7"/>
      <c r="BC1440" s="7"/>
      <c r="BF1440" s="7"/>
      <c r="BG1440" s="36"/>
      <c r="BH1440" s="36"/>
      <c r="BI1440" s="36"/>
      <c r="BJ1440" s="36"/>
      <c r="BK1440" s="36"/>
      <c r="BL1440" s="36"/>
      <c r="BM1440" s="36"/>
      <c r="BN1440" s="36"/>
      <c r="BO1440" s="36"/>
    </row>
    <row r="1441" spans="1:67" x14ac:dyDescent="0.25">
      <c r="A1441" s="39"/>
      <c r="B1441" s="40"/>
      <c r="U1441" s="36"/>
      <c r="V1441" s="36"/>
      <c r="W1441" s="35"/>
      <c r="X1441" s="7"/>
      <c r="Y1441" s="7"/>
      <c r="Z1441" s="7"/>
      <c r="AA1441" s="7"/>
      <c r="AB1441" s="7"/>
      <c r="AC1441" s="7"/>
      <c r="AD1441" s="7"/>
      <c r="AE1441" s="7"/>
      <c r="AG1441" s="36"/>
      <c r="AH1441" s="36"/>
      <c r="AI1441" s="35"/>
      <c r="AJ1441" s="7"/>
      <c r="AK1441" s="7"/>
      <c r="AL1441" s="7"/>
      <c r="AM1441" s="7"/>
      <c r="AN1441" s="7"/>
      <c r="AO1441" s="7"/>
      <c r="AP1441" s="7"/>
      <c r="AQ1441" s="7"/>
      <c r="AS1441" s="36"/>
      <c r="AT1441" s="36"/>
      <c r="AU1441" s="35"/>
      <c r="AV1441" s="7"/>
      <c r="AW1441" s="7"/>
      <c r="AX1441" s="7"/>
      <c r="AY1441" s="7"/>
      <c r="AZ1441" s="7"/>
      <c r="BA1441" s="7"/>
      <c r="BB1441" s="7"/>
      <c r="BC1441" s="7"/>
      <c r="BF1441" s="7"/>
      <c r="BG1441" s="36"/>
      <c r="BH1441" s="36"/>
      <c r="BI1441" s="36"/>
      <c r="BJ1441" s="36"/>
      <c r="BK1441" s="36"/>
      <c r="BL1441" s="36"/>
      <c r="BM1441" s="36"/>
      <c r="BN1441" s="36"/>
      <c r="BO1441" s="36"/>
    </row>
    <row r="1442" spans="1:67" x14ac:dyDescent="0.25">
      <c r="A1442" s="39"/>
      <c r="B1442" s="40"/>
      <c r="U1442" s="36"/>
      <c r="V1442" s="36"/>
      <c r="W1442" s="35"/>
      <c r="X1442" s="7"/>
      <c r="Y1442" s="7"/>
      <c r="Z1442" s="7"/>
      <c r="AA1442" s="7"/>
      <c r="AB1442" s="7"/>
      <c r="AC1442" s="7"/>
      <c r="AD1442" s="7"/>
      <c r="AE1442" s="7"/>
      <c r="AG1442" s="36"/>
      <c r="AH1442" s="36"/>
      <c r="AI1442" s="35"/>
      <c r="AJ1442" s="7"/>
      <c r="AK1442" s="7"/>
      <c r="AL1442" s="7"/>
      <c r="AM1442" s="7"/>
      <c r="AN1442" s="7"/>
      <c r="AO1442" s="7"/>
      <c r="AP1442" s="7"/>
      <c r="AQ1442" s="7"/>
      <c r="AS1442" s="36"/>
      <c r="AT1442" s="36"/>
      <c r="AU1442" s="35"/>
      <c r="AV1442" s="7"/>
      <c r="AW1442" s="7"/>
      <c r="AX1442" s="7"/>
      <c r="AY1442" s="7"/>
      <c r="AZ1442" s="7"/>
      <c r="BA1442" s="7"/>
      <c r="BB1442" s="7"/>
      <c r="BC1442" s="7"/>
      <c r="BF1442" s="7"/>
      <c r="BG1442" s="36"/>
      <c r="BH1442" s="36"/>
      <c r="BI1442" s="36"/>
      <c r="BJ1442" s="36"/>
      <c r="BK1442" s="36"/>
      <c r="BL1442" s="36"/>
      <c r="BM1442" s="36"/>
      <c r="BN1442" s="36"/>
      <c r="BO1442" s="36"/>
    </row>
    <row r="1443" spans="1:67" x14ac:dyDescent="0.25">
      <c r="A1443" s="39"/>
      <c r="B1443" s="40"/>
      <c r="U1443" s="36"/>
      <c r="V1443" s="36"/>
      <c r="W1443" s="35"/>
      <c r="X1443" s="7"/>
      <c r="Y1443" s="7"/>
      <c r="Z1443" s="7"/>
      <c r="AA1443" s="7"/>
      <c r="AB1443" s="7"/>
      <c r="AC1443" s="7"/>
      <c r="AD1443" s="7"/>
      <c r="AE1443" s="7"/>
      <c r="AG1443" s="36"/>
      <c r="AH1443" s="36"/>
      <c r="AI1443" s="35"/>
      <c r="AJ1443" s="7"/>
      <c r="AK1443" s="7"/>
      <c r="AL1443" s="7"/>
      <c r="AM1443" s="7"/>
      <c r="AN1443" s="7"/>
      <c r="AO1443" s="7"/>
      <c r="AP1443" s="7"/>
      <c r="AQ1443" s="7"/>
      <c r="AS1443" s="36"/>
      <c r="AT1443" s="36"/>
      <c r="AU1443" s="35"/>
      <c r="AV1443" s="7"/>
      <c r="AW1443" s="7"/>
      <c r="AX1443" s="7"/>
      <c r="AY1443" s="7"/>
      <c r="AZ1443" s="7"/>
      <c r="BA1443" s="7"/>
      <c r="BB1443" s="7"/>
      <c r="BC1443" s="7"/>
      <c r="BF1443" s="7"/>
      <c r="BG1443" s="36"/>
      <c r="BH1443" s="36"/>
      <c r="BI1443" s="36"/>
      <c r="BJ1443" s="36"/>
      <c r="BK1443" s="36"/>
      <c r="BL1443" s="36"/>
      <c r="BM1443" s="36"/>
      <c r="BN1443" s="36"/>
      <c r="BO1443" s="36"/>
    </row>
    <row r="1444" spans="1:67" x14ac:dyDescent="0.25">
      <c r="A1444" s="39"/>
      <c r="B1444" s="40"/>
      <c r="U1444" s="36"/>
      <c r="V1444" s="36"/>
      <c r="W1444" s="35"/>
      <c r="X1444" s="7"/>
      <c r="Y1444" s="7"/>
      <c r="Z1444" s="7"/>
      <c r="AA1444" s="7"/>
      <c r="AB1444" s="7"/>
      <c r="AC1444" s="7"/>
      <c r="AD1444" s="7"/>
      <c r="AE1444" s="7"/>
      <c r="AG1444" s="36"/>
      <c r="AH1444" s="36"/>
      <c r="AI1444" s="35"/>
      <c r="AJ1444" s="7"/>
      <c r="AK1444" s="7"/>
      <c r="AL1444" s="7"/>
      <c r="AM1444" s="7"/>
      <c r="AN1444" s="7"/>
      <c r="AO1444" s="7"/>
      <c r="AP1444" s="7"/>
      <c r="AQ1444" s="7"/>
      <c r="AS1444" s="36"/>
      <c r="AT1444" s="36"/>
      <c r="AU1444" s="35"/>
      <c r="AV1444" s="7"/>
      <c r="AW1444" s="7"/>
      <c r="AX1444" s="7"/>
      <c r="AY1444" s="7"/>
      <c r="AZ1444" s="7"/>
      <c r="BA1444" s="7"/>
      <c r="BB1444" s="7"/>
      <c r="BC1444" s="7"/>
      <c r="BF1444" s="7"/>
      <c r="BG1444" s="36"/>
      <c r="BH1444" s="36"/>
      <c r="BI1444" s="36"/>
      <c r="BJ1444" s="36"/>
      <c r="BK1444" s="36"/>
      <c r="BL1444" s="36"/>
      <c r="BM1444" s="36"/>
      <c r="BN1444" s="36"/>
      <c r="BO1444" s="36"/>
    </row>
    <row r="1445" spans="1:67" x14ac:dyDescent="0.25">
      <c r="A1445" s="39"/>
      <c r="B1445" s="40"/>
      <c r="U1445" s="36"/>
      <c r="V1445" s="36"/>
      <c r="W1445" s="35"/>
      <c r="X1445" s="7"/>
      <c r="Y1445" s="7"/>
      <c r="Z1445" s="7"/>
      <c r="AA1445" s="7"/>
      <c r="AB1445" s="7"/>
      <c r="AC1445" s="7"/>
      <c r="AD1445" s="7"/>
      <c r="AE1445" s="7"/>
      <c r="AG1445" s="36"/>
      <c r="AH1445" s="36"/>
      <c r="AI1445" s="35"/>
      <c r="AJ1445" s="7"/>
      <c r="AK1445" s="7"/>
      <c r="AL1445" s="7"/>
      <c r="AM1445" s="7"/>
      <c r="AN1445" s="7"/>
      <c r="AO1445" s="7"/>
      <c r="AP1445" s="7"/>
      <c r="AQ1445" s="7"/>
      <c r="AS1445" s="36"/>
      <c r="AT1445" s="36"/>
      <c r="AU1445" s="35"/>
      <c r="AV1445" s="7"/>
      <c r="AW1445" s="7"/>
      <c r="AX1445" s="7"/>
      <c r="AY1445" s="7"/>
      <c r="AZ1445" s="7"/>
      <c r="BA1445" s="7"/>
      <c r="BB1445" s="7"/>
      <c r="BC1445" s="7"/>
      <c r="BF1445" s="7"/>
      <c r="BG1445" s="36"/>
      <c r="BH1445" s="36"/>
      <c r="BI1445" s="36"/>
      <c r="BJ1445" s="36"/>
      <c r="BK1445" s="36"/>
      <c r="BL1445" s="36"/>
      <c r="BM1445" s="36"/>
      <c r="BN1445" s="36"/>
      <c r="BO1445" s="36"/>
    </row>
    <row r="1446" spans="1:67" x14ac:dyDescent="0.25">
      <c r="A1446" s="39"/>
      <c r="B1446" s="40"/>
      <c r="U1446" s="36"/>
      <c r="V1446" s="36"/>
      <c r="W1446" s="35"/>
      <c r="X1446" s="7"/>
      <c r="Y1446" s="7"/>
      <c r="Z1446" s="7"/>
      <c r="AA1446" s="7"/>
      <c r="AB1446" s="7"/>
      <c r="AC1446" s="7"/>
      <c r="AD1446" s="7"/>
      <c r="AE1446" s="7"/>
      <c r="AG1446" s="36"/>
      <c r="AH1446" s="36"/>
      <c r="AI1446" s="35"/>
      <c r="AJ1446" s="7"/>
      <c r="AK1446" s="7"/>
      <c r="AL1446" s="7"/>
      <c r="AM1446" s="7"/>
      <c r="AN1446" s="7"/>
      <c r="AO1446" s="7"/>
      <c r="AP1446" s="7"/>
      <c r="AQ1446" s="7"/>
      <c r="AS1446" s="36"/>
      <c r="AT1446" s="36"/>
      <c r="AU1446" s="35"/>
      <c r="AV1446" s="7"/>
      <c r="AW1446" s="7"/>
      <c r="AX1446" s="7"/>
      <c r="AY1446" s="7"/>
      <c r="AZ1446" s="7"/>
      <c r="BA1446" s="7"/>
      <c r="BB1446" s="7"/>
      <c r="BC1446" s="7"/>
      <c r="BF1446" s="7"/>
      <c r="BG1446" s="36"/>
      <c r="BH1446" s="36"/>
      <c r="BI1446" s="36"/>
      <c r="BJ1446" s="36"/>
      <c r="BK1446" s="36"/>
      <c r="BL1446" s="36"/>
      <c r="BM1446" s="36"/>
      <c r="BN1446" s="36"/>
      <c r="BO1446" s="36"/>
    </row>
    <row r="1447" spans="1:67" x14ac:dyDescent="0.25">
      <c r="A1447" s="39"/>
      <c r="B1447" s="40"/>
      <c r="U1447" s="36"/>
      <c r="V1447" s="36"/>
      <c r="W1447" s="35"/>
      <c r="X1447" s="7"/>
      <c r="Y1447" s="7"/>
      <c r="Z1447" s="7"/>
      <c r="AA1447" s="7"/>
      <c r="AB1447" s="7"/>
      <c r="AC1447" s="7"/>
      <c r="AD1447" s="7"/>
      <c r="AE1447" s="7"/>
      <c r="AG1447" s="36"/>
      <c r="AH1447" s="36"/>
      <c r="AI1447" s="35"/>
      <c r="AJ1447" s="7"/>
      <c r="AK1447" s="7"/>
      <c r="AL1447" s="7"/>
      <c r="AM1447" s="7"/>
      <c r="AN1447" s="7"/>
      <c r="AO1447" s="7"/>
      <c r="AP1447" s="7"/>
      <c r="AQ1447" s="7"/>
      <c r="AS1447" s="36"/>
      <c r="AT1447" s="36"/>
      <c r="AU1447" s="35"/>
      <c r="AV1447" s="7"/>
      <c r="AW1447" s="7"/>
      <c r="AX1447" s="7"/>
      <c r="AY1447" s="7"/>
      <c r="AZ1447" s="7"/>
      <c r="BA1447" s="7"/>
      <c r="BB1447" s="7"/>
      <c r="BC1447" s="7"/>
      <c r="BF1447" s="7"/>
      <c r="BG1447" s="36"/>
      <c r="BH1447" s="36"/>
      <c r="BI1447" s="36"/>
      <c r="BJ1447" s="36"/>
      <c r="BK1447" s="36"/>
      <c r="BL1447" s="36"/>
      <c r="BM1447" s="36"/>
      <c r="BN1447" s="36"/>
      <c r="BO1447" s="36"/>
    </row>
    <row r="1448" spans="1:67" x14ac:dyDescent="0.25">
      <c r="A1448" s="39"/>
      <c r="B1448" s="40"/>
      <c r="U1448" s="36"/>
      <c r="V1448" s="36"/>
      <c r="W1448" s="35"/>
      <c r="X1448" s="7"/>
      <c r="Y1448" s="7"/>
      <c r="Z1448" s="7"/>
      <c r="AA1448" s="7"/>
      <c r="AB1448" s="7"/>
      <c r="AC1448" s="7"/>
      <c r="AD1448" s="7"/>
      <c r="AE1448" s="7"/>
      <c r="AG1448" s="36"/>
      <c r="AH1448" s="36"/>
      <c r="AI1448" s="35"/>
      <c r="AJ1448" s="7"/>
      <c r="AK1448" s="7"/>
      <c r="AL1448" s="7"/>
      <c r="AM1448" s="7"/>
      <c r="AN1448" s="7"/>
      <c r="AO1448" s="7"/>
      <c r="AP1448" s="7"/>
      <c r="AQ1448" s="7"/>
      <c r="AS1448" s="36"/>
      <c r="AT1448" s="36"/>
      <c r="AU1448" s="35"/>
      <c r="AV1448" s="7"/>
      <c r="AW1448" s="7"/>
      <c r="AX1448" s="7"/>
      <c r="AY1448" s="7"/>
      <c r="AZ1448" s="7"/>
      <c r="BA1448" s="7"/>
      <c r="BB1448" s="7"/>
      <c r="BC1448" s="7"/>
      <c r="BF1448" s="7"/>
      <c r="BG1448" s="36"/>
      <c r="BH1448" s="36"/>
      <c r="BI1448" s="36"/>
      <c r="BJ1448" s="36"/>
      <c r="BK1448" s="36"/>
      <c r="BL1448" s="36"/>
      <c r="BM1448" s="36"/>
      <c r="BN1448" s="36"/>
      <c r="BO1448" s="36"/>
    </row>
    <row r="1449" spans="1:67" x14ac:dyDescent="0.25">
      <c r="A1449" s="39"/>
      <c r="B1449" s="40"/>
      <c r="U1449" s="36"/>
      <c r="V1449" s="36"/>
      <c r="W1449" s="35"/>
      <c r="X1449" s="7"/>
      <c r="Y1449" s="7"/>
      <c r="Z1449" s="7"/>
      <c r="AA1449" s="7"/>
      <c r="AB1449" s="7"/>
      <c r="AC1449" s="7"/>
      <c r="AD1449" s="7"/>
      <c r="AE1449" s="7"/>
      <c r="AG1449" s="36"/>
      <c r="AH1449" s="36"/>
      <c r="AI1449" s="35"/>
      <c r="AJ1449" s="7"/>
      <c r="AK1449" s="7"/>
      <c r="AL1449" s="7"/>
      <c r="AM1449" s="7"/>
      <c r="AN1449" s="7"/>
      <c r="AO1449" s="7"/>
      <c r="AP1449" s="7"/>
      <c r="AQ1449" s="7"/>
      <c r="AS1449" s="36"/>
      <c r="AT1449" s="36"/>
      <c r="AU1449" s="35"/>
      <c r="AV1449" s="7"/>
      <c r="AW1449" s="7"/>
      <c r="AX1449" s="7"/>
      <c r="AY1449" s="7"/>
      <c r="AZ1449" s="7"/>
      <c r="BA1449" s="7"/>
      <c r="BB1449" s="7"/>
      <c r="BC1449" s="7"/>
      <c r="BF1449" s="7"/>
      <c r="BG1449" s="36"/>
      <c r="BH1449" s="36"/>
      <c r="BI1449" s="36"/>
      <c r="BJ1449" s="36"/>
      <c r="BK1449" s="36"/>
      <c r="BL1449" s="36"/>
      <c r="BM1449" s="36"/>
      <c r="BN1449" s="36"/>
      <c r="BO1449" s="36"/>
    </row>
    <row r="1450" spans="1:67" x14ac:dyDescent="0.25">
      <c r="A1450" s="39"/>
      <c r="B1450" s="40"/>
      <c r="U1450" s="36"/>
      <c r="V1450" s="36"/>
      <c r="W1450" s="35"/>
      <c r="X1450" s="7"/>
      <c r="Y1450" s="7"/>
      <c r="Z1450" s="7"/>
      <c r="AA1450" s="7"/>
      <c r="AB1450" s="7"/>
      <c r="AC1450" s="7"/>
      <c r="AD1450" s="7"/>
      <c r="AE1450" s="7"/>
      <c r="AG1450" s="36"/>
      <c r="AH1450" s="36"/>
      <c r="AI1450" s="35"/>
      <c r="AJ1450" s="7"/>
      <c r="AK1450" s="7"/>
      <c r="AL1450" s="7"/>
      <c r="AM1450" s="7"/>
      <c r="AN1450" s="7"/>
      <c r="AO1450" s="7"/>
      <c r="AP1450" s="7"/>
      <c r="AQ1450" s="7"/>
      <c r="AS1450" s="36"/>
      <c r="AT1450" s="36"/>
      <c r="AU1450" s="35"/>
      <c r="AV1450" s="7"/>
      <c r="AW1450" s="7"/>
      <c r="AX1450" s="7"/>
      <c r="AY1450" s="7"/>
      <c r="AZ1450" s="7"/>
      <c r="BA1450" s="7"/>
      <c r="BB1450" s="7"/>
      <c r="BC1450" s="7"/>
      <c r="BF1450" s="7"/>
      <c r="BG1450" s="36"/>
      <c r="BH1450" s="36"/>
      <c r="BI1450" s="36"/>
      <c r="BJ1450" s="36"/>
      <c r="BK1450" s="36"/>
      <c r="BL1450" s="36"/>
      <c r="BM1450" s="36"/>
      <c r="BN1450" s="36"/>
      <c r="BO1450" s="36"/>
    </row>
    <row r="1451" spans="1:67" x14ac:dyDescent="0.25">
      <c r="A1451" s="39"/>
      <c r="B1451" s="40"/>
      <c r="U1451" s="36"/>
      <c r="V1451" s="36"/>
      <c r="W1451" s="35"/>
      <c r="X1451" s="7"/>
      <c r="Y1451" s="7"/>
      <c r="Z1451" s="7"/>
      <c r="AA1451" s="7"/>
      <c r="AB1451" s="7"/>
      <c r="AC1451" s="7"/>
      <c r="AD1451" s="7"/>
      <c r="AE1451" s="7"/>
      <c r="AG1451" s="36"/>
      <c r="AH1451" s="36"/>
      <c r="AI1451" s="35"/>
      <c r="AJ1451" s="7"/>
      <c r="AK1451" s="7"/>
      <c r="AL1451" s="7"/>
      <c r="AM1451" s="7"/>
      <c r="AN1451" s="7"/>
      <c r="AO1451" s="7"/>
      <c r="AP1451" s="7"/>
      <c r="AQ1451" s="7"/>
      <c r="AS1451" s="36"/>
      <c r="AT1451" s="36"/>
      <c r="AU1451" s="35"/>
      <c r="AV1451" s="7"/>
      <c r="AW1451" s="7"/>
      <c r="AX1451" s="7"/>
      <c r="AY1451" s="7"/>
      <c r="AZ1451" s="7"/>
      <c r="BA1451" s="7"/>
      <c r="BB1451" s="7"/>
      <c r="BC1451" s="7"/>
      <c r="BF1451" s="7"/>
      <c r="BG1451" s="36"/>
      <c r="BH1451" s="36"/>
      <c r="BI1451" s="36"/>
      <c r="BJ1451" s="36"/>
      <c r="BK1451" s="36"/>
      <c r="BL1451" s="36"/>
      <c r="BM1451" s="36"/>
      <c r="BN1451" s="36"/>
      <c r="BO1451" s="36"/>
    </row>
    <row r="1452" spans="1:67" x14ac:dyDescent="0.25">
      <c r="A1452" s="39"/>
      <c r="B1452" s="40"/>
      <c r="U1452" s="36"/>
      <c r="V1452" s="36"/>
      <c r="W1452" s="35"/>
      <c r="X1452" s="7"/>
      <c r="Y1452" s="7"/>
      <c r="Z1452" s="7"/>
      <c r="AA1452" s="7"/>
      <c r="AB1452" s="7"/>
      <c r="AC1452" s="7"/>
      <c r="AD1452" s="7"/>
      <c r="AE1452" s="7"/>
      <c r="AG1452" s="36"/>
      <c r="AH1452" s="36"/>
      <c r="AI1452" s="35"/>
      <c r="AJ1452" s="7"/>
      <c r="AK1452" s="7"/>
      <c r="AL1452" s="7"/>
      <c r="AM1452" s="7"/>
      <c r="AN1452" s="7"/>
      <c r="AO1452" s="7"/>
      <c r="AP1452" s="7"/>
      <c r="AQ1452" s="7"/>
      <c r="AS1452" s="36"/>
      <c r="AT1452" s="36"/>
      <c r="AU1452" s="35"/>
      <c r="AV1452" s="7"/>
      <c r="AW1452" s="7"/>
      <c r="AX1452" s="7"/>
      <c r="AY1452" s="7"/>
      <c r="AZ1452" s="7"/>
      <c r="BA1452" s="7"/>
      <c r="BB1452" s="7"/>
      <c r="BC1452" s="7"/>
      <c r="BF1452" s="7"/>
      <c r="BG1452" s="36"/>
      <c r="BH1452" s="36"/>
      <c r="BI1452" s="36"/>
      <c r="BJ1452" s="36"/>
      <c r="BK1452" s="36"/>
      <c r="BL1452" s="36"/>
      <c r="BM1452" s="36"/>
      <c r="BN1452" s="36"/>
      <c r="BO1452" s="36"/>
    </row>
    <row r="1453" spans="1:67" x14ac:dyDescent="0.25">
      <c r="A1453" s="39"/>
      <c r="B1453" s="40"/>
      <c r="U1453" s="36"/>
      <c r="V1453" s="36"/>
      <c r="W1453" s="35"/>
      <c r="X1453" s="7"/>
      <c r="Y1453" s="7"/>
      <c r="Z1453" s="7"/>
      <c r="AA1453" s="7"/>
      <c r="AB1453" s="7"/>
      <c r="AC1453" s="7"/>
      <c r="AD1453" s="7"/>
      <c r="AE1453" s="7"/>
      <c r="AG1453" s="36"/>
      <c r="AH1453" s="36"/>
      <c r="AI1453" s="35"/>
      <c r="AJ1453" s="7"/>
      <c r="AK1453" s="7"/>
      <c r="AL1453" s="7"/>
      <c r="AM1453" s="7"/>
      <c r="AN1453" s="7"/>
      <c r="AO1453" s="7"/>
      <c r="AP1453" s="7"/>
      <c r="AQ1453" s="7"/>
      <c r="AS1453" s="36"/>
      <c r="AT1453" s="36"/>
      <c r="AU1453" s="35"/>
      <c r="AV1453" s="7"/>
      <c r="AW1453" s="7"/>
      <c r="AX1453" s="7"/>
      <c r="AY1453" s="7"/>
      <c r="AZ1453" s="7"/>
      <c r="BA1453" s="7"/>
      <c r="BB1453" s="7"/>
      <c r="BC1453" s="7"/>
      <c r="BF1453" s="7"/>
      <c r="BG1453" s="36"/>
      <c r="BH1453" s="36"/>
      <c r="BI1453" s="36"/>
      <c r="BJ1453" s="36"/>
      <c r="BK1453" s="36"/>
      <c r="BL1453" s="36"/>
      <c r="BM1453" s="36"/>
      <c r="BN1453" s="36"/>
      <c r="BO1453" s="36"/>
    </row>
    <row r="1454" spans="1:67" x14ac:dyDescent="0.25">
      <c r="A1454" s="39"/>
      <c r="B1454" s="40"/>
      <c r="U1454" s="36"/>
      <c r="V1454" s="36"/>
      <c r="W1454" s="35"/>
      <c r="X1454" s="7"/>
      <c r="Y1454" s="7"/>
      <c r="Z1454" s="7"/>
      <c r="AA1454" s="7"/>
      <c r="AB1454" s="7"/>
      <c r="AC1454" s="7"/>
      <c r="AD1454" s="7"/>
      <c r="AE1454" s="7"/>
      <c r="AG1454" s="36"/>
      <c r="AH1454" s="36"/>
      <c r="AI1454" s="35"/>
      <c r="AJ1454" s="7"/>
      <c r="AK1454" s="7"/>
      <c r="AL1454" s="7"/>
      <c r="AM1454" s="7"/>
      <c r="AN1454" s="7"/>
      <c r="AO1454" s="7"/>
      <c r="AP1454" s="7"/>
      <c r="AQ1454" s="7"/>
      <c r="AS1454" s="36"/>
      <c r="AT1454" s="36"/>
      <c r="AU1454" s="35"/>
      <c r="AV1454" s="7"/>
      <c r="AW1454" s="7"/>
      <c r="AX1454" s="7"/>
      <c r="AY1454" s="7"/>
      <c r="AZ1454" s="7"/>
      <c r="BA1454" s="7"/>
      <c r="BB1454" s="7"/>
      <c r="BC1454" s="7"/>
      <c r="BF1454" s="7"/>
      <c r="BG1454" s="36"/>
      <c r="BH1454" s="36"/>
      <c r="BI1454" s="36"/>
      <c r="BJ1454" s="36"/>
      <c r="BK1454" s="36"/>
      <c r="BL1454" s="36"/>
      <c r="BM1454" s="36"/>
      <c r="BN1454" s="36"/>
      <c r="BO1454" s="36"/>
    </row>
    <row r="1455" spans="1:67" x14ac:dyDescent="0.25">
      <c r="A1455" s="39"/>
      <c r="B1455" s="40"/>
      <c r="U1455" s="36"/>
      <c r="V1455" s="36"/>
      <c r="W1455" s="35"/>
      <c r="X1455" s="7"/>
      <c r="Y1455" s="7"/>
      <c r="Z1455" s="7"/>
      <c r="AA1455" s="7"/>
      <c r="AB1455" s="7"/>
      <c r="AC1455" s="7"/>
      <c r="AD1455" s="7"/>
      <c r="AE1455" s="7"/>
      <c r="AG1455" s="36"/>
      <c r="AH1455" s="36"/>
      <c r="AI1455" s="35"/>
      <c r="AJ1455" s="7"/>
      <c r="AK1455" s="7"/>
      <c r="AL1455" s="7"/>
      <c r="AM1455" s="7"/>
      <c r="AN1455" s="7"/>
      <c r="AO1455" s="7"/>
      <c r="AP1455" s="7"/>
      <c r="AQ1455" s="7"/>
      <c r="AS1455" s="36"/>
      <c r="AT1455" s="36"/>
      <c r="AU1455" s="35"/>
      <c r="AV1455" s="7"/>
      <c r="AW1455" s="7"/>
      <c r="AX1455" s="7"/>
      <c r="AY1455" s="7"/>
      <c r="AZ1455" s="7"/>
      <c r="BA1455" s="7"/>
      <c r="BB1455" s="7"/>
      <c r="BC1455" s="7"/>
      <c r="BF1455" s="7"/>
      <c r="BG1455" s="36"/>
      <c r="BH1455" s="36"/>
      <c r="BI1455" s="36"/>
      <c r="BJ1455" s="36"/>
      <c r="BK1455" s="36"/>
      <c r="BL1455" s="36"/>
      <c r="BM1455" s="36"/>
      <c r="BN1455" s="36"/>
      <c r="BO1455" s="36"/>
    </row>
    <row r="1456" spans="1:67" x14ac:dyDescent="0.25">
      <c r="A1456" s="39"/>
      <c r="B1456" s="40"/>
      <c r="U1456" s="36"/>
      <c r="V1456" s="36"/>
      <c r="W1456" s="35"/>
      <c r="X1456" s="7"/>
      <c r="Y1456" s="7"/>
      <c r="Z1456" s="7"/>
      <c r="AA1456" s="7"/>
      <c r="AB1456" s="7"/>
      <c r="AC1456" s="7"/>
      <c r="AD1456" s="7"/>
      <c r="AE1456" s="7"/>
      <c r="AG1456" s="36"/>
      <c r="AH1456" s="36"/>
      <c r="AI1456" s="35"/>
      <c r="AJ1456" s="7"/>
      <c r="AK1456" s="7"/>
      <c r="AL1456" s="7"/>
      <c r="AM1456" s="7"/>
      <c r="AN1456" s="7"/>
      <c r="AO1456" s="7"/>
      <c r="AP1456" s="7"/>
      <c r="AQ1456" s="7"/>
      <c r="AS1456" s="36"/>
      <c r="AT1456" s="36"/>
      <c r="AU1456" s="35"/>
      <c r="AV1456" s="7"/>
      <c r="AW1456" s="7"/>
      <c r="AX1456" s="7"/>
      <c r="AY1456" s="7"/>
      <c r="AZ1456" s="7"/>
      <c r="BA1456" s="7"/>
      <c r="BB1456" s="7"/>
      <c r="BC1456" s="7"/>
      <c r="BF1456" s="7"/>
      <c r="BG1456" s="36"/>
      <c r="BH1456" s="36"/>
      <c r="BI1456" s="36"/>
      <c r="BJ1456" s="36"/>
      <c r="BK1456" s="36"/>
      <c r="BL1456" s="36"/>
      <c r="BM1456" s="36"/>
      <c r="BN1456" s="36"/>
      <c r="BO1456" s="36"/>
    </row>
    <row r="1457" spans="1:67" x14ac:dyDescent="0.25">
      <c r="A1457" s="39"/>
      <c r="B1457" s="40"/>
      <c r="U1457" s="36"/>
      <c r="V1457" s="36"/>
      <c r="W1457" s="35"/>
      <c r="X1457" s="7"/>
      <c r="Y1457" s="7"/>
      <c r="Z1457" s="7"/>
      <c r="AA1457" s="7"/>
      <c r="AB1457" s="7"/>
      <c r="AC1457" s="7"/>
      <c r="AD1457" s="7"/>
      <c r="AE1457" s="7"/>
      <c r="AG1457" s="36"/>
      <c r="AH1457" s="36"/>
      <c r="AI1457" s="35"/>
      <c r="AJ1457" s="7"/>
      <c r="AK1457" s="7"/>
      <c r="AL1457" s="7"/>
      <c r="AM1457" s="7"/>
      <c r="AN1457" s="7"/>
      <c r="AO1457" s="7"/>
      <c r="AP1457" s="7"/>
      <c r="AQ1457" s="7"/>
      <c r="AS1457" s="36"/>
      <c r="AT1457" s="36"/>
      <c r="AU1457" s="35"/>
      <c r="AV1457" s="7"/>
      <c r="AW1457" s="7"/>
      <c r="AX1457" s="7"/>
      <c r="AY1457" s="7"/>
      <c r="AZ1457" s="7"/>
      <c r="BA1457" s="7"/>
      <c r="BB1457" s="7"/>
      <c r="BC1457" s="7"/>
      <c r="BF1457" s="7"/>
      <c r="BG1457" s="36"/>
      <c r="BH1457" s="36"/>
      <c r="BI1457" s="36"/>
      <c r="BJ1457" s="36"/>
      <c r="BK1457" s="36"/>
      <c r="BL1457" s="36"/>
      <c r="BM1457" s="36"/>
      <c r="BN1457" s="36"/>
      <c r="BO1457" s="36"/>
    </row>
    <row r="1458" spans="1:67" x14ac:dyDescent="0.25">
      <c r="A1458" s="39"/>
      <c r="B1458" s="40"/>
      <c r="U1458" s="36"/>
      <c r="V1458" s="36"/>
      <c r="W1458" s="35"/>
      <c r="X1458" s="7"/>
      <c r="Y1458" s="7"/>
      <c r="Z1458" s="7"/>
      <c r="AA1458" s="7"/>
      <c r="AB1458" s="7"/>
      <c r="AC1458" s="7"/>
      <c r="AD1458" s="7"/>
      <c r="AE1458" s="7"/>
      <c r="AG1458" s="36"/>
      <c r="AH1458" s="36"/>
      <c r="AI1458" s="35"/>
      <c r="AJ1458" s="7"/>
      <c r="AK1458" s="7"/>
      <c r="AL1458" s="7"/>
      <c r="AM1458" s="7"/>
      <c r="AN1458" s="7"/>
      <c r="AO1458" s="7"/>
      <c r="AP1458" s="7"/>
      <c r="AQ1458" s="7"/>
      <c r="AS1458" s="36"/>
      <c r="AT1458" s="36"/>
      <c r="AU1458" s="35"/>
      <c r="AV1458" s="7"/>
      <c r="AW1458" s="7"/>
      <c r="AX1458" s="7"/>
      <c r="AY1458" s="7"/>
      <c r="AZ1458" s="7"/>
      <c r="BA1458" s="7"/>
      <c r="BB1458" s="7"/>
      <c r="BC1458" s="7"/>
      <c r="BF1458" s="7"/>
      <c r="BG1458" s="36"/>
      <c r="BH1458" s="36"/>
      <c r="BI1458" s="36"/>
      <c r="BJ1458" s="36"/>
      <c r="BK1458" s="36"/>
      <c r="BL1458" s="36"/>
      <c r="BM1458" s="36"/>
      <c r="BN1458" s="36"/>
      <c r="BO1458" s="36"/>
    </row>
    <row r="1459" spans="1:67" x14ac:dyDescent="0.25">
      <c r="A1459" s="39"/>
      <c r="B1459" s="40"/>
      <c r="U1459" s="36"/>
      <c r="V1459" s="36"/>
      <c r="W1459" s="35"/>
      <c r="X1459" s="7"/>
      <c r="Y1459" s="7"/>
      <c r="Z1459" s="7"/>
      <c r="AA1459" s="7"/>
      <c r="AB1459" s="7"/>
      <c r="AC1459" s="7"/>
      <c r="AD1459" s="7"/>
      <c r="AE1459" s="7"/>
      <c r="AG1459" s="36"/>
      <c r="AH1459" s="36"/>
      <c r="AI1459" s="35"/>
      <c r="AJ1459" s="7"/>
      <c r="AK1459" s="7"/>
      <c r="AL1459" s="7"/>
      <c r="AM1459" s="7"/>
      <c r="AN1459" s="7"/>
      <c r="AO1459" s="7"/>
      <c r="AP1459" s="7"/>
      <c r="AQ1459" s="7"/>
      <c r="AS1459" s="36"/>
      <c r="AT1459" s="36"/>
      <c r="AU1459" s="35"/>
      <c r="AV1459" s="7"/>
      <c r="AW1459" s="7"/>
      <c r="AX1459" s="7"/>
      <c r="AY1459" s="7"/>
      <c r="AZ1459" s="7"/>
      <c r="BA1459" s="7"/>
      <c r="BB1459" s="7"/>
      <c r="BC1459" s="7"/>
      <c r="BF1459" s="7"/>
      <c r="BG1459" s="36"/>
      <c r="BH1459" s="36"/>
      <c r="BI1459" s="36"/>
      <c r="BJ1459" s="36"/>
      <c r="BK1459" s="36"/>
      <c r="BL1459" s="36"/>
      <c r="BM1459" s="36"/>
      <c r="BN1459" s="36"/>
      <c r="BO1459" s="36"/>
    </row>
    <row r="1460" spans="1:67" x14ac:dyDescent="0.25">
      <c r="A1460" s="39"/>
      <c r="B1460" s="40"/>
      <c r="U1460" s="36"/>
      <c r="V1460" s="36"/>
      <c r="W1460" s="35"/>
      <c r="X1460" s="7"/>
      <c r="Y1460" s="7"/>
      <c r="Z1460" s="7"/>
      <c r="AA1460" s="7"/>
      <c r="AB1460" s="7"/>
      <c r="AC1460" s="7"/>
      <c r="AD1460" s="7"/>
      <c r="AE1460" s="7"/>
      <c r="AG1460" s="36"/>
      <c r="AH1460" s="36"/>
      <c r="AI1460" s="35"/>
      <c r="AJ1460" s="7"/>
      <c r="AK1460" s="7"/>
      <c r="AL1460" s="7"/>
      <c r="AM1460" s="7"/>
      <c r="AN1460" s="7"/>
      <c r="AO1460" s="7"/>
      <c r="AP1460" s="7"/>
      <c r="AQ1460" s="7"/>
      <c r="AS1460" s="36"/>
      <c r="AT1460" s="36"/>
      <c r="AU1460" s="35"/>
      <c r="AV1460" s="7"/>
      <c r="AW1460" s="7"/>
      <c r="AX1460" s="7"/>
      <c r="AY1460" s="7"/>
      <c r="AZ1460" s="7"/>
      <c r="BA1460" s="7"/>
      <c r="BB1460" s="7"/>
      <c r="BC1460" s="7"/>
      <c r="BF1460" s="7"/>
      <c r="BG1460" s="36"/>
      <c r="BH1460" s="36"/>
      <c r="BI1460" s="36"/>
      <c r="BJ1460" s="36"/>
      <c r="BK1460" s="36"/>
      <c r="BL1460" s="36"/>
      <c r="BM1460" s="36"/>
      <c r="BN1460" s="36"/>
      <c r="BO1460" s="36"/>
    </row>
    <row r="1461" spans="1:67" x14ac:dyDescent="0.25">
      <c r="A1461" s="39"/>
      <c r="B1461" s="40"/>
      <c r="U1461" s="36"/>
      <c r="V1461" s="36"/>
      <c r="W1461" s="35"/>
      <c r="X1461" s="7"/>
      <c r="Y1461" s="7"/>
      <c r="Z1461" s="7"/>
      <c r="AA1461" s="7"/>
      <c r="AB1461" s="7"/>
      <c r="AC1461" s="7"/>
      <c r="AD1461" s="7"/>
      <c r="AE1461" s="7"/>
      <c r="AG1461" s="36"/>
      <c r="AH1461" s="36"/>
      <c r="AI1461" s="35"/>
      <c r="AJ1461" s="7"/>
      <c r="AK1461" s="7"/>
      <c r="AL1461" s="7"/>
      <c r="AM1461" s="7"/>
      <c r="AN1461" s="7"/>
      <c r="AO1461" s="7"/>
      <c r="AP1461" s="7"/>
      <c r="AQ1461" s="7"/>
      <c r="AS1461" s="36"/>
      <c r="AT1461" s="36"/>
      <c r="AU1461" s="35"/>
      <c r="AV1461" s="7"/>
      <c r="AW1461" s="7"/>
      <c r="AX1461" s="7"/>
      <c r="AY1461" s="7"/>
      <c r="AZ1461" s="7"/>
      <c r="BA1461" s="7"/>
      <c r="BB1461" s="7"/>
      <c r="BC1461" s="7"/>
      <c r="BF1461" s="7"/>
      <c r="BG1461" s="36"/>
      <c r="BH1461" s="36"/>
      <c r="BI1461" s="36"/>
      <c r="BJ1461" s="36"/>
      <c r="BK1461" s="36"/>
      <c r="BL1461" s="36"/>
      <c r="BM1461" s="36"/>
      <c r="BN1461" s="36"/>
      <c r="BO1461" s="36"/>
    </row>
    <row r="1462" spans="1:67" x14ac:dyDescent="0.25">
      <c r="A1462" s="39"/>
      <c r="B1462" s="40"/>
      <c r="U1462" s="36"/>
      <c r="V1462" s="36"/>
      <c r="W1462" s="35"/>
      <c r="X1462" s="7"/>
      <c r="Y1462" s="7"/>
      <c r="Z1462" s="7"/>
      <c r="AA1462" s="7"/>
      <c r="AB1462" s="7"/>
      <c r="AC1462" s="7"/>
      <c r="AD1462" s="7"/>
      <c r="AE1462" s="7"/>
      <c r="AG1462" s="36"/>
      <c r="AH1462" s="36"/>
      <c r="AI1462" s="35"/>
      <c r="AJ1462" s="7"/>
      <c r="AK1462" s="7"/>
      <c r="AL1462" s="7"/>
      <c r="AM1462" s="7"/>
      <c r="AN1462" s="7"/>
      <c r="AO1462" s="7"/>
      <c r="AP1462" s="7"/>
      <c r="AQ1462" s="7"/>
      <c r="AS1462" s="36"/>
      <c r="AT1462" s="36"/>
      <c r="AU1462" s="35"/>
      <c r="AV1462" s="7"/>
      <c r="AW1462" s="7"/>
      <c r="AX1462" s="7"/>
      <c r="AY1462" s="7"/>
      <c r="AZ1462" s="7"/>
      <c r="BA1462" s="7"/>
      <c r="BB1462" s="7"/>
      <c r="BC1462" s="7"/>
      <c r="BF1462" s="7"/>
      <c r="BG1462" s="36"/>
      <c r="BH1462" s="36"/>
      <c r="BI1462" s="36"/>
      <c r="BJ1462" s="36"/>
      <c r="BK1462" s="36"/>
      <c r="BL1462" s="36"/>
      <c r="BM1462" s="36"/>
      <c r="BN1462" s="36"/>
      <c r="BO1462" s="36"/>
    </row>
    <row r="1463" spans="1:67" x14ac:dyDescent="0.25">
      <c r="A1463" s="39"/>
      <c r="B1463" s="40"/>
      <c r="U1463" s="36"/>
      <c r="V1463" s="36"/>
      <c r="W1463" s="35"/>
      <c r="X1463" s="7"/>
      <c r="Y1463" s="7"/>
      <c r="Z1463" s="7"/>
      <c r="AA1463" s="7"/>
      <c r="AB1463" s="7"/>
      <c r="AC1463" s="7"/>
      <c r="AD1463" s="7"/>
      <c r="AE1463" s="7"/>
      <c r="AG1463" s="36"/>
      <c r="AH1463" s="36"/>
      <c r="AI1463" s="35"/>
      <c r="AJ1463" s="7"/>
      <c r="AK1463" s="7"/>
      <c r="AL1463" s="7"/>
      <c r="AM1463" s="7"/>
      <c r="AN1463" s="7"/>
      <c r="AO1463" s="7"/>
      <c r="AP1463" s="7"/>
      <c r="AQ1463" s="7"/>
      <c r="AS1463" s="36"/>
      <c r="AT1463" s="36"/>
      <c r="AU1463" s="35"/>
      <c r="AV1463" s="7"/>
      <c r="AW1463" s="7"/>
      <c r="AX1463" s="7"/>
      <c r="AY1463" s="7"/>
      <c r="AZ1463" s="7"/>
      <c r="BA1463" s="7"/>
      <c r="BB1463" s="7"/>
      <c r="BC1463" s="7"/>
      <c r="BF1463" s="7"/>
      <c r="BG1463" s="36"/>
      <c r="BH1463" s="36"/>
      <c r="BI1463" s="36"/>
      <c r="BJ1463" s="36"/>
      <c r="BK1463" s="36"/>
      <c r="BL1463" s="36"/>
      <c r="BM1463" s="36"/>
      <c r="BN1463" s="36"/>
      <c r="BO1463" s="36"/>
    </row>
    <row r="1464" spans="1:67" x14ac:dyDescent="0.25">
      <c r="A1464" s="39"/>
      <c r="B1464" s="40"/>
      <c r="U1464" s="36"/>
      <c r="V1464" s="36"/>
      <c r="W1464" s="35"/>
      <c r="X1464" s="7"/>
      <c r="Y1464" s="7"/>
      <c r="Z1464" s="7"/>
      <c r="AA1464" s="7"/>
      <c r="AB1464" s="7"/>
      <c r="AC1464" s="7"/>
      <c r="AD1464" s="7"/>
      <c r="AE1464" s="7"/>
      <c r="AG1464" s="36"/>
      <c r="AH1464" s="36"/>
      <c r="AI1464" s="35"/>
      <c r="AJ1464" s="7"/>
      <c r="AK1464" s="7"/>
      <c r="AL1464" s="7"/>
      <c r="AM1464" s="7"/>
      <c r="AN1464" s="7"/>
      <c r="AO1464" s="7"/>
      <c r="AP1464" s="7"/>
      <c r="AQ1464" s="7"/>
      <c r="AS1464" s="36"/>
      <c r="AT1464" s="36"/>
      <c r="AU1464" s="35"/>
      <c r="AV1464" s="7"/>
      <c r="AW1464" s="7"/>
      <c r="AX1464" s="7"/>
      <c r="AY1464" s="7"/>
      <c r="AZ1464" s="7"/>
      <c r="BA1464" s="7"/>
      <c r="BB1464" s="7"/>
      <c r="BC1464" s="7"/>
      <c r="BF1464" s="7"/>
      <c r="BG1464" s="36"/>
      <c r="BH1464" s="36"/>
      <c r="BI1464" s="36"/>
      <c r="BJ1464" s="36"/>
      <c r="BK1464" s="36"/>
      <c r="BL1464" s="36"/>
      <c r="BM1464" s="36"/>
      <c r="BN1464" s="36"/>
      <c r="BO1464" s="36"/>
    </row>
    <row r="1465" spans="1:67" x14ac:dyDescent="0.25">
      <c r="A1465" s="39"/>
      <c r="B1465" s="40"/>
      <c r="U1465" s="36"/>
      <c r="V1465" s="36"/>
      <c r="W1465" s="35"/>
      <c r="X1465" s="7"/>
      <c r="Y1465" s="7"/>
      <c r="Z1465" s="7"/>
      <c r="AA1465" s="7"/>
      <c r="AB1465" s="7"/>
      <c r="AC1465" s="7"/>
      <c r="AD1465" s="7"/>
      <c r="AE1465" s="7"/>
      <c r="AG1465" s="36"/>
      <c r="AH1465" s="36"/>
      <c r="AI1465" s="35"/>
      <c r="AJ1465" s="7"/>
      <c r="AK1465" s="7"/>
      <c r="AL1465" s="7"/>
      <c r="AM1465" s="7"/>
      <c r="AN1465" s="7"/>
      <c r="AO1465" s="7"/>
      <c r="AP1465" s="7"/>
      <c r="AQ1465" s="7"/>
      <c r="AS1465" s="36"/>
      <c r="AT1465" s="36"/>
      <c r="AU1465" s="35"/>
      <c r="AV1465" s="7"/>
      <c r="AW1465" s="7"/>
      <c r="AX1465" s="7"/>
      <c r="AY1465" s="7"/>
      <c r="AZ1465" s="7"/>
      <c r="BA1465" s="7"/>
      <c r="BB1465" s="7"/>
      <c r="BC1465" s="7"/>
      <c r="BF1465" s="7"/>
      <c r="BG1465" s="36"/>
      <c r="BH1465" s="36"/>
      <c r="BI1465" s="36"/>
      <c r="BJ1465" s="36"/>
      <c r="BK1465" s="36"/>
      <c r="BL1465" s="36"/>
      <c r="BM1465" s="36"/>
      <c r="BN1465" s="36"/>
      <c r="BO1465" s="36"/>
    </row>
    <row r="1466" spans="1:67" x14ac:dyDescent="0.25">
      <c r="A1466" s="39"/>
      <c r="B1466" s="40"/>
      <c r="U1466" s="36"/>
      <c r="V1466" s="36"/>
      <c r="W1466" s="35"/>
      <c r="X1466" s="7"/>
      <c r="Y1466" s="7"/>
      <c r="Z1466" s="7"/>
      <c r="AA1466" s="7"/>
      <c r="AB1466" s="7"/>
      <c r="AC1466" s="7"/>
      <c r="AD1466" s="7"/>
      <c r="AE1466" s="7"/>
      <c r="AG1466" s="36"/>
      <c r="AH1466" s="36"/>
      <c r="AI1466" s="35"/>
      <c r="AJ1466" s="7"/>
      <c r="AK1466" s="7"/>
      <c r="AL1466" s="7"/>
      <c r="AM1466" s="7"/>
      <c r="AN1466" s="7"/>
      <c r="AO1466" s="7"/>
      <c r="AP1466" s="7"/>
      <c r="AQ1466" s="7"/>
      <c r="AS1466" s="36"/>
      <c r="AT1466" s="36"/>
      <c r="AU1466" s="35"/>
      <c r="AV1466" s="7"/>
      <c r="AW1466" s="7"/>
      <c r="AX1466" s="7"/>
      <c r="AY1466" s="7"/>
      <c r="AZ1466" s="7"/>
      <c r="BA1466" s="7"/>
      <c r="BB1466" s="7"/>
      <c r="BC1466" s="7"/>
      <c r="BF1466" s="7"/>
      <c r="BG1466" s="36"/>
      <c r="BH1466" s="36"/>
      <c r="BI1466" s="36"/>
      <c r="BJ1466" s="36"/>
      <c r="BK1466" s="36"/>
      <c r="BL1466" s="36"/>
      <c r="BM1466" s="36"/>
      <c r="BN1466" s="36"/>
      <c r="BO1466" s="36"/>
    </row>
    <row r="1467" spans="1:67" x14ac:dyDescent="0.25">
      <c r="A1467" s="39"/>
      <c r="B1467" s="40"/>
      <c r="U1467" s="36"/>
      <c r="V1467" s="36"/>
      <c r="W1467" s="35"/>
      <c r="X1467" s="7"/>
      <c r="Y1467" s="7"/>
      <c r="Z1467" s="7"/>
      <c r="AA1467" s="7"/>
      <c r="AB1467" s="7"/>
      <c r="AC1467" s="7"/>
      <c r="AD1467" s="7"/>
      <c r="AE1467" s="7"/>
      <c r="AG1467" s="36"/>
      <c r="AH1467" s="36"/>
      <c r="AI1467" s="35"/>
      <c r="AJ1467" s="7"/>
      <c r="AK1467" s="7"/>
      <c r="AL1467" s="7"/>
      <c r="AM1467" s="7"/>
      <c r="AN1467" s="7"/>
      <c r="AO1467" s="7"/>
      <c r="AP1467" s="7"/>
      <c r="AQ1467" s="7"/>
      <c r="AS1467" s="36"/>
      <c r="AT1467" s="36"/>
      <c r="AU1467" s="35"/>
      <c r="AV1467" s="7"/>
      <c r="AW1467" s="7"/>
      <c r="AX1467" s="7"/>
      <c r="AY1467" s="7"/>
      <c r="AZ1467" s="7"/>
      <c r="BA1467" s="7"/>
      <c r="BB1467" s="7"/>
      <c r="BC1467" s="7"/>
      <c r="BF1467" s="7"/>
      <c r="BG1467" s="36"/>
      <c r="BH1467" s="36"/>
      <c r="BI1467" s="36"/>
      <c r="BJ1467" s="36"/>
      <c r="BK1467" s="36"/>
      <c r="BL1467" s="36"/>
      <c r="BM1467" s="36"/>
      <c r="BN1467" s="36"/>
      <c r="BO1467" s="36"/>
    </row>
    <row r="1468" spans="1:67" x14ac:dyDescent="0.25">
      <c r="A1468" s="39"/>
      <c r="B1468" s="40"/>
      <c r="U1468" s="36"/>
      <c r="V1468" s="36"/>
      <c r="W1468" s="35"/>
      <c r="X1468" s="7"/>
      <c r="Y1468" s="7"/>
      <c r="Z1468" s="7"/>
      <c r="AA1468" s="7"/>
      <c r="AB1468" s="7"/>
      <c r="AC1468" s="7"/>
      <c r="AD1468" s="7"/>
      <c r="AE1468" s="7"/>
      <c r="AG1468" s="36"/>
      <c r="AH1468" s="36"/>
      <c r="AI1468" s="35"/>
      <c r="AJ1468" s="7"/>
      <c r="AK1468" s="7"/>
      <c r="AL1468" s="7"/>
      <c r="AM1468" s="7"/>
      <c r="AN1468" s="7"/>
      <c r="AO1468" s="7"/>
      <c r="AP1468" s="7"/>
      <c r="AQ1468" s="7"/>
      <c r="AS1468" s="36"/>
      <c r="AT1468" s="36"/>
      <c r="AU1468" s="35"/>
      <c r="AV1468" s="7"/>
      <c r="AW1468" s="7"/>
      <c r="AX1468" s="7"/>
      <c r="AY1468" s="7"/>
      <c r="AZ1468" s="7"/>
      <c r="BA1468" s="7"/>
      <c r="BB1468" s="7"/>
      <c r="BC1468" s="7"/>
      <c r="BF1468" s="7"/>
      <c r="BG1468" s="36"/>
      <c r="BH1468" s="36"/>
      <c r="BI1468" s="36"/>
      <c r="BJ1468" s="36"/>
      <c r="BK1468" s="36"/>
      <c r="BL1468" s="36"/>
      <c r="BM1468" s="36"/>
      <c r="BN1468" s="36"/>
      <c r="BO1468" s="36"/>
    </row>
    <row r="1469" spans="1:67" x14ac:dyDescent="0.25">
      <c r="A1469" s="39"/>
      <c r="B1469" s="40"/>
      <c r="U1469" s="36"/>
      <c r="V1469" s="36"/>
      <c r="W1469" s="35"/>
      <c r="X1469" s="7"/>
      <c r="Y1469" s="7"/>
      <c r="Z1469" s="7"/>
      <c r="AA1469" s="7"/>
      <c r="AB1469" s="7"/>
      <c r="AC1469" s="7"/>
      <c r="AD1469" s="7"/>
      <c r="AE1469" s="7"/>
      <c r="AG1469" s="36"/>
      <c r="AH1469" s="36"/>
      <c r="AI1469" s="35"/>
      <c r="AJ1469" s="7"/>
      <c r="AK1469" s="7"/>
      <c r="AL1469" s="7"/>
      <c r="AM1469" s="7"/>
      <c r="AN1469" s="7"/>
      <c r="AO1469" s="7"/>
      <c r="AP1469" s="7"/>
      <c r="AQ1469" s="7"/>
      <c r="AS1469" s="36"/>
      <c r="AT1469" s="36"/>
      <c r="AU1469" s="35"/>
      <c r="AV1469" s="7"/>
      <c r="AW1469" s="7"/>
      <c r="AX1469" s="7"/>
      <c r="AY1469" s="7"/>
      <c r="AZ1469" s="7"/>
      <c r="BA1469" s="7"/>
      <c r="BB1469" s="7"/>
      <c r="BC1469" s="7"/>
      <c r="BF1469" s="7"/>
      <c r="BG1469" s="36"/>
      <c r="BH1469" s="36"/>
      <c r="BI1469" s="36"/>
      <c r="BJ1469" s="36"/>
      <c r="BK1469" s="36"/>
      <c r="BL1469" s="36"/>
      <c r="BM1469" s="36"/>
      <c r="BN1469" s="36"/>
      <c r="BO1469" s="36"/>
    </row>
    <row r="1470" spans="1:67" x14ac:dyDescent="0.25">
      <c r="A1470" s="39"/>
      <c r="B1470" s="40"/>
      <c r="U1470" s="36"/>
      <c r="V1470" s="36"/>
      <c r="W1470" s="35"/>
      <c r="X1470" s="7"/>
      <c r="Y1470" s="7"/>
      <c r="Z1470" s="7"/>
      <c r="AA1470" s="7"/>
      <c r="AB1470" s="7"/>
      <c r="AC1470" s="7"/>
      <c r="AD1470" s="7"/>
      <c r="AE1470" s="7"/>
      <c r="AG1470" s="36"/>
      <c r="AH1470" s="36"/>
      <c r="AI1470" s="35"/>
      <c r="AJ1470" s="7"/>
      <c r="AK1470" s="7"/>
      <c r="AL1470" s="7"/>
      <c r="AM1470" s="7"/>
      <c r="AN1470" s="7"/>
      <c r="AO1470" s="7"/>
      <c r="AP1470" s="7"/>
      <c r="AQ1470" s="7"/>
      <c r="AS1470" s="36"/>
      <c r="AT1470" s="36"/>
      <c r="AU1470" s="35"/>
      <c r="AV1470" s="7"/>
      <c r="AW1470" s="7"/>
      <c r="AX1470" s="7"/>
      <c r="AY1470" s="7"/>
      <c r="AZ1470" s="7"/>
      <c r="BA1470" s="7"/>
      <c r="BB1470" s="7"/>
      <c r="BC1470" s="7"/>
      <c r="BF1470" s="7"/>
      <c r="BG1470" s="36"/>
      <c r="BH1470" s="36"/>
      <c r="BI1470" s="36"/>
      <c r="BJ1470" s="36"/>
      <c r="BK1470" s="36"/>
      <c r="BL1470" s="36"/>
      <c r="BM1470" s="36"/>
      <c r="BN1470" s="36"/>
      <c r="BO1470" s="36"/>
    </row>
    <row r="1471" spans="1:67" x14ac:dyDescent="0.25">
      <c r="A1471" s="39"/>
      <c r="B1471" s="40"/>
      <c r="U1471" s="36"/>
      <c r="V1471" s="36"/>
      <c r="W1471" s="35"/>
      <c r="X1471" s="7"/>
      <c r="Y1471" s="7"/>
      <c r="Z1471" s="7"/>
      <c r="AA1471" s="7"/>
      <c r="AB1471" s="7"/>
      <c r="AC1471" s="7"/>
      <c r="AD1471" s="7"/>
      <c r="AE1471" s="7"/>
      <c r="AG1471" s="36"/>
      <c r="AH1471" s="36"/>
      <c r="AI1471" s="35"/>
      <c r="AJ1471" s="7"/>
      <c r="AK1471" s="7"/>
      <c r="AL1471" s="7"/>
      <c r="AM1471" s="7"/>
      <c r="AN1471" s="7"/>
      <c r="AO1471" s="7"/>
      <c r="AP1471" s="7"/>
      <c r="AQ1471" s="7"/>
      <c r="AS1471" s="36"/>
      <c r="AT1471" s="36"/>
      <c r="AU1471" s="35"/>
      <c r="AV1471" s="7"/>
      <c r="AW1471" s="7"/>
      <c r="AX1471" s="7"/>
      <c r="AY1471" s="7"/>
      <c r="AZ1471" s="7"/>
      <c r="BA1471" s="7"/>
      <c r="BB1471" s="7"/>
      <c r="BC1471" s="7"/>
      <c r="BF1471" s="7"/>
      <c r="BG1471" s="36"/>
      <c r="BH1471" s="36"/>
      <c r="BI1471" s="36"/>
      <c r="BJ1471" s="36"/>
      <c r="BK1471" s="36"/>
      <c r="BL1471" s="36"/>
      <c r="BM1471" s="36"/>
      <c r="BN1471" s="36"/>
      <c r="BO1471" s="36"/>
    </row>
    <row r="1472" spans="1:67" x14ac:dyDescent="0.25">
      <c r="A1472" s="39"/>
      <c r="B1472" s="40"/>
      <c r="U1472" s="36"/>
      <c r="V1472" s="36"/>
      <c r="W1472" s="35"/>
      <c r="X1472" s="7"/>
      <c r="Y1472" s="7"/>
      <c r="Z1472" s="7"/>
      <c r="AA1472" s="7"/>
      <c r="AB1472" s="7"/>
      <c r="AC1472" s="7"/>
      <c r="AD1472" s="7"/>
      <c r="AE1472" s="7"/>
      <c r="AG1472" s="36"/>
      <c r="AH1472" s="36"/>
      <c r="AI1472" s="35"/>
      <c r="AJ1472" s="7"/>
      <c r="AK1472" s="7"/>
      <c r="AL1472" s="7"/>
      <c r="AM1472" s="7"/>
      <c r="AN1472" s="7"/>
      <c r="AO1472" s="7"/>
      <c r="AP1472" s="7"/>
      <c r="AQ1472" s="7"/>
      <c r="AS1472" s="36"/>
      <c r="AT1472" s="36"/>
      <c r="AU1472" s="35"/>
      <c r="AV1472" s="7"/>
      <c r="AW1472" s="7"/>
      <c r="AX1472" s="7"/>
      <c r="AY1472" s="7"/>
      <c r="AZ1472" s="7"/>
      <c r="BA1472" s="7"/>
      <c r="BB1472" s="7"/>
      <c r="BC1472" s="7"/>
      <c r="BF1472" s="7"/>
      <c r="BG1472" s="36"/>
      <c r="BH1472" s="36"/>
      <c r="BI1472" s="36"/>
      <c r="BJ1472" s="36"/>
      <c r="BK1472" s="36"/>
      <c r="BL1472" s="36"/>
      <c r="BM1472" s="36"/>
      <c r="BN1472" s="36"/>
      <c r="BO1472" s="36"/>
    </row>
    <row r="1473" spans="1:67" x14ac:dyDescent="0.25">
      <c r="A1473" s="39"/>
      <c r="B1473" s="40"/>
      <c r="U1473" s="36"/>
      <c r="V1473" s="36"/>
      <c r="W1473" s="35"/>
      <c r="X1473" s="7"/>
      <c r="Y1473" s="7"/>
      <c r="Z1473" s="7"/>
      <c r="AA1473" s="7"/>
      <c r="AB1473" s="7"/>
      <c r="AC1473" s="7"/>
      <c r="AD1473" s="7"/>
      <c r="AE1473" s="7"/>
      <c r="AG1473" s="36"/>
      <c r="AH1473" s="36"/>
      <c r="AI1473" s="35"/>
      <c r="AJ1473" s="7"/>
      <c r="AK1473" s="7"/>
      <c r="AL1473" s="7"/>
      <c r="AM1473" s="7"/>
      <c r="AN1473" s="7"/>
      <c r="AO1473" s="7"/>
      <c r="AP1473" s="7"/>
      <c r="AQ1473" s="7"/>
      <c r="AS1473" s="36"/>
      <c r="AT1473" s="36"/>
      <c r="AU1473" s="35"/>
      <c r="AV1473" s="7"/>
      <c r="AW1473" s="7"/>
      <c r="AX1473" s="7"/>
      <c r="AY1473" s="7"/>
      <c r="AZ1473" s="7"/>
      <c r="BA1473" s="7"/>
      <c r="BB1473" s="7"/>
      <c r="BC1473" s="7"/>
      <c r="BF1473" s="7"/>
      <c r="BG1473" s="36"/>
      <c r="BH1473" s="36"/>
      <c r="BI1473" s="36"/>
      <c r="BJ1473" s="36"/>
      <c r="BK1473" s="36"/>
      <c r="BL1473" s="36"/>
      <c r="BM1473" s="36"/>
      <c r="BN1473" s="36"/>
      <c r="BO1473" s="36"/>
    </row>
    <row r="1474" spans="1:67" x14ac:dyDescent="0.25">
      <c r="A1474" s="39"/>
      <c r="B1474" s="40"/>
      <c r="U1474" s="36"/>
      <c r="V1474" s="36"/>
      <c r="W1474" s="35"/>
      <c r="X1474" s="7"/>
      <c r="Y1474" s="7"/>
      <c r="Z1474" s="7"/>
      <c r="AA1474" s="7"/>
      <c r="AB1474" s="7"/>
      <c r="AC1474" s="7"/>
      <c r="AD1474" s="7"/>
      <c r="AE1474" s="7"/>
      <c r="AG1474" s="36"/>
      <c r="AH1474" s="36"/>
      <c r="AI1474" s="35"/>
      <c r="AJ1474" s="7"/>
      <c r="AK1474" s="7"/>
      <c r="AL1474" s="7"/>
      <c r="AM1474" s="7"/>
      <c r="AN1474" s="7"/>
      <c r="AO1474" s="7"/>
      <c r="AP1474" s="7"/>
      <c r="AQ1474" s="7"/>
      <c r="AS1474" s="36"/>
      <c r="AT1474" s="36"/>
      <c r="AU1474" s="35"/>
      <c r="AV1474" s="7"/>
      <c r="AW1474" s="7"/>
      <c r="AX1474" s="7"/>
      <c r="AY1474" s="7"/>
      <c r="AZ1474" s="7"/>
      <c r="BA1474" s="7"/>
      <c r="BB1474" s="7"/>
      <c r="BC1474" s="7"/>
      <c r="BF1474" s="7"/>
      <c r="BG1474" s="36"/>
      <c r="BH1474" s="36"/>
      <c r="BI1474" s="36"/>
      <c r="BJ1474" s="36"/>
      <c r="BK1474" s="36"/>
      <c r="BL1474" s="36"/>
      <c r="BM1474" s="36"/>
      <c r="BN1474" s="36"/>
      <c r="BO1474" s="36"/>
    </row>
    <row r="1475" spans="1:67" x14ac:dyDescent="0.25">
      <c r="A1475" s="39"/>
      <c r="B1475" s="40"/>
      <c r="U1475" s="36"/>
      <c r="V1475" s="36"/>
      <c r="W1475" s="35"/>
      <c r="X1475" s="7"/>
      <c r="Y1475" s="7"/>
      <c r="Z1475" s="7"/>
      <c r="AA1475" s="7"/>
      <c r="AB1475" s="7"/>
      <c r="AC1475" s="7"/>
      <c r="AD1475" s="7"/>
      <c r="AE1475" s="7"/>
      <c r="AG1475" s="36"/>
      <c r="AH1475" s="36"/>
      <c r="AI1475" s="35"/>
      <c r="AJ1475" s="7"/>
      <c r="AK1475" s="7"/>
      <c r="AL1475" s="7"/>
      <c r="AM1475" s="7"/>
      <c r="AN1475" s="7"/>
      <c r="AO1475" s="7"/>
      <c r="AP1475" s="7"/>
      <c r="AQ1475" s="7"/>
      <c r="AS1475" s="36"/>
      <c r="AT1475" s="36"/>
      <c r="AU1475" s="35"/>
      <c r="AV1475" s="7"/>
      <c r="AW1475" s="7"/>
      <c r="AX1475" s="7"/>
      <c r="AY1475" s="7"/>
      <c r="AZ1475" s="7"/>
      <c r="BA1475" s="7"/>
      <c r="BB1475" s="7"/>
      <c r="BC1475" s="7"/>
      <c r="BF1475" s="7"/>
      <c r="BG1475" s="36"/>
      <c r="BH1475" s="36"/>
      <c r="BI1475" s="36"/>
      <c r="BJ1475" s="36"/>
      <c r="BK1475" s="36"/>
      <c r="BL1475" s="36"/>
      <c r="BM1475" s="36"/>
      <c r="BN1475" s="36"/>
      <c r="BO1475" s="36"/>
    </row>
    <row r="1476" spans="1:67" x14ac:dyDescent="0.25">
      <c r="A1476" s="39"/>
      <c r="B1476" s="40"/>
      <c r="U1476" s="36"/>
      <c r="V1476" s="36"/>
      <c r="W1476" s="35"/>
      <c r="X1476" s="7"/>
      <c r="Y1476" s="7"/>
      <c r="Z1476" s="7"/>
      <c r="AA1476" s="7"/>
      <c r="AB1476" s="7"/>
      <c r="AC1476" s="7"/>
      <c r="AD1476" s="7"/>
      <c r="AE1476" s="7"/>
      <c r="AG1476" s="36"/>
      <c r="AH1476" s="36"/>
      <c r="AI1476" s="35"/>
      <c r="AJ1476" s="7"/>
      <c r="AK1476" s="7"/>
      <c r="AL1476" s="7"/>
      <c r="AM1476" s="7"/>
      <c r="AN1476" s="7"/>
      <c r="AO1476" s="7"/>
      <c r="AP1476" s="7"/>
      <c r="AQ1476" s="7"/>
      <c r="AS1476" s="36"/>
      <c r="AT1476" s="36"/>
      <c r="AU1476" s="35"/>
      <c r="AV1476" s="7"/>
      <c r="AW1476" s="7"/>
      <c r="AX1476" s="7"/>
      <c r="AY1476" s="7"/>
      <c r="AZ1476" s="7"/>
      <c r="BA1476" s="7"/>
      <c r="BB1476" s="7"/>
      <c r="BC1476" s="7"/>
      <c r="BF1476" s="7"/>
      <c r="BG1476" s="36"/>
      <c r="BH1476" s="36"/>
      <c r="BI1476" s="36"/>
      <c r="BJ1476" s="36"/>
      <c r="BK1476" s="36"/>
      <c r="BL1476" s="36"/>
      <c r="BM1476" s="36"/>
      <c r="BN1476" s="36"/>
      <c r="BO1476" s="36"/>
    </row>
    <row r="1477" spans="1:67" x14ac:dyDescent="0.25">
      <c r="A1477" s="39"/>
      <c r="B1477" s="40"/>
      <c r="U1477" s="36"/>
      <c r="V1477" s="36"/>
      <c r="W1477" s="35"/>
      <c r="X1477" s="7"/>
      <c r="Y1477" s="7"/>
      <c r="Z1477" s="7"/>
      <c r="AA1477" s="7"/>
      <c r="AB1477" s="7"/>
      <c r="AC1477" s="7"/>
      <c r="AD1477" s="7"/>
      <c r="AE1477" s="7"/>
      <c r="AG1477" s="36"/>
      <c r="AH1477" s="36"/>
      <c r="AI1477" s="35"/>
      <c r="AJ1477" s="7"/>
      <c r="AK1477" s="7"/>
      <c r="AL1477" s="7"/>
      <c r="AM1477" s="7"/>
      <c r="AN1477" s="7"/>
      <c r="AO1477" s="7"/>
      <c r="AP1477" s="7"/>
      <c r="AQ1477" s="7"/>
      <c r="AS1477" s="36"/>
      <c r="AT1477" s="36"/>
      <c r="AU1477" s="35"/>
      <c r="AV1477" s="7"/>
      <c r="AW1477" s="7"/>
      <c r="AX1477" s="7"/>
      <c r="AY1477" s="7"/>
      <c r="AZ1477" s="7"/>
      <c r="BA1477" s="7"/>
      <c r="BB1477" s="7"/>
      <c r="BC1477" s="7"/>
      <c r="BF1477" s="7"/>
      <c r="BG1477" s="36"/>
      <c r="BH1477" s="36"/>
      <c r="BI1477" s="36"/>
      <c r="BJ1477" s="36"/>
      <c r="BK1477" s="36"/>
      <c r="BL1477" s="36"/>
      <c r="BM1477" s="36"/>
      <c r="BN1477" s="36"/>
      <c r="BO1477" s="36"/>
    </row>
    <row r="1478" spans="1:67" x14ac:dyDescent="0.25">
      <c r="A1478" s="39"/>
      <c r="B1478" s="40"/>
      <c r="U1478" s="36"/>
      <c r="V1478" s="36"/>
      <c r="W1478" s="35"/>
      <c r="X1478" s="7"/>
      <c r="Y1478" s="7"/>
      <c r="Z1478" s="7"/>
      <c r="AA1478" s="7"/>
      <c r="AB1478" s="7"/>
      <c r="AC1478" s="7"/>
      <c r="AD1478" s="7"/>
      <c r="AE1478" s="7"/>
      <c r="AG1478" s="36"/>
      <c r="AH1478" s="36"/>
      <c r="AI1478" s="35"/>
      <c r="AJ1478" s="7"/>
      <c r="AK1478" s="7"/>
      <c r="AL1478" s="7"/>
      <c r="AM1478" s="7"/>
      <c r="AN1478" s="7"/>
      <c r="AO1478" s="7"/>
      <c r="AP1478" s="7"/>
      <c r="AQ1478" s="7"/>
      <c r="AS1478" s="36"/>
      <c r="AT1478" s="36"/>
      <c r="AU1478" s="35"/>
      <c r="AV1478" s="7"/>
      <c r="AW1478" s="7"/>
      <c r="AX1478" s="7"/>
      <c r="AY1478" s="7"/>
      <c r="AZ1478" s="7"/>
      <c r="BA1478" s="7"/>
      <c r="BB1478" s="7"/>
      <c r="BC1478" s="7"/>
      <c r="BF1478" s="7"/>
      <c r="BG1478" s="36"/>
      <c r="BH1478" s="36"/>
      <c r="BI1478" s="36"/>
      <c r="BJ1478" s="36"/>
      <c r="BK1478" s="36"/>
      <c r="BL1478" s="36"/>
      <c r="BM1478" s="36"/>
      <c r="BN1478" s="36"/>
      <c r="BO1478" s="36"/>
    </row>
    <row r="1479" spans="1:67" x14ac:dyDescent="0.25">
      <c r="A1479" s="39"/>
      <c r="B1479" s="40"/>
      <c r="U1479" s="36"/>
      <c r="V1479" s="36"/>
      <c r="W1479" s="35"/>
      <c r="X1479" s="7"/>
      <c r="Y1479" s="7"/>
      <c r="Z1479" s="7"/>
      <c r="AA1479" s="7"/>
      <c r="AB1479" s="7"/>
      <c r="AC1479" s="7"/>
      <c r="AD1479" s="7"/>
      <c r="AE1479" s="7"/>
      <c r="AG1479" s="36"/>
      <c r="AH1479" s="36"/>
      <c r="AI1479" s="35"/>
      <c r="AJ1479" s="7"/>
      <c r="AK1479" s="7"/>
      <c r="AL1479" s="7"/>
      <c r="AM1479" s="7"/>
      <c r="AN1479" s="7"/>
      <c r="AO1479" s="7"/>
      <c r="AP1479" s="7"/>
      <c r="AQ1479" s="7"/>
      <c r="AS1479" s="36"/>
      <c r="AT1479" s="36"/>
      <c r="AU1479" s="35"/>
      <c r="AV1479" s="7"/>
      <c r="AW1479" s="7"/>
      <c r="AX1479" s="7"/>
      <c r="AY1479" s="7"/>
      <c r="AZ1479" s="7"/>
      <c r="BA1479" s="7"/>
      <c r="BB1479" s="7"/>
      <c r="BC1479" s="7"/>
      <c r="BF1479" s="7"/>
      <c r="BG1479" s="36"/>
      <c r="BH1479" s="36"/>
      <c r="BI1479" s="36"/>
      <c r="BJ1479" s="36"/>
      <c r="BK1479" s="36"/>
      <c r="BL1479" s="36"/>
      <c r="BM1479" s="36"/>
      <c r="BN1479" s="36"/>
      <c r="BO1479" s="36"/>
    </row>
    <row r="1480" spans="1:67" x14ac:dyDescent="0.25">
      <c r="A1480" s="39"/>
      <c r="B1480" s="40"/>
      <c r="U1480" s="36"/>
      <c r="V1480" s="36"/>
      <c r="W1480" s="35"/>
      <c r="X1480" s="7"/>
      <c r="Y1480" s="7"/>
      <c r="Z1480" s="7"/>
      <c r="AA1480" s="7"/>
      <c r="AB1480" s="7"/>
      <c r="AC1480" s="7"/>
      <c r="AD1480" s="7"/>
      <c r="AE1480" s="7"/>
      <c r="AG1480" s="36"/>
      <c r="AH1480" s="36"/>
      <c r="AI1480" s="35"/>
      <c r="AJ1480" s="7"/>
      <c r="AK1480" s="7"/>
      <c r="AL1480" s="7"/>
      <c r="AM1480" s="7"/>
      <c r="AN1480" s="7"/>
      <c r="AO1480" s="7"/>
      <c r="AP1480" s="7"/>
      <c r="AQ1480" s="7"/>
      <c r="AS1480" s="36"/>
      <c r="AT1480" s="36"/>
      <c r="AU1480" s="35"/>
      <c r="AV1480" s="7"/>
      <c r="AW1480" s="7"/>
      <c r="AX1480" s="7"/>
      <c r="AY1480" s="7"/>
      <c r="AZ1480" s="7"/>
      <c r="BA1480" s="7"/>
      <c r="BB1480" s="7"/>
      <c r="BC1480" s="7"/>
      <c r="BF1480" s="7"/>
      <c r="BG1480" s="36"/>
      <c r="BH1480" s="36"/>
      <c r="BI1480" s="36"/>
      <c r="BJ1480" s="36"/>
      <c r="BK1480" s="36"/>
      <c r="BL1480" s="36"/>
      <c r="BM1480" s="36"/>
      <c r="BN1480" s="36"/>
      <c r="BO1480" s="36"/>
    </row>
    <row r="1481" spans="1:67" x14ac:dyDescent="0.25">
      <c r="A1481" s="39"/>
      <c r="B1481" s="40"/>
      <c r="U1481" s="36"/>
      <c r="V1481" s="36"/>
      <c r="W1481" s="35"/>
      <c r="X1481" s="7"/>
      <c r="Y1481" s="7"/>
      <c r="Z1481" s="7"/>
      <c r="AA1481" s="7"/>
      <c r="AB1481" s="7"/>
      <c r="AC1481" s="7"/>
      <c r="AD1481" s="7"/>
      <c r="AE1481" s="7"/>
      <c r="AG1481" s="36"/>
      <c r="AH1481" s="36"/>
      <c r="AI1481" s="35"/>
      <c r="AJ1481" s="7"/>
      <c r="AK1481" s="7"/>
      <c r="AL1481" s="7"/>
      <c r="AM1481" s="7"/>
      <c r="AN1481" s="7"/>
      <c r="AO1481" s="7"/>
      <c r="AP1481" s="7"/>
      <c r="AQ1481" s="7"/>
      <c r="AS1481" s="36"/>
      <c r="AT1481" s="36"/>
      <c r="AU1481" s="35"/>
      <c r="AV1481" s="7"/>
      <c r="AW1481" s="7"/>
      <c r="AX1481" s="7"/>
      <c r="AY1481" s="7"/>
      <c r="AZ1481" s="7"/>
      <c r="BA1481" s="7"/>
      <c r="BB1481" s="7"/>
      <c r="BC1481" s="7"/>
      <c r="BF1481" s="7"/>
      <c r="BG1481" s="36"/>
      <c r="BH1481" s="36"/>
      <c r="BI1481" s="36"/>
      <c r="BJ1481" s="36"/>
      <c r="BK1481" s="36"/>
      <c r="BL1481" s="36"/>
      <c r="BM1481" s="36"/>
      <c r="BN1481" s="36"/>
      <c r="BO1481" s="36"/>
    </row>
    <row r="1482" spans="1:67" x14ac:dyDescent="0.25">
      <c r="A1482" s="39"/>
      <c r="B1482" s="40"/>
      <c r="U1482" s="36"/>
      <c r="V1482" s="36"/>
      <c r="W1482" s="35"/>
      <c r="X1482" s="7"/>
      <c r="Y1482" s="7"/>
      <c r="Z1482" s="7"/>
      <c r="AA1482" s="7"/>
      <c r="AB1482" s="7"/>
      <c r="AC1482" s="7"/>
      <c r="AD1482" s="7"/>
      <c r="AE1482" s="7"/>
      <c r="AG1482" s="36"/>
      <c r="AH1482" s="36"/>
      <c r="AI1482" s="35"/>
      <c r="AJ1482" s="7"/>
      <c r="AK1482" s="7"/>
      <c r="AL1482" s="7"/>
      <c r="AM1482" s="7"/>
      <c r="AN1482" s="7"/>
      <c r="AO1482" s="7"/>
      <c r="AP1482" s="7"/>
      <c r="AQ1482" s="7"/>
      <c r="AS1482" s="36"/>
      <c r="AT1482" s="36"/>
      <c r="AU1482" s="35"/>
      <c r="AV1482" s="7"/>
      <c r="AW1482" s="7"/>
      <c r="AX1482" s="7"/>
      <c r="AY1482" s="7"/>
      <c r="AZ1482" s="7"/>
      <c r="BA1482" s="7"/>
      <c r="BB1482" s="7"/>
      <c r="BC1482" s="7"/>
      <c r="BF1482" s="7"/>
      <c r="BG1482" s="36"/>
      <c r="BH1482" s="36"/>
      <c r="BI1482" s="36"/>
      <c r="BJ1482" s="36"/>
      <c r="BK1482" s="36"/>
      <c r="BL1482" s="36"/>
      <c r="BM1482" s="36"/>
      <c r="BN1482" s="36"/>
      <c r="BO1482" s="36"/>
    </row>
    <row r="1483" spans="1:67" x14ac:dyDescent="0.25">
      <c r="A1483" s="39"/>
      <c r="B1483" s="40"/>
      <c r="U1483" s="36"/>
      <c r="V1483" s="36"/>
      <c r="W1483" s="35"/>
      <c r="X1483" s="7"/>
      <c r="Y1483" s="7"/>
      <c r="Z1483" s="7"/>
      <c r="AA1483" s="7"/>
      <c r="AB1483" s="7"/>
      <c r="AC1483" s="7"/>
      <c r="AD1483" s="7"/>
      <c r="AE1483" s="7"/>
      <c r="AG1483" s="36"/>
      <c r="AH1483" s="36"/>
      <c r="AI1483" s="35"/>
      <c r="AJ1483" s="7"/>
      <c r="AK1483" s="7"/>
      <c r="AL1483" s="7"/>
      <c r="AM1483" s="7"/>
      <c r="AN1483" s="7"/>
      <c r="AO1483" s="7"/>
      <c r="AP1483" s="7"/>
      <c r="AQ1483" s="7"/>
      <c r="AS1483" s="36"/>
      <c r="AT1483" s="36"/>
      <c r="AU1483" s="35"/>
      <c r="AV1483" s="7"/>
      <c r="AW1483" s="7"/>
      <c r="AX1483" s="7"/>
      <c r="AY1483" s="7"/>
      <c r="AZ1483" s="7"/>
      <c r="BA1483" s="7"/>
      <c r="BB1483" s="7"/>
      <c r="BC1483" s="7"/>
      <c r="BF1483" s="7"/>
      <c r="BG1483" s="36"/>
      <c r="BH1483" s="36"/>
      <c r="BI1483" s="36"/>
      <c r="BJ1483" s="36"/>
      <c r="BK1483" s="36"/>
      <c r="BL1483" s="36"/>
      <c r="BM1483" s="36"/>
      <c r="BN1483" s="36"/>
      <c r="BO1483" s="36"/>
    </row>
    <row r="1484" spans="1:67" x14ac:dyDescent="0.25">
      <c r="A1484" s="39"/>
      <c r="B1484" s="40"/>
      <c r="U1484" s="36"/>
      <c r="V1484" s="36"/>
      <c r="W1484" s="35"/>
      <c r="X1484" s="7"/>
      <c r="Y1484" s="7"/>
      <c r="Z1484" s="7"/>
      <c r="AA1484" s="7"/>
      <c r="AB1484" s="7"/>
      <c r="AC1484" s="7"/>
      <c r="AD1484" s="7"/>
      <c r="AE1484" s="7"/>
      <c r="AG1484" s="36"/>
      <c r="AH1484" s="36"/>
      <c r="AI1484" s="35"/>
      <c r="AJ1484" s="7"/>
      <c r="AK1484" s="7"/>
      <c r="AL1484" s="7"/>
      <c r="AM1484" s="7"/>
      <c r="AN1484" s="7"/>
      <c r="AO1484" s="7"/>
      <c r="AP1484" s="7"/>
      <c r="AQ1484" s="7"/>
      <c r="AS1484" s="36"/>
      <c r="AT1484" s="36"/>
      <c r="AU1484" s="35"/>
      <c r="AV1484" s="7"/>
      <c r="AW1484" s="7"/>
      <c r="AX1484" s="7"/>
      <c r="AY1484" s="7"/>
      <c r="AZ1484" s="7"/>
      <c r="BA1484" s="7"/>
      <c r="BB1484" s="7"/>
      <c r="BC1484" s="7"/>
      <c r="BF1484" s="7"/>
      <c r="BG1484" s="36"/>
      <c r="BH1484" s="36"/>
      <c r="BI1484" s="36"/>
      <c r="BJ1484" s="36"/>
      <c r="BK1484" s="36"/>
      <c r="BL1484" s="36"/>
      <c r="BM1484" s="36"/>
      <c r="BN1484" s="36"/>
      <c r="BO1484" s="36"/>
    </row>
    <row r="1485" spans="1:67" x14ac:dyDescent="0.25">
      <c r="A1485" s="39"/>
      <c r="B1485" s="40"/>
      <c r="U1485" s="36"/>
      <c r="V1485" s="36"/>
      <c r="W1485" s="35"/>
      <c r="X1485" s="7"/>
      <c r="Y1485" s="7"/>
      <c r="Z1485" s="7"/>
      <c r="AA1485" s="7"/>
      <c r="AB1485" s="7"/>
      <c r="AC1485" s="7"/>
      <c r="AD1485" s="7"/>
      <c r="AE1485" s="7"/>
      <c r="AG1485" s="36"/>
      <c r="AH1485" s="36"/>
      <c r="AI1485" s="35"/>
      <c r="AJ1485" s="7"/>
      <c r="AK1485" s="7"/>
      <c r="AL1485" s="7"/>
      <c r="AM1485" s="7"/>
      <c r="AN1485" s="7"/>
      <c r="AO1485" s="7"/>
      <c r="AP1485" s="7"/>
      <c r="AQ1485" s="7"/>
      <c r="AS1485" s="36"/>
      <c r="AT1485" s="36"/>
      <c r="AU1485" s="35"/>
      <c r="AV1485" s="7"/>
      <c r="AW1485" s="7"/>
      <c r="AX1485" s="7"/>
      <c r="AY1485" s="7"/>
      <c r="AZ1485" s="7"/>
      <c r="BA1485" s="7"/>
      <c r="BB1485" s="7"/>
      <c r="BC1485" s="7"/>
      <c r="BF1485" s="7"/>
      <c r="BG1485" s="36"/>
      <c r="BH1485" s="36"/>
      <c r="BI1485" s="36"/>
      <c r="BJ1485" s="36"/>
      <c r="BK1485" s="36"/>
      <c r="BL1485" s="36"/>
      <c r="BM1485" s="36"/>
      <c r="BN1485" s="36"/>
      <c r="BO1485" s="36"/>
    </row>
    <row r="1486" spans="1:67" x14ac:dyDescent="0.25">
      <c r="A1486" s="39"/>
      <c r="B1486" s="40"/>
      <c r="U1486" s="36"/>
      <c r="V1486" s="36"/>
      <c r="W1486" s="35"/>
      <c r="X1486" s="7"/>
      <c r="Y1486" s="7"/>
      <c r="Z1486" s="7"/>
      <c r="AA1486" s="7"/>
      <c r="AB1486" s="7"/>
      <c r="AC1486" s="7"/>
      <c r="AD1486" s="7"/>
      <c r="AE1486" s="7"/>
      <c r="AG1486" s="36"/>
      <c r="AH1486" s="36"/>
      <c r="AI1486" s="35"/>
      <c r="AJ1486" s="7"/>
      <c r="AK1486" s="7"/>
      <c r="AL1486" s="7"/>
      <c r="AM1486" s="7"/>
      <c r="AN1486" s="7"/>
      <c r="AO1486" s="7"/>
      <c r="AP1486" s="7"/>
      <c r="AQ1486" s="7"/>
      <c r="AS1486" s="36"/>
      <c r="AT1486" s="36"/>
      <c r="AU1486" s="35"/>
      <c r="AV1486" s="7"/>
      <c r="AW1486" s="7"/>
      <c r="AX1486" s="7"/>
      <c r="AY1486" s="7"/>
      <c r="AZ1486" s="7"/>
      <c r="BA1486" s="7"/>
      <c r="BB1486" s="7"/>
      <c r="BC1486" s="7"/>
      <c r="BF1486" s="7"/>
      <c r="BG1486" s="36"/>
      <c r="BH1486" s="36"/>
      <c r="BI1486" s="36"/>
      <c r="BJ1486" s="36"/>
      <c r="BK1486" s="36"/>
      <c r="BL1486" s="36"/>
      <c r="BM1486" s="36"/>
      <c r="BN1486" s="36"/>
      <c r="BO1486" s="36"/>
    </row>
    <row r="1487" spans="1:67" x14ac:dyDescent="0.25">
      <c r="A1487" s="39"/>
      <c r="B1487" s="40"/>
      <c r="U1487" s="36"/>
      <c r="V1487" s="36"/>
      <c r="W1487" s="35"/>
      <c r="X1487" s="7"/>
      <c r="Y1487" s="7"/>
      <c r="Z1487" s="7"/>
      <c r="AA1487" s="7"/>
      <c r="AB1487" s="7"/>
      <c r="AC1487" s="7"/>
      <c r="AD1487" s="7"/>
      <c r="AE1487" s="7"/>
      <c r="AG1487" s="36"/>
      <c r="AH1487" s="36"/>
      <c r="AI1487" s="35"/>
      <c r="AJ1487" s="7"/>
      <c r="AK1487" s="7"/>
      <c r="AL1487" s="7"/>
      <c r="AM1487" s="7"/>
      <c r="AN1487" s="7"/>
      <c r="AO1487" s="7"/>
      <c r="AP1487" s="7"/>
      <c r="AQ1487" s="7"/>
      <c r="AS1487" s="36"/>
      <c r="AT1487" s="36"/>
      <c r="AU1487" s="35"/>
      <c r="AV1487" s="7"/>
      <c r="AW1487" s="7"/>
      <c r="AX1487" s="7"/>
      <c r="AY1487" s="7"/>
      <c r="AZ1487" s="7"/>
      <c r="BA1487" s="7"/>
      <c r="BB1487" s="7"/>
      <c r="BC1487" s="7"/>
      <c r="BF1487" s="7"/>
      <c r="BG1487" s="36"/>
      <c r="BH1487" s="36"/>
      <c r="BI1487" s="36"/>
      <c r="BJ1487" s="36"/>
      <c r="BK1487" s="36"/>
      <c r="BL1487" s="36"/>
      <c r="BM1487" s="36"/>
      <c r="BN1487" s="36"/>
      <c r="BO1487" s="36"/>
    </row>
    <row r="1488" spans="1:67" x14ac:dyDescent="0.25">
      <c r="A1488" s="39"/>
      <c r="B1488" s="40"/>
      <c r="U1488" s="36"/>
      <c r="V1488" s="36"/>
      <c r="W1488" s="35"/>
      <c r="X1488" s="7"/>
      <c r="Y1488" s="7"/>
      <c r="Z1488" s="7"/>
      <c r="AA1488" s="7"/>
      <c r="AB1488" s="7"/>
      <c r="AC1488" s="7"/>
      <c r="AD1488" s="7"/>
      <c r="AE1488" s="7"/>
      <c r="AG1488" s="36"/>
      <c r="AH1488" s="36"/>
      <c r="AI1488" s="35"/>
      <c r="AJ1488" s="7"/>
      <c r="AK1488" s="7"/>
      <c r="AL1488" s="7"/>
      <c r="AM1488" s="7"/>
      <c r="AN1488" s="7"/>
      <c r="AO1488" s="7"/>
      <c r="AP1488" s="7"/>
      <c r="AQ1488" s="7"/>
      <c r="AS1488" s="36"/>
      <c r="AT1488" s="36"/>
      <c r="AU1488" s="35"/>
      <c r="AV1488" s="7"/>
      <c r="AW1488" s="7"/>
      <c r="AX1488" s="7"/>
      <c r="AY1488" s="7"/>
      <c r="AZ1488" s="7"/>
      <c r="BA1488" s="7"/>
      <c r="BB1488" s="7"/>
      <c r="BC1488" s="7"/>
      <c r="BF1488" s="7"/>
      <c r="BG1488" s="36"/>
      <c r="BH1488" s="36"/>
      <c r="BI1488" s="36"/>
      <c r="BJ1488" s="36"/>
      <c r="BK1488" s="36"/>
      <c r="BL1488" s="36"/>
      <c r="BM1488" s="36"/>
      <c r="BN1488" s="36"/>
      <c r="BO1488" s="36"/>
    </row>
    <row r="1489" spans="1:67" x14ac:dyDescent="0.25">
      <c r="A1489" s="39"/>
      <c r="B1489" s="40"/>
      <c r="U1489" s="36"/>
      <c r="V1489" s="36"/>
      <c r="W1489" s="35"/>
      <c r="X1489" s="7"/>
      <c r="Y1489" s="7"/>
      <c r="Z1489" s="7"/>
      <c r="AA1489" s="7"/>
      <c r="AB1489" s="7"/>
      <c r="AC1489" s="7"/>
      <c r="AD1489" s="7"/>
      <c r="AE1489" s="7"/>
      <c r="AG1489" s="36"/>
      <c r="AH1489" s="36"/>
      <c r="AI1489" s="35"/>
      <c r="AJ1489" s="7"/>
      <c r="AK1489" s="7"/>
      <c r="AL1489" s="7"/>
      <c r="AM1489" s="7"/>
      <c r="AN1489" s="7"/>
      <c r="AO1489" s="7"/>
      <c r="AP1489" s="7"/>
      <c r="AQ1489" s="7"/>
      <c r="AS1489" s="36"/>
      <c r="AT1489" s="36"/>
      <c r="AU1489" s="35"/>
      <c r="AV1489" s="7"/>
      <c r="AW1489" s="7"/>
      <c r="AX1489" s="7"/>
      <c r="AY1489" s="7"/>
      <c r="AZ1489" s="7"/>
      <c r="BA1489" s="7"/>
      <c r="BB1489" s="7"/>
      <c r="BC1489" s="7"/>
      <c r="BF1489" s="7"/>
      <c r="BG1489" s="36"/>
      <c r="BH1489" s="36"/>
      <c r="BI1489" s="36"/>
      <c r="BJ1489" s="36"/>
      <c r="BK1489" s="36"/>
      <c r="BL1489" s="36"/>
      <c r="BM1489" s="36"/>
      <c r="BN1489" s="36"/>
      <c r="BO1489" s="36"/>
    </row>
    <row r="1490" spans="1:67" x14ac:dyDescent="0.25">
      <c r="A1490" s="39"/>
      <c r="B1490" s="40"/>
      <c r="U1490" s="36"/>
      <c r="V1490" s="36"/>
      <c r="W1490" s="35"/>
      <c r="X1490" s="7"/>
      <c r="Y1490" s="7"/>
      <c r="Z1490" s="7"/>
      <c r="AA1490" s="7"/>
      <c r="AB1490" s="7"/>
      <c r="AC1490" s="7"/>
      <c r="AD1490" s="7"/>
      <c r="AE1490" s="7"/>
      <c r="AG1490" s="36"/>
      <c r="AH1490" s="36"/>
      <c r="AI1490" s="35"/>
      <c r="AJ1490" s="7"/>
      <c r="AK1490" s="7"/>
      <c r="AL1490" s="7"/>
      <c r="AM1490" s="7"/>
      <c r="AN1490" s="7"/>
      <c r="AO1490" s="7"/>
      <c r="AP1490" s="7"/>
      <c r="AQ1490" s="7"/>
      <c r="AS1490" s="36"/>
      <c r="AT1490" s="36"/>
      <c r="AU1490" s="35"/>
      <c r="AV1490" s="7"/>
      <c r="AW1490" s="7"/>
      <c r="AX1490" s="7"/>
      <c r="AY1490" s="7"/>
      <c r="AZ1490" s="7"/>
      <c r="BA1490" s="7"/>
      <c r="BB1490" s="7"/>
      <c r="BC1490" s="7"/>
      <c r="BF1490" s="7"/>
      <c r="BG1490" s="36"/>
      <c r="BH1490" s="36"/>
      <c r="BI1490" s="36"/>
      <c r="BJ1490" s="36"/>
      <c r="BK1490" s="36"/>
      <c r="BL1490" s="36"/>
      <c r="BM1490" s="36"/>
      <c r="BN1490" s="36"/>
      <c r="BO1490" s="36"/>
    </row>
    <row r="1491" spans="1:67" x14ac:dyDescent="0.25">
      <c r="A1491" s="39"/>
      <c r="B1491" s="40"/>
      <c r="U1491" s="36"/>
      <c r="V1491" s="36"/>
      <c r="W1491" s="35"/>
      <c r="X1491" s="7"/>
      <c r="Y1491" s="7"/>
      <c r="Z1491" s="7"/>
      <c r="AA1491" s="7"/>
      <c r="AB1491" s="7"/>
      <c r="AC1491" s="7"/>
      <c r="AD1491" s="7"/>
      <c r="AE1491" s="7"/>
      <c r="AG1491" s="36"/>
      <c r="AH1491" s="36"/>
      <c r="AI1491" s="35"/>
      <c r="AJ1491" s="7"/>
      <c r="AK1491" s="7"/>
      <c r="AL1491" s="7"/>
      <c r="AM1491" s="7"/>
      <c r="AN1491" s="7"/>
      <c r="AO1491" s="7"/>
      <c r="AP1491" s="7"/>
      <c r="AQ1491" s="7"/>
      <c r="AS1491" s="36"/>
      <c r="AT1491" s="36"/>
      <c r="AU1491" s="35"/>
      <c r="AV1491" s="7"/>
      <c r="AW1491" s="7"/>
      <c r="AX1491" s="7"/>
      <c r="AY1491" s="7"/>
      <c r="AZ1491" s="7"/>
      <c r="BA1491" s="7"/>
      <c r="BB1491" s="7"/>
      <c r="BC1491" s="7"/>
      <c r="BF1491" s="7"/>
      <c r="BG1491" s="36"/>
      <c r="BH1491" s="36"/>
      <c r="BI1491" s="36"/>
      <c r="BJ1491" s="36"/>
      <c r="BK1491" s="36"/>
      <c r="BL1491" s="36"/>
      <c r="BM1491" s="36"/>
      <c r="BN1491" s="36"/>
      <c r="BO1491" s="36"/>
    </row>
    <row r="1492" spans="1:67" x14ac:dyDescent="0.25">
      <c r="A1492" s="39"/>
      <c r="B1492" s="40"/>
      <c r="U1492" s="36"/>
      <c r="V1492" s="36"/>
      <c r="W1492" s="35"/>
      <c r="X1492" s="7"/>
      <c r="Y1492" s="7"/>
      <c r="Z1492" s="7"/>
      <c r="AA1492" s="7"/>
      <c r="AB1492" s="7"/>
      <c r="AC1492" s="7"/>
      <c r="AD1492" s="7"/>
      <c r="AE1492" s="7"/>
      <c r="AG1492" s="36"/>
      <c r="AH1492" s="36"/>
      <c r="AI1492" s="35"/>
      <c r="AJ1492" s="7"/>
      <c r="AK1492" s="7"/>
      <c r="AL1492" s="7"/>
      <c r="AM1492" s="7"/>
      <c r="AN1492" s="7"/>
      <c r="AO1492" s="7"/>
      <c r="AP1492" s="7"/>
      <c r="AQ1492" s="7"/>
      <c r="AS1492" s="36"/>
      <c r="AT1492" s="36"/>
      <c r="AU1492" s="35"/>
      <c r="AV1492" s="7"/>
      <c r="AW1492" s="7"/>
      <c r="AX1492" s="7"/>
      <c r="AY1492" s="7"/>
      <c r="AZ1492" s="7"/>
      <c r="BA1492" s="7"/>
      <c r="BB1492" s="7"/>
      <c r="BC1492" s="7"/>
      <c r="BF1492" s="7"/>
      <c r="BG1492" s="36"/>
      <c r="BH1492" s="36"/>
      <c r="BI1492" s="36"/>
      <c r="BJ1492" s="36"/>
      <c r="BK1492" s="36"/>
      <c r="BL1492" s="36"/>
      <c r="BM1492" s="36"/>
      <c r="BN1492" s="36"/>
      <c r="BO1492" s="36"/>
    </row>
    <row r="1493" spans="1:67" x14ac:dyDescent="0.25">
      <c r="A1493" s="39"/>
      <c r="B1493" s="40"/>
      <c r="U1493" s="36"/>
      <c r="V1493" s="36"/>
      <c r="W1493" s="35"/>
      <c r="X1493" s="7"/>
      <c r="Y1493" s="7"/>
      <c r="Z1493" s="7"/>
      <c r="AA1493" s="7"/>
      <c r="AB1493" s="7"/>
      <c r="AC1493" s="7"/>
      <c r="AD1493" s="7"/>
      <c r="AE1493" s="7"/>
      <c r="AG1493" s="36"/>
      <c r="AH1493" s="36"/>
      <c r="AI1493" s="35"/>
      <c r="AJ1493" s="7"/>
      <c r="AK1493" s="7"/>
      <c r="AL1493" s="7"/>
      <c r="AM1493" s="7"/>
      <c r="AN1493" s="7"/>
      <c r="AO1493" s="7"/>
      <c r="AP1493" s="7"/>
      <c r="AQ1493" s="7"/>
      <c r="AS1493" s="36"/>
      <c r="AT1493" s="36"/>
      <c r="AU1493" s="35"/>
      <c r="AV1493" s="7"/>
      <c r="AW1493" s="7"/>
      <c r="AX1493" s="7"/>
      <c r="AY1493" s="7"/>
      <c r="AZ1493" s="7"/>
      <c r="BA1493" s="7"/>
      <c r="BB1493" s="7"/>
      <c r="BC1493" s="7"/>
      <c r="BF1493" s="7"/>
      <c r="BG1493" s="36"/>
      <c r="BH1493" s="36"/>
      <c r="BI1493" s="36"/>
      <c r="BJ1493" s="36"/>
      <c r="BK1493" s="36"/>
      <c r="BL1493" s="36"/>
      <c r="BM1493" s="36"/>
      <c r="BN1493" s="36"/>
      <c r="BO1493" s="36"/>
    </row>
    <row r="1494" spans="1:67" x14ac:dyDescent="0.25">
      <c r="A1494" s="39"/>
      <c r="B1494" s="40"/>
      <c r="U1494" s="36"/>
      <c r="V1494" s="36"/>
      <c r="W1494" s="35"/>
      <c r="X1494" s="7"/>
      <c r="Y1494" s="7"/>
      <c r="Z1494" s="7"/>
      <c r="AA1494" s="7"/>
      <c r="AB1494" s="7"/>
      <c r="AC1494" s="7"/>
      <c r="AD1494" s="7"/>
      <c r="AE1494" s="7"/>
      <c r="AG1494" s="36"/>
      <c r="AH1494" s="36"/>
      <c r="AI1494" s="35"/>
      <c r="AJ1494" s="7"/>
      <c r="AK1494" s="7"/>
      <c r="AL1494" s="7"/>
      <c r="AM1494" s="7"/>
      <c r="AN1494" s="7"/>
      <c r="AO1494" s="7"/>
      <c r="AP1494" s="7"/>
      <c r="AQ1494" s="7"/>
      <c r="AS1494" s="36"/>
      <c r="AT1494" s="36"/>
      <c r="AU1494" s="35"/>
      <c r="AV1494" s="7"/>
      <c r="AW1494" s="7"/>
      <c r="AX1494" s="7"/>
      <c r="AY1494" s="7"/>
      <c r="AZ1494" s="7"/>
      <c r="BA1494" s="7"/>
      <c r="BB1494" s="7"/>
      <c r="BC1494" s="7"/>
      <c r="BF1494" s="7"/>
      <c r="BG1494" s="36"/>
      <c r="BH1494" s="36"/>
      <c r="BI1494" s="36"/>
      <c r="BJ1494" s="36"/>
      <c r="BK1494" s="36"/>
      <c r="BL1494" s="36"/>
      <c r="BM1494" s="36"/>
      <c r="BN1494" s="36"/>
      <c r="BO1494" s="36"/>
    </row>
    <row r="1495" spans="1:67" x14ac:dyDescent="0.25">
      <c r="A1495" s="39"/>
      <c r="B1495" s="40"/>
      <c r="U1495" s="36"/>
      <c r="V1495" s="36"/>
      <c r="W1495" s="35"/>
      <c r="X1495" s="7"/>
      <c r="Y1495" s="7"/>
      <c r="Z1495" s="7"/>
      <c r="AA1495" s="7"/>
      <c r="AB1495" s="7"/>
      <c r="AC1495" s="7"/>
      <c r="AD1495" s="7"/>
      <c r="AE1495" s="7"/>
      <c r="AG1495" s="36"/>
      <c r="AH1495" s="36"/>
      <c r="AI1495" s="35"/>
      <c r="AJ1495" s="7"/>
      <c r="AK1495" s="7"/>
      <c r="AL1495" s="7"/>
      <c r="AM1495" s="7"/>
      <c r="AN1495" s="7"/>
      <c r="AO1495" s="7"/>
      <c r="AP1495" s="7"/>
      <c r="AQ1495" s="7"/>
      <c r="AS1495" s="36"/>
      <c r="AT1495" s="36"/>
      <c r="AU1495" s="35"/>
      <c r="AV1495" s="7"/>
      <c r="AW1495" s="7"/>
      <c r="AX1495" s="7"/>
      <c r="AY1495" s="7"/>
      <c r="AZ1495" s="7"/>
      <c r="BA1495" s="7"/>
      <c r="BB1495" s="7"/>
      <c r="BC1495" s="7"/>
      <c r="BF1495" s="7"/>
      <c r="BG1495" s="36"/>
      <c r="BH1495" s="36"/>
      <c r="BI1495" s="36"/>
      <c r="BJ1495" s="36"/>
      <c r="BK1495" s="36"/>
      <c r="BL1495" s="36"/>
      <c r="BM1495" s="36"/>
      <c r="BN1495" s="36"/>
      <c r="BO1495" s="36"/>
    </row>
    <row r="1496" spans="1:67" x14ac:dyDescent="0.25">
      <c r="A1496" s="39"/>
      <c r="B1496" s="40"/>
      <c r="U1496" s="36"/>
      <c r="V1496" s="36"/>
      <c r="W1496" s="35"/>
      <c r="X1496" s="7"/>
      <c r="Y1496" s="7"/>
      <c r="Z1496" s="7"/>
      <c r="AA1496" s="7"/>
      <c r="AB1496" s="7"/>
      <c r="AC1496" s="7"/>
      <c r="AD1496" s="7"/>
      <c r="AE1496" s="7"/>
      <c r="AG1496" s="36"/>
      <c r="AH1496" s="36"/>
      <c r="AI1496" s="35"/>
      <c r="AJ1496" s="7"/>
      <c r="AK1496" s="7"/>
      <c r="AL1496" s="7"/>
      <c r="AM1496" s="7"/>
      <c r="AN1496" s="7"/>
      <c r="AO1496" s="7"/>
      <c r="AP1496" s="7"/>
      <c r="AQ1496" s="7"/>
      <c r="AS1496" s="36"/>
      <c r="AT1496" s="36"/>
      <c r="AU1496" s="35"/>
      <c r="AV1496" s="7"/>
      <c r="AW1496" s="7"/>
      <c r="AX1496" s="7"/>
      <c r="AY1496" s="7"/>
      <c r="AZ1496" s="7"/>
      <c r="BA1496" s="7"/>
      <c r="BB1496" s="7"/>
      <c r="BC1496" s="7"/>
      <c r="BF1496" s="7"/>
      <c r="BG1496" s="36"/>
      <c r="BH1496" s="36"/>
      <c r="BI1496" s="36"/>
      <c r="BJ1496" s="36"/>
      <c r="BK1496" s="36"/>
      <c r="BL1496" s="36"/>
      <c r="BM1496" s="36"/>
      <c r="BN1496" s="36"/>
      <c r="BO1496" s="36"/>
    </row>
    <row r="1497" spans="1:67" x14ac:dyDescent="0.25">
      <c r="A1497" s="39"/>
      <c r="B1497" s="40"/>
      <c r="U1497" s="36"/>
      <c r="V1497" s="36"/>
      <c r="W1497" s="35"/>
      <c r="X1497" s="7"/>
      <c r="Y1497" s="7"/>
      <c r="Z1497" s="7"/>
      <c r="AA1497" s="7"/>
      <c r="AB1497" s="7"/>
      <c r="AC1497" s="7"/>
      <c r="AD1497" s="7"/>
      <c r="AE1497" s="7"/>
      <c r="AG1497" s="36"/>
      <c r="AH1497" s="36"/>
      <c r="AI1497" s="35"/>
      <c r="AJ1497" s="7"/>
      <c r="AK1497" s="7"/>
      <c r="AL1497" s="7"/>
      <c r="AM1497" s="7"/>
      <c r="AN1497" s="7"/>
      <c r="AO1497" s="7"/>
      <c r="AP1497" s="7"/>
      <c r="AQ1497" s="7"/>
      <c r="AS1497" s="36"/>
      <c r="AT1497" s="36"/>
      <c r="AU1497" s="35"/>
      <c r="AV1497" s="7"/>
      <c r="AW1497" s="7"/>
      <c r="AX1497" s="7"/>
      <c r="AY1497" s="7"/>
      <c r="AZ1497" s="7"/>
      <c r="BA1497" s="7"/>
      <c r="BB1497" s="7"/>
      <c r="BC1497" s="7"/>
      <c r="BF1497" s="7"/>
      <c r="BG1497" s="36"/>
      <c r="BH1497" s="36"/>
      <c r="BI1497" s="36"/>
      <c r="BJ1497" s="36"/>
      <c r="BK1497" s="36"/>
      <c r="BL1497" s="36"/>
      <c r="BM1497" s="36"/>
      <c r="BN1497" s="36"/>
      <c r="BO1497" s="36"/>
    </row>
    <row r="1498" spans="1:67" x14ac:dyDescent="0.25">
      <c r="A1498" s="39"/>
      <c r="B1498" s="40"/>
      <c r="U1498" s="36"/>
      <c r="V1498" s="36"/>
      <c r="W1498" s="35"/>
      <c r="X1498" s="7"/>
      <c r="Y1498" s="7"/>
      <c r="Z1498" s="7"/>
      <c r="AA1498" s="7"/>
      <c r="AB1498" s="7"/>
      <c r="AC1498" s="7"/>
      <c r="AD1498" s="7"/>
      <c r="AE1498" s="7"/>
      <c r="AG1498" s="36"/>
      <c r="AH1498" s="36"/>
      <c r="AI1498" s="35"/>
      <c r="AJ1498" s="7"/>
      <c r="AK1498" s="7"/>
      <c r="AL1498" s="7"/>
      <c r="AM1498" s="7"/>
      <c r="AN1498" s="7"/>
      <c r="AO1498" s="7"/>
      <c r="AP1498" s="7"/>
      <c r="AQ1498" s="7"/>
      <c r="AS1498" s="36"/>
      <c r="AT1498" s="36"/>
      <c r="AU1498" s="35"/>
      <c r="AV1498" s="7"/>
      <c r="AW1498" s="7"/>
      <c r="AX1498" s="7"/>
      <c r="AY1498" s="7"/>
      <c r="AZ1498" s="7"/>
      <c r="BA1498" s="7"/>
      <c r="BB1498" s="7"/>
      <c r="BC1498" s="7"/>
      <c r="BF1498" s="7"/>
      <c r="BG1498" s="36"/>
      <c r="BH1498" s="36"/>
      <c r="BI1498" s="36"/>
      <c r="BJ1498" s="36"/>
      <c r="BK1498" s="36"/>
      <c r="BL1498" s="36"/>
      <c r="BM1498" s="36"/>
      <c r="BN1498" s="36"/>
      <c r="BO1498" s="36"/>
    </row>
    <row r="1499" spans="1:67" x14ac:dyDescent="0.25">
      <c r="A1499" s="39"/>
      <c r="B1499" s="40"/>
      <c r="U1499" s="36"/>
      <c r="V1499" s="36"/>
      <c r="W1499" s="35"/>
      <c r="X1499" s="7"/>
      <c r="Y1499" s="7"/>
      <c r="Z1499" s="7"/>
      <c r="AA1499" s="7"/>
      <c r="AB1499" s="7"/>
      <c r="AC1499" s="7"/>
      <c r="AD1499" s="7"/>
      <c r="AE1499" s="7"/>
      <c r="AG1499" s="36"/>
      <c r="AH1499" s="36"/>
      <c r="AI1499" s="35"/>
      <c r="AJ1499" s="7"/>
      <c r="AK1499" s="7"/>
      <c r="AL1499" s="7"/>
      <c r="AM1499" s="7"/>
      <c r="AN1499" s="7"/>
      <c r="AO1499" s="7"/>
      <c r="AP1499" s="7"/>
      <c r="AQ1499" s="7"/>
      <c r="AS1499" s="36"/>
      <c r="AT1499" s="36"/>
      <c r="AU1499" s="35"/>
      <c r="AV1499" s="7"/>
      <c r="AW1499" s="7"/>
      <c r="AX1499" s="7"/>
      <c r="AY1499" s="7"/>
      <c r="AZ1499" s="7"/>
      <c r="BA1499" s="7"/>
      <c r="BB1499" s="7"/>
      <c r="BC1499" s="7"/>
      <c r="BF1499" s="7"/>
      <c r="BG1499" s="36"/>
      <c r="BH1499" s="36"/>
      <c r="BI1499" s="36"/>
      <c r="BJ1499" s="36"/>
      <c r="BK1499" s="36"/>
      <c r="BL1499" s="36"/>
      <c r="BM1499" s="36"/>
      <c r="BN1499" s="36"/>
      <c r="BO1499" s="36"/>
    </row>
    <row r="1500" spans="1:67" x14ac:dyDescent="0.25">
      <c r="A1500" s="39"/>
      <c r="B1500" s="40"/>
      <c r="U1500" s="36"/>
      <c r="V1500" s="36"/>
      <c r="W1500" s="35"/>
      <c r="X1500" s="7"/>
      <c r="Y1500" s="7"/>
      <c r="Z1500" s="7"/>
      <c r="AA1500" s="7"/>
      <c r="AB1500" s="7"/>
      <c r="AC1500" s="7"/>
      <c r="AD1500" s="7"/>
      <c r="AE1500" s="7"/>
      <c r="AG1500" s="36"/>
      <c r="AH1500" s="36"/>
      <c r="AI1500" s="35"/>
      <c r="AJ1500" s="7"/>
      <c r="AK1500" s="7"/>
      <c r="AL1500" s="7"/>
      <c r="AM1500" s="7"/>
      <c r="AN1500" s="7"/>
      <c r="AO1500" s="7"/>
      <c r="AP1500" s="7"/>
      <c r="AQ1500" s="7"/>
      <c r="AS1500" s="36"/>
      <c r="AT1500" s="36"/>
      <c r="AU1500" s="35"/>
      <c r="AV1500" s="7"/>
      <c r="AW1500" s="7"/>
      <c r="AX1500" s="7"/>
      <c r="AY1500" s="7"/>
      <c r="AZ1500" s="7"/>
      <c r="BA1500" s="7"/>
      <c r="BB1500" s="7"/>
      <c r="BC1500" s="7"/>
      <c r="BF1500" s="7"/>
      <c r="BG1500" s="36"/>
      <c r="BH1500" s="36"/>
      <c r="BI1500" s="36"/>
      <c r="BJ1500" s="36"/>
      <c r="BK1500" s="36"/>
      <c r="BL1500" s="36"/>
      <c r="BM1500" s="36"/>
      <c r="BN1500" s="36"/>
      <c r="BO1500" s="36"/>
    </row>
    <row r="1501" spans="1:67" x14ac:dyDescent="0.25">
      <c r="A1501" s="39"/>
      <c r="B1501" s="40"/>
      <c r="U1501" s="36"/>
      <c r="V1501" s="36"/>
      <c r="W1501" s="35"/>
      <c r="X1501" s="7"/>
      <c r="Y1501" s="7"/>
      <c r="Z1501" s="7"/>
      <c r="AA1501" s="7"/>
      <c r="AB1501" s="7"/>
      <c r="AC1501" s="7"/>
      <c r="AD1501" s="7"/>
      <c r="AE1501" s="7"/>
      <c r="AG1501" s="36"/>
      <c r="AH1501" s="36"/>
      <c r="AI1501" s="35"/>
      <c r="AJ1501" s="7"/>
      <c r="AK1501" s="7"/>
      <c r="AL1501" s="7"/>
      <c r="AM1501" s="7"/>
      <c r="AN1501" s="7"/>
      <c r="AO1501" s="7"/>
      <c r="AP1501" s="7"/>
      <c r="AQ1501" s="7"/>
      <c r="AS1501" s="36"/>
      <c r="AT1501" s="36"/>
      <c r="AU1501" s="35"/>
      <c r="AV1501" s="7"/>
      <c r="AW1501" s="7"/>
      <c r="AX1501" s="7"/>
      <c r="AY1501" s="7"/>
      <c r="AZ1501" s="7"/>
      <c r="BA1501" s="7"/>
      <c r="BB1501" s="7"/>
      <c r="BC1501" s="7"/>
      <c r="BF1501" s="7"/>
      <c r="BG1501" s="36"/>
      <c r="BH1501" s="36"/>
      <c r="BI1501" s="36"/>
      <c r="BJ1501" s="36"/>
      <c r="BK1501" s="36"/>
      <c r="BL1501" s="36"/>
      <c r="BM1501" s="36"/>
      <c r="BN1501" s="36"/>
      <c r="BO1501" s="36"/>
    </row>
    <row r="1502" spans="1:67" x14ac:dyDescent="0.25">
      <c r="A1502" s="39"/>
      <c r="B1502" s="40"/>
      <c r="U1502" s="36"/>
      <c r="V1502" s="36"/>
      <c r="W1502" s="35"/>
      <c r="X1502" s="7"/>
      <c r="Y1502" s="7"/>
      <c r="Z1502" s="7"/>
      <c r="AA1502" s="7"/>
      <c r="AB1502" s="7"/>
      <c r="AC1502" s="7"/>
      <c r="AD1502" s="7"/>
      <c r="AE1502" s="7"/>
      <c r="AG1502" s="36"/>
      <c r="AH1502" s="36"/>
      <c r="AI1502" s="35"/>
      <c r="AJ1502" s="7"/>
      <c r="AK1502" s="7"/>
      <c r="AL1502" s="7"/>
      <c r="AM1502" s="7"/>
      <c r="AN1502" s="7"/>
      <c r="AO1502" s="7"/>
      <c r="AP1502" s="7"/>
      <c r="AQ1502" s="7"/>
      <c r="AS1502" s="36"/>
      <c r="AT1502" s="36"/>
      <c r="AU1502" s="35"/>
      <c r="AV1502" s="7"/>
      <c r="AW1502" s="7"/>
      <c r="AX1502" s="7"/>
      <c r="AY1502" s="7"/>
      <c r="AZ1502" s="7"/>
      <c r="BA1502" s="7"/>
      <c r="BB1502" s="7"/>
      <c r="BC1502" s="7"/>
      <c r="BF1502" s="7"/>
      <c r="BG1502" s="36"/>
      <c r="BH1502" s="36"/>
      <c r="BI1502" s="36"/>
      <c r="BJ1502" s="36"/>
      <c r="BK1502" s="36"/>
      <c r="BL1502" s="36"/>
      <c r="BM1502" s="36"/>
      <c r="BN1502" s="36"/>
      <c r="BO1502" s="36"/>
    </row>
    <row r="1503" spans="1:67" x14ac:dyDescent="0.25">
      <c r="A1503" s="39"/>
      <c r="B1503" s="40"/>
      <c r="U1503" s="36"/>
      <c r="V1503" s="36"/>
      <c r="W1503" s="35"/>
      <c r="X1503" s="7"/>
      <c r="Y1503" s="7"/>
      <c r="Z1503" s="7"/>
      <c r="AA1503" s="7"/>
      <c r="AB1503" s="7"/>
      <c r="AC1503" s="7"/>
      <c r="AD1503" s="7"/>
      <c r="AE1503" s="7"/>
      <c r="AG1503" s="36"/>
      <c r="AH1503" s="36"/>
      <c r="AI1503" s="35"/>
      <c r="AJ1503" s="7"/>
      <c r="AK1503" s="7"/>
      <c r="AL1503" s="7"/>
      <c r="AM1503" s="7"/>
      <c r="AN1503" s="7"/>
      <c r="AO1503" s="7"/>
      <c r="AP1503" s="7"/>
      <c r="AQ1503" s="7"/>
      <c r="AS1503" s="36"/>
      <c r="AT1503" s="36"/>
      <c r="AU1503" s="35"/>
      <c r="AV1503" s="7"/>
      <c r="AW1503" s="7"/>
      <c r="AX1503" s="7"/>
      <c r="AY1503" s="7"/>
      <c r="AZ1503" s="7"/>
      <c r="BA1503" s="7"/>
      <c r="BB1503" s="7"/>
      <c r="BC1503" s="7"/>
      <c r="BF1503" s="7"/>
      <c r="BG1503" s="36"/>
      <c r="BH1503" s="36"/>
      <c r="BI1503" s="36"/>
      <c r="BJ1503" s="36"/>
      <c r="BK1503" s="36"/>
      <c r="BL1503" s="36"/>
      <c r="BM1503" s="36"/>
      <c r="BN1503" s="36"/>
      <c r="BO1503" s="36"/>
    </row>
    <row r="1504" spans="1:67" x14ac:dyDescent="0.25">
      <c r="A1504" s="39"/>
      <c r="B1504" s="40"/>
      <c r="U1504" s="36"/>
      <c r="V1504" s="36"/>
      <c r="W1504" s="35"/>
      <c r="X1504" s="7"/>
      <c r="Y1504" s="7"/>
      <c r="Z1504" s="7"/>
      <c r="AA1504" s="7"/>
      <c r="AB1504" s="7"/>
      <c r="AC1504" s="7"/>
      <c r="AD1504" s="7"/>
      <c r="AE1504" s="7"/>
      <c r="AG1504" s="36"/>
      <c r="AH1504" s="36"/>
      <c r="AI1504" s="35"/>
      <c r="AJ1504" s="7"/>
      <c r="AK1504" s="7"/>
      <c r="AL1504" s="7"/>
      <c r="AM1504" s="7"/>
      <c r="AN1504" s="7"/>
      <c r="AO1504" s="7"/>
      <c r="AP1504" s="7"/>
      <c r="AQ1504" s="7"/>
      <c r="AS1504" s="36"/>
      <c r="AT1504" s="36"/>
      <c r="AU1504" s="35"/>
      <c r="AV1504" s="7"/>
      <c r="AW1504" s="7"/>
      <c r="AX1504" s="7"/>
      <c r="AY1504" s="7"/>
      <c r="AZ1504" s="7"/>
      <c r="BA1504" s="7"/>
      <c r="BB1504" s="7"/>
      <c r="BC1504" s="7"/>
      <c r="BF1504" s="7"/>
      <c r="BG1504" s="36"/>
      <c r="BH1504" s="36"/>
      <c r="BI1504" s="36"/>
      <c r="BJ1504" s="36"/>
      <c r="BK1504" s="36"/>
      <c r="BL1504" s="36"/>
      <c r="BM1504" s="36"/>
      <c r="BN1504" s="36"/>
      <c r="BO1504" s="36"/>
    </row>
    <row r="1505" spans="1:67" x14ac:dyDescent="0.25">
      <c r="A1505" s="39"/>
      <c r="B1505" s="40"/>
      <c r="U1505" s="36"/>
      <c r="V1505" s="36"/>
      <c r="W1505" s="35"/>
      <c r="X1505" s="7"/>
      <c r="Y1505" s="7"/>
      <c r="Z1505" s="7"/>
      <c r="AA1505" s="7"/>
      <c r="AB1505" s="7"/>
      <c r="AC1505" s="7"/>
      <c r="AD1505" s="7"/>
      <c r="AE1505" s="7"/>
      <c r="AG1505" s="36"/>
      <c r="AH1505" s="36"/>
      <c r="AI1505" s="35"/>
      <c r="AJ1505" s="7"/>
      <c r="AK1505" s="7"/>
      <c r="AL1505" s="7"/>
      <c r="AM1505" s="7"/>
      <c r="AN1505" s="7"/>
      <c r="AO1505" s="7"/>
      <c r="AP1505" s="7"/>
      <c r="AQ1505" s="7"/>
      <c r="AS1505" s="36"/>
      <c r="AT1505" s="36"/>
      <c r="AU1505" s="35"/>
      <c r="AV1505" s="7"/>
      <c r="AW1505" s="7"/>
      <c r="AX1505" s="7"/>
      <c r="AY1505" s="7"/>
      <c r="AZ1505" s="7"/>
      <c r="BA1505" s="7"/>
      <c r="BB1505" s="7"/>
      <c r="BC1505" s="7"/>
      <c r="BF1505" s="7"/>
      <c r="BG1505" s="36"/>
      <c r="BH1505" s="36"/>
      <c r="BI1505" s="36"/>
      <c r="BJ1505" s="36"/>
      <c r="BK1505" s="36"/>
      <c r="BL1505" s="36"/>
      <c r="BM1505" s="36"/>
      <c r="BN1505" s="36"/>
      <c r="BO1505" s="36"/>
    </row>
    <row r="1506" spans="1:67" x14ac:dyDescent="0.25">
      <c r="A1506" s="39"/>
      <c r="B1506" s="40"/>
      <c r="U1506" s="36"/>
      <c r="V1506" s="36"/>
      <c r="W1506" s="35"/>
      <c r="X1506" s="7"/>
      <c r="Y1506" s="7"/>
      <c r="Z1506" s="7"/>
      <c r="AA1506" s="7"/>
      <c r="AB1506" s="7"/>
      <c r="AC1506" s="7"/>
      <c r="AD1506" s="7"/>
      <c r="AE1506" s="7"/>
      <c r="AG1506" s="36"/>
      <c r="AH1506" s="36"/>
      <c r="AI1506" s="35"/>
      <c r="AJ1506" s="7"/>
      <c r="AK1506" s="7"/>
      <c r="AL1506" s="7"/>
      <c r="AM1506" s="7"/>
      <c r="AN1506" s="7"/>
      <c r="AO1506" s="7"/>
      <c r="AP1506" s="7"/>
      <c r="AQ1506" s="7"/>
      <c r="AS1506" s="36"/>
      <c r="AT1506" s="36"/>
      <c r="AU1506" s="35"/>
      <c r="AV1506" s="7"/>
      <c r="AW1506" s="7"/>
      <c r="AX1506" s="7"/>
      <c r="AY1506" s="7"/>
      <c r="AZ1506" s="7"/>
      <c r="BA1506" s="7"/>
      <c r="BB1506" s="7"/>
      <c r="BC1506" s="7"/>
      <c r="BF1506" s="7"/>
      <c r="BG1506" s="36"/>
      <c r="BH1506" s="36"/>
      <c r="BI1506" s="36"/>
      <c r="BJ1506" s="36"/>
      <c r="BK1506" s="36"/>
      <c r="BL1506" s="36"/>
      <c r="BM1506" s="36"/>
      <c r="BN1506" s="36"/>
      <c r="BO1506" s="36"/>
    </row>
    <row r="1507" spans="1:67" x14ac:dyDescent="0.25">
      <c r="A1507" s="39"/>
      <c r="B1507" s="40"/>
      <c r="U1507" s="36"/>
      <c r="V1507" s="36"/>
      <c r="W1507" s="35"/>
      <c r="X1507" s="7"/>
      <c r="Y1507" s="7"/>
      <c r="Z1507" s="7"/>
      <c r="AA1507" s="7"/>
      <c r="AB1507" s="7"/>
      <c r="AC1507" s="7"/>
      <c r="AD1507" s="7"/>
      <c r="AE1507" s="7"/>
      <c r="AG1507" s="36"/>
      <c r="AH1507" s="36"/>
      <c r="AI1507" s="35"/>
      <c r="AJ1507" s="7"/>
      <c r="AK1507" s="7"/>
      <c r="AL1507" s="7"/>
      <c r="AM1507" s="7"/>
      <c r="AN1507" s="7"/>
      <c r="AO1507" s="7"/>
      <c r="AP1507" s="7"/>
      <c r="AQ1507" s="7"/>
      <c r="AS1507" s="36"/>
      <c r="AT1507" s="36"/>
      <c r="AU1507" s="35"/>
      <c r="AV1507" s="7"/>
      <c r="AW1507" s="7"/>
      <c r="AX1507" s="7"/>
      <c r="AY1507" s="7"/>
      <c r="AZ1507" s="7"/>
      <c r="BA1507" s="7"/>
      <c r="BB1507" s="7"/>
      <c r="BC1507" s="7"/>
      <c r="BF1507" s="7"/>
      <c r="BG1507" s="36"/>
      <c r="BH1507" s="36"/>
      <c r="BI1507" s="36"/>
      <c r="BJ1507" s="36"/>
      <c r="BK1507" s="36"/>
      <c r="BL1507" s="36"/>
      <c r="BM1507" s="36"/>
      <c r="BN1507" s="36"/>
      <c r="BO1507" s="36"/>
    </row>
    <row r="1508" spans="1:67" x14ac:dyDescent="0.25">
      <c r="A1508" s="39"/>
      <c r="B1508" s="40"/>
      <c r="U1508" s="36"/>
      <c r="V1508" s="36"/>
      <c r="W1508" s="35"/>
      <c r="X1508" s="7"/>
      <c r="Y1508" s="7"/>
      <c r="Z1508" s="7"/>
      <c r="AA1508" s="7"/>
      <c r="AB1508" s="7"/>
      <c r="AC1508" s="7"/>
      <c r="AD1508" s="7"/>
      <c r="AE1508" s="7"/>
      <c r="AG1508" s="36"/>
      <c r="AH1508" s="36"/>
      <c r="AI1508" s="35"/>
      <c r="AJ1508" s="7"/>
      <c r="AK1508" s="7"/>
      <c r="AL1508" s="7"/>
      <c r="AM1508" s="7"/>
      <c r="AN1508" s="7"/>
      <c r="AO1508" s="7"/>
      <c r="AP1508" s="7"/>
      <c r="AQ1508" s="7"/>
      <c r="AS1508" s="36"/>
      <c r="AT1508" s="36"/>
      <c r="AU1508" s="35"/>
      <c r="AV1508" s="7"/>
      <c r="AW1508" s="7"/>
      <c r="AX1508" s="7"/>
      <c r="AY1508" s="7"/>
      <c r="AZ1508" s="7"/>
      <c r="BA1508" s="7"/>
      <c r="BB1508" s="7"/>
      <c r="BC1508" s="7"/>
      <c r="BF1508" s="7"/>
      <c r="BG1508" s="36"/>
      <c r="BH1508" s="36"/>
      <c r="BI1508" s="36"/>
      <c r="BJ1508" s="36"/>
      <c r="BK1508" s="36"/>
      <c r="BL1508" s="36"/>
      <c r="BM1508" s="36"/>
      <c r="BN1508" s="36"/>
      <c r="BO1508" s="36"/>
    </row>
    <row r="1509" spans="1:67" x14ac:dyDescent="0.25">
      <c r="A1509" s="39"/>
      <c r="B1509" s="40"/>
      <c r="U1509" s="36"/>
      <c r="V1509" s="36"/>
      <c r="W1509" s="35"/>
      <c r="X1509" s="7"/>
      <c r="Y1509" s="7"/>
      <c r="Z1509" s="7"/>
      <c r="AA1509" s="7"/>
      <c r="AB1509" s="7"/>
      <c r="AC1509" s="7"/>
      <c r="AD1509" s="7"/>
      <c r="AE1509" s="7"/>
      <c r="AG1509" s="36"/>
      <c r="AH1509" s="36"/>
      <c r="AI1509" s="35"/>
      <c r="AJ1509" s="7"/>
      <c r="AK1509" s="7"/>
      <c r="AL1509" s="7"/>
      <c r="AM1509" s="7"/>
      <c r="AN1509" s="7"/>
      <c r="AO1509" s="7"/>
      <c r="AP1509" s="7"/>
      <c r="AQ1509" s="7"/>
      <c r="AS1509" s="36"/>
      <c r="AT1509" s="36"/>
      <c r="AU1509" s="35"/>
      <c r="AV1509" s="7"/>
      <c r="AW1509" s="7"/>
      <c r="AX1509" s="7"/>
      <c r="AY1509" s="7"/>
      <c r="AZ1509" s="7"/>
      <c r="BA1509" s="7"/>
      <c r="BB1509" s="7"/>
      <c r="BC1509" s="7"/>
      <c r="BF1509" s="7"/>
      <c r="BG1509" s="36"/>
      <c r="BH1509" s="36"/>
      <c r="BI1509" s="36"/>
      <c r="BJ1509" s="36"/>
      <c r="BK1509" s="36"/>
      <c r="BL1509" s="36"/>
      <c r="BM1509" s="36"/>
      <c r="BN1509" s="36"/>
      <c r="BO1509" s="36"/>
    </row>
    <row r="1510" spans="1:67" x14ac:dyDescent="0.25">
      <c r="A1510" s="39"/>
      <c r="B1510" s="40"/>
      <c r="U1510" s="36"/>
      <c r="V1510" s="36"/>
      <c r="W1510" s="35"/>
      <c r="X1510" s="7"/>
      <c r="Y1510" s="7"/>
      <c r="Z1510" s="7"/>
      <c r="AA1510" s="7"/>
      <c r="AB1510" s="7"/>
      <c r="AC1510" s="7"/>
      <c r="AD1510" s="7"/>
      <c r="AE1510" s="7"/>
      <c r="AG1510" s="36"/>
      <c r="AH1510" s="36"/>
      <c r="AI1510" s="35"/>
      <c r="AJ1510" s="7"/>
      <c r="AK1510" s="7"/>
      <c r="AL1510" s="7"/>
      <c r="AM1510" s="7"/>
      <c r="AN1510" s="7"/>
      <c r="AO1510" s="7"/>
      <c r="AP1510" s="7"/>
      <c r="AQ1510" s="7"/>
      <c r="AS1510" s="36"/>
      <c r="AT1510" s="36"/>
      <c r="AU1510" s="35"/>
      <c r="AV1510" s="7"/>
      <c r="AW1510" s="7"/>
      <c r="AX1510" s="7"/>
      <c r="AY1510" s="7"/>
      <c r="AZ1510" s="7"/>
      <c r="BA1510" s="7"/>
      <c r="BB1510" s="7"/>
      <c r="BC1510" s="7"/>
      <c r="BF1510" s="7"/>
      <c r="BG1510" s="36"/>
      <c r="BH1510" s="36"/>
      <c r="BI1510" s="36"/>
      <c r="BJ1510" s="36"/>
      <c r="BK1510" s="36"/>
      <c r="BL1510" s="36"/>
      <c r="BM1510" s="36"/>
      <c r="BN1510" s="36"/>
      <c r="BO1510" s="36"/>
    </row>
    <row r="1511" spans="1:67" x14ac:dyDescent="0.25">
      <c r="A1511" s="39"/>
      <c r="B1511" s="40"/>
      <c r="U1511" s="36"/>
      <c r="V1511" s="36"/>
      <c r="W1511" s="35"/>
      <c r="X1511" s="7"/>
      <c r="Y1511" s="7"/>
      <c r="Z1511" s="7"/>
      <c r="AA1511" s="7"/>
      <c r="AB1511" s="7"/>
      <c r="AC1511" s="7"/>
      <c r="AD1511" s="7"/>
      <c r="AE1511" s="7"/>
      <c r="AG1511" s="36"/>
      <c r="AH1511" s="36"/>
      <c r="AI1511" s="35"/>
      <c r="AJ1511" s="7"/>
      <c r="AK1511" s="7"/>
      <c r="AL1511" s="7"/>
      <c r="AM1511" s="7"/>
      <c r="AN1511" s="7"/>
      <c r="AO1511" s="7"/>
      <c r="AP1511" s="7"/>
      <c r="AQ1511" s="7"/>
      <c r="AS1511" s="36"/>
      <c r="AT1511" s="36"/>
      <c r="AU1511" s="35"/>
      <c r="AV1511" s="7"/>
      <c r="AW1511" s="7"/>
      <c r="AX1511" s="7"/>
      <c r="AY1511" s="7"/>
      <c r="AZ1511" s="7"/>
      <c r="BA1511" s="7"/>
      <c r="BB1511" s="7"/>
      <c r="BC1511" s="7"/>
      <c r="BF1511" s="7"/>
      <c r="BG1511" s="36"/>
      <c r="BH1511" s="36"/>
      <c r="BI1511" s="36"/>
      <c r="BJ1511" s="36"/>
      <c r="BK1511" s="36"/>
      <c r="BL1511" s="36"/>
      <c r="BM1511" s="36"/>
      <c r="BN1511" s="36"/>
      <c r="BO1511" s="36"/>
    </row>
    <row r="1512" spans="1:67" x14ac:dyDescent="0.25">
      <c r="A1512" s="39"/>
      <c r="B1512" s="40"/>
      <c r="U1512" s="36"/>
      <c r="V1512" s="36"/>
      <c r="W1512" s="35"/>
      <c r="X1512" s="7"/>
      <c r="Y1512" s="7"/>
      <c r="Z1512" s="7"/>
      <c r="AA1512" s="7"/>
      <c r="AB1512" s="7"/>
      <c r="AC1512" s="7"/>
      <c r="AD1512" s="7"/>
      <c r="AE1512" s="7"/>
      <c r="AG1512" s="36"/>
      <c r="AH1512" s="36"/>
      <c r="AI1512" s="35"/>
      <c r="AJ1512" s="7"/>
      <c r="AK1512" s="7"/>
      <c r="AL1512" s="7"/>
      <c r="AM1512" s="7"/>
      <c r="AN1512" s="7"/>
      <c r="AO1512" s="7"/>
      <c r="AP1512" s="7"/>
      <c r="AQ1512" s="7"/>
      <c r="AS1512" s="36"/>
      <c r="AT1512" s="36"/>
      <c r="AU1512" s="35"/>
      <c r="AV1512" s="7"/>
      <c r="AW1512" s="7"/>
      <c r="AX1512" s="7"/>
      <c r="AY1512" s="7"/>
      <c r="AZ1512" s="7"/>
      <c r="BA1512" s="7"/>
      <c r="BB1512" s="7"/>
      <c r="BC1512" s="7"/>
      <c r="BF1512" s="7"/>
      <c r="BG1512" s="36"/>
      <c r="BH1512" s="36"/>
      <c r="BI1512" s="36"/>
      <c r="BJ1512" s="36"/>
      <c r="BK1512" s="36"/>
      <c r="BL1512" s="36"/>
      <c r="BM1512" s="36"/>
      <c r="BN1512" s="36"/>
      <c r="BO1512" s="36"/>
    </row>
    <row r="1513" spans="1:67" x14ac:dyDescent="0.25">
      <c r="A1513" s="39"/>
      <c r="B1513" s="40"/>
      <c r="U1513" s="36"/>
      <c r="V1513" s="36"/>
      <c r="W1513" s="35"/>
      <c r="X1513" s="7"/>
      <c r="Y1513" s="7"/>
      <c r="Z1513" s="7"/>
      <c r="AA1513" s="7"/>
      <c r="AB1513" s="7"/>
      <c r="AC1513" s="7"/>
      <c r="AD1513" s="7"/>
      <c r="AE1513" s="7"/>
      <c r="AG1513" s="36"/>
      <c r="AH1513" s="36"/>
      <c r="AI1513" s="35"/>
      <c r="AJ1513" s="7"/>
      <c r="AK1513" s="7"/>
      <c r="AL1513" s="7"/>
      <c r="AM1513" s="7"/>
      <c r="AN1513" s="7"/>
      <c r="AO1513" s="7"/>
      <c r="AP1513" s="7"/>
      <c r="AQ1513" s="7"/>
      <c r="AS1513" s="36"/>
      <c r="AT1513" s="36"/>
      <c r="AU1513" s="35"/>
      <c r="AV1513" s="7"/>
      <c r="AW1513" s="7"/>
      <c r="AX1513" s="7"/>
      <c r="AY1513" s="7"/>
      <c r="AZ1513" s="7"/>
      <c r="BA1513" s="7"/>
      <c r="BB1513" s="7"/>
      <c r="BC1513" s="7"/>
      <c r="BF1513" s="7"/>
      <c r="BG1513" s="36"/>
      <c r="BH1513" s="36"/>
      <c r="BI1513" s="36"/>
      <c r="BJ1513" s="36"/>
      <c r="BK1513" s="36"/>
      <c r="BL1513" s="36"/>
      <c r="BM1513" s="36"/>
      <c r="BN1513" s="36"/>
      <c r="BO1513" s="36"/>
    </row>
    <row r="1514" spans="1:67" x14ac:dyDescent="0.25">
      <c r="A1514" s="39"/>
      <c r="B1514" s="40"/>
      <c r="U1514" s="36"/>
      <c r="V1514" s="36"/>
      <c r="W1514" s="35"/>
      <c r="X1514" s="7"/>
      <c r="Y1514" s="7"/>
      <c r="Z1514" s="7"/>
      <c r="AA1514" s="7"/>
      <c r="AB1514" s="7"/>
      <c r="AC1514" s="7"/>
      <c r="AD1514" s="7"/>
      <c r="AE1514" s="7"/>
      <c r="AG1514" s="36"/>
      <c r="AH1514" s="36"/>
      <c r="AI1514" s="35"/>
      <c r="AJ1514" s="7"/>
      <c r="AK1514" s="7"/>
      <c r="AL1514" s="7"/>
      <c r="AM1514" s="7"/>
      <c r="AN1514" s="7"/>
      <c r="AO1514" s="7"/>
      <c r="AP1514" s="7"/>
      <c r="AQ1514" s="7"/>
      <c r="AS1514" s="36"/>
      <c r="AT1514" s="36"/>
      <c r="AU1514" s="35"/>
      <c r="AV1514" s="7"/>
      <c r="AW1514" s="7"/>
      <c r="AX1514" s="7"/>
      <c r="AY1514" s="7"/>
      <c r="AZ1514" s="7"/>
      <c r="BA1514" s="7"/>
      <c r="BB1514" s="7"/>
      <c r="BC1514" s="7"/>
      <c r="BF1514" s="7"/>
      <c r="BG1514" s="36"/>
      <c r="BH1514" s="36"/>
      <c r="BI1514" s="36"/>
      <c r="BJ1514" s="36"/>
      <c r="BK1514" s="36"/>
      <c r="BL1514" s="36"/>
      <c r="BM1514" s="36"/>
      <c r="BN1514" s="36"/>
      <c r="BO1514" s="36"/>
    </row>
    <row r="1515" spans="1:67" x14ac:dyDescent="0.25">
      <c r="A1515" s="39"/>
      <c r="B1515" s="40"/>
      <c r="U1515" s="36"/>
      <c r="V1515" s="36"/>
      <c r="W1515" s="35"/>
      <c r="X1515" s="7"/>
      <c r="Y1515" s="7"/>
      <c r="Z1515" s="7"/>
      <c r="AA1515" s="7"/>
      <c r="AB1515" s="7"/>
      <c r="AC1515" s="7"/>
      <c r="AD1515" s="7"/>
      <c r="AE1515" s="7"/>
      <c r="AG1515" s="36"/>
      <c r="AH1515" s="36"/>
      <c r="AI1515" s="35"/>
      <c r="AJ1515" s="7"/>
      <c r="AK1515" s="7"/>
      <c r="AL1515" s="7"/>
      <c r="AM1515" s="7"/>
      <c r="AN1515" s="7"/>
      <c r="AO1515" s="7"/>
      <c r="AP1515" s="7"/>
      <c r="AQ1515" s="7"/>
      <c r="AS1515" s="36"/>
      <c r="AT1515" s="36"/>
      <c r="AU1515" s="35"/>
      <c r="AV1515" s="7"/>
      <c r="AW1515" s="7"/>
      <c r="AX1515" s="7"/>
      <c r="AY1515" s="7"/>
      <c r="AZ1515" s="7"/>
      <c r="BA1515" s="7"/>
      <c r="BB1515" s="7"/>
      <c r="BC1515" s="7"/>
      <c r="BF1515" s="7"/>
      <c r="BG1515" s="36"/>
      <c r="BH1515" s="36"/>
      <c r="BI1515" s="36"/>
      <c r="BJ1515" s="36"/>
      <c r="BK1515" s="36"/>
      <c r="BL1515" s="36"/>
      <c r="BM1515" s="36"/>
      <c r="BN1515" s="36"/>
      <c r="BO1515" s="36"/>
    </row>
    <row r="1516" spans="1:67" x14ac:dyDescent="0.25">
      <c r="A1516" s="39"/>
      <c r="B1516" s="40"/>
      <c r="U1516" s="36"/>
      <c r="V1516" s="36"/>
      <c r="W1516" s="35"/>
      <c r="X1516" s="7"/>
      <c r="Y1516" s="7"/>
      <c r="Z1516" s="7"/>
      <c r="AA1516" s="7"/>
      <c r="AB1516" s="7"/>
      <c r="AC1516" s="7"/>
      <c r="AD1516" s="7"/>
      <c r="AE1516" s="7"/>
      <c r="AG1516" s="36"/>
      <c r="AH1516" s="36"/>
      <c r="AI1516" s="35"/>
      <c r="AJ1516" s="7"/>
      <c r="AK1516" s="7"/>
      <c r="AL1516" s="7"/>
      <c r="AM1516" s="7"/>
      <c r="AN1516" s="7"/>
      <c r="AO1516" s="7"/>
      <c r="AP1516" s="7"/>
      <c r="AQ1516" s="7"/>
      <c r="AS1516" s="36"/>
      <c r="AT1516" s="36"/>
      <c r="AU1516" s="35"/>
      <c r="AV1516" s="7"/>
      <c r="AW1516" s="7"/>
      <c r="AX1516" s="7"/>
      <c r="AY1516" s="7"/>
      <c r="AZ1516" s="7"/>
      <c r="BA1516" s="7"/>
      <c r="BB1516" s="7"/>
      <c r="BC1516" s="7"/>
      <c r="BF1516" s="7"/>
      <c r="BG1516" s="36"/>
      <c r="BH1516" s="36"/>
      <c r="BI1516" s="36"/>
      <c r="BJ1516" s="36"/>
      <c r="BK1516" s="36"/>
      <c r="BL1516" s="36"/>
      <c r="BM1516" s="36"/>
      <c r="BN1516" s="36"/>
      <c r="BO1516" s="36"/>
    </row>
    <row r="1517" spans="1:67" x14ac:dyDescent="0.25">
      <c r="A1517" s="39"/>
      <c r="B1517" s="40"/>
      <c r="U1517" s="36"/>
      <c r="V1517" s="36"/>
      <c r="W1517" s="35"/>
      <c r="X1517" s="7"/>
      <c r="Y1517" s="7"/>
      <c r="Z1517" s="7"/>
      <c r="AA1517" s="7"/>
      <c r="AB1517" s="7"/>
      <c r="AC1517" s="7"/>
      <c r="AD1517" s="7"/>
      <c r="AE1517" s="7"/>
      <c r="AG1517" s="36"/>
      <c r="AH1517" s="36"/>
      <c r="AI1517" s="35"/>
      <c r="AJ1517" s="7"/>
      <c r="AK1517" s="7"/>
      <c r="AL1517" s="7"/>
      <c r="AM1517" s="7"/>
      <c r="AN1517" s="7"/>
      <c r="AO1517" s="7"/>
      <c r="AP1517" s="7"/>
      <c r="AQ1517" s="7"/>
      <c r="AS1517" s="36"/>
      <c r="AT1517" s="36"/>
      <c r="AU1517" s="35"/>
      <c r="AV1517" s="7"/>
      <c r="AW1517" s="7"/>
      <c r="AX1517" s="7"/>
      <c r="AY1517" s="7"/>
      <c r="AZ1517" s="7"/>
      <c r="BA1517" s="7"/>
      <c r="BB1517" s="7"/>
      <c r="BC1517" s="7"/>
      <c r="BF1517" s="7"/>
      <c r="BG1517" s="36"/>
      <c r="BH1517" s="36"/>
      <c r="BI1517" s="36"/>
      <c r="BJ1517" s="36"/>
      <c r="BK1517" s="36"/>
      <c r="BL1517" s="36"/>
      <c r="BM1517" s="36"/>
      <c r="BN1517" s="36"/>
      <c r="BO1517" s="36"/>
    </row>
    <row r="1518" spans="1:67" x14ac:dyDescent="0.25">
      <c r="A1518" s="39"/>
      <c r="B1518" s="40"/>
      <c r="U1518" s="36"/>
      <c r="V1518" s="36"/>
      <c r="W1518" s="35"/>
      <c r="X1518" s="7"/>
      <c r="Y1518" s="7"/>
      <c r="Z1518" s="7"/>
      <c r="AA1518" s="7"/>
      <c r="AB1518" s="7"/>
      <c r="AC1518" s="7"/>
      <c r="AD1518" s="7"/>
      <c r="AE1518" s="7"/>
      <c r="AG1518" s="36"/>
      <c r="AH1518" s="36"/>
      <c r="AI1518" s="35"/>
      <c r="AJ1518" s="7"/>
      <c r="AK1518" s="7"/>
      <c r="AL1518" s="7"/>
      <c r="AM1518" s="7"/>
      <c r="AN1518" s="7"/>
      <c r="AO1518" s="7"/>
      <c r="AP1518" s="7"/>
      <c r="AQ1518" s="7"/>
      <c r="AS1518" s="36"/>
      <c r="AT1518" s="36"/>
      <c r="AU1518" s="35"/>
      <c r="AV1518" s="7"/>
      <c r="AW1518" s="7"/>
      <c r="AX1518" s="7"/>
      <c r="AY1518" s="7"/>
      <c r="AZ1518" s="7"/>
      <c r="BA1518" s="7"/>
      <c r="BB1518" s="7"/>
      <c r="BC1518" s="7"/>
      <c r="BF1518" s="7"/>
      <c r="BG1518" s="36"/>
      <c r="BH1518" s="36"/>
      <c r="BI1518" s="36"/>
      <c r="BJ1518" s="36"/>
      <c r="BK1518" s="36"/>
      <c r="BL1518" s="36"/>
      <c r="BM1518" s="36"/>
      <c r="BN1518" s="36"/>
      <c r="BO1518" s="36"/>
    </row>
    <row r="1519" spans="1:67" x14ac:dyDescent="0.25">
      <c r="A1519" s="39"/>
      <c r="B1519" s="40"/>
      <c r="U1519" s="36"/>
      <c r="V1519" s="36"/>
      <c r="W1519" s="35"/>
      <c r="X1519" s="7"/>
      <c r="Y1519" s="7"/>
      <c r="Z1519" s="7"/>
      <c r="AA1519" s="7"/>
      <c r="AB1519" s="7"/>
      <c r="AC1519" s="7"/>
      <c r="AD1519" s="7"/>
      <c r="AE1519" s="7"/>
      <c r="AG1519" s="36"/>
      <c r="AH1519" s="36"/>
      <c r="AI1519" s="35"/>
      <c r="AJ1519" s="7"/>
      <c r="AK1519" s="7"/>
      <c r="AL1519" s="7"/>
      <c r="AM1519" s="7"/>
      <c r="AN1519" s="7"/>
      <c r="AO1519" s="7"/>
      <c r="AP1519" s="7"/>
      <c r="AQ1519" s="7"/>
      <c r="AS1519" s="36"/>
      <c r="AT1519" s="36"/>
      <c r="AU1519" s="35"/>
      <c r="AV1519" s="7"/>
      <c r="AW1519" s="7"/>
      <c r="AX1519" s="7"/>
      <c r="AY1519" s="7"/>
      <c r="AZ1519" s="7"/>
      <c r="BA1519" s="7"/>
      <c r="BB1519" s="7"/>
      <c r="BC1519" s="7"/>
      <c r="BF1519" s="7"/>
      <c r="BG1519" s="36"/>
      <c r="BH1519" s="36"/>
      <c r="BI1519" s="36"/>
      <c r="BJ1519" s="36"/>
      <c r="BK1519" s="36"/>
      <c r="BL1519" s="36"/>
      <c r="BM1519" s="36"/>
      <c r="BN1519" s="36"/>
      <c r="BO1519" s="36"/>
    </row>
    <row r="1520" spans="1:67" x14ac:dyDescent="0.25">
      <c r="A1520" s="39"/>
      <c r="B1520" s="40"/>
      <c r="U1520" s="36"/>
      <c r="V1520" s="36"/>
      <c r="W1520" s="35"/>
      <c r="X1520" s="7"/>
      <c r="Y1520" s="7"/>
      <c r="Z1520" s="7"/>
      <c r="AA1520" s="7"/>
      <c r="AB1520" s="7"/>
      <c r="AC1520" s="7"/>
      <c r="AD1520" s="7"/>
      <c r="AE1520" s="7"/>
      <c r="AG1520" s="36"/>
      <c r="AH1520" s="36"/>
      <c r="AI1520" s="35"/>
      <c r="AJ1520" s="7"/>
      <c r="AK1520" s="7"/>
      <c r="AL1520" s="7"/>
      <c r="AM1520" s="7"/>
      <c r="AN1520" s="7"/>
      <c r="AO1520" s="7"/>
      <c r="AP1520" s="7"/>
      <c r="AQ1520" s="7"/>
      <c r="AS1520" s="36"/>
      <c r="AT1520" s="36"/>
      <c r="AU1520" s="35"/>
      <c r="AV1520" s="7"/>
      <c r="AW1520" s="7"/>
      <c r="AX1520" s="7"/>
      <c r="AY1520" s="7"/>
      <c r="AZ1520" s="7"/>
      <c r="BA1520" s="7"/>
      <c r="BB1520" s="7"/>
      <c r="BC1520" s="7"/>
      <c r="BF1520" s="7"/>
      <c r="BG1520" s="36"/>
      <c r="BH1520" s="36"/>
      <c r="BI1520" s="36"/>
      <c r="BJ1520" s="36"/>
      <c r="BK1520" s="36"/>
      <c r="BL1520" s="36"/>
      <c r="BM1520" s="36"/>
      <c r="BN1520" s="36"/>
      <c r="BO1520" s="36"/>
    </row>
    <row r="1521" spans="1:67" x14ac:dyDescent="0.25">
      <c r="A1521" s="39"/>
      <c r="B1521" s="40"/>
      <c r="U1521" s="36"/>
      <c r="V1521" s="36"/>
      <c r="W1521" s="35"/>
      <c r="X1521" s="7"/>
      <c r="Y1521" s="7"/>
      <c r="Z1521" s="7"/>
      <c r="AA1521" s="7"/>
      <c r="AB1521" s="7"/>
      <c r="AC1521" s="7"/>
      <c r="AD1521" s="7"/>
      <c r="AE1521" s="7"/>
      <c r="AG1521" s="36"/>
      <c r="AH1521" s="36"/>
      <c r="AI1521" s="35"/>
      <c r="AJ1521" s="7"/>
      <c r="AK1521" s="7"/>
      <c r="AL1521" s="7"/>
      <c r="AM1521" s="7"/>
      <c r="AN1521" s="7"/>
      <c r="AO1521" s="7"/>
      <c r="AP1521" s="7"/>
      <c r="AQ1521" s="7"/>
      <c r="AS1521" s="36"/>
      <c r="AT1521" s="36"/>
      <c r="AU1521" s="35"/>
      <c r="AV1521" s="7"/>
      <c r="AW1521" s="7"/>
      <c r="AX1521" s="7"/>
      <c r="AY1521" s="7"/>
      <c r="AZ1521" s="7"/>
      <c r="BA1521" s="7"/>
      <c r="BB1521" s="7"/>
      <c r="BC1521" s="7"/>
      <c r="BF1521" s="7"/>
      <c r="BG1521" s="36"/>
      <c r="BH1521" s="36"/>
      <c r="BI1521" s="36"/>
      <c r="BJ1521" s="36"/>
      <c r="BK1521" s="36"/>
      <c r="BL1521" s="36"/>
      <c r="BM1521" s="36"/>
      <c r="BN1521" s="36"/>
      <c r="BO1521" s="36"/>
    </row>
    <row r="1522" spans="1:67" x14ac:dyDescent="0.25">
      <c r="A1522" s="39"/>
      <c r="B1522" s="40"/>
      <c r="U1522" s="36"/>
      <c r="V1522" s="36"/>
      <c r="W1522" s="35"/>
      <c r="X1522" s="7"/>
      <c r="Y1522" s="7"/>
      <c r="Z1522" s="7"/>
      <c r="AA1522" s="7"/>
      <c r="AB1522" s="7"/>
      <c r="AC1522" s="7"/>
      <c r="AD1522" s="7"/>
      <c r="AE1522" s="7"/>
      <c r="AG1522" s="36"/>
      <c r="AH1522" s="36"/>
      <c r="AI1522" s="35"/>
      <c r="AJ1522" s="7"/>
      <c r="AK1522" s="7"/>
      <c r="AL1522" s="7"/>
      <c r="AM1522" s="7"/>
      <c r="AN1522" s="7"/>
      <c r="AO1522" s="7"/>
      <c r="AP1522" s="7"/>
      <c r="AQ1522" s="7"/>
      <c r="AS1522" s="36"/>
      <c r="AT1522" s="36"/>
      <c r="AU1522" s="35"/>
      <c r="AV1522" s="7"/>
      <c r="AW1522" s="7"/>
      <c r="AX1522" s="7"/>
      <c r="AY1522" s="7"/>
      <c r="AZ1522" s="7"/>
      <c r="BA1522" s="7"/>
      <c r="BB1522" s="7"/>
      <c r="BC1522" s="7"/>
      <c r="BF1522" s="7"/>
      <c r="BG1522" s="36"/>
      <c r="BH1522" s="36"/>
      <c r="BI1522" s="36"/>
      <c r="BJ1522" s="36"/>
      <c r="BK1522" s="36"/>
      <c r="BL1522" s="36"/>
      <c r="BM1522" s="36"/>
      <c r="BN1522" s="36"/>
      <c r="BO1522" s="36"/>
    </row>
    <row r="1523" spans="1:67" x14ac:dyDescent="0.25">
      <c r="A1523" s="39"/>
      <c r="B1523" s="40"/>
      <c r="U1523" s="36"/>
      <c r="V1523" s="36"/>
      <c r="W1523" s="35"/>
      <c r="X1523" s="7"/>
      <c r="Y1523" s="7"/>
      <c r="Z1523" s="7"/>
      <c r="AA1523" s="7"/>
      <c r="AB1523" s="7"/>
      <c r="AC1523" s="7"/>
      <c r="AD1523" s="7"/>
      <c r="AE1523" s="7"/>
      <c r="AG1523" s="36"/>
      <c r="AH1523" s="36"/>
      <c r="AI1523" s="35"/>
      <c r="AJ1523" s="7"/>
      <c r="AK1523" s="7"/>
      <c r="AL1523" s="7"/>
      <c r="AM1523" s="7"/>
      <c r="AN1523" s="7"/>
      <c r="AO1523" s="7"/>
      <c r="AP1523" s="7"/>
      <c r="AQ1523" s="7"/>
      <c r="AS1523" s="36"/>
      <c r="AT1523" s="36"/>
      <c r="AU1523" s="35"/>
      <c r="AV1523" s="7"/>
      <c r="AW1523" s="7"/>
      <c r="AX1523" s="7"/>
      <c r="AY1523" s="7"/>
      <c r="AZ1523" s="7"/>
      <c r="BA1523" s="7"/>
      <c r="BB1523" s="7"/>
      <c r="BC1523" s="7"/>
      <c r="BF1523" s="7"/>
      <c r="BG1523" s="36"/>
      <c r="BH1523" s="36"/>
      <c r="BI1523" s="36"/>
      <c r="BJ1523" s="36"/>
      <c r="BK1523" s="36"/>
      <c r="BL1523" s="36"/>
      <c r="BM1523" s="36"/>
      <c r="BN1523" s="36"/>
      <c r="BO1523" s="36"/>
    </row>
    <row r="1524" spans="1:67" x14ac:dyDescent="0.25">
      <c r="A1524" s="39"/>
      <c r="B1524" s="40"/>
      <c r="U1524" s="36"/>
      <c r="V1524" s="36"/>
      <c r="W1524" s="35"/>
      <c r="X1524" s="7"/>
      <c r="Y1524" s="7"/>
      <c r="Z1524" s="7"/>
      <c r="AA1524" s="7"/>
      <c r="AB1524" s="7"/>
      <c r="AC1524" s="7"/>
      <c r="AD1524" s="7"/>
      <c r="AE1524" s="7"/>
      <c r="AG1524" s="36"/>
      <c r="AH1524" s="36"/>
      <c r="AI1524" s="35"/>
      <c r="AJ1524" s="7"/>
      <c r="AK1524" s="7"/>
      <c r="AL1524" s="7"/>
      <c r="AM1524" s="7"/>
      <c r="AN1524" s="7"/>
      <c r="AO1524" s="7"/>
      <c r="AP1524" s="7"/>
      <c r="AQ1524" s="7"/>
      <c r="AS1524" s="36"/>
      <c r="AT1524" s="36"/>
      <c r="AU1524" s="35"/>
      <c r="AV1524" s="7"/>
      <c r="AW1524" s="7"/>
      <c r="AX1524" s="7"/>
      <c r="AY1524" s="7"/>
      <c r="AZ1524" s="7"/>
      <c r="BA1524" s="7"/>
      <c r="BB1524" s="7"/>
      <c r="BC1524" s="7"/>
      <c r="BF1524" s="7"/>
      <c r="BG1524" s="36"/>
      <c r="BH1524" s="36"/>
      <c r="BI1524" s="36"/>
      <c r="BJ1524" s="36"/>
      <c r="BK1524" s="36"/>
      <c r="BL1524" s="36"/>
      <c r="BM1524" s="36"/>
      <c r="BN1524" s="36"/>
      <c r="BO1524" s="36"/>
    </row>
    <row r="1525" spans="1:67" x14ac:dyDescent="0.25">
      <c r="A1525" s="39"/>
      <c r="B1525" s="40"/>
      <c r="U1525" s="36"/>
      <c r="V1525" s="36"/>
      <c r="W1525" s="35"/>
      <c r="X1525" s="7"/>
      <c r="Y1525" s="7"/>
      <c r="Z1525" s="7"/>
      <c r="AA1525" s="7"/>
      <c r="AB1525" s="7"/>
      <c r="AC1525" s="7"/>
      <c r="AD1525" s="7"/>
      <c r="AE1525" s="7"/>
      <c r="AG1525" s="36"/>
      <c r="AH1525" s="36"/>
      <c r="AI1525" s="35"/>
      <c r="AJ1525" s="7"/>
      <c r="AK1525" s="7"/>
      <c r="AL1525" s="7"/>
      <c r="AM1525" s="7"/>
      <c r="AN1525" s="7"/>
      <c r="AO1525" s="7"/>
      <c r="AP1525" s="7"/>
      <c r="AQ1525" s="7"/>
      <c r="AS1525" s="36"/>
      <c r="AT1525" s="36"/>
      <c r="AU1525" s="35"/>
      <c r="AV1525" s="7"/>
      <c r="AW1525" s="7"/>
      <c r="AX1525" s="7"/>
      <c r="AY1525" s="7"/>
      <c r="AZ1525" s="7"/>
      <c r="BA1525" s="7"/>
      <c r="BB1525" s="7"/>
      <c r="BC1525" s="7"/>
      <c r="BF1525" s="7"/>
      <c r="BG1525" s="36"/>
      <c r="BH1525" s="36"/>
      <c r="BI1525" s="36"/>
      <c r="BJ1525" s="36"/>
      <c r="BK1525" s="36"/>
      <c r="BL1525" s="36"/>
      <c r="BM1525" s="36"/>
      <c r="BN1525" s="36"/>
      <c r="BO1525" s="36"/>
    </row>
    <row r="1526" spans="1:67" x14ac:dyDescent="0.25">
      <c r="A1526" s="39"/>
      <c r="B1526" s="40"/>
      <c r="U1526" s="36"/>
      <c r="V1526" s="36"/>
      <c r="W1526" s="35"/>
      <c r="X1526" s="7"/>
      <c r="Y1526" s="7"/>
      <c r="Z1526" s="7"/>
      <c r="AA1526" s="7"/>
      <c r="AB1526" s="7"/>
      <c r="AC1526" s="7"/>
      <c r="AD1526" s="7"/>
      <c r="AE1526" s="7"/>
      <c r="AG1526" s="36"/>
      <c r="AH1526" s="36"/>
      <c r="AI1526" s="35"/>
      <c r="AJ1526" s="7"/>
      <c r="AK1526" s="7"/>
      <c r="AL1526" s="7"/>
      <c r="AM1526" s="7"/>
      <c r="AN1526" s="7"/>
      <c r="AO1526" s="7"/>
      <c r="AP1526" s="7"/>
      <c r="AQ1526" s="7"/>
      <c r="AS1526" s="36"/>
      <c r="AT1526" s="36"/>
      <c r="AU1526" s="35"/>
      <c r="AV1526" s="7"/>
      <c r="AW1526" s="7"/>
      <c r="AX1526" s="7"/>
      <c r="AY1526" s="7"/>
      <c r="AZ1526" s="7"/>
      <c r="BA1526" s="7"/>
      <c r="BB1526" s="7"/>
      <c r="BC1526" s="7"/>
      <c r="BF1526" s="7"/>
      <c r="BG1526" s="36"/>
      <c r="BH1526" s="36"/>
      <c r="BI1526" s="36"/>
      <c r="BJ1526" s="36"/>
      <c r="BK1526" s="36"/>
      <c r="BL1526" s="36"/>
      <c r="BM1526" s="36"/>
      <c r="BN1526" s="36"/>
      <c r="BO1526" s="36"/>
    </row>
    <row r="1527" spans="1:67" x14ac:dyDescent="0.25">
      <c r="A1527" s="39"/>
      <c r="B1527" s="40"/>
      <c r="U1527" s="36"/>
      <c r="V1527" s="36"/>
      <c r="W1527" s="35"/>
      <c r="X1527" s="7"/>
      <c r="Y1527" s="7"/>
      <c r="Z1527" s="7"/>
      <c r="AA1527" s="7"/>
      <c r="AB1527" s="7"/>
      <c r="AC1527" s="7"/>
      <c r="AD1527" s="7"/>
      <c r="AE1527" s="7"/>
      <c r="AG1527" s="36"/>
      <c r="AH1527" s="36"/>
      <c r="AI1527" s="35"/>
      <c r="AJ1527" s="7"/>
      <c r="AK1527" s="7"/>
      <c r="AL1527" s="7"/>
      <c r="AM1527" s="7"/>
      <c r="AN1527" s="7"/>
      <c r="AO1527" s="7"/>
      <c r="AP1527" s="7"/>
      <c r="AQ1527" s="7"/>
      <c r="AS1527" s="36"/>
      <c r="AT1527" s="36"/>
      <c r="AU1527" s="35"/>
      <c r="AV1527" s="7"/>
      <c r="AW1527" s="7"/>
      <c r="AX1527" s="7"/>
      <c r="AY1527" s="7"/>
      <c r="AZ1527" s="7"/>
      <c r="BA1527" s="7"/>
      <c r="BB1527" s="7"/>
      <c r="BC1527" s="7"/>
      <c r="BF1527" s="7"/>
      <c r="BG1527" s="36"/>
      <c r="BH1527" s="36"/>
      <c r="BI1527" s="36"/>
      <c r="BJ1527" s="36"/>
      <c r="BK1527" s="36"/>
      <c r="BL1527" s="36"/>
      <c r="BM1527" s="36"/>
      <c r="BN1527" s="36"/>
      <c r="BO1527" s="36"/>
    </row>
    <row r="1528" spans="1:67" x14ac:dyDescent="0.25">
      <c r="A1528" s="39"/>
      <c r="B1528" s="40"/>
      <c r="U1528" s="36"/>
      <c r="V1528" s="36"/>
      <c r="W1528" s="35"/>
      <c r="X1528" s="7"/>
      <c r="Y1528" s="7"/>
      <c r="Z1528" s="7"/>
      <c r="AA1528" s="7"/>
      <c r="AB1528" s="7"/>
      <c r="AC1528" s="7"/>
      <c r="AD1528" s="7"/>
      <c r="AE1528" s="7"/>
      <c r="AG1528" s="36"/>
      <c r="AH1528" s="36"/>
      <c r="AI1528" s="35"/>
      <c r="AJ1528" s="7"/>
      <c r="AK1528" s="7"/>
      <c r="AL1528" s="7"/>
      <c r="AM1528" s="7"/>
      <c r="AN1528" s="7"/>
      <c r="AO1528" s="7"/>
      <c r="AP1528" s="7"/>
      <c r="AQ1528" s="7"/>
      <c r="AS1528" s="36"/>
      <c r="AT1528" s="36"/>
      <c r="AU1528" s="35"/>
      <c r="AV1528" s="7"/>
      <c r="AW1528" s="7"/>
      <c r="AX1528" s="7"/>
      <c r="AY1528" s="7"/>
      <c r="AZ1528" s="7"/>
      <c r="BA1528" s="7"/>
      <c r="BB1528" s="7"/>
      <c r="BC1528" s="7"/>
      <c r="BF1528" s="7"/>
      <c r="BG1528" s="36"/>
      <c r="BH1528" s="36"/>
      <c r="BI1528" s="36"/>
      <c r="BJ1528" s="36"/>
      <c r="BK1528" s="36"/>
      <c r="BL1528" s="36"/>
      <c r="BM1528" s="36"/>
      <c r="BN1528" s="36"/>
      <c r="BO1528" s="36"/>
    </row>
    <row r="1529" spans="1:67" x14ac:dyDescent="0.25">
      <c r="A1529" s="39"/>
      <c r="B1529" s="40"/>
      <c r="U1529" s="36"/>
      <c r="V1529" s="36"/>
      <c r="W1529" s="35"/>
      <c r="X1529" s="7"/>
      <c r="Y1529" s="7"/>
      <c r="Z1529" s="7"/>
      <c r="AA1529" s="7"/>
      <c r="AB1529" s="7"/>
      <c r="AC1529" s="7"/>
      <c r="AD1529" s="7"/>
      <c r="AE1529" s="7"/>
      <c r="AG1529" s="36"/>
      <c r="AH1529" s="36"/>
      <c r="AI1529" s="35"/>
      <c r="AJ1529" s="7"/>
      <c r="AK1529" s="7"/>
      <c r="AL1529" s="7"/>
      <c r="AM1529" s="7"/>
      <c r="AN1529" s="7"/>
      <c r="AO1529" s="7"/>
      <c r="AP1529" s="7"/>
      <c r="AQ1529" s="7"/>
      <c r="AS1529" s="36"/>
      <c r="AT1529" s="36"/>
      <c r="AU1529" s="35"/>
      <c r="AV1529" s="7"/>
      <c r="AW1529" s="7"/>
      <c r="AX1529" s="7"/>
      <c r="AY1529" s="7"/>
      <c r="AZ1529" s="7"/>
      <c r="BA1529" s="7"/>
      <c r="BB1529" s="7"/>
      <c r="BC1529" s="7"/>
      <c r="BF1529" s="7"/>
      <c r="BG1529" s="36"/>
      <c r="BH1529" s="36"/>
      <c r="BI1529" s="36"/>
      <c r="BJ1529" s="36"/>
      <c r="BK1529" s="36"/>
      <c r="BL1529" s="36"/>
      <c r="BM1529" s="36"/>
      <c r="BN1529" s="36"/>
      <c r="BO1529" s="36"/>
    </row>
    <row r="1530" spans="1:67" x14ac:dyDescent="0.25">
      <c r="A1530" s="39"/>
      <c r="B1530" s="40"/>
      <c r="U1530" s="36"/>
      <c r="V1530" s="36"/>
      <c r="W1530" s="35"/>
      <c r="X1530" s="7"/>
      <c r="Y1530" s="7"/>
      <c r="Z1530" s="7"/>
      <c r="AA1530" s="7"/>
      <c r="AB1530" s="7"/>
      <c r="AC1530" s="7"/>
      <c r="AD1530" s="7"/>
      <c r="AE1530" s="7"/>
      <c r="AG1530" s="36"/>
      <c r="AH1530" s="36"/>
      <c r="AI1530" s="35"/>
      <c r="AJ1530" s="7"/>
      <c r="AK1530" s="7"/>
      <c r="AL1530" s="7"/>
      <c r="AM1530" s="7"/>
      <c r="AN1530" s="7"/>
      <c r="AO1530" s="7"/>
      <c r="AP1530" s="7"/>
      <c r="AQ1530" s="7"/>
      <c r="AS1530" s="36"/>
      <c r="AT1530" s="36"/>
      <c r="AU1530" s="35"/>
      <c r="AV1530" s="7"/>
      <c r="AW1530" s="7"/>
      <c r="AX1530" s="7"/>
      <c r="AY1530" s="7"/>
      <c r="AZ1530" s="7"/>
      <c r="BA1530" s="7"/>
      <c r="BB1530" s="7"/>
      <c r="BC1530" s="7"/>
      <c r="BF1530" s="7"/>
      <c r="BG1530" s="36"/>
      <c r="BH1530" s="36"/>
      <c r="BI1530" s="36"/>
      <c r="BJ1530" s="36"/>
      <c r="BK1530" s="36"/>
      <c r="BL1530" s="36"/>
      <c r="BM1530" s="36"/>
      <c r="BN1530" s="36"/>
      <c r="BO1530" s="36"/>
    </row>
    <row r="1531" spans="1:67" x14ac:dyDescent="0.25">
      <c r="A1531" s="39"/>
      <c r="B1531" s="40"/>
      <c r="U1531" s="36"/>
      <c r="V1531" s="36"/>
      <c r="W1531" s="35"/>
      <c r="X1531" s="7"/>
      <c r="Y1531" s="7"/>
      <c r="Z1531" s="7"/>
      <c r="AA1531" s="7"/>
      <c r="AB1531" s="7"/>
      <c r="AC1531" s="7"/>
      <c r="AD1531" s="7"/>
      <c r="AE1531" s="7"/>
      <c r="AG1531" s="36"/>
      <c r="AH1531" s="36"/>
      <c r="AI1531" s="35"/>
      <c r="AJ1531" s="7"/>
      <c r="AK1531" s="7"/>
      <c r="AL1531" s="7"/>
      <c r="AM1531" s="7"/>
      <c r="AN1531" s="7"/>
      <c r="AO1531" s="7"/>
      <c r="AP1531" s="7"/>
      <c r="AQ1531" s="7"/>
      <c r="AS1531" s="36"/>
      <c r="AT1531" s="36"/>
      <c r="AU1531" s="35"/>
      <c r="AV1531" s="7"/>
      <c r="AW1531" s="7"/>
      <c r="AX1531" s="7"/>
      <c r="AY1531" s="7"/>
      <c r="AZ1531" s="7"/>
      <c r="BA1531" s="7"/>
      <c r="BB1531" s="7"/>
      <c r="BC1531" s="7"/>
      <c r="BF1531" s="7"/>
      <c r="BG1531" s="36"/>
      <c r="BH1531" s="36"/>
      <c r="BI1531" s="36"/>
      <c r="BJ1531" s="36"/>
      <c r="BK1531" s="36"/>
      <c r="BL1531" s="36"/>
      <c r="BM1531" s="36"/>
      <c r="BN1531" s="36"/>
      <c r="BO1531" s="36"/>
    </row>
    <row r="1532" spans="1:67" x14ac:dyDescent="0.25">
      <c r="A1532" s="39"/>
      <c r="B1532" s="40"/>
      <c r="U1532" s="36"/>
      <c r="V1532" s="36"/>
      <c r="W1532" s="35"/>
      <c r="X1532" s="7"/>
      <c r="Y1532" s="7"/>
      <c r="Z1532" s="7"/>
      <c r="AA1532" s="7"/>
      <c r="AB1532" s="7"/>
      <c r="AC1532" s="7"/>
      <c r="AD1532" s="7"/>
      <c r="AE1532" s="7"/>
      <c r="AG1532" s="36"/>
      <c r="AH1532" s="36"/>
      <c r="AI1532" s="35"/>
      <c r="AJ1532" s="7"/>
      <c r="AK1532" s="7"/>
      <c r="AL1532" s="7"/>
      <c r="AM1532" s="7"/>
      <c r="AN1532" s="7"/>
      <c r="AO1532" s="7"/>
      <c r="AP1532" s="7"/>
      <c r="AQ1532" s="7"/>
      <c r="AS1532" s="36"/>
      <c r="AT1532" s="36"/>
      <c r="AU1532" s="35"/>
      <c r="AV1532" s="7"/>
      <c r="AW1532" s="7"/>
      <c r="AX1532" s="7"/>
      <c r="AY1532" s="7"/>
      <c r="AZ1532" s="7"/>
      <c r="BA1532" s="7"/>
      <c r="BB1532" s="7"/>
      <c r="BC1532" s="7"/>
      <c r="BF1532" s="7"/>
      <c r="BG1532" s="36"/>
      <c r="BH1532" s="36"/>
      <c r="BI1532" s="36"/>
      <c r="BJ1532" s="36"/>
      <c r="BK1532" s="36"/>
      <c r="BL1532" s="36"/>
      <c r="BM1532" s="36"/>
      <c r="BN1532" s="36"/>
      <c r="BO1532" s="36"/>
    </row>
    <row r="1533" spans="1:67" x14ac:dyDescent="0.25">
      <c r="A1533" s="39"/>
      <c r="B1533" s="40"/>
      <c r="U1533" s="36"/>
      <c r="V1533" s="36"/>
      <c r="W1533" s="35"/>
      <c r="X1533" s="7"/>
      <c r="Y1533" s="7"/>
      <c r="Z1533" s="7"/>
      <c r="AA1533" s="7"/>
      <c r="AB1533" s="7"/>
      <c r="AC1533" s="7"/>
      <c r="AD1533" s="7"/>
      <c r="AE1533" s="7"/>
      <c r="AG1533" s="36"/>
      <c r="AH1533" s="36"/>
      <c r="AI1533" s="35"/>
      <c r="AJ1533" s="7"/>
      <c r="AK1533" s="7"/>
      <c r="AL1533" s="7"/>
      <c r="AM1533" s="7"/>
      <c r="AN1533" s="7"/>
      <c r="AO1533" s="7"/>
      <c r="AP1533" s="7"/>
      <c r="AQ1533" s="7"/>
      <c r="AS1533" s="36"/>
      <c r="AT1533" s="36"/>
      <c r="AU1533" s="35"/>
      <c r="AV1533" s="7"/>
      <c r="AW1533" s="7"/>
      <c r="AX1533" s="7"/>
      <c r="AY1533" s="7"/>
      <c r="AZ1533" s="7"/>
      <c r="BA1533" s="7"/>
      <c r="BB1533" s="7"/>
      <c r="BC1533" s="7"/>
      <c r="BF1533" s="7"/>
      <c r="BG1533" s="36"/>
      <c r="BH1533" s="36"/>
      <c r="BI1533" s="36"/>
      <c r="BJ1533" s="36"/>
      <c r="BK1533" s="36"/>
      <c r="BL1533" s="36"/>
      <c r="BM1533" s="36"/>
      <c r="BN1533" s="36"/>
      <c r="BO1533" s="36"/>
    </row>
    <row r="1534" spans="1:67" x14ac:dyDescent="0.25">
      <c r="A1534" s="39"/>
      <c r="B1534" s="40"/>
      <c r="U1534" s="36"/>
      <c r="V1534" s="36"/>
      <c r="W1534" s="35"/>
      <c r="X1534" s="7"/>
      <c r="Y1534" s="7"/>
      <c r="Z1534" s="7"/>
      <c r="AA1534" s="7"/>
      <c r="AB1534" s="7"/>
      <c r="AC1534" s="7"/>
      <c r="AD1534" s="7"/>
      <c r="AE1534" s="7"/>
      <c r="AG1534" s="36"/>
      <c r="AH1534" s="36"/>
      <c r="AI1534" s="35"/>
      <c r="AJ1534" s="7"/>
      <c r="AK1534" s="7"/>
      <c r="AL1534" s="7"/>
      <c r="AM1534" s="7"/>
      <c r="AN1534" s="7"/>
      <c r="AO1534" s="7"/>
      <c r="AP1534" s="7"/>
      <c r="AQ1534" s="7"/>
      <c r="AS1534" s="36"/>
      <c r="AT1534" s="36"/>
      <c r="AU1534" s="35"/>
      <c r="AV1534" s="7"/>
      <c r="AW1534" s="7"/>
      <c r="AX1534" s="7"/>
      <c r="AY1534" s="7"/>
      <c r="AZ1534" s="7"/>
      <c r="BA1534" s="7"/>
      <c r="BB1534" s="7"/>
      <c r="BC1534" s="7"/>
      <c r="BF1534" s="7"/>
      <c r="BG1534" s="36"/>
      <c r="BH1534" s="36"/>
      <c r="BI1534" s="36"/>
      <c r="BJ1534" s="36"/>
      <c r="BK1534" s="36"/>
      <c r="BL1534" s="36"/>
      <c r="BM1534" s="36"/>
      <c r="BN1534" s="36"/>
      <c r="BO1534" s="36"/>
    </row>
    <row r="1535" spans="1:67" x14ac:dyDescent="0.25">
      <c r="A1535" s="39"/>
      <c r="B1535" s="40"/>
      <c r="U1535" s="36"/>
      <c r="V1535" s="36"/>
      <c r="W1535" s="35"/>
      <c r="X1535" s="7"/>
      <c r="Y1535" s="7"/>
      <c r="Z1535" s="7"/>
      <c r="AA1535" s="7"/>
      <c r="AB1535" s="7"/>
      <c r="AC1535" s="7"/>
      <c r="AD1535" s="7"/>
      <c r="AE1535" s="7"/>
      <c r="AG1535" s="36"/>
      <c r="AH1535" s="36"/>
      <c r="AI1535" s="35"/>
      <c r="AJ1535" s="7"/>
      <c r="AK1535" s="7"/>
      <c r="AL1535" s="7"/>
      <c r="AM1535" s="7"/>
      <c r="AN1535" s="7"/>
      <c r="AO1535" s="7"/>
      <c r="AP1535" s="7"/>
      <c r="AQ1535" s="7"/>
      <c r="AS1535" s="36"/>
      <c r="AT1535" s="36"/>
      <c r="AU1535" s="35"/>
      <c r="AV1535" s="7"/>
      <c r="AW1535" s="7"/>
      <c r="AX1535" s="7"/>
      <c r="AY1535" s="7"/>
      <c r="AZ1535" s="7"/>
      <c r="BA1535" s="7"/>
      <c r="BB1535" s="7"/>
      <c r="BC1535" s="7"/>
      <c r="BF1535" s="7"/>
      <c r="BG1535" s="36"/>
      <c r="BH1535" s="36"/>
      <c r="BI1535" s="36"/>
      <c r="BJ1535" s="36"/>
      <c r="BK1535" s="36"/>
      <c r="BL1535" s="36"/>
      <c r="BM1535" s="36"/>
      <c r="BN1535" s="36"/>
      <c r="BO1535" s="36"/>
    </row>
    <row r="1536" spans="1:67" x14ac:dyDescent="0.25">
      <c r="A1536" s="39"/>
      <c r="B1536" s="40"/>
      <c r="U1536" s="36"/>
      <c r="V1536" s="36"/>
      <c r="W1536" s="35"/>
      <c r="X1536" s="7"/>
      <c r="Y1536" s="7"/>
      <c r="Z1536" s="7"/>
      <c r="AA1536" s="7"/>
      <c r="AB1536" s="7"/>
      <c r="AC1536" s="7"/>
      <c r="AD1536" s="7"/>
      <c r="AE1536" s="7"/>
      <c r="AG1536" s="36"/>
      <c r="AH1536" s="36"/>
      <c r="AI1536" s="35"/>
      <c r="AJ1536" s="7"/>
      <c r="AK1536" s="7"/>
      <c r="AL1536" s="7"/>
      <c r="AM1536" s="7"/>
      <c r="AN1536" s="7"/>
      <c r="AO1536" s="7"/>
      <c r="AP1536" s="7"/>
      <c r="AQ1536" s="7"/>
      <c r="AS1536" s="36"/>
      <c r="AT1536" s="36"/>
      <c r="AU1536" s="35"/>
      <c r="AV1536" s="7"/>
      <c r="AW1536" s="7"/>
      <c r="AX1536" s="7"/>
      <c r="AY1536" s="7"/>
      <c r="AZ1536" s="7"/>
      <c r="BA1536" s="7"/>
      <c r="BB1536" s="7"/>
      <c r="BC1536" s="7"/>
      <c r="BF1536" s="7"/>
      <c r="BG1536" s="36"/>
      <c r="BH1536" s="36"/>
      <c r="BI1536" s="36"/>
      <c r="BJ1536" s="36"/>
      <c r="BK1536" s="36"/>
      <c r="BL1536" s="36"/>
      <c r="BM1536" s="36"/>
      <c r="BN1536" s="36"/>
      <c r="BO1536" s="36"/>
    </row>
    <row r="1537" spans="1:67" x14ac:dyDescent="0.25">
      <c r="A1537" s="39"/>
      <c r="B1537" s="40"/>
      <c r="U1537" s="36"/>
      <c r="V1537" s="36"/>
      <c r="W1537" s="35"/>
      <c r="X1537" s="7"/>
      <c r="Y1537" s="7"/>
      <c r="Z1537" s="7"/>
      <c r="AA1537" s="7"/>
      <c r="AB1537" s="7"/>
      <c r="AC1537" s="7"/>
      <c r="AD1537" s="7"/>
      <c r="AE1537" s="7"/>
      <c r="AG1537" s="36"/>
      <c r="AH1537" s="36"/>
      <c r="AI1537" s="35"/>
      <c r="AJ1537" s="7"/>
      <c r="AK1537" s="7"/>
      <c r="AL1537" s="7"/>
      <c r="AM1537" s="7"/>
      <c r="AN1537" s="7"/>
      <c r="AO1537" s="7"/>
      <c r="AP1537" s="7"/>
      <c r="AQ1537" s="7"/>
      <c r="AS1537" s="36"/>
      <c r="AT1537" s="36"/>
      <c r="AU1537" s="35"/>
      <c r="AV1537" s="7"/>
      <c r="AW1537" s="7"/>
      <c r="AX1537" s="7"/>
      <c r="AY1537" s="7"/>
      <c r="AZ1537" s="7"/>
      <c r="BA1537" s="7"/>
      <c r="BB1537" s="7"/>
      <c r="BC1537" s="7"/>
      <c r="BF1537" s="7"/>
      <c r="BG1537" s="36"/>
      <c r="BH1537" s="36"/>
      <c r="BI1537" s="36"/>
      <c r="BJ1537" s="36"/>
      <c r="BK1537" s="36"/>
      <c r="BL1537" s="36"/>
      <c r="BM1537" s="36"/>
      <c r="BN1537" s="36"/>
      <c r="BO1537" s="36"/>
    </row>
    <row r="1538" spans="1:67" x14ac:dyDescent="0.25">
      <c r="A1538" s="39"/>
      <c r="B1538" s="40"/>
      <c r="U1538" s="36"/>
      <c r="V1538" s="36"/>
      <c r="W1538" s="35"/>
      <c r="X1538" s="7"/>
      <c r="Y1538" s="7"/>
      <c r="Z1538" s="7"/>
      <c r="AA1538" s="7"/>
      <c r="AB1538" s="7"/>
      <c r="AC1538" s="7"/>
      <c r="AD1538" s="7"/>
      <c r="AE1538" s="7"/>
      <c r="AG1538" s="36"/>
      <c r="AH1538" s="36"/>
      <c r="AI1538" s="35"/>
      <c r="AJ1538" s="7"/>
      <c r="AK1538" s="7"/>
      <c r="AL1538" s="7"/>
      <c r="AM1538" s="7"/>
      <c r="AN1538" s="7"/>
      <c r="AO1538" s="7"/>
      <c r="AP1538" s="7"/>
      <c r="AQ1538" s="7"/>
      <c r="AS1538" s="36"/>
      <c r="AT1538" s="36"/>
      <c r="AU1538" s="35"/>
      <c r="AV1538" s="7"/>
      <c r="AW1538" s="7"/>
      <c r="AX1538" s="7"/>
      <c r="AY1538" s="7"/>
      <c r="AZ1538" s="7"/>
      <c r="BA1538" s="7"/>
      <c r="BB1538" s="7"/>
      <c r="BC1538" s="7"/>
      <c r="BF1538" s="7"/>
      <c r="BG1538" s="36"/>
      <c r="BH1538" s="36"/>
      <c r="BI1538" s="36"/>
      <c r="BJ1538" s="36"/>
      <c r="BK1538" s="36"/>
      <c r="BL1538" s="36"/>
      <c r="BM1538" s="36"/>
      <c r="BN1538" s="36"/>
      <c r="BO1538" s="36"/>
    </row>
    <row r="1539" spans="1:67" x14ac:dyDescent="0.25">
      <c r="A1539" s="39"/>
      <c r="B1539" s="40"/>
      <c r="U1539" s="36"/>
      <c r="V1539" s="36"/>
      <c r="W1539" s="35"/>
      <c r="X1539" s="7"/>
      <c r="Y1539" s="7"/>
      <c r="Z1539" s="7"/>
      <c r="AA1539" s="7"/>
      <c r="AB1539" s="7"/>
      <c r="AC1539" s="7"/>
      <c r="AD1539" s="7"/>
      <c r="AE1539" s="7"/>
      <c r="AG1539" s="36"/>
      <c r="AH1539" s="36"/>
      <c r="AI1539" s="35"/>
      <c r="AJ1539" s="7"/>
      <c r="AK1539" s="7"/>
      <c r="AL1539" s="7"/>
      <c r="AM1539" s="7"/>
      <c r="AN1539" s="7"/>
      <c r="AO1539" s="7"/>
      <c r="AP1539" s="7"/>
      <c r="AQ1539" s="7"/>
      <c r="AS1539" s="36"/>
      <c r="AT1539" s="36"/>
      <c r="AU1539" s="35"/>
      <c r="AV1539" s="7"/>
      <c r="AW1539" s="7"/>
      <c r="AX1539" s="7"/>
      <c r="AY1539" s="7"/>
      <c r="AZ1539" s="7"/>
      <c r="BA1539" s="7"/>
      <c r="BB1539" s="7"/>
      <c r="BC1539" s="7"/>
      <c r="BF1539" s="7"/>
      <c r="BG1539" s="36"/>
      <c r="BH1539" s="36"/>
      <c r="BI1539" s="36"/>
      <c r="BJ1539" s="36"/>
      <c r="BK1539" s="36"/>
      <c r="BL1539" s="36"/>
      <c r="BM1539" s="36"/>
      <c r="BN1539" s="36"/>
      <c r="BO1539" s="36"/>
    </row>
    <row r="1540" spans="1:67" x14ac:dyDescent="0.25">
      <c r="A1540" s="39"/>
      <c r="B1540" s="40"/>
      <c r="U1540" s="36"/>
      <c r="V1540" s="36"/>
      <c r="W1540" s="35"/>
      <c r="X1540" s="7"/>
      <c r="Y1540" s="7"/>
      <c r="Z1540" s="7"/>
      <c r="AA1540" s="7"/>
      <c r="AB1540" s="7"/>
      <c r="AC1540" s="7"/>
      <c r="AD1540" s="7"/>
      <c r="AE1540" s="7"/>
      <c r="AG1540" s="36"/>
      <c r="AH1540" s="36"/>
      <c r="AI1540" s="35"/>
      <c r="AJ1540" s="7"/>
      <c r="AK1540" s="7"/>
      <c r="AL1540" s="7"/>
      <c r="AM1540" s="7"/>
      <c r="AN1540" s="7"/>
      <c r="AO1540" s="7"/>
      <c r="AP1540" s="7"/>
      <c r="AQ1540" s="7"/>
      <c r="AS1540" s="36"/>
      <c r="AT1540" s="36"/>
      <c r="AU1540" s="35"/>
      <c r="AV1540" s="7"/>
      <c r="AW1540" s="7"/>
      <c r="AX1540" s="7"/>
      <c r="AY1540" s="7"/>
      <c r="AZ1540" s="7"/>
      <c r="BA1540" s="7"/>
      <c r="BB1540" s="7"/>
      <c r="BC1540" s="7"/>
      <c r="BF1540" s="7"/>
      <c r="BG1540" s="36"/>
      <c r="BH1540" s="36"/>
      <c r="BI1540" s="36"/>
      <c r="BJ1540" s="36"/>
      <c r="BK1540" s="36"/>
      <c r="BL1540" s="36"/>
      <c r="BM1540" s="36"/>
      <c r="BN1540" s="36"/>
      <c r="BO1540" s="36"/>
    </row>
    <row r="1541" spans="1:67" x14ac:dyDescent="0.25">
      <c r="A1541" s="39"/>
      <c r="B1541" s="40"/>
      <c r="U1541" s="36"/>
      <c r="V1541" s="36"/>
      <c r="W1541" s="35"/>
      <c r="X1541" s="7"/>
      <c r="Y1541" s="7"/>
      <c r="Z1541" s="7"/>
      <c r="AA1541" s="7"/>
      <c r="AB1541" s="7"/>
      <c r="AC1541" s="7"/>
      <c r="AD1541" s="7"/>
      <c r="AE1541" s="7"/>
      <c r="AG1541" s="36"/>
      <c r="AH1541" s="36"/>
      <c r="AI1541" s="35"/>
      <c r="AJ1541" s="7"/>
      <c r="AK1541" s="7"/>
      <c r="AL1541" s="7"/>
      <c r="AM1541" s="7"/>
      <c r="AN1541" s="7"/>
      <c r="AO1541" s="7"/>
      <c r="AP1541" s="7"/>
      <c r="AQ1541" s="7"/>
      <c r="AS1541" s="36"/>
      <c r="AT1541" s="36"/>
      <c r="AU1541" s="35"/>
      <c r="AV1541" s="7"/>
      <c r="AW1541" s="7"/>
      <c r="AX1541" s="7"/>
      <c r="AY1541" s="7"/>
      <c r="AZ1541" s="7"/>
      <c r="BA1541" s="7"/>
      <c r="BB1541" s="7"/>
      <c r="BC1541" s="7"/>
      <c r="BF1541" s="7"/>
      <c r="BG1541" s="36"/>
      <c r="BH1541" s="36"/>
      <c r="BI1541" s="36"/>
      <c r="BJ1541" s="36"/>
      <c r="BK1541" s="36"/>
      <c r="BL1541" s="36"/>
      <c r="BM1541" s="36"/>
      <c r="BN1541" s="36"/>
      <c r="BO1541" s="36"/>
    </row>
    <row r="1542" spans="1:67" x14ac:dyDescent="0.25">
      <c r="A1542" s="39"/>
      <c r="B1542" s="40"/>
      <c r="U1542" s="36"/>
      <c r="V1542" s="36"/>
      <c r="W1542" s="35"/>
      <c r="X1542" s="7"/>
      <c r="Y1542" s="7"/>
      <c r="Z1542" s="7"/>
      <c r="AA1542" s="7"/>
      <c r="AB1542" s="7"/>
      <c r="AC1542" s="7"/>
      <c r="AD1542" s="7"/>
      <c r="AE1542" s="7"/>
      <c r="AG1542" s="36"/>
      <c r="AH1542" s="36"/>
      <c r="AI1542" s="35"/>
      <c r="AJ1542" s="7"/>
      <c r="AK1542" s="7"/>
      <c r="AL1542" s="7"/>
      <c r="AM1542" s="7"/>
      <c r="AN1542" s="7"/>
      <c r="AO1542" s="7"/>
      <c r="AP1542" s="7"/>
      <c r="AQ1542" s="7"/>
      <c r="AS1542" s="36"/>
      <c r="AT1542" s="36"/>
      <c r="AU1542" s="35"/>
      <c r="AV1542" s="7"/>
      <c r="AW1542" s="7"/>
      <c r="AX1542" s="7"/>
      <c r="AY1542" s="7"/>
      <c r="AZ1542" s="7"/>
      <c r="BA1542" s="7"/>
      <c r="BB1542" s="7"/>
      <c r="BC1542" s="7"/>
      <c r="BF1542" s="7"/>
      <c r="BG1542" s="36"/>
      <c r="BH1542" s="36"/>
      <c r="BI1542" s="36"/>
      <c r="BJ1542" s="36"/>
      <c r="BK1542" s="36"/>
      <c r="BL1542" s="36"/>
      <c r="BM1542" s="36"/>
      <c r="BN1542" s="36"/>
      <c r="BO1542" s="36"/>
    </row>
    <row r="1543" spans="1:67" x14ac:dyDescent="0.25">
      <c r="A1543" s="39"/>
      <c r="B1543" s="40"/>
      <c r="U1543" s="36"/>
      <c r="V1543" s="36"/>
      <c r="W1543" s="35"/>
      <c r="X1543" s="7"/>
      <c r="Y1543" s="7"/>
      <c r="Z1543" s="7"/>
      <c r="AA1543" s="7"/>
      <c r="AB1543" s="7"/>
      <c r="AC1543" s="7"/>
      <c r="AD1543" s="7"/>
      <c r="AE1543" s="7"/>
      <c r="AG1543" s="36"/>
      <c r="AH1543" s="36"/>
      <c r="AI1543" s="35"/>
      <c r="AJ1543" s="7"/>
      <c r="AK1543" s="7"/>
      <c r="AL1543" s="7"/>
      <c r="AM1543" s="7"/>
      <c r="AN1543" s="7"/>
      <c r="AO1543" s="7"/>
      <c r="AP1543" s="7"/>
      <c r="AQ1543" s="7"/>
      <c r="AS1543" s="36"/>
      <c r="AT1543" s="36"/>
      <c r="AU1543" s="35"/>
      <c r="AV1543" s="7"/>
      <c r="AW1543" s="7"/>
      <c r="AX1543" s="7"/>
      <c r="AY1543" s="7"/>
      <c r="AZ1543" s="7"/>
      <c r="BA1543" s="7"/>
      <c r="BB1543" s="7"/>
      <c r="BC1543" s="7"/>
      <c r="BF1543" s="7"/>
      <c r="BG1543" s="36"/>
      <c r="BH1543" s="36"/>
      <c r="BI1543" s="36"/>
      <c r="BJ1543" s="36"/>
      <c r="BK1543" s="36"/>
      <c r="BL1543" s="36"/>
      <c r="BM1543" s="36"/>
      <c r="BN1543" s="36"/>
      <c r="BO1543" s="36"/>
    </row>
    <row r="1544" spans="1:67" x14ac:dyDescent="0.25">
      <c r="A1544" s="39"/>
      <c r="B1544" s="40"/>
      <c r="U1544" s="36"/>
      <c r="V1544" s="36"/>
      <c r="W1544" s="35"/>
      <c r="X1544" s="7"/>
      <c r="Y1544" s="7"/>
      <c r="Z1544" s="7"/>
      <c r="AA1544" s="7"/>
      <c r="AB1544" s="7"/>
      <c r="AC1544" s="7"/>
      <c r="AD1544" s="7"/>
      <c r="AE1544" s="7"/>
      <c r="AG1544" s="36"/>
      <c r="AH1544" s="36"/>
      <c r="AI1544" s="35"/>
      <c r="AJ1544" s="7"/>
      <c r="AK1544" s="7"/>
      <c r="AL1544" s="7"/>
      <c r="AM1544" s="7"/>
      <c r="AN1544" s="7"/>
      <c r="AO1544" s="7"/>
      <c r="AP1544" s="7"/>
      <c r="AQ1544" s="7"/>
      <c r="AS1544" s="36"/>
      <c r="AT1544" s="36"/>
      <c r="AU1544" s="35"/>
      <c r="AV1544" s="7"/>
      <c r="AW1544" s="7"/>
      <c r="AX1544" s="7"/>
      <c r="AY1544" s="7"/>
      <c r="AZ1544" s="7"/>
      <c r="BA1544" s="7"/>
      <c r="BB1544" s="7"/>
      <c r="BC1544" s="7"/>
      <c r="BF1544" s="7"/>
      <c r="BG1544" s="36"/>
      <c r="BH1544" s="36"/>
      <c r="BI1544" s="36"/>
      <c r="BJ1544" s="36"/>
      <c r="BK1544" s="36"/>
      <c r="BL1544" s="36"/>
      <c r="BM1544" s="36"/>
      <c r="BN1544" s="36"/>
      <c r="BO1544" s="36"/>
    </row>
    <row r="1545" spans="1:67" x14ac:dyDescent="0.25">
      <c r="A1545" s="39"/>
      <c r="B1545" s="40"/>
      <c r="U1545" s="36"/>
      <c r="V1545" s="36"/>
      <c r="W1545" s="35"/>
      <c r="X1545" s="7"/>
      <c r="Y1545" s="7"/>
      <c r="Z1545" s="7"/>
      <c r="AA1545" s="7"/>
      <c r="AB1545" s="7"/>
      <c r="AC1545" s="7"/>
      <c r="AD1545" s="7"/>
      <c r="AE1545" s="7"/>
      <c r="AG1545" s="36"/>
      <c r="AH1545" s="36"/>
      <c r="AI1545" s="35"/>
      <c r="AJ1545" s="7"/>
      <c r="AK1545" s="7"/>
      <c r="AL1545" s="7"/>
      <c r="AM1545" s="7"/>
      <c r="AN1545" s="7"/>
      <c r="AO1545" s="7"/>
      <c r="AP1545" s="7"/>
      <c r="AQ1545" s="7"/>
      <c r="AS1545" s="36"/>
      <c r="AT1545" s="36"/>
      <c r="AU1545" s="35"/>
      <c r="AV1545" s="7"/>
      <c r="AW1545" s="7"/>
      <c r="AX1545" s="7"/>
      <c r="AY1545" s="7"/>
      <c r="AZ1545" s="7"/>
      <c r="BA1545" s="7"/>
      <c r="BB1545" s="7"/>
      <c r="BC1545" s="7"/>
      <c r="BF1545" s="7"/>
      <c r="BG1545" s="36"/>
      <c r="BH1545" s="36"/>
      <c r="BI1545" s="36"/>
      <c r="BJ1545" s="36"/>
      <c r="BK1545" s="36"/>
      <c r="BL1545" s="36"/>
      <c r="BM1545" s="36"/>
      <c r="BN1545" s="36"/>
      <c r="BO1545" s="36"/>
    </row>
    <row r="1546" spans="1:67" x14ac:dyDescent="0.25">
      <c r="A1546" s="39"/>
      <c r="B1546" s="40"/>
      <c r="U1546" s="36"/>
      <c r="V1546" s="36"/>
      <c r="W1546" s="35"/>
      <c r="X1546" s="7"/>
      <c r="Y1546" s="7"/>
      <c r="Z1546" s="7"/>
      <c r="AA1546" s="7"/>
      <c r="AB1546" s="7"/>
      <c r="AC1546" s="7"/>
      <c r="AD1546" s="7"/>
      <c r="AE1546" s="7"/>
      <c r="AG1546" s="36"/>
      <c r="AH1546" s="36"/>
      <c r="AI1546" s="35"/>
      <c r="AJ1546" s="7"/>
      <c r="AK1546" s="7"/>
      <c r="AL1546" s="7"/>
      <c r="AM1546" s="7"/>
      <c r="AN1546" s="7"/>
      <c r="AO1546" s="7"/>
      <c r="AP1546" s="7"/>
      <c r="AQ1546" s="7"/>
      <c r="AS1546" s="36"/>
      <c r="AT1546" s="36"/>
      <c r="AU1546" s="35"/>
      <c r="AV1546" s="7"/>
      <c r="AW1546" s="7"/>
      <c r="AX1546" s="7"/>
      <c r="AY1546" s="7"/>
      <c r="AZ1546" s="7"/>
      <c r="BA1546" s="7"/>
      <c r="BB1546" s="7"/>
      <c r="BC1546" s="7"/>
      <c r="BF1546" s="7"/>
      <c r="BG1546" s="36"/>
      <c r="BH1546" s="36"/>
      <c r="BI1546" s="36"/>
      <c r="BJ1546" s="36"/>
      <c r="BK1546" s="36"/>
      <c r="BL1546" s="36"/>
      <c r="BM1546" s="36"/>
      <c r="BN1546" s="36"/>
      <c r="BO1546" s="36"/>
    </row>
    <row r="1547" spans="1:67" x14ac:dyDescent="0.25">
      <c r="A1547" s="39"/>
      <c r="B1547" s="40"/>
      <c r="U1547" s="36"/>
      <c r="V1547" s="36"/>
      <c r="W1547" s="35"/>
      <c r="X1547" s="7"/>
      <c r="Y1547" s="7"/>
      <c r="Z1547" s="7"/>
      <c r="AA1547" s="7"/>
      <c r="AB1547" s="7"/>
      <c r="AC1547" s="7"/>
      <c r="AD1547" s="7"/>
      <c r="AE1547" s="7"/>
      <c r="AG1547" s="36"/>
      <c r="AH1547" s="36"/>
      <c r="AI1547" s="35"/>
      <c r="AJ1547" s="7"/>
      <c r="AK1547" s="7"/>
      <c r="AL1547" s="7"/>
      <c r="AM1547" s="7"/>
      <c r="AN1547" s="7"/>
      <c r="AO1547" s="7"/>
      <c r="AP1547" s="7"/>
      <c r="AQ1547" s="7"/>
      <c r="AS1547" s="36"/>
      <c r="AT1547" s="36"/>
      <c r="AU1547" s="35"/>
      <c r="AV1547" s="7"/>
      <c r="AW1547" s="7"/>
      <c r="AX1547" s="7"/>
      <c r="AY1547" s="7"/>
      <c r="AZ1547" s="7"/>
      <c r="BA1547" s="7"/>
      <c r="BB1547" s="7"/>
      <c r="BC1547" s="7"/>
      <c r="BF1547" s="7"/>
      <c r="BG1547" s="36"/>
      <c r="BH1547" s="36"/>
      <c r="BI1547" s="36"/>
      <c r="BJ1547" s="36"/>
      <c r="BK1547" s="36"/>
      <c r="BL1547" s="36"/>
      <c r="BM1547" s="36"/>
      <c r="BN1547" s="36"/>
      <c r="BO1547" s="36"/>
    </row>
    <row r="1548" spans="1:67" x14ac:dyDescent="0.25">
      <c r="A1548" s="39"/>
      <c r="B1548" s="40"/>
      <c r="U1548" s="36"/>
      <c r="V1548" s="36"/>
      <c r="W1548" s="35"/>
      <c r="X1548" s="7"/>
      <c r="Y1548" s="7"/>
      <c r="Z1548" s="7"/>
      <c r="AA1548" s="7"/>
      <c r="AB1548" s="7"/>
      <c r="AC1548" s="7"/>
      <c r="AD1548" s="7"/>
      <c r="AE1548" s="7"/>
      <c r="AG1548" s="36"/>
      <c r="AH1548" s="36"/>
      <c r="AI1548" s="35"/>
      <c r="AJ1548" s="7"/>
      <c r="AK1548" s="7"/>
      <c r="AL1548" s="7"/>
      <c r="AM1548" s="7"/>
      <c r="AN1548" s="7"/>
      <c r="AO1548" s="7"/>
      <c r="AP1548" s="7"/>
      <c r="AQ1548" s="7"/>
      <c r="AS1548" s="36"/>
      <c r="AT1548" s="36"/>
      <c r="AU1548" s="35"/>
      <c r="AV1548" s="7"/>
      <c r="AW1548" s="7"/>
      <c r="AX1548" s="7"/>
      <c r="AY1548" s="7"/>
      <c r="AZ1548" s="7"/>
      <c r="BA1548" s="7"/>
      <c r="BB1548" s="7"/>
      <c r="BC1548" s="7"/>
      <c r="BF1548" s="7"/>
      <c r="BG1548" s="36"/>
      <c r="BH1548" s="36"/>
      <c r="BI1548" s="36"/>
      <c r="BJ1548" s="36"/>
      <c r="BK1548" s="36"/>
      <c r="BL1548" s="36"/>
      <c r="BM1548" s="36"/>
      <c r="BN1548" s="36"/>
      <c r="BO1548" s="36"/>
    </row>
    <row r="1549" spans="1:67" x14ac:dyDescent="0.25">
      <c r="A1549" s="39"/>
      <c r="B1549" s="40"/>
      <c r="U1549" s="36"/>
      <c r="V1549" s="36"/>
      <c r="W1549" s="35"/>
      <c r="X1549" s="7"/>
      <c r="Y1549" s="7"/>
      <c r="Z1549" s="7"/>
      <c r="AA1549" s="7"/>
      <c r="AB1549" s="7"/>
      <c r="AC1549" s="7"/>
      <c r="AD1549" s="7"/>
      <c r="AE1549" s="7"/>
      <c r="AG1549" s="36"/>
      <c r="AH1549" s="36"/>
      <c r="AI1549" s="35"/>
      <c r="AJ1549" s="7"/>
      <c r="AK1549" s="7"/>
      <c r="AL1549" s="7"/>
      <c r="AM1549" s="7"/>
      <c r="AN1549" s="7"/>
      <c r="AO1549" s="7"/>
      <c r="AP1549" s="7"/>
      <c r="AQ1549" s="7"/>
      <c r="AS1549" s="36"/>
      <c r="AT1549" s="36"/>
      <c r="AU1549" s="35"/>
      <c r="AV1549" s="7"/>
      <c r="AW1549" s="7"/>
      <c r="AX1549" s="7"/>
      <c r="AY1549" s="7"/>
      <c r="AZ1549" s="7"/>
      <c r="BA1549" s="7"/>
      <c r="BB1549" s="7"/>
      <c r="BC1549" s="7"/>
      <c r="BF1549" s="7"/>
      <c r="BG1549" s="36"/>
      <c r="BH1549" s="36"/>
      <c r="BI1549" s="36"/>
      <c r="BJ1549" s="36"/>
      <c r="BK1549" s="36"/>
      <c r="BL1549" s="36"/>
      <c r="BM1549" s="36"/>
      <c r="BN1549" s="36"/>
      <c r="BO1549" s="36"/>
    </row>
    <row r="1550" spans="1:67" x14ac:dyDescent="0.25">
      <c r="A1550" s="39"/>
      <c r="B1550" s="40"/>
      <c r="U1550" s="36"/>
      <c r="V1550" s="36"/>
      <c r="W1550" s="35"/>
      <c r="X1550" s="7"/>
      <c r="Y1550" s="7"/>
      <c r="Z1550" s="7"/>
      <c r="AA1550" s="7"/>
      <c r="AB1550" s="7"/>
      <c r="AC1550" s="7"/>
      <c r="AD1550" s="7"/>
      <c r="AE1550" s="7"/>
      <c r="AG1550" s="36"/>
      <c r="AH1550" s="36"/>
      <c r="AI1550" s="35"/>
      <c r="AJ1550" s="7"/>
      <c r="AK1550" s="7"/>
      <c r="AL1550" s="7"/>
      <c r="AM1550" s="7"/>
      <c r="AN1550" s="7"/>
      <c r="AO1550" s="7"/>
      <c r="AP1550" s="7"/>
      <c r="AQ1550" s="7"/>
      <c r="AS1550" s="36"/>
      <c r="AT1550" s="36"/>
      <c r="AU1550" s="35"/>
      <c r="AV1550" s="7"/>
      <c r="AW1550" s="7"/>
      <c r="AX1550" s="7"/>
      <c r="AY1550" s="7"/>
      <c r="AZ1550" s="7"/>
      <c r="BA1550" s="7"/>
      <c r="BB1550" s="7"/>
      <c r="BC1550" s="7"/>
      <c r="BF1550" s="7"/>
      <c r="BG1550" s="36"/>
      <c r="BH1550" s="36"/>
      <c r="BI1550" s="36"/>
      <c r="BJ1550" s="36"/>
      <c r="BK1550" s="36"/>
      <c r="BL1550" s="36"/>
      <c r="BM1550" s="36"/>
      <c r="BN1550" s="36"/>
      <c r="BO1550" s="36"/>
    </row>
    <row r="1551" spans="1:67" x14ac:dyDescent="0.25">
      <c r="A1551" s="39"/>
      <c r="B1551" s="40"/>
      <c r="U1551" s="36"/>
      <c r="V1551" s="36"/>
      <c r="W1551" s="35"/>
      <c r="X1551" s="7"/>
      <c r="Y1551" s="7"/>
      <c r="Z1551" s="7"/>
      <c r="AA1551" s="7"/>
      <c r="AB1551" s="7"/>
      <c r="AC1551" s="7"/>
      <c r="AD1551" s="7"/>
      <c r="AE1551" s="7"/>
      <c r="AG1551" s="36"/>
      <c r="AH1551" s="36"/>
      <c r="AI1551" s="35"/>
      <c r="AJ1551" s="7"/>
      <c r="AK1551" s="7"/>
      <c r="AL1551" s="7"/>
      <c r="AM1551" s="7"/>
      <c r="AN1551" s="7"/>
      <c r="AO1551" s="7"/>
      <c r="AP1551" s="7"/>
      <c r="AQ1551" s="7"/>
      <c r="AS1551" s="36"/>
      <c r="AT1551" s="36"/>
      <c r="AU1551" s="35"/>
      <c r="AV1551" s="7"/>
      <c r="AW1551" s="7"/>
      <c r="AX1551" s="7"/>
      <c r="AY1551" s="7"/>
      <c r="AZ1551" s="7"/>
      <c r="BA1551" s="7"/>
      <c r="BB1551" s="7"/>
      <c r="BC1551" s="7"/>
      <c r="BF1551" s="7"/>
      <c r="BG1551" s="36"/>
      <c r="BH1551" s="36"/>
      <c r="BI1551" s="36"/>
      <c r="BJ1551" s="36"/>
      <c r="BK1551" s="36"/>
      <c r="BL1551" s="36"/>
      <c r="BM1551" s="36"/>
      <c r="BN1551" s="36"/>
      <c r="BO1551" s="36"/>
    </row>
    <row r="1552" spans="1:67" x14ac:dyDescent="0.25">
      <c r="A1552" s="39"/>
      <c r="B1552" s="40"/>
      <c r="U1552" s="36"/>
      <c r="V1552" s="36"/>
      <c r="W1552" s="35"/>
      <c r="X1552" s="7"/>
      <c r="Y1552" s="7"/>
      <c r="Z1552" s="7"/>
      <c r="AA1552" s="7"/>
      <c r="AB1552" s="7"/>
      <c r="AC1552" s="7"/>
      <c r="AD1552" s="7"/>
      <c r="AE1552" s="7"/>
      <c r="AG1552" s="36"/>
      <c r="AH1552" s="36"/>
      <c r="AI1552" s="35"/>
      <c r="AJ1552" s="7"/>
      <c r="AK1552" s="7"/>
      <c r="AL1552" s="7"/>
      <c r="AM1552" s="7"/>
      <c r="AN1552" s="7"/>
      <c r="AO1552" s="7"/>
      <c r="AP1552" s="7"/>
      <c r="AQ1552" s="7"/>
      <c r="AS1552" s="36"/>
      <c r="AT1552" s="36"/>
      <c r="AU1552" s="35"/>
      <c r="AV1552" s="7"/>
      <c r="AW1552" s="7"/>
      <c r="AX1552" s="7"/>
      <c r="AY1552" s="7"/>
      <c r="AZ1552" s="7"/>
      <c r="BA1552" s="7"/>
      <c r="BB1552" s="7"/>
      <c r="BC1552" s="7"/>
      <c r="BF1552" s="7"/>
      <c r="BG1552" s="36"/>
      <c r="BH1552" s="36"/>
      <c r="BI1552" s="36"/>
      <c r="BJ1552" s="36"/>
      <c r="BK1552" s="36"/>
      <c r="BL1552" s="36"/>
      <c r="BM1552" s="36"/>
      <c r="BN1552" s="36"/>
      <c r="BO1552" s="36"/>
    </row>
    <row r="1553" spans="1:67" x14ac:dyDescent="0.25">
      <c r="A1553" s="39"/>
      <c r="B1553" s="40"/>
      <c r="U1553" s="36"/>
      <c r="V1553" s="36"/>
      <c r="W1553" s="35"/>
      <c r="X1553" s="7"/>
      <c r="Y1553" s="7"/>
      <c r="Z1553" s="7"/>
      <c r="AA1553" s="7"/>
      <c r="AB1553" s="7"/>
      <c r="AC1553" s="7"/>
      <c r="AD1553" s="7"/>
      <c r="AE1553" s="7"/>
      <c r="AG1553" s="36"/>
      <c r="AH1553" s="36"/>
      <c r="AI1553" s="35"/>
      <c r="AJ1553" s="7"/>
      <c r="AK1553" s="7"/>
      <c r="AL1553" s="7"/>
      <c r="AM1553" s="7"/>
      <c r="AN1553" s="7"/>
      <c r="AO1553" s="7"/>
      <c r="AP1553" s="7"/>
      <c r="AQ1553" s="7"/>
      <c r="AS1553" s="36"/>
      <c r="AT1553" s="36"/>
      <c r="AU1553" s="35"/>
      <c r="AV1553" s="7"/>
      <c r="AW1553" s="7"/>
      <c r="AX1553" s="7"/>
      <c r="AY1553" s="7"/>
      <c r="AZ1553" s="7"/>
      <c r="BA1553" s="7"/>
      <c r="BB1553" s="7"/>
      <c r="BC1553" s="7"/>
      <c r="BF1553" s="7"/>
      <c r="BG1553" s="36"/>
      <c r="BH1553" s="36"/>
      <c r="BI1553" s="36"/>
      <c r="BJ1553" s="36"/>
      <c r="BK1553" s="36"/>
      <c r="BL1553" s="36"/>
      <c r="BM1553" s="36"/>
      <c r="BN1553" s="36"/>
      <c r="BO1553" s="36"/>
    </row>
    <row r="1554" spans="1:67" x14ac:dyDescent="0.25">
      <c r="A1554" s="39"/>
      <c r="B1554" s="40"/>
      <c r="U1554" s="36"/>
      <c r="V1554" s="36"/>
      <c r="W1554" s="35"/>
      <c r="X1554" s="7"/>
      <c r="Y1554" s="7"/>
      <c r="Z1554" s="7"/>
      <c r="AA1554" s="7"/>
      <c r="AB1554" s="7"/>
      <c r="AC1554" s="7"/>
      <c r="AD1554" s="7"/>
      <c r="AE1554" s="7"/>
      <c r="AG1554" s="36"/>
      <c r="AH1554" s="36"/>
      <c r="AI1554" s="35"/>
      <c r="AJ1554" s="7"/>
      <c r="AK1554" s="7"/>
      <c r="AL1554" s="7"/>
      <c r="AM1554" s="7"/>
      <c r="AN1554" s="7"/>
      <c r="AO1554" s="7"/>
      <c r="AP1554" s="7"/>
      <c r="AQ1554" s="7"/>
      <c r="AS1554" s="36"/>
      <c r="AT1554" s="36"/>
      <c r="AU1554" s="35"/>
      <c r="AV1554" s="7"/>
      <c r="AW1554" s="7"/>
      <c r="AX1554" s="7"/>
      <c r="AY1554" s="7"/>
      <c r="AZ1554" s="7"/>
      <c r="BA1554" s="7"/>
      <c r="BB1554" s="7"/>
      <c r="BC1554" s="7"/>
      <c r="BF1554" s="7"/>
      <c r="BG1554" s="36"/>
      <c r="BH1554" s="36"/>
      <c r="BI1554" s="36"/>
      <c r="BJ1554" s="36"/>
      <c r="BK1554" s="36"/>
      <c r="BL1554" s="36"/>
      <c r="BM1554" s="36"/>
      <c r="BN1554" s="36"/>
      <c r="BO1554" s="36"/>
    </row>
    <row r="1555" spans="1:67" x14ac:dyDescent="0.25">
      <c r="A1555" s="39"/>
      <c r="B1555" s="40"/>
      <c r="U1555" s="36"/>
      <c r="V1555" s="36"/>
      <c r="W1555" s="35"/>
      <c r="X1555" s="7"/>
      <c r="Y1555" s="7"/>
      <c r="Z1555" s="7"/>
      <c r="AA1555" s="7"/>
      <c r="AB1555" s="7"/>
      <c r="AC1555" s="7"/>
      <c r="AD1555" s="7"/>
      <c r="AE1555" s="7"/>
      <c r="AG1555" s="36"/>
      <c r="AH1555" s="36"/>
      <c r="AI1555" s="35"/>
      <c r="AJ1555" s="7"/>
      <c r="AK1555" s="7"/>
      <c r="AL1555" s="7"/>
      <c r="AM1555" s="7"/>
      <c r="AN1555" s="7"/>
      <c r="AO1555" s="7"/>
      <c r="AP1555" s="7"/>
      <c r="AQ1555" s="7"/>
      <c r="AS1555" s="36"/>
      <c r="AT1555" s="36"/>
      <c r="AU1555" s="35"/>
      <c r="AV1555" s="7"/>
      <c r="AW1555" s="7"/>
      <c r="AX1555" s="7"/>
      <c r="AY1555" s="7"/>
      <c r="AZ1555" s="7"/>
      <c r="BA1555" s="7"/>
      <c r="BB1555" s="7"/>
      <c r="BC1555" s="7"/>
      <c r="BF1555" s="7"/>
      <c r="BG1555" s="36"/>
      <c r="BH1555" s="36"/>
      <c r="BI1555" s="36"/>
      <c r="BJ1555" s="36"/>
      <c r="BK1555" s="36"/>
      <c r="BL1555" s="36"/>
      <c r="BM1555" s="36"/>
      <c r="BN1555" s="36"/>
      <c r="BO1555" s="36"/>
    </row>
    <row r="1556" spans="1:67" x14ac:dyDescent="0.25">
      <c r="A1556" s="39"/>
      <c r="B1556" s="40"/>
      <c r="U1556" s="36"/>
      <c r="V1556" s="36"/>
      <c r="W1556" s="35"/>
      <c r="X1556" s="7"/>
      <c r="Y1556" s="7"/>
      <c r="Z1556" s="7"/>
      <c r="AA1556" s="7"/>
      <c r="AB1556" s="7"/>
      <c r="AC1556" s="7"/>
      <c r="AD1556" s="7"/>
      <c r="AE1556" s="7"/>
      <c r="AG1556" s="36"/>
      <c r="AH1556" s="36"/>
      <c r="AI1556" s="35"/>
      <c r="AJ1556" s="7"/>
      <c r="AK1556" s="7"/>
      <c r="AL1556" s="7"/>
      <c r="AM1556" s="7"/>
      <c r="AN1556" s="7"/>
      <c r="AO1556" s="7"/>
      <c r="AP1556" s="7"/>
      <c r="AQ1556" s="7"/>
      <c r="AS1556" s="36"/>
      <c r="AT1556" s="36"/>
      <c r="AU1556" s="35"/>
      <c r="AV1556" s="7"/>
      <c r="AW1556" s="7"/>
      <c r="AX1556" s="7"/>
      <c r="AY1556" s="7"/>
      <c r="AZ1556" s="7"/>
      <c r="BA1556" s="7"/>
      <c r="BB1556" s="7"/>
      <c r="BC1556" s="7"/>
      <c r="BF1556" s="7"/>
      <c r="BG1556" s="36"/>
      <c r="BH1556" s="36"/>
      <c r="BI1556" s="36"/>
      <c r="BJ1556" s="36"/>
      <c r="BK1556" s="36"/>
      <c r="BL1556" s="36"/>
      <c r="BM1556" s="36"/>
      <c r="BN1556" s="36"/>
      <c r="BO1556" s="36"/>
    </row>
    <row r="1557" spans="1:67" x14ac:dyDescent="0.25">
      <c r="A1557" s="39"/>
      <c r="B1557" s="40"/>
      <c r="U1557" s="36"/>
      <c r="V1557" s="36"/>
      <c r="W1557" s="35"/>
      <c r="X1557" s="7"/>
      <c r="Y1557" s="7"/>
      <c r="Z1557" s="7"/>
      <c r="AA1557" s="7"/>
      <c r="AB1557" s="7"/>
      <c r="AC1557" s="7"/>
      <c r="AD1557" s="7"/>
      <c r="AE1557" s="7"/>
      <c r="AG1557" s="36"/>
      <c r="AH1557" s="36"/>
      <c r="AI1557" s="35"/>
      <c r="AJ1557" s="7"/>
      <c r="AK1557" s="7"/>
      <c r="AL1557" s="7"/>
      <c r="AM1557" s="7"/>
      <c r="AN1557" s="7"/>
      <c r="AO1557" s="7"/>
      <c r="AP1557" s="7"/>
      <c r="AQ1557" s="7"/>
      <c r="AS1557" s="36"/>
      <c r="AT1557" s="36"/>
      <c r="AU1557" s="35"/>
      <c r="AV1557" s="7"/>
      <c r="AW1557" s="7"/>
      <c r="AX1557" s="7"/>
      <c r="AY1557" s="7"/>
      <c r="AZ1557" s="7"/>
      <c r="BA1557" s="7"/>
      <c r="BB1557" s="7"/>
      <c r="BC1557" s="7"/>
      <c r="BF1557" s="7"/>
      <c r="BG1557" s="36"/>
      <c r="BH1557" s="36"/>
      <c r="BI1557" s="36"/>
      <c r="BJ1557" s="36"/>
      <c r="BK1557" s="36"/>
      <c r="BL1557" s="36"/>
      <c r="BM1557" s="36"/>
      <c r="BN1557" s="36"/>
      <c r="BO1557" s="36"/>
    </row>
    <row r="1558" spans="1:67" x14ac:dyDescent="0.25">
      <c r="A1558" s="39"/>
      <c r="B1558" s="40"/>
      <c r="U1558" s="36"/>
      <c r="V1558" s="36"/>
      <c r="W1558" s="35"/>
      <c r="X1558" s="7"/>
      <c r="Y1558" s="7"/>
      <c r="Z1558" s="7"/>
      <c r="AA1558" s="7"/>
      <c r="AB1558" s="7"/>
      <c r="AC1558" s="7"/>
      <c r="AD1558" s="7"/>
      <c r="AE1558" s="7"/>
      <c r="AG1558" s="36"/>
      <c r="AH1558" s="36"/>
      <c r="AI1558" s="35"/>
      <c r="AJ1558" s="7"/>
      <c r="AK1558" s="7"/>
      <c r="AL1558" s="7"/>
      <c r="AM1558" s="7"/>
      <c r="AN1558" s="7"/>
      <c r="AO1558" s="7"/>
      <c r="AP1558" s="7"/>
      <c r="AQ1558" s="7"/>
      <c r="AS1558" s="36"/>
      <c r="AT1558" s="36"/>
      <c r="AU1558" s="35"/>
      <c r="AV1558" s="7"/>
      <c r="AW1558" s="7"/>
      <c r="AX1558" s="7"/>
      <c r="AY1558" s="7"/>
      <c r="AZ1558" s="7"/>
      <c r="BA1558" s="7"/>
      <c r="BB1558" s="7"/>
      <c r="BC1558" s="7"/>
      <c r="BF1558" s="7"/>
      <c r="BG1558" s="36"/>
      <c r="BH1558" s="36"/>
      <c r="BI1558" s="36"/>
      <c r="BJ1558" s="36"/>
      <c r="BK1558" s="36"/>
      <c r="BL1558" s="36"/>
      <c r="BM1558" s="36"/>
      <c r="BN1558" s="36"/>
      <c r="BO1558" s="36"/>
    </row>
    <row r="1559" spans="1:67" x14ac:dyDescent="0.25">
      <c r="A1559" s="39"/>
      <c r="B1559" s="40"/>
      <c r="U1559" s="36"/>
      <c r="V1559" s="36"/>
      <c r="W1559" s="35"/>
      <c r="X1559" s="7"/>
      <c r="Y1559" s="7"/>
      <c r="Z1559" s="7"/>
      <c r="AA1559" s="7"/>
      <c r="AB1559" s="7"/>
      <c r="AC1559" s="7"/>
      <c r="AD1559" s="7"/>
      <c r="AE1559" s="7"/>
      <c r="AG1559" s="36"/>
      <c r="AH1559" s="36"/>
      <c r="AI1559" s="35"/>
      <c r="AJ1559" s="7"/>
      <c r="AK1559" s="7"/>
      <c r="AL1559" s="7"/>
      <c r="AM1559" s="7"/>
      <c r="AN1559" s="7"/>
      <c r="AO1559" s="7"/>
      <c r="AP1559" s="7"/>
      <c r="AQ1559" s="7"/>
      <c r="AS1559" s="36"/>
      <c r="AT1559" s="36"/>
      <c r="AU1559" s="35"/>
      <c r="AV1559" s="7"/>
      <c r="AW1559" s="7"/>
      <c r="AX1559" s="7"/>
      <c r="AY1559" s="7"/>
      <c r="AZ1559" s="7"/>
      <c r="BA1559" s="7"/>
      <c r="BB1559" s="7"/>
      <c r="BC1559" s="7"/>
      <c r="BF1559" s="7"/>
      <c r="BG1559" s="36"/>
      <c r="BH1559" s="36"/>
      <c r="BI1559" s="36"/>
      <c r="BJ1559" s="36"/>
      <c r="BK1559" s="36"/>
      <c r="BL1559" s="36"/>
      <c r="BM1559" s="36"/>
      <c r="BN1559" s="36"/>
      <c r="BO1559" s="36"/>
    </row>
    <row r="1560" spans="1:67" x14ac:dyDescent="0.25">
      <c r="A1560" s="39"/>
      <c r="B1560" s="40"/>
      <c r="U1560" s="36"/>
      <c r="V1560" s="36"/>
      <c r="W1560" s="35"/>
      <c r="X1560" s="7"/>
      <c r="Y1560" s="7"/>
      <c r="Z1560" s="7"/>
      <c r="AA1560" s="7"/>
      <c r="AB1560" s="7"/>
      <c r="AC1560" s="7"/>
      <c r="AD1560" s="7"/>
      <c r="AE1560" s="7"/>
      <c r="AG1560" s="36"/>
      <c r="AH1560" s="36"/>
      <c r="AI1560" s="35"/>
      <c r="AJ1560" s="7"/>
      <c r="AK1560" s="7"/>
      <c r="AL1560" s="7"/>
      <c r="AM1560" s="7"/>
      <c r="AN1560" s="7"/>
      <c r="AO1560" s="7"/>
      <c r="AP1560" s="7"/>
      <c r="AQ1560" s="7"/>
      <c r="AS1560" s="36"/>
      <c r="AT1560" s="36"/>
      <c r="AU1560" s="35"/>
      <c r="AV1560" s="7"/>
      <c r="AW1560" s="7"/>
      <c r="AX1560" s="7"/>
      <c r="AY1560" s="7"/>
      <c r="AZ1560" s="7"/>
      <c r="BA1560" s="7"/>
      <c r="BB1560" s="7"/>
      <c r="BC1560" s="7"/>
      <c r="BF1560" s="7"/>
      <c r="BG1560" s="36"/>
      <c r="BH1560" s="36"/>
      <c r="BI1560" s="36"/>
      <c r="BJ1560" s="36"/>
      <c r="BK1560" s="36"/>
      <c r="BL1560" s="36"/>
      <c r="BM1560" s="36"/>
      <c r="BN1560" s="36"/>
      <c r="BO1560" s="36"/>
    </row>
    <row r="1561" spans="1:67" x14ac:dyDescent="0.25">
      <c r="A1561" s="39"/>
      <c r="B1561" s="40"/>
      <c r="U1561" s="36"/>
      <c r="V1561" s="36"/>
      <c r="W1561" s="35"/>
      <c r="X1561" s="7"/>
      <c r="Y1561" s="7"/>
      <c r="Z1561" s="7"/>
      <c r="AA1561" s="7"/>
      <c r="AB1561" s="7"/>
      <c r="AC1561" s="7"/>
      <c r="AD1561" s="7"/>
      <c r="AE1561" s="7"/>
      <c r="AG1561" s="36"/>
      <c r="AH1561" s="36"/>
      <c r="AI1561" s="35"/>
      <c r="AJ1561" s="7"/>
      <c r="AK1561" s="7"/>
      <c r="AL1561" s="7"/>
      <c r="AM1561" s="7"/>
      <c r="AN1561" s="7"/>
      <c r="AO1561" s="7"/>
      <c r="AP1561" s="7"/>
      <c r="AQ1561" s="7"/>
      <c r="AS1561" s="36"/>
      <c r="AT1561" s="36"/>
      <c r="AU1561" s="35"/>
      <c r="AV1561" s="7"/>
      <c r="AW1561" s="7"/>
      <c r="AX1561" s="7"/>
      <c r="AY1561" s="7"/>
      <c r="AZ1561" s="7"/>
      <c r="BA1561" s="7"/>
      <c r="BB1561" s="7"/>
      <c r="BC1561" s="7"/>
      <c r="BF1561" s="7"/>
      <c r="BG1561" s="36"/>
      <c r="BH1561" s="36"/>
      <c r="BI1561" s="36"/>
      <c r="BJ1561" s="36"/>
      <c r="BK1561" s="36"/>
      <c r="BL1561" s="36"/>
      <c r="BM1561" s="36"/>
      <c r="BN1561" s="36"/>
      <c r="BO1561" s="36"/>
    </row>
    <row r="1562" spans="1:67" x14ac:dyDescent="0.25">
      <c r="A1562" s="39"/>
      <c r="B1562" s="40"/>
      <c r="U1562" s="36"/>
      <c r="V1562" s="36"/>
      <c r="W1562" s="35"/>
      <c r="X1562" s="7"/>
      <c r="Y1562" s="7"/>
      <c r="Z1562" s="7"/>
      <c r="AA1562" s="7"/>
      <c r="AB1562" s="7"/>
      <c r="AC1562" s="7"/>
      <c r="AD1562" s="7"/>
      <c r="AE1562" s="7"/>
      <c r="AG1562" s="36"/>
      <c r="AH1562" s="36"/>
      <c r="AI1562" s="35"/>
      <c r="AJ1562" s="7"/>
      <c r="AK1562" s="7"/>
      <c r="AL1562" s="7"/>
      <c r="AM1562" s="7"/>
      <c r="AN1562" s="7"/>
      <c r="AO1562" s="7"/>
      <c r="AP1562" s="7"/>
      <c r="AQ1562" s="7"/>
      <c r="AS1562" s="36"/>
      <c r="AT1562" s="36"/>
      <c r="AU1562" s="35"/>
      <c r="AV1562" s="7"/>
      <c r="AW1562" s="7"/>
      <c r="AX1562" s="7"/>
      <c r="AY1562" s="7"/>
      <c r="AZ1562" s="7"/>
      <c r="BA1562" s="7"/>
      <c r="BB1562" s="7"/>
      <c r="BC1562" s="7"/>
      <c r="BF1562" s="7"/>
      <c r="BG1562" s="36"/>
      <c r="BH1562" s="36"/>
      <c r="BI1562" s="36"/>
      <c r="BJ1562" s="36"/>
      <c r="BK1562" s="36"/>
      <c r="BL1562" s="36"/>
      <c r="BM1562" s="36"/>
      <c r="BN1562" s="36"/>
      <c r="BO1562" s="36"/>
    </row>
    <row r="1563" spans="1:67" x14ac:dyDescent="0.25">
      <c r="A1563" s="39"/>
      <c r="B1563" s="40"/>
      <c r="U1563" s="36"/>
      <c r="V1563" s="36"/>
      <c r="W1563" s="35"/>
      <c r="X1563" s="7"/>
      <c r="Y1563" s="7"/>
      <c r="Z1563" s="7"/>
      <c r="AA1563" s="7"/>
      <c r="AB1563" s="7"/>
      <c r="AC1563" s="7"/>
      <c r="AD1563" s="7"/>
      <c r="AE1563" s="7"/>
      <c r="AG1563" s="36"/>
      <c r="AH1563" s="36"/>
      <c r="AI1563" s="35"/>
      <c r="AJ1563" s="7"/>
      <c r="AK1563" s="7"/>
      <c r="AL1563" s="7"/>
      <c r="AM1563" s="7"/>
      <c r="AN1563" s="7"/>
      <c r="AO1563" s="7"/>
      <c r="AP1563" s="7"/>
      <c r="AQ1563" s="7"/>
      <c r="AS1563" s="36"/>
      <c r="AT1563" s="36"/>
      <c r="AU1563" s="35"/>
      <c r="AV1563" s="7"/>
      <c r="AW1563" s="7"/>
      <c r="AX1563" s="7"/>
      <c r="AY1563" s="7"/>
      <c r="AZ1563" s="7"/>
      <c r="BA1563" s="7"/>
      <c r="BB1563" s="7"/>
      <c r="BC1563" s="7"/>
      <c r="BF1563" s="7"/>
      <c r="BG1563" s="36"/>
      <c r="BH1563" s="36"/>
      <c r="BI1563" s="36"/>
      <c r="BJ1563" s="36"/>
      <c r="BK1563" s="36"/>
      <c r="BL1563" s="36"/>
      <c r="BM1563" s="36"/>
      <c r="BN1563" s="36"/>
      <c r="BO1563" s="36"/>
    </row>
    <row r="1564" spans="1:67" x14ac:dyDescent="0.25">
      <c r="A1564" s="39"/>
      <c r="B1564" s="40"/>
      <c r="U1564" s="36"/>
      <c r="V1564" s="36"/>
      <c r="W1564" s="35"/>
      <c r="X1564" s="7"/>
      <c r="Y1564" s="7"/>
      <c r="Z1564" s="7"/>
      <c r="AA1564" s="7"/>
      <c r="AB1564" s="7"/>
      <c r="AC1564" s="7"/>
      <c r="AD1564" s="7"/>
      <c r="AE1564" s="7"/>
      <c r="AG1564" s="36"/>
      <c r="AH1564" s="36"/>
      <c r="AI1564" s="35"/>
      <c r="AJ1564" s="7"/>
      <c r="AK1564" s="7"/>
      <c r="AL1564" s="7"/>
      <c r="AM1564" s="7"/>
      <c r="AN1564" s="7"/>
      <c r="AO1564" s="7"/>
      <c r="AP1564" s="7"/>
      <c r="AQ1564" s="7"/>
      <c r="AS1564" s="36"/>
      <c r="AT1564" s="36"/>
      <c r="AU1564" s="35"/>
      <c r="AV1564" s="7"/>
      <c r="AW1564" s="7"/>
      <c r="AX1564" s="7"/>
      <c r="AY1564" s="7"/>
      <c r="AZ1564" s="7"/>
      <c r="BA1564" s="7"/>
      <c r="BB1564" s="7"/>
      <c r="BC1564" s="7"/>
      <c r="BF1564" s="7"/>
      <c r="BG1564" s="36"/>
      <c r="BH1564" s="36"/>
      <c r="BI1564" s="36"/>
      <c r="BJ1564" s="36"/>
      <c r="BK1564" s="36"/>
      <c r="BL1564" s="36"/>
      <c r="BM1564" s="36"/>
      <c r="BN1564" s="36"/>
      <c r="BO1564" s="36"/>
    </row>
    <row r="1565" spans="1:67" x14ac:dyDescent="0.25">
      <c r="A1565" s="39"/>
      <c r="B1565" s="40"/>
      <c r="U1565" s="36"/>
      <c r="V1565" s="36"/>
      <c r="W1565" s="35"/>
      <c r="X1565" s="7"/>
      <c r="Y1565" s="7"/>
      <c r="Z1565" s="7"/>
      <c r="AA1565" s="7"/>
      <c r="AB1565" s="7"/>
      <c r="AC1565" s="7"/>
      <c r="AD1565" s="7"/>
      <c r="AE1565" s="7"/>
      <c r="AG1565" s="36"/>
      <c r="AH1565" s="36"/>
      <c r="AI1565" s="35"/>
      <c r="AJ1565" s="7"/>
      <c r="AK1565" s="7"/>
      <c r="AL1565" s="7"/>
      <c r="AM1565" s="7"/>
      <c r="AN1565" s="7"/>
      <c r="AO1565" s="7"/>
      <c r="AP1565" s="7"/>
      <c r="AQ1565" s="7"/>
      <c r="AS1565" s="36"/>
      <c r="AT1565" s="36"/>
      <c r="AU1565" s="35"/>
      <c r="AV1565" s="7"/>
      <c r="AW1565" s="7"/>
      <c r="AX1565" s="7"/>
      <c r="AY1565" s="7"/>
      <c r="AZ1565" s="7"/>
      <c r="BA1565" s="7"/>
      <c r="BB1565" s="7"/>
      <c r="BC1565" s="7"/>
      <c r="BF1565" s="7"/>
      <c r="BG1565" s="36"/>
      <c r="BH1565" s="36"/>
      <c r="BI1565" s="36"/>
      <c r="BJ1565" s="36"/>
      <c r="BK1565" s="36"/>
      <c r="BL1565" s="36"/>
      <c r="BM1565" s="36"/>
      <c r="BN1565" s="36"/>
      <c r="BO1565" s="36"/>
    </row>
    <row r="1566" spans="1:67" x14ac:dyDescent="0.25">
      <c r="A1566" s="39"/>
      <c r="B1566" s="40"/>
      <c r="U1566" s="36"/>
      <c r="V1566" s="36"/>
      <c r="W1566" s="35"/>
      <c r="X1566" s="7"/>
      <c r="Y1566" s="7"/>
      <c r="Z1566" s="7"/>
      <c r="AA1566" s="7"/>
      <c r="AB1566" s="7"/>
      <c r="AC1566" s="7"/>
      <c r="AD1566" s="7"/>
      <c r="AE1566" s="7"/>
      <c r="AG1566" s="36"/>
      <c r="AH1566" s="36"/>
      <c r="AI1566" s="35"/>
      <c r="AJ1566" s="7"/>
      <c r="AK1566" s="7"/>
      <c r="AL1566" s="7"/>
      <c r="AM1566" s="7"/>
      <c r="AN1566" s="7"/>
      <c r="AO1566" s="7"/>
      <c r="AP1566" s="7"/>
      <c r="AQ1566" s="7"/>
      <c r="AS1566" s="36"/>
      <c r="AT1566" s="36"/>
      <c r="AU1566" s="35"/>
      <c r="AV1566" s="7"/>
      <c r="AW1566" s="7"/>
      <c r="AX1566" s="7"/>
      <c r="AY1566" s="7"/>
      <c r="AZ1566" s="7"/>
      <c r="BA1566" s="7"/>
      <c r="BB1566" s="7"/>
      <c r="BC1566" s="7"/>
      <c r="BF1566" s="7"/>
      <c r="BG1566" s="36"/>
      <c r="BH1566" s="36"/>
      <c r="BI1566" s="36"/>
      <c r="BJ1566" s="36"/>
      <c r="BK1566" s="36"/>
      <c r="BL1566" s="36"/>
      <c r="BM1566" s="36"/>
      <c r="BN1566" s="36"/>
      <c r="BO1566" s="36"/>
    </row>
    <row r="1567" spans="1:67" x14ac:dyDescent="0.25">
      <c r="A1567" s="39"/>
      <c r="B1567" s="40"/>
      <c r="U1567" s="36"/>
      <c r="V1567" s="36"/>
      <c r="W1567" s="35"/>
      <c r="X1567" s="7"/>
      <c r="Y1567" s="7"/>
      <c r="Z1567" s="7"/>
      <c r="AA1567" s="7"/>
      <c r="AB1567" s="7"/>
      <c r="AC1567" s="7"/>
      <c r="AD1567" s="7"/>
      <c r="AE1567" s="7"/>
      <c r="AG1567" s="36"/>
      <c r="AH1567" s="36"/>
      <c r="AI1567" s="35"/>
      <c r="AJ1567" s="7"/>
      <c r="AK1567" s="7"/>
      <c r="AL1567" s="7"/>
      <c r="AM1567" s="7"/>
      <c r="AN1567" s="7"/>
      <c r="AO1567" s="7"/>
      <c r="AP1567" s="7"/>
      <c r="AQ1567" s="7"/>
      <c r="AS1567" s="36"/>
      <c r="AT1567" s="36"/>
      <c r="AU1567" s="35"/>
      <c r="AV1567" s="7"/>
      <c r="AW1567" s="7"/>
      <c r="AX1567" s="7"/>
      <c r="AY1567" s="7"/>
      <c r="AZ1567" s="7"/>
      <c r="BA1567" s="7"/>
      <c r="BB1567" s="7"/>
      <c r="BC1567" s="7"/>
      <c r="BF1567" s="7"/>
      <c r="BG1567" s="36"/>
      <c r="BH1567" s="36"/>
      <c r="BI1567" s="36"/>
      <c r="BJ1567" s="36"/>
      <c r="BK1567" s="36"/>
      <c r="BL1567" s="36"/>
      <c r="BM1567" s="36"/>
      <c r="BN1567" s="36"/>
      <c r="BO1567" s="36"/>
    </row>
    <row r="1568" spans="1:67" x14ac:dyDescent="0.25">
      <c r="A1568" s="39"/>
      <c r="B1568" s="40"/>
      <c r="U1568" s="36"/>
      <c r="V1568" s="36"/>
      <c r="W1568" s="35"/>
      <c r="X1568" s="7"/>
      <c r="Y1568" s="7"/>
      <c r="Z1568" s="7"/>
      <c r="AA1568" s="7"/>
      <c r="AB1568" s="7"/>
      <c r="AC1568" s="7"/>
      <c r="AD1568" s="7"/>
      <c r="AE1568" s="7"/>
      <c r="AG1568" s="36"/>
      <c r="AH1568" s="36"/>
      <c r="AI1568" s="35"/>
      <c r="AJ1568" s="7"/>
      <c r="AK1568" s="7"/>
      <c r="AL1568" s="7"/>
      <c r="AM1568" s="7"/>
      <c r="AN1568" s="7"/>
      <c r="AO1568" s="7"/>
      <c r="AP1568" s="7"/>
      <c r="AQ1568" s="7"/>
      <c r="AS1568" s="36"/>
      <c r="AT1568" s="36"/>
      <c r="AU1568" s="35"/>
      <c r="AV1568" s="7"/>
      <c r="AW1568" s="7"/>
      <c r="AX1568" s="7"/>
      <c r="AY1568" s="7"/>
      <c r="AZ1568" s="7"/>
      <c r="BA1568" s="7"/>
      <c r="BB1568" s="7"/>
      <c r="BC1568" s="7"/>
      <c r="BF1568" s="7"/>
      <c r="BG1568" s="36"/>
      <c r="BH1568" s="36"/>
      <c r="BI1568" s="36"/>
      <c r="BJ1568" s="36"/>
      <c r="BK1568" s="36"/>
      <c r="BL1568" s="36"/>
      <c r="BM1568" s="36"/>
      <c r="BN1568" s="36"/>
      <c r="BO1568" s="36"/>
    </row>
    <row r="1569" spans="1:67" x14ac:dyDescent="0.25">
      <c r="A1569" s="39"/>
      <c r="B1569" s="40"/>
      <c r="U1569" s="36"/>
      <c r="V1569" s="36"/>
      <c r="W1569" s="35"/>
      <c r="X1569" s="7"/>
      <c r="Y1569" s="7"/>
      <c r="Z1569" s="7"/>
      <c r="AA1569" s="7"/>
      <c r="AB1569" s="7"/>
      <c r="AC1569" s="7"/>
      <c r="AD1569" s="7"/>
      <c r="AE1569" s="7"/>
      <c r="AG1569" s="36"/>
      <c r="AH1569" s="36"/>
      <c r="AI1569" s="35"/>
      <c r="AJ1569" s="7"/>
      <c r="AK1569" s="7"/>
      <c r="AL1569" s="7"/>
      <c r="AM1569" s="7"/>
      <c r="AN1569" s="7"/>
      <c r="AO1569" s="7"/>
      <c r="AP1569" s="7"/>
      <c r="AQ1569" s="7"/>
      <c r="AS1569" s="36"/>
      <c r="AT1569" s="36"/>
      <c r="AU1569" s="35"/>
      <c r="AV1569" s="7"/>
      <c r="AW1569" s="7"/>
      <c r="AX1569" s="7"/>
      <c r="AY1569" s="7"/>
      <c r="AZ1569" s="7"/>
      <c r="BA1569" s="7"/>
      <c r="BB1569" s="7"/>
      <c r="BC1569" s="7"/>
      <c r="BF1569" s="7"/>
      <c r="BG1569" s="36"/>
      <c r="BH1569" s="36"/>
      <c r="BI1569" s="36"/>
      <c r="BJ1569" s="36"/>
      <c r="BK1569" s="36"/>
      <c r="BL1569" s="36"/>
      <c r="BM1569" s="36"/>
      <c r="BN1569" s="36"/>
      <c r="BO1569" s="36"/>
    </row>
    <row r="1570" spans="1:67" x14ac:dyDescent="0.25">
      <c r="A1570" s="39"/>
      <c r="B1570" s="40"/>
      <c r="U1570" s="36"/>
      <c r="V1570" s="36"/>
      <c r="W1570" s="35"/>
      <c r="X1570" s="7"/>
      <c r="Y1570" s="7"/>
      <c r="Z1570" s="7"/>
      <c r="AA1570" s="7"/>
      <c r="AB1570" s="7"/>
      <c r="AC1570" s="7"/>
      <c r="AD1570" s="7"/>
      <c r="AE1570" s="7"/>
      <c r="AG1570" s="36"/>
      <c r="AH1570" s="36"/>
      <c r="AI1570" s="35"/>
      <c r="AJ1570" s="7"/>
      <c r="AK1570" s="7"/>
      <c r="AL1570" s="7"/>
      <c r="AM1570" s="7"/>
      <c r="AN1570" s="7"/>
      <c r="AO1570" s="7"/>
      <c r="AP1570" s="7"/>
      <c r="AQ1570" s="7"/>
      <c r="AS1570" s="36"/>
      <c r="AT1570" s="36"/>
      <c r="AU1570" s="35"/>
      <c r="AV1570" s="7"/>
      <c r="AW1570" s="7"/>
      <c r="AX1570" s="7"/>
      <c r="AY1570" s="7"/>
      <c r="AZ1570" s="7"/>
      <c r="BA1570" s="7"/>
      <c r="BB1570" s="7"/>
      <c r="BC1570" s="7"/>
      <c r="BF1570" s="7"/>
      <c r="BG1570" s="36"/>
      <c r="BH1570" s="36"/>
      <c r="BI1570" s="36"/>
      <c r="BJ1570" s="36"/>
      <c r="BK1570" s="36"/>
      <c r="BL1570" s="36"/>
      <c r="BM1570" s="36"/>
      <c r="BN1570" s="36"/>
      <c r="BO1570" s="36"/>
    </row>
    <row r="1571" spans="1:67" x14ac:dyDescent="0.25">
      <c r="A1571" s="39"/>
      <c r="B1571" s="40"/>
      <c r="U1571" s="36"/>
      <c r="V1571" s="36"/>
      <c r="W1571" s="35"/>
      <c r="X1571" s="7"/>
      <c r="Y1571" s="7"/>
      <c r="Z1571" s="7"/>
      <c r="AA1571" s="7"/>
      <c r="AB1571" s="7"/>
      <c r="AC1571" s="7"/>
      <c r="AD1571" s="7"/>
      <c r="AE1571" s="7"/>
      <c r="AG1571" s="36"/>
      <c r="AH1571" s="36"/>
      <c r="AI1571" s="35"/>
      <c r="AJ1571" s="7"/>
      <c r="AK1571" s="7"/>
      <c r="AL1571" s="7"/>
      <c r="AM1571" s="7"/>
      <c r="AN1571" s="7"/>
      <c r="AO1571" s="7"/>
      <c r="AP1571" s="7"/>
      <c r="AQ1571" s="7"/>
      <c r="AS1571" s="36"/>
      <c r="AT1571" s="36"/>
      <c r="AU1571" s="35"/>
      <c r="AV1571" s="7"/>
      <c r="AW1571" s="7"/>
      <c r="AX1571" s="7"/>
      <c r="AY1571" s="7"/>
      <c r="AZ1571" s="7"/>
      <c r="BA1571" s="7"/>
      <c r="BB1571" s="7"/>
      <c r="BC1571" s="7"/>
      <c r="BF1571" s="7"/>
      <c r="BG1571" s="36"/>
      <c r="BH1571" s="36"/>
      <c r="BI1571" s="36"/>
      <c r="BJ1571" s="36"/>
      <c r="BK1571" s="36"/>
      <c r="BL1571" s="36"/>
      <c r="BM1571" s="36"/>
      <c r="BN1571" s="36"/>
      <c r="BO1571" s="36"/>
    </row>
    <row r="1572" spans="1:67" x14ac:dyDescent="0.25">
      <c r="A1572" s="39"/>
      <c r="B1572" s="40"/>
      <c r="U1572" s="36"/>
      <c r="V1572" s="36"/>
      <c r="W1572" s="35"/>
      <c r="X1572" s="7"/>
      <c r="Y1572" s="7"/>
      <c r="Z1572" s="7"/>
      <c r="AA1572" s="7"/>
      <c r="AB1572" s="7"/>
      <c r="AC1572" s="7"/>
      <c r="AD1572" s="7"/>
      <c r="AE1572" s="7"/>
      <c r="AG1572" s="36"/>
      <c r="AH1572" s="36"/>
      <c r="AI1572" s="35"/>
      <c r="AJ1572" s="7"/>
      <c r="AK1572" s="7"/>
      <c r="AL1572" s="7"/>
      <c r="AM1572" s="7"/>
      <c r="AN1572" s="7"/>
      <c r="AO1572" s="7"/>
      <c r="AP1572" s="7"/>
      <c r="AQ1572" s="7"/>
      <c r="AS1572" s="36"/>
      <c r="AT1572" s="36"/>
      <c r="AU1572" s="35"/>
      <c r="AV1572" s="7"/>
      <c r="AW1572" s="7"/>
      <c r="AX1572" s="7"/>
      <c r="AY1572" s="7"/>
      <c r="AZ1572" s="7"/>
      <c r="BA1572" s="7"/>
      <c r="BB1572" s="7"/>
      <c r="BC1572" s="7"/>
      <c r="BF1572" s="7"/>
      <c r="BG1572" s="36"/>
      <c r="BH1572" s="36"/>
      <c r="BI1572" s="36"/>
      <c r="BJ1572" s="36"/>
      <c r="BK1572" s="36"/>
      <c r="BL1572" s="36"/>
      <c r="BM1572" s="36"/>
      <c r="BN1572" s="36"/>
      <c r="BO1572" s="36"/>
    </row>
    <row r="1573" spans="1:67" x14ac:dyDescent="0.25">
      <c r="A1573" s="39"/>
      <c r="B1573" s="40"/>
      <c r="U1573" s="36"/>
      <c r="V1573" s="36"/>
      <c r="W1573" s="35"/>
      <c r="X1573" s="7"/>
      <c r="Y1573" s="7"/>
      <c r="Z1573" s="7"/>
      <c r="AA1573" s="7"/>
      <c r="AB1573" s="7"/>
      <c r="AC1573" s="7"/>
      <c r="AD1573" s="7"/>
      <c r="AE1573" s="7"/>
      <c r="AG1573" s="36"/>
      <c r="AH1573" s="36"/>
      <c r="AI1573" s="35"/>
      <c r="AJ1573" s="7"/>
      <c r="AK1573" s="7"/>
      <c r="AL1573" s="7"/>
      <c r="AM1573" s="7"/>
      <c r="AN1573" s="7"/>
      <c r="AO1573" s="7"/>
      <c r="AP1573" s="7"/>
      <c r="AQ1573" s="7"/>
      <c r="AS1573" s="36"/>
      <c r="AT1573" s="36"/>
      <c r="AU1573" s="35"/>
      <c r="AV1573" s="7"/>
      <c r="AW1573" s="7"/>
      <c r="AX1573" s="7"/>
      <c r="AY1573" s="7"/>
      <c r="AZ1573" s="7"/>
      <c r="BA1573" s="7"/>
      <c r="BB1573" s="7"/>
      <c r="BC1573" s="7"/>
      <c r="BF1573" s="7"/>
      <c r="BG1573" s="36"/>
      <c r="BH1573" s="36"/>
      <c r="BI1573" s="36"/>
      <c r="BJ1573" s="36"/>
      <c r="BK1573" s="36"/>
      <c r="BL1573" s="36"/>
      <c r="BM1573" s="36"/>
      <c r="BN1573" s="36"/>
      <c r="BO1573" s="36"/>
    </row>
    <row r="1574" spans="1:67" x14ac:dyDescent="0.25">
      <c r="A1574" s="39"/>
      <c r="B1574" s="40"/>
      <c r="U1574" s="36"/>
      <c r="V1574" s="36"/>
      <c r="W1574" s="35"/>
      <c r="X1574" s="7"/>
      <c r="Y1574" s="7"/>
      <c r="Z1574" s="7"/>
      <c r="AA1574" s="7"/>
      <c r="AB1574" s="7"/>
      <c r="AC1574" s="7"/>
      <c r="AD1574" s="7"/>
      <c r="AE1574" s="7"/>
      <c r="AG1574" s="36"/>
      <c r="AH1574" s="36"/>
      <c r="AI1574" s="35"/>
      <c r="AJ1574" s="7"/>
      <c r="AK1574" s="7"/>
      <c r="AL1574" s="7"/>
      <c r="AM1574" s="7"/>
      <c r="AN1574" s="7"/>
      <c r="AO1574" s="7"/>
      <c r="AP1574" s="7"/>
      <c r="AQ1574" s="7"/>
      <c r="AS1574" s="36"/>
      <c r="AT1574" s="36"/>
      <c r="AU1574" s="35"/>
      <c r="AV1574" s="7"/>
      <c r="AW1574" s="7"/>
      <c r="AX1574" s="7"/>
      <c r="AY1574" s="7"/>
      <c r="AZ1574" s="7"/>
      <c r="BA1574" s="7"/>
      <c r="BB1574" s="7"/>
      <c r="BC1574" s="7"/>
      <c r="BF1574" s="7"/>
      <c r="BG1574" s="36"/>
      <c r="BH1574" s="36"/>
      <c r="BI1574" s="36"/>
      <c r="BJ1574" s="36"/>
      <c r="BK1574" s="36"/>
      <c r="BL1574" s="36"/>
      <c r="BM1574" s="36"/>
      <c r="BN1574" s="36"/>
      <c r="BO1574" s="36"/>
    </row>
    <row r="1575" spans="1:67" x14ac:dyDescent="0.25">
      <c r="A1575" s="39"/>
      <c r="B1575" s="40"/>
      <c r="U1575" s="36"/>
      <c r="V1575" s="36"/>
      <c r="W1575" s="35"/>
      <c r="X1575" s="7"/>
      <c r="Y1575" s="7"/>
      <c r="Z1575" s="7"/>
      <c r="AA1575" s="7"/>
      <c r="AB1575" s="7"/>
      <c r="AC1575" s="7"/>
      <c r="AD1575" s="7"/>
      <c r="AE1575" s="7"/>
      <c r="AG1575" s="36"/>
      <c r="AH1575" s="36"/>
      <c r="AI1575" s="35"/>
      <c r="AJ1575" s="7"/>
      <c r="AK1575" s="7"/>
      <c r="AL1575" s="7"/>
      <c r="AM1575" s="7"/>
      <c r="AN1575" s="7"/>
      <c r="AO1575" s="7"/>
      <c r="AP1575" s="7"/>
      <c r="AQ1575" s="7"/>
      <c r="AS1575" s="36"/>
      <c r="AT1575" s="36"/>
      <c r="AU1575" s="35"/>
      <c r="AV1575" s="7"/>
      <c r="AW1575" s="7"/>
      <c r="AX1575" s="7"/>
      <c r="AY1575" s="7"/>
      <c r="AZ1575" s="7"/>
      <c r="BA1575" s="7"/>
      <c r="BB1575" s="7"/>
      <c r="BC1575" s="7"/>
      <c r="BF1575" s="7"/>
      <c r="BG1575" s="36"/>
      <c r="BH1575" s="36"/>
      <c r="BI1575" s="36"/>
      <c r="BJ1575" s="36"/>
      <c r="BK1575" s="36"/>
      <c r="BL1575" s="36"/>
      <c r="BM1575" s="36"/>
      <c r="BN1575" s="36"/>
      <c r="BO1575" s="36"/>
    </row>
    <row r="1576" spans="1:67" x14ac:dyDescent="0.25">
      <c r="A1576" s="39"/>
      <c r="B1576" s="40"/>
      <c r="U1576" s="36"/>
      <c r="V1576" s="36"/>
      <c r="W1576" s="35"/>
      <c r="X1576" s="7"/>
      <c r="Y1576" s="7"/>
      <c r="Z1576" s="7"/>
      <c r="AA1576" s="7"/>
      <c r="AB1576" s="7"/>
      <c r="AC1576" s="7"/>
      <c r="AD1576" s="7"/>
      <c r="AE1576" s="7"/>
      <c r="AG1576" s="36"/>
      <c r="AH1576" s="36"/>
      <c r="AI1576" s="35"/>
      <c r="AJ1576" s="7"/>
      <c r="AK1576" s="7"/>
      <c r="AL1576" s="7"/>
      <c r="AM1576" s="7"/>
      <c r="AN1576" s="7"/>
      <c r="AO1576" s="7"/>
      <c r="AP1576" s="7"/>
      <c r="AQ1576" s="7"/>
      <c r="AS1576" s="36"/>
      <c r="AT1576" s="36"/>
      <c r="AU1576" s="35"/>
      <c r="AV1576" s="7"/>
      <c r="AW1576" s="7"/>
      <c r="AX1576" s="7"/>
      <c r="AY1576" s="7"/>
      <c r="AZ1576" s="7"/>
      <c r="BA1576" s="7"/>
      <c r="BB1576" s="7"/>
      <c r="BC1576" s="7"/>
      <c r="BF1576" s="7"/>
      <c r="BG1576" s="36"/>
      <c r="BH1576" s="36"/>
      <c r="BI1576" s="36"/>
      <c r="BJ1576" s="36"/>
      <c r="BK1576" s="36"/>
      <c r="BL1576" s="36"/>
      <c r="BM1576" s="36"/>
      <c r="BN1576" s="36"/>
      <c r="BO1576" s="36"/>
    </row>
    <row r="1577" spans="1:67" x14ac:dyDescent="0.25">
      <c r="A1577" s="39"/>
      <c r="B1577" s="40"/>
      <c r="U1577" s="36"/>
      <c r="V1577" s="36"/>
      <c r="W1577" s="35"/>
      <c r="X1577" s="7"/>
      <c r="Y1577" s="7"/>
      <c r="Z1577" s="7"/>
      <c r="AA1577" s="7"/>
      <c r="AB1577" s="7"/>
      <c r="AC1577" s="7"/>
      <c r="AD1577" s="7"/>
      <c r="AE1577" s="7"/>
      <c r="AG1577" s="36"/>
      <c r="AH1577" s="36"/>
      <c r="AI1577" s="35"/>
      <c r="AJ1577" s="7"/>
      <c r="AK1577" s="7"/>
      <c r="AL1577" s="7"/>
      <c r="AM1577" s="7"/>
      <c r="AN1577" s="7"/>
      <c r="AO1577" s="7"/>
      <c r="AP1577" s="7"/>
      <c r="AQ1577" s="7"/>
      <c r="AS1577" s="36"/>
      <c r="AT1577" s="36"/>
      <c r="AU1577" s="35"/>
      <c r="AV1577" s="7"/>
      <c r="AW1577" s="7"/>
      <c r="AX1577" s="7"/>
      <c r="AY1577" s="7"/>
      <c r="AZ1577" s="7"/>
      <c r="BA1577" s="7"/>
      <c r="BB1577" s="7"/>
      <c r="BC1577" s="7"/>
      <c r="BF1577" s="7"/>
      <c r="BG1577" s="36"/>
      <c r="BH1577" s="36"/>
      <c r="BI1577" s="36"/>
      <c r="BJ1577" s="36"/>
      <c r="BK1577" s="36"/>
      <c r="BL1577" s="36"/>
      <c r="BM1577" s="36"/>
      <c r="BN1577" s="36"/>
      <c r="BO1577" s="36"/>
    </row>
    <row r="1578" spans="1:67" x14ac:dyDescent="0.25">
      <c r="A1578" s="39"/>
      <c r="B1578" s="40"/>
      <c r="U1578" s="36"/>
      <c r="V1578" s="36"/>
      <c r="W1578" s="35"/>
      <c r="X1578" s="7"/>
      <c r="Y1578" s="7"/>
      <c r="Z1578" s="7"/>
      <c r="AA1578" s="7"/>
      <c r="AB1578" s="7"/>
      <c r="AC1578" s="7"/>
      <c r="AD1578" s="7"/>
      <c r="AE1578" s="7"/>
      <c r="AG1578" s="36"/>
      <c r="AH1578" s="36"/>
      <c r="AI1578" s="35"/>
      <c r="AJ1578" s="7"/>
      <c r="AK1578" s="7"/>
      <c r="AL1578" s="7"/>
      <c r="AM1578" s="7"/>
      <c r="AN1578" s="7"/>
      <c r="AO1578" s="7"/>
      <c r="AP1578" s="7"/>
      <c r="AQ1578" s="7"/>
      <c r="AS1578" s="36"/>
      <c r="AT1578" s="36"/>
      <c r="AU1578" s="35"/>
      <c r="AV1578" s="7"/>
      <c r="AW1578" s="7"/>
      <c r="AX1578" s="7"/>
      <c r="AY1578" s="7"/>
      <c r="AZ1578" s="7"/>
      <c r="BA1578" s="7"/>
      <c r="BB1578" s="7"/>
      <c r="BC1578" s="7"/>
      <c r="BF1578" s="7"/>
      <c r="BG1578" s="36"/>
      <c r="BH1578" s="36"/>
      <c r="BI1578" s="36"/>
      <c r="BJ1578" s="36"/>
      <c r="BK1578" s="36"/>
      <c r="BL1578" s="36"/>
      <c r="BM1578" s="36"/>
      <c r="BN1578" s="36"/>
      <c r="BO1578" s="36"/>
    </row>
    <row r="1579" spans="1:67" x14ac:dyDescent="0.25">
      <c r="A1579" s="39"/>
      <c r="B1579" s="40"/>
      <c r="U1579" s="36"/>
      <c r="V1579" s="36"/>
      <c r="W1579" s="35"/>
      <c r="X1579" s="7"/>
      <c r="Y1579" s="7"/>
      <c r="Z1579" s="7"/>
      <c r="AA1579" s="7"/>
      <c r="AB1579" s="7"/>
      <c r="AC1579" s="7"/>
      <c r="AD1579" s="7"/>
      <c r="AE1579" s="7"/>
      <c r="AG1579" s="36"/>
      <c r="AH1579" s="36"/>
      <c r="AI1579" s="35"/>
      <c r="AJ1579" s="7"/>
      <c r="AK1579" s="7"/>
      <c r="AL1579" s="7"/>
      <c r="AM1579" s="7"/>
      <c r="AN1579" s="7"/>
      <c r="AO1579" s="7"/>
      <c r="AP1579" s="7"/>
      <c r="AQ1579" s="7"/>
      <c r="AS1579" s="36"/>
      <c r="AT1579" s="36"/>
      <c r="AU1579" s="35"/>
      <c r="AV1579" s="7"/>
      <c r="AW1579" s="7"/>
      <c r="AX1579" s="7"/>
      <c r="AY1579" s="7"/>
      <c r="AZ1579" s="7"/>
      <c r="BA1579" s="7"/>
      <c r="BB1579" s="7"/>
      <c r="BC1579" s="7"/>
      <c r="BF1579" s="7"/>
      <c r="BG1579" s="36"/>
      <c r="BH1579" s="36"/>
      <c r="BI1579" s="36"/>
      <c r="BJ1579" s="36"/>
      <c r="BK1579" s="36"/>
      <c r="BL1579" s="36"/>
      <c r="BM1579" s="36"/>
      <c r="BN1579" s="36"/>
      <c r="BO1579" s="36"/>
    </row>
    <row r="1580" spans="1:67" x14ac:dyDescent="0.25">
      <c r="A1580" s="39"/>
      <c r="B1580" s="40"/>
      <c r="U1580" s="36"/>
      <c r="V1580" s="36"/>
      <c r="W1580" s="35"/>
      <c r="X1580" s="7"/>
      <c r="Y1580" s="7"/>
      <c r="Z1580" s="7"/>
      <c r="AA1580" s="7"/>
      <c r="AB1580" s="7"/>
      <c r="AC1580" s="7"/>
      <c r="AD1580" s="7"/>
      <c r="AE1580" s="7"/>
      <c r="AG1580" s="36"/>
      <c r="AH1580" s="36"/>
      <c r="AI1580" s="35"/>
      <c r="AJ1580" s="7"/>
      <c r="AK1580" s="7"/>
      <c r="AL1580" s="7"/>
      <c r="AM1580" s="7"/>
      <c r="AN1580" s="7"/>
      <c r="AO1580" s="7"/>
      <c r="AP1580" s="7"/>
      <c r="AQ1580" s="7"/>
      <c r="AS1580" s="36"/>
      <c r="AT1580" s="36"/>
      <c r="AU1580" s="35"/>
      <c r="AV1580" s="7"/>
      <c r="AW1580" s="7"/>
      <c r="AX1580" s="7"/>
      <c r="AY1580" s="7"/>
      <c r="AZ1580" s="7"/>
      <c r="BA1580" s="7"/>
      <c r="BB1580" s="7"/>
      <c r="BC1580" s="7"/>
      <c r="BF1580" s="7"/>
      <c r="BG1580" s="36"/>
      <c r="BH1580" s="36"/>
      <c r="BI1580" s="36"/>
      <c r="BJ1580" s="36"/>
      <c r="BK1580" s="36"/>
      <c r="BL1580" s="36"/>
      <c r="BM1580" s="36"/>
      <c r="BN1580" s="36"/>
      <c r="BO1580" s="36"/>
    </row>
    <row r="1581" spans="1:67" x14ac:dyDescent="0.25">
      <c r="A1581" s="39"/>
      <c r="B1581" s="40"/>
      <c r="U1581" s="36"/>
      <c r="V1581" s="36"/>
      <c r="W1581" s="35"/>
      <c r="X1581" s="7"/>
      <c r="Y1581" s="7"/>
      <c r="Z1581" s="7"/>
      <c r="AA1581" s="7"/>
      <c r="AB1581" s="7"/>
      <c r="AC1581" s="7"/>
      <c r="AD1581" s="7"/>
      <c r="AE1581" s="7"/>
      <c r="AG1581" s="36"/>
      <c r="AH1581" s="36"/>
      <c r="AI1581" s="35"/>
      <c r="AJ1581" s="7"/>
      <c r="AK1581" s="7"/>
      <c r="AL1581" s="7"/>
      <c r="AM1581" s="7"/>
      <c r="AN1581" s="7"/>
      <c r="AO1581" s="7"/>
      <c r="AP1581" s="7"/>
      <c r="AQ1581" s="7"/>
      <c r="AS1581" s="36"/>
      <c r="AT1581" s="36"/>
      <c r="AU1581" s="35"/>
      <c r="AV1581" s="7"/>
      <c r="AW1581" s="7"/>
      <c r="AX1581" s="7"/>
      <c r="AY1581" s="7"/>
      <c r="AZ1581" s="7"/>
      <c r="BA1581" s="7"/>
      <c r="BB1581" s="7"/>
      <c r="BC1581" s="7"/>
      <c r="BF1581" s="7"/>
      <c r="BG1581" s="36"/>
      <c r="BH1581" s="36"/>
      <c r="BI1581" s="36"/>
      <c r="BJ1581" s="36"/>
      <c r="BK1581" s="36"/>
      <c r="BL1581" s="36"/>
      <c r="BM1581" s="36"/>
      <c r="BN1581" s="36"/>
      <c r="BO1581" s="36"/>
    </row>
    <row r="1582" spans="1:67" x14ac:dyDescent="0.25">
      <c r="A1582" s="39"/>
      <c r="B1582" s="40"/>
      <c r="U1582" s="36"/>
      <c r="V1582" s="36"/>
      <c r="W1582" s="35"/>
      <c r="X1582" s="7"/>
      <c r="Y1582" s="7"/>
      <c r="Z1582" s="7"/>
      <c r="AA1582" s="7"/>
      <c r="AB1582" s="7"/>
      <c r="AC1582" s="7"/>
      <c r="AD1582" s="7"/>
      <c r="AE1582" s="7"/>
      <c r="AG1582" s="36"/>
      <c r="AH1582" s="36"/>
      <c r="AI1582" s="35"/>
      <c r="AJ1582" s="7"/>
      <c r="AK1582" s="7"/>
      <c r="AL1582" s="7"/>
      <c r="AM1582" s="7"/>
      <c r="AN1582" s="7"/>
      <c r="AO1582" s="7"/>
      <c r="AP1582" s="7"/>
      <c r="AQ1582" s="7"/>
      <c r="AS1582" s="36"/>
      <c r="AT1582" s="36"/>
      <c r="AU1582" s="35"/>
      <c r="AV1582" s="7"/>
      <c r="AW1582" s="7"/>
      <c r="AX1582" s="7"/>
      <c r="AY1582" s="7"/>
      <c r="AZ1582" s="7"/>
      <c r="BA1582" s="7"/>
      <c r="BB1582" s="7"/>
      <c r="BC1582" s="7"/>
      <c r="BF1582" s="7"/>
      <c r="BG1582" s="36"/>
      <c r="BH1582" s="36"/>
      <c r="BI1582" s="36"/>
      <c r="BJ1582" s="36"/>
      <c r="BK1582" s="36"/>
      <c r="BL1582" s="36"/>
      <c r="BM1582" s="36"/>
      <c r="BN1582" s="36"/>
      <c r="BO1582" s="36"/>
    </row>
    <row r="1583" spans="1:67" x14ac:dyDescent="0.25">
      <c r="A1583" s="39"/>
      <c r="B1583" s="40"/>
      <c r="U1583" s="36"/>
      <c r="V1583" s="36"/>
      <c r="W1583" s="35"/>
      <c r="X1583" s="7"/>
      <c r="Y1583" s="7"/>
      <c r="Z1583" s="7"/>
      <c r="AA1583" s="7"/>
      <c r="AB1583" s="7"/>
      <c r="AC1583" s="7"/>
      <c r="AD1583" s="7"/>
      <c r="AE1583" s="7"/>
      <c r="AG1583" s="36"/>
      <c r="AH1583" s="36"/>
      <c r="AI1583" s="35"/>
      <c r="AJ1583" s="7"/>
      <c r="AK1583" s="7"/>
      <c r="AL1583" s="7"/>
      <c r="AM1583" s="7"/>
      <c r="AN1583" s="7"/>
      <c r="AO1583" s="7"/>
      <c r="AP1583" s="7"/>
      <c r="AQ1583" s="7"/>
      <c r="AS1583" s="36"/>
      <c r="AT1583" s="36"/>
      <c r="AU1583" s="35"/>
      <c r="AV1583" s="7"/>
      <c r="AW1583" s="7"/>
      <c r="AX1583" s="7"/>
      <c r="AY1583" s="7"/>
      <c r="AZ1583" s="7"/>
      <c r="BA1583" s="7"/>
      <c r="BB1583" s="7"/>
      <c r="BC1583" s="7"/>
      <c r="BF1583" s="7"/>
      <c r="BG1583" s="36"/>
      <c r="BH1583" s="36"/>
      <c r="BI1583" s="36"/>
      <c r="BJ1583" s="36"/>
      <c r="BK1583" s="36"/>
      <c r="BL1583" s="36"/>
      <c r="BM1583" s="36"/>
      <c r="BN1583" s="36"/>
      <c r="BO1583" s="36"/>
    </row>
    <row r="1584" spans="1:67" x14ac:dyDescent="0.25">
      <c r="A1584" s="39"/>
      <c r="B1584" s="40"/>
      <c r="U1584" s="36"/>
      <c r="V1584" s="36"/>
      <c r="W1584" s="35"/>
      <c r="X1584" s="7"/>
      <c r="Y1584" s="7"/>
      <c r="Z1584" s="7"/>
      <c r="AA1584" s="7"/>
      <c r="AB1584" s="7"/>
      <c r="AC1584" s="7"/>
      <c r="AD1584" s="7"/>
      <c r="AE1584" s="7"/>
      <c r="AG1584" s="36"/>
      <c r="AH1584" s="36"/>
      <c r="AI1584" s="35"/>
      <c r="AJ1584" s="7"/>
      <c r="AK1584" s="7"/>
      <c r="AL1584" s="7"/>
      <c r="AM1584" s="7"/>
      <c r="AN1584" s="7"/>
      <c r="AO1584" s="7"/>
      <c r="AP1584" s="7"/>
      <c r="AQ1584" s="7"/>
      <c r="AS1584" s="36"/>
      <c r="AT1584" s="36"/>
      <c r="AU1584" s="35"/>
      <c r="AV1584" s="7"/>
      <c r="AW1584" s="7"/>
      <c r="AX1584" s="7"/>
      <c r="AY1584" s="7"/>
      <c r="AZ1584" s="7"/>
      <c r="BA1584" s="7"/>
      <c r="BB1584" s="7"/>
      <c r="BC1584" s="7"/>
      <c r="BF1584" s="7"/>
      <c r="BG1584" s="36"/>
      <c r="BH1584" s="36"/>
      <c r="BI1584" s="36"/>
      <c r="BJ1584" s="36"/>
      <c r="BK1584" s="36"/>
      <c r="BL1584" s="36"/>
      <c r="BM1584" s="36"/>
      <c r="BN1584" s="36"/>
      <c r="BO1584" s="36"/>
    </row>
    <row r="1585" spans="1:67" x14ac:dyDescent="0.25">
      <c r="A1585" s="39"/>
      <c r="B1585" s="40"/>
      <c r="U1585" s="36"/>
      <c r="V1585" s="36"/>
      <c r="W1585" s="35"/>
      <c r="X1585" s="7"/>
      <c r="Y1585" s="7"/>
      <c r="Z1585" s="7"/>
      <c r="AA1585" s="7"/>
      <c r="AB1585" s="7"/>
      <c r="AC1585" s="7"/>
      <c r="AD1585" s="7"/>
      <c r="AE1585" s="7"/>
      <c r="AG1585" s="36"/>
      <c r="AH1585" s="36"/>
      <c r="AI1585" s="35"/>
      <c r="AJ1585" s="7"/>
      <c r="AK1585" s="7"/>
      <c r="AL1585" s="7"/>
      <c r="AM1585" s="7"/>
      <c r="AN1585" s="7"/>
      <c r="AO1585" s="7"/>
      <c r="AP1585" s="7"/>
      <c r="AQ1585" s="7"/>
      <c r="AS1585" s="36"/>
      <c r="AT1585" s="36"/>
      <c r="AU1585" s="35"/>
      <c r="AV1585" s="7"/>
      <c r="AW1585" s="7"/>
      <c r="AX1585" s="7"/>
      <c r="AY1585" s="7"/>
      <c r="AZ1585" s="7"/>
      <c r="BA1585" s="7"/>
      <c r="BB1585" s="7"/>
      <c r="BC1585" s="7"/>
      <c r="BF1585" s="7"/>
      <c r="BG1585" s="36"/>
      <c r="BH1585" s="36"/>
      <c r="BI1585" s="36"/>
      <c r="BJ1585" s="36"/>
      <c r="BK1585" s="36"/>
      <c r="BL1585" s="36"/>
      <c r="BM1585" s="36"/>
      <c r="BN1585" s="36"/>
      <c r="BO1585" s="36"/>
    </row>
    <row r="1586" spans="1:67" x14ac:dyDescent="0.25">
      <c r="A1586" s="39"/>
      <c r="B1586" s="40"/>
      <c r="U1586" s="36"/>
      <c r="V1586" s="36"/>
      <c r="W1586" s="35"/>
      <c r="X1586" s="7"/>
      <c r="Y1586" s="7"/>
      <c r="Z1586" s="7"/>
      <c r="AA1586" s="7"/>
      <c r="AB1586" s="7"/>
      <c r="AC1586" s="7"/>
      <c r="AD1586" s="7"/>
      <c r="AE1586" s="7"/>
      <c r="AG1586" s="36"/>
      <c r="AH1586" s="36"/>
      <c r="AI1586" s="35"/>
      <c r="AJ1586" s="7"/>
      <c r="AK1586" s="7"/>
      <c r="AL1586" s="7"/>
      <c r="AM1586" s="7"/>
      <c r="AN1586" s="7"/>
      <c r="AO1586" s="7"/>
      <c r="AP1586" s="7"/>
      <c r="AQ1586" s="7"/>
      <c r="AS1586" s="36"/>
      <c r="AT1586" s="36"/>
      <c r="AU1586" s="35"/>
      <c r="AV1586" s="7"/>
      <c r="AW1586" s="7"/>
      <c r="AX1586" s="7"/>
      <c r="AY1586" s="7"/>
      <c r="AZ1586" s="7"/>
      <c r="BA1586" s="7"/>
      <c r="BB1586" s="7"/>
      <c r="BC1586" s="7"/>
      <c r="BF1586" s="7"/>
      <c r="BG1586" s="36"/>
      <c r="BH1586" s="36"/>
      <c r="BI1586" s="36"/>
      <c r="BJ1586" s="36"/>
      <c r="BK1586" s="36"/>
      <c r="BL1586" s="36"/>
      <c r="BM1586" s="36"/>
      <c r="BN1586" s="36"/>
      <c r="BO1586" s="36"/>
    </row>
    <row r="1587" spans="1:67" x14ac:dyDescent="0.25">
      <c r="A1587" s="39"/>
      <c r="B1587" s="40"/>
      <c r="U1587" s="36"/>
      <c r="V1587" s="36"/>
      <c r="W1587" s="35"/>
      <c r="X1587" s="7"/>
      <c r="Y1587" s="7"/>
      <c r="Z1587" s="7"/>
      <c r="AA1587" s="7"/>
      <c r="AB1587" s="7"/>
      <c r="AC1587" s="7"/>
      <c r="AD1587" s="7"/>
      <c r="AE1587" s="7"/>
      <c r="AG1587" s="36"/>
      <c r="AH1587" s="36"/>
      <c r="AI1587" s="35"/>
      <c r="AJ1587" s="7"/>
      <c r="AK1587" s="7"/>
      <c r="AL1587" s="7"/>
      <c r="AM1587" s="7"/>
      <c r="AN1587" s="7"/>
      <c r="AO1587" s="7"/>
      <c r="AP1587" s="7"/>
      <c r="AQ1587" s="7"/>
      <c r="AS1587" s="36"/>
      <c r="AT1587" s="36"/>
      <c r="AU1587" s="35"/>
      <c r="AV1587" s="7"/>
      <c r="AW1587" s="7"/>
      <c r="AX1587" s="7"/>
      <c r="AY1587" s="7"/>
      <c r="AZ1587" s="7"/>
      <c r="BA1587" s="7"/>
      <c r="BB1587" s="7"/>
      <c r="BC1587" s="7"/>
      <c r="BF1587" s="7"/>
      <c r="BG1587" s="36"/>
      <c r="BH1587" s="36"/>
      <c r="BI1587" s="36"/>
      <c r="BJ1587" s="36"/>
      <c r="BK1587" s="36"/>
      <c r="BL1587" s="36"/>
      <c r="BM1587" s="36"/>
      <c r="BN1587" s="36"/>
      <c r="BO1587" s="36"/>
    </row>
    <row r="1588" spans="1:67" x14ac:dyDescent="0.25">
      <c r="A1588" s="39"/>
      <c r="B1588" s="40"/>
      <c r="U1588" s="36"/>
      <c r="V1588" s="36"/>
      <c r="W1588" s="35"/>
      <c r="X1588" s="7"/>
      <c r="Y1588" s="7"/>
      <c r="Z1588" s="7"/>
      <c r="AA1588" s="7"/>
      <c r="AB1588" s="7"/>
      <c r="AC1588" s="7"/>
      <c r="AD1588" s="7"/>
      <c r="AE1588" s="7"/>
      <c r="AG1588" s="36"/>
      <c r="AH1588" s="36"/>
      <c r="AI1588" s="35"/>
      <c r="AJ1588" s="7"/>
      <c r="AK1588" s="7"/>
      <c r="AL1588" s="7"/>
      <c r="AM1588" s="7"/>
      <c r="AN1588" s="7"/>
      <c r="AO1588" s="7"/>
      <c r="AP1588" s="7"/>
      <c r="AQ1588" s="7"/>
      <c r="AS1588" s="36"/>
      <c r="AT1588" s="36"/>
      <c r="AU1588" s="35"/>
      <c r="AV1588" s="7"/>
      <c r="AW1588" s="7"/>
      <c r="AX1588" s="7"/>
      <c r="AY1588" s="7"/>
      <c r="AZ1588" s="7"/>
      <c r="BA1588" s="7"/>
      <c r="BB1588" s="7"/>
      <c r="BC1588" s="7"/>
      <c r="BF1588" s="7"/>
      <c r="BG1588" s="36"/>
      <c r="BH1588" s="36"/>
      <c r="BI1588" s="36"/>
      <c r="BJ1588" s="36"/>
      <c r="BK1588" s="36"/>
      <c r="BL1588" s="36"/>
      <c r="BM1588" s="36"/>
      <c r="BN1588" s="36"/>
      <c r="BO1588" s="36"/>
    </row>
    <row r="1589" spans="1:67" x14ac:dyDescent="0.25">
      <c r="A1589" s="39"/>
      <c r="B1589" s="40"/>
      <c r="U1589" s="36"/>
      <c r="V1589" s="36"/>
      <c r="W1589" s="35"/>
      <c r="X1589" s="7"/>
      <c r="Y1589" s="7"/>
      <c r="Z1589" s="7"/>
      <c r="AA1589" s="7"/>
      <c r="AB1589" s="7"/>
      <c r="AC1589" s="7"/>
      <c r="AD1589" s="7"/>
      <c r="AE1589" s="7"/>
      <c r="AG1589" s="36"/>
      <c r="AH1589" s="36"/>
      <c r="AI1589" s="35"/>
      <c r="AJ1589" s="7"/>
      <c r="AK1589" s="7"/>
      <c r="AL1589" s="7"/>
      <c r="AM1589" s="7"/>
      <c r="AN1589" s="7"/>
      <c r="AO1589" s="7"/>
      <c r="AP1589" s="7"/>
      <c r="AQ1589" s="7"/>
      <c r="AS1589" s="36"/>
      <c r="AT1589" s="36"/>
      <c r="AU1589" s="35"/>
      <c r="AV1589" s="7"/>
      <c r="AW1589" s="7"/>
      <c r="AX1589" s="7"/>
      <c r="AY1589" s="7"/>
      <c r="AZ1589" s="7"/>
      <c r="BA1589" s="7"/>
      <c r="BB1589" s="7"/>
      <c r="BC1589" s="7"/>
      <c r="BF1589" s="7"/>
      <c r="BG1589" s="36"/>
      <c r="BH1589" s="36"/>
      <c r="BI1589" s="36"/>
      <c r="BJ1589" s="36"/>
      <c r="BK1589" s="36"/>
      <c r="BL1589" s="36"/>
      <c r="BM1589" s="36"/>
      <c r="BN1589" s="36"/>
      <c r="BO1589" s="36"/>
    </row>
    <row r="1590" spans="1:67" x14ac:dyDescent="0.25">
      <c r="A1590" s="39"/>
      <c r="B1590" s="40"/>
      <c r="U1590" s="36"/>
      <c r="V1590" s="36"/>
      <c r="W1590" s="35"/>
      <c r="X1590" s="7"/>
      <c r="Y1590" s="7"/>
      <c r="Z1590" s="7"/>
      <c r="AA1590" s="7"/>
      <c r="AB1590" s="7"/>
      <c r="AC1590" s="7"/>
      <c r="AD1590" s="7"/>
      <c r="AE1590" s="7"/>
      <c r="AG1590" s="36"/>
      <c r="AH1590" s="36"/>
      <c r="AI1590" s="35"/>
      <c r="AJ1590" s="7"/>
      <c r="AK1590" s="7"/>
      <c r="AL1590" s="7"/>
      <c r="AM1590" s="7"/>
      <c r="AN1590" s="7"/>
      <c r="AO1590" s="7"/>
      <c r="AP1590" s="7"/>
      <c r="AQ1590" s="7"/>
      <c r="AS1590" s="36"/>
      <c r="AT1590" s="36"/>
      <c r="AU1590" s="35"/>
      <c r="AV1590" s="7"/>
      <c r="AW1590" s="7"/>
      <c r="AX1590" s="7"/>
      <c r="AY1590" s="7"/>
      <c r="AZ1590" s="7"/>
      <c r="BA1590" s="7"/>
      <c r="BB1590" s="7"/>
      <c r="BC1590" s="7"/>
      <c r="BF1590" s="7"/>
      <c r="BG1590" s="36"/>
      <c r="BH1590" s="36"/>
      <c r="BI1590" s="36"/>
      <c r="BJ1590" s="36"/>
      <c r="BK1590" s="36"/>
      <c r="BL1590" s="36"/>
      <c r="BM1590" s="36"/>
      <c r="BN1590" s="36"/>
      <c r="BO1590" s="36"/>
    </row>
    <row r="1591" spans="1:67" x14ac:dyDescent="0.25">
      <c r="A1591" s="39"/>
      <c r="B1591" s="40"/>
      <c r="U1591" s="36"/>
      <c r="V1591" s="36"/>
      <c r="W1591" s="35"/>
      <c r="X1591" s="7"/>
      <c r="Y1591" s="7"/>
      <c r="Z1591" s="7"/>
      <c r="AA1591" s="7"/>
      <c r="AB1591" s="7"/>
      <c r="AC1591" s="7"/>
      <c r="AD1591" s="7"/>
      <c r="AE1591" s="7"/>
      <c r="AG1591" s="36"/>
      <c r="AH1591" s="36"/>
      <c r="AI1591" s="35"/>
      <c r="AJ1591" s="7"/>
      <c r="AK1591" s="7"/>
      <c r="AL1591" s="7"/>
      <c r="AM1591" s="7"/>
      <c r="AN1591" s="7"/>
      <c r="AO1591" s="7"/>
      <c r="AP1591" s="7"/>
      <c r="AQ1591" s="7"/>
      <c r="AS1591" s="36"/>
      <c r="AT1591" s="36"/>
      <c r="AU1591" s="35"/>
      <c r="AV1591" s="7"/>
      <c r="AW1591" s="7"/>
      <c r="AX1591" s="7"/>
      <c r="AY1591" s="7"/>
      <c r="AZ1591" s="7"/>
      <c r="BA1591" s="7"/>
      <c r="BB1591" s="7"/>
      <c r="BC1591" s="7"/>
      <c r="BF1591" s="7"/>
      <c r="BG1591" s="36"/>
      <c r="BH1591" s="36"/>
      <c r="BI1591" s="36"/>
      <c r="BJ1591" s="36"/>
      <c r="BK1591" s="36"/>
      <c r="BL1591" s="36"/>
      <c r="BM1591" s="36"/>
      <c r="BN1591" s="36"/>
      <c r="BO1591" s="36"/>
    </row>
    <row r="1592" spans="1:67" x14ac:dyDescent="0.25">
      <c r="A1592" s="39"/>
      <c r="B1592" s="40"/>
      <c r="U1592" s="36"/>
      <c r="V1592" s="36"/>
      <c r="W1592" s="35"/>
      <c r="X1592" s="7"/>
      <c r="Y1592" s="7"/>
      <c r="Z1592" s="7"/>
      <c r="AA1592" s="7"/>
      <c r="AB1592" s="7"/>
      <c r="AC1592" s="7"/>
      <c r="AD1592" s="7"/>
      <c r="AE1592" s="7"/>
      <c r="AG1592" s="36"/>
      <c r="AH1592" s="36"/>
      <c r="AI1592" s="35"/>
      <c r="AJ1592" s="7"/>
      <c r="AK1592" s="7"/>
      <c r="AL1592" s="7"/>
      <c r="AM1592" s="7"/>
      <c r="AN1592" s="7"/>
      <c r="AO1592" s="7"/>
      <c r="AP1592" s="7"/>
      <c r="AQ1592" s="7"/>
      <c r="AS1592" s="36"/>
      <c r="AT1592" s="36"/>
      <c r="AU1592" s="35"/>
      <c r="AV1592" s="7"/>
      <c r="AW1592" s="7"/>
      <c r="AX1592" s="7"/>
      <c r="AY1592" s="7"/>
      <c r="AZ1592" s="7"/>
      <c r="BA1592" s="7"/>
      <c r="BB1592" s="7"/>
      <c r="BC1592" s="7"/>
      <c r="BF1592" s="7"/>
      <c r="BG1592" s="36"/>
      <c r="BH1592" s="36"/>
      <c r="BI1592" s="36"/>
      <c r="BJ1592" s="36"/>
      <c r="BK1592" s="36"/>
      <c r="BL1592" s="36"/>
      <c r="BM1592" s="36"/>
      <c r="BN1592" s="36"/>
      <c r="BO1592" s="36"/>
    </row>
    <row r="1593" spans="1:67" x14ac:dyDescent="0.25">
      <c r="A1593" s="39"/>
      <c r="B1593" s="40"/>
      <c r="U1593" s="36"/>
      <c r="V1593" s="36"/>
      <c r="W1593" s="35"/>
      <c r="X1593" s="7"/>
      <c r="Y1593" s="7"/>
      <c r="Z1593" s="7"/>
      <c r="AA1593" s="7"/>
      <c r="AB1593" s="7"/>
      <c r="AC1593" s="7"/>
      <c r="AD1593" s="7"/>
      <c r="AE1593" s="7"/>
      <c r="AG1593" s="36"/>
      <c r="AH1593" s="36"/>
      <c r="AI1593" s="35"/>
      <c r="AJ1593" s="7"/>
      <c r="AK1593" s="7"/>
      <c r="AL1593" s="7"/>
      <c r="AM1593" s="7"/>
      <c r="AN1593" s="7"/>
      <c r="AO1593" s="7"/>
      <c r="AP1593" s="7"/>
      <c r="AQ1593" s="7"/>
      <c r="AS1593" s="36"/>
      <c r="AT1593" s="36"/>
      <c r="AU1593" s="35"/>
      <c r="AV1593" s="7"/>
      <c r="AW1593" s="7"/>
      <c r="AX1593" s="7"/>
      <c r="AY1593" s="7"/>
      <c r="AZ1593" s="7"/>
      <c r="BA1593" s="7"/>
      <c r="BB1593" s="7"/>
      <c r="BC1593" s="7"/>
      <c r="BF1593" s="7"/>
      <c r="BG1593" s="36"/>
      <c r="BH1593" s="36"/>
      <c r="BI1593" s="36"/>
      <c r="BJ1593" s="36"/>
      <c r="BK1593" s="36"/>
      <c r="BL1593" s="36"/>
      <c r="BM1593" s="36"/>
      <c r="BN1593" s="36"/>
      <c r="BO1593" s="36"/>
    </row>
    <row r="1594" spans="1:67" x14ac:dyDescent="0.25">
      <c r="A1594" s="39"/>
      <c r="B1594" s="40"/>
      <c r="U1594" s="36"/>
      <c r="V1594" s="36"/>
      <c r="W1594" s="35"/>
      <c r="X1594" s="7"/>
      <c r="Y1594" s="7"/>
      <c r="Z1594" s="7"/>
      <c r="AA1594" s="7"/>
      <c r="AB1594" s="7"/>
      <c r="AC1594" s="7"/>
      <c r="AD1594" s="7"/>
      <c r="AE1594" s="7"/>
      <c r="AG1594" s="36"/>
      <c r="AH1594" s="36"/>
      <c r="AI1594" s="35"/>
      <c r="AJ1594" s="7"/>
      <c r="AK1594" s="7"/>
      <c r="AL1594" s="7"/>
      <c r="AM1594" s="7"/>
      <c r="AN1594" s="7"/>
      <c r="AO1594" s="7"/>
      <c r="AP1594" s="7"/>
      <c r="AQ1594" s="7"/>
      <c r="AS1594" s="36"/>
      <c r="AT1594" s="36"/>
      <c r="AU1594" s="35"/>
      <c r="AV1594" s="7"/>
      <c r="AW1594" s="7"/>
      <c r="AX1594" s="7"/>
      <c r="AY1594" s="7"/>
      <c r="AZ1594" s="7"/>
      <c r="BA1594" s="7"/>
      <c r="BB1594" s="7"/>
      <c r="BC1594" s="7"/>
      <c r="BF1594" s="7"/>
      <c r="BG1594" s="36"/>
      <c r="BH1594" s="36"/>
      <c r="BI1594" s="36"/>
      <c r="BJ1594" s="36"/>
      <c r="BK1594" s="36"/>
      <c r="BL1594" s="36"/>
      <c r="BM1594" s="36"/>
      <c r="BN1594" s="36"/>
      <c r="BO1594" s="36"/>
    </row>
    <row r="1595" spans="1:67" x14ac:dyDescent="0.25">
      <c r="A1595" s="39"/>
      <c r="B1595" s="40"/>
      <c r="U1595" s="36"/>
      <c r="V1595" s="36"/>
      <c r="W1595" s="35"/>
      <c r="X1595" s="7"/>
      <c r="Y1595" s="7"/>
      <c r="Z1595" s="7"/>
      <c r="AA1595" s="7"/>
      <c r="AB1595" s="7"/>
      <c r="AC1595" s="7"/>
      <c r="AD1595" s="7"/>
      <c r="AE1595" s="7"/>
      <c r="AG1595" s="36"/>
      <c r="AH1595" s="36"/>
      <c r="AI1595" s="35"/>
      <c r="AJ1595" s="7"/>
      <c r="AK1595" s="7"/>
      <c r="AL1595" s="7"/>
      <c r="AM1595" s="7"/>
      <c r="AN1595" s="7"/>
      <c r="AO1595" s="7"/>
      <c r="AP1595" s="7"/>
      <c r="AQ1595" s="7"/>
      <c r="AS1595" s="36"/>
      <c r="AT1595" s="36"/>
      <c r="AU1595" s="35"/>
      <c r="AV1595" s="7"/>
      <c r="AW1595" s="7"/>
      <c r="AX1595" s="7"/>
      <c r="AY1595" s="7"/>
      <c r="AZ1595" s="7"/>
      <c r="BA1595" s="7"/>
      <c r="BB1595" s="7"/>
      <c r="BC1595" s="7"/>
      <c r="BF1595" s="7"/>
      <c r="BG1595" s="36"/>
      <c r="BH1595" s="36"/>
      <c r="BI1595" s="36"/>
      <c r="BJ1595" s="36"/>
      <c r="BK1595" s="36"/>
      <c r="BL1595" s="36"/>
      <c r="BM1595" s="36"/>
      <c r="BN1595" s="36"/>
      <c r="BO1595" s="36"/>
    </row>
    <row r="1596" spans="1:67" x14ac:dyDescent="0.25">
      <c r="A1596" s="39"/>
      <c r="B1596" s="40"/>
      <c r="U1596" s="36"/>
      <c r="V1596" s="36"/>
      <c r="W1596" s="35"/>
      <c r="X1596" s="7"/>
      <c r="Y1596" s="7"/>
      <c r="Z1596" s="7"/>
      <c r="AA1596" s="7"/>
      <c r="AB1596" s="7"/>
      <c r="AC1596" s="7"/>
      <c r="AD1596" s="7"/>
      <c r="AE1596" s="7"/>
      <c r="AG1596" s="36"/>
      <c r="AH1596" s="36"/>
      <c r="AI1596" s="35"/>
      <c r="AJ1596" s="7"/>
      <c r="AK1596" s="7"/>
      <c r="AL1596" s="7"/>
      <c r="AM1596" s="7"/>
      <c r="AN1596" s="7"/>
      <c r="AO1596" s="7"/>
      <c r="AP1596" s="7"/>
      <c r="AQ1596" s="7"/>
      <c r="AS1596" s="36"/>
      <c r="AT1596" s="36"/>
      <c r="AU1596" s="35"/>
      <c r="AV1596" s="7"/>
      <c r="AW1596" s="7"/>
      <c r="AX1596" s="7"/>
      <c r="AY1596" s="7"/>
      <c r="AZ1596" s="7"/>
      <c r="BA1596" s="7"/>
      <c r="BB1596" s="7"/>
      <c r="BC1596" s="7"/>
      <c r="BF1596" s="7"/>
      <c r="BG1596" s="36"/>
      <c r="BH1596" s="36"/>
      <c r="BI1596" s="36"/>
      <c r="BJ1596" s="36"/>
      <c r="BK1596" s="36"/>
      <c r="BL1596" s="36"/>
      <c r="BM1596" s="36"/>
      <c r="BN1596" s="36"/>
      <c r="BO1596" s="36"/>
    </row>
    <row r="1597" spans="1:67" x14ac:dyDescent="0.25">
      <c r="A1597" s="39"/>
      <c r="B1597" s="40"/>
      <c r="U1597" s="36"/>
      <c r="V1597" s="36"/>
      <c r="W1597" s="35"/>
      <c r="X1597" s="7"/>
      <c r="Y1597" s="7"/>
      <c r="Z1597" s="7"/>
      <c r="AA1597" s="7"/>
      <c r="AB1597" s="7"/>
      <c r="AC1597" s="7"/>
      <c r="AD1597" s="7"/>
      <c r="AE1597" s="7"/>
      <c r="AG1597" s="36"/>
      <c r="AH1597" s="36"/>
      <c r="AI1597" s="35"/>
      <c r="AJ1597" s="7"/>
      <c r="AK1597" s="7"/>
      <c r="AL1597" s="7"/>
      <c r="AM1597" s="7"/>
      <c r="AN1597" s="7"/>
      <c r="AO1597" s="7"/>
      <c r="AP1597" s="7"/>
      <c r="AQ1597" s="7"/>
      <c r="AS1597" s="36"/>
      <c r="AT1597" s="36"/>
      <c r="AU1597" s="35"/>
      <c r="AV1597" s="7"/>
      <c r="AW1597" s="7"/>
      <c r="AX1597" s="7"/>
      <c r="AY1597" s="7"/>
      <c r="AZ1597" s="7"/>
      <c r="BA1597" s="7"/>
      <c r="BB1597" s="7"/>
      <c r="BC1597" s="7"/>
      <c r="BF1597" s="7"/>
      <c r="BG1597" s="36"/>
      <c r="BH1597" s="36"/>
      <c r="BI1597" s="36"/>
      <c r="BJ1597" s="36"/>
      <c r="BK1597" s="36"/>
      <c r="BL1597" s="36"/>
      <c r="BM1597" s="36"/>
      <c r="BN1597" s="36"/>
      <c r="BO1597" s="36"/>
    </row>
    <row r="1598" spans="1:67" x14ac:dyDescent="0.25">
      <c r="A1598" s="39"/>
      <c r="B1598" s="40"/>
      <c r="U1598" s="36"/>
      <c r="V1598" s="36"/>
      <c r="W1598" s="35"/>
      <c r="X1598" s="7"/>
      <c r="Y1598" s="7"/>
      <c r="Z1598" s="7"/>
      <c r="AA1598" s="7"/>
      <c r="AB1598" s="7"/>
      <c r="AC1598" s="7"/>
      <c r="AD1598" s="7"/>
      <c r="AE1598" s="7"/>
      <c r="AG1598" s="36"/>
      <c r="AH1598" s="36"/>
      <c r="AI1598" s="35"/>
      <c r="AJ1598" s="7"/>
      <c r="AK1598" s="7"/>
      <c r="AL1598" s="7"/>
      <c r="AM1598" s="7"/>
      <c r="AN1598" s="7"/>
      <c r="AO1598" s="7"/>
      <c r="AP1598" s="7"/>
      <c r="AQ1598" s="7"/>
      <c r="AS1598" s="36"/>
      <c r="AT1598" s="36"/>
      <c r="AU1598" s="35"/>
      <c r="AV1598" s="7"/>
      <c r="AW1598" s="7"/>
      <c r="AX1598" s="7"/>
      <c r="AY1598" s="7"/>
      <c r="AZ1598" s="7"/>
      <c r="BA1598" s="7"/>
      <c r="BB1598" s="7"/>
      <c r="BC1598" s="7"/>
      <c r="BF1598" s="7"/>
      <c r="BG1598" s="36"/>
      <c r="BH1598" s="36"/>
      <c r="BI1598" s="36"/>
      <c r="BJ1598" s="36"/>
      <c r="BK1598" s="36"/>
      <c r="BL1598" s="36"/>
      <c r="BM1598" s="36"/>
      <c r="BN1598" s="36"/>
      <c r="BO1598" s="36"/>
    </row>
    <row r="1599" spans="1:67" x14ac:dyDescent="0.25">
      <c r="A1599" s="39"/>
      <c r="B1599" s="40"/>
      <c r="U1599" s="36"/>
      <c r="V1599" s="36"/>
      <c r="W1599" s="35"/>
      <c r="X1599" s="7"/>
      <c r="Y1599" s="7"/>
      <c r="Z1599" s="7"/>
      <c r="AA1599" s="7"/>
      <c r="AB1599" s="7"/>
      <c r="AC1599" s="7"/>
      <c r="AD1599" s="7"/>
      <c r="AE1599" s="7"/>
      <c r="AG1599" s="36"/>
      <c r="AH1599" s="36"/>
      <c r="AI1599" s="35"/>
      <c r="AJ1599" s="7"/>
      <c r="AK1599" s="7"/>
      <c r="AL1599" s="7"/>
      <c r="AM1599" s="7"/>
      <c r="AN1599" s="7"/>
      <c r="AO1599" s="7"/>
      <c r="AP1599" s="7"/>
      <c r="AQ1599" s="7"/>
      <c r="AS1599" s="36"/>
      <c r="AT1599" s="36"/>
      <c r="AU1599" s="35"/>
      <c r="AV1599" s="7"/>
      <c r="AW1599" s="7"/>
      <c r="AX1599" s="7"/>
      <c r="AY1599" s="7"/>
      <c r="AZ1599" s="7"/>
      <c r="BA1599" s="7"/>
      <c r="BB1599" s="7"/>
      <c r="BC1599" s="7"/>
      <c r="BF1599" s="7"/>
      <c r="BG1599" s="36"/>
      <c r="BH1599" s="36"/>
      <c r="BI1599" s="36"/>
      <c r="BJ1599" s="36"/>
      <c r="BK1599" s="36"/>
      <c r="BL1599" s="36"/>
      <c r="BM1599" s="36"/>
      <c r="BN1599" s="36"/>
      <c r="BO1599" s="36"/>
    </row>
    <row r="1600" spans="1:67" x14ac:dyDescent="0.25">
      <c r="A1600" s="39"/>
      <c r="B1600" s="40"/>
      <c r="U1600" s="36"/>
      <c r="V1600" s="36"/>
      <c r="W1600" s="35"/>
      <c r="X1600" s="7"/>
      <c r="Y1600" s="7"/>
      <c r="Z1600" s="7"/>
      <c r="AA1600" s="7"/>
      <c r="AB1600" s="7"/>
      <c r="AC1600" s="7"/>
      <c r="AD1600" s="7"/>
      <c r="AE1600" s="7"/>
      <c r="AG1600" s="36"/>
      <c r="AH1600" s="36"/>
      <c r="AI1600" s="35"/>
      <c r="AJ1600" s="7"/>
      <c r="AK1600" s="7"/>
      <c r="AL1600" s="7"/>
      <c r="AM1600" s="7"/>
      <c r="AN1600" s="7"/>
      <c r="AO1600" s="7"/>
      <c r="AP1600" s="7"/>
      <c r="AQ1600" s="7"/>
      <c r="AS1600" s="36"/>
      <c r="AT1600" s="36"/>
      <c r="AU1600" s="35"/>
      <c r="AV1600" s="7"/>
      <c r="AW1600" s="7"/>
      <c r="AX1600" s="7"/>
      <c r="AY1600" s="7"/>
      <c r="AZ1600" s="7"/>
      <c r="BA1600" s="7"/>
      <c r="BB1600" s="7"/>
      <c r="BC1600" s="7"/>
      <c r="BF1600" s="7"/>
      <c r="BG1600" s="36"/>
      <c r="BH1600" s="36"/>
      <c r="BI1600" s="36"/>
      <c r="BJ1600" s="36"/>
      <c r="BK1600" s="36"/>
      <c r="BL1600" s="36"/>
      <c r="BM1600" s="36"/>
      <c r="BN1600" s="36"/>
      <c r="BO1600" s="36"/>
    </row>
    <row r="1601" spans="1:67" x14ac:dyDescent="0.25">
      <c r="A1601" s="39"/>
      <c r="B1601" s="40"/>
      <c r="U1601" s="36"/>
      <c r="V1601" s="36"/>
      <c r="W1601" s="35"/>
      <c r="X1601" s="7"/>
      <c r="Y1601" s="7"/>
      <c r="Z1601" s="7"/>
      <c r="AA1601" s="7"/>
      <c r="AB1601" s="7"/>
      <c r="AC1601" s="7"/>
      <c r="AD1601" s="7"/>
      <c r="AE1601" s="7"/>
      <c r="AG1601" s="36"/>
      <c r="AH1601" s="36"/>
      <c r="AI1601" s="35"/>
      <c r="AJ1601" s="7"/>
      <c r="AK1601" s="7"/>
      <c r="AL1601" s="7"/>
      <c r="AM1601" s="7"/>
      <c r="AN1601" s="7"/>
      <c r="AO1601" s="7"/>
      <c r="AP1601" s="7"/>
      <c r="AQ1601" s="7"/>
      <c r="AS1601" s="36"/>
      <c r="AT1601" s="36"/>
      <c r="AU1601" s="35"/>
      <c r="AV1601" s="7"/>
      <c r="AW1601" s="7"/>
      <c r="AX1601" s="7"/>
      <c r="AY1601" s="7"/>
      <c r="AZ1601" s="7"/>
      <c r="BA1601" s="7"/>
      <c r="BB1601" s="7"/>
      <c r="BC1601" s="7"/>
      <c r="BF1601" s="7"/>
      <c r="BG1601" s="36"/>
      <c r="BH1601" s="36"/>
      <c r="BI1601" s="36"/>
      <c r="BJ1601" s="36"/>
      <c r="BK1601" s="36"/>
      <c r="BL1601" s="36"/>
      <c r="BM1601" s="36"/>
      <c r="BN1601" s="36"/>
      <c r="BO1601" s="36"/>
    </row>
    <row r="1602" spans="1:67" x14ac:dyDescent="0.25">
      <c r="A1602" s="39"/>
      <c r="B1602" s="40"/>
      <c r="U1602" s="36"/>
      <c r="V1602" s="36"/>
      <c r="W1602" s="35"/>
      <c r="X1602" s="7"/>
      <c r="Y1602" s="7"/>
      <c r="Z1602" s="7"/>
      <c r="AA1602" s="7"/>
      <c r="AB1602" s="7"/>
      <c r="AC1602" s="7"/>
      <c r="AD1602" s="7"/>
      <c r="AE1602" s="7"/>
      <c r="AG1602" s="36"/>
      <c r="AH1602" s="36"/>
      <c r="AI1602" s="35"/>
      <c r="AJ1602" s="7"/>
      <c r="AK1602" s="7"/>
      <c r="AL1602" s="7"/>
      <c r="AM1602" s="7"/>
      <c r="AN1602" s="7"/>
      <c r="AO1602" s="7"/>
      <c r="AP1602" s="7"/>
      <c r="AQ1602" s="7"/>
      <c r="AS1602" s="36"/>
      <c r="AT1602" s="36"/>
      <c r="AU1602" s="35"/>
      <c r="AV1602" s="7"/>
      <c r="AW1602" s="7"/>
      <c r="AX1602" s="7"/>
      <c r="AY1602" s="7"/>
      <c r="AZ1602" s="7"/>
      <c r="BA1602" s="7"/>
      <c r="BB1602" s="7"/>
      <c r="BC1602" s="7"/>
      <c r="BF1602" s="7"/>
      <c r="BG1602" s="36"/>
      <c r="BH1602" s="36"/>
      <c r="BI1602" s="36"/>
      <c r="BJ1602" s="36"/>
      <c r="BK1602" s="36"/>
      <c r="BL1602" s="36"/>
      <c r="BM1602" s="36"/>
      <c r="BN1602" s="36"/>
      <c r="BO1602" s="36"/>
    </row>
    <row r="1603" spans="1:67" x14ac:dyDescent="0.25">
      <c r="A1603" s="39"/>
      <c r="B1603" s="40"/>
      <c r="U1603" s="36"/>
      <c r="V1603" s="36"/>
      <c r="W1603" s="35"/>
      <c r="X1603" s="7"/>
      <c r="Y1603" s="7"/>
      <c r="Z1603" s="7"/>
      <c r="AA1603" s="7"/>
      <c r="AB1603" s="7"/>
      <c r="AC1603" s="7"/>
      <c r="AD1603" s="7"/>
      <c r="AE1603" s="7"/>
      <c r="AG1603" s="36"/>
      <c r="AH1603" s="36"/>
      <c r="AI1603" s="35"/>
      <c r="AJ1603" s="7"/>
      <c r="AK1603" s="7"/>
      <c r="AL1603" s="7"/>
      <c r="AM1603" s="7"/>
      <c r="AN1603" s="7"/>
      <c r="AO1603" s="7"/>
      <c r="AP1603" s="7"/>
      <c r="AQ1603" s="7"/>
      <c r="AS1603" s="36"/>
      <c r="AT1603" s="36"/>
      <c r="AU1603" s="35"/>
      <c r="AV1603" s="7"/>
      <c r="AW1603" s="7"/>
      <c r="AX1603" s="7"/>
      <c r="AY1603" s="7"/>
      <c r="AZ1603" s="7"/>
      <c r="BA1603" s="7"/>
      <c r="BB1603" s="7"/>
      <c r="BC1603" s="7"/>
      <c r="BF1603" s="7"/>
      <c r="BG1603" s="36"/>
      <c r="BH1603" s="36"/>
      <c r="BI1603" s="36"/>
      <c r="BJ1603" s="36"/>
      <c r="BK1603" s="36"/>
      <c r="BL1603" s="36"/>
      <c r="BM1603" s="36"/>
      <c r="BN1603" s="36"/>
      <c r="BO1603" s="36"/>
    </row>
    <row r="1604" spans="1:67" x14ac:dyDescent="0.25">
      <c r="A1604" s="39"/>
      <c r="B1604" s="40"/>
      <c r="U1604" s="36"/>
      <c r="V1604" s="36"/>
      <c r="W1604" s="35"/>
      <c r="X1604" s="7"/>
      <c r="Y1604" s="7"/>
      <c r="Z1604" s="7"/>
      <c r="AA1604" s="7"/>
      <c r="AB1604" s="7"/>
      <c r="AC1604" s="7"/>
      <c r="AD1604" s="7"/>
      <c r="AE1604" s="7"/>
      <c r="AG1604" s="36"/>
      <c r="AH1604" s="36"/>
      <c r="AI1604" s="35"/>
      <c r="AJ1604" s="7"/>
      <c r="AK1604" s="7"/>
      <c r="AL1604" s="7"/>
      <c r="AM1604" s="7"/>
      <c r="AN1604" s="7"/>
      <c r="AO1604" s="7"/>
      <c r="AP1604" s="7"/>
      <c r="AQ1604" s="7"/>
      <c r="AS1604" s="36"/>
      <c r="AT1604" s="36"/>
      <c r="AU1604" s="35"/>
      <c r="AV1604" s="7"/>
      <c r="AW1604" s="7"/>
      <c r="AX1604" s="7"/>
      <c r="AY1604" s="7"/>
      <c r="AZ1604" s="7"/>
      <c r="BA1604" s="7"/>
      <c r="BB1604" s="7"/>
      <c r="BC1604" s="7"/>
      <c r="BF1604" s="7"/>
      <c r="BG1604" s="36"/>
      <c r="BH1604" s="36"/>
      <c r="BI1604" s="36"/>
      <c r="BJ1604" s="36"/>
      <c r="BK1604" s="36"/>
      <c r="BL1604" s="36"/>
      <c r="BM1604" s="36"/>
      <c r="BN1604" s="36"/>
      <c r="BO1604" s="36"/>
    </row>
    <row r="1605" spans="1:67" x14ac:dyDescent="0.25">
      <c r="A1605" s="39"/>
      <c r="B1605" s="40"/>
      <c r="U1605" s="36"/>
      <c r="V1605" s="36"/>
      <c r="W1605" s="35"/>
      <c r="X1605" s="7"/>
      <c r="Y1605" s="7"/>
      <c r="Z1605" s="7"/>
      <c r="AA1605" s="7"/>
      <c r="AB1605" s="7"/>
      <c r="AC1605" s="7"/>
      <c r="AD1605" s="7"/>
      <c r="AE1605" s="7"/>
      <c r="AG1605" s="36"/>
      <c r="AH1605" s="36"/>
      <c r="AI1605" s="35"/>
      <c r="AJ1605" s="7"/>
      <c r="AK1605" s="7"/>
      <c r="AL1605" s="7"/>
      <c r="AM1605" s="7"/>
      <c r="AN1605" s="7"/>
      <c r="AO1605" s="7"/>
      <c r="AP1605" s="7"/>
      <c r="AQ1605" s="7"/>
      <c r="AS1605" s="36"/>
      <c r="AT1605" s="36"/>
      <c r="AU1605" s="35"/>
      <c r="AV1605" s="7"/>
      <c r="AW1605" s="7"/>
      <c r="AX1605" s="7"/>
      <c r="AY1605" s="7"/>
      <c r="AZ1605" s="7"/>
      <c r="BA1605" s="7"/>
      <c r="BB1605" s="7"/>
      <c r="BC1605" s="7"/>
      <c r="BF1605" s="7"/>
      <c r="BG1605" s="36"/>
      <c r="BH1605" s="36"/>
      <c r="BI1605" s="36"/>
      <c r="BJ1605" s="36"/>
      <c r="BK1605" s="36"/>
      <c r="BL1605" s="36"/>
      <c r="BM1605" s="36"/>
      <c r="BN1605" s="36"/>
      <c r="BO1605" s="36"/>
    </row>
    <row r="1606" spans="1:67" x14ac:dyDescent="0.25">
      <c r="A1606" s="39"/>
      <c r="B1606" s="40"/>
      <c r="U1606" s="36"/>
      <c r="V1606" s="36"/>
      <c r="W1606" s="35"/>
      <c r="X1606" s="7"/>
      <c r="Y1606" s="7"/>
      <c r="Z1606" s="7"/>
      <c r="AA1606" s="7"/>
      <c r="AB1606" s="7"/>
      <c r="AC1606" s="7"/>
      <c r="AD1606" s="7"/>
      <c r="AE1606" s="7"/>
      <c r="AG1606" s="36"/>
      <c r="AH1606" s="36"/>
      <c r="AI1606" s="35"/>
      <c r="AJ1606" s="7"/>
      <c r="AK1606" s="7"/>
      <c r="AL1606" s="7"/>
      <c r="AM1606" s="7"/>
      <c r="AN1606" s="7"/>
      <c r="AO1606" s="7"/>
      <c r="AP1606" s="7"/>
      <c r="AQ1606" s="7"/>
      <c r="AS1606" s="36"/>
      <c r="AT1606" s="36"/>
      <c r="AU1606" s="35"/>
      <c r="AV1606" s="7"/>
      <c r="AW1606" s="7"/>
      <c r="AX1606" s="7"/>
      <c r="AY1606" s="7"/>
      <c r="AZ1606" s="7"/>
      <c r="BA1606" s="7"/>
      <c r="BB1606" s="7"/>
      <c r="BC1606" s="7"/>
      <c r="BF1606" s="7"/>
      <c r="BG1606" s="36"/>
      <c r="BH1606" s="36"/>
      <c r="BI1606" s="36"/>
      <c r="BJ1606" s="36"/>
      <c r="BK1606" s="36"/>
      <c r="BL1606" s="36"/>
      <c r="BM1606" s="36"/>
      <c r="BN1606" s="36"/>
      <c r="BO1606" s="36"/>
    </row>
    <row r="1607" spans="1:67" x14ac:dyDescent="0.25">
      <c r="A1607" s="39"/>
      <c r="B1607" s="40"/>
      <c r="U1607" s="36"/>
      <c r="V1607" s="36"/>
      <c r="W1607" s="35"/>
      <c r="X1607" s="7"/>
      <c r="Y1607" s="7"/>
      <c r="Z1607" s="7"/>
      <c r="AA1607" s="7"/>
      <c r="AB1607" s="7"/>
      <c r="AC1607" s="7"/>
      <c r="AD1607" s="7"/>
      <c r="AE1607" s="7"/>
      <c r="AG1607" s="36"/>
      <c r="AH1607" s="36"/>
      <c r="AI1607" s="35"/>
      <c r="AJ1607" s="7"/>
      <c r="AK1607" s="7"/>
      <c r="AL1607" s="7"/>
      <c r="AM1607" s="7"/>
      <c r="AN1607" s="7"/>
      <c r="AO1607" s="7"/>
      <c r="AP1607" s="7"/>
      <c r="AQ1607" s="7"/>
      <c r="AS1607" s="36"/>
      <c r="AT1607" s="36"/>
      <c r="AU1607" s="35"/>
      <c r="AV1607" s="7"/>
      <c r="AW1607" s="7"/>
      <c r="AX1607" s="7"/>
      <c r="AY1607" s="7"/>
      <c r="AZ1607" s="7"/>
      <c r="BA1607" s="7"/>
      <c r="BB1607" s="7"/>
      <c r="BC1607" s="7"/>
      <c r="BF1607" s="7"/>
      <c r="BG1607" s="36"/>
      <c r="BH1607" s="36"/>
      <c r="BI1607" s="36"/>
      <c r="BJ1607" s="36"/>
      <c r="BK1607" s="36"/>
      <c r="BL1607" s="36"/>
      <c r="BM1607" s="36"/>
      <c r="BN1607" s="36"/>
      <c r="BO1607" s="36"/>
    </row>
    <row r="1608" spans="1:67" x14ac:dyDescent="0.25">
      <c r="A1608" s="39"/>
      <c r="B1608" s="40"/>
      <c r="U1608" s="36"/>
      <c r="V1608" s="36"/>
      <c r="W1608" s="35"/>
      <c r="X1608" s="7"/>
      <c r="Y1608" s="7"/>
      <c r="Z1608" s="7"/>
      <c r="AA1608" s="7"/>
      <c r="AB1608" s="7"/>
      <c r="AC1608" s="7"/>
      <c r="AD1608" s="7"/>
      <c r="AE1608" s="7"/>
      <c r="AG1608" s="36"/>
      <c r="AH1608" s="36"/>
      <c r="AI1608" s="35"/>
      <c r="AJ1608" s="7"/>
      <c r="AK1608" s="7"/>
      <c r="AL1608" s="7"/>
      <c r="AM1608" s="7"/>
      <c r="AN1608" s="7"/>
      <c r="AO1608" s="7"/>
      <c r="AP1608" s="7"/>
      <c r="AQ1608" s="7"/>
      <c r="AS1608" s="36"/>
      <c r="AT1608" s="36"/>
      <c r="AU1608" s="35"/>
      <c r="AV1608" s="7"/>
      <c r="AW1608" s="7"/>
      <c r="AX1608" s="7"/>
      <c r="AY1608" s="7"/>
      <c r="AZ1608" s="7"/>
      <c r="BA1608" s="7"/>
      <c r="BB1608" s="7"/>
      <c r="BC1608" s="7"/>
      <c r="BF1608" s="7"/>
      <c r="BG1608" s="36"/>
      <c r="BH1608" s="36"/>
      <c r="BI1608" s="36"/>
      <c r="BJ1608" s="36"/>
      <c r="BK1608" s="36"/>
      <c r="BL1608" s="36"/>
      <c r="BM1608" s="36"/>
      <c r="BN1608" s="36"/>
      <c r="BO1608" s="36"/>
    </row>
    <row r="1609" spans="1:67" x14ac:dyDescent="0.25">
      <c r="A1609" s="39"/>
      <c r="B1609" s="40"/>
      <c r="U1609" s="36"/>
      <c r="V1609" s="36"/>
      <c r="W1609" s="35"/>
      <c r="X1609" s="7"/>
      <c r="Y1609" s="7"/>
      <c r="Z1609" s="7"/>
      <c r="AA1609" s="7"/>
      <c r="AB1609" s="7"/>
      <c r="AC1609" s="7"/>
      <c r="AD1609" s="7"/>
      <c r="AE1609" s="7"/>
      <c r="AG1609" s="36"/>
      <c r="AH1609" s="36"/>
      <c r="AI1609" s="35"/>
      <c r="AJ1609" s="7"/>
      <c r="AK1609" s="7"/>
      <c r="AL1609" s="7"/>
      <c r="AM1609" s="7"/>
      <c r="AN1609" s="7"/>
      <c r="AO1609" s="7"/>
      <c r="AP1609" s="7"/>
      <c r="AQ1609" s="7"/>
      <c r="AS1609" s="36"/>
      <c r="AT1609" s="36"/>
      <c r="AU1609" s="35"/>
      <c r="AV1609" s="7"/>
      <c r="AW1609" s="7"/>
      <c r="AX1609" s="7"/>
      <c r="AY1609" s="7"/>
      <c r="AZ1609" s="7"/>
      <c r="BA1609" s="7"/>
      <c r="BB1609" s="7"/>
      <c r="BC1609" s="7"/>
      <c r="BF1609" s="7"/>
      <c r="BG1609" s="36"/>
      <c r="BH1609" s="36"/>
      <c r="BI1609" s="36"/>
      <c r="BJ1609" s="36"/>
      <c r="BK1609" s="36"/>
      <c r="BL1609" s="36"/>
      <c r="BM1609" s="36"/>
      <c r="BN1609" s="36"/>
      <c r="BO1609" s="36"/>
    </row>
    <row r="1610" spans="1:67" x14ac:dyDescent="0.25">
      <c r="A1610" s="39"/>
      <c r="B1610" s="40"/>
      <c r="U1610" s="36"/>
      <c r="V1610" s="36"/>
      <c r="W1610" s="35"/>
      <c r="X1610" s="7"/>
      <c r="Y1610" s="7"/>
      <c r="Z1610" s="7"/>
      <c r="AA1610" s="7"/>
      <c r="AB1610" s="7"/>
      <c r="AC1610" s="7"/>
      <c r="AD1610" s="7"/>
      <c r="AE1610" s="7"/>
      <c r="AG1610" s="36"/>
      <c r="AH1610" s="36"/>
      <c r="AI1610" s="35"/>
      <c r="AJ1610" s="7"/>
      <c r="AK1610" s="7"/>
      <c r="AL1610" s="7"/>
      <c r="AM1610" s="7"/>
      <c r="AN1610" s="7"/>
      <c r="AO1610" s="7"/>
      <c r="AP1610" s="7"/>
      <c r="AQ1610" s="7"/>
      <c r="AS1610" s="36"/>
      <c r="AT1610" s="36"/>
      <c r="AU1610" s="35"/>
      <c r="AV1610" s="7"/>
      <c r="AW1610" s="7"/>
      <c r="AX1610" s="7"/>
      <c r="AY1610" s="7"/>
      <c r="AZ1610" s="7"/>
      <c r="BA1610" s="7"/>
      <c r="BB1610" s="7"/>
      <c r="BC1610" s="7"/>
      <c r="BF1610" s="7"/>
      <c r="BG1610" s="36"/>
      <c r="BH1610" s="36"/>
      <c r="BI1610" s="36"/>
      <c r="BJ1610" s="36"/>
      <c r="BK1610" s="36"/>
      <c r="BL1610" s="36"/>
      <c r="BM1610" s="36"/>
      <c r="BN1610" s="36"/>
      <c r="BO1610" s="36"/>
    </row>
    <row r="1611" spans="1:67" x14ac:dyDescent="0.25">
      <c r="A1611" s="39"/>
      <c r="B1611" s="40"/>
      <c r="U1611" s="36"/>
      <c r="V1611" s="36"/>
      <c r="W1611" s="35"/>
      <c r="X1611" s="7"/>
      <c r="Y1611" s="7"/>
      <c r="Z1611" s="7"/>
      <c r="AA1611" s="7"/>
      <c r="AB1611" s="7"/>
      <c r="AC1611" s="7"/>
      <c r="AD1611" s="7"/>
      <c r="AE1611" s="7"/>
      <c r="AG1611" s="36"/>
      <c r="AH1611" s="36"/>
      <c r="AI1611" s="35"/>
      <c r="AJ1611" s="7"/>
      <c r="AK1611" s="7"/>
      <c r="AL1611" s="7"/>
      <c r="AM1611" s="7"/>
      <c r="AN1611" s="7"/>
      <c r="AO1611" s="7"/>
      <c r="AP1611" s="7"/>
      <c r="AQ1611" s="7"/>
      <c r="AS1611" s="36"/>
      <c r="AT1611" s="36"/>
      <c r="AU1611" s="35"/>
      <c r="AV1611" s="7"/>
      <c r="AW1611" s="7"/>
      <c r="AX1611" s="7"/>
      <c r="AY1611" s="7"/>
      <c r="AZ1611" s="7"/>
      <c r="BA1611" s="7"/>
      <c r="BB1611" s="7"/>
      <c r="BC1611" s="7"/>
      <c r="BF1611" s="7"/>
      <c r="BG1611" s="36"/>
      <c r="BH1611" s="36"/>
      <c r="BI1611" s="36"/>
      <c r="BJ1611" s="36"/>
      <c r="BK1611" s="36"/>
      <c r="BL1611" s="36"/>
      <c r="BM1611" s="36"/>
      <c r="BN1611" s="36"/>
      <c r="BO1611" s="36"/>
    </row>
    <row r="1612" spans="1:67" x14ac:dyDescent="0.25">
      <c r="A1612" s="39"/>
      <c r="B1612" s="40"/>
      <c r="U1612" s="36"/>
      <c r="V1612" s="36"/>
      <c r="W1612" s="35"/>
      <c r="X1612" s="7"/>
      <c r="Y1612" s="7"/>
      <c r="Z1612" s="7"/>
      <c r="AA1612" s="7"/>
      <c r="AB1612" s="7"/>
      <c r="AC1612" s="7"/>
      <c r="AD1612" s="7"/>
      <c r="AE1612" s="7"/>
      <c r="AG1612" s="36"/>
      <c r="AH1612" s="36"/>
      <c r="AI1612" s="35"/>
      <c r="AJ1612" s="7"/>
      <c r="AK1612" s="7"/>
      <c r="AL1612" s="7"/>
      <c r="AM1612" s="7"/>
      <c r="AN1612" s="7"/>
      <c r="AO1612" s="7"/>
      <c r="AP1612" s="7"/>
      <c r="AQ1612" s="7"/>
      <c r="AS1612" s="36"/>
      <c r="AT1612" s="36"/>
      <c r="AU1612" s="35"/>
      <c r="AV1612" s="7"/>
      <c r="AW1612" s="7"/>
      <c r="AX1612" s="7"/>
      <c r="AY1612" s="7"/>
      <c r="AZ1612" s="7"/>
      <c r="BA1612" s="7"/>
      <c r="BB1612" s="7"/>
      <c r="BC1612" s="7"/>
      <c r="BF1612" s="7"/>
      <c r="BG1612" s="36"/>
      <c r="BH1612" s="36"/>
      <c r="BI1612" s="36"/>
      <c r="BJ1612" s="36"/>
      <c r="BK1612" s="36"/>
      <c r="BL1612" s="36"/>
      <c r="BM1612" s="36"/>
      <c r="BN1612" s="36"/>
      <c r="BO1612" s="36"/>
    </row>
    <row r="1613" spans="1:67" x14ac:dyDescent="0.25">
      <c r="A1613" s="39"/>
      <c r="B1613" s="40"/>
      <c r="U1613" s="36"/>
      <c r="V1613" s="36"/>
      <c r="W1613" s="35"/>
      <c r="X1613" s="7"/>
      <c r="Y1613" s="7"/>
      <c r="Z1613" s="7"/>
      <c r="AA1613" s="7"/>
      <c r="AB1613" s="7"/>
      <c r="AC1613" s="7"/>
      <c r="AD1613" s="7"/>
      <c r="AE1613" s="7"/>
      <c r="AG1613" s="36"/>
      <c r="AH1613" s="36"/>
      <c r="AI1613" s="35"/>
      <c r="AJ1613" s="7"/>
      <c r="AK1613" s="7"/>
      <c r="AL1613" s="7"/>
      <c r="AM1613" s="7"/>
      <c r="AN1613" s="7"/>
      <c r="AO1613" s="7"/>
      <c r="AP1613" s="7"/>
      <c r="AQ1613" s="7"/>
      <c r="AS1613" s="36"/>
      <c r="AT1613" s="36"/>
      <c r="AU1613" s="35"/>
      <c r="AV1613" s="7"/>
      <c r="AW1613" s="7"/>
      <c r="AX1613" s="7"/>
      <c r="AY1613" s="7"/>
      <c r="AZ1613" s="7"/>
      <c r="BA1613" s="7"/>
      <c r="BB1613" s="7"/>
      <c r="BC1613" s="7"/>
      <c r="BF1613" s="7"/>
      <c r="BG1613" s="36"/>
      <c r="BH1613" s="36"/>
      <c r="BI1613" s="36"/>
      <c r="BJ1613" s="36"/>
      <c r="BK1613" s="36"/>
      <c r="BL1613" s="36"/>
      <c r="BM1613" s="36"/>
      <c r="BN1613" s="36"/>
      <c r="BO1613" s="36"/>
    </row>
    <row r="1614" spans="1:67" x14ac:dyDescent="0.25">
      <c r="A1614" s="39"/>
      <c r="B1614" s="40"/>
      <c r="U1614" s="36"/>
      <c r="V1614" s="36"/>
      <c r="W1614" s="35"/>
      <c r="X1614" s="7"/>
      <c r="Y1614" s="7"/>
      <c r="Z1614" s="7"/>
      <c r="AA1614" s="7"/>
      <c r="AB1614" s="7"/>
      <c r="AC1614" s="7"/>
      <c r="AD1614" s="7"/>
      <c r="AE1614" s="7"/>
      <c r="AG1614" s="36"/>
      <c r="AH1614" s="36"/>
      <c r="AI1614" s="35"/>
      <c r="AJ1614" s="7"/>
      <c r="AK1614" s="7"/>
      <c r="AL1614" s="7"/>
      <c r="AM1614" s="7"/>
      <c r="AN1614" s="7"/>
      <c r="AO1614" s="7"/>
      <c r="AP1614" s="7"/>
      <c r="AQ1614" s="7"/>
      <c r="AS1614" s="36"/>
      <c r="AT1614" s="36"/>
      <c r="AU1614" s="35"/>
      <c r="AV1614" s="7"/>
      <c r="AW1614" s="7"/>
      <c r="AX1614" s="7"/>
      <c r="AY1614" s="7"/>
      <c r="AZ1614" s="7"/>
      <c r="BA1614" s="7"/>
      <c r="BB1614" s="7"/>
      <c r="BC1614" s="7"/>
      <c r="BF1614" s="7"/>
      <c r="BG1614" s="36"/>
      <c r="BH1614" s="36"/>
      <c r="BI1614" s="36"/>
      <c r="BJ1614" s="36"/>
      <c r="BK1614" s="36"/>
      <c r="BL1614" s="36"/>
      <c r="BM1614" s="36"/>
      <c r="BN1614" s="36"/>
      <c r="BO1614" s="36"/>
    </row>
    <row r="1615" spans="1:67" x14ac:dyDescent="0.25">
      <c r="A1615" s="39"/>
      <c r="B1615" s="40"/>
      <c r="U1615" s="36"/>
      <c r="V1615" s="36"/>
      <c r="W1615" s="35"/>
      <c r="X1615" s="7"/>
      <c r="Y1615" s="7"/>
      <c r="Z1615" s="7"/>
      <c r="AA1615" s="7"/>
      <c r="AB1615" s="7"/>
      <c r="AC1615" s="7"/>
      <c r="AD1615" s="7"/>
      <c r="AE1615" s="7"/>
      <c r="AG1615" s="36"/>
      <c r="AH1615" s="36"/>
      <c r="AI1615" s="35"/>
      <c r="AJ1615" s="7"/>
      <c r="AK1615" s="7"/>
      <c r="AL1615" s="7"/>
      <c r="AM1615" s="7"/>
      <c r="AN1615" s="7"/>
      <c r="AO1615" s="7"/>
      <c r="AP1615" s="7"/>
      <c r="AQ1615" s="7"/>
      <c r="AS1615" s="36"/>
      <c r="AT1615" s="36"/>
      <c r="AU1615" s="35"/>
      <c r="AV1615" s="7"/>
      <c r="AW1615" s="7"/>
      <c r="AX1615" s="7"/>
      <c r="AY1615" s="7"/>
      <c r="AZ1615" s="7"/>
      <c r="BA1615" s="7"/>
      <c r="BB1615" s="7"/>
      <c r="BC1615" s="7"/>
      <c r="BF1615" s="7"/>
      <c r="BG1615" s="36"/>
      <c r="BH1615" s="36"/>
      <c r="BI1615" s="36"/>
      <c r="BJ1615" s="36"/>
      <c r="BK1615" s="36"/>
      <c r="BL1615" s="36"/>
      <c r="BM1615" s="36"/>
      <c r="BN1615" s="36"/>
      <c r="BO1615" s="36"/>
    </row>
    <row r="1616" spans="1:67" x14ac:dyDescent="0.25">
      <c r="A1616" s="39"/>
      <c r="B1616" s="40"/>
      <c r="U1616" s="36"/>
      <c r="V1616" s="36"/>
      <c r="W1616" s="35"/>
      <c r="X1616" s="7"/>
      <c r="Y1616" s="7"/>
      <c r="Z1616" s="7"/>
      <c r="AA1616" s="7"/>
      <c r="AB1616" s="7"/>
      <c r="AC1616" s="7"/>
      <c r="AD1616" s="7"/>
      <c r="AE1616" s="7"/>
      <c r="AG1616" s="36"/>
      <c r="AH1616" s="36"/>
      <c r="AI1616" s="35"/>
      <c r="AJ1616" s="7"/>
      <c r="AK1616" s="7"/>
      <c r="AL1616" s="7"/>
      <c r="AM1616" s="7"/>
      <c r="AN1616" s="7"/>
      <c r="AO1616" s="7"/>
      <c r="AP1616" s="7"/>
      <c r="AQ1616" s="7"/>
      <c r="AS1616" s="36"/>
      <c r="AT1616" s="36"/>
      <c r="AU1616" s="35"/>
      <c r="AV1616" s="7"/>
      <c r="AW1616" s="7"/>
      <c r="AX1616" s="7"/>
      <c r="AY1616" s="7"/>
      <c r="AZ1616" s="7"/>
      <c r="BA1616" s="7"/>
      <c r="BB1616" s="7"/>
      <c r="BC1616" s="7"/>
      <c r="BF1616" s="7"/>
      <c r="BG1616" s="36"/>
      <c r="BH1616" s="36"/>
      <c r="BI1616" s="36"/>
      <c r="BJ1616" s="36"/>
      <c r="BK1616" s="36"/>
      <c r="BL1616" s="36"/>
      <c r="BM1616" s="36"/>
      <c r="BN1616" s="36"/>
      <c r="BO1616" s="36"/>
    </row>
    <row r="1617" spans="1:67" x14ac:dyDescent="0.25">
      <c r="A1617" s="39"/>
      <c r="B1617" s="40"/>
      <c r="U1617" s="36"/>
      <c r="V1617" s="36"/>
      <c r="W1617" s="35"/>
      <c r="X1617" s="7"/>
      <c r="Y1617" s="7"/>
      <c r="Z1617" s="7"/>
      <c r="AA1617" s="7"/>
      <c r="AB1617" s="7"/>
      <c r="AC1617" s="7"/>
      <c r="AD1617" s="7"/>
      <c r="AE1617" s="7"/>
      <c r="AG1617" s="36"/>
      <c r="AH1617" s="36"/>
      <c r="AI1617" s="35"/>
      <c r="AJ1617" s="7"/>
      <c r="AK1617" s="7"/>
      <c r="AL1617" s="7"/>
      <c r="AM1617" s="7"/>
      <c r="AN1617" s="7"/>
      <c r="AO1617" s="7"/>
      <c r="AP1617" s="7"/>
      <c r="AQ1617" s="7"/>
      <c r="AS1617" s="36"/>
      <c r="AT1617" s="36"/>
      <c r="AU1617" s="35"/>
      <c r="AV1617" s="7"/>
      <c r="AW1617" s="7"/>
      <c r="AX1617" s="7"/>
      <c r="AY1617" s="7"/>
      <c r="AZ1617" s="7"/>
      <c r="BA1617" s="7"/>
      <c r="BB1617" s="7"/>
      <c r="BC1617" s="7"/>
      <c r="BF1617" s="7"/>
      <c r="BG1617" s="36"/>
      <c r="BH1617" s="36"/>
      <c r="BI1617" s="36"/>
      <c r="BJ1617" s="36"/>
      <c r="BK1617" s="36"/>
      <c r="BL1617" s="36"/>
      <c r="BM1617" s="36"/>
      <c r="BN1617" s="36"/>
      <c r="BO1617" s="36"/>
    </row>
    <row r="1618" spans="1:67" x14ac:dyDescent="0.25">
      <c r="A1618" s="39"/>
      <c r="B1618" s="40"/>
      <c r="U1618" s="36"/>
      <c r="V1618" s="36"/>
      <c r="W1618" s="35"/>
      <c r="X1618" s="7"/>
      <c r="Y1618" s="7"/>
      <c r="Z1618" s="7"/>
      <c r="AA1618" s="7"/>
      <c r="AB1618" s="7"/>
      <c r="AC1618" s="7"/>
      <c r="AD1618" s="7"/>
      <c r="AE1618" s="7"/>
      <c r="AG1618" s="36"/>
      <c r="AH1618" s="36"/>
      <c r="AI1618" s="35"/>
      <c r="AJ1618" s="7"/>
      <c r="AK1618" s="7"/>
      <c r="AL1618" s="7"/>
      <c r="AM1618" s="7"/>
      <c r="AN1618" s="7"/>
      <c r="AO1618" s="7"/>
      <c r="AP1618" s="7"/>
      <c r="AQ1618" s="7"/>
      <c r="AS1618" s="36"/>
      <c r="AT1618" s="36"/>
      <c r="AU1618" s="35"/>
      <c r="AV1618" s="7"/>
      <c r="AW1618" s="7"/>
      <c r="AX1618" s="7"/>
      <c r="AY1618" s="7"/>
      <c r="AZ1618" s="7"/>
      <c r="BA1618" s="7"/>
      <c r="BB1618" s="7"/>
      <c r="BC1618" s="7"/>
      <c r="BF1618" s="7"/>
      <c r="BG1618" s="36"/>
      <c r="BH1618" s="36"/>
      <c r="BI1618" s="36"/>
      <c r="BJ1618" s="36"/>
      <c r="BK1618" s="36"/>
      <c r="BL1618" s="36"/>
      <c r="BM1618" s="36"/>
      <c r="BN1618" s="36"/>
      <c r="BO1618" s="36"/>
    </row>
    <row r="1619" spans="1:67" x14ac:dyDescent="0.25">
      <c r="A1619" s="39"/>
      <c r="B1619" s="40"/>
      <c r="U1619" s="36"/>
      <c r="V1619" s="36"/>
      <c r="W1619" s="35"/>
      <c r="X1619" s="7"/>
      <c r="Y1619" s="7"/>
      <c r="Z1619" s="7"/>
      <c r="AA1619" s="7"/>
      <c r="AB1619" s="7"/>
      <c r="AC1619" s="7"/>
      <c r="AD1619" s="7"/>
      <c r="AE1619" s="7"/>
      <c r="AG1619" s="36"/>
      <c r="AH1619" s="36"/>
      <c r="AI1619" s="35"/>
      <c r="AJ1619" s="7"/>
      <c r="AK1619" s="7"/>
      <c r="AL1619" s="7"/>
      <c r="AM1619" s="7"/>
      <c r="AN1619" s="7"/>
      <c r="AO1619" s="7"/>
      <c r="AP1619" s="7"/>
      <c r="AQ1619" s="7"/>
      <c r="AS1619" s="36"/>
      <c r="AT1619" s="36"/>
      <c r="AU1619" s="35"/>
      <c r="AV1619" s="7"/>
      <c r="AW1619" s="7"/>
      <c r="AX1619" s="7"/>
      <c r="AY1619" s="7"/>
      <c r="AZ1619" s="7"/>
      <c r="BA1619" s="7"/>
      <c r="BB1619" s="7"/>
      <c r="BC1619" s="7"/>
      <c r="BF1619" s="7"/>
      <c r="BG1619" s="36"/>
      <c r="BH1619" s="36"/>
      <c r="BI1619" s="36"/>
      <c r="BJ1619" s="36"/>
      <c r="BK1619" s="36"/>
      <c r="BL1619" s="36"/>
      <c r="BM1619" s="36"/>
      <c r="BN1619" s="36"/>
      <c r="BO1619" s="36"/>
    </row>
    <row r="1620" spans="1:67" x14ac:dyDescent="0.25">
      <c r="A1620" s="39"/>
      <c r="B1620" s="40"/>
      <c r="U1620" s="36"/>
      <c r="V1620" s="36"/>
      <c r="W1620" s="35"/>
      <c r="X1620" s="7"/>
      <c r="Y1620" s="7"/>
      <c r="Z1620" s="7"/>
      <c r="AA1620" s="7"/>
      <c r="AB1620" s="7"/>
      <c r="AC1620" s="7"/>
      <c r="AD1620" s="7"/>
      <c r="AE1620" s="7"/>
      <c r="AG1620" s="36"/>
      <c r="AH1620" s="36"/>
      <c r="AI1620" s="35"/>
      <c r="AJ1620" s="7"/>
      <c r="AK1620" s="7"/>
      <c r="AL1620" s="7"/>
      <c r="AM1620" s="7"/>
      <c r="AN1620" s="7"/>
      <c r="AO1620" s="7"/>
      <c r="AP1620" s="7"/>
      <c r="AQ1620" s="7"/>
      <c r="AS1620" s="36"/>
      <c r="AT1620" s="36"/>
      <c r="AU1620" s="35"/>
      <c r="AV1620" s="7"/>
      <c r="AW1620" s="7"/>
      <c r="AX1620" s="7"/>
      <c r="AY1620" s="7"/>
      <c r="AZ1620" s="7"/>
      <c r="BA1620" s="7"/>
      <c r="BB1620" s="7"/>
      <c r="BC1620" s="7"/>
      <c r="BF1620" s="7"/>
      <c r="BG1620" s="36"/>
      <c r="BH1620" s="36"/>
      <c r="BI1620" s="36"/>
      <c r="BJ1620" s="36"/>
      <c r="BK1620" s="36"/>
      <c r="BL1620" s="36"/>
      <c r="BM1620" s="36"/>
      <c r="BN1620" s="36"/>
      <c r="BO1620" s="36"/>
    </row>
    <row r="1621" spans="1:67" x14ac:dyDescent="0.25">
      <c r="A1621" s="39"/>
      <c r="B1621" s="40"/>
      <c r="U1621" s="36"/>
      <c r="V1621" s="36"/>
      <c r="W1621" s="35"/>
      <c r="X1621" s="7"/>
      <c r="Y1621" s="7"/>
      <c r="Z1621" s="7"/>
      <c r="AA1621" s="7"/>
      <c r="AB1621" s="7"/>
      <c r="AC1621" s="7"/>
      <c r="AD1621" s="7"/>
      <c r="AE1621" s="7"/>
      <c r="AG1621" s="36"/>
      <c r="AH1621" s="36"/>
      <c r="AI1621" s="35"/>
      <c r="AJ1621" s="7"/>
      <c r="AK1621" s="7"/>
      <c r="AL1621" s="7"/>
      <c r="AM1621" s="7"/>
      <c r="AN1621" s="7"/>
      <c r="AO1621" s="7"/>
      <c r="AP1621" s="7"/>
      <c r="AQ1621" s="7"/>
      <c r="AS1621" s="36"/>
      <c r="AT1621" s="36"/>
      <c r="AU1621" s="35"/>
      <c r="AV1621" s="7"/>
      <c r="AW1621" s="7"/>
      <c r="AX1621" s="7"/>
      <c r="AY1621" s="7"/>
      <c r="AZ1621" s="7"/>
      <c r="BA1621" s="7"/>
      <c r="BB1621" s="7"/>
      <c r="BC1621" s="7"/>
      <c r="BF1621" s="7"/>
      <c r="BG1621" s="36"/>
      <c r="BH1621" s="36"/>
      <c r="BI1621" s="36"/>
      <c r="BJ1621" s="36"/>
      <c r="BK1621" s="36"/>
      <c r="BL1621" s="36"/>
      <c r="BM1621" s="36"/>
      <c r="BN1621" s="36"/>
      <c r="BO1621" s="36"/>
    </row>
    <row r="1622" spans="1:67" x14ac:dyDescent="0.25">
      <c r="A1622" s="39"/>
      <c r="B1622" s="40"/>
      <c r="U1622" s="36"/>
      <c r="V1622" s="36"/>
      <c r="W1622" s="35"/>
      <c r="X1622" s="7"/>
      <c r="Y1622" s="7"/>
      <c r="Z1622" s="7"/>
      <c r="AA1622" s="7"/>
      <c r="AB1622" s="7"/>
      <c r="AC1622" s="7"/>
      <c r="AD1622" s="7"/>
      <c r="AE1622" s="7"/>
      <c r="AG1622" s="36"/>
      <c r="AH1622" s="36"/>
      <c r="AI1622" s="35"/>
      <c r="AJ1622" s="7"/>
      <c r="AK1622" s="7"/>
      <c r="AL1622" s="7"/>
      <c r="AM1622" s="7"/>
      <c r="AN1622" s="7"/>
      <c r="AO1622" s="7"/>
      <c r="AP1622" s="7"/>
      <c r="AQ1622" s="7"/>
      <c r="AS1622" s="36"/>
      <c r="AT1622" s="36"/>
      <c r="AU1622" s="35"/>
      <c r="AV1622" s="7"/>
      <c r="AW1622" s="7"/>
      <c r="AX1622" s="7"/>
      <c r="AY1622" s="7"/>
      <c r="AZ1622" s="7"/>
      <c r="BA1622" s="7"/>
      <c r="BB1622" s="7"/>
      <c r="BC1622" s="7"/>
      <c r="BF1622" s="7"/>
      <c r="BG1622" s="36"/>
      <c r="BH1622" s="36"/>
      <c r="BI1622" s="36"/>
      <c r="BJ1622" s="36"/>
      <c r="BK1622" s="36"/>
      <c r="BL1622" s="36"/>
      <c r="BM1622" s="36"/>
      <c r="BN1622" s="36"/>
      <c r="BO1622" s="36"/>
    </row>
    <row r="1623" spans="1:67" x14ac:dyDescent="0.25">
      <c r="A1623" s="39"/>
      <c r="B1623" s="40"/>
      <c r="U1623" s="36"/>
      <c r="V1623" s="36"/>
      <c r="W1623" s="35"/>
      <c r="X1623" s="7"/>
      <c r="Y1623" s="7"/>
      <c r="Z1623" s="7"/>
      <c r="AA1623" s="7"/>
      <c r="AB1623" s="7"/>
      <c r="AC1623" s="7"/>
      <c r="AD1623" s="7"/>
      <c r="AE1623" s="7"/>
      <c r="AG1623" s="36"/>
      <c r="AH1623" s="36"/>
      <c r="AI1623" s="35"/>
      <c r="AJ1623" s="7"/>
      <c r="AK1623" s="7"/>
      <c r="AL1623" s="7"/>
      <c r="AM1623" s="7"/>
      <c r="AN1623" s="7"/>
      <c r="AO1623" s="7"/>
      <c r="AP1623" s="7"/>
      <c r="AQ1623" s="7"/>
      <c r="AS1623" s="36"/>
      <c r="AT1623" s="36"/>
      <c r="AU1623" s="35"/>
      <c r="AV1623" s="7"/>
      <c r="AW1623" s="7"/>
      <c r="AX1623" s="7"/>
      <c r="AY1623" s="7"/>
      <c r="AZ1623" s="7"/>
      <c r="BA1623" s="7"/>
      <c r="BB1623" s="7"/>
      <c r="BC1623" s="7"/>
      <c r="BF1623" s="7"/>
      <c r="BG1623" s="36"/>
      <c r="BH1623" s="36"/>
      <c r="BI1623" s="36"/>
      <c r="BJ1623" s="36"/>
      <c r="BK1623" s="36"/>
      <c r="BL1623" s="36"/>
      <c r="BM1623" s="36"/>
      <c r="BN1623" s="36"/>
      <c r="BO1623" s="36"/>
    </row>
    <row r="1624" spans="1:67" x14ac:dyDescent="0.25">
      <c r="A1624" s="39"/>
      <c r="B1624" s="40"/>
      <c r="U1624" s="36"/>
      <c r="V1624" s="36"/>
      <c r="W1624" s="35"/>
      <c r="X1624" s="7"/>
      <c r="Y1624" s="7"/>
      <c r="Z1624" s="7"/>
      <c r="AA1624" s="7"/>
      <c r="AB1624" s="7"/>
      <c r="AC1624" s="7"/>
      <c r="AD1624" s="7"/>
      <c r="AE1624" s="7"/>
      <c r="AG1624" s="36"/>
      <c r="AH1624" s="36"/>
      <c r="AI1624" s="35"/>
      <c r="AJ1624" s="7"/>
      <c r="AK1624" s="7"/>
      <c r="AL1624" s="7"/>
      <c r="AM1624" s="7"/>
      <c r="AN1624" s="7"/>
      <c r="AO1624" s="7"/>
      <c r="AP1624" s="7"/>
      <c r="AQ1624" s="7"/>
      <c r="AS1624" s="36"/>
      <c r="AT1624" s="36"/>
      <c r="AU1624" s="35"/>
      <c r="AV1624" s="7"/>
      <c r="AW1624" s="7"/>
      <c r="AX1624" s="7"/>
      <c r="AY1624" s="7"/>
      <c r="AZ1624" s="7"/>
      <c r="BA1624" s="7"/>
      <c r="BB1624" s="7"/>
      <c r="BC1624" s="7"/>
      <c r="BF1624" s="7"/>
      <c r="BG1624" s="36"/>
      <c r="BH1624" s="36"/>
      <c r="BI1624" s="36"/>
      <c r="BJ1624" s="36"/>
      <c r="BK1624" s="36"/>
      <c r="BL1624" s="36"/>
      <c r="BM1624" s="36"/>
      <c r="BN1624" s="36"/>
      <c r="BO1624" s="36"/>
    </row>
    <row r="1625" spans="1:67" x14ac:dyDescent="0.25">
      <c r="A1625" s="39"/>
      <c r="B1625" s="40"/>
      <c r="U1625" s="36"/>
      <c r="V1625" s="36"/>
      <c r="W1625" s="35"/>
      <c r="X1625" s="7"/>
      <c r="Y1625" s="7"/>
      <c r="Z1625" s="7"/>
      <c r="AA1625" s="7"/>
      <c r="AB1625" s="7"/>
      <c r="AC1625" s="7"/>
      <c r="AD1625" s="7"/>
      <c r="AE1625" s="7"/>
      <c r="AG1625" s="36"/>
      <c r="AH1625" s="36"/>
      <c r="AI1625" s="35"/>
      <c r="AJ1625" s="7"/>
      <c r="AK1625" s="7"/>
      <c r="AL1625" s="7"/>
      <c r="AM1625" s="7"/>
      <c r="AN1625" s="7"/>
      <c r="AO1625" s="7"/>
      <c r="AP1625" s="7"/>
      <c r="AQ1625" s="7"/>
      <c r="AS1625" s="36"/>
      <c r="AT1625" s="36"/>
      <c r="AU1625" s="35"/>
      <c r="AV1625" s="7"/>
      <c r="AW1625" s="7"/>
      <c r="AX1625" s="7"/>
      <c r="AY1625" s="7"/>
      <c r="AZ1625" s="7"/>
      <c r="BA1625" s="7"/>
      <c r="BB1625" s="7"/>
      <c r="BC1625" s="7"/>
      <c r="BF1625" s="7"/>
      <c r="BG1625" s="36"/>
      <c r="BH1625" s="36"/>
      <c r="BI1625" s="36"/>
      <c r="BJ1625" s="36"/>
      <c r="BK1625" s="36"/>
      <c r="BL1625" s="36"/>
      <c r="BM1625" s="36"/>
      <c r="BN1625" s="36"/>
      <c r="BO1625" s="36"/>
    </row>
    <row r="1626" spans="1:67" x14ac:dyDescent="0.25">
      <c r="A1626" s="39"/>
      <c r="B1626" s="40"/>
      <c r="U1626" s="36"/>
      <c r="V1626" s="36"/>
      <c r="W1626" s="35"/>
      <c r="X1626" s="7"/>
      <c r="Y1626" s="7"/>
      <c r="Z1626" s="7"/>
      <c r="AA1626" s="7"/>
      <c r="AB1626" s="7"/>
      <c r="AC1626" s="7"/>
      <c r="AD1626" s="7"/>
      <c r="AE1626" s="7"/>
      <c r="AG1626" s="36"/>
      <c r="AH1626" s="36"/>
      <c r="AI1626" s="35"/>
      <c r="AJ1626" s="7"/>
      <c r="AK1626" s="7"/>
      <c r="AL1626" s="7"/>
      <c r="AM1626" s="7"/>
      <c r="AN1626" s="7"/>
      <c r="AO1626" s="7"/>
      <c r="AP1626" s="7"/>
      <c r="AQ1626" s="7"/>
      <c r="AS1626" s="36"/>
      <c r="AT1626" s="36"/>
      <c r="AU1626" s="35"/>
      <c r="AV1626" s="7"/>
      <c r="AW1626" s="7"/>
      <c r="AX1626" s="7"/>
      <c r="AY1626" s="7"/>
      <c r="AZ1626" s="7"/>
      <c r="BA1626" s="7"/>
      <c r="BB1626" s="7"/>
      <c r="BC1626" s="7"/>
      <c r="BF1626" s="7"/>
      <c r="BG1626" s="36"/>
      <c r="BH1626" s="36"/>
      <c r="BI1626" s="36"/>
      <c r="BJ1626" s="36"/>
      <c r="BK1626" s="36"/>
      <c r="BL1626" s="36"/>
      <c r="BM1626" s="36"/>
      <c r="BN1626" s="36"/>
      <c r="BO1626" s="36"/>
    </row>
    <row r="1627" spans="1:67" x14ac:dyDescent="0.25">
      <c r="A1627" s="39"/>
      <c r="B1627" s="40"/>
      <c r="U1627" s="36"/>
      <c r="V1627" s="36"/>
      <c r="W1627" s="35"/>
      <c r="X1627" s="7"/>
      <c r="Y1627" s="7"/>
      <c r="Z1627" s="7"/>
      <c r="AA1627" s="7"/>
      <c r="AB1627" s="7"/>
      <c r="AC1627" s="7"/>
      <c r="AD1627" s="7"/>
      <c r="AE1627" s="7"/>
      <c r="AG1627" s="36"/>
      <c r="AH1627" s="36"/>
      <c r="AI1627" s="35"/>
      <c r="AJ1627" s="7"/>
      <c r="AK1627" s="7"/>
      <c r="AL1627" s="7"/>
      <c r="AM1627" s="7"/>
      <c r="AN1627" s="7"/>
      <c r="AO1627" s="7"/>
      <c r="AP1627" s="7"/>
      <c r="AQ1627" s="7"/>
      <c r="AS1627" s="36"/>
      <c r="AT1627" s="36"/>
      <c r="AU1627" s="35"/>
      <c r="AV1627" s="7"/>
      <c r="AW1627" s="7"/>
      <c r="AX1627" s="7"/>
      <c r="AY1627" s="7"/>
      <c r="AZ1627" s="7"/>
      <c r="BA1627" s="7"/>
      <c r="BB1627" s="7"/>
      <c r="BC1627" s="7"/>
      <c r="BF1627" s="7"/>
      <c r="BG1627" s="36"/>
      <c r="BH1627" s="36"/>
      <c r="BI1627" s="36"/>
      <c r="BJ1627" s="36"/>
      <c r="BK1627" s="36"/>
      <c r="BL1627" s="36"/>
      <c r="BM1627" s="36"/>
      <c r="BN1627" s="36"/>
      <c r="BO1627" s="36"/>
    </row>
    <row r="1628" spans="1:67" x14ac:dyDescent="0.25">
      <c r="A1628" s="39"/>
      <c r="B1628" s="40"/>
      <c r="U1628" s="36"/>
      <c r="V1628" s="36"/>
      <c r="W1628" s="35"/>
      <c r="X1628" s="7"/>
      <c r="Y1628" s="7"/>
      <c r="Z1628" s="7"/>
      <c r="AA1628" s="7"/>
      <c r="AB1628" s="7"/>
      <c r="AC1628" s="7"/>
      <c r="AD1628" s="7"/>
      <c r="AE1628" s="7"/>
      <c r="AG1628" s="36"/>
      <c r="AH1628" s="36"/>
      <c r="AI1628" s="35"/>
      <c r="AJ1628" s="7"/>
      <c r="AK1628" s="7"/>
      <c r="AL1628" s="7"/>
      <c r="AM1628" s="7"/>
      <c r="AN1628" s="7"/>
      <c r="AO1628" s="7"/>
      <c r="AP1628" s="7"/>
      <c r="AQ1628" s="7"/>
      <c r="AS1628" s="36"/>
      <c r="AT1628" s="36"/>
      <c r="AU1628" s="35"/>
      <c r="AV1628" s="7"/>
      <c r="AW1628" s="7"/>
      <c r="AX1628" s="7"/>
      <c r="AY1628" s="7"/>
      <c r="AZ1628" s="7"/>
      <c r="BA1628" s="7"/>
      <c r="BB1628" s="7"/>
      <c r="BC1628" s="7"/>
      <c r="BF1628" s="7"/>
      <c r="BG1628" s="36"/>
      <c r="BH1628" s="36"/>
      <c r="BI1628" s="36"/>
      <c r="BJ1628" s="36"/>
      <c r="BK1628" s="36"/>
      <c r="BL1628" s="36"/>
      <c r="BM1628" s="36"/>
      <c r="BN1628" s="36"/>
      <c r="BO1628" s="36"/>
    </row>
    <row r="1629" spans="1:67" x14ac:dyDescent="0.25">
      <c r="A1629" s="39"/>
      <c r="B1629" s="40"/>
      <c r="U1629" s="36"/>
      <c r="V1629" s="36"/>
      <c r="W1629" s="35"/>
      <c r="X1629" s="7"/>
      <c r="Y1629" s="7"/>
      <c r="Z1629" s="7"/>
      <c r="AA1629" s="7"/>
      <c r="AB1629" s="7"/>
      <c r="AC1629" s="7"/>
      <c r="AD1629" s="7"/>
      <c r="AE1629" s="7"/>
      <c r="AG1629" s="36"/>
      <c r="AH1629" s="36"/>
      <c r="AI1629" s="35"/>
      <c r="AJ1629" s="7"/>
      <c r="AK1629" s="7"/>
      <c r="AL1629" s="7"/>
      <c r="AM1629" s="7"/>
      <c r="AN1629" s="7"/>
      <c r="AO1629" s="7"/>
      <c r="AP1629" s="7"/>
      <c r="AQ1629" s="7"/>
      <c r="AS1629" s="36"/>
      <c r="AT1629" s="36"/>
      <c r="AU1629" s="35"/>
      <c r="AV1629" s="7"/>
      <c r="AW1629" s="7"/>
      <c r="AX1629" s="7"/>
      <c r="AY1629" s="7"/>
      <c r="AZ1629" s="7"/>
      <c r="BA1629" s="7"/>
      <c r="BB1629" s="7"/>
      <c r="BC1629" s="7"/>
      <c r="BF1629" s="7"/>
      <c r="BG1629" s="36"/>
      <c r="BH1629" s="36"/>
      <c r="BI1629" s="36"/>
      <c r="BJ1629" s="36"/>
      <c r="BK1629" s="36"/>
      <c r="BL1629" s="36"/>
      <c r="BM1629" s="36"/>
      <c r="BN1629" s="36"/>
      <c r="BO1629" s="36"/>
    </row>
    <row r="1630" spans="1:67" x14ac:dyDescent="0.25">
      <c r="A1630" s="39"/>
      <c r="B1630" s="40"/>
      <c r="U1630" s="36"/>
      <c r="V1630" s="36"/>
      <c r="W1630" s="35"/>
      <c r="X1630" s="7"/>
      <c r="Y1630" s="7"/>
      <c r="Z1630" s="7"/>
      <c r="AA1630" s="7"/>
      <c r="AB1630" s="7"/>
      <c r="AC1630" s="7"/>
      <c r="AD1630" s="7"/>
      <c r="AE1630" s="7"/>
      <c r="AG1630" s="36"/>
      <c r="AH1630" s="36"/>
      <c r="AI1630" s="35"/>
      <c r="AJ1630" s="7"/>
      <c r="AK1630" s="7"/>
      <c r="AL1630" s="7"/>
      <c r="AM1630" s="7"/>
      <c r="AN1630" s="7"/>
      <c r="AO1630" s="7"/>
      <c r="AP1630" s="7"/>
      <c r="AQ1630" s="7"/>
      <c r="AS1630" s="36"/>
      <c r="AT1630" s="36"/>
      <c r="AU1630" s="35"/>
      <c r="AV1630" s="7"/>
      <c r="AW1630" s="7"/>
      <c r="AX1630" s="7"/>
      <c r="AY1630" s="7"/>
      <c r="AZ1630" s="7"/>
      <c r="BA1630" s="7"/>
      <c r="BB1630" s="7"/>
      <c r="BC1630" s="7"/>
      <c r="BF1630" s="7"/>
      <c r="BG1630" s="36"/>
      <c r="BH1630" s="36"/>
      <c r="BI1630" s="36"/>
      <c r="BJ1630" s="36"/>
      <c r="BK1630" s="36"/>
      <c r="BL1630" s="36"/>
      <c r="BM1630" s="36"/>
      <c r="BN1630" s="36"/>
      <c r="BO1630" s="36"/>
    </row>
    <row r="1631" spans="1:67" x14ac:dyDescent="0.25">
      <c r="A1631" s="39"/>
      <c r="B1631" s="40"/>
      <c r="U1631" s="36"/>
      <c r="V1631" s="36"/>
      <c r="W1631" s="35"/>
      <c r="X1631" s="7"/>
      <c r="Y1631" s="7"/>
      <c r="Z1631" s="7"/>
      <c r="AA1631" s="7"/>
      <c r="AB1631" s="7"/>
      <c r="AC1631" s="7"/>
      <c r="AD1631" s="7"/>
      <c r="AE1631" s="7"/>
      <c r="AG1631" s="36"/>
      <c r="AH1631" s="36"/>
      <c r="AI1631" s="35"/>
      <c r="AJ1631" s="7"/>
      <c r="AK1631" s="7"/>
      <c r="AL1631" s="7"/>
      <c r="AM1631" s="7"/>
      <c r="AN1631" s="7"/>
      <c r="AO1631" s="7"/>
      <c r="AP1631" s="7"/>
      <c r="AQ1631" s="7"/>
      <c r="AS1631" s="36"/>
      <c r="AT1631" s="36"/>
      <c r="AU1631" s="35"/>
      <c r="AV1631" s="7"/>
      <c r="AW1631" s="7"/>
      <c r="AX1631" s="7"/>
      <c r="AY1631" s="7"/>
      <c r="AZ1631" s="7"/>
      <c r="BA1631" s="7"/>
      <c r="BB1631" s="7"/>
      <c r="BC1631" s="7"/>
      <c r="BF1631" s="7"/>
      <c r="BG1631" s="36"/>
      <c r="BH1631" s="36"/>
      <c r="BI1631" s="36"/>
      <c r="BJ1631" s="36"/>
      <c r="BK1631" s="36"/>
      <c r="BL1631" s="36"/>
      <c r="BM1631" s="36"/>
      <c r="BN1631" s="36"/>
      <c r="BO1631" s="36"/>
    </row>
    <row r="1632" spans="1:67" x14ac:dyDescent="0.25">
      <c r="A1632" s="39"/>
      <c r="B1632" s="40"/>
      <c r="U1632" s="36"/>
      <c r="V1632" s="36"/>
      <c r="W1632" s="35"/>
      <c r="X1632" s="7"/>
      <c r="Y1632" s="7"/>
      <c r="Z1632" s="7"/>
      <c r="AA1632" s="7"/>
      <c r="AB1632" s="7"/>
      <c r="AC1632" s="7"/>
      <c r="AD1632" s="7"/>
      <c r="AE1632" s="7"/>
      <c r="AG1632" s="36"/>
      <c r="AH1632" s="36"/>
      <c r="AI1632" s="35"/>
      <c r="AJ1632" s="7"/>
      <c r="AK1632" s="7"/>
      <c r="AL1632" s="7"/>
      <c r="AM1632" s="7"/>
      <c r="AN1632" s="7"/>
      <c r="AO1632" s="7"/>
      <c r="AP1632" s="7"/>
      <c r="AQ1632" s="7"/>
      <c r="AS1632" s="36"/>
      <c r="AT1632" s="36"/>
      <c r="AU1632" s="35"/>
      <c r="AV1632" s="7"/>
      <c r="AW1632" s="7"/>
      <c r="AX1632" s="7"/>
      <c r="AY1632" s="7"/>
      <c r="AZ1632" s="7"/>
      <c r="BA1632" s="7"/>
      <c r="BB1632" s="7"/>
      <c r="BC1632" s="7"/>
      <c r="BF1632" s="7"/>
      <c r="BG1632" s="36"/>
      <c r="BH1632" s="36"/>
      <c r="BI1632" s="36"/>
      <c r="BJ1632" s="36"/>
      <c r="BK1632" s="36"/>
      <c r="BL1632" s="36"/>
      <c r="BM1632" s="36"/>
      <c r="BN1632" s="36"/>
      <c r="BO1632" s="36"/>
    </row>
    <row r="1633" spans="1:67" x14ac:dyDescent="0.25">
      <c r="A1633" s="39"/>
      <c r="B1633" s="40"/>
      <c r="U1633" s="36"/>
      <c r="V1633" s="36"/>
      <c r="W1633" s="35"/>
      <c r="X1633" s="7"/>
      <c r="Y1633" s="7"/>
      <c r="Z1633" s="7"/>
      <c r="AA1633" s="7"/>
      <c r="AB1633" s="7"/>
      <c r="AC1633" s="7"/>
      <c r="AD1633" s="7"/>
      <c r="AE1633" s="7"/>
      <c r="AG1633" s="36"/>
      <c r="AH1633" s="36"/>
      <c r="AI1633" s="35"/>
      <c r="AJ1633" s="7"/>
      <c r="AK1633" s="7"/>
      <c r="AL1633" s="7"/>
      <c r="AM1633" s="7"/>
      <c r="AN1633" s="7"/>
      <c r="AO1633" s="7"/>
      <c r="AP1633" s="7"/>
      <c r="AQ1633" s="7"/>
      <c r="AS1633" s="36"/>
      <c r="AT1633" s="36"/>
      <c r="AU1633" s="35"/>
      <c r="AV1633" s="7"/>
      <c r="AW1633" s="7"/>
      <c r="AX1633" s="7"/>
      <c r="AY1633" s="7"/>
      <c r="AZ1633" s="7"/>
      <c r="BA1633" s="7"/>
      <c r="BB1633" s="7"/>
      <c r="BC1633" s="7"/>
      <c r="BF1633" s="7"/>
      <c r="BG1633" s="36"/>
      <c r="BH1633" s="36"/>
      <c r="BI1633" s="36"/>
      <c r="BJ1633" s="36"/>
      <c r="BK1633" s="36"/>
      <c r="BL1633" s="36"/>
      <c r="BM1633" s="36"/>
      <c r="BN1633" s="36"/>
      <c r="BO1633" s="36"/>
    </row>
    <row r="1634" spans="1:67" x14ac:dyDescent="0.25">
      <c r="A1634" s="39"/>
      <c r="B1634" s="40"/>
      <c r="U1634" s="36"/>
      <c r="V1634" s="36"/>
      <c r="W1634" s="35"/>
      <c r="X1634" s="7"/>
      <c r="Y1634" s="7"/>
      <c r="Z1634" s="7"/>
      <c r="AA1634" s="7"/>
      <c r="AB1634" s="7"/>
      <c r="AC1634" s="7"/>
      <c r="AD1634" s="7"/>
      <c r="AE1634" s="7"/>
      <c r="AG1634" s="36"/>
      <c r="AH1634" s="36"/>
      <c r="AI1634" s="35"/>
      <c r="AJ1634" s="7"/>
      <c r="AK1634" s="7"/>
      <c r="AL1634" s="7"/>
      <c r="AM1634" s="7"/>
      <c r="AN1634" s="7"/>
      <c r="AO1634" s="7"/>
      <c r="AP1634" s="7"/>
      <c r="AQ1634" s="7"/>
      <c r="AS1634" s="36"/>
      <c r="AT1634" s="36"/>
      <c r="AU1634" s="35"/>
      <c r="AV1634" s="7"/>
      <c r="AW1634" s="7"/>
      <c r="AX1634" s="7"/>
      <c r="AY1634" s="7"/>
      <c r="AZ1634" s="7"/>
      <c r="BA1634" s="7"/>
      <c r="BB1634" s="7"/>
      <c r="BC1634" s="7"/>
      <c r="BF1634" s="7"/>
      <c r="BG1634" s="36"/>
      <c r="BH1634" s="36"/>
      <c r="BI1634" s="36"/>
      <c r="BJ1634" s="36"/>
      <c r="BK1634" s="36"/>
      <c r="BL1634" s="36"/>
      <c r="BM1634" s="36"/>
      <c r="BN1634" s="36"/>
      <c r="BO1634" s="36"/>
    </row>
    <row r="1635" spans="1:67" x14ac:dyDescent="0.25">
      <c r="A1635" s="39"/>
      <c r="B1635" s="40"/>
      <c r="U1635" s="36"/>
      <c r="V1635" s="36"/>
      <c r="W1635" s="35"/>
      <c r="X1635" s="7"/>
      <c r="Y1635" s="7"/>
      <c r="Z1635" s="7"/>
      <c r="AA1635" s="7"/>
      <c r="AB1635" s="7"/>
      <c r="AC1635" s="7"/>
      <c r="AD1635" s="7"/>
      <c r="AE1635" s="7"/>
      <c r="AG1635" s="36"/>
      <c r="AH1635" s="36"/>
      <c r="AI1635" s="35"/>
      <c r="AJ1635" s="7"/>
      <c r="AK1635" s="7"/>
      <c r="AL1635" s="7"/>
      <c r="AM1635" s="7"/>
      <c r="AN1635" s="7"/>
      <c r="AO1635" s="7"/>
      <c r="AP1635" s="7"/>
      <c r="AQ1635" s="7"/>
      <c r="AS1635" s="36"/>
      <c r="AT1635" s="36"/>
      <c r="AU1635" s="35"/>
      <c r="AV1635" s="7"/>
      <c r="AW1635" s="7"/>
      <c r="AX1635" s="7"/>
      <c r="AY1635" s="7"/>
      <c r="AZ1635" s="7"/>
      <c r="BA1635" s="7"/>
      <c r="BB1635" s="7"/>
      <c r="BC1635" s="7"/>
      <c r="BF1635" s="7"/>
      <c r="BG1635" s="36"/>
      <c r="BH1635" s="36"/>
      <c r="BI1635" s="36"/>
      <c r="BJ1635" s="36"/>
      <c r="BK1635" s="36"/>
      <c r="BL1635" s="36"/>
      <c r="BM1635" s="36"/>
      <c r="BN1635" s="36"/>
      <c r="BO1635" s="36"/>
    </row>
    <row r="1636" spans="1:67" x14ac:dyDescent="0.25">
      <c r="A1636" s="39"/>
      <c r="B1636" s="40"/>
      <c r="U1636" s="36"/>
      <c r="V1636" s="36"/>
      <c r="W1636" s="35"/>
      <c r="X1636" s="7"/>
      <c r="Y1636" s="7"/>
      <c r="Z1636" s="7"/>
      <c r="AA1636" s="7"/>
      <c r="AB1636" s="7"/>
      <c r="AC1636" s="7"/>
      <c r="AD1636" s="7"/>
      <c r="AE1636" s="7"/>
      <c r="AG1636" s="36"/>
      <c r="AH1636" s="36"/>
      <c r="AI1636" s="35"/>
      <c r="AJ1636" s="7"/>
      <c r="AK1636" s="7"/>
      <c r="AL1636" s="7"/>
      <c r="AM1636" s="7"/>
      <c r="AN1636" s="7"/>
      <c r="AO1636" s="7"/>
      <c r="AP1636" s="7"/>
      <c r="AQ1636" s="7"/>
      <c r="AS1636" s="36"/>
      <c r="AT1636" s="36"/>
      <c r="AU1636" s="35"/>
      <c r="AV1636" s="7"/>
      <c r="AW1636" s="7"/>
      <c r="AX1636" s="7"/>
      <c r="AY1636" s="7"/>
      <c r="AZ1636" s="7"/>
      <c r="BA1636" s="7"/>
      <c r="BB1636" s="7"/>
      <c r="BC1636" s="7"/>
      <c r="BF1636" s="7"/>
      <c r="BG1636" s="36"/>
      <c r="BH1636" s="36"/>
      <c r="BI1636" s="36"/>
      <c r="BJ1636" s="36"/>
      <c r="BK1636" s="36"/>
      <c r="BL1636" s="36"/>
      <c r="BM1636" s="36"/>
      <c r="BN1636" s="36"/>
      <c r="BO1636" s="36"/>
    </row>
    <row r="1637" spans="1:67" x14ac:dyDescent="0.25">
      <c r="A1637" s="39"/>
      <c r="B1637" s="40"/>
      <c r="U1637" s="36"/>
      <c r="V1637" s="36"/>
      <c r="W1637" s="35"/>
      <c r="X1637" s="7"/>
      <c r="Y1637" s="7"/>
      <c r="Z1637" s="7"/>
      <c r="AA1637" s="7"/>
      <c r="AB1637" s="7"/>
      <c r="AC1637" s="7"/>
      <c r="AD1637" s="7"/>
      <c r="AE1637" s="7"/>
      <c r="AG1637" s="36"/>
      <c r="AH1637" s="36"/>
      <c r="AI1637" s="35"/>
      <c r="AJ1637" s="7"/>
      <c r="AK1637" s="7"/>
      <c r="AL1637" s="7"/>
      <c r="AM1637" s="7"/>
      <c r="AN1637" s="7"/>
      <c r="AO1637" s="7"/>
      <c r="AP1637" s="7"/>
      <c r="AQ1637" s="7"/>
      <c r="AS1637" s="36"/>
      <c r="AT1637" s="36"/>
      <c r="AU1637" s="35"/>
      <c r="AV1637" s="7"/>
      <c r="AW1637" s="7"/>
      <c r="AX1637" s="7"/>
      <c r="AY1637" s="7"/>
      <c r="AZ1637" s="7"/>
      <c r="BA1637" s="7"/>
      <c r="BB1637" s="7"/>
      <c r="BC1637" s="7"/>
      <c r="BF1637" s="7"/>
      <c r="BG1637" s="36"/>
      <c r="BH1637" s="36"/>
      <c r="BI1637" s="36"/>
      <c r="BJ1637" s="36"/>
      <c r="BK1637" s="36"/>
      <c r="BL1637" s="36"/>
      <c r="BM1637" s="36"/>
      <c r="BN1637" s="36"/>
      <c r="BO1637" s="36"/>
    </row>
    <row r="1638" spans="1:67" x14ac:dyDescent="0.25">
      <c r="A1638" s="39"/>
      <c r="B1638" s="40"/>
      <c r="U1638" s="36"/>
      <c r="V1638" s="36"/>
      <c r="W1638" s="35"/>
      <c r="X1638" s="7"/>
      <c r="Y1638" s="7"/>
      <c r="Z1638" s="7"/>
      <c r="AA1638" s="7"/>
      <c r="AB1638" s="7"/>
      <c r="AC1638" s="7"/>
      <c r="AD1638" s="7"/>
      <c r="AE1638" s="7"/>
      <c r="AG1638" s="36"/>
      <c r="AH1638" s="36"/>
      <c r="AI1638" s="35"/>
      <c r="AJ1638" s="7"/>
      <c r="AK1638" s="7"/>
      <c r="AL1638" s="7"/>
      <c r="AM1638" s="7"/>
      <c r="AN1638" s="7"/>
      <c r="AO1638" s="7"/>
      <c r="AP1638" s="7"/>
      <c r="AQ1638" s="7"/>
      <c r="AS1638" s="36"/>
      <c r="AT1638" s="36"/>
      <c r="AU1638" s="35"/>
      <c r="AV1638" s="7"/>
      <c r="AW1638" s="7"/>
      <c r="AX1638" s="7"/>
      <c r="AY1638" s="7"/>
      <c r="AZ1638" s="7"/>
      <c r="BA1638" s="7"/>
      <c r="BB1638" s="7"/>
      <c r="BC1638" s="7"/>
      <c r="BF1638" s="7"/>
      <c r="BG1638" s="36"/>
      <c r="BH1638" s="36"/>
      <c r="BI1638" s="36"/>
      <c r="BJ1638" s="36"/>
      <c r="BK1638" s="36"/>
      <c r="BL1638" s="36"/>
      <c r="BM1638" s="36"/>
      <c r="BN1638" s="36"/>
      <c r="BO1638" s="36"/>
    </row>
    <row r="1639" spans="1:67" x14ac:dyDescent="0.25">
      <c r="A1639" s="39"/>
      <c r="B1639" s="40"/>
      <c r="U1639" s="36"/>
      <c r="V1639" s="36"/>
      <c r="W1639" s="35"/>
      <c r="X1639" s="7"/>
      <c r="Y1639" s="7"/>
      <c r="Z1639" s="7"/>
      <c r="AA1639" s="7"/>
      <c r="AB1639" s="7"/>
      <c r="AC1639" s="7"/>
      <c r="AD1639" s="7"/>
      <c r="AE1639" s="7"/>
      <c r="AG1639" s="36"/>
      <c r="AH1639" s="36"/>
      <c r="AI1639" s="35"/>
      <c r="AJ1639" s="7"/>
      <c r="AK1639" s="7"/>
      <c r="AL1639" s="7"/>
      <c r="AM1639" s="7"/>
      <c r="AN1639" s="7"/>
      <c r="AO1639" s="7"/>
      <c r="AP1639" s="7"/>
      <c r="AQ1639" s="7"/>
      <c r="AS1639" s="36"/>
      <c r="AT1639" s="36"/>
      <c r="AU1639" s="35"/>
      <c r="AV1639" s="7"/>
      <c r="AW1639" s="7"/>
      <c r="AX1639" s="7"/>
      <c r="AY1639" s="7"/>
      <c r="AZ1639" s="7"/>
      <c r="BA1639" s="7"/>
      <c r="BB1639" s="7"/>
      <c r="BC1639" s="7"/>
      <c r="BF1639" s="7"/>
      <c r="BG1639" s="36"/>
      <c r="BH1639" s="36"/>
      <c r="BI1639" s="36"/>
      <c r="BJ1639" s="36"/>
      <c r="BK1639" s="36"/>
      <c r="BL1639" s="36"/>
      <c r="BM1639" s="36"/>
      <c r="BN1639" s="36"/>
      <c r="BO1639" s="36"/>
    </row>
    <row r="1640" spans="1:67" x14ac:dyDescent="0.25">
      <c r="A1640" s="39"/>
      <c r="B1640" s="40"/>
      <c r="U1640" s="36"/>
      <c r="V1640" s="36"/>
      <c r="W1640" s="35"/>
      <c r="X1640" s="7"/>
      <c r="Y1640" s="7"/>
      <c r="Z1640" s="7"/>
      <c r="AA1640" s="7"/>
      <c r="AB1640" s="7"/>
      <c r="AC1640" s="7"/>
      <c r="AD1640" s="7"/>
      <c r="AE1640" s="7"/>
      <c r="AG1640" s="36"/>
      <c r="AH1640" s="36"/>
      <c r="AI1640" s="35"/>
      <c r="AJ1640" s="7"/>
      <c r="AK1640" s="7"/>
      <c r="AL1640" s="7"/>
      <c r="AM1640" s="7"/>
      <c r="AN1640" s="7"/>
      <c r="AO1640" s="7"/>
      <c r="AP1640" s="7"/>
      <c r="AQ1640" s="7"/>
      <c r="AS1640" s="36"/>
      <c r="AT1640" s="36"/>
      <c r="AU1640" s="35"/>
      <c r="AV1640" s="7"/>
      <c r="AW1640" s="7"/>
      <c r="AX1640" s="7"/>
      <c r="AY1640" s="7"/>
      <c r="AZ1640" s="7"/>
      <c r="BA1640" s="7"/>
      <c r="BB1640" s="7"/>
      <c r="BC1640" s="7"/>
      <c r="BF1640" s="7"/>
      <c r="BG1640" s="36"/>
      <c r="BH1640" s="36"/>
      <c r="BI1640" s="36"/>
      <c r="BJ1640" s="36"/>
      <c r="BK1640" s="36"/>
      <c r="BL1640" s="36"/>
      <c r="BM1640" s="36"/>
      <c r="BN1640" s="36"/>
      <c r="BO1640" s="36"/>
    </row>
    <row r="1641" spans="1:67" x14ac:dyDescent="0.25">
      <c r="A1641" s="39"/>
      <c r="B1641" s="40"/>
      <c r="U1641" s="36"/>
      <c r="V1641" s="36"/>
      <c r="W1641" s="35"/>
      <c r="X1641" s="7"/>
      <c r="Y1641" s="7"/>
      <c r="Z1641" s="7"/>
      <c r="AA1641" s="7"/>
      <c r="AB1641" s="7"/>
      <c r="AC1641" s="7"/>
      <c r="AD1641" s="7"/>
      <c r="AE1641" s="7"/>
      <c r="AG1641" s="36"/>
      <c r="AH1641" s="36"/>
      <c r="AI1641" s="35"/>
      <c r="AJ1641" s="7"/>
      <c r="AK1641" s="7"/>
      <c r="AL1641" s="7"/>
      <c r="AM1641" s="7"/>
      <c r="AN1641" s="7"/>
      <c r="AO1641" s="7"/>
      <c r="AP1641" s="7"/>
      <c r="AQ1641" s="7"/>
      <c r="AS1641" s="36"/>
      <c r="AT1641" s="36"/>
      <c r="AU1641" s="35"/>
      <c r="AV1641" s="7"/>
      <c r="AW1641" s="7"/>
      <c r="AX1641" s="7"/>
      <c r="AY1641" s="7"/>
      <c r="AZ1641" s="7"/>
      <c r="BA1641" s="7"/>
      <c r="BB1641" s="7"/>
      <c r="BC1641" s="7"/>
      <c r="BF1641" s="7"/>
      <c r="BG1641" s="36"/>
      <c r="BH1641" s="36"/>
      <c r="BI1641" s="36"/>
      <c r="BJ1641" s="36"/>
      <c r="BK1641" s="36"/>
      <c r="BL1641" s="36"/>
      <c r="BM1641" s="36"/>
      <c r="BN1641" s="36"/>
      <c r="BO1641" s="36"/>
    </row>
    <row r="1642" spans="1:67" x14ac:dyDescent="0.25">
      <c r="A1642" s="39"/>
      <c r="B1642" s="40"/>
      <c r="U1642" s="36"/>
      <c r="V1642" s="36"/>
      <c r="W1642" s="35"/>
      <c r="X1642" s="7"/>
      <c r="Y1642" s="7"/>
      <c r="Z1642" s="7"/>
      <c r="AA1642" s="7"/>
      <c r="AB1642" s="7"/>
      <c r="AC1642" s="7"/>
      <c r="AD1642" s="7"/>
      <c r="AE1642" s="7"/>
      <c r="AG1642" s="36"/>
      <c r="AH1642" s="36"/>
      <c r="AI1642" s="35"/>
      <c r="AJ1642" s="7"/>
      <c r="AK1642" s="7"/>
      <c r="AL1642" s="7"/>
      <c r="AM1642" s="7"/>
      <c r="AN1642" s="7"/>
      <c r="AO1642" s="7"/>
      <c r="AP1642" s="7"/>
      <c r="AQ1642" s="7"/>
      <c r="AS1642" s="36"/>
      <c r="AT1642" s="36"/>
      <c r="AU1642" s="35"/>
      <c r="AV1642" s="7"/>
      <c r="AW1642" s="7"/>
      <c r="AX1642" s="7"/>
      <c r="AY1642" s="7"/>
      <c r="AZ1642" s="7"/>
      <c r="BA1642" s="7"/>
      <c r="BB1642" s="7"/>
      <c r="BC1642" s="7"/>
      <c r="BF1642" s="7"/>
      <c r="BG1642" s="36"/>
      <c r="BH1642" s="36"/>
      <c r="BI1642" s="36"/>
      <c r="BJ1642" s="36"/>
      <c r="BK1642" s="36"/>
      <c r="BL1642" s="36"/>
      <c r="BM1642" s="36"/>
      <c r="BN1642" s="36"/>
      <c r="BO1642" s="36"/>
    </row>
    <row r="1643" spans="1:67" x14ac:dyDescent="0.25">
      <c r="A1643" s="39"/>
      <c r="B1643" s="40"/>
      <c r="U1643" s="36"/>
      <c r="V1643" s="36"/>
      <c r="W1643" s="35"/>
      <c r="X1643" s="7"/>
      <c r="Y1643" s="7"/>
      <c r="Z1643" s="7"/>
      <c r="AA1643" s="7"/>
      <c r="AB1643" s="7"/>
      <c r="AC1643" s="7"/>
      <c r="AD1643" s="7"/>
      <c r="AE1643" s="7"/>
      <c r="AG1643" s="36"/>
      <c r="AH1643" s="36"/>
      <c r="AI1643" s="35"/>
      <c r="AJ1643" s="7"/>
      <c r="AK1643" s="7"/>
      <c r="AL1643" s="7"/>
      <c r="AM1643" s="7"/>
      <c r="AN1643" s="7"/>
      <c r="AO1643" s="7"/>
      <c r="AP1643" s="7"/>
      <c r="AQ1643" s="7"/>
      <c r="AS1643" s="36"/>
      <c r="AT1643" s="36"/>
      <c r="AU1643" s="35"/>
      <c r="AV1643" s="7"/>
      <c r="AW1643" s="7"/>
      <c r="AX1643" s="7"/>
      <c r="AY1643" s="7"/>
      <c r="AZ1643" s="7"/>
      <c r="BA1643" s="7"/>
      <c r="BB1643" s="7"/>
      <c r="BC1643" s="7"/>
      <c r="BF1643" s="7"/>
      <c r="BG1643" s="36"/>
      <c r="BH1643" s="36"/>
      <c r="BI1643" s="36"/>
      <c r="BJ1643" s="36"/>
      <c r="BK1643" s="36"/>
      <c r="BL1643" s="36"/>
      <c r="BM1643" s="36"/>
      <c r="BN1643" s="36"/>
      <c r="BO1643" s="36"/>
    </row>
    <row r="1644" spans="1:67" x14ac:dyDescent="0.25">
      <c r="A1644" s="39"/>
      <c r="B1644" s="40"/>
      <c r="U1644" s="36"/>
      <c r="V1644" s="36"/>
      <c r="W1644" s="35"/>
      <c r="X1644" s="7"/>
      <c r="Y1644" s="7"/>
      <c r="Z1644" s="7"/>
      <c r="AA1644" s="7"/>
      <c r="AB1644" s="7"/>
      <c r="AC1644" s="7"/>
      <c r="AD1644" s="7"/>
      <c r="AE1644" s="7"/>
      <c r="AG1644" s="36"/>
      <c r="AH1644" s="36"/>
      <c r="AI1644" s="35"/>
      <c r="AJ1644" s="7"/>
      <c r="AK1644" s="7"/>
      <c r="AL1644" s="7"/>
      <c r="AM1644" s="7"/>
      <c r="AN1644" s="7"/>
      <c r="AO1644" s="7"/>
      <c r="AP1644" s="7"/>
      <c r="AQ1644" s="7"/>
      <c r="AS1644" s="36"/>
      <c r="AT1644" s="36"/>
      <c r="AU1644" s="35"/>
      <c r="AV1644" s="7"/>
      <c r="AW1644" s="7"/>
      <c r="AX1644" s="7"/>
      <c r="AY1644" s="7"/>
      <c r="AZ1644" s="7"/>
      <c r="BA1644" s="7"/>
      <c r="BB1644" s="7"/>
      <c r="BC1644" s="7"/>
      <c r="BF1644" s="7"/>
      <c r="BG1644" s="36"/>
      <c r="BH1644" s="36"/>
      <c r="BI1644" s="36"/>
      <c r="BJ1644" s="36"/>
      <c r="BK1644" s="36"/>
      <c r="BL1644" s="36"/>
      <c r="BM1644" s="36"/>
      <c r="BN1644" s="36"/>
      <c r="BO1644" s="36"/>
    </row>
    <row r="1645" spans="1:67" x14ac:dyDescent="0.25">
      <c r="A1645" s="39"/>
      <c r="B1645" s="40"/>
      <c r="U1645" s="36"/>
      <c r="V1645" s="36"/>
      <c r="W1645" s="35"/>
      <c r="X1645" s="7"/>
      <c r="Y1645" s="7"/>
      <c r="Z1645" s="7"/>
      <c r="AA1645" s="7"/>
      <c r="AB1645" s="7"/>
      <c r="AC1645" s="7"/>
      <c r="AD1645" s="7"/>
      <c r="AE1645" s="7"/>
      <c r="AG1645" s="36"/>
      <c r="AH1645" s="36"/>
      <c r="AI1645" s="35"/>
      <c r="AJ1645" s="7"/>
      <c r="AK1645" s="7"/>
      <c r="AL1645" s="7"/>
      <c r="AM1645" s="7"/>
      <c r="AN1645" s="7"/>
      <c r="AO1645" s="7"/>
      <c r="AP1645" s="7"/>
      <c r="AQ1645" s="7"/>
      <c r="AS1645" s="36"/>
      <c r="AT1645" s="36"/>
      <c r="AU1645" s="35"/>
      <c r="AV1645" s="7"/>
      <c r="AW1645" s="7"/>
      <c r="AX1645" s="7"/>
      <c r="AY1645" s="7"/>
      <c r="AZ1645" s="7"/>
      <c r="BA1645" s="7"/>
      <c r="BB1645" s="7"/>
      <c r="BC1645" s="7"/>
      <c r="BF1645" s="7"/>
      <c r="BG1645" s="36"/>
      <c r="BH1645" s="36"/>
      <c r="BI1645" s="36"/>
      <c r="BJ1645" s="36"/>
      <c r="BK1645" s="36"/>
      <c r="BL1645" s="36"/>
      <c r="BM1645" s="36"/>
      <c r="BN1645" s="36"/>
      <c r="BO1645" s="36"/>
    </row>
    <row r="1646" spans="1:67" x14ac:dyDescent="0.25">
      <c r="A1646" s="39"/>
      <c r="B1646" s="40"/>
      <c r="U1646" s="36"/>
      <c r="V1646" s="36"/>
      <c r="W1646" s="35"/>
      <c r="X1646" s="7"/>
      <c r="Y1646" s="7"/>
      <c r="Z1646" s="7"/>
      <c r="AA1646" s="7"/>
      <c r="AB1646" s="7"/>
      <c r="AC1646" s="7"/>
      <c r="AD1646" s="7"/>
      <c r="AE1646" s="7"/>
      <c r="AG1646" s="36"/>
      <c r="AH1646" s="36"/>
      <c r="AI1646" s="35"/>
      <c r="AJ1646" s="7"/>
      <c r="AK1646" s="7"/>
      <c r="AL1646" s="7"/>
      <c r="AM1646" s="7"/>
      <c r="AN1646" s="7"/>
      <c r="AO1646" s="7"/>
      <c r="AP1646" s="7"/>
      <c r="AQ1646" s="7"/>
      <c r="AS1646" s="36"/>
      <c r="AT1646" s="36"/>
      <c r="AU1646" s="35"/>
      <c r="AV1646" s="7"/>
      <c r="AW1646" s="7"/>
      <c r="AX1646" s="7"/>
      <c r="AY1646" s="7"/>
      <c r="AZ1646" s="7"/>
      <c r="BA1646" s="7"/>
      <c r="BB1646" s="7"/>
      <c r="BC1646" s="7"/>
      <c r="BF1646" s="7"/>
      <c r="BG1646" s="36"/>
      <c r="BH1646" s="36"/>
      <c r="BI1646" s="36"/>
      <c r="BJ1646" s="36"/>
      <c r="BK1646" s="36"/>
      <c r="BL1646" s="36"/>
      <c r="BM1646" s="36"/>
      <c r="BN1646" s="36"/>
      <c r="BO1646" s="36"/>
    </row>
    <row r="1647" spans="1:67" x14ac:dyDescent="0.25">
      <c r="A1647" s="39"/>
      <c r="B1647" s="40"/>
      <c r="U1647" s="36"/>
      <c r="V1647" s="36"/>
      <c r="W1647" s="35"/>
      <c r="X1647" s="7"/>
      <c r="Y1647" s="7"/>
      <c r="Z1647" s="7"/>
      <c r="AA1647" s="7"/>
      <c r="AB1647" s="7"/>
      <c r="AC1647" s="7"/>
      <c r="AD1647" s="7"/>
      <c r="AE1647" s="7"/>
      <c r="AG1647" s="36"/>
      <c r="AH1647" s="36"/>
      <c r="AI1647" s="35"/>
      <c r="AJ1647" s="7"/>
      <c r="AK1647" s="7"/>
      <c r="AL1647" s="7"/>
      <c r="AM1647" s="7"/>
      <c r="AN1647" s="7"/>
      <c r="AO1647" s="7"/>
      <c r="AP1647" s="7"/>
      <c r="AQ1647" s="7"/>
      <c r="AS1647" s="36"/>
      <c r="AT1647" s="36"/>
      <c r="AU1647" s="35"/>
      <c r="AV1647" s="7"/>
      <c r="AW1647" s="7"/>
      <c r="AX1647" s="7"/>
      <c r="AY1647" s="7"/>
      <c r="AZ1647" s="7"/>
      <c r="BA1647" s="7"/>
      <c r="BB1647" s="7"/>
      <c r="BC1647" s="7"/>
      <c r="BF1647" s="7"/>
      <c r="BG1647" s="36"/>
      <c r="BH1647" s="36"/>
      <c r="BI1647" s="36"/>
      <c r="BJ1647" s="36"/>
      <c r="BK1647" s="36"/>
      <c r="BL1647" s="36"/>
      <c r="BM1647" s="36"/>
      <c r="BN1647" s="36"/>
      <c r="BO1647" s="36"/>
    </row>
    <row r="1648" spans="1:67" x14ac:dyDescent="0.25">
      <c r="A1648" s="39"/>
      <c r="B1648" s="40"/>
      <c r="U1648" s="36"/>
      <c r="V1648" s="36"/>
      <c r="W1648" s="35"/>
      <c r="X1648" s="7"/>
      <c r="Y1648" s="7"/>
      <c r="Z1648" s="7"/>
      <c r="AA1648" s="7"/>
      <c r="AB1648" s="7"/>
      <c r="AC1648" s="7"/>
      <c r="AD1648" s="7"/>
      <c r="AE1648" s="7"/>
      <c r="AG1648" s="36"/>
      <c r="AH1648" s="36"/>
      <c r="AI1648" s="35"/>
      <c r="AJ1648" s="7"/>
      <c r="AK1648" s="7"/>
      <c r="AL1648" s="7"/>
      <c r="AM1648" s="7"/>
      <c r="AN1648" s="7"/>
      <c r="AO1648" s="7"/>
      <c r="AP1648" s="7"/>
      <c r="AQ1648" s="7"/>
      <c r="AS1648" s="36"/>
      <c r="AT1648" s="36"/>
      <c r="AU1648" s="35"/>
      <c r="AV1648" s="7"/>
      <c r="AW1648" s="7"/>
      <c r="AX1648" s="7"/>
      <c r="AY1648" s="7"/>
      <c r="AZ1648" s="7"/>
      <c r="BA1648" s="7"/>
      <c r="BB1648" s="7"/>
      <c r="BC1648" s="7"/>
      <c r="BF1648" s="7"/>
      <c r="BG1648" s="36"/>
      <c r="BH1648" s="36"/>
      <c r="BI1648" s="36"/>
      <c r="BJ1648" s="36"/>
      <c r="BK1648" s="36"/>
      <c r="BL1648" s="36"/>
      <c r="BM1648" s="36"/>
      <c r="BN1648" s="36"/>
      <c r="BO1648" s="36"/>
    </row>
    <row r="1649" spans="1:67" x14ac:dyDescent="0.25">
      <c r="A1649" s="39"/>
      <c r="B1649" s="40"/>
      <c r="U1649" s="36"/>
      <c r="V1649" s="36"/>
      <c r="W1649" s="35"/>
      <c r="X1649" s="7"/>
      <c r="Y1649" s="7"/>
      <c r="Z1649" s="7"/>
      <c r="AA1649" s="7"/>
      <c r="AB1649" s="7"/>
      <c r="AC1649" s="7"/>
      <c r="AD1649" s="7"/>
      <c r="AE1649" s="7"/>
      <c r="AG1649" s="36"/>
      <c r="AH1649" s="36"/>
      <c r="AI1649" s="35"/>
      <c r="AJ1649" s="7"/>
      <c r="AK1649" s="7"/>
      <c r="AL1649" s="7"/>
      <c r="AM1649" s="7"/>
      <c r="AN1649" s="7"/>
      <c r="AO1649" s="7"/>
      <c r="AP1649" s="7"/>
      <c r="AQ1649" s="7"/>
      <c r="AS1649" s="36"/>
      <c r="AT1649" s="36"/>
      <c r="AU1649" s="35"/>
      <c r="AV1649" s="7"/>
      <c r="AW1649" s="7"/>
      <c r="AX1649" s="7"/>
      <c r="AY1649" s="7"/>
      <c r="AZ1649" s="7"/>
      <c r="BA1649" s="7"/>
      <c r="BB1649" s="7"/>
      <c r="BC1649" s="7"/>
      <c r="BF1649" s="7"/>
      <c r="BG1649" s="36"/>
      <c r="BH1649" s="36"/>
      <c r="BI1649" s="36"/>
      <c r="BJ1649" s="36"/>
      <c r="BK1649" s="36"/>
      <c r="BL1649" s="36"/>
      <c r="BM1649" s="36"/>
      <c r="BN1649" s="36"/>
      <c r="BO1649" s="36"/>
    </row>
    <row r="1650" spans="1:67" x14ac:dyDescent="0.25">
      <c r="A1650" s="39"/>
      <c r="B1650" s="40"/>
      <c r="U1650" s="36"/>
      <c r="V1650" s="36"/>
      <c r="W1650" s="35"/>
      <c r="X1650" s="7"/>
      <c r="Y1650" s="7"/>
      <c r="Z1650" s="7"/>
      <c r="AA1650" s="7"/>
      <c r="AB1650" s="7"/>
      <c r="AC1650" s="7"/>
      <c r="AD1650" s="7"/>
      <c r="AE1650" s="7"/>
      <c r="AG1650" s="36"/>
      <c r="AH1650" s="36"/>
      <c r="AI1650" s="35"/>
      <c r="AJ1650" s="7"/>
      <c r="AK1650" s="7"/>
      <c r="AL1650" s="7"/>
      <c r="AM1650" s="7"/>
      <c r="AN1650" s="7"/>
      <c r="AO1650" s="7"/>
      <c r="AP1650" s="7"/>
      <c r="AQ1650" s="7"/>
      <c r="AS1650" s="36"/>
      <c r="AT1650" s="36"/>
      <c r="AU1650" s="35"/>
      <c r="AV1650" s="7"/>
      <c r="AW1650" s="7"/>
      <c r="AX1650" s="7"/>
      <c r="AY1650" s="7"/>
      <c r="AZ1650" s="7"/>
      <c r="BA1650" s="7"/>
      <c r="BB1650" s="7"/>
      <c r="BC1650" s="7"/>
      <c r="BF1650" s="7"/>
      <c r="BG1650" s="36"/>
      <c r="BH1650" s="36"/>
      <c r="BI1650" s="36"/>
      <c r="BJ1650" s="36"/>
      <c r="BK1650" s="36"/>
      <c r="BL1650" s="36"/>
      <c r="BM1650" s="36"/>
      <c r="BN1650" s="36"/>
      <c r="BO1650" s="36"/>
    </row>
    <row r="1651" spans="1:67" x14ac:dyDescent="0.25">
      <c r="A1651" s="39"/>
      <c r="B1651" s="40"/>
      <c r="U1651" s="36"/>
      <c r="V1651" s="36"/>
      <c r="W1651" s="35"/>
      <c r="X1651" s="7"/>
      <c r="Y1651" s="7"/>
      <c r="Z1651" s="7"/>
      <c r="AA1651" s="7"/>
      <c r="AB1651" s="7"/>
      <c r="AC1651" s="7"/>
      <c r="AD1651" s="7"/>
      <c r="AE1651" s="7"/>
      <c r="AG1651" s="36"/>
      <c r="AH1651" s="36"/>
      <c r="AI1651" s="35"/>
      <c r="AJ1651" s="7"/>
      <c r="AK1651" s="7"/>
      <c r="AL1651" s="7"/>
      <c r="AM1651" s="7"/>
      <c r="AN1651" s="7"/>
      <c r="AO1651" s="7"/>
      <c r="AP1651" s="7"/>
      <c r="AQ1651" s="7"/>
      <c r="AS1651" s="36"/>
      <c r="AT1651" s="36"/>
      <c r="AU1651" s="35"/>
      <c r="AV1651" s="7"/>
      <c r="AW1651" s="7"/>
      <c r="AX1651" s="7"/>
      <c r="AY1651" s="7"/>
      <c r="AZ1651" s="7"/>
      <c r="BA1651" s="7"/>
      <c r="BB1651" s="7"/>
      <c r="BC1651" s="7"/>
      <c r="BF1651" s="7"/>
      <c r="BG1651" s="36"/>
      <c r="BH1651" s="36"/>
      <c r="BI1651" s="36"/>
      <c r="BJ1651" s="36"/>
      <c r="BK1651" s="36"/>
      <c r="BL1651" s="36"/>
      <c r="BM1651" s="36"/>
      <c r="BN1651" s="36"/>
      <c r="BO1651" s="36"/>
    </row>
    <row r="1652" spans="1:67" x14ac:dyDescent="0.25">
      <c r="A1652" s="39"/>
      <c r="B1652" s="40"/>
      <c r="U1652" s="36"/>
      <c r="V1652" s="36"/>
      <c r="W1652" s="35"/>
      <c r="X1652" s="7"/>
      <c r="Y1652" s="7"/>
      <c r="Z1652" s="7"/>
      <c r="AA1652" s="7"/>
      <c r="AB1652" s="7"/>
      <c r="AC1652" s="7"/>
      <c r="AD1652" s="7"/>
      <c r="AE1652" s="7"/>
      <c r="AG1652" s="36"/>
      <c r="AH1652" s="36"/>
      <c r="AI1652" s="35"/>
      <c r="AJ1652" s="7"/>
      <c r="AK1652" s="7"/>
      <c r="AL1652" s="7"/>
      <c r="AM1652" s="7"/>
      <c r="AN1652" s="7"/>
      <c r="AO1652" s="7"/>
      <c r="AP1652" s="7"/>
      <c r="AQ1652" s="7"/>
      <c r="AS1652" s="36"/>
      <c r="AT1652" s="36"/>
      <c r="AU1652" s="35"/>
      <c r="AV1652" s="7"/>
      <c r="AW1652" s="7"/>
      <c r="AX1652" s="7"/>
      <c r="AY1652" s="7"/>
      <c r="AZ1652" s="7"/>
      <c r="BA1652" s="7"/>
      <c r="BB1652" s="7"/>
      <c r="BC1652" s="7"/>
      <c r="BF1652" s="7"/>
      <c r="BG1652" s="36"/>
      <c r="BH1652" s="36"/>
      <c r="BI1652" s="36"/>
      <c r="BJ1652" s="36"/>
      <c r="BK1652" s="36"/>
      <c r="BL1652" s="36"/>
      <c r="BM1652" s="36"/>
      <c r="BN1652" s="36"/>
      <c r="BO1652" s="36"/>
    </row>
    <row r="1653" spans="1:67" x14ac:dyDescent="0.25">
      <c r="A1653" s="39"/>
      <c r="B1653" s="40"/>
      <c r="U1653" s="36"/>
      <c r="V1653" s="36"/>
      <c r="W1653" s="35"/>
      <c r="X1653" s="7"/>
      <c r="Y1653" s="7"/>
      <c r="Z1653" s="7"/>
      <c r="AA1653" s="7"/>
      <c r="AB1653" s="7"/>
      <c r="AC1653" s="7"/>
      <c r="AD1653" s="7"/>
      <c r="AE1653" s="7"/>
      <c r="AG1653" s="36"/>
      <c r="AH1653" s="36"/>
      <c r="AI1653" s="35"/>
      <c r="AJ1653" s="7"/>
      <c r="AK1653" s="7"/>
      <c r="AL1653" s="7"/>
      <c r="AM1653" s="7"/>
      <c r="AN1653" s="7"/>
      <c r="AO1653" s="7"/>
      <c r="AP1653" s="7"/>
      <c r="AQ1653" s="7"/>
      <c r="AS1653" s="36"/>
      <c r="AT1653" s="36"/>
      <c r="AU1653" s="35"/>
      <c r="AV1653" s="7"/>
      <c r="AW1653" s="7"/>
      <c r="AX1653" s="7"/>
      <c r="AY1653" s="7"/>
      <c r="AZ1653" s="7"/>
      <c r="BA1653" s="7"/>
      <c r="BB1653" s="7"/>
      <c r="BC1653" s="7"/>
      <c r="BF1653" s="7"/>
      <c r="BG1653" s="36"/>
      <c r="BH1653" s="36"/>
      <c r="BI1653" s="36"/>
      <c r="BJ1653" s="36"/>
      <c r="BK1653" s="36"/>
      <c r="BL1653" s="36"/>
      <c r="BM1653" s="36"/>
      <c r="BN1653" s="36"/>
      <c r="BO1653" s="36"/>
    </row>
    <row r="1654" spans="1:67" x14ac:dyDescent="0.25">
      <c r="A1654" s="39"/>
      <c r="B1654" s="40"/>
      <c r="U1654" s="36"/>
      <c r="V1654" s="36"/>
      <c r="W1654" s="35"/>
      <c r="X1654" s="7"/>
      <c r="Y1654" s="7"/>
      <c r="Z1654" s="7"/>
      <c r="AA1654" s="7"/>
      <c r="AB1654" s="7"/>
      <c r="AC1654" s="7"/>
      <c r="AD1654" s="7"/>
      <c r="AE1654" s="7"/>
      <c r="AG1654" s="36"/>
      <c r="AH1654" s="36"/>
      <c r="AI1654" s="35"/>
      <c r="AJ1654" s="7"/>
      <c r="AK1654" s="7"/>
      <c r="AL1654" s="7"/>
      <c r="AM1654" s="7"/>
      <c r="AN1654" s="7"/>
      <c r="AO1654" s="7"/>
      <c r="AP1654" s="7"/>
      <c r="AQ1654" s="7"/>
      <c r="AS1654" s="36"/>
      <c r="AT1654" s="36"/>
      <c r="AU1654" s="35"/>
      <c r="AV1654" s="7"/>
      <c r="AW1654" s="7"/>
      <c r="AX1654" s="7"/>
      <c r="AY1654" s="7"/>
      <c r="AZ1654" s="7"/>
      <c r="BA1654" s="7"/>
      <c r="BB1654" s="7"/>
      <c r="BC1654" s="7"/>
      <c r="BF1654" s="7"/>
      <c r="BG1654" s="36"/>
      <c r="BH1654" s="36"/>
      <c r="BI1654" s="36"/>
      <c r="BJ1654" s="36"/>
      <c r="BK1654" s="36"/>
      <c r="BL1654" s="36"/>
      <c r="BM1654" s="36"/>
      <c r="BN1654" s="36"/>
      <c r="BO1654" s="36"/>
    </row>
    <row r="1655" spans="1:67" x14ac:dyDescent="0.25">
      <c r="A1655" s="39"/>
      <c r="B1655" s="40"/>
      <c r="U1655" s="36"/>
      <c r="V1655" s="36"/>
      <c r="W1655" s="35"/>
      <c r="X1655" s="7"/>
      <c r="Y1655" s="7"/>
      <c r="Z1655" s="7"/>
      <c r="AA1655" s="7"/>
      <c r="AB1655" s="7"/>
      <c r="AC1655" s="7"/>
      <c r="AD1655" s="7"/>
      <c r="AE1655" s="7"/>
      <c r="AG1655" s="36"/>
      <c r="AH1655" s="36"/>
      <c r="AI1655" s="35"/>
      <c r="AJ1655" s="7"/>
      <c r="AK1655" s="7"/>
      <c r="AL1655" s="7"/>
      <c r="AM1655" s="7"/>
      <c r="AN1655" s="7"/>
      <c r="AO1655" s="7"/>
      <c r="AP1655" s="7"/>
      <c r="AQ1655" s="7"/>
      <c r="AS1655" s="36"/>
      <c r="AT1655" s="36"/>
      <c r="AU1655" s="35"/>
      <c r="AV1655" s="7"/>
      <c r="AW1655" s="7"/>
      <c r="AX1655" s="7"/>
      <c r="AY1655" s="7"/>
      <c r="AZ1655" s="7"/>
      <c r="BA1655" s="7"/>
      <c r="BB1655" s="7"/>
      <c r="BC1655" s="7"/>
      <c r="BF1655" s="7"/>
      <c r="BG1655" s="36"/>
      <c r="BH1655" s="36"/>
      <c r="BI1655" s="36"/>
      <c r="BJ1655" s="36"/>
      <c r="BK1655" s="36"/>
      <c r="BL1655" s="36"/>
      <c r="BM1655" s="36"/>
      <c r="BN1655" s="36"/>
      <c r="BO1655" s="36"/>
    </row>
    <row r="1656" spans="1:67" x14ac:dyDescent="0.25">
      <c r="A1656" s="39"/>
      <c r="B1656" s="40"/>
      <c r="U1656" s="36"/>
      <c r="V1656" s="36"/>
      <c r="W1656" s="35"/>
      <c r="X1656" s="7"/>
      <c r="Y1656" s="7"/>
      <c r="Z1656" s="7"/>
      <c r="AA1656" s="7"/>
      <c r="AB1656" s="7"/>
      <c r="AC1656" s="7"/>
      <c r="AD1656" s="7"/>
      <c r="AE1656" s="7"/>
      <c r="AG1656" s="36"/>
      <c r="AH1656" s="36"/>
      <c r="AI1656" s="35"/>
      <c r="AJ1656" s="7"/>
      <c r="AK1656" s="7"/>
      <c r="AL1656" s="7"/>
      <c r="AM1656" s="7"/>
      <c r="AN1656" s="7"/>
      <c r="AO1656" s="7"/>
      <c r="AP1656" s="7"/>
      <c r="AQ1656" s="7"/>
      <c r="AS1656" s="36"/>
      <c r="AT1656" s="36"/>
      <c r="AU1656" s="35"/>
      <c r="AV1656" s="7"/>
      <c r="AW1656" s="7"/>
      <c r="AX1656" s="7"/>
      <c r="AY1656" s="7"/>
      <c r="AZ1656" s="7"/>
      <c r="BA1656" s="7"/>
      <c r="BB1656" s="7"/>
      <c r="BC1656" s="7"/>
      <c r="BF1656" s="7"/>
      <c r="BG1656" s="36"/>
      <c r="BH1656" s="36"/>
      <c r="BI1656" s="36"/>
      <c r="BJ1656" s="36"/>
      <c r="BK1656" s="36"/>
      <c r="BL1656" s="36"/>
      <c r="BM1656" s="36"/>
      <c r="BN1656" s="36"/>
      <c r="BO1656" s="36"/>
    </row>
    <row r="1657" spans="1:67" x14ac:dyDescent="0.25">
      <c r="A1657" s="39"/>
      <c r="B1657" s="40"/>
      <c r="U1657" s="36"/>
      <c r="V1657" s="36"/>
      <c r="W1657" s="35"/>
      <c r="X1657" s="7"/>
      <c r="Y1657" s="7"/>
      <c r="Z1657" s="7"/>
      <c r="AA1657" s="7"/>
      <c r="AB1657" s="7"/>
      <c r="AC1657" s="7"/>
      <c r="AD1657" s="7"/>
      <c r="AE1657" s="7"/>
      <c r="AG1657" s="36"/>
      <c r="AH1657" s="36"/>
      <c r="AI1657" s="35"/>
      <c r="AJ1657" s="7"/>
      <c r="AK1657" s="7"/>
      <c r="AL1657" s="7"/>
      <c r="AM1657" s="7"/>
      <c r="AN1657" s="7"/>
      <c r="AO1657" s="7"/>
      <c r="AP1657" s="7"/>
      <c r="AQ1657" s="7"/>
      <c r="AS1657" s="36"/>
      <c r="AT1657" s="36"/>
      <c r="AU1657" s="35"/>
      <c r="AV1657" s="7"/>
      <c r="AW1657" s="7"/>
      <c r="AX1657" s="7"/>
      <c r="AY1657" s="7"/>
      <c r="AZ1657" s="7"/>
      <c r="BA1657" s="7"/>
      <c r="BB1657" s="7"/>
      <c r="BC1657" s="7"/>
      <c r="BF1657" s="7"/>
      <c r="BG1657" s="36"/>
      <c r="BH1657" s="36"/>
      <c r="BI1657" s="36"/>
      <c r="BJ1657" s="36"/>
      <c r="BK1657" s="36"/>
      <c r="BL1657" s="36"/>
      <c r="BM1657" s="36"/>
      <c r="BN1657" s="36"/>
      <c r="BO1657" s="36"/>
    </row>
    <row r="1658" spans="1:67" x14ac:dyDescent="0.25">
      <c r="A1658" s="39"/>
      <c r="B1658" s="40"/>
      <c r="U1658" s="36"/>
      <c r="V1658" s="36"/>
      <c r="W1658" s="35"/>
      <c r="X1658" s="7"/>
      <c r="Y1658" s="7"/>
      <c r="Z1658" s="7"/>
      <c r="AA1658" s="7"/>
      <c r="AB1658" s="7"/>
      <c r="AC1658" s="7"/>
      <c r="AD1658" s="7"/>
      <c r="AE1658" s="7"/>
      <c r="AG1658" s="36"/>
      <c r="AH1658" s="36"/>
      <c r="AI1658" s="35"/>
      <c r="AJ1658" s="7"/>
      <c r="AK1658" s="7"/>
      <c r="AL1658" s="7"/>
      <c r="AM1658" s="7"/>
      <c r="AN1658" s="7"/>
      <c r="AO1658" s="7"/>
      <c r="AP1658" s="7"/>
      <c r="AQ1658" s="7"/>
      <c r="AS1658" s="36"/>
      <c r="AT1658" s="36"/>
      <c r="AU1658" s="35"/>
      <c r="AV1658" s="7"/>
      <c r="AW1658" s="7"/>
      <c r="AX1658" s="7"/>
      <c r="AY1658" s="7"/>
      <c r="AZ1658" s="7"/>
      <c r="BA1658" s="7"/>
      <c r="BB1658" s="7"/>
      <c r="BC1658" s="7"/>
      <c r="BF1658" s="7"/>
      <c r="BG1658" s="36"/>
      <c r="BH1658" s="36"/>
      <c r="BI1658" s="36"/>
      <c r="BJ1658" s="36"/>
      <c r="BK1658" s="36"/>
      <c r="BL1658" s="36"/>
      <c r="BM1658" s="36"/>
      <c r="BN1658" s="36"/>
      <c r="BO1658" s="36"/>
    </row>
    <row r="1659" spans="1:67" x14ac:dyDescent="0.25">
      <c r="A1659" s="39"/>
      <c r="B1659" s="40"/>
      <c r="U1659" s="36"/>
      <c r="V1659" s="36"/>
      <c r="W1659" s="35"/>
      <c r="X1659" s="7"/>
      <c r="Y1659" s="7"/>
      <c r="Z1659" s="7"/>
      <c r="AA1659" s="7"/>
      <c r="AB1659" s="7"/>
      <c r="AC1659" s="7"/>
      <c r="AD1659" s="7"/>
      <c r="AE1659" s="7"/>
      <c r="AG1659" s="36"/>
      <c r="AH1659" s="36"/>
      <c r="AI1659" s="35"/>
      <c r="AJ1659" s="7"/>
      <c r="AK1659" s="7"/>
      <c r="AL1659" s="7"/>
      <c r="AM1659" s="7"/>
      <c r="AN1659" s="7"/>
      <c r="AO1659" s="7"/>
      <c r="AP1659" s="7"/>
      <c r="AQ1659" s="7"/>
      <c r="AS1659" s="36"/>
      <c r="AT1659" s="36"/>
      <c r="AU1659" s="35"/>
      <c r="AV1659" s="7"/>
      <c r="AW1659" s="7"/>
      <c r="AX1659" s="7"/>
      <c r="AY1659" s="7"/>
      <c r="AZ1659" s="7"/>
      <c r="BA1659" s="7"/>
      <c r="BB1659" s="7"/>
      <c r="BC1659" s="7"/>
      <c r="BF1659" s="7"/>
      <c r="BG1659" s="36"/>
      <c r="BH1659" s="36"/>
      <c r="BI1659" s="36"/>
      <c r="BJ1659" s="36"/>
      <c r="BK1659" s="36"/>
      <c r="BL1659" s="36"/>
      <c r="BM1659" s="36"/>
      <c r="BN1659" s="36"/>
      <c r="BO1659" s="36"/>
    </row>
    <row r="1660" spans="1:67" x14ac:dyDescent="0.25">
      <c r="A1660" s="39"/>
      <c r="B1660" s="40"/>
      <c r="U1660" s="36"/>
      <c r="V1660" s="36"/>
      <c r="W1660" s="35"/>
      <c r="X1660" s="7"/>
      <c r="Y1660" s="7"/>
      <c r="Z1660" s="7"/>
      <c r="AA1660" s="7"/>
      <c r="AB1660" s="7"/>
      <c r="AC1660" s="7"/>
      <c r="AD1660" s="7"/>
      <c r="AE1660" s="7"/>
      <c r="AG1660" s="36"/>
      <c r="AH1660" s="36"/>
      <c r="AI1660" s="35"/>
      <c r="AJ1660" s="7"/>
      <c r="AK1660" s="7"/>
      <c r="AL1660" s="7"/>
      <c r="AM1660" s="7"/>
      <c r="AN1660" s="7"/>
      <c r="AO1660" s="7"/>
      <c r="AP1660" s="7"/>
      <c r="AQ1660" s="7"/>
      <c r="AS1660" s="36"/>
      <c r="AT1660" s="36"/>
      <c r="AU1660" s="35"/>
      <c r="AV1660" s="7"/>
      <c r="AW1660" s="7"/>
      <c r="AX1660" s="7"/>
      <c r="AY1660" s="7"/>
      <c r="AZ1660" s="7"/>
      <c r="BA1660" s="7"/>
      <c r="BB1660" s="7"/>
      <c r="BC1660" s="7"/>
      <c r="BF1660" s="7"/>
      <c r="BG1660" s="36"/>
      <c r="BH1660" s="36"/>
      <c r="BI1660" s="36"/>
      <c r="BJ1660" s="36"/>
      <c r="BK1660" s="36"/>
      <c r="BL1660" s="36"/>
      <c r="BM1660" s="36"/>
      <c r="BN1660" s="36"/>
      <c r="BO1660" s="36"/>
    </row>
    <row r="1661" spans="1:67" x14ac:dyDescent="0.25">
      <c r="A1661" s="39"/>
      <c r="B1661" s="40"/>
      <c r="U1661" s="36"/>
      <c r="V1661" s="36"/>
      <c r="W1661" s="35"/>
      <c r="X1661" s="7"/>
      <c r="Y1661" s="7"/>
      <c r="Z1661" s="7"/>
      <c r="AA1661" s="7"/>
      <c r="AB1661" s="7"/>
      <c r="AC1661" s="7"/>
      <c r="AD1661" s="7"/>
      <c r="AE1661" s="7"/>
      <c r="AG1661" s="36"/>
      <c r="AH1661" s="36"/>
      <c r="AI1661" s="35"/>
      <c r="AJ1661" s="7"/>
      <c r="AK1661" s="7"/>
      <c r="AL1661" s="7"/>
      <c r="AM1661" s="7"/>
      <c r="AN1661" s="7"/>
      <c r="AO1661" s="7"/>
      <c r="AP1661" s="7"/>
      <c r="AQ1661" s="7"/>
      <c r="AS1661" s="36"/>
      <c r="AT1661" s="36"/>
      <c r="AU1661" s="35"/>
      <c r="AV1661" s="7"/>
      <c r="AW1661" s="7"/>
      <c r="AX1661" s="7"/>
      <c r="AY1661" s="7"/>
      <c r="AZ1661" s="7"/>
      <c r="BA1661" s="7"/>
      <c r="BB1661" s="7"/>
      <c r="BC1661" s="7"/>
      <c r="BF1661" s="7"/>
      <c r="BG1661" s="36"/>
      <c r="BH1661" s="36"/>
      <c r="BI1661" s="36"/>
      <c r="BJ1661" s="36"/>
      <c r="BK1661" s="36"/>
      <c r="BL1661" s="36"/>
      <c r="BM1661" s="36"/>
      <c r="BN1661" s="36"/>
      <c r="BO1661" s="36"/>
    </row>
    <row r="1662" spans="1:67" x14ac:dyDescent="0.25">
      <c r="A1662" s="39"/>
      <c r="B1662" s="40"/>
      <c r="U1662" s="36"/>
      <c r="V1662" s="36"/>
      <c r="W1662" s="35"/>
      <c r="X1662" s="7"/>
      <c r="Y1662" s="7"/>
      <c r="Z1662" s="7"/>
      <c r="AA1662" s="7"/>
      <c r="AB1662" s="7"/>
      <c r="AC1662" s="7"/>
      <c r="AD1662" s="7"/>
      <c r="AE1662" s="7"/>
      <c r="AG1662" s="36"/>
      <c r="AH1662" s="36"/>
      <c r="AI1662" s="35"/>
      <c r="AJ1662" s="7"/>
      <c r="AK1662" s="7"/>
      <c r="AL1662" s="7"/>
      <c r="AM1662" s="7"/>
      <c r="AN1662" s="7"/>
      <c r="AO1662" s="7"/>
      <c r="AP1662" s="7"/>
      <c r="AQ1662" s="7"/>
      <c r="AS1662" s="36"/>
      <c r="AT1662" s="36"/>
      <c r="AU1662" s="35"/>
      <c r="AV1662" s="7"/>
      <c r="AW1662" s="7"/>
      <c r="AX1662" s="7"/>
      <c r="AY1662" s="7"/>
      <c r="AZ1662" s="7"/>
      <c r="BA1662" s="7"/>
      <c r="BB1662" s="7"/>
      <c r="BC1662" s="7"/>
      <c r="BF1662" s="7"/>
      <c r="BG1662" s="36"/>
      <c r="BH1662" s="36"/>
      <c r="BI1662" s="36"/>
      <c r="BJ1662" s="36"/>
      <c r="BK1662" s="36"/>
      <c r="BL1662" s="36"/>
      <c r="BM1662" s="36"/>
      <c r="BN1662" s="36"/>
      <c r="BO1662" s="36"/>
    </row>
    <row r="1663" spans="1:67" x14ac:dyDescent="0.25">
      <c r="A1663" s="39"/>
      <c r="B1663" s="40"/>
      <c r="U1663" s="36"/>
      <c r="V1663" s="36"/>
      <c r="W1663" s="35"/>
      <c r="X1663" s="7"/>
      <c r="Y1663" s="7"/>
      <c r="Z1663" s="7"/>
      <c r="AA1663" s="7"/>
      <c r="AB1663" s="7"/>
      <c r="AC1663" s="7"/>
      <c r="AD1663" s="7"/>
      <c r="AE1663" s="7"/>
      <c r="AG1663" s="36"/>
      <c r="AH1663" s="36"/>
      <c r="AI1663" s="35"/>
      <c r="AJ1663" s="7"/>
      <c r="AK1663" s="7"/>
      <c r="AL1663" s="7"/>
      <c r="AM1663" s="7"/>
      <c r="AN1663" s="7"/>
      <c r="AO1663" s="7"/>
      <c r="AP1663" s="7"/>
      <c r="AQ1663" s="7"/>
      <c r="AS1663" s="36"/>
      <c r="AT1663" s="36"/>
      <c r="AU1663" s="35"/>
      <c r="AV1663" s="7"/>
      <c r="AW1663" s="7"/>
      <c r="AX1663" s="7"/>
      <c r="AY1663" s="7"/>
      <c r="AZ1663" s="7"/>
      <c r="BA1663" s="7"/>
      <c r="BB1663" s="7"/>
      <c r="BC1663" s="7"/>
      <c r="BF1663" s="7"/>
      <c r="BG1663" s="36"/>
      <c r="BH1663" s="36"/>
      <c r="BI1663" s="36"/>
      <c r="BJ1663" s="36"/>
      <c r="BK1663" s="36"/>
      <c r="BL1663" s="36"/>
      <c r="BM1663" s="36"/>
      <c r="BN1663" s="36"/>
      <c r="BO1663" s="36"/>
    </row>
    <row r="1664" spans="1:67" x14ac:dyDescent="0.25">
      <c r="A1664" s="39"/>
      <c r="B1664" s="40"/>
      <c r="U1664" s="36"/>
      <c r="V1664" s="36"/>
      <c r="W1664" s="35"/>
      <c r="X1664" s="7"/>
      <c r="Y1664" s="7"/>
      <c r="Z1664" s="7"/>
      <c r="AA1664" s="7"/>
      <c r="AB1664" s="7"/>
      <c r="AC1664" s="7"/>
      <c r="AD1664" s="7"/>
      <c r="AE1664" s="7"/>
      <c r="AG1664" s="36"/>
      <c r="AH1664" s="36"/>
      <c r="AI1664" s="35"/>
      <c r="AJ1664" s="7"/>
      <c r="AK1664" s="7"/>
      <c r="AL1664" s="7"/>
      <c r="AM1664" s="7"/>
      <c r="AN1664" s="7"/>
      <c r="AO1664" s="7"/>
      <c r="AP1664" s="7"/>
      <c r="AQ1664" s="7"/>
      <c r="AS1664" s="36"/>
      <c r="AT1664" s="36"/>
      <c r="AU1664" s="35"/>
      <c r="AV1664" s="7"/>
      <c r="AW1664" s="7"/>
      <c r="AX1664" s="7"/>
      <c r="AY1664" s="7"/>
      <c r="AZ1664" s="7"/>
      <c r="BA1664" s="7"/>
      <c r="BB1664" s="7"/>
      <c r="BC1664" s="7"/>
      <c r="BF1664" s="7"/>
      <c r="BG1664" s="36"/>
      <c r="BH1664" s="36"/>
      <c r="BI1664" s="36"/>
      <c r="BJ1664" s="36"/>
      <c r="BK1664" s="36"/>
      <c r="BL1664" s="36"/>
      <c r="BM1664" s="36"/>
      <c r="BN1664" s="36"/>
      <c r="BO1664" s="36"/>
    </row>
    <row r="1665" spans="1:67" x14ac:dyDescent="0.25">
      <c r="A1665" s="39"/>
      <c r="B1665" s="40"/>
      <c r="U1665" s="36"/>
      <c r="V1665" s="36"/>
      <c r="W1665" s="35"/>
      <c r="X1665" s="7"/>
      <c r="Y1665" s="7"/>
      <c r="Z1665" s="7"/>
      <c r="AA1665" s="7"/>
      <c r="AB1665" s="7"/>
      <c r="AC1665" s="7"/>
      <c r="AD1665" s="7"/>
      <c r="AE1665" s="7"/>
      <c r="AG1665" s="36"/>
      <c r="AH1665" s="36"/>
      <c r="AI1665" s="35"/>
      <c r="AJ1665" s="7"/>
      <c r="AK1665" s="7"/>
      <c r="AL1665" s="7"/>
      <c r="AM1665" s="7"/>
      <c r="AN1665" s="7"/>
      <c r="AO1665" s="7"/>
      <c r="AP1665" s="7"/>
      <c r="AQ1665" s="7"/>
      <c r="AS1665" s="36"/>
      <c r="AT1665" s="36"/>
      <c r="AU1665" s="35"/>
      <c r="AV1665" s="7"/>
      <c r="AW1665" s="7"/>
      <c r="AX1665" s="7"/>
      <c r="AY1665" s="7"/>
      <c r="AZ1665" s="7"/>
      <c r="BA1665" s="7"/>
      <c r="BB1665" s="7"/>
      <c r="BC1665" s="7"/>
      <c r="BF1665" s="7"/>
      <c r="BG1665" s="36"/>
      <c r="BH1665" s="36"/>
      <c r="BI1665" s="36"/>
      <c r="BJ1665" s="36"/>
      <c r="BK1665" s="36"/>
      <c r="BL1665" s="36"/>
      <c r="BM1665" s="36"/>
      <c r="BN1665" s="36"/>
      <c r="BO1665" s="36"/>
    </row>
    <row r="1666" spans="1:67" x14ac:dyDescent="0.25">
      <c r="A1666" s="39"/>
      <c r="B1666" s="40"/>
      <c r="U1666" s="36"/>
      <c r="V1666" s="36"/>
      <c r="W1666" s="35"/>
      <c r="X1666" s="7"/>
      <c r="Y1666" s="7"/>
      <c r="Z1666" s="7"/>
      <c r="AA1666" s="7"/>
      <c r="AB1666" s="7"/>
      <c r="AC1666" s="7"/>
      <c r="AD1666" s="7"/>
      <c r="AE1666" s="7"/>
      <c r="AG1666" s="36"/>
      <c r="AH1666" s="36"/>
      <c r="AI1666" s="35"/>
      <c r="AJ1666" s="7"/>
      <c r="AK1666" s="7"/>
      <c r="AL1666" s="7"/>
      <c r="AM1666" s="7"/>
      <c r="AN1666" s="7"/>
      <c r="AO1666" s="7"/>
      <c r="AP1666" s="7"/>
      <c r="AQ1666" s="7"/>
      <c r="AS1666" s="36"/>
      <c r="AT1666" s="36"/>
      <c r="AU1666" s="35"/>
      <c r="AV1666" s="7"/>
      <c r="AW1666" s="7"/>
      <c r="AX1666" s="7"/>
      <c r="AY1666" s="7"/>
      <c r="AZ1666" s="7"/>
      <c r="BA1666" s="7"/>
      <c r="BB1666" s="7"/>
      <c r="BC1666" s="7"/>
      <c r="BF1666" s="7"/>
      <c r="BG1666" s="36"/>
      <c r="BH1666" s="36"/>
      <c r="BI1666" s="36"/>
      <c r="BJ1666" s="36"/>
      <c r="BK1666" s="36"/>
      <c r="BL1666" s="36"/>
      <c r="BM1666" s="36"/>
      <c r="BN1666" s="36"/>
      <c r="BO1666" s="36"/>
    </row>
    <row r="1667" spans="1:67" x14ac:dyDescent="0.25">
      <c r="A1667" s="39"/>
      <c r="B1667" s="40"/>
      <c r="U1667" s="36"/>
      <c r="V1667" s="36"/>
      <c r="W1667" s="35"/>
      <c r="X1667" s="7"/>
      <c r="Y1667" s="7"/>
      <c r="Z1667" s="7"/>
      <c r="AA1667" s="7"/>
      <c r="AB1667" s="7"/>
      <c r="AC1667" s="7"/>
      <c r="AD1667" s="7"/>
      <c r="AE1667" s="7"/>
      <c r="AG1667" s="36"/>
      <c r="AH1667" s="36"/>
      <c r="AI1667" s="35"/>
      <c r="AJ1667" s="7"/>
      <c r="AK1667" s="7"/>
      <c r="AL1667" s="7"/>
      <c r="AM1667" s="7"/>
      <c r="AN1667" s="7"/>
      <c r="AO1667" s="7"/>
      <c r="AP1667" s="7"/>
      <c r="AQ1667" s="7"/>
      <c r="AS1667" s="36"/>
      <c r="AT1667" s="36"/>
      <c r="AU1667" s="35"/>
      <c r="AV1667" s="7"/>
      <c r="AW1667" s="7"/>
      <c r="AX1667" s="7"/>
      <c r="AY1667" s="7"/>
      <c r="AZ1667" s="7"/>
      <c r="BA1667" s="7"/>
      <c r="BB1667" s="7"/>
      <c r="BC1667" s="7"/>
      <c r="BF1667" s="7"/>
      <c r="BG1667" s="36"/>
      <c r="BH1667" s="36"/>
      <c r="BI1667" s="36"/>
      <c r="BJ1667" s="36"/>
      <c r="BK1667" s="36"/>
      <c r="BL1667" s="36"/>
      <c r="BM1667" s="36"/>
      <c r="BN1667" s="36"/>
      <c r="BO1667" s="36"/>
    </row>
    <row r="1668" spans="1:67" x14ac:dyDescent="0.25">
      <c r="A1668" s="39"/>
      <c r="B1668" s="40"/>
      <c r="U1668" s="36"/>
      <c r="V1668" s="36"/>
      <c r="W1668" s="35"/>
      <c r="X1668" s="7"/>
      <c r="Y1668" s="7"/>
      <c r="Z1668" s="7"/>
      <c r="AA1668" s="7"/>
      <c r="AB1668" s="7"/>
      <c r="AC1668" s="7"/>
      <c r="AD1668" s="7"/>
      <c r="AE1668" s="7"/>
      <c r="AG1668" s="36"/>
      <c r="AH1668" s="36"/>
      <c r="AI1668" s="35"/>
      <c r="AJ1668" s="7"/>
      <c r="AK1668" s="7"/>
      <c r="AL1668" s="7"/>
      <c r="AM1668" s="7"/>
      <c r="AN1668" s="7"/>
      <c r="AO1668" s="7"/>
      <c r="AP1668" s="7"/>
      <c r="AQ1668" s="7"/>
      <c r="AS1668" s="36"/>
      <c r="AT1668" s="36"/>
      <c r="AU1668" s="35"/>
      <c r="AV1668" s="7"/>
      <c r="AW1668" s="7"/>
      <c r="AX1668" s="7"/>
      <c r="AY1668" s="7"/>
      <c r="AZ1668" s="7"/>
      <c r="BA1668" s="7"/>
      <c r="BB1668" s="7"/>
      <c r="BC1668" s="7"/>
      <c r="BF1668" s="7"/>
      <c r="BG1668" s="36"/>
      <c r="BH1668" s="36"/>
      <c r="BI1668" s="36"/>
      <c r="BJ1668" s="36"/>
      <c r="BK1668" s="36"/>
      <c r="BL1668" s="36"/>
      <c r="BM1668" s="36"/>
      <c r="BN1668" s="36"/>
      <c r="BO1668" s="36"/>
    </row>
    <row r="1669" spans="1:67" x14ac:dyDescent="0.25">
      <c r="A1669" s="39"/>
      <c r="B1669" s="40"/>
      <c r="U1669" s="36"/>
      <c r="V1669" s="36"/>
      <c r="W1669" s="35"/>
      <c r="X1669" s="7"/>
      <c r="Y1669" s="7"/>
      <c r="Z1669" s="7"/>
      <c r="AA1669" s="7"/>
      <c r="AB1669" s="7"/>
      <c r="AC1669" s="7"/>
      <c r="AD1669" s="7"/>
      <c r="AE1669" s="7"/>
      <c r="AG1669" s="36"/>
      <c r="AH1669" s="36"/>
      <c r="AI1669" s="35"/>
      <c r="AJ1669" s="7"/>
      <c r="AK1669" s="7"/>
      <c r="AL1669" s="7"/>
      <c r="AM1669" s="7"/>
      <c r="AN1669" s="7"/>
      <c r="AO1669" s="7"/>
      <c r="AP1669" s="7"/>
      <c r="AQ1669" s="7"/>
      <c r="AS1669" s="36"/>
      <c r="AT1669" s="36"/>
      <c r="AU1669" s="35"/>
      <c r="AV1669" s="7"/>
      <c r="AW1669" s="7"/>
      <c r="AX1669" s="7"/>
      <c r="AY1669" s="7"/>
      <c r="AZ1669" s="7"/>
      <c r="BA1669" s="7"/>
      <c r="BB1669" s="7"/>
      <c r="BC1669" s="7"/>
      <c r="BF1669" s="7"/>
      <c r="BG1669" s="36"/>
      <c r="BH1669" s="36"/>
      <c r="BI1669" s="36"/>
      <c r="BJ1669" s="36"/>
      <c r="BK1669" s="36"/>
      <c r="BL1669" s="36"/>
      <c r="BM1669" s="36"/>
      <c r="BN1669" s="36"/>
      <c r="BO1669" s="36"/>
    </row>
    <row r="1670" spans="1:67" x14ac:dyDescent="0.25">
      <c r="A1670" s="39"/>
      <c r="B1670" s="40"/>
      <c r="U1670" s="36"/>
      <c r="V1670" s="36"/>
      <c r="W1670" s="35"/>
      <c r="X1670" s="7"/>
      <c r="Y1670" s="7"/>
      <c r="Z1670" s="7"/>
      <c r="AA1670" s="7"/>
      <c r="AB1670" s="7"/>
      <c r="AC1670" s="7"/>
      <c r="AD1670" s="7"/>
      <c r="AE1670" s="7"/>
      <c r="AG1670" s="36"/>
      <c r="AH1670" s="36"/>
      <c r="AI1670" s="35"/>
      <c r="AJ1670" s="7"/>
      <c r="AK1670" s="7"/>
      <c r="AL1670" s="7"/>
      <c r="AM1670" s="7"/>
      <c r="AN1670" s="7"/>
      <c r="AO1670" s="7"/>
      <c r="AP1670" s="7"/>
      <c r="AQ1670" s="7"/>
      <c r="AS1670" s="36"/>
      <c r="AT1670" s="36"/>
      <c r="AU1670" s="35"/>
      <c r="AV1670" s="7"/>
      <c r="AW1670" s="7"/>
      <c r="AX1670" s="7"/>
      <c r="AY1670" s="7"/>
      <c r="AZ1670" s="7"/>
      <c r="BA1670" s="7"/>
      <c r="BB1670" s="7"/>
      <c r="BC1670" s="7"/>
      <c r="BF1670" s="7"/>
      <c r="BG1670" s="36"/>
      <c r="BH1670" s="36"/>
      <c r="BI1670" s="36"/>
      <c r="BJ1670" s="36"/>
      <c r="BK1670" s="36"/>
      <c r="BL1670" s="36"/>
      <c r="BM1670" s="36"/>
      <c r="BN1670" s="36"/>
      <c r="BO1670" s="36"/>
    </row>
    <row r="1671" spans="1:67" x14ac:dyDescent="0.25">
      <c r="A1671" s="39"/>
      <c r="B1671" s="40"/>
      <c r="U1671" s="36"/>
      <c r="V1671" s="36"/>
      <c r="W1671" s="35"/>
      <c r="X1671" s="7"/>
      <c r="Y1671" s="7"/>
      <c r="Z1671" s="7"/>
      <c r="AA1671" s="7"/>
      <c r="AB1671" s="7"/>
      <c r="AC1671" s="7"/>
      <c r="AD1671" s="7"/>
      <c r="AE1671" s="7"/>
      <c r="AG1671" s="36"/>
      <c r="AH1671" s="36"/>
      <c r="AI1671" s="35"/>
      <c r="AJ1671" s="7"/>
      <c r="AK1671" s="7"/>
      <c r="AL1671" s="7"/>
      <c r="AM1671" s="7"/>
      <c r="AN1671" s="7"/>
      <c r="AO1671" s="7"/>
      <c r="AP1671" s="7"/>
      <c r="AQ1671" s="7"/>
      <c r="AS1671" s="36"/>
      <c r="AT1671" s="36"/>
      <c r="AU1671" s="35"/>
      <c r="AV1671" s="7"/>
      <c r="AW1671" s="7"/>
      <c r="AX1671" s="7"/>
      <c r="AY1671" s="7"/>
      <c r="AZ1671" s="7"/>
      <c r="BA1671" s="7"/>
      <c r="BB1671" s="7"/>
      <c r="BC1671" s="7"/>
      <c r="BF1671" s="7"/>
      <c r="BG1671" s="36"/>
      <c r="BH1671" s="36"/>
      <c r="BI1671" s="36"/>
      <c r="BJ1671" s="36"/>
      <c r="BK1671" s="36"/>
      <c r="BL1671" s="36"/>
      <c r="BM1671" s="36"/>
      <c r="BN1671" s="36"/>
      <c r="BO1671" s="36"/>
    </row>
    <row r="1672" spans="1:67" x14ac:dyDescent="0.25">
      <c r="A1672" s="39"/>
      <c r="B1672" s="40"/>
      <c r="U1672" s="36"/>
      <c r="V1672" s="36"/>
      <c r="W1672" s="35"/>
      <c r="X1672" s="7"/>
      <c r="Y1672" s="7"/>
      <c r="Z1672" s="7"/>
      <c r="AA1672" s="7"/>
      <c r="AB1672" s="7"/>
      <c r="AC1672" s="7"/>
      <c r="AD1672" s="7"/>
      <c r="AE1672" s="7"/>
      <c r="AG1672" s="36"/>
      <c r="AH1672" s="36"/>
      <c r="AI1672" s="35"/>
      <c r="AJ1672" s="7"/>
      <c r="AK1672" s="7"/>
      <c r="AL1672" s="7"/>
      <c r="AM1672" s="7"/>
      <c r="AN1672" s="7"/>
      <c r="AO1672" s="7"/>
      <c r="AP1672" s="7"/>
      <c r="AQ1672" s="7"/>
      <c r="AS1672" s="36"/>
      <c r="AT1672" s="36"/>
      <c r="AU1672" s="35"/>
      <c r="AV1672" s="7"/>
      <c r="AW1672" s="7"/>
      <c r="AX1672" s="7"/>
      <c r="AY1672" s="7"/>
      <c r="AZ1672" s="7"/>
      <c r="BA1672" s="7"/>
      <c r="BB1672" s="7"/>
      <c r="BC1672" s="7"/>
      <c r="BF1672" s="7"/>
      <c r="BG1672" s="36"/>
      <c r="BH1672" s="36"/>
      <c r="BI1672" s="36"/>
      <c r="BJ1672" s="36"/>
      <c r="BK1672" s="36"/>
      <c r="BL1672" s="36"/>
      <c r="BM1672" s="36"/>
      <c r="BN1672" s="36"/>
      <c r="BO1672" s="36"/>
    </row>
    <row r="1673" spans="1:67" x14ac:dyDescent="0.25">
      <c r="A1673" s="39"/>
      <c r="B1673" s="40"/>
      <c r="U1673" s="36"/>
      <c r="V1673" s="36"/>
      <c r="W1673" s="35"/>
      <c r="X1673" s="7"/>
      <c r="Y1673" s="7"/>
      <c r="Z1673" s="7"/>
      <c r="AA1673" s="7"/>
      <c r="AB1673" s="7"/>
      <c r="AC1673" s="7"/>
      <c r="AD1673" s="7"/>
      <c r="AE1673" s="7"/>
      <c r="AG1673" s="36"/>
      <c r="AH1673" s="36"/>
      <c r="AI1673" s="35"/>
      <c r="AJ1673" s="7"/>
      <c r="AK1673" s="7"/>
      <c r="AL1673" s="7"/>
      <c r="AM1673" s="7"/>
      <c r="AN1673" s="7"/>
      <c r="AO1673" s="7"/>
      <c r="AP1673" s="7"/>
      <c r="AQ1673" s="7"/>
      <c r="AS1673" s="36"/>
      <c r="AT1673" s="36"/>
      <c r="AU1673" s="35"/>
      <c r="AV1673" s="7"/>
      <c r="AW1673" s="7"/>
      <c r="AX1673" s="7"/>
      <c r="AY1673" s="7"/>
      <c r="AZ1673" s="7"/>
      <c r="BA1673" s="7"/>
      <c r="BB1673" s="7"/>
      <c r="BC1673" s="7"/>
      <c r="BF1673" s="7"/>
      <c r="BG1673" s="36"/>
      <c r="BH1673" s="36"/>
      <c r="BI1673" s="36"/>
      <c r="BJ1673" s="36"/>
      <c r="BK1673" s="36"/>
      <c r="BL1673" s="36"/>
      <c r="BM1673" s="36"/>
      <c r="BN1673" s="36"/>
      <c r="BO1673" s="36"/>
    </row>
    <row r="1674" spans="1:67" x14ac:dyDescent="0.25">
      <c r="A1674" s="39"/>
      <c r="B1674" s="40"/>
      <c r="U1674" s="36"/>
      <c r="V1674" s="36"/>
      <c r="W1674" s="35"/>
      <c r="X1674" s="7"/>
      <c r="Y1674" s="7"/>
      <c r="Z1674" s="7"/>
      <c r="AA1674" s="7"/>
      <c r="AB1674" s="7"/>
      <c r="AC1674" s="7"/>
      <c r="AD1674" s="7"/>
      <c r="AE1674" s="7"/>
      <c r="AG1674" s="36"/>
      <c r="AH1674" s="36"/>
      <c r="AI1674" s="35"/>
      <c r="AJ1674" s="7"/>
      <c r="AK1674" s="7"/>
      <c r="AL1674" s="7"/>
      <c r="AM1674" s="7"/>
      <c r="AN1674" s="7"/>
      <c r="AO1674" s="7"/>
      <c r="AP1674" s="7"/>
      <c r="AQ1674" s="7"/>
      <c r="AS1674" s="36"/>
      <c r="AT1674" s="36"/>
      <c r="AU1674" s="35"/>
      <c r="AV1674" s="7"/>
      <c r="AW1674" s="7"/>
      <c r="AX1674" s="7"/>
      <c r="AY1674" s="7"/>
      <c r="AZ1674" s="7"/>
      <c r="BA1674" s="7"/>
      <c r="BB1674" s="7"/>
      <c r="BC1674" s="7"/>
      <c r="BF1674" s="7"/>
      <c r="BG1674" s="36"/>
      <c r="BH1674" s="36"/>
      <c r="BI1674" s="36"/>
      <c r="BJ1674" s="36"/>
      <c r="BK1674" s="36"/>
      <c r="BL1674" s="36"/>
      <c r="BM1674" s="36"/>
      <c r="BN1674" s="36"/>
      <c r="BO1674" s="36"/>
    </row>
    <row r="1675" spans="1:67" x14ac:dyDescent="0.25">
      <c r="A1675" s="39"/>
      <c r="B1675" s="40"/>
      <c r="U1675" s="36"/>
      <c r="V1675" s="36"/>
      <c r="W1675" s="35"/>
      <c r="X1675" s="7"/>
      <c r="Y1675" s="7"/>
      <c r="Z1675" s="7"/>
      <c r="AA1675" s="7"/>
      <c r="AB1675" s="7"/>
      <c r="AC1675" s="7"/>
      <c r="AD1675" s="7"/>
      <c r="AE1675" s="7"/>
      <c r="AG1675" s="36"/>
      <c r="AH1675" s="36"/>
      <c r="AI1675" s="35"/>
      <c r="AJ1675" s="7"/>
      <c r="AK1675" s="7"/>
      <c r="AL1675" s="7"/>
      <c r="AM1675" s="7"/>
      <c r="AN1675" s="7"/>
      <c r="AO1675" s="7"/>
      <c r="AP1675" s="7"/>
      <c r="AQ1675" s="7"/>
      <c r="AS1675" s="36"/>
      <c r="AT1675" s="36"/>
      <c r="AU1675" s="35"/>
      <c r="AV1675" s="7"/>
      <c r="AW1675" s="7"/>
      <c r="AX1675" s="7"/>
      <c r="AY1675" s="7"/>
      <c r="AZ1675" s="7"/>
      <c r="BA1675" s="7"/>
      <c r="BB1675" s="7"/>
      <c r="BC1675" s="7"/>
      <c r="BF1675" s="7"/>
      <c r="BG1675" s="36"/>
      <c r="BH1675" s="36"/>
      <c r="BI1675" s="36"/>
      <c r="BJ1675" s="36"/>
      <c r="BK1675" s="36"/>
      <c r="BL1675" s="36"/>
      <c r="BM1675" s="36"/>
      <c r="BN1675" s="36"/>
      <c r="BO1675" s="36"/>
    </row>
    <row r="1676" spans="1:67" x14ac:dyDescent="0.25">
      <c r="A1676" s="39"/>
      <c r="B1676" s="40"/>
      <c r="U1676" s="36"/>
      <c r="V1676" s="36"/>
      <c r="W1676" s="35"/>
      <c r="X1676" s="7"/>
      <c r="Y1676" s="7"/>
      <c r="Z1676" s="7"/>
      <c r="AA1676" s="7"/>
      <c r="AB1676" s="7"/>
      <c r="AC1676" s="7"/>
      <c r="AD1676" s="7"/>
      <c r="AE1676" s="7"/>
      <c r="AG1676" s="36"/>
      <c r="AH1676" s="36"/>
      <c r="AI1676" s="35"/>
      <c r="AJ1676" s="7"/>
      <c r="AK1676" s="7"/>
      <c r="AL1676" s="7"/>
      <c r="AM1676" s="7"/>
      <c r="AN1676" s="7"/>
      <c r="AO1676" s="7"/>
      <c r="AP1676" s="7"/>
      <c r="AQ1676" s="7"/>
      <c r="AS1676" s="36"/>
      <c r="AT1676" s="36"/>
      <c r="AU1676" s="35"/>
      <c r="AV1676" s="7"/>
      <c r="AW1676" s="7"/>
      <c r="AX1676" s="7"/>
      <c r="AY1676" s="7"/>
      <c r="AZ1676" s="7"/>
      <c r="BA1676" s="7"/>
      <c r="BB1676" s="7"/>
      <c r="BC1676" s="7"/>
      <c r="BF1676" s="7"/>
      <c r="BG1676" s="36"/>
      <c r="BH1676" s="36"/>
      <c r="BI1676" s="36"/>
      <c r="BJ1676" s="36"/>
      <c r="BK1676" s="36"/>
      <c r="BL1676" s="36"/>
      <c r="BM1676" s="36"/>
      <c r="BN1676" s="36"/>
      <c r="BO1676" s="36"/>
    </row>
    <row r="1677" spans="1:67" x14ac:dyDescent="0.25">
      <c r="A1677" s="39"/>
      <c r="B1677" s="40"/>
      <c r="U1677" s="36"/>
      <c r="V1677" s="36"/>
      <c r="W1677" s="35"/>
      <c r="X1677" s="7"/>
      <c r="Y1677" s="7"/>
      <c r="Z1677" s="7"/>
      <c r="AA1677" s="7"/>
      <c r="AB1677" s="7"/>
      <c r="AC1677" s="7"/>
      <c r="AD1677" s="7"/>
      <c r="AE1677" s="7"/>
      <c r="AG1677" s="36"/>
      <c r="AH1677" s="36"/>
      <c r="AI1677" s="35"/>
      <c r="AJ1677" s="7"/>
      <c r="AK1677" s="7"/>
      <c r="AL1677" s="7"/>
      <c r="AM1677" s="7"/>
      <c r="AN1677" s="7"/>
      <c r="AO1677" s="7"/>
      <c r="AP1677" s="7"/>
      <c r="AQ1677" s="7"/>
      <c r="AS1677" s="36"/>
      <c r="AT1677" s="36"/>
      <c r="AU1677" s="35"/>
      <c r="AV1677" s="7"/>
      <c r="AW1677" s="7"/>
      <c r="AX1677" s="7"/>
      <c r="AY1677" s="7"/>
      <c r="AZ1677" s="7"/>
      <c r="BA1677" s="7"/>
      <c r="BB1677" s="7"/>
      <c r="BC1677" s="7"/>
      <c r="BF1677" s="7"/>
      <c r="BG1677" s="36"/>
      <c r="BH1677" s="36"/>
      <c r="BI1677" s="36"/>
      <c r="BJ1677" s="36"/>
      <c r="BK1677" s="36"/>
      <c r="BL1677" s="36"/>
      <c r="BM1677" s="36"/>
      <c r="BN1677" s="36"/>
      <c r="BO1677" s="36"/>
    </row>
    <row r="1678" spans="1:67" x14ac:dyDescent="0.25">
      <c r="A1678" s="39"/>
      <c r="B1678" s="40"/>
      <c r="U1678" s="36"/>
      <c r="V1678" s="36"/>
      <c r="W1678" s="35"/>
      <c r="X1678" s="7"/>
      <c r="Y1678" s="7"/>
      <c r="Z1678" s="7"/>
      <c r="AA1678" s="7"/>
      <c r="AB1678" s="7"/>
      <c r="AC1678" s="7"/>
      <c r="AD1678" s="7"/>
      <c r="AE1678" s="7"/>
      <c r="AG1678" s="36"/>
      <c r="AH1678" s="36"/>
      <c r="AI1678" s="35"/>
      <c r="AJ1678" s="7"/>
      <c r="AK1678" s="7"/>
      <c r="AL1678" s="7"/>
      <c r="AM1678" s="7"/>
      <c r="AN1678" s="7"/>
      <c r="AO1678" s="7"/>
      <c r="AP1678" s="7"/>
      <c r="AQ1678" s="7"/>
      <c r="AS1678" s="36"/>
      <c r="AT1678" s="36"/>
      <c r="AU1678" s="35"/>
      <c r="AV1678" s="7"/>
      <c r="AW1678" s="7"/>
      <c r="AX1678" s="7"/>
      <c r="AY1678" s="7"/>
      <c r="AZ1678" s="7"/>
      <c r="BA1678" s="7"/>
      <c r="BB1678" s="7"/>
      <c r="BC1678" s="7"/>
      <c r="BF1678" s="7"/>
      <c r="BG1678" s="36"/>
      <c r="BH1678" s="36"/>
      <c r="BI1678" s="36"/>
      <c r="BJ1678" s="36"/>
      <c r="BK1678" s="36"/>
      <c r="BL1678" s="36"/>
      <c r="BM1678" s="36"/>
      <c r="BN1678" s="36"/>
      <c r="BO1678" s="36"/>
    </row>
    <row r="1679" spans="1:67" x14ac:dyDescent="0.25">
      <c r="A1679" s="39"/>
      <c r="B1679" s="40"/>
      <c r="U1679" s="36"/>
      <c r="V1679" s="36"/>
      <c r="W1679" s="35"/>
      <c r="X1679" s="7"/>
      <c r="Y1679" s="7"/>
      <c r="Z1679" s="7"/>
      <c r="AA1679" s="7"/>
      <c r="AB1679" s="7"/>
      <c r="AC1679" s="7"/>
      <c r="AD1679" s="7"/>
      <c r="AE1679" s="7"/>
      <c r="AG1679" s="36"/>
      <c r="AH1679" s="36"/>
      <c r="AI1679" s="35"/>
      <c r="AJ1679" s="7"/>
      <c r="AK1679" s="7"/>
      <c r="AL1679" s="7"/>
      <c r="AM1679" s="7"/>
      <c r="AN1679" s="7"/>
      <c r="AO1679" s="7"/>
      <c r="AP1679" s="7"/>
      <c r="AQ1679" s="7"/>
      <c r="AS1679" s="36"/>
      <c r="AT1679" s="36"/>
      <c r="AU1679" s="35"/>
      <c r="AV1679" s="7"/>
      <c r="AW1679" s="7"/>
      <c r="AX1679" s="7"/>
      <c r="AY1679" s="7"/>
      <c r="AZ1679" s="7"/>
      <c r="BA1679" s="7"/>
      <c r="BB1679" s="7"/>
      <c r="BC1679" s="7"/>
      <c r="BF1679" s="7"/>
      <c r="BG1679" s="36"/>
      <c r="BH1679" s="36"/>
      <c r="BI1679" s="36"/>
      <c r="BJ1679" s="36"/>
      <c r="BK1679" s="36"/>
      <c r="BL1679" s="36"/>
      <c r="BM1679" s="36"/>
      <c r="BN1679" s="36"/>
      <c r="BO1679" s="36"/>
    </row>
    <row r="1680" spans="1:67" x14ac:dyDescent="0.25">
      <c r="A1680" s="39"/>
      <c r="B1680" s="40"/>
      <c r="U1680" s="36"/>
      <c r="V1680" s="36"/>
      <c r="W1680" s="35"/>
      <c r="X1680" s="7"/>
      <c r="Y1680" s="7"/>
      <c r="Z1680" s="7"/>
      <c r="AA1680" s="7"/>
      <c r="AB1680" s="7"/>
      <c r="AC1680" s="7"/>
      <c r="AD1680" s="7"/>
      <c r="AE1680" s="7"/>
      <c r="AG1680" s="36"/>
      <c r="AH1680" s="36"/>
      <c r="AI1680" s="35"/>
      <c r="AJ1680" s="7"/>
      <c r="AK1680" s="7"/>
      <c r="AL1680" s="7"/>
      <c r="AM1680" s="7"/>
      <c r="AN1680" s="7"/>
      <c r="AO1680" s="7"/>
      <c r="AP1680" s="7"/>
      <c r="AQ1680" s="7"/>
      <c r="AS1680" s="36"/>
      <c r="AT1680" s="36"/>
      <c r="AU1680" s="35"/>
      <c r="AV1680" s="7"/>
      <c r="AW1680" s="7"/>
      <c r="AX1680" s="7"/>
      <c r="AY1680" s="7"/>
      <c r="AZ1680" s="7"/>
      <c r="BA1680" s="7"/>
      <c r="BB1680" s="7"/>
      <c r="BC1680" s="7"/>
      <c r="BF1680" s="7"/>
      <c r="BG1680" s="36"/>
      <c r="BH1680" s="36"/>
      <c r="BI1680" s="36"/>
      <c r="BJ1680" s="36"/>
      <c r="BK1680" s="36"/>
      <c r="BL1680" s="36"/>
      <c r="BM1680" s="36"/>
      <c r="BN1680" s="36"/>
      <c r="BO1680" s="36"/>
    </row>
    <row r="1681" spans="1:67" x14ac:dyDescent="0.25">
      <c r="A1681" s="39"/>
      <c r="B1681" s="40"/>
      <c r="U1681" s="36"/>
      <c r="V1681" s="36"/>
      <c r="W1681" s="35"/>
      <c r="X1681" s="7"/>
      <c r="Y1681" s="7"/>
      <c r="Z1681" s="7"/>
      <c r="AA1681" s="7"/>
      <c r="AB1681" s="7"/>
      <c r="AC1681" s="7"/>
      <c r="AD1681" s="7"/>
      <c r="AE1681" s="7"/>
      <c r="AG1681" s="36"/>
      <c r="AH1681" s="36"/>
      <c r="AI1681" s="35"/>
      <c r="AJ1681" s="7"/>
      <c r="AK1681" s="7"/>
      <c r="AL1681" s="7"/>
      <c r="AM1681" s="7"/>
      <c r="AN1681" s="7"/>
      <c r="AO1681" s="7"/>
      <c r="AP1681" s="7"/>
      <c r="AQ1681" s="7"/>
      <c r="AS1681" s="36"/>
      <c r="AT1681" s="36"/>
      <c r="AU1681" s="35"/>
      <c r="AV1681" s="7"/>
      <c r="AW1681" s="7"/>
      <c r="AX1681" s="7"/>
      <c r="AY1681" s="7"/>
      <c r="AZ1681" s="7"/>
      <c r="BA1681" s="7"/>
      <c r="BB1681" s="7"/>
      <c r="BC1681" s="7"/>
      <c r="BF1681" s="7"/>
      <c r="BG1681" s="36"/>
      <c r="BH1681" s="36"/>
      <c r="BI1681" s="36"/>
      <c r="BJ1681" s="36"/>
      <c r="BK1681" s="36"/>
      <c r="BL1681" s="36"/>
      <c r="BM1681" s="36"/>
      <c r="BN1681" s="36"/>
      <c r="BO1681" s="36"/>
    </row>
    <row r="1682" spans="1:67" x14ac:dyDescent="0.25">
      <c r="A1682" s="39"/>
      <c r="B1682" s="40"/>
      <c r="U1682" s="36"/>
      <c r="V1682" s="36"/>
      <c r="W1682" s="35"/>
      <c r="X1682" s="7"/>
      <c r="Y1682" s="7"/>
      <c r="Z1682" s="7"/>
      <c r="AA1682" s="7"/>
      <c r="AB1682" s="7"/>
      <c r="AC1682" s="7"/>
      <c r="AD1682" s="7"/>
      <c r="AE1682" s="7"/>
      <c r="AG1682" s="36"/>
      <c r="AH1682" s="36"/>
      <c r="AI1682" s="35"/>
      <c r="AJ1682" s="7"/>
      <c r="AK1682" s="7"/>
      <c r="AL1682" s="7"/>
      <c r="AM1682" s="7"/>
      <c r="AN1682" s="7"/>
      <c r="AO1682" s="7"/>
      <c r="AP1682" s="7"/>
      <c r="AQ1682" s="7"/>
      <c r="AS1682" s="36"/>
      <c r="AT1682" s="36"/>
      <c r="AU1682" s="35"/>
      <c r="AV1682" s="7"/>
      <c r="AW1682" s="7"/>
      <c r="AX1682" s="7"/>
      <c r="AY1682" s="7"/>
      <c r="AZ1682" s="7"/>
      <c r="BA1682" s="7"/>
      <c r="BB1682" s="7"/>
      <c r="BC1682" s="7"/>
      <c r="BF1682" s="7"/>
      <c r="BG1682" s="36"/>
      <c r="BH1682" s="36"/>
      <c r="BI1682" s="36"/>
      <c r="BJ1682" s="36"/>
      <c r="BK1682" s="36"/>
      <c r="BL1682" s="36"/>
      <c r="BM1682" s="36"/>
      <c r="BN1682" s="36"/>
      <c r="BO1682" s="36"/>
    </row>
    <row r="1683" spans="1:67" x14ac:dyDescent="0.25">
      <c r="A1683" s="39"/>
      <c r="B1683" s="40"/>
      <c r="U1683" s="36"/>
      <c r="V1683" s="36"/>
      <c r="W1683" s="35"/>
      <c r="X1683" s="7"/>
      <c r="Y1683" s="7"/>
      <c r="Z1683" s="7"/>
      <c r="AA1683" s="7"/>
      <c r="AB1683" s="7"/>
      <c r="AC1683" s="7"/>
      <c r="AD1683" s="7"/>
      <c r="AE1683" s="7"/>
      <c r="AG1683" s="36"/>
      <c r="AH1683" s="36"/>
      <c r="AI1683" s="35"/>
      <c r="AJ1683" s="7"/>
      <c r="AK1683" s="7"/>
      <c r="AL1683" s="7"/>
      <c r="AM1683" s="7"/>
      <c r="AN1683" s="7"/>
      <c r="AO1683" s="7"/>
      <c r="AP1683" s="7"/>
      <c r="AQ1683" s="7"/>
      <c r="AS1683" s="36"/>
      <c r="AT1683" s="36"/>
      <c r="AU1683" s="35"/>
      <c r="AV1683" s="7"/>
      <c r="AW1683" s="7"/>
      <c r="AX1683" s="7"/>
      <c r="AY1683" s="7"/>
      <c r="AZ1683" s="7"/>
      <c r="BA1683" s="7"/>
      <c r="BB1683" s="7"/>
      <c r="BC1683" s="7"/>
      <c r="BF1683" s="7"/>
      <c r="BG1683" s="36"/>
      <c r="BH1683" s="36"/>
      <c r="BI1683" s="36"/>
      <c r="BJ1683" s="36"/>
      <c r="BK1683" s="36"/>
      <c r="BL1683" s="36"/>
      <c r="BM1683" s="36"/>
      <c r="BN1683" s="36"/>
      <c r="BO1683" s="36"/>
    </row>
    <row r="1684" spans="1:67" x14ac:dyDescent="0.25">
      <c r="A1684" s="39"/>
      <c r="B1684" s="40"/>
      <c r="U1684" s="36"/>
      <c r="V1684" s="36"/>
      <c r="W1684" s="35"/>
      <c r="X1684" s="7"/>
      <c r="Y1684" s="7"/>
      <c r="Z1684" s="7"/>
      <c r="AA1684" s="7"/>
      <c r="AB1684" s="7"/>
      <c r="AC1684" s="7"/>
      <c r="AD1684" s="7"/>
      <c r="AE1684" s="7"/>
      <c r="AG1684" s="36"/>
      <c r="AH1684" s="36"/>
      <c r="AI1684" s="35"/>
      <c r="AJ1684" s="7"/>
      <c r="AK1684" s="7"/>
      <c r="AL1684" s="7"/>
      <c r="AM1684" s="7"/>
      <c r="AN1684" s="7"/>
      <c r="AO1684" s="7"/>
      <c r="AP1684" s="7"/>
      <c r="AQ1684" s="7"/>
      <c r="AS1684" s="36"/>
      <c r="AT1684" s="36"/>
      <c r="AU1684" s="35"/>
      <c r="AV1684" s="7"/>
      <c r="AW1684" s="7"/>
      <c r="AX1684" s="7"/>
      <c r="AY1684" s="7"/>
      <c r="AZ1684" s="7"/>
      <c r="BA1684" s="7"/>
      <c r="BB1684" s="7"/>
      <c r="BC1684" s="7"/>
      <c r="BF1684" s="7"/>
      <c r="BG1684" s="36"/>
      <c r="BH1684" s="36"/>
      <c r="BI1684" s="36"/>
      <c r="BJ1684" s="36"/>
      <c r="BK1684" s="36"/>
      <c r="BL1684" s="36"/>
      <c r="BM1684" s="36"/>
      <c r="BN1684" s="36"/>
      <c r="BO1684" s="36"/>
    </row>
    <row r="1685" spans="1:67" x14ac:dyDescent="0.25">
      <c r="A1685" s="39"/>
      <c r="B1685" s="40"/>
      <c r="U1685" s="36"/>
      <c r="V1685" s="36"/>
      <c r="W1685" s="35"/>
      <c r="X1685" s="7"/>
      <c r="Y1685" s="7"/>
      <c r="Z1685" s="7"/>
      <c r="AA1685" s="7"/>
      <c r="AB1685" s="7"/>
      <c r="AC1685" s="7"/>
      <c r="AD1685" s="7"/>
      <c r="AE1685" s="7"/>
      <c r="AG1685" s="36"/>
      <c r="AH1685" s="36"/>
      <c r="AI1685" s="35"/>
      <c r="AJ1685" s="7"/>
      <c r="AK1685" s="7"/>
      <c r="AL1685" s="7"/>
      <c r="AM1685" s="7"/>
      <c r="AN1685" s="7"/>
      <c r="AO1685" s="7"/>
      <c r="AP1685" s="7"/>
      <c r="AQ1685" s="7"/>
      <c r="AS1685" s="36"/>
      <c r="AT1685" s="36"/>
      <c r="AU1685" s="35"/>
      <c r="AV1685" s="7"/>
      <c r="AW1685" s="7"/>
      <c r="AX1685" s="7"/>
      <c r="AY1685" s="7"/>
      <c r="AZ1685" s="7"/>
      <c r="BA1685" s="7"/>
      <c r="BB1685" s="7"/>
      <c r="BC1685" s="7"/>
      <c r="BF1685" s="7"/>
      <c r="BG1685" s="36"/>
      <c r="BH1685" s="36"/>
      <c r="BI1685" s="36"/>
      <c r="BJ1685" s="36"/>
      <c r="BK1685" s="36"/>
      <c r="BL1685" s="36"/>
      <c r="BM1685" s="36"/>
      <c r="BN1685" s="36"/>
      <c r="BO1685" s="36"/>
    </row>
    <row r="1686" spans="1:67" x14ac:dyDescent="0.25">
      <c r="A1686" s="39"/>
      <c r="B1686" s="40"/>
      <c r="U1686" s="36"/>
      <c r="V1686" s="36"/>
      <c r="W1686" s="35"/>
      <c r="X1686" s="7"/>
      <c r="Y1686" s="7"/>
      <c r="Z1686" s="7"/>
      <c r="AA1686" s="7"/>
      <c r="AB1686" s="7"/>
      <c r="AC1686" s="7"/>
      <c r="AD1686" s="7"/>
      <c r="AE1686" s="7"/>
      <c r="AG1686" s="36"/>
      <c r="AH1686" s="36"/>
      <c r="AI1686" s="35"/>
      <c r="AJ1686" s="7"/>
      <c r="AK1686" s="7"/>
      <c r="AL1686" s="7"/>
      <c r="AM1686" s="7"/>
      <c r="AN1686" s="7"/>
      <c r="AO1686" s="7"/>
      <c r="AP1686" s="7"/>
      <c r="AQ1686" s="7"/>
      <c r="AS1686" s="36"/>
      <c r="AT1686" s="36"/>
      <c r="AU1686" s="35"/>
      <c r="AV1686" s="7"/>
      <c r="AW1686" s="7"/>
      <c r="AX1686" s="7"/>
      <c r="AY1686" s="7"/>
      <c r="AZ1686" s="7"/>
      <c r="BA1686" s="7"/>
      <c r="BB1686" s="7"/>
      <c r="BC1686" s="7"/>
      <c r="BF1686" s="7"/>
      <c r="BG1686" s="36"/>
      <c r="BH1686" s="36"/>
      <c r="BI1686" s="36"/>
      <c r="BJ1686" s="36"/>
      <c r="BK1686" s="36"/>
      <c r="BL1686" s="36"/>
      <c r="BM1686" s="36"/>
      <c r="BN1686" s="36"/>
      <c r="BO1686" s="36"/>
    </row>
    <row r="1687" spans="1:67" x14ac:dyDescent="0.25">
      <c r="A1687" s="39"/>
      <c r="B1687" s="40"/>
      <c r="U1687" s="36"/>
      <c r="V1687" s="36"/>
      <c r="W1687" s="35"/>
      <c r="X1687" s="7"/>
      <c r="Y1687" s="7"/>
      <c r="Z1687" s="7"/>
      <c r="AA1687" s="7"/>
      <c r="AB1687" s="7"/>
      <c r="AC1687" s="7"/>
      <c r="AD1687" s="7"/>
      <c r="AE1687" s="7"/>
      <c r="AG1687" s="36"/>
      <c r="AH1687" s="36"/>
      <c r="AI1687" s="35"/>
      <c r="AJ1687" s="7"/>
      <c r="AK1687" s="7"/>
      <c r="AL1687" s="7"/>
      <c r="AM1687" s="7"/>
      <c r="AN1687" s="7"/>
      <c r="AO1687" s="7"/>
      <c r="AP1687" s="7"/>
      <c r="AQ1687" s="7"/>
      <c r="AS1687" s="36"/>
      <c r="AT1687" s="36"/>
      <c r="AU1687" s="35"/>
      <c r="AV1687" s="7"/>
      <c r="AW1687" s="7"/>
      <c r="AX1687" s="7"/>
      <c r="AY1687" s="7"/>
      <c r="AZ1687" s="7"/>
      <c r="BA1687" s="7"/>
      <c r="BB1687" s="7"/>
      <c r="BC1687" s="7"/>
      <c r="BF1687" s="7"/>
      <c r="BG1687" s="36"/>
      <c r="BH1687" s="36"/>
      <c r="BI1687" s="36"/>
      <c r="BJ1687" s="36"/>
      <c r="BK1687" s="36"/>
      <c r="BL1687" s="36"/>
      <c r="BM1687" s="36"/>
      <c r="BN1687" s="36"/>
      <c r="BO1687" s="36"/>
    </row>
    <row r="1688" spans="1:67" x14ac:dyDescent="0.25">
      <c r="A1688" s="39"/>
      <c r="B1688" s="40"/>
      <c r="U1688" s="36"/>
      <c r="V1688" s="36"/>
      <c r="W1688" s="35"/>
      <c r="X1688" s="7"/>
      <c r="Y1688" s="7"/>
      <c r="Z1688" s="7"/>
      <c r="AA1688" s="7"/>
      <c r="AB1688" s="7"/>
      <c r="AC1688" s="7"/>
      <c r="AD1688" s="7"/>
      <c r="AE1688" s="7"/>
      <c r="AG1688" s="36"/>
      <c r="AH1688" s="36"/>
      <c r="AI1688" s="35"/>
      <c r="AJ1688" s="7"/>
      <c r="AK1688" s="7"/>
      <c r="AL1688" s="7"/>
      <c r="AM1688" s="7"/>
      <c r="AN1688" s="7"/>
      <c r="AO1688" s="7"/>
      <c r="AP1688" s="7"/>
      <c r="AQ1688" s="7"/>
      <c r="AS1688" s="36"/>
      <c r="AT1688" s="36"/>
      <c r="AU1688" s="35"/>
      <c r="AV1688" s="7"/>
      <c r="AW1688" s="7"/>
      <c r="AX1688" s="7"/>
      <c r="AY1688" s="7"/>
      <c r="AZ1688" s="7"/>
      <c r="BA1688" s="7"/>
      <c r="BB1688" s="7"/>
      <c r="BC1688" s="7"/>
      <c r="BF1688" s="7"/>
      <c r="BG1688" s="36"/>
      <c r="BH1688" s="36"/>
      <c r="BI1688" s="36"/>
      <c r="BJ1688" s="36"/>
      <c r="BK1688" s="36"/>
      <c r="BL1688" s="36"/>
      <c r="BM1688" s="36"/>
      <c r="BN1688" s="36"/>
      <c r="BO1688" s="36"/>
    </row>
    <row r="1689" spans="1:67" x14ac:dyDescent="0.25">
      <c r="A1689" s="39"/>
      <c r="B1689" s="40"/>
      <c r="U1689" s="36"/>
      <c r="V1689" s="36"/>
      <c r="W1689" s="35"/>
      <c r="X1689" s="7"/>
      <c r="Y1689" s="7"/>
      <c r="Z1689" s="7"/>
      <c r="AA1689" s="7"/>
      <c r="AB1689" s="7"/>
      <c r="AC1689" s="7"/>
      <c r="AD1689" s="7"/>
      <c r="AE1689" s="7"/>
      <c r="AG1689" s="36"/>
      <c r="AH1689" s="36"/>
      <c r="AI1689" s="35"/>
      <c r="AJ1689" s="7"/>
      <c r="AK1689" s="7"/>
      <c r="AL1689" s="7"/>
      <c r="AM1689" s="7"/>
      <c r="AN1689" s="7"/>
      <c r="AO1689" s="7"/>
      <c r="AP1689" s="7"/>
      <c r="AQ1689" s="7"/>
      <c r="AS1689" s="36"/>
      <c r="AT1689" s="36"/>
      <c r="AU1689" s="35"/>
      <c r="AV1689" s="7"/>
      <c r="AW1689" s="7"/>
      <c r="AX1689" s="7"/>
      <c r="AY1689" s="7"/>
      <c r="AZ1689" s="7"/>
      <c r="BA1689" s="7"/>
      <c r="BB1689" s="7"/>
      <c r="BC1689" s="7"/>
      <c r="BF1689" s="7"/>
      <c r="BG1689" s="36"/>
      <c r="BH1689" s="36"/>
      <c r="BI1689" s="36"/>
      <c r="BJ1689" s="36"/>
      <c r="BK1689" s="36"/>
      <c r="BL1689" s="36"/>
      <c r="BM1689" s="36"/>
      <c r="BN1689" s="36"/>
      <c r="BO1689" s="36"/>
    </row>
    <row r="1690" spans="1:67" x14ac:dyDescent="0.25">
      <c r="A1690" s="39"/>
      <c r="B1690" s="40"/>
      <c r="U1690" s="36"/>
      <c r="V1690" s="36"/>
      <c r="W1690" s="35"/>
      <c r="X1690" s="7"/>
      <c r="Y1690" s="7"/>
      <c r="Z1690" s="7"/>
      <c r="AA1690" s="7"/>
      <c r="AB1690" s="7"/>
      <c r="AC1690" s="7"/>
      <c r="AD1690" s="7"/>
      <c r="AE1690" s="7"/>
      <c r="AG1690" s="36"/>
      <c r="AH1690" s="36"/>
      <c r="AI1690" s="35"/>
      <c r="AJ1690" s="7"/>
      <c r="AK1690" s="7"/>
      <c r="AL1690" s="7"/>
      <c r="AM1690" s="7"/>
      <c r="AN1690" s="7"/>
      <c r="AO1690" s="7"/>
      <c r="AP1690" s="7"/>
      <c r="AQ1690" s="7"/>
      <c r="AS1690" s="36"/>
      <c r="AT1690" s="36"/>
      <c r="AU1690" s="35"/>
      <c r="AV1690" s="7"/>
      <c r="AW1690" s="7"/>
      <c r="AX1690" s="7"/>
      <c r="AY1690" s="7"/>
      <c r="AZ1690" s="7"/>
      <c r="BA1690" s="7"/>
      <c r="BB1690" s="7"/>
      <c r="BC1690" s="7"/>
      <c r="BF1690" s="7"/>
      <c r="BG1690" s="36"/>
      <c r="BH1690" s="36"/>
      <c r="BI1690" s="36"/>
      <c r="BJ1690" s="36"/>
      <c r="BK1690" s="36"/>
      <c r="BL1690" s="36"/>
      <c r="BM1690" s="36"/>
      <c r="BN1690" s="36"/>
      <c r="BO1690" s="36"/>
    </row>
    <row r="1691" spans="1:67" x14ac:dyDescent="0.25">
      <c r="A1691" s="39"/>
      <c r="B1691" s="40"/>
      <c r="U1691" s="36"/>
      <c r="V1691" s="36"/>
      <c r="W1691" s="35"/>
      <c r="X1691" s="7"/>
      <c r="Y1691" s="7"/>
      <c r="Z1691" s="7"/>
      <c r="AA1691" s="7"/>
      <c r="AB1691" s="7"/>
      <c r="AC1691" s="7"/>
      <c r="AD1691" s="7"/>
      <c r="AE1691" s="7"/>
      <c r="AG1691" s="36"/>
      <c r="AH1691" s="36"/>
      <c r="AI1691" s="35"/>
      <c r="AJ1691" s="7"/>
      <c r="AK1691" s="7"/>
      <c r="AL1691" s="7"/>
      <c r="AM1691" s="7"/>
      <c r="AN1691" s="7"/>
      <c r="AO1691" s="7"/>
      <c r="AP1691" s="7"/>
      <c r="AQ1691" s="7"/>
      <c r="AS1691" s="36"/>
      <c r="AT1691" s="36"/>
      <c r="AU1691" s="35"/>
      <c r="AV1691" s="7"/>
      <c r="AW1691" s="7"/>
      <c r="AX1691" s="7"/>
      <c r="AY1691" s="7"/>
      <c r="AZ1691" s="7"/>
      <c r="BA1691" s="7"/>
      <c r="BB1691" s="7"/>
      <c r="BC1691" s="7"/>
      <c r="BF1691" s="7"/>
      <c r="BG1691" s="36"/>
      <c r="BH1691" s="36"/>
      <c r="BI1691" s="36"/>
      <c r="BJ1691" s="36"/>
      <c r="BK1691" s="36"/>
      <c r="BL1691" s="36"/>
      <c r="BM1691" s="36"/>
      <c r="BN1691" s="36"/>
      <c r="BO1691" s="36"/>
    </row>
    <row r="1692" spans="1:67" x14ac:dyDescent="0.25">
      <c r="A1692" s="39"/>
      <c r="B1692" s="40"/>
      <c r="U1692" s="36"/>
      <c r="V1692" s="36"/>
      <c r="W1692" s="35"/>
      <c r="X1692" s="7"/>
      <c r="Y1692" s="7"/>
      <c r="Z1692" s="7"/>
      <c r="AA1692" s="7"/>
      <c r="AB1692" s="7"/>
      <c r="AC1692" s="7"/>
      <c r="AD1692" s="7"/>
      <c r="AE1692" s="7"/>
      <c r="AG1692" s="36"/>
      <c r="AH1692" s="36"/>
      <c r="AI1692" s="35"/>
      <c r="AJ1692" s="7"/>
      <c r="AK1692" s="7"/>
      <c r="AL1692" s="7"/>
      <c r="AM1692" s="7"/>
      <c r="AN1692" s="7"/>
      <c r="AO1692" s="7"/>
      <c r="AP1692" s="7"/>
      <c r="AQ1692" s="7"/>
      <c r="AS1692" s="36"/>
      <c r="AT1692" s="36"/>
      <c r="AU1692" s="35"/>
      <c r="AV1692" s="7"/>
      <c r="AW1692" s="7"/>
      <c r="AX1692" s="7"/>
      <c r="AY1692" s="7"/>
      <c r="AZ1692" s="7"/>
      <c r="BA1692" s="7"/>
      <c r="BB1692" s="7"/>
      <c r="BC1692" s="7"/>
      <c r="BF1692" s="7"/>
      <c r="BG1692" s="36"/>
      <c r="BH1692" s="36"/>
      <c r="BI1692" s="36"/>
      <c r="BJ1692" s="36"/>
      <c r="BK1692" s="36"/>
      <c r="BL1692" s="36"/>
      <c r="BM1692" s="36"/>
      <c r="BN1692" s="36"/>
      <c r="BO1692" s="36"/>
    </row>
    <row r="1693" spans="1:67" x14ac:dyDescent="0.25">
      <c r="A1693" s="39"/>
      <c r="B1693" s="40"/>
      <c r="U1693" s="36"/>
      <c r="V1693" s="36"/>
      <c r="W1693" s="35"/>
      <c r="X1693" s="7"/>
      <c r="Y1693" s="7"/>
      <c r="Z1693" s="7"/>
      <c r="AA1693" s="7"/>
      <c r="AB1693" s="7"/>
      <c r="AC1693" s="7"/>
      <c r="AD1693" s="7"/>
      <c r="AE1693" s="7"/>
      <c r="AG1693" s="36"/>
      <c r="AH1693" s="36"/>
      <c r="AI1693" s="35"/>
      <c r="AJ1693" s="7"/>
      <c r="AK1693" s="7"/>
      <c r="AL1693" s="7"/>
      <c r="AM1693" s="7"/>
      <c r="AN1693" s="7"/>
      <c r="AO1693" s="7"/>
      <c r="AP1693" s="7"/>
      <c r="AQ1693" s="7"/>
      <c r="AS1693" s="36"/>
      <c r="AT1693" s="36"/>
      <c r="AU1693" s="35"/>
      <c r="AV1693" s="7"/>
      <c r="AW1693" s="7"/>
      <c r="AX1693" s="7"/>
      <c r="AY1693" s="7"/>
      <c r="AZ1693" s="7"/>
      <c r="BA1693" s="7"/>
      <c r="BB1693" s="7"/>
      <c r="BC1693" s="7"/>
      <c r="BF1693" s="7"/>
      <c r="BG1693" s="36"/>
      <c r="BH1693" s="36"/>
      <c r="BI1693" s="36"/>
      <c r="BJ1693" s="36"/>
      <c r="BK1693" s="36"/>
      <c r="BL1693" s="36"/>
      <c r="BM1693" s="36"/>
      <c r="BN1693" s="36"/>
      <c r="BO1693" s="36"/>
    </row>
    <row r="1694" spans="1:67" x14ac:dyDescent="0.25">
      <c r="A1694" s="39"/>
      <c r="B1694" s="40"/>
      <c r="U1694" s="36"/>
      <c r="V1694" s="36"/>
      <c r="W1694" s="35"/>
      <c r="X1694" s="7"/>
      <c r="Y1694" s="7"/>
      <c r="Z1694" s="7"/>
      <c r="AA1694" s="7"/>
      <c r="AB1694" s="7"/>
      <c r="AC1694" s="7"/>
      <c r="AD1694" s="7"/>
      <c r="AE1694" s="7"/>
      <c r="AG1694" s="36"/>
      <c r="AH1694" s="36"/>
      <c r="AI1694" s="35"/>
      <c r="AJ1694" s="7"/>
      <c r="AK1694" s="7"/>
      <c r="AL1694" s="7"/>
      <c r="AM1694" s="7"/>
      <c r="AN1694" s="7"/>
      <c r="AO1694" s="7"/>
      <c r="AP1694" s="7"/>
      <c r="AQ1694" s="7"/>
      <c r="AS1694" s="36"/>
      <c r="AT1694" s="36"/>
      <c r="AU1694" s="35"/>
      <c r="AV1694" s="7"/>
      <c r="AW1694" s="7"/>
      <c r="AX1694" s="7"/>
      <c r="AY1694" s="7"/>
      <c r="AZ1694" s="7"/>
      <c r="BA1694" s="7"/>
      <c r="BB1694" s="7"/>
      <c r="BC1694" s="7"/>
      <c r="BF1694" s="7"/>
      <c r="BG1694" s="36"/>
      <c r="BH1694" s="36"/>
      <c r="BI1694" s="36"/>
      <c r="BJ1694" s="36"/>
      <c r="BK1694" s="36"/>
      <c r="BL1694" s="36"/>
      <c r="BM1694" s="36"/>
      <c r="BN1694" s="36"/>
      <c r="BO1694" s="36"/>
    </row>
    <row r="1695" spans="1:67" x14ac:dyDescent="0.25">
      <c r="A1695" s="39"/>
      <c r="B1695" s="40"/>
      <c r="U1695" s="36"/>
      <c r="V1695" s="36"/>
      <c r="W1695" s="35"/>
      <c r="X1695" s="7"/>
      <c r="Y1695" s="7"/>
      <c r="Z1695" s="7"/>
      <c r="AA1695" s="7"/>
      <c r="AB1695" s="7"/>
      <c r="AC1695" s="7"/>
      <c r="AD1695" s="7"/>
      <c r="AE1695" s="7"/>
      <c r="AG1695" s="36"/>
      <c r="AH1695" s="36"/>
      <c r="AI1695" s="35"/>
      <c r="AJ1695" s="7"/>
      <c r="AK1695" s="7"/>
      <c r="AL1695" s="7"/>
      <c r="AM1695" s="7"/>
      <c r="AN1695" s="7"/>
      <c r="AO1695" s="7"/>
      <c r="AP1695" s="7"/>
      <c r="AQ1695" s="7"/>
      <c r="AS1695" s="36"/>
      <c r="AT1695" s="36"/>
      <c r="AU1695" s="35"/>
      <c r="AV1695" s="7"/>
      <c r="AW1695" s="7"/>
      <c r="AX1695" s="7"/>
      <c r="AY1695" s="7"/>
      <c r="AZ1695" s="7"/>
      <c r="BA1695" s="7"/>
      <c r="BB1695" s="7"/>
      <c r="BC1695" s="7"/>
      <c r="BF1695" s="7"/>
      <c r="BG1695" s="36"/>
      <c r="BH1695" s="36"/>
      <c r="BI1695" s="36"/>
      <c r="BJ1695" s="36"/>
      <c r="BK1695" s="36"/>
      <c r="BL1695" s="36"/>
      <c r="BM1695" s="36"/>
      <c r="BN1695" s="36"/>
      <c r="BO1695" s="36"/>
    </row>
    <row r="1696" spans="1:67" x14ac:dyDescent="0.25">
      <c r="A1696" s="39"/>
      <c r="B1696" s="40"/>
      <c r="U1696" s="36"/>
      <c r="V1696" s="36"/>
      <c r="W1696" s="35"/>
      <c r="X1696" s="7"/>
      <c r="Y1696" s="7"/>
      <c r="Z1696" s="7"/>
      <c r="AA1696" s="7"/>
      <c r="AB1696" s="7"/>
      <c r="AC1696" s="7"/>
      <c r="AD1696" s="7"/>
      <c r="AE1696" s="7"/>
      <c r="AG1696" s="36"/>
      <c r="AH1696" s="36"/>
      <c r="AI1696" s="35"/>
      <c r="AJ1696" s="7"/>
      <c r="AK1696" s="7"/>
      <c r="AL1696" s="7"/>
      <c r="AM1696" s="7"/>
      <c r="AN1696" s="7"/>
      <c r="AO1696" s="7"/>
      <c r="AP1696" s="7"/>
      <c r="AQ1696" s="7"/>
      <c r="AS1696" s="36"/>
      <c r="AT1696" s="36"/>
      <c r="AU1696" s="35"/>
      <c r="AV1696" s="7"/>
      <c r="AW1696" s="7"/>
      <c r="AX1696" s="7"/>
      <c r="AY1696" s="7"/>
      <c r="AZ1696" s="7"/>
      <c r="BA1696" s="7"/>
      <c r="BB1696" s="7"/>
      <c r="BC1696" s="7"/>
      <c r="BF1696" s="7"/>
      <c r="BG1696" s="36"/>
      <c r="BH1696" s="36"/>
      <c r="BI1696" s="36"/>
      <c r="BJ1696" s="36"/>
      <c r="BK1696" s="36"/>
      <c r="BL1696" s="36"/>
      <c r="BM1696" s="36"/>
      <c r="BN1696" s="36"/>
      <c r="BO1696" s="36"/>
    </row>
    <row r="1697" spans="1:67" x14ac:dyDescent="0.25">
      <c r="A1697" s="39"/>
      <c r="B1697" s="40"/>
      <c r="U1697" s="36"/>
      <c r="V1697" s="36"/>
      <c r="W1697" s="35"/>
      <c r="X1697" s="7"/>
      <c r="Y1697" s="7"/>
      <c r="Z1697" s="7"/>
      <c r="AA1697" s="7"/>
      <c r="AB1697" s="7"/>
      <c r="AC1697" s="7"/>
      <c r="AD1697" s="7"/>
      <c r="AE1697" s="7"/>
      <c r="AG1697" s="36"/>
      <c r="AH1697" s="36"/>
      <c r="AI1697" s="35"/>
      <c r="AJ1697" s="7"/>
      <c r="AK1697" s="7"/>
      <c r="AL1697" s="7"/>
      <c r="AM1697" s="7"/>
      <c r="AN1697" s="7"/>
      <c r="AO1697" s="7"/>
      <c r="AP1697" s="7"/>
      <c r="AQ1697" s="7"/>
      <c r="AS1697" s="36"/>
      <c r="AT1697" s="36"/>
      <c r="AU1697" s="35"/>
      <c r="AV1697" s="7"/>
      <c r="AW1697" s="7"/>
      <c r="AX1697" s="7"/>
      <c r="AY1697" s="7"/>
      <c r="AZ1697" s="7"/>
      <c r="BA1697" s="7"/>
      <c r="BB1697" s="7"/>
      <c r="BC1697" s="7"/>
      <c r="BF1697" s="7"/>
      <c r="BG1697" s="36"/>
      <c r="BH1697" s="36"/>
      <c r="BI1697" s="36"/>
      <c r="BJ1697" s="36"/>
      <c r="BK1697" s="36"/>
      <c r="BL1697" s="36"/>
      <c r="BM1697" s="36"/>
      <c r="BN1697" s="36"/>
      <c r="BO1697" s="36"/>
    </row>
    <row r="1698" spans="1:67" x14ac:dyDescent="0.25">
      <c r="A1698" s="39"/>
      <c r="B1698" s="40"/>
      <c r="U1698" s="36"/>
      <c r="V1698" s="36"/>
      <c r="W1698" s="35"/>
      <c r="X1698" s="7"/>
      <c r="Y1698" s="7"/>
      <c r="Z1698" s="7"/>
      <c r="AA1698" s="7"/>
      <c r="AB1698" s="7"/>
      <c r="AC1698" s="7"/>
      <c r="AD1698" s="7"/>
      <c r="AE1698" s="7"/>
      <c r="AG1698" s="36"/>
      <c r="AH1698" s="36"/>
      <c r="AI1698" s="35"/>
      <c r="AJ1698" s="7"/>
      <c r="AK1698" s="7"/>
      <c r="AL1698" s="7"/>
      <c r="AM1698" s="7"/>
      <c r="AN1698" s="7"/>
      <c r="AO1698" s="7"/>
      <c r="AP1698" s="7"/>
      <c r="AQ1698" s="7"/>
      <c r="AS1698" s="36"/>
      <c r="AT1698" s="36"/>
      <c r="AU1698" s="35"/>
      <c r="AV1698" s="7"/>
      <c r="AW1698" s="7"/>
      <c r="AX1698" s="7"/>
      <c r="AY1698" s="7"/>
      <c r="AZ1698" s="7"/>
      <c r="BA1698" s="7"/>
      <c r="BB1698" s="7"/>
      <c r="BC1698" s="7"/>
      <c r="BF1698" s="7"/>
      <c r="BG1698" s="36"/>
      <c r="BH1698" s="36"/>
      <c r="BI1698" s="36"/>
      <c r="BJ1698" s="36"/>
      <c r="BK1698" s="36"/>
      <c r="BL1698" s="36"/>
      <c r="BM1698" s="36"/>
      <c r="BN1698" s="36"/>
      <c r="BO1698" s="36"/>
    </row>
    <row r="1699" spans="1:67" x14ac:dyDescent="0.25">
      <c r="A1699" s="39"/>
      <c r="B1699" s="40"/>
      <c r="U1699" s="36"/>
      <c r="V1699" s="36"/>
      <c r="W1699" s="35"/>
      <c r="X1699" s="7"/>
      <c r="Y1699" s="7"/>
      <c r="Z1699" s="7"/>
      <c r="AA1699" s="7"/>
      <c r="AB1699" s="7"/>
      <c r="AC1699" s="7"/>
      <c r="AD1699" s="7"/>
      <c r="AE1699" s="7"/>
      <c r="AG1699" s="36"/>
      <c r="AH1699" s="36"/>
      <c r="AI1699" s="35"/>
      <c r="AJ1699" s="7"/>
      <c r="AK1699" s="7"/>
      <c r="AL1699" s="7"/>
      <c r="AM1699" s="7"/>
      <c r="AN1699" s="7"/>
      <c r="AO1699" s="7"/>
      <c r="AP1699" s="7"/>
      <c r="AQ1699" s="7"/>
      <c r="AS1699" s="36"/>
      <c r="AT1699" s="36"/>
      <c r="AU1699" s="35"/>
      <c r="AV1699" s="7"/>
      <c r="AW1699" s="7"/>
      <c r="AX1699" s="7"/>
      <c r="AY1699" s="7"/>
      <c r="AZ1699" s="7"/>
      <c r="BA1699" s="7"/>
      <c r="BB1699" s="7"/>
      <c r="BC1699" s="7"/>
      <c r="BF1699" s="7"/>
      <c r="BG1699" s="36"/>
      <c r="BH1699" s="36"/>
      <c r="BI1699" s="36"/>
      <c r="BJ1699" s="36"/>
      <c r="BK1699" s="36"/>
      <c r="BL1699" s="36"/>
      <c r="BM1699" s="36"/>
      <c r="BN1699" s="36"/>
      <c r="BO1699" s="36"/>
    </row>
    <row r="1700" spans="1:67" x14ac:dyDescent="0.25">
      <c r="A1700" s="39"/>
      <c r="B1700" s="40"/>
      <c r="U1700" s="36"/>
      <c r="V1700" s="36"/>
      <c r="W1700" s="35"/>
      <c r="X1700" s="7"/>
      <c r="Y1700" s="7"/>
      <c r="Z1700" s="7"/>
      <c r="AA1700" s="7"/>
      <c r="AB1700" s="7"/>
      <c r="AC1700" s="7"/>
      <c r="AD1700" s="7"/>
      <c r="AE1700" s="7"/>
      <c r="AG1700" s="36"/>
      <c r="AH1700" s="36"/>
      <c r="AI1700" s="35"/>
      <c r="AJ1700" s="7"/>
      <c r="AK1700" s="7"/>
      <c r="AL1700" s="7"/>
      <c r="AM1700" s="7"/>
      <c r="AN1700" s="7"/>
      <c r="AO1700" s="7"/>
      <c r="AP1700" s="7"/>
      <c r="AQ1700" s="7"/>
      <c r="AS1700" s="36"/>
      <c r="AT1700" s="36"/>
      <c r="AU1700" s="35"/>
      <c r="AV1700" s="7"/>
      <c r="AW1700" s="7"/>
      <c r="AX1700" s="7"/>
      <c r="AY1700" s="7"/>
      <c r="AZ1700" s="7"/>
      <c r="BA1700" s="7"/>
      <c r="BB1700" s="7"/>
      <c r="BC1700" s="7"/>
      <c r="BF1700" s="7"/>
      <c r="BG1700" s="36"/>
      <c r="BH1700" s="36"/>
      <c r="BI1700" s="36"/>
      <c r="BJ1700" s="36"/>
      <c r="BK1700" s="36"/>
      <c r="BL1700" s="36"/>
      <c r="BM1700" s="36"/>
      <c r="BN1700" s="36"/>
      <c r="BO1700" s="36"/>
    </row>
    <row r="1701" spans="1:67" x14ac:dyDescent="0.25">
      <c r="A1701" s="39"/>
      <c r="B1701" s="40"/>
      <c r="U1701" s="36"/>
      <c r="V1701" s="36"/>
      <c r="W1701" s="35"/>
      <c r="X1701" s="7"/>
      <c r="Y1701" s="7"/>
      <c r="Z1701" s="7"/>
      <c r="AA1701" s="7"/>
      <c r="AB1701" s="7"/>
      <c r="AC1701" s="7"/>
      <c r="AD1701" s="7"/>
      <c r="AE1701" s="7"/>
      <c r="AG1701" s="36"/>
      <c r="AH1701" s="36"/>
      <c r="AI1701" s="35"/>
      <c r="AJ1701" s="7"/>
      <c r="AK1701" s="7"/>
      <c r="AL1701" s="7"/>
      <c r="AM1701" s="7"/>
      <c r="AN1701" s="7"/>
      <c r="AO1701" s="7"/>
      <c r="AP1701" s="7"/>
      <c r="AQ1701" s="7"/>
      <c r="AS1701" s="36"/>
      <c r="AT1701" s="36"/>
      <c r="AU1701" s="35"/>
      <c r="AV1701" s="7"/>
      <c r="AW1701" s="7"/>
      <c r="AX1701" s="7"/>
      <c r="AY1701" s="7"/>
      <c r="AZ1701" s="7"/>
      <c r="BA1701" s="7"/>
      <c r="BB1701" s="7"/>
      <c r="BC1701" s="7"/>
      <c r="BF1701" s="7"/>
      <c r="BG1701" s="36"/>
      <c r="BH1701" s="36"/>
      <c r="BI1701" s="36"/>
      <c r="BJ1701" s="36"/>
      <c r="BK1701" s="36"/>
      <c r="BL1701" s="36"/>
      <c r="BM1701" s="36"/>
      <c r="BN1701" s="36"/>
      <c r="BO1701" s="36"/>
    </row>
    <row r="1702" spans="1:67" x14ac:dyDescent="0.25">
      <c r="A1702" s="39"/>
      <c r="B1702" s="40"/>
      <c r="U1702" s="36"/>
      <c r="V1702" s="36"/>
      <c r="W1702" s="35"/>
      <c r="X1702" s="7"/>
      <c r="Y1702" s="7"/>
      <c r="Z1702" s="7"/>
      <c r="AA1702" s="7"/>
      <c r="AB1702" s="7"/>
      <c r="AC1702" s="7"/>
      <c r="AD1702" s="7"/>
      <c r="AE1702" s="7"/>
      <c r="AG1702" s="36"/>
      <c r="AH1702" s="36"/>
      <c r="AI1702" s="35"/>
      <c r="AJ1702" s="7"/>
      <c r="AK1702" s="7"/>
      <c r="AL1702" s="7"/>
      <c r="AM1702" s="7"/>
      <c r="AN1702" s="7"/>
      <c r="AO1702" s="7"/>
      <c r="AP1702" s="7"/>
      <c r="AQ1702" s="7"/>
      <c r="AS1702" s="36"/>
      <c r="AT1702" s="36"/>
      <c r="AU1702" s="35"/>
      <c r="AV1702" s="7"/>
      <c r="AW1702" s="7"/>
      <c r="AX1702" s="7"/>
      <c r="AY1702" s="7"/>
      <c r="AZ1702" s="7"/>
      <c r="BA1702" s="7"/>
      <c r="BB1702" s="7"/>
      <c r="BC1702" s="7"/>
      <c r="BF1702" s="7"/>
      <c r="BG1702" s="36"/>
      <c r="BH1702" s="36"/>
      <c r="BI1702" s="36"/>
      <c r="BJ1702" s="36"/>
      <c r="BK1702" s="36"/>
      <c r="BL1702" s="36"/>
      <c r="BM1702" s="36"/>
      <c r="BN1702" s="36"/>
      <c r="BO1702" s="36"/>
    </row>
    <row r="1703" spans="1:67" x14ac:dyDescent="0.25">
      <c r="A1703" s="39"/>
      <c r="B1703" s="40"/>
      <c r="U1703" s="36"/>
      <c r="V1703" s="36"/>
      <c r="W1703" s="35"/>
      <c r="X1703" s="7"/>
      <c r="Y1703" s="7"/>
      <c r="Z1703" s="7"/>
      <c r="AA1703" s="7"/>
      <c r="AB1703" s="7"/>
      <c r="AC1703" s="7"/>
      <c r="AD1703" s="7"/>
      <c r="AE1703" s="7"/>
      <c r="AG1703" s="36"/>
      <c r="AH1703" s="36"/>
      <c r="AI1703" s="35"/>
      <c r="AJ1703" s="7"/>
      <c r="AK1703" s="7"/>
      <c r="AL1703" s="7"/>
      <c r="AM1703" s="7"/>
      <c r="AN1703" s="7"/>
      <c r="AO1703" s="7"/>
      <c r="AP1703" s="7"/>
      <c r="AQ1703" s="7"/>
      <c r="AS1703" s="36"/>
      <c r="AT1703" s="36"/>
      <c r="AU1703" s="35"/>
      <c r="AV1703" s="7"/>
      <c r="AW1703" s="7"/>
      <c r="AX1703" s="7"/>
      <c r="AY1703" s="7"/>
      <c r="AZ1703" s="7"/>
      <c r="BA1703" s="7"/>
      <c r="BB1703" s="7"/>
      <c r="BC1703" s="7"/>
      <c r="BF1703" s="7"/>
      <c r="BG1703" s="36"/>
      <c r="BH1703" s="36"/>
      <c r="BI1703" s="36"/>
      <c r="BJ1703" s="36"/>
      <c r="BK1703" s="36"/>
      <c r="BL1703" s="36"/>
      <c r="BM1703" s="36"/>
      <c r="BN1703" s="36"/>
      <c r="BO1703" s="36"/>
    </row>
    <row r="1704" spans="1:67" x14ac:dyDescent="0.25">
      <c r="A1704" s="39"/>
      <c r="B1704" s="40"/>
      <c r="U1704" s="36"/>
      <c r="V1704" s="36"/>
      <c r="W1704" s="35"/>
      <c r="X1704" s="7"/>
      <c r="Y1704" s="7"/>
      <c r="Z1704" s="7"/>
      <c r="AA1704" s="7"/>
      <c r="AB1704" s="7"/>
      <c r="AC1704" s="7"/>
      <c r="AD1704" s="7"/>
      <c r="AE1704" s="7"/>
      <c r="AG1704" s="36"/>
      <c r="AH1704" s="36"/>
      <c r="AI1704" s="35"/>
      <c r="AJ1704" s="7"/>
      <c r="AK1704" s="7"/>
      <c r="AL1704" s="7"/>
      <c r="AM1704" s="7"/>
      <c r="AN1704" s="7"/>
      <c r="AO1704" s="7"/>
      <c r="AP1704" s="7"/>
      <c r="AQ1704" s="7"/>
      <c r="AS1704" s="36"/>
      <c r="AT1704" s="36"/>
      <c r="AU1704" s="35"/>
      <c r="AV1704" s="7"/>
      <c r="AW1704" s="7"/>
      <c r="AX1704" s="7"/>
      <c r="AY1704" s="7"/>
      <c r="AZ1704" s="7"/>
      <c r="BA1704" s="7"/>
      <c r="BB1704" s="7"/>
      <c r="BC1704" s="7"/>
      <c r="BF1704" s="7"/>
      <c r="BG1704" s="36"/>
      <c r="BH1704" s="36"/>
      <c r="BI1704" s="36"/>
      <c r="BJ1704" s="36"/>
      <c r="BK1704" s="36"/>
      <c r="BL1704" s="36"/>
      <c r="BM1704" s="36"/>
      <c r="BN1704" s="36"/>
      <c r="BO1704" s="36"/>
    </row>
    <row r="1705" spans="1:67" x14ac:dyDescent="0.25">
      <c r="A1705" s="39"/>
      <c r="B1705" s="40"/>
      <c r="U1705" s="36"/>
      <c r="V1705" s="36"/>
      <c r="W1705" s="35"/>
      <c r="X1705" s="7"/>
      <c r="Y1705" s="7"/>
      <c r="Z1705" s="7"/>
      <c r="AA1705" s="7"/>
      <c r="AB1705" s="7"/>
      <c r="AC1705" s="7"/>
      <c r="AD1705" s="7"/>
      <c r="AE1705" s="7"/>
      <c r="AG1705" s="36"/>
      <c r="AH1705" s="36"/>
      <c r="AI1705" s="35"/>
      <c r="AJ1705" s="7"/>
      <c r="AK1705" s="7"/>
      <c r="AL1705" s="7"/>
      <c r="AM1705" s="7"/>
      <c r="AN1705" s="7"/>
      <c r="AO1705" s="7"/>
      <c r="AP1705" s="7"/>
      <c r="AQ1705" s="7"/>
      <c r="AS1705" s="36"/>
      <c r="AT1705" s="36"/>
      <c r="AU1705" s="35"/>
      <c r="AV1705" s="7"/>
      <c r="AW1705" s="7"/>
      <c r="AX1705" s="7"/>
      <c r="AY1705" s="7"/>
      <c r="AZ1705" s="7"/>
      <c r="BA1705" s="7"/>
      <c r="BB1705" s="7"/>
      <c r="BC1705" s="7"/>
      <c r="BF1705" s="7"/>
      <c r="BG1705" s="36"/>
      <c r="BH1705" s="36"/>
      <c r="BI1705" s="36"/>
      <c r="BJ1705" s="36"/>
      <c r="BK1705" s="36"/>
      <c r="BL1705" s="36"/>
      <c r="BM1705" s="36"/>
      <c r="BN1705" s="36"/>
      <c r="BO1705" s="36"/>
    </row>
    <row r="1706" spans="1:67" x14ac:dyDescent="0.25">
      <c r="A1706" s="39"/>
      <c r="B1706" s="40"/>
      <c r="U1706" s="36"/>
      <c r="V1706" s="36"/>
      <c r="W1706" s="35"/>
      <c r="X1706" s="7"/>
      <c r="Y1706" s="7"/>
      <c r="Z1706" s="7"/>
      <c r="AA1706" s="7"/>
      <c r="AB1706" s="7"/>
      <c r="AC1706" s="7"/>
      <c r="AD1706" s="7"/>
      <c r="AE1706" s="7"/>
      <c r="AG1706" s="36"/>
      <c r="AH1706" s="36"/>
      <c r="AI1706" s="35"/>
      <c r="AJ1706" s="7"/>
      <c r="AK1706" s="7"/>
      <c r="AL1706" s="7"/>
      <c r="AM1706" s="7"/>
      <c r="AN1706" s="7"/>
      <c r="AO1706" s="7"/>
      <c r="AP1706" s="7"/>
      <c r="AQ1706" s="7"/>
      <c r="AS1706" s="36"/>
      <c r="AT1706" s="36"/>
      <c r="AU1706" s="35"/>
      <c r="AV1706" s="7"/>
      <c r="AW1706" s="7"/>
      <c r="AX1706" s="7"/>
      <c r="AY1706" s="7"/>
      <c r="AZ1706" s="7"/>
      <c r="BA1706" s="7"/>
      <c r="BB1706" s="7"/>
      <c r="BC1706" s="7"/>
      <c r="BF1706" s="7"/>
      <c r="BG1706" s="36"/>
      <c r="BH1706" s="36"/>
      <c r="BI1706" s="36"/>
      <c r="BJ1706" s="36"/>
      <c r="BK1706" s="36"/>
      <c r="BL1706" s="36"/>
      <c r="BM1706" s="36"/>
      <c r="BN1706" s="36"/>
      <c r="BO1706" s="36"/>
    </row>
    <row r="1707" spans="1:67" x14ac:dyDescent="0.25">
      <c r="A1707" s="39"/>
      <c r="B1707" s="40"/>
      <c r="U1707" s="36"/>
      <c r="V1707" s="36"/>
      <c r="W1707" s="35"/>
      <c r="X1707" s="7"/>
      <c r="Y1707" s="7"/>
      <c r="Z1707" s="7"/>
      <c r="AA1707" s="7"/>
      <c r="AB1707" s="7"/>
      <c r="AC1707" s="7"/>
      <c r="AD1707" s="7"/>
      <c r="AE1707" s="7"/>
      <c r="AG1707" s="36"/>
      <c r="AH1707" s="36"/>
      <c r="AI1707" s="35"/>
      <c r="AJ1707" s="7"/>
      <c r="AK1707" s="7"/>
      <c r="AL1707" s="7"/>
      <c r="AM1707" s="7"/>
      <c r="AN1707" s="7"/>
      <c r="AO1707" s="7"/>
      <c r="AP1707" s="7"/>
      <c r="AQ1707" s="7"/>
      <c r="AS1707" s="36"/>
      <c r="AT1707" s="36"/>
      <c r="AU1707" s="35"/>
      <c r="AV1707" s="7"/>
      <c r="AW1707" s="7"/>
      <c r="AX1707" s="7"/>
      <c r="AY1707" s="7"/>
      <c r="AZ1707" s="7"/>
      <c r="BA1707" s="7"/>
      <c r="BB1707" s="7"/>
      <c r="BC1707" s="7"/>
      <c r="BF1707" s="7"/>
      <c r="BG1707" s="36"/>
      <c r="BH1707" s="36"/>
      <c r="BI1707" s="36"/>
      <c r="BJ1707" s="36"/>
      <c r="BK1707" s="36"/>
      <c r="BL1707" s="36"/>
      <c r="BM1707" s="36"/>
      <c r="BN1707" s="36"/>
      <c r="BO1707" s="36"/>
    </row>
    <row r="1708" spans="1:67" x14ac:dyDescent="0.25">
      <c r="A1708" s="39"/>
      <c r="B1708" s="40"/>
      <c r="U1708" s="36"/>
      <c r="V1708" s="36"/>
      <c r="W1708" s="35"/>
      <c r="X1708" s="7"/>
      <c r="Y1708" s="7"/>
      <c r="Z1708" s="7"/>
      <c r="AA1708" s="7"/>
      <c r="AB1708" s="7"/>
      <c r="AC1708" s="7"/>
      <c r="AD1708" s="7"/>
      <c r="AE1708" s="7"/>
      <c r="AG1708" s="36"/>
      <c r="AH1708" s="36"/>
      <c r="AI1708" s="35"/>
      <c r="AJ1708" s="7"/>
      <c r="AK1708" s="7"/>
      <c r="AL1708" s="7"/>
      <c r="AM1708" s="7"/>
      <c r="AN1708" s="7"/>
      <c r="AO1708" s="7"/>
      <c r="AP1708" s="7"/>
      <c r="AQ1708" s="7"/>
      <c r="AS1708" s="36"/>
      <c r="AT1708" s="36"/>
      <c r="AU1708" s="35"/>
      <c r="AV1708" s="7"/>
      <c r="AW1708" s="7"/>
      <c r="AX1708" s="7"/>
      <c r="AY1708" s="7"/>
      <c r="AZ1708" s="7"/>
      <c r="BA1708" s="7"/>
      <c r="BB1708" s="7"/>
      <c r="BC1708" s="7"/>
      <c r="BF1708" s="7"/>
      <c r="BG1708" s="36"/>
      <c r="BH1708" s="36"/>
      <c r="BI1708" s="36"/>
      <c r="BJ1708" s="36"/>
      <c r="BK1708" s="36"/>
      <c r="BL1708" s="36"/>
      <c r="BM1708" s="36"/>
      <c r="BN1708" s="36"/>
      <c r="BO1708" s="36"/>
    </row>
    <row r="1709" spans="1:67" x14ac:dyDescent="0.25">
      <c r="A1709" s="39"/>
      <c r="B1709" s="40"/>
      <c r="U1709" s="36"/>
      <c r="V1709" s="36"/>
      <c r="W1709" s="35"/>
      <c r="X1709" s="7"/>
      <c r="Y1709" s="7"/>
      <c r="Z1709" s="7"/>
      <c r="AA1709" s="7"/>
      <c r="AB1709" s="7"/>
      <c r="AC1709" s="7"/>
      <c r="AD1709" s="7"/>
      <c r="AE1709" s="7"/>
      <c r="AG1709" s="36"/>
      <c r="AH1709" s="36"/>
      <c r="AI1709" s="35"/>
      <c r="AJ1709" s="7"/>
      <c r="AK1709" s="7"/>
      <c r="AL1709" s="7"/>
      <c r="AM1709" s="7"/>
      <c r="AN1709" s="7"/>
      <c r="AO1709" s="7"/>
      <c r="AP1709" s="7"/>
      <c r="AQ1709" s="7"/>
      <c r="AS1709" s="36"/>
      <c r="AT1709" s="36"/>
      <c r="AU1709" s="35"/>
      <c r="AV1709" s="7"/>
      <c r="AW1709" s="7"/>
      <c r="AX1709" s="7"/>
      <c r="AY1709" s="7"/>
      <c r="AZ1709" s="7"/>
      <c r="BA1709" s="7"/>
      <c r="BB1709" s="7"/>
      <c r="BC1709" s="7"/>
      <c r="BF1709" s="7"/>
      <c r="BG1709" s="36"/>
      <c r="BH1709" s="36"/>
      <c r="BI1709" s="36"/>
      <c r="BJ1709" s="36"/>
      <c r="BK1709" s="36"/>
      <c r="BL1709" s="36"/>
      <c r="BM1709" s="36"/>
      <c r="BN1709" s="36"/>
      <c r="BO1709" s="36"/>
    </row>
    <row r="1710" spans="1:67" x14ac:dyDescent="0.25">
      <c r="A1710" s="39"/>
      <c r="B1710" s="40"/>
      <c r="U1710" s="36"/>
      <c r="V1710" s="36"/>
      <c r="W1710" s="35"/>
      <c r="X1710" s="7"/>
      <c r="Y1710" s="7"/>
      <c r="Z1710" s="7"/>
      <c r="AA1710" s="7"/>
      <c r="AB1710" s="7"/>
      <c r="AC1710" s="7"/>
      <c r="AD1710" s="7"/>
      <c r="AE1710" s="7"/>
      <c r="AG1710" s="36"/>
      <c r="AH1710" s="36"/>
      <c r="AI1710" s="35"/>
      <c r="AJ1710" s="7"/>
      <c r="AK1710" s="7"/>
      <c r="AL1710" s="7"/>
      <c r="AM1710" s="7"/>
      <c r="AN1710" s="7"/>
      <c r="AO1710" s="7"/>
      <c r="AP1710" s="7"/>
      <c r="AQ1710" s="7"/>
      <c r="AS1710" s="36"/>
      <c r="AT1710" s="36"/>
      <c r="AU1710" s="35"/>
      <c r="AV1710" s="7"/>
      <c r="AW1710" s="7"/>
      <c r="AX1710" s="7"/>
      <c r="AY1710" s="7"/>
      <c r="AZ1710" s="7"/>
      <c r="BA1710" s="7"/>
      <c r="BB1710" s="7"/>
      <c r="BC1710" s="7"/>
      <c r="BF1710" s="7"/>
      <c r="BG1710" s="36"/>
      <c r="BH1710" s="36"/>
      <c r="BI1710" s="36"/>
      <c r="BJ1710" s="36"/>
      <c r="BK1710" s="36"/>
      <c r="BL1710" s="36"/>
      <c r="BM1710" s="36"/>
      <c r="BN1710" s="36"/>
      <c r="BO1710" s="36"/>
    </row>
    <row r="1711" spans="1:67" x14ac:dyDescent="0.25">
      <c r="A1711" s="39"/>
      <c r="B1711" s="40"/>
      <c r="U1711" s="36"/>
      <c r="V1711" s="36"/>
      <c r="W1711" s="35"/>
      <c r="X1711" s="7"/>
      <c r="Y1711" s="7"/>
      <c r="Z1711" s="7"/>
      <c r="AA1711" s="7"/>
      <c r="AB1711" s="7"/>
      <c r="AC1711" s="7"/>
      <c r="AD1711" s="7"/>
      <c r="AE1711" s="7"/>
      <c r="AG1711" s="36"/>
      <c r="AH1711" s="36"/>
      <c r="AI1711" s="35"/>
      <c r="AJ1711" s="7"/>
      <c r="AK1711" s="7"/>
      <c r="AL1711" s="7"/>
      <c r="AM1711" s="7"/>
      <c r="AN1711" s="7"/>
      <c r="AO1711" s="7"/>
      <c r="AP1711" s="7"/>
      <c r="AQ1711" s="7"/>
      <c r="AS1711" s="36"/>
      <c r="AT1711" s="36"/>
      <c r="AU1711" s="35"/>
      <c r="AV1711" s="7"/>
      <c r="AW1711" s="7"/>
      <c r="AX1711" s="7"/>
      <c r="AY1711" s="7"/>
      <c r="AZ1711" s="7"/>
      <c r="BA1711" s="7"/>
      <c r="BB1711" s="7"/>
      <c r="BC1711" s="7"/>
      <c r="BF1711" s="7"/>
      <c r="BG1711" s="36"/>
      <c r="BH1711" s="36"/>
      <c r="BI1711" s="36"/>
      <c r="BJ1711" s="36"/>
      <c r="BK1711" s="36"/>
      <c r="BL1711" s="36"/>
      <c r="BM1711" s="36"/>
      <c r="BN1711" s="36"/>
      <c r="BO1711" s="36"/>
    </row>
    <row r="1712" spans="1:67" x14ac:dyDescent="0.25">
      <c r="A1712" s="39"/>
      <c r="B1712" s="40"/>
      <c r="U1712" s="36"/>
      <c r="V1712" s="36"/>
      <c r="W1712" s="35"/>
      <c r="X1712" s="7"/>
      <c r="Y1712" s="7"/>
      <c r="Z1712" s="7"/>
      <c r="AA1712" s="7"/>
      <c r="AB1712" s="7"/>
      <c r="AC1712" s="7"/>
      <c r="AD1712" s="7"/>
      <c r="AE1712" s="7"/>
      <c r="AG1712" s="36"/>
      <c r="AH1712" s="36"/>
      <c r="AI1712" s="35"/>
      <c r="AJ1712" s="7"/>
      <c r="AK1712" s="7"/>
      <c r="AL1712" s="7"/>
      <c r="AM1712" s="7"/>
      <c r="AN1712" s="7"/>
      <c r="AO1712" s="7"/>
      <c r="AP1712" s="7"/>
      <c r="AQ1712" s="7"/>
      <c r="AS1712" s="36"/>
      <c r="AT1712" s="36"/>
      <c r="AU1712" s="35"/>
      <c r="AV1712" s="7"/>
      <c r="AW1712" s="7"/>
      <c r="AX1712" s="7"/>
      <c r="AY1712" s="7"/>
      <c r="AZ1712" s="7"/>
      <c r="BA1712" s="7"/>
      <c r="BB1712" s="7"/>
      <c r="BC1712" s="7"/>
      <c r="BF1712" s="7"/>
      <c r="BG1712" s="36"/>
      <c r="BH1712" s="36"/>
      <c r="BI1712" s="36"/>
      <c r="BJ1712" s="36"/>
      <c r="BK1712" s="36"/>
      <c r="BL1712" s="36"/>
      <c r="BM1712" s="36"/>
      <c r="BN1712" s="36"/>
      <c r="BO1712" s="36"/>
    </row>
    <row r="1713" spans="1:67" x14ac:dyDescent="0.25">
      <c r="A1713" s="39"/>
      <c r="B1713" s="40"/>
      <c r="U1713" s="36"/>
      <c r="V1713" s="36"/>
      <c r="W1713" s="35"/>
      <c r="X1713" s="7"/>
      <c r="Y1713" s="7"/>
      <c r="Z1713" s="7"/>
      <c r="AA1713" s="7"/>
      <c r="AB1713" s="7"/>
      <c r="AC1713" s="7"/>
      <c r="AD1713" s="7"/>
      <c r="AE1713" s="7"/>
      <c r="AG1713" s="36"/>
      <c r="AH1713" s="36"/>
      <c r="AI1713" s="35"/>
      <c r="AJ1713" s="7"/>
      <c r="AK1713" s="7"/>
      <c r="AL1713" s="7"/>
      <c r="AM1713" s="7"/>
      <c r="AN1713" s="7"/>
      <c r="AO1713" s="7"/>
      <c r="AP1713" s="7"/>
      <c r="AQ1713" s="7"/>
      <c r="AS1713" s="36"/>
      <c r="AT1713" s="36"/>
      <c r="AU1713" s="35"/>
      <c r="AV1713" s="7"/>
      <c r="AW1713" s="7"/>
      <c r="AX1713" s="7"/>
      <c r="AY1713" s="7"/>
      <c r="AZ1713" s="7"/>
      <c r="BA1713" s="7"/>
      <c r="BB1713" s="7"/>
      <c r="BC1713" s="7"/>
      <c r="BF1713" s="7"/>
      <c r="BG1713" s="36"/>
      <c r="BH1713" s="36"/>
      <c r="BI1713" s="36"/>
      <c r="BJ1713" s="36"/>
      <c r="BK1713" s="36"/>
      <c r="BL1713" s="36"/>
      <c r="BM1713" s="36"/>
      <c r="BN1713" s="36"/>
      <c r="BO1713" s="36"/>
    </row>
    <row r="1714" spans="1:67" x14ac:dyDescent="0.25">
      <c r="A1714" s="39"/>
      <c r="B1714" s="40"/>
      <c r="U1714" s="36"/>
      <c r="V1714" s="36"/>
      <c r="W1714" s="35"/>
      <c r="X1714" s="7"/>
      <c r="Y1714" s="7"/>
      <c r="Z1714" s="7"/>
      <c r="AA1714" s="7"/>
      <c r="AB1714" s="7"/>
      <c r="AC1714" s="7"/>
      <c r="AD1714" s="7"/>
      <c r="AE1714" s="7"/>
      <c r="AG1714" s="36"/>
      <c r="AH1714" s="36"/>
      <c r="AI1714" s="35"/>
      <c r="AJ1714" s="7"/>
      <c r="AK1714" s="7"/>
      <c r="AL1714" s="7"/>
      <c r="AM1714" s="7"/>
      <c r="AN1714" s="7"/>
      <c r="AO1714" s="7"/>
      <c r="AP1714" s="7"/>
      <c r="AQ1714" s="7"/>
      <c r="AS1714" s="36"/>
      <c r="AT1714" s="36"/>
      <c r="AU1714" s="35"/>
      <c r="AV1714" s="7"/>
      <c r="AW1714" s="7"/>
      <c r="AX1714" s="7"/>
      <c r="AY1714" s="7"/>
      <c r="AZ1714" s="7"/>
      <c r="BA1714" s="7"/>
      <c r="BB1714" s="7"/>
      <c r="BC1714" s="7"/>
      <c r="BF1714" s="7"/>
      <c r="BG1714" s="36"/>
      <c r="BH1714" s="36"/>
      <c r="BI1714" s="36"/>
      <c r="BJ1714" s="36"/>
      <c r="BK1714" s="36"/>
      <c r="BL1714" s="36"/>
      <c r="BM1714" s="36"/>
      <c r="BN1714" s="36"/>
      <c r="BO1714" s="36"/>
    </row>
    <row r="1715" spans="1:67" x14ac:dyDescent="0.25">
      <c r="A1715" s="39"/>
      <c r="B1715" s="40"/>
      <c r="U1715" s="36"/>
      <c r="V1715" s="36"/>
      <c r="W1715" s="35"/>
      <c r="X1715" s="7"/>
      <c r="Y1715" s="7"/>
      <c r="Z1715" s="7"/>
      <c r="AA1715" s="7"/>
      <c r="AB1715" s="7"/>
      <c r="AC1715" s="7"/>
      <c r="AD1715" s="7"/>
      <c r="AE1715" s="7"/>
      <c r="AG1715" s="36"/>
      <c r="AH1715" s="36"/>
      <c r="AI1715" s="35"/>
      <c r="AJ1715" s="7"/>
      <c r="AK1715" s="7"/>
      <c r="AL1715" s="7"/>
      <c r="AM1715" s="7"/>
      <c r="AN1715" s="7"/>
      <c r="AO1715" s="7"/>
      <c r="AP1715" s="7"/>
      <c r="AQ1715" s="7"/>
      <c r="AS1715" s="36"/>
      <c r="AT1715" s="36"/>
      <c r="AU1715" s="35"/>
      <c r="AV1715" s="7"/>
      <c r="AW1715" s="7"/>
      <c r="AX1715" s="7"/>
      <c r="AY1715" s="7"/>
      <c r="AZ1715" s="7"/>
      <c r="BA1715" s="7"/>
      <c r="BB1715" s="7"/>
      <c r="BC1715" s="7"/>
      <c r="BF1715" s="7"/>
      <c r="BG1715" s="36"/>
      <c r="BH1715" s="36"/>
      <c r="BI1715" s="36"/>
      <c r="BJ1715" s="36"/>
      <c r="BK1715" s="36"/>
      <c r="BL1715" s="36"/>
      <c r="BM1715" s="36"/>
      <c r="BN1715" s="36"/>
      <c r="BO1715" s="36"/>
    </row>
    <row r="1716" spans="1:67" x14ac:dyDescent="0.25">
      <c r="A1716" s="39"/>
      <c r="B1716" s="40"/>
      <c r="U1716" s="36"/>
      <c r="V1716" s="36"/>
      <c r="W1716" s="35"/>
      <c r="X1716" s="7"/>
      <c r="Y1716" s="7"/>
      <c r="Z1716" s="7"/>
      <c r="AA1716" s="7"/>
      <c r="AB1716" s="7"/>
      <c r="AC1716" s="7"/>
      <c r="AD1716" s="7"/>
      <c r="AE1716" s="7"/>
      <c r="AG1716" s="36"/>
      <c r="AH1716" s="36"/>
      <c r="AI1716" s="35"/>
      <c r="AJ1716" s="7"/>
      <c r="AK1716" s="7"/>
      <c r="AL1716" s="7"/>
      <c r="AM1716" s="7"/>
      <c r="AN1716" s="7"/>
      <c r="AO1716" s="7"/>
      <c r="AP1716" s="7"/>
      <c r="AQ1716" s="7"/>
      <c r="AS1716" s="36"/>
      <c r="AT1716" s="36"/>
      <c r="AU1716" s="35"/>
      <c r="AV1716" s="7"/>
      <c r="AW1716" s="7"/>
      <c r="AX1716" s="7"/>
      <c r="AY1716" s="7"/>
      <c r="AZ1716" s="7"/>
      <c r="BA1716" s="7"/>
      <c r="BB1716" s="7"/>
      <c r="BC1716" s="7"/>
      <c r="BF1716" s="7"/>
      <c r="BG1716" s="36"/>
      <c r="BH1716" s="36"/>
      <c r="BI1716" s="36"/>
      <c r="BJ1716" s="36"/>
      <c r="BK1716" s="36"/>
      <c r="BL1716" s="36"/>
      <c r="BM1716" s="36"/>
      <c r="BN1716" s="36"/>
      <c r="BO1716" s="36"/>
    </row>
    <row r="1717" spans="1:67" x14ac:dyDescent="0.25">
      <c r="A1717" s="39"/>
      <c r="B1717" s="40"/>
      <c r="U1717" s="36"/>
      <c r="V1717" s="36"/>
      <c r="W1717" s="35"/>
      <c r="X1717" s="7"/>
      <c r="Y1717" s="7"/>
      <c r="Z1717" s="7"/>
      <c r="AA1717" s="7"/>
      <c r="AB1717" s="7"/>
      <c r="AC1717" s="7"/>
      <c r="AD1717" s="7"/>
      <c r="AE1717" s="7"/>
      <c r="AG1717" s="36"/>
      <c r="AH1717" s="36"/>
      <c r="AI1717" s="35"/>
      <c r="AJ1717" s="7"/>
      <c r="AK1717" s="7"/>
      <c r="AL1717" s="7"/>
      <c r="AM1717" s="7"/>
      <c r="AN1717" s="7"/>
      <c r="AO1717" s="7"/>
      <c r="AP1717" s="7"/>
      <c r="AQ1717" s="7"/>
      <c r="AS1717" s="36"/>
      <c r="AT1717" s="36"/>
      <c r="AU1717" s="35"/>
      <c r="AV1717" s="7"/>
      <c r="AW1717" s="7"/>
      <c r="AX1717" s="7"/>
      <c r="AY1717" s="7"/>
      <c r="AZ1717" s="7"/>
      <c r="BA1717" s="7"/>
      <c r="BB1717" s="7"/>
      <c r="BC1717" s="7"/>
      <c r="BF1717" s="7"/>
      <c r="BG1717" s="36"/>
      <c r="BH1717" s="36"/>
      <c r="BI1717" s="36"/>
      <c r="BJ1717" s="36"/>
      <c r="BK1717" s="36"/>
      <c r="BL1717" s="36"/>
      <c r="BM1717" s="36"/>
      <c r="BN1717" s="36"/>
      <c r="BO1717" s="36"/>
    </row>
    <row r="1718" spans="1:67" x14ac:dyDescent="0.25">
      <c r="A1718" s="39"/>
      <c r="B1718" s="40"/>
      <c r="U1718" s="36"/>
      <c r="V1718" s="36"/>
      <c r="W1718" s="35"/>
      <c r="X1718" s="7"/>
      <c r="Y1718" s="7"/>
      <c r="Z1718" s="7"/>
      <c r="AA1718" s="7"/>
      <c r="AB1718" s="7"/>
      <c r="AC1718" s="7"/>
      <c r="AD1718" s="7"/>
      <c r="AE1718" s="7"/>
      <c r="AG1718" s="36"/>
      <c r="AH1718" s="36"/>
      <c r="AI1718" s="35"/>
      <c r="AJ1718" s="7"/>
      <c r="AK1718" s="7"/>
      <c r="AL1718" s="7"/>
      <c r="AM1718" s="7"/>
      <c r="AN1718" s="7"/>
      <c r="AO1718" s="7"/>
      <c r="AP1718" s="7"/>
      <c r="AQ1718" s="7"/>
      <c r="AS1718" s="36"/>
      <c r="AT1718" s="36"/>
      <c r="AU1718" s="35"/>
      <c r="AV1718" s="7"/>
      <c r="AW1718" s="7"/>
      <c r="AX1718" s="7"/>
      <c r="AY1718" s="7"/>
      <c r="AZ1718" s="7"/>
      <c r="BA1718" s="7"/>
      <c r="BB1718" s="7"/>
      <c r="BC1718" s="7"/>
      <c r="BF1718" s="7"/>
      <c r="BG1718" s="36"/>
      <c r="BH1718" s="36"/>
      <c r="BI1718" s="36"/>
      <c r="BJ1718" s="36"/>
      <c r="BK1718" s="36"/>
      <c r="BL1718" s="36"/>
      <c r="BM1718" s="36"/>
      <c r="BN1718" s="36"/>
      <c r="BO1718" s="36"/>
    </row>
    <row r="1719" spans="1:67" x14ac:dyDescent="0.25">
      <c r="A1719" s="39"/>
      <c r="B1719" s="40"/>
      <c r="U1719" s="36"/>
      <c r="V1719" s="36"/>
      <c r="W1719" s="35"/>
      <c r="X1719" s="7"/>
      <c r="Y1719" s="7"/>
      <c r="Z1719" s="7"/>
      <c r="AA1719" s="7"/>
      <c r="AB1719" s="7"/>
      <c r="AC1719" s="7"/>
      <c r="AD1719" s="7"/>
      <c r="AE1719" s="7"/>
      <c r="AG1719" s="36"/>
      <c r="AH1719" s="36"/>
      <c r="AI1719" s="35"/>
      <c r="AJ1719" s="7"/>
      <c r="AK1719" s="7"/>
      <c r="AL1719" s="7"/>
      <c r="AM1719" s="7"/>
      <c r="AN1719" s="7"/>
      <c r="AO1719" s="7"/>
      <c r="AP1719" s="7"/>
      <c r="AQ1719" s="7"/>
      <c r="AS1719" s="36"/>
      <c r="AT1719" s="36"/>
      <c r="AU1719" s="35"/>
      <c r="AV1719" s="7"/>
      <c r="AW1719" s="7"/>
      <c r="AX1719" s="7"/>
      <c r="AY1719" s="7"/>
      <c r="AZ1719" s="7"/>
      <c r="BA1719" s="7"/>
      <c r="BB1719" s="7"/>
      <c r="BC1719" s="7"/>
      <c r="BF1719" s="7"/>
      <c r="BG1719" s="36"/>
      <c r="BH1719" s="36"/>
      <c r="BI1719" s="36"/>
      <c r="BJ1719" s="36"/>
      <c r="BK1719" s="36"/>
      <c r="BL1719" s="36"/>
      <c r="BM1719" s="36"/>
      <c r="BN1719" s="36"/>
      <c r="BO1719" s="36"/>
    </row>
    <row r="1720" spans="1:67" x14ac:dyDescent="0.25">
      <c r="A1720" s="39"/>
      <c r="B1720" s="40"/>
      <c r="U1720" s="36"/>
      <c r="V1720" s="36"/>
      <c r="W1720" s="35"/>
      <c r="X1720" s="7"/>
      <c r="Y1720" s="7"/>
      <c r="Z1720" s="7"/>
      <c r="AA1720" s="7"/>
      <c r="AB1720" s="7"/>
      <c r="AC1720" s="7"/>
      <c r="AD1720" s="7"/>
      <c r="AE1720" s="7"/>
      <c r="AG1720" s="36"/>
      <c r="AH1720" s="36"/>
      <c r="AI1720" s="35"/>
      <c r="AJ1720" s="7"/>
      <c r="AK1720" s="7"/>
      <c r="AL1720" s="7"/>
      <c r="AM1720" s="7"/>
      <c r="AN1720" s="7"/>
      <c r="AO1720" s="7"/>
      <c r="AP1720" s="7"/>
      <c r="AQ1720" s="7"/>
      <c r="AS1720" s="36"/>
      <c r="AT1720" s="36"/>
      <c r="AU1720" s="35"/>
      <c r="AV1720" s="7"/>
      <c r="AW1720" s="7"/>
      <c r="AX1720" s="7"/>
      <c r="AY1720" s="7"/>
      <c r="AZ1720" s="7"/>
      <c r="BA1720" s="7"/>
      <c r="BB1720" s="7"/>
      <c r="BC1720" s="7"/>
      <c r="BF1720" s="7"/>
      <c r="BG1720" s="36"/>
      <c r="BH1720" s="36"/>
      <c r="BI1720" s="36"/>
      <c r="BJ1720" s="36"/>
      <c r="BK1720" s="36"/>
      <c r="BL1720" s="36"/>
      <c r="BM1720" s="36"/>
      <c r="BN1720" s="36"/>
      <c r="BO1720" s="36"/>
    </row>
    <row r="1721" spans="1:67" x14ac:dyDescent="0.25">
      <c r="A1721" s="39"/>
      <c r="B1721" s="40"/>
      <c r="U1721" s="36"/>
      <c r="V1721" s="36"/>
      <c r="W1721" s="35"/>
      <c r="X1721" s="7"/>
      <c r="Y1721" s="7"/>
      <c r="Z1721" s="7"/>
      <c r="AA1721" s="7"/>
      <c r="AB1721" s="7"/>
      <c r="AC1721" s="7"/>
      <c r="AD1721" s="7"/>
      <c r="AE1721" s="7"/>
      <c r="AG1721" s="36"/>
      <c r="AH1721" s="36"/>
      <c r="AI1721" s="35"/>
      <c r="AJ1721" s="7"/>
      <c r="AK1721" s="7"/>
      <c r="AL1721" s="7"/>
      <c r="AM1721" s="7"/>
      <c r="AN1721" s="7"/>
      <c r="AO1721" s="7"/>
      <c r="AP1721" s="7"/>
      <c r="AQ1721" s="7"/>
      <c r="AS1721" s="36"/>
      <c r="AT1721" s="36"/>
      <c r="AU1721" s="35"/>
      <c r="AV1721" s="7"/>
      <c r="AW1721" s="7"/>
      <c r="AX1721" s="7"/>
      <c r="AY1721" s="7"/>
      <c r="AZ1721" s="7"/>
      <c r="BA1721" s="7"/>
      <c r="BB1721" s="7"/>
      <c r="BC1721" s="7"/>
      <c r="BF1721" s="7"/>
      <c r="BG1721" s="36"/>
      <c r="BH1721" s="36"/>
      <c r="BI1721" s="36"/>
      <c r="BJ1721" s="36"/>
      <c r="BK1721" s="36"/>
      <c r="BL1721" s="36"/>
      <c r="BM1721" s="36"/>
      <c r="BN1721" s="36"/>
      <c r="BO1721" s="36"/>
    </row>
    <row r="1722" spans="1:67" x14ac:dyDescent="0.25">
      <c r="A1722" s="39"/>
      <c r="B1722" s="40"/>
      <c r="U1722" s="36"/>
      <c r="V1722" s="36"/>
      <c r="W1722" s="35"/>
      <c r="X1722" s="7"/>
      <c r="Y1722" s="7"/>
      <c r="Z1722" s="7"/>
      <c r="AA1722" s="7"/>
      <c r="AB1722" s="7"/>
      <c r="AC1722" s="7"/>
      <c r="AD1722" s="7"/>
      <c r="AE1722" s="7"/>
      <c r="AG1722" s="36"/>
      <c r="AH1722" s="36"/>
      <c r="AI1722" s="35"/>
      <c r="AJ1722" s="7"/>
      <c r="AK1722" s="7"/>
      <c r="AL1722" s="7"/>
      <c r="AM1722" s="7"/>
      <c r="AN1722" s="7"/>
      <c r="AO1722" s="7"/>
      <c r="AP1722" s="7"/>
      <c r="AQ1722" s="7"/>
      <c r="AS1722" s="36"/>
      <c r="AT1722" s="36"/>
      <c r="AU1722" s="35"/>
      <c r="AV1722" s="7"/>
      <c r="AW1722" s="7"/>
      <c r="AX1722" s="7"/>
      <c r="AY1722" s="7"/>
      <c r="AZ1722" s="7"/>
      <c r="BA1722" s="7"/>
      <c r="BB1722" s="7"/>
      <c r="BC1722" s="7"/>
      <c r="BF1722" s="7"/>
      <c r="BG1722" s="36"/>
      <c r="BH1722" s="36"/>
      <c r="BI1722" s="36"/>
      <c r="BJ1722" s="36"/>
      <c r="BK1722" s="36"/>
      <c r="BL1722" s="36"/>
      <c r="BM1722" s="36"/>
      <c r="BN1722" s="36"/>
      <c r="BO1722" s="36"/>
    </row>
    <row r="1723" spans="1:67" x14ac:dyDescent="0.25">
      <c r="A1723" s="39"/>
      <c r="B1723" s="40"/>
      <c r="U1723" s="36"/>
      <c r="V1723" s="36"/>
      <c r="W1723" s="35"/>
      <c r="X1723" s="7"/>
      <c r="Y1723" s="7"/>
      <c r="Z1723" s="7"/>
      <c r="AA1723" s="7"/>
      <c r="AB1723" s="7"/>
      <c r="AC1723" s="7"/>
      <c r="AD1723" s="7"/>
      <c r="AE1723" s="7"/>
      <c r="AG1723" s="36"/>
      <c r="AH1723" s="36"/>
      <c r="AI1723" s="35"/>
      <c r="AJ1723" s="7"/>
      <c r="AK1723" s="7"/>
      <c r="AL1723" s="7"/>
      <c r="AM1723" s="7"/>
      <c r="AN1723" s="7"/>
      <c r="AO1723" s="7"/>
      <c r="AP1723" s="7"/>
      <c r="AQ1723" s="7"/>
      <c r="AS1723" s="36"/>
      <c r="AT1723" s="36"/>
      <c r="AU1723" s="35"/>
      <c r="AV1723" s="7"/>
      <c r="AW1723" s="7"/>
      <c r="AX1723" s="7"/>
      <c r="AY1723" s="7"/>
      <c r="AZ1723" s="7"/>
      <c r="BA1723" s="7"/>
      <c r="BB1723" s="7"/>
      <c r="BC1723" s="7"/>
      <c r="BF1723" s="7"/>
      <c r="BG1723" s="36"/>
      <c r="BH1723" s="36"/>
      <c r="BI1723" s="36"/>
      <c r="BJ1723" s="36"/>
      <c r="BK1723" s="36"/>
      <c r="BL1723" s="36"/>
      <c r="BM1723" s="36"/>
      <c r="BN1723" s="36"/>
      <c r="BO1723" s="36"/>
    </row>
    <row r="1724" spans="1:67" x14ac:dyDescent="0.25">
      <c r="A1724" s="39"/>
      <c r="B1724" s="40"/>
      <c r="U1724" s="36"/>
      <c r="V1724" s="36"/>
      <c r="W1724" s="35"/>
      <c r="X1724" s="7"/>
      <c r="Y1724" s="7"/>
      <c r="Z1724" s="7"/>
      <c r="AA1724" s="7"/>
      <c r="AB1724" s="7"/>
      <c r="AC1724" s="7"/>
      <c r="AD1724" s="7"/>
      <c r="AE1724" s="7"/>
      <c r="AG1724" s="36"/>
      <c r="AH1724" s="36"/>
      <c r="AI1724" s="35"/>
      <c r="AJ1724" s="7"/>
      <c r="AK1724" s="7"/>
      <c r="AL1724" s="7"/>
      <c r="AM1724" s="7"/>
      <c r="AN1724" s="7"/>
      <c r="AO1724" s="7"/>
      <c r="AP1724" s="7"/>
      <c r="AQ1724" s="7"/>
      <c r="AS1724" s="36"/>
      <c r="AT1724" s="36"/>
      <c r="AU1724" s="35"/>
      <c r="AV1724" s="7"/>
      <c r="AW1724" s="7"/>
      <c r="AX1724" s="7"/>
      <c r="AY1724" s="7"/>
      <c r="AZ1724" s="7"/>
      <c r="BA1724" s="7"/>
      <c r="BB1724" s="7"/>
      <c r="BC1724" s="7"/>
      <c r="BF1724" s="7"/>
      <c r="BG1724" s="36"/>
      <c r="BH1724" s="36"/>
      <c r="BI1724" s="36"/>
      <c r="BJ1724" s="36"/>
      <c r="BK1724" s="36"/>
      <c r="BL1724" s="36"/>
      <c r="BM1724" s="36"/>
      <c r="BN1724" s="36"/>
      <c r="BO1724" s="36"/>
    </row>
    <row r="1725" spans="1:67" x14ac:dyDescent="0.25">
      <c r="A1725" s="39"/>
      <c r="B1725" s="40"/>
      <c r="U1725" s="36"/>
      <c r="V1725" s="36"/>
      <c r="W1725" s="35"/>
      <c r="X1725" s="7"/>
      <c r="Y1725" s="7"/>
      <c r="Z1725" s="7"/>
      <c r="AA1725" s="7"/>
      <c r="AB1725" s="7"/>
      <c r="AC1725" s="7"/>
      <c r="AD1725" s="7"/>
      <c r="AE1725" s="7"/>
      <c r="AG1725" s="36"/>
      <c r="AH1725" s="36"/>
      <c r="AI1725" s="35"/>
      <c r="AJ1725" s="7"/>
      <c r="AK1725" s="7"/>
      <c r="AL1725" s="7"/>
      <c r="AM1725" s="7"/>
      <c r="AN1725" s="7"/>
      <c r="AO1725" s="7"/>
      <c r="AP1725" s="7"/>
      <c r="AQ1725" s="7"/>
      <c r="AS1725" s="36"/>
      <c r="AT1725" s="36"/>
      <c r="AU1725" s="35"/>
      <c r="AV1725" s="7"/>
      <c r="AW1725" s="7"/>
      <c r="AX1725" s="7"/>
      <c r="AY1725" s="7"/>
      <c r="AZ1725" s="7"/>
      <c r="BA1725" s="7"/>
      <c r="BB1725" s="7"/>
      <c r="BC1725" s="7"/>
      <c r="BF1725" s="7"/>
      <c r="BG1725" s="36"/>
      <c r="BH1725" s="36"/>
      <c r="BI1725" s="36"/>
      <c r="BJ1725" s="36"/>
      <c r="BK1725" s="36"/>
      <c r="BL1725" s="36"/>
      <c r="BM1725" s="36"/>
      <c r="BN1725" s="36"/>
      <c r="BO1725" s="36"/>
    </row>
    <row r="1726" spans="1:67" x14ac:dyDescent="0.25">
      <c r="A1726" s="39"/>
      <c r="B1726" s="40"/>
      <c r="U1726" s="36"/>
      <c r="V1726" s="36"/>
      <c r="W1726" s="35"/>
      <c r="X1726" s="7"/>
      <c r="Y1726" s="7"/>
      <c r="Z1726" s="7"/>
      <c r="AA1726" s="7"/>
      <c r="AB1726" s="7"/>
      <c r="AC1726" s="7"/>
      <c r="AD1726" s="7"/>
      <c r="AE1726" s="7"/>
      <c r="AG1726" s="36"/>
      <c r="AH1726" s="36"/>
      <c r="AI1726" s="35"/>
      <c r="AJ1726" s="7"/>
      <c r="AK1726" s="7"/>
      <c r="AL1726" s="7"/>
      <c r="AM1726" s="7"/>
      <c r="AN1726" s="7"/>
      <c r="AO1726" s="7"/>
      <c r="AP1726" s="7"/>
      <c r="AQ1726" s="7"/>
      <c r="AS1726" s="36"/>
      <c r="AT1726" s="36"/>
      <c r="AU1726" s="35"/>
      <c r="AV1726" s="7"/>
      <c r="AW1726" s="7"/>
      <c r="AX1726" s="7"/>
      <c r="AY1726" s="7"/>
      <c r="AZ1726" s="7"/>
      <c r="BA1726" s="7"/>
      <c r="BB1726" s="7"/>
      <c r="BC1726" s="7"/>
      <c r="BF1726" s="7"/>
      <c r="BG1726" s="36"/>
      <c r="BH1726" s="36"/>
      <c r="BI1726" s="36"/>
      <c r="BJ1726" s="36"/>
      <c r="BK1726" s="36"/>
      <c r="BL1726" s="36"/>
      <c r="BM1726" s="36"/>
      <c r="BN1726" s="36"/>
      <c r="BO1726" s="36"/>
    </row>
    <row r="1727" spans="1:67" x14ac:dyDescent="0.25">
      <c r="A1727" s="39"/>
      <c r="B1727" s="40"/>
      <c r="U1727" s="36"/>
      <c r="V1727" s="36"/>
      <c r="W1727" s="35"/>
      <c r="X1727" s="7"/>
      <c r="Y1727" s="7"/>
      <c r="Z1727" s="7"/>
      <c r="AA1727" s="7"/>
      <c r="AB1727" s="7"/>
      <c r="AC1727" s="7"/>
      <c r="AD1727" s="7"/>
      <c r="AE1727" s="7"/>
      <c r="AG1727" s="36"/>
      <c r="AH1727" s="36"/>
      <c r="AI1727" s="35"/>
      <c r="AJ1727" s="7"/>
      <c r="AK1727" s="7"/>
      <c r="AL1727" s="7"/>
      <c r="AM1727" s="7"/>
      <c r="AN1727" s="7"/>
      <c r="AO1727" s="7"/>
      <c r="AP1727" s="7"/>
      <c r="AQ1727" s="7"/>
      <c r="AS1727" s="36"/>
      <c r="AT1727" s="36"/>
      <c r="AU1727" s="35"/>
      <c r="AV1727" s="7"/>
      <c r="AW1727" s="7"/>
      <c r="AX1727" s="7"/>
      <c r="AY1727" s="7"/>
      <c r="AZ1727" s="7"/>
      <c r="BA1727" s="7"/>
      <c r="BB1727" s="7"/>
      <c r="BC1727" s="7"/>
      <c r="BF1727" s="7"/>
      <c r="BG1727" s="36"/>
      <c r="BH1727" s="36"/>
      <c r="BI1727" s="36"/>
      <c r="BJ1727" s="36"/>
      <c r="BK1727" s="36"/>
      <c r="BL1727" s="36"/>
      <c r="BM1727" s="36"/>
      <c r="BN1727" s="36"/>
      <c r="BO1727" s="36"/>
    </row>
    <row r="1728" spans="1:67" x14ac:dyDescent="0.25">
      <c r="A1728" s="39"/>
      <c r="B1728" s="40"/>
      <c r="U1728" s="36"/>
      <c r="V1728" s="36"/>
      <c r="W1728" s="35"/>
      <c r="X1728" s="7"/>
      <c r="Y1728" s="7"/>
      <c r="Z1728" s="7"/>
      <c r="AA1728" s="7"/>
      <c r="AB1728" s="7"/>
      <c r="AC1728" s="7"/>
      <c r="AD1728" s="7"/>
      <c r="AE1728" s="7"/>
      <c r="AG1728" s="36"/>
      <c r="AH1728" s="36"/>
      <c r="AI1728" s="35"/>
      <c r="AJ1728" s="7"/>
      <c r="AK1728" s="7"/>
      <c r="AL1728" s="7"/>
      <c r="AM1728" s="7"/>
      <c r="AN1728" s="7"/>
      <c r="AO1728" s="7"/>
      <c r="AP1728" s="7"/>
      <c r="AQ1728" s="7"/>
      <c r="AS1728" s="36"/>
      <c r="AT1728" s="36"/>
      <c r="AU1728" s="35"/>
      <c r="AV1728" s="7"/>
      <c r="AW1728" s="7"/>
      <c r="AX1728" s="7"/>
      <c r="AY1728" s="7"/>
      <c r="AZ1728" s="7"/>
      <c r="BA1728" s="7"/>
      <c r="BB1728" s="7"/>
      <c r="BC1728" s="7"/>
      <c r="BF1728" s="7"/>
      <c r="BG1728" s="36"/>
      <c r="BH1728" s="36"/>
      <c r="BI1728" s="36"/>
      <c r="BJ1728" s="36"/>
      <c r="BK1728" s="36"/>
      <c r="BL1728" s="36"/>
      <c r="BM1728" s="36"/>
      <c r="BN1728" s="36"/>
      <c r="BO1728" s="36"/>
    </row>
    <row r="1729" spans="1:67" x14ac:dyDescent="0.25">
      <c r="A1729" s="39"/>
      <c r="B1729" s="40"/>
      <c r="U1729" s="36"/>
      <c r="V1729" s="36"/>
      <c r="W1729" s="35"/>
      <c r="X1729" s="7"/>
      <c r="Y1729" s="7"/>
      <c r="Z1729" s="7"/>
      <c r="AA1729" s="7"/>
      <c r="AB1729" s="7"/>
      <c r="AC1729" s="7"/>
      <c r="AD1729" s="7"/>
      <c r="AE1729" s="7"/>
      <c r="AG1729" s="36"/>
      <c r="AH1729" s="36"/>
      <c r="AI1729" s="35"/>
      <c r="AJ1729" s="7"/>
      <c r="AK1729" s="7"/>
      <c r="AL1729" s="7"/>
      <c r="AM1729" s="7"/>
      <c r="AN1729" s="7"/>
      <c r="AO1729" s="7"/>
      <c r="AP1729" s="7"/>
      <c r="AQ1729" s="7"/>
      <c r="AS1729" s="36"/>
      <c r="AT1729" s="36"/>
      <c r="AU1729" s="35"/>
      <c r="AV1729" s="7"/>
      <c r="AW1729" s="7"/>
      <c r="AX1729" s="7"/>
      <c r="AY1729" s="7"/>
      <c r="AZ1729" s="7"/>
      <c r="BA1729" s="7"/>
      <c r="BB1729" s="7"/>
      <c r="BC1729" s="7"/>
      <c r="BF1729" s="7"/>
      <c r="BG1729" s="36"/>
      <c r="BH1729" s="36"/>
      <c r="BI1729" s="36"/>
      <c r="BJ1729" s="36"/>
      <c r="BK1729" s="36"/>
      <c r="BL1729" s="36"/>
      <c r="BM1729" s="36"/>
      <c r="BN1729" s="36"/>
      <c r="BO1729" s="36"/>
    </row>
    <row r="1730" spans="1:67" x14ac:dyDescent="0.25">
      <c r="A1730" s="39"/>
      <c r="B1730" s="40"/>
      <c r="U1730" s="36"/>
      <c r="V1730" s="36"/>
      <c r="W1730" s="35"/>
      <c r="X1730" s="7"/>
      <c r="Y1730" s="7"/>
      <c r="Z1730" s="7"/>
      <c r="AA1730" s="7"/>
      <c r="AB1730" s="7"/>
      <c r="AC1730" s="7"/>
      <c r="AD1730" s="7"/>
      <c r="AE1730" s="7"/>
      <c r="AG1730" s="36"/>
      <c r="AH1730" s="36"/>
      <c r="AI1730" s="35"/>
      <c r="AJ1730" s="7"/>
      <c r="AK1730" s="7"/>
      <c r="AL1730" s="7"/>
      <c r="AM1730" s="7"/>
      <c r="AN1730" s="7"/>
      <c r="AO1730" s="7"/>
      <c r="AP1730" s="7"/>
      <c r="AQ1730" s="7"/>
      <c r="AS1730" s="36"/>
      <c r="AT1730" s="36"/>
      <c r="AU1730" s="35"/>
      <c r="AV1730" s="7"/>
      <c r="AW1730" s="7"/>
      <c r="AX1730" s="7"/>
      <c r="AY1730" s="7"/>
      <c r="AZ1730" s="7"/>
      <c r="BA1730" s="7"/>
      <c r="BB1730" s="7"/>
      <c r="BC1730" s="7"/>
      <c r="BF1730" s="7"/>
      <c r="BG1730" s="36"/>
      <c r="BH1730" s="36"/>
      <c r="BI1730" s="36"/>
      <c r="BJ1730" s="36"/>
      <c r="BK1730" s="36"/>
      <c r="BL1730" s="36"/>
      <c r="BM1730" s="36"/>
      <c r="BN1730" s="36"/>
      <c r="BO1730" s="36"/>
    </row>
    <row r="1731" spans="1:67" x14ac:dyDescent="0.25">
      <c r="A1731" s="39"/>
      <c r="B1731" s="40"/>
      <c r="U1731" s="36"/>
      <c r="V1731" s="36"/>
      <c r="W1731" s="35"/>
      <c r="X1731" s="7"/>
      <c r="Y1731" s="7"/>
      <c r="Z1731" s="7"/>
      <c r="AA1731" s="7"/>
      <c r="AB1731" s="7"/>
      <c r="AC1731" s="7"/>
      <c r="AD1731" s="7"/>
      <c r="AE1731" s="7"/>
      <c r="AG1731" s="36"/>
      <c r="AH1731" s="36"/>
      <c r="AI1731" s="35"/>
      <c r="AJ1731" s="7"/>
      <c r="AK1731" s="7"/>
      <c r="AL1731" s="7"/>
      <c r="AM1731" s="7"/>
      <c r="AN1731" s="7"/>
      <c r="AO1731" s="7"/>
      <c r="AP1731" s="7"/>
      <c r="AQ1731" s="7"/>
      <c r="AS1731" s="36"/>
      <c r="AT1731" s="36"/>
      <c r="AU1731" s="35"/>
      <c r="AV1731" s="7"/>
      <c r="AW1731" s="7"/>
      <c r="AX1731" s="7"/>
      <c r="AY1731" s="7"/>
      <c r="AZ1731" s="7"/>
      <c r="BA1731" s="7"/>
      <c r="BB1731" s="7"/>
      <c r="BC1731" s="7"/>
      <c r="BF1731" s="7"/>
      <c r="BG1731" s="36"/>
      <c r="BH1731" s="36"/>
      <c r="BI1731" s="36"/>
      <c r="BJ1731" s="36"/>
      <c r="BK1731" s="36"/>
      <c r="BL1731" s="36"/>
      <c r="BM1731" s="36"/>
      <c r="BN1731" s="36"/>
      <c r="BO1731" s="36"/>
    </row>
    <row r="1732" spans="1:67" x14ac:dyDescent="0.25">
      <c r="A1732" s="39"/>
      <c r="B1732" s="40"/>
      <c r="U1732" s="36"/>
      <c r="V1732" s="36"/>
      <c r="W1732" s="35"/>
      <c r="X1732" s="7"/>
      <c r="Y1732" s="7"/>
      <c r="Z1732" s="7"/>
      <c r="AA1732" s="7"/>
      <c r="AB1732" s="7"/>
      <c r="AC1732" s="7"/>
      <c r="AD1732" s="7"/>
      <c r="AE1732" s="7"/>
      <c r="AG1732" s="36"/>
      <c r="AH1732" s="36"/>
      <c r="AI1732" s="35"/>
      <c r="AJ1732" s="7"/>
      <c r="AK1732" s="7"/>
      <c r="AL1732" s="7"/>
      <c r="AM1732" s="7"/>
      <c r="AN1732" s="7"/>
      <c r="AO1732" s="7"/>
      <c r="AP1732" s="7"/>
      <c r="AQ1732" s="7"/>
      <c r="AS1732" s="36"/>
      <c r="AT1732" s="36"/>
      <c r="AU1732" s="35"/>
      <c r="AV1732" s="7"/>
      <c r="AW1732" s="7"/>
      <c r="AX1732" s="7"/>
      <c r="AY1732" s="7"/>
      <c r="AZ1732" s="7"/>
      <c r="BA1732" s="7"/>
      <c r="BB1732" s="7"/>
      <c r="BC1732" s="7"/>
      <c r="BF1732" s="7"/>
      <c r="BG1732" s="36"/>
      <c r="BH1732" s="36"/>
      <c r="BI1732" s="36"/>
      <c r="BJ1732" s="36"/>
      <c r="BK1732" s="36"/>
      <c r="BL1732" s="36"/>
      <c r="BM1732" s="36"/>
      <c r="BN1732" s="36"/>
      <c r="BO1732" s="36"/>
    </row>
    <row r="1733" spans="1:67" x14ac:dyDescent="0.25">
      <c r="A1733" s="39"/>
      <c r="B1733" s="40"/>
      <c r="U1733" s="36"/>
      <c r="V1733" s="36"/>
      <c r="W1733" s="35"/>
      <c r="X1733" s="7"/>
      <c r="Y1733" s="7"/>
      <c r="Z1733" s="7"/>
      <c r="AA1733" s="7"/>
      <c r="AB1733" s="7"/>
      <c r="AC1733" s="7"/>
      <c r="AD1733" s="7"/>
      <c r="AE1733" s="7"/>
      <c r="AG1733" s="36"/>
      <c r="AH1733" s="36"/>
      <c r="AI1733" s="35"/>
      <c r="AJ1733" s="7"/>
      <c r="AK1733" s="7"/>
      <c r="AL1733" s="7"/>
      <c r="AM1733" s="7"/>
      <c r="AN1733" s="7"/>
      <c r="AO1733" s="7"/>
      <c r="AP1733" s="7"/>
      <c r="AQ1733" s="7"/>
      <c r="AS1733" s="36"/>
      <c r="AT1733" s="36"/>
      <c r="AU1733" s="35"/>
      <c r="AV1733" s="7"/>
      <c r="AW1733" s="7"/>
      <c r="AX1733" s="7"/>
      <c r="AY1733" s="7"/>
      <c r="AZ1733" s="7"/>
      <c r="BA1733" s="7"/>
      <c r="BB1733" s="7"/>
      <c r="BC1733" s="7"/>
      <c r="BF1733" s="7"/>
      <c r="BG1733" s="36"/>
      <c r="BH1733" s="36"/>
      <c r="BI1733" s="36"/>
      <c r="BJ1733" s="36"/>
      <c r="BK1733" s="36"/>
      <c r="BL1733" s="36"/>
      <c r="BM1733" s="36"/>
      <c r="BN1733" s="36"/>
      <c r="BO1733" s="36"/>
    </row>
    <row r="1734" spans="1:67" x14ac:dyDescent="0.25">
      <c r="A1734" s="39"/>
      <c r="B1734" s="40"/>
      <c r="U1734" s="36"/>
      <c r="V1734" s="36"/>
      <c r="W1734" s="35"/>
      <c r="X1734" s="7"/>
      <c r="Y1734" s="7"/>
      <c r="Z1734" s="7"/>
      <c r="AA1734" s="7"/>
      <c r="AB1734" s="7"/>
      <c r="AC1734" s="7"/>
      <c r="AD1734" s="7"/>
      <c r="AE1734" s="7"/>
      <c r="AG1734" s="36"/>
      <c r="AH1734" s="36"/>
      <c r="AI1734" s="35"/>
      <c r="AJ1734" s="7"/>
      <c r="AK1734" s="7"/>
      <c r="AL1734" s="7"/>
      <c r="AM1734" s="7"/>
      <c r="AN1734" s="7"/>
      <c r="AO1734" s="7"/>
      <c r="AP1734" s="7"/>
      <c r="AQ1734" s="7"/>
      <c r="AS1734" s="36"/>
      <c r="AT1734" s="36"/>
      <c r="AU1734" s="35"/>
      <c r="AV1734" s="7"/>
      <c r="AW1734" s="7"/>
      <c r="AX1734" s="7"/>
      <c r="AY1734" s="7"/>
      <c r="AZ1734" s="7"/>
      <c r="BA1734" s="7"/>
      <c r="BB1734" s="7"/>
      <c r="BC1734" s="7"/>
      <c r="BF1734" s="7"/>
      <c r="BG1734" s="36"/>
      <c r="BH1734" s="36"/>
      <c r="BI1734" s="36"/>
      <c r="BJ1734" s="36"/>
      <c r="BK1734" s="36"/>
      <c r="BL1734" s="36"/>
      <c r="BM1734" s="36"/>
      <c r="BN1734" s="36"/>
      <c r="BO1734" s="36"/>
    </row>
    <row r="1735" spans="1:67" x14ac:dyDescent="0.25">
      <c r="A1735" s="39"/>
      <c r="B1735" s="40"/>
      <c r="U1735" s="36"/>
      <c r="V1735" s="36"/>
      <c r="W1735" s="35"/>
      <c r="X1735" s="7"/>
      <c r="Y1735" s="7"/>
      <c r="Z1735" s="7"/>
      <c r="AA1735" s="7"/>
      <c r="AB1735" s="7"/>
      <c r="AC1735" s="7"/>
      <c r="AD1735" s="7"/>
      <c r="AE1735" s="7"/>
      <c r="AG1735" s="36"/>
      <c r="AH1735" s="36"/>
      <c r="AI1735" s="35"/>
      <c r="AJ1735" s="7"/>
      <c r="AK1735" s="7"/>
      <c r="AL1735" s="7"/>
      <c r="AM1735" s="7"/>
      <c r="AN1735" s="7"/>
      <c r="AO1735" s="7"/>
      <c r="AP1735" s="7"/>
      <c r="AQ1735" s="7"/>
      <c r="AS1735" s="36"/>
      <c r="AT1735" s="36"/>
      <c r="AU1735" s="35"/>
      <c r="AV1735" s="7"/>
      <c r="AW1735" s="7"/>
      <c r="AX1735" s="7"/>
      <c r="AY1735" s="7"/>
      <c r="AZ1735" s="7"/>
      <c r="BA1735" s="7"/>
      <c r="BB1735" s="7"/>
      <c r="BC1735" s="7"/>
      <c r="BF1735" s="7"/>
      <c r="BG1735" s="36"/>
      <c r="BH1735" s="36"/>
      <c r="BI1735" s="36"/>
      <c r="BJ1735" s="36"/>
      <c r="BK1735" s="36"/>
      <c r="BL1735" s="36"/>
      <c r="BM1735" s="36"/>
      <c r="BN1735" s="36"/>
      <c r="BO1735" s="36"/>
    </row>
    <row r="1736" spans="1:67" x14ac:dyDescent="0.25">
      <c r="A1736" s="39"/>
      <c r="B1736" s="40"/>
      <c r="U1736" s="36"/>
      <c r="V1736" s="36"/>
      <c r="W1736" s="35"/>
      <c r="X1736" s="7"/>
      <c r="Y1736" s="7"/>
      <c r="Z1736" s="7"/>
      <c r="AA1736" s="7"/>
      <c r="AB1736" s="7"/>
      <c r="AC1736" s="7"/>
      <c r="AD1736" s="7"/>
      <c r="AE1736" s="7"/>
      <c r="AG1736" s="36"/>
      <c r="AH1736" s="36"/>
      <c r="AI1736" s="35"/>
      <c r="AJ1736" s="7"/>
      <c r="AK1736" s="7"/>
      <c r="AL1736" s="7"/>
      <c r="AM1736" s="7"/>
      <c r="AN1736" s="7"/>
      <c r="AO1736" s="7"/>
      <c r="AP1736" s="7"/>
      <c r="AQ1736" s="7"/>
      <c r="AS1736" s="36"/>
      <c r="AT1736" s="36"/>
      <c r="AU1736" s="35"/>
      <c r="AV1736" s="7"/>
      <c r="AW1736" s="7"/>
      <c r="AX1736" s="7"/>
      <c r="AY1736" s="7"/>
      <c r="AZ1736" s="7"/>
      <c r="BA1736" s="7"/>
      <c r="BB1736" s="7"/>
      <c r="BC1736" s="7"/>
      <c r="BF1736" s="7"/>
      <c r="BG1736" s="36"/>
      <c r="BH1736" s="36"/>
      <c r="BI1736" s="36"/>
      <c r="BJ1736" s="36"/>
      <c r="BK1736" s="36"/>
      <c r="BL1736" s="36"/>
      <c r="BM1736" s="36"/>
      <c r="BN1736" s="36"/>
      <c r="BO1736" s="36"/>
    </row>
    <row r="1737" spans="1:67" x14ac:dyDescent="0.25">
      <c r="A1737" s="39"/>
      <c r="B1737" s="40"/>
      <c r="U1737" s="36"/>
      <c r="V1737" s="36"/>
      <c r="W1737" s="35"/>
      <c r="X1737" s="7"/>
      <c r="Y1737" s="7"/>
      <c r="Z1737" s="7"/>
      <c r="AA1737" s="7"/>
      <c r="AB1737" s="7"/>
      <c r="AC1737" s="7"/>
      <c r="AD1737" s="7"/>
      <c r="AE1737" s="7"/>
      <c r="AG1737" s="36"/>
      <c r="AH1737" s="36"/>
      <c r="AI1737" s="35"/>
      <c r="AJ1737" s="7"/>
      <c r="AK1737" s="7"/>
      <c r="AL1737" s="7"/>
      <c r="AM1737" s="7"/>
      <c r="AN1737" s="7"/>
      <c r="AO1737" s="7"/>
      <c r="AP1737" s="7"/>
      <c r="AQ1737" s="7"/>
      <c r="AS1737" s="36"/>
      <c r="AT1737" s="36"/>
      <c r="AU1737" s="35"/>
      <c r="AV1737" s="7"/>
      <c r="AW1737" s="7"/>
      <c r="AX1737" s="7"/>
      <c r="AY1737" s="7"/>
      <c r="AZ1737" s="7"/>
      <c r="BA1737" s="7"/>
      <c r="BB1737" s="7"/>
      <c r="BC1737" s="7"/>
      <c r="BF1737" s="7"/>
      <c r="BG1737" s="36"/>
      <c r="BH1737" s="36"/>
      <c r="BI1737" s="36"/>
      <c r="BJ1737" s="36"/>
      <c r="BK1737" s="36"/>
      <c r="BL1737" s="36"/>
      <c r="BM1737" s="36"/>
      <c r="BN1737" s="36"/>
      <c r="BO1737" s="36"/>
    </row>
    <row r="1738" spans="1:67" x14ac:dyDescent="0.25">
      <c r="A1738" s="39"/>
      <c r="B1738" s="40"/>
      <c r="U1738" s="36"/>
      <c r="V1738" s="36"/>
      <c r="W1738" s="35"/>
      <c r="X1738" s="7"/>
      <c r="Y1738" s="7"/>
      <c r="Z1738" s="7"/>
      <c r="AA1738" s="7"/>
      <c r="AB1738" s="7"/>
      <c r="AC1738" s="7"/>
      <c r="AD1738" s="7"/>
      <c r="AE1738" s="7"/>
      <c r="AG1738" s="36"/>
      <c r="AH1738" s="36"/>
      <c r="AI1738" s="35"/>
      <c r="AJ1738" s="7"/>
      <c r="AK1738" s="7"/>
      <c r="AL1738" s="7"/>
      <c r="AM1738" s="7"/>
      <c r="AN1738" s="7"/>
      <c r="AO1738" s="7"/>
      <c r="AP1738" s="7"/>
      <c r="AQ1738" s="7"/>
      <c r="AS1738" s="36"/>
      <c r="AT1738" s="36"/>
      <c r="AU1738" s="35"/>
      <c r="AV1738" s="7"/>
      <c r="AW1738" s="7"/>
      <c r="AX1738" s="7"/>
      <c r="AY1738" s="7"/>
      <c r="AZ1738" s="7"/>
      <c r="BA1738" s="7"/>
      <c r="BB1738" s="7"/>
      <c r="BC1738" s="7"/>
      <c r="BF1738" s="7"/>
      <c r="BG1738" s="36"/>
      <c r="BH1738" s="36"/>
      <c r="BI1738" s="36"/>
      <c r="BJ1738" s="36"/>
      <c r="BK1738" s="36"/>
      <c r="BL1738" s="36"/>
      <c r="BM1738" s="36"/>
      <c r="BN1738" s="36"/>
      <c r="BO1738" s="36"/>
    </row>
    <row r="1739" spans="1:67" x14ac:dyDescent="0.25">
      <c r="A1739" s="39"/>
      <c r="B1739" s="40"/>
      <c r="U1739" s="36"/>
      <c r="V1739" s="36"/>
      <c r="W1739" s="35"/>
      <c r="X1739" s="7"/>
      <c r="Y1739" s="7"/>
      <c r="Z1739" s="7"/>
      <c r="AA1739" s="7"/>
      <c r="AB1739" s="7"/>
      <c r="AC1739" s="7"/>
      <c r="AD1739" s="7"/>
      <c r="AE1739" s="7"/>
      <c r="AG1739" s="36"/>
      <c r="AH1739" s="36"/>
      <c r="AI1739" s="35"/>
      <c r="AJ1739" s="7"/>
      <c r="AK1739" s="7"/>
      <c r="AL1739" s="7"/>
      <c r="AM1739" s="7"/>
      <c r="AN1739" s="7"/>
      <c r="AO1739" s="7"/>
      <c r="AP1739" s="7"/>
      <c r="AQ1739" s="7"/>
      <c r="AS1739" s="36"/>
      <c r="AT1739" s="36"/>
      <c r="AU1739" s="35"/>
      <c r="AV1739" s="7"/>
      <c r="AW1739" s="7"/>
      <c r="AX1739" s="7"/>
      <c r="AY1739" s="7"/>
      <c r="AZ1739" s="7"/>
      <c r="BA1739" s="7"/>
      <c r="BB1739" s="7"/>
      <c r="BC1739" s="7"/>
      <c r="BF1739" s="7"/>
      <c r="BG1739" s="36"/>
      <c r="BH1739" s="36"/>
      <c r="BI1739" s="36"/>
      <c r="BJ1739" s="36"/>
      <c r="BK1739" s="36"/>
      <c r="BL1739" s="36"/>
      <c r="BM1739" s="36"/>
      <c r="BN1739" s="36"/>
      <c r="BO1739" s="36"/>
    </row>
    <row r="1740" spans="1:67" x14ac:dyDescent="0.25">
      <c r="A1740" s="39"/>
      <c r="B1740" s="40"/>
      <c r="U1740" s="36"/>
      <c r="V1740" s="36"/>
      <c r="W1740" s="35"/>
      <c r="X1740" s="7"/>
      <c r="Y1740" s="7"/>
      <c r="Z1740" s="7"/>
      <c r="AA1740" s="7"/>
      <c r="AB1740" s="7"/>
      <c r="AC1740" s="7"/>
      <c r="AD1740" s="7"/>
      <c r="AE1740" s="7"/>
      <c r="AG1740" s="36"/>
      <c r="AH1740" s="36"/>
      <c r="AI1740" s="35"/>
      <c r="AJ1740" s="7"/>
      <c r="AK1740" s="7"/>
      <c r="AL1740" s="7"/>
      <c r="AM1740" s="7"/>
      <c r="AN1740" s="7"/>
      <c r="AO1740" s="7"/>
      <c r="AP1740" s="7"/>
      <c r="AQ1740" s="7"/>
      <c r="AS1740" s="36"/>
      <c r="AT1740" s="36"/>
      <c r="AU1740" s="35"/>
      <c r="AV1740" s="7"/>
      <c r="AW1740" s="7"/>
      <c r="AX1740" s="7"/>
      <c r="AY1740" s="7"/>
      <c r="AZ1740" s="7"/>
      <c r="BA1740" s="7"/>
      <c r="BB1740" s="7"/>
      <c r="BC1740" s="7"/>
      <c r="BF1740" s="7"/>
      <c r="BG1740" s="36"/>
      <c r="BH1740" s="36"/>
      <c r="BI1740" s="36"/>
      <c r="BJ1740" s="36"/>
      <c r="BK1740" s="36"/>
      <c r="BL1740" s="36"/>
      <c r="BM1740" s="36"/>
      <c r="BN1740" s="36"/>
      <c r="BO1740" s="36"/>
    </row>
    <row r="1741" spans="1:67" x14ac:dyDescent="0.25">
      <c r="A1741" s="39"/>
      <c r="B1741" s="40"/>
      <c r="U1741" s="36"/>
      <c r="V1741" s="36"/>
      <c r="W1741" s="35"/>
      <c r="X1741" s="7"/>
      <c r="Y1741" s="7"/>
      <c r="Z1741" s="7"/>
      <c r="AA1741" s="7"/>
      <c r="AB1741" s="7"/>
      <c r="AC1741" s="7"/>
      <c r="AD1741" s="7"/>
      <c r="AE1741" s="7"/>
      <c r="AG1741" s="36"/>
      <c r="AH1741" s="36"/>
      <c r="AI1741" s="35"/>
      <c r="AJ1741" s="7"/>
      <c r="AK1741" s="7"/>
      <c r="AL1741" s="7"/>
      <c r="AM1741" s="7"/>
      <c r="AN1741" s="7"/>
      <c r="AO1741" s="7"/>
      <c r="AP1741" s="7"/>
      <c r="AQ1741" s="7"/>
      <c r="AS1741" s="36"/>
      <c r="AT1741" s="36"/>
      <c r="AU1741" s="35"/>
      <c r="AV1741" s="7"/>
      <c r="AW1741" s="7"/>
      <c r="AX1741" s="7"/>
      <c r="AY1741" s="7"/>
      <c r="AZ1741" s="7"/>
      <c r="BA1741" s="7"/>
      <c r="BB1741" s="7"/>
      <c r="BC1741" s="7"/>
      <c r="BF1741" s="7"/>
      <c r="BG1741" s="36"/>
      <c r="BH1741" s="36"/>
      <c r="BI1741" s="36"/>
      <c r="BJ1741" s="36"/>
      <c r="BK1741" s="36"/>
      <c r="BL1741" s="36"/>
      <c r="BM1741" s="36"/>
      <c r="BN1741" s="36"/>
      <c r="BO1741" s="36"/>
    </row>
    <row r="1742" spans="1:67" x14ac:dyDescent="0.25">
      <c r="A1742" s="39"/>
      <c r="B1742" s="40"/>
      <c r="U1742" s="36"/>
      <c r="V1742" s="36"/>
      <c r="W1742" s="35"/>
      <c r="X1742" s="7"/>
      <c r="Y1742" s="7"/>
      <c r="Z1742" s="7"/>
      <c r="AA1742" s="7"/>
      <c r="AB1742" s="7"/>
      <c r="AC1742" s="7"/>
      <c r="AD1742" s="7"/>
      <c r="AE1742" s="7"/>
      <c r="AG1742" s="36"/>
      <c r="AH1742" s="36"/>
      <c r="AI1742" s="35"/>
      <c r="AJ1742" s="7"/>
      <c r="AK1742" s="7"/>
      <c r="AL1742" s="7"/>
      <c r="AM1742" s="7"/>
      <c r="AN1742" s="7"/>
      <c r="AO1742" s="7"/>
      <c r="AP1742" s="7"/>
      <c r="AQ1742" s="7"/>
      <c r="AS1742" s="36"/>
      <c r="AT1742" s="36"/>
      <c r="AU1742" s="35"/>
      <c r="AV1742" s="7"/>
      <c r="AW1742" s="7"/>
      <c r="AX1742" s="7"/>
      <c r="AY1742" s="7"/>
      <c r="AZ1742" s="7"/>
      <c r="BA1742" s="7"/>
      <c r="BB1742" s="7"/>
      <c r="BC1742" s="7"/>
      <c r="BF1742" s="7"/>
      <c r="BG1742" s="36"/>
      <c r="BH1742" s="36"/>
      <c r="BI1742" s="36"/>
      <c r="BJ1742" s="36"/>
      <c r="BK1742" s="36"/>
      <c r="BL1742" s="36"/>
      <c r="BM1742" s="36"/>
      <c r="BN1742" s="36"/>
      <c r="BO1742" s="36"/>
    </row>
    <row r="1743" spans="1:67" x14ac:dyDescent="0.25">
      <c r="A1743" s="39"/>
      <c r="B1743" s="40"/>
      <c r="U1743" s="36"/>
      <c r="V1743" s="36"/>
      <c r="W1743" s="35"/>
      <c r="X1743" s="7"/>
      <c r="Y1743" s="7"/>
      <c r="Z1743" s="7"/>
      <c r="AA1743" s="7"/>
      <c r="AB1743" s="7"/>
      <c r="AC1743" s="7"/>
      <c r="AD1743" s="7"/>
      <c r="AE1743" s="7"/>
      <c r="AG1743" s="36"/>
      <c r="AH1743" s="36"/>
      <c r="AI1743" s="35"/>
      <c r="AJ1743" s="7"/>
      <c r="AK1743" s="7"/>
      <c r="AL1743" s="7"/>
      <c r="AM1743" s="7"/>
      <c r="AN1743" s="7"/>
      <c r="AO1743" s="7"/>
      <c r="AP1743" s="7"/>
      <c r="AQ1743" s="7"/>
      <c r="AS1743" s="36"/>
      <c r="AT1743" s="36"/>
      <c r="AU1743" s="35"/>
      <c r="AV1743" s="7"/>
      <c r="AW1743" s="7"/>
      <c r="AX1743" s="7"/>
      <c r="AY1743" s="7"/>
      <c r="AZ1743" s="7"/>
      <c r="BA1743" s="7"/>
      <c r="BB1743" s="7"/>
      <c r="BC1743" s="7"/>
      <c r="BF1743" s="7"/>
      <c r="BG1743" s="36"/>
      <c r="BH1743" s="36"/>
      <c r="BI1743" s="36"/>
      <c r="BJ1743" s="36"/>
      <c r="BK1743" s="36"/>
      <c r="BL1743" s="36"/>
      <c r="BM1743" s="36"/>
      <c r="BN1743" s="36"/>
      <c r="BO1743" s="36"/>
    </row>
    <row r="1744" spans="1:67" x14ac:dyDescent="0.25">
      <c r="A1744" s="39"/>
      <c r="B1744" s="40"/>
      <c r="U1744" s="36"/>
      <c r="V1744" s="36"/>
      <c r="W1744" s="35"/>
      <c r="X1744" s="7"/>
      <c r="Y1744" s="7"/>
      <c r="Z1744" s="7"/>
      <c r="AA1744" s="7"/>
      <c r="AB1744" s="7"/>
      <c r="AC1744" s="7"/>
      <c r="AD1744" s="7"/>
      <c r="AE1744" s="7"/>
      <c r="AG1744" s="36"/>
      <c r="AH1744" s="36"/>
      <c r="AI1744" s="35"/>
      <c r="AJ1744" s="7"/>
      <c r="AK1744" s="7"/>
      <c r="AL1744" s="7"/>
      <c r="AM1744" s="7"/>
      <c r="AN1744" s="7"/>
      <c r="AO1744" s="7"/>
      <c r="AP1744" s="7"/>
      <c r="AQ1744" s="7"/>
      <c r="AS1744" s="36"/>
      <c r="AT1744" s="36"/>
      <c r="AU1744" s="35"/>
      <c r="AV1744" s="7"/>
      <c r="AW1744" s="7"/>
      <c r="AX1744" s="7"/>
      <c r="AY1744" s="7"/>
      <c r="AZ1744" s="7"/>
      <c r="BA1744" s="7"/>
      <c r="BB1744" s="7"/>
      <c r="BC1744" s="7"/>
      <c r="BF1744" s="7"/>
      <c r="BG1744" s="36"/>
      <c r="BH1744" s="36"/>
      <c r="BI1744" s="36"/>
      <c r="BJ1744" s="36"/>
      <c r="BK1744" s="36"/>
      <c r="BL1744" s="36"/>
      <c r="BM1744" s="36"/>
      <c r="BN1744" s="36"/>
      <c r="BO1744" s="36"/>
    </row>
    <row r="1745" spans="1:67" x14ac:dyDescent="0.25">
      <c r="A1745" s="39"/>
      <c r="B1745" s="40"/>
      <c r="U1745" s="36"/>
      <c r="V1745" s="36"/>
      <c r="W1745" s="35"/>
      <c r="X1745" s="7"/>
      <c r="Y1745" s="7"/>
      <c r="Z1745" s="7"/>
      <c r="AA1745" s="7"/>
      <c r="AB1745" s="7"/>
      <c r="AC1745" s="7"/>
      <c r="AD1745" s="7"/>
      <c r="AE1745" s="7"/>
      <c r="AG1745" s="36"/>
      <c r="AH1745" s="36"/>
      <c r="AI1745" s="35"/>
      <c r="AJ1745" s="7"/>
      <c r="AK1745" s="7"/>
      <c r="AL1745" s="7"/>
      <c r="AM1745" s="7"/>
      <c r="AN1745" s="7"/>
      <c r="AO1745" s="7"/>
      <c r="AP1745" s="7"/>
      <c r="AQ1745" s="7"/>
      <c r="AS1745" s="36"/>
      <c r="AT1745" s="36"/>
      <c r="AU1745" s="35"/>
      <c r="AV1745" s="7"/>
      <c r="AW1745" s="7"/>
      <c r="AX1745" s="7"/>
      <c r="AY1745" s="7"/>
      <c r="AZ1745" s="7"/>
      <c r="BA1745" s="7"/>
      <c r="BB1745" s="7"/>
      <c r="BC1745" s="7"/>
      <c r="BF1745" s="7"/>
      <c r="BG1745" s="36"/>
      <c r="BH1745" s="36"/>
      <c r="BI1745" s="36"/>
      <c r="BJ1745" s="36"/>
      <c r="BK1745" s="36"/>
      <c r="BL1745" s="36"/>
      <c r="BM1745" s="36"/>
      <c r="BN1745" s="36"/>
      <c r="BO1745" s="36"/>
    </row>
    <row r="1746" spans="1:67" x14ac:dyDescent="0.25">
      <c r="A1746" s="39"/>
      <c r="B1746" s="40"/>
      <c r="U1746" s="36"/>
      <c r="V1746" s="36"/>
      <c r="W1746" s="35"/>
      <c r="X1746" s="7"/>
      <c r="Y1746" s="7"/>
      <c r="Z1746" s="7"/>
      <c r="AA1746" s="7"/>
      <c r="AB1746" s="7"/>
      <c r="AC1746" s="7"/>
      <c r="AD1746" s="7"/>
      <c r="AE1746" s="7"/>
      <c r="AG1746" s="36"/>
      <c r="AH1746" s="36"/>
      <c r="AI1746" s="35"/>
      <c r="AJ1746" s="7"/>
      <c r="AK1746" s="7"/>
      <c r="AL1746" s="7"/>
      <c r="AM1746" s="7"/>
      <c r="AN1746" s="7"/>
      <c r="AO1746" s="7"/>
      <c r="AP1746" s="7"/>
      <c r="AQ1746" s="7"/>
      <c r="AS1746" s="36"/>
      <c r="AT1746" s="36"/>
      <c r="AU1746" s="35"/>
      <c r="AV1746" s="7"/>
      <c r="AW1746" s="7"/>
      <c r="AX1746" s="7"/>
      <c r="AY1746" s="7"/>
      <c r="AZ1746" s="7"/>
      <c r="BA1746" s="7"/>
      <c r="BB1746" s="7"/>
      <c r="BC1746" s="7"/>
      <c r="BF1746" s="7"/>
      <c r="BG1746" s="36"/>
      <c r="BH1746" s="36"/>
      <c r="BI1746" s="36"/>
      <c r="BJ1746" s="36"/>
      <c r="BK1746" s="36"/>
      <c r="BL1746" s="36"/>
      <c r="BM1746" s="36"/>
      <c r="BN1746" s="36"/>
      <c r="BO1746" s="36"/>
    </row>
    <row r="1747" spans="1:67" x14ac:dyDescent="0.25">
      <c r="A1747" s="39"/>
      <c r="B1747" s="40"/>
      <c r="U1747" s="36"/>
      <c r="V1747" s="36"/>
      <c r="W1747" s="35"/>
      <c r="X1747" s="7"/>
      <c r="Y1747" s="7"/>
      <c r="Z1747" s="7"/>
      <c r="AA1747" s="7"/>
      <c r="AB1747" s="7"/>
      <c r="AC1747" s="7"/>
      <c r="AD1747" s="7"/>
      <c r="AE1747" s="7"/>
      <c r="AG1747" s="36"/>
      <c r="AH1747" s="36"/>
      <c r="AI1747" s="35"/>
      <c r="AJ1747" s="7"/>
      <c r="AK1747" s="7"/>
      <c r="AL1747" s="7"/>
      <c r="AM1747" s="7"/>
      <c r="AN1747" s="7"/>
      <c r="AO1747" s="7"/>
      <c r="AP1747" s="7"/>
      <c r="AQ1747" s="7"/>
      <c r="AS1747" s="36"/>
      <c r="AT1747" s="36"/>
      <c r="AU1747" s="35"/>
      <c r="AV1747" s="7"/>
      <c r="AW1747" s="7"/>
      <c r="AX1747" s="7"/>
      <c r="AY1747" s="7"/>
      <c r="AZ1747" s="7"/>
      <c r="BA1747" s="7"/>
      <c r="BB1747" s="7"/>
      <c r="BC1747" s="7"/>
      <c r="BF1747" s="7"/>
      <c r="BG1747" s="36"/>
      <c r="BH1747" s="36"/>
      <c r="BI1747" s="36"/>
      <c r="BJ1747" s="36"/>
      <c r="BK1747" s="36"/>
      <c r="BL1747" s="36"/>
      <c r="BM1747" s="36"/>
      <c r="BN1747" s="36"/>
      <c r="BO1747" s="36"/>
    </row>
    <row r="1748" spans="1:67" x14ac:dyDescent="0.25">
      <c r="A1748" s="39"/>
      <c r="B1748" s="40"/>
      <c r="U1748" s="36"/>
      <c r="V1748" s="36"/>
      <c r="W1748" s="35"/>
      <c r="X1748" s="7"/>
      <c r="Y1748" s="7"/>
      <c r="Z1748" s="7"/>
      <c r="AA1748" s="7"/>
      <c r="AB1748" s="7"/>
      <c r="AC1748" s="7"/>
      <c r="AD1748" s="7"/>
      <c r="AE1748" s="7"/>
      <c r="AG1748" s="36"/>
      <c r="AH1748" s="36"/>
      <c r="AI1748" s="35"/>
      <c r="AJ1748" s="7"/>
      <c r="AK1748" s="7"/>
      <c r="AL1748" s="7"/>
      <c r="AM1748" s="7"/>
      <c r="AN1748" s="7"/>
      <c r="AO1748" s="7"/>
      <c r="AP1748" s="7"/>
      <c r="AQ1748" s="7"/>
      <c r="AS1748" s="36"/>
      <c r="AT1748" s="36"/>
      <c r="AU1748" s="35"/>
      <c r="AV1748" s="7"/>
      <c r="AW1748" s="7"/>
      <c r="AX1748" s="7"/>
      <c r="AY1748" s="7"/>
      <c r="AZ1748" s="7"/>
      <c r="BA1748" s="7"/>
      <c r="BB1748" s="7"/>
      <c r="BC1748" s="7"/>
      <c r="BF1748" s="7"/>
      <c r="BG1748" s="36"/>
      <c r="BH1748" s="36"/>
      <c r="BI1748" s="36"/>
      <c r="BJ1748" s="36"/>
      <c r="BK1748" s="36"/>
      <c r="BL1748" s="36"/>
      <c r="BM1748" s="36"/>
      <c r="BN1748" s="36"/>
      <c r="BO1748" s="36"/>
    </row>
    <row r="1749" spans="1:67" x14ac:dyDescent="0.25">
      <c r="A1749" s="39"/>
      <c r="B1749" s="40"/>
      <c r="U1749" s="36"/>
      <c r="V1749" s="36"/>
      <c r="W1749" s="35"/>
      <c r="X1749" s="7"/>
      <c r="Y1749" s="7"/>
      <c r="Z1749" s="7"/>
      <c r="AA1749" s="7"/>
      <c r="AB1749" s="7"/>
      <c r="AC1749" s="7"/>
      <c r="AD1749" s="7"/>
      <c r="AE1749" s="7"/>
      <c r="AG1749" s="36"/>
      <c r="AH1749" s="36"/>
      <c r="AI1749" s="35"/>
      <c r="AJ1749" s="7"/>
      <c r="AK1749" s="7"/>
      <c r="AL1749" s="7"/>
      <c r="AM1749" s="7"/>
      <c r="AN1749" s="7"/>
      <c r="AO1749" s="7"/>
      <c r="AP1749" s="7"/>
      <c r="AQ1749" s="7"/>
      <c r="AS1749" s="36"/>
      <c r="AT1749" s="36"/>
      <c r="AU1749" s="35"/>
      <c r="AV1749" s="7"/>
      <c r="AW1749" s="7"/>
      <c r="AX1749" s="7"/>
      <c r="AY1749" s="7"/>
      <c r="AZ1749" s="7"/>
      <c r="BA1749" s="7"/>
      <c r="BB1749" s="7"/>
      <c r="BC1749" s="7"/>
      <c r="BF1749" s="7"/>
      <c r="BG1749" s="36"/>
      <c r="BH1749" s="36"/>
      <c r="BI1749" s="36"/>
      <c r="BJ1749" s="36"/>
      <c r="BK1749" s="36"/>
      <c r="BL1749" s="36"/>
      <c r="BM1749" s="36"/>
      <c r="BN1749" s="36"/>
      <c r="BO1749" s="36"/>
    </row>
    <row r="1750" spans="1:67" x14ac:dyDescent="0.25">
      <c r="A1750" s="39"/>
      <c r="B1750" s="40"/>
      <c r="U1750" s="36"/>
      <c r="V1750" s="36"/>
      <c r="W1750" s="35"/>
      <c r="X1750" s="7"/>
      <c r="Y1750" s="7"/>
      <c r="Z1750" s="7"/>
      <c r="AA1750" s="7"/>
      <c r="AB1750" s="7"/>
      <c r="AC1750" s="7"/>
      <c r="AD1750" s="7"/>
      <c r="AE1750" s="7"/>
      <c r="AG1750" s="36"/>
      <c r="AH1750" s="36"/>
      <c r="AI1750" s="35"/>
      <c r="AJ1750" s="7"/>
      <c r="AK1750" s="7"/>
      <c r="AL1750" s="7"/>
      <c r="AM1750" s="7"/>
      <c r="AN1750" s="7"/>
      <c r="AO1750" s="7"/>
      <c r="AP1750" s="7"/>
      <c r="AQ1750" s="7"/>
      <c r="AS1750" s="36"/>
      <c r="AT1750" s="36"/>
      <c r="AU1750" s="35"/>
      <c r="AV1750" s="7"/>
      <c r="AW1750" s="7"/>
      <c r="AX1750" s="7"/>
      <c r="AY1750" s="7"/>
      <c r="AZ1750" s="7"/>
      <c r="BA1750" s="7"/>
      <c r="BB1750" s="7"/>
      <c r="BC1750" s="7"/>
      <c r="BF1750" s="7"/>
      <c r="BG1750" s="36"/>
      <c r="BH1750" s="36"/>
      <c r="BI1750" s="36"/>
      <c r="BJ1750" s="36"/>
      <c r="BK1750" s="36"/>
      <c r="BL1750" s="36"/>
      <c r="BM1750" s="36"/>
      <c r="BN1750" s="36"/>
      <c r="BO1750" s="36"/>
    </row>
    <row r="1751" spans="1:67" x14ac:dyDescent="0.25">
      <c r="A1751" s="39"/>
      <c r="B1751" s="40"/>
      <c r="U1751" s="36"/>
      <c r="V1751" s="36"/>
      <c r="W1751" s="35"/>
      <c r="X1751" s="7"/>
      <c r="Y1751" s="7"/>
      <c r="Z1751" s="7"/>
      <c r="AA1751" s="7"/>
      <c r="AB1751" s="7"/>
      <c r="AC1751" s="7"/>
      <c r="AD1751" s="7"/>
      <c r="AE1751" s="7"/>
      <c r="AG1751" s="36"/>
      <c r="AH1751" s="36"/>
      <c r="AI1751" s="35"/>
      <c r="AJ1751" s="7"/>
      <c r="AK1751" s="7"/>
      <c r="AL1751" s="7"/>
      <c r="AM1751" s="7"/>
      <c r="AN1751" s="7"/>
      <c r="AO1751" s="7"/>
      <c r="AP1751" s="7"/>
      <c r="AQ1751" s="7"/>
      <c r="AS1751" s="36"/>
      <c r="AT1751" s="36"/>
      <c r="AU1751" s="35"/>
      <c r="AV1751" s="7"/>
      <c r="AW1751" s="7"/>
      <c r="AX1751" s="7"/>
      <c r="AY1751" s="7"/>
      <c r="AZ1751" s="7"/>
      <c r="BA1751" s="7"/>
      <c r="BB1751" s="7"/>
      <c r="BC1751" s="7"/>
      <c r="BF1751" s="7"/>
      <c r="BG1751" s="36"/>
      <c r="BH1751" s="36"/>
      <c r="BI1751" s="36"/>
      <c r="BJ1751" s="36"/>
      <c r="BK1751" s="36"/>
      <c r="BL1751" s="36"/>
      <c r="BM1751" s="36"/>
      <c r="BN1751" s="36"/>
      <c r="BO1751" s="36"/>
    </row>
    <row r="1752" spans="1:67" x14ac:dyDescent="0.25">
      <c r="A1752" s="39"/>
      <c r="B1752" s="40"/>
      <c r="U1752" s="36"/>
      <c r="V1752" s="36"/>
      <c r="W1752" s="35"/>
      <c r="X1752" s="7"/>
      <c r="Y1752" s="7"/>
      <c r="Z1752" s="7"/>
      <c r="AA1752" s="7"/>
      <c r="AB1752" s="7"/>
      <c r="AC1752" s="7"/>
      <c r="AD1752" s="7"/>
      <c r="AE1752" s="7"/>
      <c r="AG1752" s="36"/>
      <c r="AH1752" s="36"/>
      <c r="AI1752" s="35"/>
      <c r="AJ1752" s="7"/>
      <c r="AK1752" s="7"/>
      <c r="AL1752" s="7"/>
      <c r="AM1752" s="7"/>
      <c r="AN1752" s="7"/>
      <c r="AO1752" s="7"/>
      <c r="AP1752" s="7"/>
      <c r="AQ1752" s="7"/>
      <c r="AS1752" s="36"/>
      <c r="AT1752" s="36"/>
      <c r="AU1752" s="35"/>
      <c r="AV1752" s="7"/>
      <c r="AW1752" s="7"/>
      <c r="AX1752" s="7"/>
      <c r="AY1752" s="7"/>
      <c r="AZ1752" s="7"/>
      <c r="BA1752" s="7"/>
      <c r="BB1752" s="7"/>
      <c r="BC1752" s="7"/>
      <c r="BF1752" s="7"/>
      <c r="BG1752" s="36"/>
      <c r="BH1752" s="36"/>
      <c r="BI1752" s="36"/>
      <c r="BJ1752" s="36"/>
      <c r="BK1752" s="36"/>
      <c r="BL1752" s="36"/>
      <c r="BM1752" s="36"/>
      <c r="BN1752" s="36"/>
      <c r="BO1752" s="36"/>
    </row>
    <row r="1753" spans="1:67" x14ac:dyDescent="0.25">
      <c r="A1753" s="39"/>
      <c r="B1753" s="40"/>
      <c r="U1753" s="36"/>
      <c r="V1753" s="36"/>
      <c r="W1753" s="35"/>
      <c r="X1753" s="7"/>
      <c r="Y1753" s="7"/>
      <c r="Z1753" s="7"/>
      <c r="AA1753" s="7"/>
      <c r="AB1753" s="7"/>
      <c r="AC1753" s="7"/>
      <c r="AD1753" s="7"/>
      <c r="AE1753" s="7"/>
      <c r="AG1753" s="36"/>
      <c r="AH1753" s="36"/>
      <c r="AI1753" s="35"/>
      <c r="AJ1753" s="7"/>
      <c r="AK1753" s="7"/>
      <c r="AL1753" s="7"/>
      <c r="AM1753" s="7"/>
      <c r="AN1753" s="7"/>
      <c r="AO1753" s="7"/>
      <c r="AP1753" s="7"/>
      <c r="AQ1753" s="7"/>
      <c r="AS1753" s="36"/>
      <c r="AT1753" s="36"/>
      <c r="AU1753" s="35"/>
      <c r="AV1753" s="7"/>
      <c r="AW1753" s="7"/>
      <c r="AX1753" s="7"/>
      <c r="AY1753" s="7"/>
      <c r="AZ1753" s="7"/>
      <c r="BA1753" s="7"/>
      <c r="BB1753" s="7"/>
      <c r="BC1753" s="7"/>
      <c r="BF1753" s="7"/>
      <c r="BG1753" s="36"/>
      <c r="BH1753" s="36"/>
      <c r="BI1753" s="36"/>
      <c r="BJ1753" s="36"/>
      <c r="BK1753" s="36"/>
      <c r="BL1753" s="36"/>
      <c r="BM1753" s="36"/>
      <c r="BN1753" s="36"/>
      <c r="BO1753" s="36"/>
    </row>
    <row r="1754" spans="1:67" x14ac:dyDescent="0.25">
      <c r="A1754" s="39"/>
      <c r="B1754" s="40"/>
      <c r="U1754" s="36"/>
      <c r="V1754" s="36"/>
      <c r="W1754" s="35"/>
      <c r="X1754" s="7"/>
      <c r="Y1754" s="7"/>
      <c r="Z1754" s="7"/>
      <c r="AA1754" s="7"/>
      <c r="AB1754" s="7"/>
      <c r="AC1754" s="7"/>
      <c r="AD1754" s="7"/>
      <c r="AE1754" s="7"/>
      <c r="AG1754" s="36"/>
      <c r="AH1754" s="36"/>
      <c r="AI1754" s="35"/>
      <c r="AJ1754" s="7"/>
      <c r="AK1754" s="7"/>
      <c r="AL1754" s="7"/>
      <c r="AM1754" s="7"/>
      <c r="AN1754" s="7"/>
      <c r="AO1754" s="7"/>
      <c r="AP1754" s="7"/>
      <c r="AQ1754" s="7"/>
      <c r="AS1754" s="36"/>
      <c r="AT1754" s="36"/>
      <c r="AU1754" s="35"/>
      <c r="AV1754" s="7"/>
      <c r="AW1754" s="7"/>
      <c r="AX1754" s="7"/>
      <c r="AY1754" s="7"/>
      <c r="AZ1754" s="7"/>
      <c r="BA1754" s="7"/>
      <c r="BB1754" s="7"/>
      <c r="BC1754" s="7"/>
      <c r="BF1754" s="7"/>
      <c r="BG1754" s="36"/>
      <c r="BH1754" s="36"/>
      <c r="BI1754" s="36"/>
      <c r="BJ1754" s="36"/>
      <c r="BK1754" s="36"/>
      <c r="BL1754" s="36"/>
      <c r="BM1754" s="36"/>
      <c r="BN1754" s="36"/>
      <c r="BO1754" s="36"/>
    </row>
    <row r="1755" spans="1:67" x14ac:dyDescent="0.25">
      <c r="A1755" s="39"/>
      <c r="B1755" s="40"/>
      <c r="U1755" s="36"/>
      <c r="V1755" s="36"/>
      <c r="W1755" s="35"/>
      <c r="X1755" s="7"/>
      <c r="Y1755" s="7"/>
      <c r="Z1755" s="7"/>
      <c r="AA1755" s="7"/>
      <c r="AB1755" s="7"/>
      <c r="AC1755" s="7"/>
      <c r="AD1755" s="7"/>
      <c r="AE1755" s="7"/>
      <c r="AG1755" s="36"/>
      <c r="AH1755" s="36"/>
      <c r="AI1755" s="35"/>
      <c r="AJ1755" s="7"/>
      <c r="AK1755" s="7"/>
      <c r="AL1755" s="7"/>
      <c r="AM1755" s="7"/>
      <c r="AN1755" s="7"/>
      <c r="AO1755" s="7"/>
      <c r="AP1755" s="7"/>
      <c r="AQ1755" s="7"/>
      <c r="AS1755" s="36"/>
      <c r="AT1755" s="36"/>
      <c r="AU1755" s="35"/>
      <c r="AV1755" s="7"/>
      <c r="AW1755" s="7"/>
      <c r="AX1755" s="7"/>
      <c r="AY1755" s="7"/>
      <c r="AZ1755" s="7"/>
      <c r="BA1755" s="7"/>
      <c r="BB1755" s="7"/>
      <c r="BC1755" s="7"/>
      <c r="BF1755" s="7"/>
      <c r="BG1755" s="36"/>
      <c r="BH1755" s="36"/>
      <c r="BI1755" s="36"/>
      <c r="BJ1755" s="36"/>
      <c r="BK1755" s="36"/>
      <c r="BL1755" s="36"/>
      <c r="BM1755" s="36"/>
      <c r="BN1755" s="36"/>
      <c r="BO1755" s="36"/>
    </row>
    <row r="1756" spans="1:67" x14ac:dyDescent="0.25">
      <c r="A1756" s="39"/>
      <c r="B1756" s="40"/>
      <c r="U1756" s="36"/>
      <c r="V1756" s="36"/>
      <c r="W1756" s="35"/>
      <c r="X1756" s="7"/>
      <c r="Y1756" s="7"/>
      <c r="Z1756" s="7"/>
      <c r="AA1756" s="7"/>
      <c r="AB1756" s="7"/>
      <c r="AC1756" s="7"/>
      <c r="AD1756" s="7"/>
      <c r="AE1756" s="7"/>
      <c r="AG1756" s="36"/>
      <c r="AH1756" s="36"/>
      <c r="AI1756" s="35"/>
      <c r="AJ1756" s="7"/>
      <c r="AK1756" s="7"/>
      <c r="AL1756" s="7"/>
      <c r="AM1756" s="7"/>
      <c r="AN1756" s="7"/>
      <c r="AO1756" s="7"/>
      <c r="AP1756" s="7"/>
      <c r="AQ1756" s="7"/>
      <c r="AS1756" s="36"/>
      <c r="AT1756" s="36"/>
      <c r="AU1756" s="35"/>
      <c r="AV1756" s="7"/>
      <c r="AW1756" s="7"/>
      <c r="AX1756" s="7"/>
      <c r="AY1756" s="7"/>
      <c r="AZ1756" s="7"/>
      <c r="BA1756" s="7"/>
      <c r="BB1756" s="7"/>
      <c r="BC1756" s="7"/>
      <c r="BF1756" s="7"/>
      <c r="BG1756" s="36"/>
      <c r="BH1756" s="36"/>
      <c r="BI1756" s="36"/>
      <c r="BJ1756" s="36"/>
      <c r="BK1756" s="36"/>
      <c r="BL1756" s="36"/>
      <c r="BM1756" s="36"/>
      <c r="BN1756" s="36"/>
      <c r="BO1756" s="36"/>
    </row>
    <row r="1757" spans="1:67" x14ac:dyDescent="0.25">
      <c r="A1757" s="39"/>
      <c r="B1757" s="40"/>
      <c r="U1757" s="36"/>
      <c r="V1757" s="36"/>
      <c r="W1757" s="35"/>
      <c r="X1757" s="7"/>
      <c r="Y1757" s="7"/>
      <c r="Z1757" s="7"/>
      <c r="AA1757" s="7"/>
      <c r="AB1757" s="7"/>
      <c r="AC1757" s="7"/>
      <c r="AD1757" s="7"/>
      <c r="AE1757" s="7"/>
      <c r="AG1757" s="36"/>
      <c r="AH1757" s="36"/>
      <c r="AI1757" s="35"/>
      <c r="AJ1757" s="7"/>
      <c r="AK1757" s="7"/>
      <c r="AL1757" s="7"/>
      <c r="AM1757" s="7"/>
      <c r="AN1757" s="7"/>
      <c r="AO1757" s="7"/>
      <c r="AP1757" s="7"/>
      <c r="AQ1757" s="7"/>
      <c r="AS1757" s="36"/>
      <c r="AT1757" s="36"/>
      <c r="AU1757" s="35"/>
      <c r="AV1757" s="7"/>
      <c r="AW1757" s="7"/>
      <c r="AX1757" s="7"/>
      <c r="AY1757" s="7"/>
      <c r="AZ1757" s="7"/>
      <c r="BA1757" s="7"/>
      <c r="BB1757" s="7"/>
      <c r="BC1757" s="7"/>
      <c r="BF1757" s="7"/>
      <c r="BG1757" s="36"/>
      <c r="BH1757" s="36"/>
      <c r="BI1757" s="36"/>
      <c r="BJ1757" s="36"/>
      <c r="BK1757" s="36"/>
      <c r="BL1757" s="36"/>
      <c r="BM1757" s="36"/>
      <c r="BN1757" s="36"/>
      <c r="BO1757" s="36"/>
    </row>
    <row r="1758" spans="1:67" x14ac:dyDescent="0.25">
      <c r="A1758" s="39"/>
      <c r="B1758" s="40"/>
      <c r="U1758" s="36"/>
      <c r="V1758" s="36"/>
      <c r="W1758" s="35"/>
      <c r="X1758" s="7"/>
      <c r="Y1758" s="7"/>
      <c r="Z1758" s="7"/>
      <c r="AA1758" s="7"/>
      <c r="AB1758" s="7"/>
      <c r="AC1758" s="7"/>
      <c r="AD1758" s="7"/>
      <c r="AE1758" s="7"/>
      <c r="AG1758" s="36"/>
      <c r="AH1758" s="36"/>
      <c r="AI1758" s="35"/>
      <c r="AJ1758" s="7"/>
      <c r="AK1758" s="7"/>
      <c r="AL1758" s="7"/>
      <c r="AM1758" s="7"/>
      <c r="AN1758" s="7"/>
      <c r="AO1758" s="7"/>
      <c r="AP1758" s="7"/>
      <c r="AQ1758" s="7"/>
      <c r="AS1758" s="36"/>
      <c r="AT1758" s="36"/>
      <c r="AU1758" s="35"/>
      <c r="AV1758" s="7"/>
      <c r="AW1758" s="7"/>
      <c r="AX1758" s="7"/>
      <c r="AY1758" s="7"/>
      <c r="AZ1758" s="7"/>
      <c r="BA1758" s="7"/>
      <c r="BB1758" s="7"/>
      <c r="BC1758" s="7"/>
      <c r="BF1758" s="7"/>
      <c r="BG1758" s="36"/>
      <c r="BH1758" s="36"/>
      <c r="BI1758" s="36"/>
      <c r="BJ1758" s="36"/>
      <c r="BK1758" s="36"/>
      <c r="BL1758" s="36"/>
      <c r="BM1758" s="36"/>
      <c r="BN1758" s="36"/>
      <c r="BO1758" s="36"/>
    </row>
    <row r="1759" spans="1:67" x14ac:dyDescent="0.25">
      <c r="A1759" s="39"/>
      <c r="B1759" s="40"/>
      <c r="U1759" s="36"/>
      <c r="V1759" s="36"/>
      <c r="W1759" s="35"/>
      <c r="X1759" s="7"/>
      <c r="Y1759" s="7"/>
      <c r="Z1759" s="7"/>
      <c r="AA1759" s="7"/>
      <c r="AB1759" s="7"/>
      <c r="AC1759" s="7"/>
      <c r="AD1759" s="7"/>
      <c r="AE1759" s="7"/>
      <c r="AG1759" s="36"/>
      <c r="AH1759" s="36"/>
      <c r="AI1759" s="35"/>
      <c r="AJ1759" s="7"/>
      <c r="AK1759" s="7"/>
      <c r="AL1759" s="7"/>
      <c r="AM1759" s="7"/>
      <c r="AN1759" s="7"/>
      <c r="AO1759" s="7"/>
      <c r="AP1759" s="7"/>
      <c r="AQ1759" s="7"/>
      <c r="AS1759" s="36"/>
      <c r="AT1759" s="36"/>
      <c r="AU1759" s="35"/>
      <c r="AV1759" s="7"/>
      <c r="AW1759" s="7"/>
      <c r="AX1759" s="7"/>
      <c r="AY1759" s="7"/>
      <c r="AZ1759" s="7"/>
      <c r="BA1759" s="7"/>
      <c r="BB1759" s="7"/>
      <c r="BC1759" s="7"/>
      <c r="BF1759" s="7"/>
      <c r="BG1759" s="36"/>
      <c r="BH1759" s="36"/>
      <c r="BI1759" s="36"/>
      <c r="BJ1759" s="36"/>
      <c r="BK1759" s="36"/>
      <c r="BL1759" s="36"/>
      <c r="BM1759" s="36"/>
      <c r="BN1759" s="36"/>
      <c r="BO1759" s="36"/>
    </row>
    <row r="1760" spans="1:67" x14ac:dyDescent="0.25">
      <c r="A1760" s="39"/>
      <c r="B1760" s="40"/>
      <c r="U1760" s="36"/>
      <c r="V1760" s="36"/>
      <c r="W1760" s="35"/>
      <c r="X1760" s="7"/>
      <c r="Y1760" s="7"/>
      <c r="Z1760" s="7"/>
      <c r="AA1760" s="7"/>
      <c r="AB1760" s="7"/>
      <c r="AC1760" s="7"/>
      <c r="AD1760" s="7"/>
      <c r="AE1760" s="7"/>
      <c r="AG1760" s="36"/>
      <c r="AH1760" s="36"/>
      <c r="AI1760" s="35"/>
      <c r="AJ1760" s="7"/>
      <c r="AK1760" s="7"/>
      <c r="AL1760" s="7"/>
      <c r="AM1760" s="7"/>
      <c r="AN1760" s="7"/>
      <c r="AO1760" s="7"/>
      <c r="AP1760" s="7"/>
      <c r="AQ1760" s="7"/>
      <c r="AS1760" s="36"/>
      <c r="AT1760" s="36"/>
      <c r="AU1760" s="35"/>
      <c r="AV1760" s="7"/>
      <c r="AW1760" s="7"/>
      <c r="AX1760" s="7"/>
      <c r="AY1760" s="7"/>
      <c r="AZ1760" s="7"/>
      <c r="BA1760" s="7"/>
      <c r="BB1760" s="7"/>
      <c r="BC1760" s="7"/>
      <c r="BF1760" s="7"/>
      <c r="BG1760" s="36"/>
      <c r="BH1760" s="36"/>
      <c r="BI1760" s="36"/>
      <c r="BJ1760" s="36"/>
      <c r="BK1760" s="36"/>
      <c r="BL1760" s="36"/>
      <c r="BM1760" s="36"/>
      <c r="BN1760" s="36"/>
      <c r="BO1760" s="36"/>
    </row>
    <row r="1761" spans="1:67" x14ac:dyDescent="0.25">
      <c r="A1761" s="39"/>
      <c r="B1761" s="40"/>
      <c r="U1761" s="36"/>
      <c r="V1761" s="36"/>
      <c r="W1761" s="35"/>
      <c r="X1761" s="7"/>
      <c r="Y1761" s="7"/>
      <c r="Z1761" s="7"/>
      <c r="AA1761" s="7"/>
      <c r="AB1761" s="7"/>
      <c r="AC1761" s="7"/>
      <c r="AD1761" s="7"/>
      <c r="AE1761" s="7"/>
      <c r="AG1761" s="36"/>
      <c r="AH1761" s="36"/>
      <c r="AI1761" s="35"/>
      <c r="AJ1761" s="7"/>
      <c r="AK1761" s="7"/>
      <c r="AL1761" s="7"/>
      <c r="AM1761" s="7"/>
      <c r="AN1761" s="7"/>
      <c r="AO1761" s="7"/>
      <c r="AP1761" s="7"/>
      <c r="AQ1761" s="7"/>
      <c r="AS1761" s="36"/>
      <c r="AT1761" s="36"/>
      <c r="AU1761" s="35"/>
      <c r="AV1761" s="7"/>
      <c r="AW1761" s="7"/>
      <c r="AX1761" s="7"/>
      <c r="AY1761" s="7"/>
      <c r="AZ1761" s="7"/>
      <c r="BA1761" s="7"/>
      <c r="BB1761" s="7"/>
      <c r="BC1761" s="7"/>
      <c r="BF1761" s="7"/>
      <c r="BG1761" s="36"/>
      <c r="BH1761" s="36"/>
      <c r="BI1761" s="36"/>
      <c r="BJ1761" s="36"/>
      <c r="BK1761" s="36"/>
      <c r="BL1761" s="36"/>
      <c r="BM1761" s="36"/>
      <c r="BN1761" s="36"/>
      <c r="BO1761" s="36"/>
    </row>
    <row r="1762" spans="1:67" x14ac:dyDescent="0.25">
      <c r="A1762" s="39"/>
      <c r="B1762" s="40"/>
      <c r="U1762" s="36"/>
      <c r="V1762" s="36"/>
      <c r="W1762" s="35"/>
      <c r="X1762" s="7"/>
      <c r="Y1762" s="7"/>
      <c r="Z1762" s="7"/>
      <c r="AA1762" s="7"/>
      <c r="AB1762" s="7"/>
      <c r="AC1762" s="7"/>
      <c r="AD1762" s="7"/>
      <c r="AE1762" s="7"/>
      <c r="AG1762" s="36"/>
      <c r="AH1762" s="36"/>
      <c r="AI1762" s="35"/>
      <c r="AJ1762" s="7"/>
      <c r="AK1762" s="7"/>
      <c r="AL1762" s="7"/>
      <c r="AM1762" s="7"/>
      <c r="AN1762" s="7"/>
      <c r="AO1762" s="7"/>
      <c r="AP1762" s="7"/>
      <c r="AQ1762" s="7"/>
      <c r="AS1762" s="36"/>
      <c r="AT1762" s="36"/>
      <c r="AU1762" s="35"/>
      <c r="AV1762" s="7"/>
      <c r="AW1762" s="7"/>
      <c r="AX1762" s="7"/>
      <c r="AY1762" s="7"/>
      <c r="AZ1762" s="7"/>
      <c r="BA1762" s="7"/>
      <c r="BB1762" s="7"/>
      <c r="BC1762" s="7"/>
      <c r="BF1762" s="7"/>
      <c r="BG1762" s="36"/>
      <c r="BH1762" s="36"/>
      <c r="BI1762" s="36"/>
      <c r="BJ1762" s="36"/>
      <c r="BK1762" s="36"/>
      <c r="BL1762" s="36"/>
      <c r="BM1762" s="36"/>
      <c r="BN1762" s="36"/>
      <c r="BO1762" s="36"/>
    </row>
    <row r="1763" spans="1:67" x14ac:dyDescent="0.25">
      <c r="A1763" s="39"/>
      <c r="B1763" s="40"/>
      <c r="U1763" s="36"/>
      <c r="V1763" s="36"/>
      <c r="W1763" s="35"/>
      <c r="X1763" s="7"/>
      <c r="Y1763" s="7"/>
      <c r="Z1763" s="7"/>
      <c r="AA1763" s="7"/>
      <c r="AB1763" s="7"/>
      <c r="AC1763" s="7"/>
      <c r="AD1763" s="7"/>
      <c r="AE1763" s="7"/>
      <c r="AG1763" s="36"/>
      <c r="AH1763" s="36"/>
      <c r="AI1763" s="35"/>
      <c r="AJ1763" s="7"/>
      <c r="AK1763" s="7"/>
      <c r="AL1763" s="7"/>
      <c r="AM1763" s="7"/>
      <c r="AN1763" s="7"/>
      <c r="AO1763" s="7"/>
      <c r="AP1763" s="7"/>
      <c r="AQ1763" s="7"/>
      <c r="AS1763" s="36"/>
      <c r="AT1763" s="36"/>
      <c r="AU1763" s="35"/>
      <c r="AV1763" s="7"/>
      <c r="AW1763" s="7"/>
      <c r="AX1763" s="7"/>
      <c r="AY1763" s="7"/>
      <c r="AZ1763" s="7"/>
      <c r="BA1763" s="7"/>
      <c r="BB1763" s="7"/>
      <c r="BC1763" s="7"/>
      <c r="BF1763" s="7"/>
      <c r="BG1763" s="36"/>
      <c r="BH1763" s="36"/>
      <c r="BI1763" s="36"/>
      <c r="BJ1763" s="36"/>
      <c r="BK1763" s="36"/>
      <c r="BL1763" s="36"/>
      <c r="BM1763" s="36"/>
      <c r="BN1763" s="36"/>
      <c r="BO1763" s="36"/>
    </row>
    <row r="1764" spans="1:67" x14ac:dyDescent="0.25">
      <c r="A1764" s="39"/>
      <c r="B1764" s="40"/>
      <c r="U1764" s="36"/>
      <c r="V1764" s="36"/>
      <c r="W1764" s="35"/>
      <c r="X1764" s="7"/>
      <c r="Y1764" s="7"/>
      <c r="Z1764" s="7"/>
      <c r="AA1764" s="7"/>
      <c r="AB1764" s="7"/>
      <c r="AC1764" s="7"/>
      <c r="AD1764" s="7"/>
      <c r="AE1764" s="7"/>
      <c r="AG1764" s="36"/>
      <c r="AH1764" s="36"/>
      <c r="AI1764" s="35"/>
      <c r="AJ1764" s="7"/>
      <c r="AK1764" s="7"/>
      <c r="AL1764" s="7"/>
      <c r="AM1764" s="7"/>
      <c r="AN1764" s="7"/>
      <c r="AO1764" s="7"/>
      <c r="AP1764" s="7"/>
      <c r="AQ1764" s="7"/>
      <c r="AS1764" s="36"/>
      <c r="AT1764" s="36"/>
      <c r="AU1764" s="35"/>
      <c r="AV1764" s="7"/>
      <c r="AW1764" s="7"/>
      <c r="AX1764" s="7"/>
      <c r="AY1764" s="7"/>
      <c r="AZ1764" s="7"/>
      <c r="BA1764" s="7"/>
      <c r="BB1764" s="7"/>
      <c r="BC1764" s="7"/>
      <c r="BF1764" s="7"/>
      <c r="BG1764" s="36"/>
      <c r="BH1764" s="36"/>
      <c r="BI1764" s="36"/>
      <c r="BJ1764" s="36"/>
      <c r="BK1764" s="36"/>
      <c r="BL1764" s="36"/>
      <c r="BM1764" s="36"/>
      <c r="BN1764" s="36"/>
      <c r="BO1764" s="36"/>
    </row>
    <row r="1765" spans="1:67" x14ac:dyDescent="0.25">
      <c r="A1765" s="39"/>
      <c r="B1765" s="40"/>
      <c r="U1765" s="36"/>
      <c r="V1765" s="36"/>
      <c r="W1765" s="35"/>
      <c r="X1765" s="7"/>
      <c r="Y1765" s="7"/>
      <c r="Z1765" s="7"/>
      <c r="AA1765" s="7"/>
      <c r="AB1765" s="7"/>
      <c r="AC1765" s="7"/>
      <c r="AD1765" s="7"/>
      <c r="AE1765" s="7"/>
      <c r="AG1765" s="36"/>
      <c r="AH1765" s="36"/>
      <c r="AI1765" s="35"/>
      <c r="AJ1765" s="7"/>
      <c r="AK1765" s="7"/>
      <c r="AL1765" s="7"/>
      <c r="AM1765" s="7"/>
      <c r="AN1765" s="7"/>
      <c r="AO1765" s="7"/>
      <c r="AP1765" s="7"/>
      <c r="AQ1765" s="7"/>
      <c r="AS1765" s="36"/>
      <c r="AT1765" s="36"/>
      <c r="AU1765" s="35"/>
      <c r="AV1765" s="7"/>
      <c r="AW1765" s="7"/>
      <c r="AX1765" s="7"/>
      <c r="AY1765" s="7"/>
      <c r="AZ1765" s="7"/>
      <c r="BA1765" s="7"/>
      <c r="BB1765" s="7"/>
      <c r="BC1765" s="7"/>
      <c r="BF1765" s="7"/>
      <c r="BG1765" s="36"/>
      <c r="BH1765" s="36"/>
      <c r="BI1765" s="36"/>
      <c r="BJ1765" s="36"/>
      <c r="BK1765" s="36"/>
      <c r="BL1765" s="36"/>
      <c r="BM1765" s="36"/>
      <c r="BN1765" s="36"/>
      <c r="BO1765" s="36"/>
    </row>
    <row r="1766" spans="1:67" x14ac:dyDescent="0.25">
      <c r="A1766" s="39"/>
      <c r="B1766" s="40"/>
      <c r="U1766" s="36"/>
      <c r="V1766" s="36"/>
      <c r="W1766" s="35"/>
      <c r="X1766" s="7"/>
      <c r="Y1766" s="7"/>
      <c r="Z1766" s="7"/>
      <c r="AA1766" s="7"/>
      <c r="AB1766" s="7"/>
      <c r="AC1766" s="7"/>
      <c r="AD1766" s="7"/>
      <c r="AE1766" s="7"/>
      <c r="AG1766" s="36"/>
      <c r="AH1766" s="36"/>
      <c r="AI1766" s="35"/>
      <c r="AJ1766" s="7"/>
      <c r="AK1766" s="7"/>
      <c r="AL1766" s="7"/>
      <c r="AM1766" s="7"/>
      <c r="AN1766" s="7"/>
      <c r="AO1766" s="7"/>
      <c r="AP1766" s="7"/>
      <c r="AQ1766" s="7"/>
      <c r="AS1766" s="36"/>
      <c r="AT1766" s="36"/>
      <c r="AU1766" s="35"/>
      <c r="AV1766" s="7"/>
      <c r="AW1766" s="7"/>
      <c r="AX1766" s="7"/>
      <c r="AY1766" s="7"/>
      <c r="AZ1766" s="7"/>
      <c r="BA1766" s="7"/>
      <c r="BB1766" s="7"/>
      <c r="BC1766" s="7"/>
      <c r="BF1766" s="7"/>
      <c r="BG1766" s="36"/>
      <c r="BH1766" s="36"/>
      <c r="BI1766" s="36"/>
      <c r="BJ1766" s="36"/>
      <c r="BK1766" s="36"/>
      <c r="BL1766" s="36"/>
      <c r="BM1766" s="36"/>
      <c r="BN1766" s="36"/>
      <c r="BO1766" s="36"/>
    </row>
    <row r="1767" spans="1:67" x14ac:dyDescent="0.25">
      <c r="A1767" s="39"/>
      <c r="B1767" s="40"/>
      <c r="U1767" s="36"/>
      <c r="V1767" s="36"/>
      <c r="W1767" s="35"/>
      <c r="X1767" s="7"/>
      <c r="Y1767" s="7"/>
      <c r="Z1767" s="7"/>
      <c r="AA1767" s="7"/>
      <c r="AB1767" s="7"/>
      <c r="AC1767" s="7"/>
      <c r="AD1767" s="7"/>
      <c r="AE1767" s="7"/>
      <c r="AG1767" s="36"/>
      <c r="AH1767" s="36"/>
      <c r="AI1767" s="35"/>
      <c r="AJ1767" s="7"/>
      <c r="AK1767" s="7"/>
      <c r="AL1767" s="7"/>
      <c r="AM1767" s="7"/>
      <c r="AN1767" s="7"/>
      <c r="AO1767" s="7"/>
      <c r="AP1767" s="7"/>
      <c r="AQ1767" s="7"/>
      <c r="AS1767" s="36"/>
      <c r="AT1767" s="36"/>
      <c r="AU1767" s="35"/>
      <c r="AV1767" s="7"/>
      <c r="AW1767" s="7"/>
      <c r="AX1767" s="7"/>
      <c r="AY1767" s="7"/>
      <c r="AZ1767" s="7"/>
      <c r="BA1767" s="7"/>
      <c r="BB1767" s="7"/>
      <c r="BC1767" s="7"/>
      <c r="BF1767" s="7"/>
      <c r="BG1767" s="36"/>
      <c r="BH1767" s="36"/>
      <c r="BI1767" s="36"/>
      <c r="BJ1767" s="36"/>
      <c r="BK1767" s="36"/>
      <c r="BL1767" s="36"/>
      <c r="BM1767" s="36"/>
      <c r="BN1767" s="36"/>
      <c r="BO1767" s="36"/>
    </row>
    <row r="1768" spans="1:67" x14ac:dyDescent="0.25">
      <c r="A1768" s="39"/>
      <c r="B1768" s="40"/>
      <c r="U1768" s="36"/>
      <c r="V1768" s="36"/>
      <c r="W1768" s="35"/>
      <c r="X1768" s="7"/>
      <c r="Y1768" s="7"/>
      <c r="Z1768" s="7"/>
      <c r="AA1768" s="7"/>
      <c r="AB1768" s="7"/>
      <c r="AC1768" s="7"/>
      <c r="AD1768" s="7"/>
      <c r="AE1768" s="7"/>
      <c r="AG1768" s="36"/>
      <c r="AH1768" s="36"/>
      <c r="AI1768" s="35"/>
      <c r="AJ1768" s="7"/>
      <c r="AK1768" s="7"/>
      <c r="AL1768" s="7"/>
      <c r="AM1768" s="7"/>
      <c r="AN1768" s="7"/>
      <c r="AO1768" s="7"/>
      <c r="AP1768" s="7"/>
      <c r="AQ1768" s="7"/>
      <c r="AS1768" s="36"/>
      <c r="AT1768" s="36"/>
      <c r="AU1768" s="35"/>
      <c r="AV1768" s="7"/>
      <c r="AW1768" s="7"/>
      <c r="AX1768" s="7"/>
      <c r="AY1768" s="7"/>
      <c r="AZ1768" s="7"/>
      <c r="BA1768" s="7"/>
      <c r="BB1768" s="7"/>
      <c r="BC1768" s="7"/>
      <c r="BF1768" s="7"/>
      <c r="BG1768" s="36"/>
      <c r="BH1768" s="36"/>
      <c r="BI1768" s="36"/>
      <c r="BJ1768" s="36"/>
      <c r="BK1768" s="36"/>
      <c r="BL1768" s="36"/>
      <c r="BM1768" s="36"/>
      <c r="BN1768" s="36"/>
      <c r="BO1768" s="36"/>
    </row>
    <row r="1769" spans="1:67" x14ac:dyDescent="0.25">
      <c r="A1769" s="39"/>
      <c r="B1769" s="40"/>
      <c r="U1769" s="36"/>
      <c r="V1769" s="36"/>
      <c r="W1769" s="35"/>
      <c r="X1769" s="7"/>
      <c r="Y1769" s="7"/>
      <c r="Z1769" s="7"/>
      <c r="AA1769" s="7"/>
      <c r="AB1769" s="7"/>
      <c r="AC1769" s="7"/>
      <c r="AD1769" s="7"/>
      <c r="AE1769" s="7"/>
      <c r="AG1769" s="36"/>
      <c r="AH1769" s="36"/>
      <c r="AI1769" s="35"/>
      <c r="AJ1769" s="7"/>
      <c r="AK1769" s="7"/>
      <c r="AL1769" s="7"/>
      <c r="AM1769" s="7"/>
      <c r="AN1769" s="7"/>
      <c r="AO1769" s="7"/>
      <c r="AP1769" s="7"/>
      <c r="AQ1769" s="7"/>
      <c r="AS1769" s="36"/>
      <c r="AT1769" s="36"/>
      <c r="AU1769" s="35"/>
      <c r="AV1769" s="7"/>
      <c r="AW1769" s="7"/>
      <c r="AX1769" s="7"/>
      <c r="AY1769" s="7"/>
      <c r="AZ1769" s="7"/>
      <c r="BA1769" s="7"/>
      <c r="BB1769" s="7"/>
      <c r="BC1769" s="7"/>
      <c r="BF1769" s="7"/>
      <c r="BG1769" s="36"/>
      <c r="BH1769" s="36"/>
      <c r="BI1769" s="36"/>
      <c r="BJ1769" s="36"/>
      <c r="BK1769" s="36"/>
      <c r="BL1769" s="36"/>
      <c r="BM1769" s="36"/>
      <c r="BN1769" s="36"/>
      <c r="BO1769" s="36"/>
    </row>
    <row r="1770" spans="1:67" x14ac:dyDescent="0.25">
      <c r="A1770" s="39"/>
      <c r="B1770" s="40"/>
      <c r="U1770" s="36"/>
      <c r="V1770" s="36"/>
      <c r="W1770" s="35"/>
      <c r="X1770" s="7"/>
      <c r="Y1770" s="7"/>
      <c r="Z1770" s="7"/>
      <c r="AA1770" s="7"/>
      <c r="AB1770" s="7"/>
      <c r="AC1770" s="7"/>
      <c r="AD1770" s="7"/>
      <c r="AE1770" s="7"/>
      <c r="AG1770" s="36"/>
      <c r="AH1770" s="36"/>
      <c r="AI1770" s="35"/>
      <c r="AJ1770" s="7"/>
      <c r="AK1770" s="7"/>
      <c r="AL1770" s="7"/>
      <c r="AM1770" s="7"/>
      <c r="AN1770" s="7"/>
      <c r="AO1770" s="7"/>
      <c r="AP1770" s="7"/>
      <c r="AQ1770" s="7"/>
      <c r="AS1770" s="36"/>
      <c r="AT1770" s="36"/>
      <c r="AU1770" s="35"/>
      <c r="AV1770" s="7"/>
      <c r="AW1770" s="7"/>
      <c r="AX1770" s="7"/>
      <c r="AY1770" s="7"/>
      <c r="AZ1770" s="7"/>
      <c r="BA1770" s="7"/>
      <c r="BB1770" s="7"/>
      <c r="BC1770" s="7"/>
      <c r="BF1770" s="7"/>
      <c r="BG1770" s="36"/>
      <c r="BH1770" s="36"/>
      <c r="BI1770" s="36"/>
      <c r="BJ1770" s="36"/>
      <c r="BK1770" s="36"/>
      <c r="BL1770" s="36"/>
      <c r="BM1770" s="36"/>
      <c r="BN1770" s="36"/>
      <c r="BO1770" s="36"/>
    </row>
    <row r="1771" spans="1:67" x14ac:dyDescent="0.25">
      <c r="A1771" s="39"/>
      <c r="B1771" s="40"/>
      <c r="U1771" s="36"/>
      <c r="V1771" s="36"/>
      <c r="W1771" s="35"/>
      <c r="X1771" s="7"/>
      <c r="Y1771" s="7"/>
      <c r="Z1771" s="7"/>
      <c r="AA1771" s="7"/>
      <c r="AB1771" s="7"/>
      <c r="AC1771" s="7"/>
      <c r="AD1771" s="7"/>
      <c r="AE1771" s="7"/>
      <c r="AG1771" s="36"/>
      <c r="AH1771" s="36"/>
      <c r="AI1771" s="35"/>
      <c r="AJ1771" s="7"/>
      <c r="AK1771" s="7"/>
      <c r="AL1771" s="7"/>
      <c r="AM1771" s="7"/>
      <c r="AN1771" s="7"/>
      <c r="AO1771" s="7"/>
      <c r="AP1771" s="7"/>
      <c r="AQ1771" s="7"/>
      <c r="AS1771" s="36"/>
      <c r="AT1771" s="36"/>
      <c r="AU1771" s="35"/>
      <c r="AV1771" s="7"/>
      <c r="AW1771" s="7"/>
      <c r="AX1771" s="7"/>
      <c r="AY1771" s="7"/>
      <c r="AZ1771" s="7"/>
      <c r="BA1771" s="7"/>
      <c r="BB1771" s="7"/>
      <c r="BC1771" s="7"/>
      <c r="BF1771" s="7"/>
      <c r="BG1771" s="36"/>
      <c r="BH1771" s="36"/>
      <c r="BI1771" s="36"/>
      <c r="BJ1771" s="36"/>
      <c r="BK1771" s="36"/>
      <c r="BL1771" s="36"/>
      <c r="BM1771" s="36"/>
      <c r="BN1771" s="36"/>
      <c r="BO1771" s="36"/>
    </row>
    <row r="1772" spans="1:67" x14ac:dyDescent="0.25">
      <c r="A1772" s="39"/>
      <c r="B1772" s="40"/>
      <c r="U1772" s="36"/>
      <c r="V1772" s="36"/>
      <c r="W1772" s="35"/>
      <c r="X1772" s="7"/>
      <c r="Y1772" s="7"/>
      <c r="Z1772" s="7"/>
      <c r="AA1772" s="7"/>
      <c r="AB1772" s="7"/>
      <c r="AC1772" s="7"/>
      <c r="AD1772" s="7"/>
      <c r="AE1772" s="7"/>
      <c r="AG1772" s="36"/>
      <c r="AH1772" s="36"/>
      <c r="AI1772" s="35"/>
      <c r="AJ1772" s="7"/>
      <c r="AK1772" s="7"/>
      <c r="AL1772" s="7"/>
      <c r="AM1772" s="7"/>
      <c r="AN1772" s="7"/>
      <c r="AO1772" s="7"/>
      <c r="AP1772" s="7"/>
      <c r="AQ1772" s="7"/>
      <c r="AS1772" s="36"/>
      <c r="AT1772" s="36"/>
      <c r="AU1772" s="35"/>
      <c r="AV1772" s="7"/>
      <c r="AW1772" s="7"/>
      <c r="AX1772" s="7"/>
      <c r="AY1772" s="7"/>
      <c r="AZ1772" s="7"/>
      <c r="BA1772" s="7"/>
      <c r="BB1772" s="7"/>
      <c r="BC1772" s="7"/>
      <c r="BF1772" s="7"/>
      <c r="BG1772" s="36"/>
      <c r="BH1772" s="36"/>
      <c r="BI1772" s="36"/>
      <c r="BJ1772" s="36"/>
      <c r="BK1772" s="36"/>
      <c r="BL1772" s="36"/>
      <c r="BM1772" s="36"/>
      <c r="BN1772" s="36"/>
      <c r="BO1772" s="36"/>
    </row>
    <row r="1773" spans="1:67" x14ac:dyDescent="0.25">
      <c r="A1773" s="39"/>
      <c r="B1773" s="40"/>
      <c r="U1773" s="36"/>
      <c r="V1773" s="36"/>
      <c r="W1773" s="35"/>
      <c r="X1773" s="7"/>
      <c r="Y1773" s="7"/>
      <c r="Z1773" s="7"/>
      <c r="AA1773" s="7"/>
      <c r="AB1773" s="7"/>
      <c r="AC1773" s="7"/>
      <c r="AD1773" s="7"/>
      <c r="AE1773" s="7"/>
      <c r="AG1773" s="36"/>
      <c r="AH1773" s="36"/>
      <c r="AI1773" s="35"/>
      <c r="AJ1773" s="7"/>
      <c r="AK1773" s="7"/>
      <c r="AL1773" s="7"/>
      <c r="AM1773" s="7"/>
      <c r="AN1773" s="7"/>
      <c r="AO1773" s="7"/>
      <c r="AP1773" s="7"/>
      <c r="AQ1773" s="7"/>
      <c r="AS1773" s="36"/>
      <c r="AT1773" s="36"/>
      <c r="AU1773" s="35"/>
      <c r="AV1773" s="7"/>
      <c r="AW1773" s="7"/>
      <c r="AX1773" s="7"/>
      <c r="AY1773" s="7"/>
      <c r="AZ1773" s="7"/>
      <c r="BA1773" s="7"/>
      <c r="BB1773" s="7"/>
      <c r="BC1773" s="7"/>
      <c r="BF1773" s="7"/>
      <c r="BG1773" s="36"/>
      <c r="BH1773" s="36"/>
      <c r="BI1773" s="36"/>
      <c r="BJ1773" s="36"/>
      <c r="BK1773" s="36"/>
      <c r="BL1773" s="36"/>
      <c r="BM1773" s="36"/>
      <c r="BN1773" s="36"/>
      <c r="BO1773" s="36"/>
    </row>
    <row r="1774" spans="1:67" x14ac:dyDescent="0.25">
      <c r="A1774" s="39"/>
      <c r="B1774" s="40"/>
      <c r="U1774" s="36"/>
      <c r="V1774" s="36"/>
      <c r="W1774" s="35"/>
      <c r="X1774" s="7"/>
      <c r="Y1774" s="7"/>
      <c r="Z1774" s="7"/>
      <c r="AA1774" s="7"/>
      <c r="AB1774" s="7"/>
      <c r="AC1774" s="7"/>
      <c r="AD1774" s="7"/>
      <c r="AE1774" s="7"/>
      <c r="AG1774" s="36"/>
      <c r="AH1774" s="36"/>
      <c r="AI1774" s="35"/>
      <c r="AJ1774" s="7"/>
      <c r="AK1774" s="7"/>
      <c r="AL1774" s="7"/>
      <c r="AM1774" s="7"/>
      <c r="AN1774" s="7"/>
      <c r="AO1774" s="7"/>
      <c r="AP1774" s="7"/>
      <c r="AQ1774" s="7"/>
      <c r="AS1774" s="36"/>
      <c r="AT1774" s="36"/>
      <c r="AU1774" s="35"/>
      <c r="AV1774" s="7"/>
      <c r="AW1774" s="7"/>
      <c r="AX1774" s="7"/>
      <c r="AY1774" s="7"/>
      <c r="AZ1774" s="7"/>
      <c r="BA1774" s="7"/>
      <c r="BB1774" s="7"/>
      <c r="BC1774" s="7"/>
      <c r="BF1774" s="7"/>
      <c r="BG1774" s="36"/>
      <c r="BH1774" s="36"/>
      <c r="BI1774" s="36"/>
      <c r="BJ1774" s="36"/>
      <c r="BK1774" s="36"/>
      <c r="BL1774" s="36"/>
      <c r="BM1774" s="36"/>
      <c r="BN1774" s="36"/>
      <c r="BO1774" s="36"/>
    </row>
    <row r="1775" spans="1:67" x14ac:dyDescent="0.25">
      <c r="A1775" s="39"/>
      <c r="B1775" s="40"/>
      <c r="U1775" s="36"/>
      <c r="V1775" s="36"/>
      <c r="W1775" s="35"/>
      <c r="X1775" s="7"/>
      <c r="Y1775" s="7"/>
      <c r="Z1775" s="7"/>
      <c r="AA1775" s="7"/>
      <c r="AB1775" s="7"/>
      <c r="AC1775" s="7"/>
      <c r="AD1775" s="7"/>
      <c r="AE1775" s="7"/>
      <c r="AG1775" s="36"/>
      <c r="AH1775" s="36"/>
      <c r="AI1775" s="35"/>
      <c r="AJ1775" s="7"/>
      <c r="AK1775" s="7"/>
      <c r="AL1775" s="7"/>
      <c r="AM1775" s="7"/>
      <c r="AN1775" s="7"/>
      <c r="AO1775" s="7"/>
      <c r="AP1775" s="7"/>
      <c r="AQ1775" s="7"/>
      <c r="AS1775" s="36"/>
      <c r="AT1775" s="36"/>
      <c r="AU1775" s="35"/>
      <c r="AV1775" s="7"/>
      <c r="AW1775" s="7"/>
      <c r="AX1775" s="7"/>
      <c r="AY1775" s="7"/>
      <c r="AZ1775" s="7"/>
      <c r="BA1775" s="7"/>
      <c r="BB1775" s="7"/>
      <c r="BC1775" s="7"/>
      <c r="BF1775" s="7"/>
      <c r="BG1775" s="36"/>
      <c r="BH1775" s="36"/>
      <c r="BI1775" s="36"/>
      <c r="BJ1775" s="36"/>
      <c r="BK1775" s="36"/>
      <c r="BL1775" s="36"/>
      <c r="BM1775" s="36"/>
      <c r="BN1775" s="36"/>
      <c r="BO1775" s="36"/>
    </row>
    <row r="1776" spans="1:67" x14ac:dyDescent="0.25">
      <c r="A1776" s="39"/>
      <c r="B1776" s="40"/>
      <c r="U1776" s="36"/>
      <c r="V1776" s="36"/>
      <c r="W1776" s="35"/>
      <c r="X1776" s="7"/>
      <c r="Y1776" s="7"/>
      <c r="Z1776" s="7"/>
      <c r="AA1776" s="7"/>
      <c r="AB1776" s="7"/>
      <c r="AC1776" s="7"/>
      <c r="AD1776" s="7"/>
      <c r="AE1776" s="7"/>
      <c r="AG1776" s="36"/>
      <c r="AH1776" s="36"/>
      <c r="AI1776" s="35"/>
      <c r="AJ1776" s="7"/>
      <c r="AK1776" s="7"/>
      <c r="AL1776" s="7"/>
      <c r="AM1776" s="7"/>
      <c r="AN1776" s="7"/>
      <c r="AO1776" s="7"/>
      <c r="AP1776" s="7"/>
      <c r="AQ1776" s="7"/>
      <c r="AS1776" s="36"/>
      <c r="AT1776" s="36"/>
      <c r="AU1776" s="35"/>
      <c r="AV1776" s="7"/>
      <c r="AW1776" s="7"/>
      <c r="AX1776" s="7"/>
      <c r="AY1776" s="7"/>
      <c r="AZ1776" s="7"/>
      <c r="BA1776" s="7"/>
      <c r="BB1776" s="7"/>
      <c r="BC1776" s="7"/>
      <c r="BF1776" s="7"/>
      <c r="BG1776" s="36"/>
      <c r="BH1776" s="36"/>
      <c r="BI1776" s="36"/>
      <c r="BJ1776" s="36"/>
      <c r="BK1776" s="36"/>
      <c r="BL1776" s="36"/>
      <c r="BM1776" s="36"/>
      <c r="BN1776" s="36"/>
      <c r="BO1776" s="36"/>
    </row>
    <row r="1777" spans="1:67" x14ac:dyDescent="0.25">
      <c r="A1777" s="39"/>
      <c r="B1777" s="40"/>
      <c r="U1777" s="36"/>
      <c r="V1777" s="36"/>
      <c r="W1777" s="35"/>
      <c r="X1777" s="7"/>
      <c r="Y1777" s="7"/>
      <c r="Z1777" s="7"/>
      <c r="AA1777" s="7"/>
      <c r="AB1777" s="7"/>
      <c r="AC1777" s="7"/>
      <c r="AD1777" s="7"/>
      <c r="AE1777" s="7"/>
      <c r="AG1777" s="36"/>
      <c r="AH1777" s="36"/>
      <c r="AI1777" s="35"/>
      <c r="AJ1777" s="7"/>
      <c r="AK1777" s="7"/>
      <c r="AL1777" s="7"/>
      <c r="AM1777" s="7"/>
      <c r="AN1777" s="7"/>
      <c r="AO1777" s="7"/>
      <c r="AP1777" s="7"/>
      <c r="AQ1777" s="7"/>
      <c r="AS1777" s="36"/>
      <c r="AT1777" s="36"/>
      <c r="AU1777" s="35"/>
      <c r="AV1777" s="7"/>
      <c r="AW1777" s="7"/>
      <c r="AX1777" s="7"/>
      <c r="AY1777" s="7"/>
      <c r="AZ1777" s="7"/>
      <c r="BA1777" s="7"/>
      <c r="BB1777" s="7"/>
      <c r="BC1777" s="7"/>
      <c r="BF1777" s="7"/>
      <c r="BG1777" s="36"/>
      <c r="BH1777" s="36"/>
      <c r="BI1777" s="36"/>
      <c r="BJ1777" s="36"/>
      <c r="BK1777" s="36"/>
      <c r="BL1777" s="36"/>
      <c r="BM1777" s="36"/>
      <c r="BN1777" s="36"/>
      <c r="BO1777" s="36"/>
    </row>
    <row r="1778" spans="1:67" x14ac:dyDescent="0.25">
      <c r="A1778" s="39"/>
      <c r="B1778" s="40"/>
      <c r="U1778" s="36"/>
      <c r="V1778" s="36"/>
      <c r="W1778" s="35"/>
      <c r="X1778" s="7"/>
      <c r="Y1778" s="7"/>
      <c r="Z1778" s="7"/>
      <c r="AA1778" s="7"/>
      <c r="AB1778" s="7"/>
      <c r="AC1778" s="7"/>
      <c r="AD1778" s="7"/>
      <c r="AE1778" s="7"/>
      <c r="AG1778" s="36"/>
      <c r="AH1778" s="36"/>
      <c r="AI1778" s="35"/>
      <c r="AJ1778" s="7"/>
      <c r="AK1778" s="7"/>
      <c r="AL1778" s="7"/>
      <c r="AM1778" s="7"/>
      <c r="AN1778" s="7"/>
      <c r="AO1778" s="7"/>
      <c r="AP1778" s="7"/>
      <c r="AQ1778" s="7"/>
      <c r="AS1778" s="36"/>
      <c r="AT1778" s="36"/>
      <c r="AU1778" s="35"/>
      <c r="AV1778" s="7"/>
      <c r="AW1778" s="7"/>
      <c r="AX1778" s="7"/>
      <c r="AY1778" s="7"/>
      <c r="AZ1778" s="7"/>
      <c r="BA1778" s="7"/>
      <c r="BB1778" s="7"/>
      <c r="BC1778" s="7"/>
      <c r="BF1778" s="7"/>
      <c r="BG1778" s="36"/>
      <c r="BH1778" s="36"/>
      <c r="BI1778" s="36"/>
      <c r="BJ1778" s="36"/>
      <c r="BK1778" s="36"/>
      <c r="BL1778" s="36"/>
      <c r="BM1778" s="36"/>
      <c r="BN1778" s="36"/>
      <c r="BO1778" s="36"/>
    </row>
    <row r="1779" spans="1:67" x14ac:dyDescent="0.25">
      <c r="A1779" s="39"/>
      <c r="B1779" s="40"/>
      <c r="U1779" s="36"/>
      <c r="V1779" s="36"/>
      <c r="W1779" s="35"/>
      <c r="X1779" s="7"/>
      <c r="Y1779" s="7"/>
      <c r="Z1779" s="7"/>
      <c r="AA1779" s="7"/>
      <c r="AB1779" s="7"/>
      <c r="AC1779" s="7"/>
      <c r="AD1779" s="7"/>
      <c r="AE1779" s="7"/>
      <c r="AG1779" s="36"/>
      <c r="AH1779" s="36"/>
      <c r="AI1779" s="35"/>
      <c r="AJ1779" s="7"/>
      <c r="AK1779" s="7"/>
      <c r="AL1779" s="7"/>
      <c r="AM1779" s="7"/>
      <c r="AN1779" s="7"/>
      <c r="AO1779" s="7"/>
      <c r="AP1779" s="7"/>
      <c r="AQ1779" s="7"/>
      <c r="AS1779" s="36"/>
      <c r="AT1779" s="36"/>
      <c r="AU1779" s="35"/>
      <c r="AV1779" s="7"/>
      <c r="AW1779" s="7"/>
      <c r="AX1779" s="7"/>
      <c r="AY1779" s="7"/>
      <c r="AZ1779" s="7"/>
      <c r="BA1779" s="7"/>
      <c r="BB1779" s="7"/>
      <c r="BC1779" s="7"/>
      <c r="BF1779" s="7"/>
      <c r="BG1779" s="36"/>
      <c r="BH1779" s="36"/>
      <c r="BI1779" s="36"/>
      <c r="BJ1779" s="36"/>
      <c r="BK1779" s="36"/>
      <c r="BL1779" s="36"/>
      <c r="BM1779" s="36"/>
      <c r="BN1779" s="36"/>
      <c r="BO1779" s="36"/>
    </row>
    <row r="1780" spans="1:67" x14ac:dyDescent="0.25">
      <c r="A1780" s="39"/>
      <c r="B1780" s="40"/>
      <c r="U1780" s="36"/>
      <c r="V1780" s="36"/>
      <c r="W1780" s="35"/>
      <c r="X1780" s="7"/>
      <c r="Y1780" s="7"/>
      <c r="Z1780" s="7"/>
      <c r="AA1780" s="7"/>
      <c r="AB1780" s="7"/>
      <c r="AC1780" s="7"/>
      <c r="AD1780" s="7"/>
      <c r="AE1780" s="7"/>
      <c r="AG1780" s="36"/>
      <c r="AH1780" s="36"/>
      <c r="AI1780" s="35"/>
      <c r="AJ1780" s="7"/>
      <c r="AK1780" s="7"/>
      <c r="AL1780" s="7"/>
      <c r="AM1780" s="7"/>
      <c r="AN1780" s="7"/>
      <c r="AO1780" s="7"/>
      <c r="AP1780" s="7"/>
      <c r="AQ1780" s="7"/>
      <c r="AS1780" s="36"/>
      <c r="AT1780" s="36"/>
      <c r="AU1780" s="35"/>
      <c r="AV1780" s="7"/>
      <c r="AW1780" s="7"/>
      <c r="AX1780" s="7"/>
      <c r="AY1780" s="7"/>
      <c r="AZ1780" s="7"/>
      <c r="BA1780" s="7"/>
      <c r="BB1780" s="7"/>
      <c r="BC1780" s="7"/>
      <c r="BF1780" s="7"/>
      <c r="BG1780" s="36"/>
      <c r="BH1780" s="36"/>
      <c r="BI1780" s="36"/>
      <c r="BJ1780" s="36"/>
      <c r="BK1780" s="36"/>
      <c r="BL1780" s="36"/>
      <c r="BM1780" s="36"/>
      <c r="BN1780" s="36"/>
      <c r="BO1780" s="36"/>
    </row>
    <row r="1781" spans="1:67" x14ac:dyDescent="0.25">
      <c r="A1781" s="39"/>
      <c r="B1781" s="40"/>
      <c r="U1781" s="36"/>
      <c r="V1781" s="36"/>
      <c r="W1781" s="35"/>
      <c r="X1781" s="7"/>
      <c r="Y1781" s="7"/>
      <c r="Z1781" s="7"/>
      <c r="AA1781" s="7"/>
      <c r="AB1781" s="7"/>
      <c r="AC1781" s="7"/>
      <c r="AD1781" s="7"/>
      <c r="AE1781" s="7"/>
      <c r="AG1781" s="36"/>
      <c r="AH1781" s="36"/>
      <c r="AI1781" s="35"/>
      <c r="AJ1781" s="7"/>
      <c r="AK1781" s="7"/>
      <c r="AL1781" s="7"/>
      <c r="AM1781" s="7"/>
      <c r="AN1781" s="7"/>
      <c r="AO1781" s="7"/>
      <c r="AP1781" s="7"/>
      <c r="AQ1781" s="7"/>
      <c r="AS1781" s="36"/>
      <c r="AT1781" s="36"/>
      <c r="AU1781" s="35"/>
      <c r="AV1781" s="7"/>
      <c r="AW1781" s="7"/>
      <c r="AX1781" s="7"/>
      <c r="AY1781" s="7"/>
      <c r="AZ1781" s="7"/>
      <c r="BA1781" s="7"/>
      <c r="BB1781" s="7"/>
      <c r="BC1781" s="7"/>
      <c r="BF1781" s="7"/>
      <c r="BG1781" s="36"/>
      <c r="BH1781" s="36"/>
      <c r="BI1781" s="36"/>
      <c r="BJ1781" s="36"/>
      <c r="BK1781" s="36"/>
      <c r="BL1781" s="36"/>
      <c r="BM1781" s="36"/>
      <c r="BN1781" s="36"/>
      <c r="BO1781" s="36"/>
    </row>
    <row r="1782" spans="1:67" x14ac:dyDescent="0.25">
      <c r="A1782" s="39"/>
      <c r="B1782" s="40"/>
      <c r="U1782" s="36"/>
      <c r="V1782" s="36"/>
      <c r="W1782" s="35"/>
      <c r="X1782" s="7"/>
      <c r="Y1782" s="7"/>
      <c r="Z1782" s="7"/>
      <c r="AA1782" s="7"/>
      <c r="AB1782" s="7"/>
      <c r="AC1782" s="7"/>
      <c r="AD1782" s="7"/>
      <c r="AE1782" s="7"/>
      <c r="AG1782" s="36"/>
      <c r="AH1782" s="36"/>
      <c r="AI1782" s="35"/>
      <c r="AJ1782" s="7"/>
      <c r="AK1782" s="7"/>
      <c r="AL1782" s="7"/>
      <c r="AM1782" s="7"/>
      <c r="AN1782" s="7"/>
      <c r="AO1782" s="7"/>
      <c r="AP1782" s="7"/>
      <c r="AQ1782" s="7"/>
      <c r="AS1782" s="36"/>
      <c r="AT1782" s="36"/>
      <c r="AU1782" s="35"/>
      <c r="AV1782" s="7"/>
      <c r="AW1782" s="7"/>
      <c r="AX1782" s="7"/>
      <c r="AY1782" s="7"/>
      <c r="AZ1782" s="7"/>
      <c r="BA1782" s="7"/>
      <c r="BB1782" s="7"/>
      <c r="BC1782" s="7"/>
      <c r="BF1782" s="7"/>
      <c r="BG1782" s="36"/>
      <c r="BH1782" s="36"/>
      <c r="BI1782" s="36"/>
      <c r="BJ1782" s="36"/>
      <c r="BK1782" s="36"/>
      <c r="BL1782" s="36"/>
      <c r="BM1782" s="36"/>
      <c r="BN1782" s="36"/>
      <c r="BO1782" s="36"/>
    </row>
    <row r="1783" spans="1:67" x14ac:dyDescent="0.25">
      <c r="A1783" s="39"/>
      <c r="B1783" s="40"/>
      <c r="U1783" s="36"/>
      <c r="V1783" s="36"/>
      <c r="W1783" s="35"/>
      <c r="X1783" s="7"/>
      <c r="Y1783" s="7"/>
      <c r="Z1783" s="7"/>
      <c r="AA1783" s="7"/>
      <c r="AB1783" s="7"/>
      <c r="AC1783" s="7"/>
      <c r="AD1783" s="7"/>
      <c r="AE1783" s="7"/>
      <c r="AG1783" s="36"/>
      <c r="AH1783" s="36"/>
      <c r="AI1783" s="35"/>
      <c r="AJ1783" s="7"/>
      <c r="AK1783" s="7"/>
      <c r="AL1783" s="7"/>
      <c r="AM1783" s="7"/>
      <c r="AN1783" s="7"/>
      <c r="AO1783" s="7"/>
      <c r="AP1783" s="7"/>
      <c r="AQ1783" s="7"/>
      <c r="AS1783" s="36"/>
      <c r="AT1783" s="36"/>
      <c r="AU1783" s="35"/>
      <c r="AV1783" s="7"/>
      <c r="AW1783" s="7"/>
      <c r="AX1783" s="7"/>
      <c r="AY1783" s="7"/>
      <c r="AZ1783" s="7"/>
      <c r="BA1783" s="7"/>
      <c r="BB1783" s="7"/>
      <c r="BC1783" s="7"/>
      <c r="BF1783" s="7"/>
      <c r="BG1783" s="36"/>
      <c r="BH1783" s="36"/>
      <c r="BI1783" s="36"/>
      <c r="BJ1783" s="36"/>
      <c r="BK1783" s="36"/>
      <c r="BL1783" s="36"/>
      <c r="BM1783" s="36"/>
      <c r="BN1783" s="36"/>
      <c r="BO1783" s="36"/>
    </row>
    <row r="1784" spans="1:67" x14ac:dyDescent="0.25">
      <c r="A1784" s="39"/>
      <c r="B1784" s="40"/>
      <c r="U1784" s="36"/>
      <c r="V1784" s="36"/>
      <c r="W1784" s="35"/>
      <c r="X1784" s="7"/>
      <c r="Y1784" s="7"/>
      <c r="Z1784" s="7"/>
      <c r="AA1784" s="7"/>
      <c r="AB1784" s="7"/>
      <c r="AC1784" s="7"/>
      <c r="AD1784" s="7"/>
      <c r="AE1784" s="7"/>
      <c r="AG1784" s="36"/>
      <c r="AH1784" s="36"/>
      <c r="AI1784" s="35"/>
      <c r="AJ1784" s="7"/>
      <c r="AK1784" s="7"/>
      <c r="AL1784" s="7"/>
      <c r="AM1784" s="7"/>
      <c r="AN1784" s="7"/>
      <c r="AO1784" s="7"/>
      <c r="AP1784" s="7"/>
      <c r="AQ1784" s="7"/>
      <c r="AS1784" s="36"/>
      <c r="AT1784" s="36"/>
      <c r="AU1784" s="35"/>
      <c r="AV1784" s="7"/>
      <c r="AW1784" s="7"/>
      <c r="AX1784" s="7"/>
      <c r="AY1784" s="7"/>
      <c r="AZ1784" s="7"/>
      <c r="BA1784" s="7"/>
      <c r="BB1784" s="7"/>
      <c r="BC1784" s="7"/>
      <c r="BF1784" s="7"/>
      <c r="BG1784" s="36"/>
      <c r="BH1784" s="36"/>
      <c r="BI1784" s="36"/>
      <c r="BJ1784" s="36"/>
      <c r="BK1784" s="36"/>
      <c r="BL1784" s="36"/>
      <c r="BM1784" s="36"/>
      <c r="BN1784" s="36"/>
      <c r="BO1784" s="36"/>
    </row>
    <row r="1785" spans="1:67" x14ac:dyDescent="0.25">
      <c r="A1785" s="39"/>
      <c r="B1785" s="40"/>
      <c r="U1785" s="36"/>
      <c r="V1785" s="36"/>
      <c r="W1785" s="35"/>
      <c r="X1785" s="7"/>
      <c r="Y1785" s="7"/>
      <c r="Z1785" s="7"/>
      <c r="AA1785" s="7"/>
      <c r="AB1785" s="7"/>
      <c r="AC1785" s="7"/>
      <c r="AD1785" s="7"/>
      <c r="AE1785" s="7"/>
      <c r="AG1785" s="36"/>
      <c r="AH1785" s="36"/>
      <c r="AI1785" s="35"/>
      <c r="AJ1785" s="7"/>
      <c r="AK1785" s="7"/>
      <c r="AL1785" s="7"/>
      <c r="AM1785" s="7"/>
      <c r="AN1785" s="7"/>
      <c r="AO1785" s="7"/>
      <c r="AP1785" s="7"/>
      <c r="AQ1785" s="7"/>
      <c r="AS1785" s="36"/>
      <c r="AT1785" s="36"/>
      <c r="AU1785" s="35"/>
      <c r="AV1785" s="7"/>
      <c r="AW1785" s="7"/>
      <c r="AX1785" s="7"/>
      <c r="AY1785" s="7"/>
      <c r="AZ1785" s="7"/>
      <c r="BA1785" s="7"/>
      <c r="BB1785" s="7"/>
      <c r="BC1785" s="7"/>
      <c r="BF1785" s="7"/>
      <c r="BG1785" s="36"/>
      <c r="BH1785" s="36"/>
      <c r="BI1785" s="36"/>
      <c r="BJ1785" s="36"/>
      <c r="BK1785" s="36"/>
      <c r="BL1785" s="36"/>
      <c r="BM1785" s="36"/>
      <c r="BN1785" s="36"/>
      <c r="BO1785" s="36"/>
    </row>
    <row r="1786" spans="1:67" x14ac:dyDescent="0.25">
      <c r="A1786" s="39"/>
      <c r="B1786" s="40"/>
      <c r="U1786" s="36"/>
      <c r="V1786" s="36"/>
      <c r="W1786" s="35"/>
      <c r="X1786" s="7"/>
      <c r="Y1786" s="7"/>
      <c r="Z1786" s="7"/>
      <c r="AA1786" s="7"/>
      <c r="AB1786" s="7"/>
      <c r="AC1786" s="7"/>
      <c r="AD1786" s="7"/>
      <c r="AE1786" s="7"/>
      <c r="AG1786" s="36"/>
      <c r="AH1786" s="36"/>
      <c r="AI1786" s="35"/>
      <c r="AJ1786" s="7"/>
      <c r="AK1786" s="7"/>
      <c r="AL1786" s="7"/>
      <c r="AM1786" s="7"/>
      <c r="AN1786" s="7"/>
      <c r="AO1786" s="7"/>
      <c r="AP1786" s="7"/>
      <c r="AQ1786" s="7"/>
      <c r="AS1786" s="36"/>
      <c r="AT1786" s="36"/>
      <c r="AU1786" s="35"/>
      <c r="AV1786" s="7"/>
      <c r="AW1786" s="7"/>
      <c r="AX1786" s="7"/>
      <c r="AY1786" s="7"/>
      <c r="AZ1786" s="7"/>
      <c r="BA1786" s="7"/>
      <c r="BB1786" s="7"/>
      <c r="BC1786" s="7"/>
      <c r="BF1786" s="7"/>
      <c r="BG1786" s="36"/>
      <c r="BH1786" s="36"/>
      <c r="BI1786" s="36"/>
      <c r="BJ1786" s="36"/>
      <c r="BK1786" s="36"/>
      <c r="BL1786" s="36"/>
      <c r="BM1786" s="36"/>
      <c r="BN1786" s="36"/>
      <c r="BO1786" s="36"/>
    </row>
    <row r="1787" spans="1:67" x14ac:dyDescent="0.25">
      <c r="A1787" s="39"/>
      <c r="B1787" s="40"/>
      <c r="U1787" s="36"/>
      <c r="V1787" s="36"/>
      <c r="W1787" s="35"/>
      <c r="X1787" s="7"/>
      <c r="Y1787" s="7"/>
      <c r="Z1787" s="7"/>
      <c r="AA1787" s="7"/>
      <c r="AB1787" s="7"/>
      <c r="AC1787" s="7"/>
      <c r="AD1787" s="7"/>
      <c r="AE1787" s="7"/>
      <c r="AG1787" s="36"/>
      <c r="AH1787" s="36"/>
      <c r="AI1787" s="35"/>
      <c r="AJ1787" s="7"/>
      <c r="AK1787" s="7"/>
      <c r="AL1787" s="7"/>
      <c r="AM1787" s="7"/>
      <c r="AN1787" s="7"/>
      <c r="AO1787" s="7"/>
      <c r="AP1787" s="7"/>
      <c r="AQ1787" s="7"/>
      <c r="AS1787" s="36"/>
      <c r="AT1787" s="36"/>
      <c r="AU1787" s="35"/>
      <c r="AV1787" s="7"/>
      <c r="AW1787" s="7"/>
      <c r="AX1787" s="7"/>
      <c r="AY1787" s="7"/>
      <c r="AZ1787" s="7"/>
      <c r="BA1787" s="7"/>
      <c r="BB1787" s="7"/>
      <c r="BC1787" s="7"/>
      <c r="BF1787" s="7"/>
      <c r="BG1787" s="36"/>
      <c r="BH1787" s="36"/>
      <c r="BI1787" s="36"/>
      <c r="BJ1787" s="36"/>
      <c r="BK1787" s="36"/>
      <c r="BL1787" s="36"/>
      <c r="BM1787" s="36"/>
      <c r="BN1787" s="36"/>
      <c r="BO1787" s="36"/>
    </row>
    <row r="1788" spans="1:67" x14ac:dyDescent="0.25">
      <c r="A1788" s="39"/>
      <c r="B1788" s="40"/>
      <c r="U1788" s="36"/>
      <c r="V1788" s="36"/>
      <c r="W1788" s="35"/>
      <c r="X1788" s="7"/>
      <c r="Y1788" s="7"/>
      <c r="Z1788" s="7"/>
      <c r="AA1788" s="7"/>
      <c r="AB1788" s="7"/>
      <c r="AC1788" s="7"/>
      <c r="AD1788" s="7"/>
      <c r="AE1788" s="7"/>
      <c r="AG1788" s="36"/>
      <c r="AH1788" s="36"/>
      <c r="AI1788" s="35"/>
      <c r="AJ1788" s="7"/>
      <c r="AK1788" s="7"/>
      <c r="AL1788" s="7"/>
      <c r="AM1788" s="7"/>
      <c r="AN1788" s="7"/>
      <c r="AO1788" s="7"/>
      <c r="AP1788" s="7"/>
      <c r="AQ1788" s="7"/>
      <c r="AS1788" s="36"/>
      <c r="AT1788" s="36"/>
      <c r="AU1788" s="35"/>
      <c r="AV1788" s="7"/>
      <c r="AW1788" s="7"/>
      <c r="AX1788" s="7"/>
      <c r="AY1788" s="7"/>
      <c r="AZ1788" s="7"/>
      <c r="BA1788" s="7"/>
      <c r="BB1788" s="7"/>
      <c r="BC1788" s="7"/>
      <c r="BF1788" s="7"/>
      <c r="BG1788" s="36"/>
      <c r="BH1788" s="36"/>
      <c r="BI1788" s="36"/>
      <c r="BJ1788" s="36"/>
      <c r="BK1788" s="36"/>
      <c r="BL1788" s="36"/>
      <c r="BM1788" s="36"/>
      <c r="BN1788" s="36"/>
      <c r="BO1788" s="36"/>
    </row>
    <row r="1789" spans="1:67" x14ac:dyDescent="0.25">
      <c r="A1789" s="39"/>
      <c r="B1789" s="40"/>
      <c r="U1789" s="36"/>
      <c r="V1789" s="36"/>
      <c r="W1789" s="35"/>
      <c r="X1789" s="7"/>
      <c r="Y1789" s="7"/>
      <c r="Z1789" s="7"/>
      <c r="AA1789" s="7"/>
      <c r="AB1789" s="7"/>
      <c r="AC1789" s="7"/>
      <c r="AD1789" s="7"/>
      <c r="AE1789" s="7"/>
      <c r="AG1789" s="36"/>
      <c r="AH1789" s="36"/>
      <c r="AI1789" s="35"/>
      <c r="AJ1789" s="7"/>
      <c r="AK1789" s="7"/>
      <c r="AL1789" s="7"/>
      <c r="AM1789" s="7"/>
      <c r="AN1789" s="7"/>
      <c r="AO1789" s="7"/>
      <c r="AP1789" s="7"/>
      <c r="AQ1789" s="7"/>
      <c r="AS1789" s="36"/>
      <c r="AT1789" s="36"/>
      <c r="AU1789" s="35"/>
      <c r="AV1789" s="7"/>
      <c r="AW1789" s="7"/>
      <c r="AX1789" s="7"/>
      <c r="AY1789" s="7"/>
      <c r="AZ1789" s="7"/>
      <c r="BA1789" s="7"/>
      <c r="BB1789" s="7"/>
      <c r="BC1789" s="7"/>
      <c r="BF1789" s="7"/>
      <c r="BG1789" s="36"/>
      <c r="BH1789" s="36"/>
      <c r="BI1789" s="36"/>
      <c r="BJ1789" s="36"/>
      <c r="BK1789" s="36"/>
      <c r="BL1789" s="36"/>
      <c r="BM1789" s="36"/>
      <c r="BN1789" s="36"/>
      <c r="BO1789" s="36"/>
    </row>
    <row r="1790" spans="1:67" x14ac:dyDescent="0.25">
      <c r="A1790" s="39"/>
      <c r="B1790" s="40"/>
      <c r="U1790" s="36"/>
      <c r="V1790" s="36"/>
      <c r="W1790" s="35"/>
      <c r="X1790" s="7"/>
      <c r="Y1790" s="7"/>
      <c r="Z1790" s="7"/>
      <c r="AA1790" s="7"/>
      <c r="AB1790" s="7"/>
      <c r="AC1790" s="7"/>
      <c r="AD1790" s="7"/>
      <c r="AE1790" s="7"/>
      <c r="AG1790" s="36"/>
      <c r="AH1790" s="36"/>
      <c r="AI1790" s="35"/>
      <c r="AJ1790" s="7"/>
      <c r="AK1790" s="7"/>
      <c r="AL1790" s="7"/>
      <c r="AM1790" s="7"/>
      <c r="AN1790" s="7"/>
      <c r="AO1790" s="7"/>
      <c r="AP1790" s="7"/>
      <c r="AQ1790" s="7"/>
      <c r="AS1790" s="36"/>
      <c r="AT1790" s="36"/>
      <c r="AU1790" s="35"/>
      <c r="AV1790" s="7"/>
      <c r="AW1790" s="7"/>
      <c r="AX1790" s="7"/>
      <c r="AY1790" s="7"/>
      <c r="AZ1790" s="7"/>
      <c r="BA1790" s="7"/>
      <c r="BB1790" s="7"/>
      <c r="BC1790" s="7"/>
      <c r="BF1790" s="7"/>
      <c r="BG1790" s="36"/>
      <c r="BH1790" s="36"/>
      <c r="BI1790" s="36"/>
      <c r="BJ1790" s="36"/>
      <c r="BK1790" s="36"/>
      <c r="BL1790" s="36"/>
      <c r="BM1790" s="36"/>
      <c r="BN1790" s="36"/>
      <c r="BO1790" s="36"/>
    </row>
    <row r="1791" spans="1:67" x14ac:dyDescent="0.25">
      <c r="A1791" s="39"/>
      <c r="B1791" s="40"/>
      <c r="U1791" s="36"/>
      <c r="V1791" s="36"/>
      <c r="W1791" s="35"/>
      <c r="X1791" s="7"/>
      <c r="Y1791" s="7"/>
      <c r="Z1791" s="7"/>
      <c r="AA1791" s="7"/>
      <c r="AB1791" s="7"/>
      <c r="AC1791" s="7"/>
      <c r="AD1791" s="7"/>
      <c r="AE1791" s="7"/>
      <c r="AG1791" s="36"/>
      <c r="AH1791" s="36"/>
      <c r="AI1791" s="35"/>
      <c r="AJ1791" s="7"/>
      <c r="AK1791" s="7"/>
      <c r="AL1791" s="7"/>
      <c r="AM1791" s="7"/>
      <c r="AN1791" s="7"/>
      <c r="AO1791" s="7"/>
      <c r="AP1791" s="7"/>
      <c r="AQ1791" s="7"/>
      <c r="AS1791" s="36"/>
      <c r="AT1791" s="36"/>
      <c r="AU1791" s="35"/>
      <c r="AV1791" s="7"/>
      <c r="AW1791" s="7"/>
      <c r="AX1791" s="7"/>
      <c r="AY1791" s="7"/>
      <c r="AZ1791" s="7"/>
      <c r="BA1791" s="7"/>
      <c r="BB1791" s="7"/>
      <c r="BC1791" s="7"/>
      <c r="BF1791" s="7"/>
      <c r="BG1791" s="36"/>
      <c r="BH1791" s="36"/>
      <c r="BI1791" s="36"/>
      <c r="BJ1791" s="36"/>
      <c r="BK1791" s="36"/>
      <c r="BL1791" s="36"/>
      <c r="BM1791" s="36"/>
      <c r="BN1791" s="36"/>
      <c r="BO1791" s="36"/>
    </row>
    <row r="1792" spans="1:67" x14ac:dyDescent="0.25">
      <c r="A1792" s="39"/>
      <c r="B1792" s="40"/>
      <c r="U1792" s="36"/>
      <c r="V1792" s="36"/>
      <c r="W1792" s="35"/>
      <c r="X1792" s="7"/>
      <c r="Y1792" s="7"/>
      <c r="Z1792" s="7"/>
      <c r="AA1792" s="7"/>
      <c r="AB1792" s="7"/>
      <c r="AC1792" s="7"/>
      <c r="AD1792" s="7"/>
      <c r="AE1792" s="7"/>
      <c r="AG1792" s="36"/>
      <c r="AH1792" s="36"/>
      <c r="AI1792" s="35"/>
      <c r="AJ1792" s="7"/>
      <c r="AK1792" s="7"/>
      <c r="AL1792" s="7"/>
      <c r="AM1792" s="7"/>
      <c r="AN1792" s="7"/>
      <c r="AO1792" s="7"/>
      <c r="AP1792" s="7"/>
      <c r="AQ1792" s="7"/>
      <c r="AS1792" s="36"/>
      <c r="AT1792" s="36"/>
      <c r="AU1792" s="35"/>
      <c r="AV1792" s="7"/>
      <c r="AW1792" s="7"/>
      <c r="AX1792" s="7"/>
      <c r="AY1792" s="7"/>
      <c r="AZ1792" s="7"/>
      <c r="BA1792" s="7"/>
      <c r="BB1792" s="7"/>
      <c r="BC1792" s="7"/>
      <c r="BF1792" s="7"/>
      <c r="BG1792" s="36"/>
      <c r="BH1792" s="36"/>
      <c r="BI1792" s="36"/>
      <c r="BJ1792" s="36"/>
      <c r="BK1792" s="36"/>
      <c r="BL1792" s="36"/>
      <c r="BM1792" s="36"/>
      <c r="BN1792" s="36"/>
      <c r="BO1792" s="36"/>
    </row>
    <row r="1793" spans="1:67" x14ac:dyDescent="0.25">
      <c r="A1793" s="39"/>
      <c r="B1793" s="40"/>
      <c r="U1793" s="36"/>
      <c r="V1793" s="36"/>
      <c r="W1793" s="35"/>
      <c r="X1793" s="7"/>
      <c r="Y1793" s="7"/>
      <c r="Z1793" s="7"/>
      <c r="AA1793" s="7"/>
      <c r="AB1793" s="7"/>
      <c r="AC1793" s="7"/>
      <c r="AD1793" s="7"/>
      <c r="AE1793" s="7"/>
      <c r="AG1793" s="36"/>
      <c r="AH1793" s="36"/>
      <c r="AI1793" s="35"/>
      <c r="AJ1793" s="7"/>
      <c r="AK1793" s="7"/>
      <c r="AL1793" s="7"/>
      <c r="AM1793" s="7"/>
      <c r="AN1793" s="7"/>
      <c r="AO1793" s="7"/>
      <c r="AP1793" s="7"/>
      <c r="AQ1793" s="7"/>
      <c r="AS1793" s="36"/>
      <c r="AT1793" s="36"/>
      <c r="AU1793" s="35"/>
      <c r="AV1793" s="7"/>
      <c r="AW1793" s="7"/>
      <c r="AX1793" s="7"/>
      <c r="AY1793" s="7"/>
      <c r="AZ1793" s="7"/>
      <c r="BA1793" s="7"/>
      <c r="BB1793" s="7"/>
      <c r="BC1793" s="7"/>
      <c r="BF1793" s="7"/>
      <c r="BG1793" s="36"/>
      <c r="BH1793" s="36"/>
      <c r="BI1793" s="36"/>
      <c r="BJ1793" s="36"/>
      <c r="BK1793" s="36"/>
      <c r="BL1793" s="36"/>
      <c r="BM1793" s="36"/>
      <c r="BN1793" s="36"/>
      <c r="BO1793" s="36"/>
    </row>
    <row r="1794" spans="1:67" x14ac:dyDescent="0.25">
      <c r="A1794" s="39"/>
      <c r="B1794" s="40"/>
      <c r="U1794" s="36"/>
      <c r="V1794" s="36"/>
      <c r="W1794" s="35"/>
      <c r="X1794" s="7"/>
      <c r="Y1794" s="7"/>
      <c r="Z1794" s="7"/>
      <c r="AA1794" s="7"/>
      <c r="AB1794" s="7"/>
      <c r="AC1794" s="7"/>
      <c r="AD1794" s="7"/>
      <c r="AE1794" s="7"/>
      <c r="AG1794" s="36"/>
      <c r="AH1794" s="36"/>
      <c r="AI1794" s="35"/>
      <c r="AJ1794" s="7"/>
      <c r="AK1794" s="7"/>
      <c r="AL1794" s="7"/>
      <c r="AM1794" s="7"/>
      <c r="AN1794" s="7"/>
      <c r="AO1794" s="7"/>
      <c r="AP1794" s="7"/>
      <c r="AQ1794" s="7"/>
      <c r="AS1794" s="36"/>
      <c r="AT1794" s="36"/>
      <c r="AU1794" s="35"/>
      <c r="AV1794" s="7"/>
      <c r="AW1794" s="7"/>
      <c r="AX1794" s="7"/>
      <c r="AY1794" s="7"/>
      <c r="AZ1794" s="7"/>
      <c r="BA1794" s="7"/>
      <c r="BB1794" s="7"/>
      <c r="BC1794" s="7"/>
      <c r="BF1794" s="7"/>
      <c r="BG1794" s="36"/>
      <c r="BH1794" s="36"/>
      <c r="BI1794" s="36"/>
      <c r="BJ1794" s="36"/>
      <c r="BK1794" s="36"/>
      <c r="BL1794" s="36"/>
      <c r="BM1794" s="36"/>
      <c r="BN1794" s="36"/>
      <c r="BO1794" s="36"/>
    </row>
    <row r="1795" spans="1:67" x14ac:dyDescent="0.25">
      <c r="A1795" s="39"/>
      <c r="B1795" s="40"/>
      <c r="U1795" s="36"/>
      <c r="V1795" s="36"/>
      <c r="W1795" s="35"/>
      <c r="X1795" s="7"/>
      <c r="Y1795" s="7"/>
      <c r="Z1795" s="7"/>
      <c r="AA1795" s="7"/>
      <c r="AB1795" s="7"/>
      <c r="AC1795" s="7"/>
      <c r="AD1795" s="7"/>
      <c r="AE1795" s="7"/>
      <c r="AG1795" s="36"/>
      <c r="AH1795" s="36"/>
      <c r="AI1795" s="35"/>
      <c r="AJ1795" s="7"/>
      <c r="AK1795" s="7"/>
      <c r="AL1795" s="7"/>
      <c r="AM1795" s="7"/>
      <c r="AN1795" s="7"/>
      <c r="AO1795" s="7"/>
      <c r="AP1795" s="7"/>
      <c r="AQ1795" s="7"/>
      <c r="AS1795" s="36"/>
      <c r="AT1795" s="36"/>
      <c r="AU1795" s="35"/>
      <c r="AV1795" s="7"/>
      <c r="AW1795" s="7"/>
      <c r="AX1795" s="7"/>
      <c r="AY1795" s="7"/>
      <c r="AZ1795" s="7"/>
      <c r="BA1795" s="7"/>
      <c r="BB1795" s="7"/>
      <c r="BC1795" s="7"/>
      <c r="BF1795" s="7"/>
      <c r="BG1795" s="36"/>
      <c r="BH1795" s="36"/>
      <c r="BI1795" s="36"/>
      <c r="BJ1795" s="36"/>
      <c r="BK1795" s="36"/>
      <c r="BL1795" s="36"/>
      <c r="BM1795" s="36"/>
      <c r="BN1795" s="36"/>
      <c r="BO1795" s="36"/>
    </row>
    <row r="1796" spans="1:67" x14ac:dyDescent="0.25">
      <c r="A1796" s="39"/>
      <c r="B1796" s="40"/>
      <c r="U1796" s="36"/>
      <c r="V1796" s="36"/>
      <c r="W1796" s="35"/>
      <c r="X1796" s="7"/>
      <c r="Y1796" s="7"/>
      <c r="Z1796" s="7"/>
      <c r="AA1796" s="7"/>
      <c r="AB1796" s="7"/>
      <c r="AC1796" s="7"/>
      <c r="AD1796" s="7"/>
      <c r="AE1796" s="7"/>
      <c r="AG1796" s="36"/>
      <c r="AH1796" s="36"/>
      <c r="AI1796" s="35"/>
      <c r="AJ1796" s="7"/>
      <c r="AK1796" s="7"/>
      <c r="AL1796" s="7"/>
      <c r="AM1796" s="7"/>
      <c r="AN1796" s="7"/>
      <c r="AO1796" s="7"/>
      <c r="AP1796" s="7"/>
      <c r="AQ1796" s="7"/>
      <c r="AS1796" s="36"/>
      <c r="AT1796" s="36"/>
      <c r="AU1796" s="35"/>
      <c r="AV1796" s="7"/>
      <c r="AW1796" s="7"/>
      <c r="AX1796" s="7"/>
      <c r="AY1796" s="7"/>
      <c r="AZ1796" s="7"/>
      <c r="BA1796" s="7"/>
      <c r="BB1796" s="7"/>
      <c r="BC1796" s="7"/>
      <c r="BF1796" s="7"/>
      <c r="BG1796" s="36"/>
      <c r="BH1796" s="36"/>
      <c r="BI1796" s="36"/>
      <c r="BJ1796" s="36"/>
      <c r="BK1796" s="36"/>
      <c r="BL1796" s="36"/>
      <c r="BM1796" s="36"/>
      <c r="BN1796" s="36"/>
      <c r="BO1796" s="36"/>
    </row>
    <row r="1797" spans="1:67" x14ac:dyDescent="0.25">
      <c r="A1797" s="39"/>
      <c r="B1797" s="40"/>
      <c r="U1797" s="36"/>
      <c r="V1797" s="36"/>
      <c r="W1797" s="35"/>
      <c r="X1797" s="7"/>
      <c r="Y1797" s="7"/>
      <c r="Z1797" s="7"/>
      <c r="AA1797" s="7"/>
      <c r="AB1797" s="7"/>
      <c r="AC1797" s="7"/>
      <c r="AD1797" s="7"/>
      <c r="AE1797" s="7"/>
      <c r="AG1797" s="36"/>
      <c r="AH1797" s="36"/>
      <c r="AI1797" s="35"/>
      <c r="AJ1797" s="7"/>
      <c r="AK1797" s="7"/>
      <c r="AL1797" s="7"/>
      <c r="AM1797" s="7"/>
      <c r="AN1797" s="7"/>
      <c r="AO1797" s="7"/>
      <c r="AP1797" s="7"/>
      <c r="AQ1797" s="7"/>
      <c r="AS1797" s="36"/>
      <c r="AT1797" s="36"/>
      <c r="AU1797" s="35"/>
      <c r="AV1797" s="7"/>
      <c r="AW1797" s="7"/>
      <c r="AX1797" s="7"/>
      <c r="AY1797" s="7"/>
      <c r="AZ1797" s="7"/>
      <c r="BA1797" s="7"/>
      <c r="BB1797" s="7"/>
      <c r="BC1797" s="7"/>
      <c r="BF1797" s="7"/>
      <c r="BG1797" s="36"/>
      <c r="BH1797" s="36"/>
      <c r="BI1797" s="36"/>
      <c r="BJ1797" s="36"/>
      <c r="BK1797" s="36"/>
      <c r="BL1797" s="36"/>
      <c r="BM1797" s="36"/>
      <c r="BN1797" s="36"/>
      <c r="BO1797" s="36"/>
    </row>
    <row r="1798" spans="1:67" x14ac:dyDescent="0.25">
      <c r="A1798" s="39"/>
      <c r="B1798" s="40"/>
      <c r="U1798" s="36"/>
      <c r="V1798" s="36"/>
      <c r="W1798" s="35"/>
      <c r="X1798" s="7"/>
      <c r="Y1798" s="7"/>
      <c r="Z1798" s="7"/>
      <c r="AA1798" s="7"/>
      <c r="AB1798" s="7"/>
      <c r="AC1798" s="7"/>
      <c r="AD1798" s="7"/>
      <c r="AE1798" s="7"/>
      <c r="AG1798" s="36"/>
      <c r="AH1798" s="36"/>
      <c r="AI1798" s="35"/>
      <c r="AJ1798" s="7"/>
      <c r="AK1798" s="7"/>
      <c r="AL1798" s="7"/>
      <c r="AM1798" s="7"/>
      <c r="AN1798" s="7"/>
      <c r="AO1798" s="7"/>
      <c r="AP1798" s="7"/>
      <c r="AQ1798" s="7"/>
      <c r="AS1798" s="36"/>
      <c r="AT1798" s="36"/>
      <c r="AU1798" s="35"/>
      <c r="AV1798" s="7"/>
      <c r="AW1798" s="7"/>
      <c r="AX1798" s="7"/>
      <c r="AY1798" s="7"/>
      <c r="AZ1798" s="7"/>
      <c r="BA1798" s="7"/>
      <c r="BB1798" s="7"/>
      <c r="BC1798" s="7"/>
      <c r="BF1798" s="7"/>
      <c r="BG1798" s="36"/>
      <c r="BH1798" s="36"/>
      <c r="BI1798" s="36"/>
      <c r="BJ1798" s="36"/>
      <c r="BK1798" s="36"/>
      <c r="BL1798" s="36"/>
      <c r="BM1798" s="36"/>
      <c r="BN1798" s="36"/>
      <c r="BO1798" s="36"/>
    </row>
    <row r="1799" spans="1:67" x14ac:dyDescent="0.25">
      <c r="A1799" s="39"/>
      <c r="B1799" s="40"/>
      <c r="U1799" s="36"/>
      <c r="V1799" s="36"/>
      <c r="W1799" s="35"/>
      <c r="X1799" s="7"/>
      <c r="Y1799" s="7"/>
      <c r="Z1799" s="7"/>
      <c r="AA1799" s="7"/>
      <c r="AB1799" s="7"/>
      <c r="AC1799" s="7"/>
      <c r="AD1799" s="7"/>
      <c r="AE1799" s="7"/>
      <c r="AG1799" s="36"/>
      <c r="AH1799" s="36"/>
      <c r="AI1799" s="35"/>
      <c r="AJ1799" s="7"/>
      <c r="AK1799" s="7"/>
      <c r="AL1799" s="7"/>
      <c r="AM1799" s="7"/>
      <c r="AN1799" s="7"/>
      <c r="AO1799" s="7"/>
      <c r="AP1799" s="7"/>
      <c r="AQ1799" s="7"/>
      <c r="AS1799" s="36"/>
      <c r="AT1799" s="36"/>
      <c r="AU1799" s="35"/>
      <c r="AV1799" s="7"/>
      <c r="AW1799" s="7"/>
      <c r="AX1799" s="7"/>
      <c r="AY1799" s="7"/>
      <c r="AZ1799" s="7"/>
      <c r="BA1799" s="7"/>
      <c r="BB1799" s="7"/>
      <c r="BC1799" s="7"/>
      <c r="BF1799" s="7"/>
      <c r="BG1799" s="36"/>
      <c r="BH1799" s="36"/>
      <c r="BI1799" s="36"/>
      <c r="BJ1799" s="36"/>
      <c r="BK1799" s="36"/>
      <c r="BL1799" s="36"/>
      <c r="BM1799" s="36"/>
      <c r="BN1799" s="36"/>
      <c r="BO1799" s="36"/>
    </row>
    <row r="1800" spans="1:67" x14ac:dyDescent="0.25">
      <c r="A1800" s="39"/>
      <c r="B1800" s="40"/>
      <c r="U1800" s="36"/>
      <c r="V1800" s="36"/>
      <c r="W1800" s="35"/>
      <c r="X1800" s="7"/>
      <c r="Y1800" s="7"/>
      <c r="Z1800" s="7"/>
      <c r="AA1800" s="7"/>
      <c r="AB1800" s="7"/>
      <c r="AC1800" s="7"/>
      <c r="AD1800" s="7"/>
      <c r="AE1800" s="7"/>
      <c r="AG1800" s="36"/>
      <c r="AH1800" s="36"/>
      <c r="AI1800" s="35"/>
      <c r="AJ1800" s="7"/>
      <c r="AK1800" s="7"/>
      <c r="AL1800" s="7"/>
      <c r="AM1800" s="7"/>
      <c r="AN1800" s="7"/>
      <c r="AO1800" s="7"/>
      <c r="AP1800" s="7"/>
      <c r="AQ1800" s="7"/>
      <c r="AS1800" s="36"/>
      <c r="AT1800" s="36"/>
      <c r="AU1800" s="35"/>
      <c r="AV1800" s="7"/>
      <c r="AW1800" s="7"/>
      <c r="AX1800" s="7"/>
      <c r="AY1800" s="7"/>
      <c r="AZ1800" s="7"/>
      <c r="BA1800" s="7"/>
      <c r="BB1800" s="7"/>
      <c r="BC1800" s="7"/>
      <c r="BF1800" s="7"/>
      <c r="BG1800" s="36"/>
      <c r="BH1800" s="36"/>
      <c r="BI1800" s="36"/>
      <c r="BJ1800" s="36"/>
      <c r="BK1800" s="36"/>
      <c r="BL1800" s="36"/>
      <c r="BM1800" s="36"/>
      <c r="BN1800" s="36"/>
      <c r="BO1800" s="36"/>
    </row>
    <row r="1801" spans="1:67" x14ac:dyDescent="0.25">
      <c r="A1801" s="39"/>
      <c r="B1801" s="40"/>
      <c r="U1801" s="36"/>
      <c r="V1801" s="36"/>
      <c r="W1801" s="35"/>
      <c r="X1801" s="7"/>
      <c r="Y1801" s="7"/>
      <c r="Z1801" s="7"/>
      <c r="AA1801" s="7"/>
      <c r="AB1801" s="7"/>
      <c r="AC1801" s="7"/>
      <c r="AD1801" s="7"/>
      <c r="AE1801" s="7"/>
      <c r="AG1801" s="36"/>
      <c r="AH1801" s="36"/>
      <c r="AI1801" s="35"/>
      <c r="AJ1801" s="7"/>
      <c r="AK1801" s="7"/>
      <c r="AL1801" s="7"/>
      <c r="AM1801" s="7"/>
      <c r="AN1801" s="7"/>
      <c r="AO1801" s="7"/>
      <c r="AP1801" s="7"/>
      <c r="AQ1801" s="7"/>
      <c r="AS1801" s="36"/>
      <c r="AT1801" s="36"/>
      <c r="AU1801" s="35"/>
      <c r="AV1801" s="7"/>
      <c r="AW1801" s="7"/>
      <c r="AX1801" s="7"/>
      <c r="AY1801" s="7"/>
      <c r="AZ1801" s="7"/>
      <c r="BA1801" s="7"/>
      <c r="BB1801" s="7"/>
      <c r="BC1801" s="7"/>
      <c r="BF1801" s="7"/>
      <c r="BG1801" s="36"/>
      <c r="BH1801" s="36"/>
      <c r="BI1801" s="36"/>
      <c r="BJ1801" s="36"/>
      <c r="BK1801" s="36"/>
      <c r="BL1801" s="36"/>
      <c r="BM1801" s="36"/>
      <c r="BN1801" s="36"/>
      <c r="BO1801" s="36"/>
    </row>
    <row r="1802" spans="1:67" x14ac:dyDescent="0.25">
      <c r="A1802" s="39"/>
      <c r="B1802" s="40"/>
      <c r="U1802" s="36"/>
      <c r="V1802" s="36"/>
      <c r="W1802" s="35"/>
      <c r="X1802" s="7"/>
      <c r="Y1802" s="7"/>
      <c r="Z1802" s="7"/>
      <c r="AA1802" s="7"/>
      <c r="AB1802" s="7"/>
      <c r="AC1802" s="7"/>
      <c r="AD1802" s="7"/>
      <c r="AE1802" s="7"/>
      <c r="AG1802" s="36"/>
      <c r="AH1802" s="36"/>
      <c r="AI1802" s="35"/>
      <c r="AJ1802" s="7"/>
      <c r="AK1802" s="7"/>
      <c r="AL1802" s="7"/>
      <c r="AM1802" s="7"/>
      <c r="AN1802" s="7"/>
      <c r="AO1802" s="7"/>
      <c r="AP1802" s="7"/>
      <c r="AQ1802" s="7"/>
      <c r="AS1802" s="36"/>
      <c r="AT1802" s="36"/>
      <c r="AU1802" s="35"/>
      <c r="AV1802" s="7"/>
      <c r="AW1802" s="7"/>
      <c r="AX1802" s="7"/>
      <c r="AY1802" s="7"/>
      <c r="AZ1802" s="7"/>
      <c r="BA1802" s="7"/>
      <c r="BB1802" s="7"/>
      <c r="BC1802" s="7"/>
      <c r="BF1802" s="7"/>
      <c r="BG1802" s="36"/>
      <c r="BH1802" s="36"/>
      <c r="BI1802" s="36"/>
      <c r="BJ1802" s="36"/>
      <c r="BK1802" s="36"/>
      <c r="BL1802" s="36"/>
      <c r="BM1802" s="36"/>
      <c r="BN1802" s="36"/>
      <c r="BO1802" s="36"/>
    </row>
    <row r="1803" spans="1:67" x14ac:dyDescent="0.25">
      <c r="A1803" s="39"/>
      <c r="B1803" s="40"/>
      <c r="U1803" s="36"/>
      <c r="V1803" s="36"/>
      <c r="W1803" s="35"/>
      <c r="X1803" s="7"/>
      <c r="Y1803" s="7"/>
      <c r="Z1803" s="7"/>
      <c r="AA1803" s="7"/>
      <c r="AB1803" s="7"/>
      <c r="AC1803" s="7"/>
      <c r="AD1803" s="7"/>
      <c r="AE1803" s="7"/>
      <c r="AG1803" s="36"/>
      <c r="AH1803" s="36"/>
      <c r="AI1803" s="35"/>
      <c r="AJ1803" s="7"/>
      <c r="AK1803" s="7"/>
      <c r="AL1803" s="7"/>
      <c r="AM1803" s="7"/>
      <c r="AN1803" s="7"/>
      <c r="AO1803" s="7"/>
      <c r="AP1803" s="7"/>
      <c r="AQ1803" s="7"/>
      <c r="AS1803" s="36"/>
      <c r="AT1803" s="36"/>
      <c r="AU1803" s="35"/>
      <c r="AV1803" s="7"/>
      <c r="AW1803" s="7"/>
      <c r="AX1803" s="7"/>
      <c r="AY1803" s="7"/>
      <c r="AZ1803" s="7"/>
      <c r="BA1803" s="7"/>
      <c r="BB1803" s="7"/>
      <c r="BC1803" s="7"/>
      <c r="BF1803" s="7"/>
      <c r="BG1803" s="36"/>
      <c r="BH1803" s="36"/>
      <c r="BI1803" s="36"/>
      <c r="BJ1803" s="36"/>
      <c r="BK1803" s="36"/>
      <c r="BL1803" s="36"/>
      <c r="BM1803" s="36"/>
      <c r="BN1803" s="36"/>
      <c r="BO1803" s="36"/>
    </row>
    <row r="1804" spans="1:67" x14ac:dyDescent="0.25">
      <c r="A1804" s="39"/>
      <c r="B1804" s="40"/>
      <c r="U1804" s="36"/>
      <c r="V1804" s="36"/>
      <c r="W1804" s="35"/>
      <c r="X1804" s="7"/>
      <c r="Y1804" s="7"/>
      <c r="Z1804" s="7"/>
      <c r="AA1804" s="7"/>
      <c r="AB1804" s="7"/>
      <c r="AC1804" s="7"/>
      <c r="AD1804" s="7"/>
      <c r="AE1804" s="7"/>
      <c r="AG1804" s="36"/>
      <c r="AH1804" s="36"/>
      <c r="AI1804" s="35"/>
      <c r="AJ1804" s="7"/>
      <c r="AK1804" s="7"/>
      <c r="AL1804" s="7"/>
      <c r="AM1804" s="7"/>
      <c r="AN1804" s="7"/>
      <c r="AO1804" s="7"/>
      <c r="AP1804" s="7"/>
      <c r="AQ1804" s="7"/>
      <c r="AS1804" s="36"/>
      <c r="AT1804" s="36"/>
      <c r="AU1804" s="35"/>
      <c r="AV1804" s="7"/>
      <c r="AW1804" s="7"/>
      <c r="AX1804" s="7"/>
      <c r="AY1804" s="7"/>
      <c r="AZ1804" s="7"/>
      <c r="BA1804" s="7"/>
      <c r="BB1804" s="7"/>
      <c r="BC1804" s="7"/>
      <c r="BF1804" s="7"/>
      <c r="BG1804" s="36"/>
      <c r="BH1804" s="36"/>
      <c r="BI1804" s="36"/>
      <c r="BJ1804" s="36"/>
      <c r="BK1804" s="36"/>
      <c r="BL1804" s="36"/>
      <c r="BM1804" s="36"/>
      <c r="BN1804" s="36"/>
      <c r="BO1804" s="36"/>
    </row>
    <row r="1805" spans="1:67" x14ac:dyDescent="0.25">
      <c r="A1805" s="39"/>
      <c r="B1805" s="40"/>
      <c r="U1805" s="36"/>
      <c r="V1805" s="36"/>
      <c r="W1805" s="35"/>
      <c r="X1805" s="7"/>
      <c r="Y1805" s="7"/>
      <c r="Z1805" s="7"/>
      <c r="AA1805" s="7"/>
      <c r="AB1805" s="7"/>
      <c r="AC1805" s="7"/>
      <c r="AD1805" s="7"/>
      <c r="AE1805" s="7"/>
      <c r="AG1805" s="36"/>
      <c r="AH1805" s="36"/>
      <c r="AI1805" s="35"/>
      <c r="AJ1805" s="7"/>
      <c r="AK1805" s="7"/>
      <c r="AL1805" s="7"/>
      <c r="AM1805" s="7"/>
      <c r="AN1805" s="7"/>
      <c r="AO1805" s="7"/>
      <c r="AP1805" s="7"/>
      <c r="AQ1805" s="7"/>
      <c r="AS1805" s="36"/>
      <c r="AT1805" s="36"/>
      <c r="AU1805" s="35"/>
      <c r="AV1805" s="7"/>
      <c r="AW1805" s="7"/>
      <c r="AX1805" s="7"/>
      <c r="AY1805" s="7"/>
      <c r="AZ1805" s="7"/>
      <c r="BA1805" s="7"/>
      <c r="BB1805" s="7"/>
      <c r="BC1805" s="7"/>
      <c r="BF1805" s="7"/>
      <c r="BG1805" s="36"/>
      <c r="BH1805" s="36"/>
      <c r="BI1805" s="36"/>
      <c r="BJ1805" s="36"/>
      <c r="BK1805" s="36"/>
      <c r="BL1805" s="36"/>
      <c r="BM1805" s="36"/>
      <c r="BN1805" s="36"/>
      <c r="BO1805" s="36"/>
    </row>
    <row r="1806" spans="1:67" x14ac:dyDescent="0.25">
      <c r="A1806" s="39"/>
      <c r="B1806" s="40"/>
      <c r="U1806" s="36"/>
      <c r="V1806" s="36"/>
      <c r="W1806" s="35"/>
      <c r="X1806" s="7"/>
      <c r="Y1806" s="7"/>
      <c r="Z1806" s="7"/>
      <c r="AA1806" s="7"/>
      <c r="AB1806" s="7"/>
      <c r="AC1806" s="7"/>
      <c r="AD1806" s="7"/>
      <c r="AE1806" s="7"/>
      <c r="AG1806" s="36"/>
      <c r="AH1806" s="36"/>
      <c r="AI1806" s="35"/>
      <c r="AJ1806" s="7"/>
      <c r="AK1806" s="7"/>
      <c r="AL1806" s="7"/>
      <c r="AM1806" s="7"/>
      <c r="AN1806" s="7"/>
      <c r="AO1806" s="7"/>
      <c r="AP1806" s="7"/>
      <c r="AQ1806" s="7"/>
      <c r="AS1806" s="36"/>
      <c r="AT1806" s="36"/>
      <c r="AU1806" s="35"/>
      <c r="AV1806" s="7"/>
      <c r="AW1806" s="7"/>
      <c r="AX1806" s="7"/>
      <c r="AY1806" s="7"/>
      <c r="AZ1806" s="7"/>
      <c r="BA1806" s="7"/>
      <c r="BB1806" s="7"/>
      <c r="BC1806" s="7"/>
      <c r="BF1806" s="7"/>
      <c r="BG1806" s="36"/>
      <c r="BH1806" s="36"/>
      <c r="BI1806" s="36"/>
      <c r="BJ1806" s="36"/>
      <c r="BK1806" s="36"/>
      <c r="BL1806" s="36"/>
      <c r="BM1806" s="36"/>
      <c r="BN1806" s="36"/>
      <c r="BO1806" s="36"/>
    </row>
    <row r="1807" spans="1:67" x14ac:dyDescent="0.25">
      <c r="A1807" s="39"/>
      <c r="B1807" s="40"/>
      <c r="U1807" s="36"/>
      <c r="V1807" s="36"/>
      <c r="W1807" s="35"/>
      <c r="X1807" s="7"/>
      <c r="Y1807" s="7"/>
      <c r="Z1807" s="7"/>
      <c r="AA1807" s="7"/>
      <c r="AB1807" s="7"/>
      <c r="AC1807" s="7"/>
      <c r="AD1807" s="7"/>
      <c r="AE1807" s="7"/>
      <c r="AG1807" s="36"/>
      <c r="AH1807" s="36"/>
      <c r="AI1807" s="35"/>
      <c r="AJ1807" s="7"/>
      <c r="AK1807" s="7"/>
      <c r="AL1807" s="7"/>
      <c r="AM1807" s="7"/>
      <c r="AN1807" s="7"/>
      <c r="AO1807" s="7"/>
      <c r="AP1807" s="7"/>
      <c r="AQ1807" s="7"/>
      <c r="AS1807" s="36"/>
      <c r="AT1807" s="36"/>
      <c r="AU1807" s="35"/>
      <c r="AV1807" s="7"/>
      <c r="AW1807" s="7"/>
      <c r="AX1807" s="7"/>
      <c r="AY1807" s="7"/>
      <c r="AZ1807" s="7"/>
      <c r="BA1807" s="7"/>
      <c r="BB1807" s="7"/>
      <c r="BC1807" s="7"/>
      <c r="BF1807" s="7"/>
      <c r="BG1807" s="36"/>
      <c r="BH1807" s="36"/>
      <c r="BI1807" s="36"/>
      <c r="BJ1807" s="36"/>
      <c r="BK1807" s="36"/>
      <c r="BL1807" s="36"/>
      <c r="BM1807" s="36"/>
      <c r="BN1807" s="36"/>
      <c r="BO1807" s="36"/>
    </row>
    <row r="1808" spans="1:67" x14ac:dyDescent="0.25">
      <c r="A1808" s="39"/>
      <c r="B1808" s="40"/>
      <c r="U1808" s="36"/>
      <c r="V1808" s="36"/>
      <c r="W1808" s="35"/>
      <c r="X1808" s="7"/>
      <c r="Y1808" s="7"/>
      <c r="Z1808" s="7"/>
      <c r="AA1808" s="7"/>
      <c r="AB1808" s="7"/>
      <c r="AC1808" s="7"/>
      <c r="AD1808" s="7"/>
      <c r="AE1808" s="7"/>
      <c r="AG1808" s="36"/>
      <c r="AH1808" s="36"/>
      <c r="AI1808" s="35"/>
      <c r="AJ1808" s="7"/>
      <c r="AK1808" s="7"/>
      <c r="AL1808" s="7"/>
      <c r="AM1808" s="7"/>
      <c r="AN1808" s="7"/>
      <c r="AO1808" s="7"/>
      <c r="AP1808" s="7"/>
      <c r="AQ1808" s="7"/>
      <c r="AS1808" s="36"/>
      <c r="AT1808" s="36"/>
      <c r="AU1808" s="35"/>
      <c r="AV1808" s="7"/>
      <c r="AW1808" s="7"/>
      <c r="AX1808" s="7"/>
      <c r="AY1808" s="7"/>
      <c r="AZ1808" s="7"/>
      <c r="BA1808" s="7"/>
      <c r="BB1808" s="7"/>
      <c r="BC1808" s="7"/>
      <c r="BF1808" s="7"/>
      <c r="BG1808" s="36"/>
      <c r="BH1808" s="36"/>
      <c r="BI1808" s="36"/>
      <c r="BJ1808" s="36"/>
      <c r="BK1808" s="36"/>
      <c r="BL1808" s="36"/>
      <c r="BM1808" s="36"/>
      <c r="BN1808" s="36"/>
      <c r="BO1808" s="36"/>
    </row>
    <row r="1809" spans="1:67" x14ac:dyDescent="0.25">
      <c r="A1809" s="39"/>
      <c r="B1809" s="40"/>
      <c r="U1809" s="36"/>
      <c r="V1809" s="36"/>
      <c r="W1809" s="35"/>
      <c r="X1809" s="7"/>
      <c r="Y1809" s="7"/>
      <c r="Z1809" s="7"/>
      <c r="AA1809" s="7"/>
      <c r="AB1809" s="7"/>
      <c r="AC1809" s="7"/>
      <c r="AD1809" s="7"/>
      <c r="AE1809" s="7"/>
      <c r="AG1809" s="36"/>
      <c r="AH1809" s="36"/>
      <c r="AI1809" s="35"/>
      <c r="AJ1809" s="7"/>
      <c r="AK1809" s="7"/>
      <c r="AL1809" s="7"/>
      <c r="AM1809" s="7"/>
      <c r="AN1809" s="7"/>
      <c r="AO1809" s="7"/>
      <c r="AP1809" s="7"/>
      <c r="AQ1809" s="7"/>
      <c r="AS1809" s="36"/>
      <c r="AT1809" s="36"/>
      <c r="AU1809" s="35"/>
      <c r="AV1809" s="7"/>
      <c r="AW1809" s="7"/>
      <c r="AX1809" s="7"/>
      <c r="AY1809" s="7"/>
      <c r="AZ1809" s="7"/>
      <c r="BA1809" s="7"/>
      <c r="BB1809" s="7"/>
      <c r="BC1809" s="7"/>
      <c r="BF1809" s="7"/>
      <c r="BG1809" s="36"/>
      <c r="BH1809" s="36"/>
      <c r="BI1809" s="36"/>
      <c r="BJ1809" s="36"/>
      <c r="BK1809" s="36"/>
      <c r="BL1809" s="36"/>
      <c r="BM1809" s="36"/>
      <c r="BN1809" s="36"/>
      <c r="BO1809" s="36"/>
    </row>
    <row r="1810" spans="1:67" x14ac:dyDescent="0.25">
      <c r="A1810" s="39"/>
      <c r="B1810" s="40"/>
      <c r="U1810" s="36"/>
      <c r="V1810" s="36"/>
      <c r="W1810" s="35"/>
      <c r="X1810" s="7"/>
      <c r="Y1810" s="7"/>
      <c r="Z1810" s="7"/>
      <c r="AA1810" s="7"/>
      <c r="AB1810" s="7"/>
      <c r="AC1810" s="7"/>
      <c r="AD1810" s="7"/>
      <c r="AE1810" s="7"/>
      <c r="AG1810" s="36"/>
      <c r="AH1810" s="36"/>
      <c r="AI1810" s="35"/>
      <c r="AJ1810" s="7"/>
      <c r="AK1810" s="7"/>
      <c r="AL1810" s="7"/>
      <c r="AM1810" s="7"/>
      <c r="AN1810" s="7"/>
      <c r="AO1810" s="7"/>
      <c r="AP1810" s="7"/>
      <c r="AQ1810" s="7"/>
      <c r="AS1810" s="36"/>
      <c r="AT1810" s="36"/>
      <c r="AU1810" s="35"/>
      <c r="AV1810" s="7"/>
      <c r="AW1810" s="7"/>
      <c r="AX1810" s="7"/>
      <c r="AY1810" s="7"/>
      <c r="AZ1810" s="7"/>
      <c r="BA1810" s="7"/>
      <c r="BB1810" s="7"/>
      <c r="BC1810" s="7"/>
      <c r="BF1810" s="7"/>
      <c r="BG1810" s="36"/>
      <c r="BH1810" s="36"/>
      <c r="BI1810" s="36"/>
      <c r="BJ1810" s="36"/>
      <c r="BK1810" s="36"/>
      <c r="BL1810" s="36"/>
      <c r="BM1810" s="36"/>
      <c r="BN1810" s="36"/>
      <c r="BO1810" s="36"/>
    </row>
    <row r="1811" spans="1:67" x14ac:dyDescent="0.25">
      <c r="A1811" s="39"/>
      <c r="B1811" s="40"/>
      <c r="U1811" s="36"/>
      <c r="V1811" s="36"/>
      <c r="W1811" s="35"/>
      <c r="X1811" s="7"/>
      <c r="Y1811" s="7"/>
      <c r="Z1811" s="7"/>
      <c r="AA1811" s="7"/>
      <c r="AB1811" s="7"/>
      <c r="AC1811" s="7"/>
      <c r="AD1811" s="7"/>
      <c r="AE1811" s="7"/>
      <c r="AG1811" s="36"/>
      <c r="AH1811" s="36"/>
      <c r="AI1811" s="35"/>
      <c r="AJ1811" s="7"/>
      <c r="AK1811" s="7"/>
      <c r="AL1811" s="7"/>
      <c r="AM1811" s="7"/>
      <c r="AN1811" s="7"/>
      <c r="AO1811" s="7"/>
      <c r="AP1811" s="7"/>
      <c r="AQ1811" s="7"/>
      <c r="AS1811" s="36"/>
      <c r="AT1811" s="36"/>
      <c r="AU1811" s="35"/>
      <c r="AV1811" s="7"/>
      <c r="AW1811" s="7"/>
      <c r="AX1811" s="7"/>
      <c r="AY1811" s="7"/>
      <c r="AZ1811" s="7"/>
      <c r="BA1811" s="7"/>
      <c r="BB1811" s="7"/>
      <c r="BC1811" s="7"/>
      <c r="BF1811" s="7"/>
      <c r="BG1811" s="36"/>
      <c r="BH1811" s="36"/>
      <c r="BI1811" s="36"/>
      <c r="BJ1811" s="36"/>
      <c r="BK1811" s="36"/>
      <c r="BL1811" s="36"/>
      <c r="BM1811" s="36"/>
      <c r="BN1811" s="36"/>
      <c r="BO1811" s="36"/>
    </row>
    <row r="1812" spans="1:67" x14ac:dyDescent="0.25">
      <c r="A1812" s="39"/>
      <c r="B1812" s="40"/>
      <c r="U1812" s="36"/>
      <c r="V1812" s="36"/>
      <c r="W1812" s="35"/>
      <c r="X1812" s="7"/>
      <c r="Y1812" s="7"/>
      <c r="Z1812" s="7"/>
      <c r="AA1812" s="7"/>
      <c r="AB1812" s="7"/>
      <c r="AC1812" s="7"/>
      <c r="AD1812" s="7"/>
      <c r="AE1812" s="7"/>
      <c r="AG1812" s="36"/>
      <c r="AH1812" s="36"/>
      <c r="AI1812" s="35"/>
      <c r="AJ1812" s="7"/>
      <c r="AK1812" s="7"/>
      <c r="AL1812" s="7"/>
      <c r="AM1812" s="7"/>
      <c r="AN1812" s="7"/>
      <c r="AO1812" s="7"/>
      <c r="AP1812" s="7"/>
      <c r="AQ1812" s="7"/>
      <c r="AS1812" s="36"/>
      <c r="AT1812" s="36"/>
      <c r="AU1812" s="35"/>
      <c r="AV1812" s="7"/>
      <c r="AW1812" s="7"/>
      <c r="AX1812" s="7"/>
      <c r="AY1812" s="7"/>
      <c r="AZ1812" s="7"/>
      <c r="BA1812" s="7"/>
      <c r="BB1812" s="7"/>
      <c r="BC1812" s="7"/>
      <c r="BF1812" s="7"/>
      <c r="BG1812" s="36"/>
      <c r="BH1812" s="36"/>
      <c r="BI1812" s="36"/>
      <c r="BJ1812" s="36"/>
      <c r="BK1812" s="36"/>
      <c r="BL1812" s="36"/>
      <c r="BM1812" s="36"/>
      <c r="BN1812" s="36"/>
      <c r="BO1812" s="36"/>
    </row>
    <row r="1813" spans="1:67" x14ac:dyDescent="0.25">
      <c r="A1813" s="39"/>
      <c r="B1813" s="40"/>
      <c r="U1813" s="36"/>
      <c r="V1813" s="36"/>
      <c r="W1813" s="35"/>
      <c r="X1813" s="7"/>
      <c r="Y1813" s="7"/>
      <c r="Z1813" s="7"/>
      <c r="AA1813" s="7"/>
      <c r="AB1813" s="7"/>
      <c r="AC1813" s="7"/>
      <c r="AD1813" s="7"/>
      <c r="AE1813" s="7"/>
      <c r="AG1813" s="36"/>
      <c r="AH1813" s="36"/>
      <c r="AI1813" s="35"/>
      <c r="AJ1813" s="7"/>
      <c r="AK1813" s="7"/>
      <c r="AL1813" s="7"/>
      <c r="AM1813" s="7"/>
      <c r="AN1813" s="7"/>
      <c r="AO1813" s="7"/>
      <c r="AP1813" s="7"/>
      <c r="AQ1813" s="7"/>
      <c r="AS1813" s="36"/>
      <c r="AT1813" s="36"/>
      <c r="AU1813" s="35"/>
      <c r="AV1813" s="7"/>
      <c r="AW1813" s="7"/>
      <c r="AX1813" s="7"/>
      <c r="AY1813" s="7"/>
      <c r="AZ1813" s="7"/>
      <c r="BA1813" s="7"/>
      <c r="BB1813" s="7"/>
      <c r="BC1813" s="7"/>
      <c r="BF1813" s="7"/>
      <c r="BG1813" s="36"/>
      <c r="BH1813" s="36"/>
      <c r="BI1813" s="36"/>
      <c r="BJ1813" s="36"/>
      <c r="BK1813" s="36"/>
      <c r="BL1813" s="36"/>
      <c r="BM1813" s="36"/>
      <c r="BN1813" s="36"/>
      <c r="BO1813" s="36"/>
    </row>
    <row r="1814" spans="1:67" x14ac:dyDescent="0.25">
      <c r="A1814" s="39"/>
      <c r="B1814" s="40"/>
      <c r="U1814" s="36"/>
      <c r="V1814" s="36"/>
      <c r="W1814" s="35"/>
      <c r="X1814" s="7"/>
      <c r="Y1814" s="7"/>
      <c r="Z1814" s="7"/>
      <c r="AA1814" s="7"/>
      <c r="AB1814" s="7"/>
      <c r="AC1814" s="7"/>
      <c r="AD1814" s="7"/>
      <c r="AE1814" s="7"/>
      <c r="AG1814" s="36"/>
      <c r="AH1814" s="36"/>
      <c r="AI1814" s="35"/>
      <c r="AJ1814" s="7"/>
      <c r="AK1814" s="7"/>
      <c r="AL1814" s="7"/>
      <c r="AM1814" s="7"/>
      <c r="AN1814" s="7"/>
      <c r="AO1814" s="7"/>
      <c r="AP1814" s="7"/>
      <c r="AQ1814" s="7"/>
      <c r="AS1814" s="36"/>
      <c r="AT1814" s="36"/>
      <c r="AU1814" s="35"/>
      <c r="AV1814" s="7"/>
      <c r="AW1814" s="7"/>
      <c r="AX1814" s="7"/>
      <c r="AY1814" s="7"/>
      <c r="AZ1814" s="7"/>
      <c r="BA1814" s="7"/>
      <c r="BB1814" s="7"/>
      <c r="BC1814" s="7"/>
      <c r="BF1814" s="7"/>
      <c r="BG1814" s="36"/>
      <c r="BH1814" s="36"/>
      <c r="BI1814" s="36"/>
      <c r="BJ1814" s="36"/>
      <c r="BK1814" s="36"/>
      <c r="BL1814" s="36"/>
      <c r="BM1814" s="36"/>
      <c r="BN1814" s="36"/>
      <c r="BO1814" s="36"/>
    </row>
    <row r="1815" spans="1:67" x14ac:dyDescent="0.25">
      <c r="A1815" s="39"/>
      <c r="B1815" s="40"/>
      <c r="U1815" s="36"/>
      <c r="V1815" s="36"/>
      <c r="W1815" s="35"/>
      <c r="X1815" s="7"/>
      <c r="Y1815" s="7"/>
      <c r="Z1815" s="7"/>
      <c r="AA1815" s="7"/>
      <c r="AB1815" s="7"/>
      <c r="AC1815" s="7"/>
      <c r="AD1815" s="7"/>
      <c r="AE1815" s="7"/>
      <c r="AG1815" s="36"/>
      <c r="AH1815" s="36"/>
      <c r="AI1815" s="35"/>
      <c r="AJ1815" s="7"/>
      <c r="AK1815" s="7"/>
      <c r="AL1815" s="7"/>
      <c r="AM1815" s="7"/>
      <c r="AN1815" s="7"/>
      <c r="AO1815" s="7"/>
      <c r="AP1815" s="7"/>
      <c r="AQ1815" s="7"/>
      <c r="AS1815" s="36"/>
      <c r="AT1815" s="36"/>
      <c r="AU1815" s="35"/>
      <c r="AV1815" s="7"/>
      <c r="AW1815" s="7"/>
      <c r="AX1815" s="7"/>
      <c r="AY1815" s="7"/>
      <c r="AZ1815" s="7"/>
      <c r="BA1815" s="7"/>
      <c r="BB1815" s="7"/>
      <c r="BC1815" s="7"/>
      <c r="BF1815" s="7"/>
      <c r="BG1815" s="36"/>
      <c r="BH1815" s="36"/>
      <c r="BI1815" s="36"/>
      <c r="BJ1815" s="36"/>
      <c r="BK1815" s="36"/>
      <c r="BL1815" s="36"/>
      <c r="BM1815" s="36"/>
      <c r="BN1815" s="36"/>
      <c r="BO1815" s="36"/>
    </row>
    <row r="1816" spans="1:67" x14ac:dyDescent="0.25">
      <c r="A1816" s="39"/>
      <c r="B1816" s="40"/>
      <c r="U1816" s="36"/>
      <c r="V1816" s="36"/>
      <c r="W1816" s="35"/>
      <c r="X1816" s="7"/>
      <c r="Y1816" s="7"/>
      <c r="Z1816" s="7"/>
      <c r="AA1816" s="7"/>
      <c r="AB1816" s="7"/>
      <c r="AC1816" s="7"/>
      <c r="AD1816" s="7"/>
      <c r="AE1816" s="7"/>
      <c r="AG1816" s="36"/>
      <c r="AH1816" s="36"/>
      <c r="AI1816" s="35"/>
      <c r="AJ1816" s="7"/>
      <c r="AK1816" s="7"/>
      <c r="AL1816" s="7"/>
      <c r="AM1816" s="7"/>
      <c r="AN1816" s="7"/>
      <c r="AO1816" s="7"/>
      <c r="AP1816" s="7"/>
      <c r="AQ1816" s="7"/>
      <c r="AS1816" s="36"/>
      <c r="AT1816" s="36"/>
      <c r="AU1816" s="35"/>
      <c r="AV1816" s="7"/>
      <c r="AW1816" s="7"/>
      <c r="AX1816" s="7"/>
      <c r="AY1816" s="7"/>
      <c r="AZ1816" s="7"/>
      <c r="BA1816" s="7"/>
      <c r="BB1816" s="7"/>
      <c r="BC1816" s="7"/>
      <c r="BF1816" s="7"/>
      <c r="BG1816" s="36"/>
      <c r="BH1816" s="36"/>
      <c r="BI1816" s="36"/>
      <c r="BJ1816" s="36"/>
      <c r="BK1816" s="36"/>
      <c r="BL1816" s="36"/>
      <c r="BM1816" s="36"/>
      <c r="BN1816" s="36"/>
      <c r="BO1816" s="36"/>
    </row>
    <row r="1817" spans="1:67" x14ac:dyDescent="0.25">
      <c r="A1817" s="39"/>
      <c r="B1817" s="40"/>
      <c r="U1817" s="36"/>
      <c r="V1817" s="36"/>
      <c r="W1817" s="35"/>
      <c r="X1817" s="7"/>
      <c r="Y1817" s="7"/>
      <c r="Z1817" s="7"/>
      <c r="AA1817" s="7"/>
      <c r="AB1817" s="7"/>
      <c r="AC1817" s="7"/>
      <c r="AD1817" s="7"/>
      <c r="AE1817" s="7"/>
      <c r="AG1817" s="36"/>
      <c r="AH1817" s="36"/>
      <c r="AI1817" s="35"/>
      <c r="AJ1817" s="7"/>
      <c r="AK1817" s="7"/>
      <c r="AL1817" s="7"/>
      <c r="AM1817" s="7"/>
      <c r="AN1817" s="7"/>
      <c r="AO1817" s="7"/>
      <c r="AP1817" s="7"/>
      <c r="AQ1817" s="7"/>
      <c r="AS1817" s="36"/>
      <c r="AT1817" s="36"/>
      <c r="AU1817" s="35"/>
      <c r="AV1817" s="7"/>
      <c r="AW1817" s="7"/>
      <c r="AX1817" s="7"/>
      <c r="AY1817" s="7"/>
      <c r="AZ1817" s="7"/>
      <c r="BA1817" s="7"/>
      <c r="BB1817" s="7"/>
      <c r="BC1817" s="7"/>
      <c r="BF1817" s="7"/>
      <c r="BG1817" s="36"/>
      <c r="BH1817" s="36"/>
      <c r="BI1817" s="36"/>
      <c r="BJ1817" s="36"/>
      <c r="BK1817" s="36"/>
      <c r="BL1817" s="36"/>
      <c r="BM1817" s="36"/>
      <c r="BN1817" s="36"/>
      <c r="BO1817" s="36"/>
    </row>
    <row r="1818" spans="1:67" x14ac:dyDescent="0.25">
      <c r="A1818" s="39"/>
      <c r="B1818" s="40"/>
      <c r="U1818" s="36"/>
      <c r="V1818" s="36"/>
      <c r="W1818" s="35"/>
      <c r="X1818" s="7"/>
      <c r="Y1818" s="7"/>
      <c r="Z1818" s="7"/>
      <c r="AA1818" s="7"/>
      <c r="AB1818" s="7"/>
      <c r="AC1818" s="7"/>
      <c r="AD1818" s="7"/>
      <c r="AE1818" s="7"/>
      <c r="AG1818" s="36"/>
      <c r="AH1818" s="36"/>
      <c r="AI1818" s="35"/>
      <c r="AJ1818" s="7"/>
      <c r="AK1818" s="7"/>
      <c r="AL1818" s="7"/>
      <c r="AM1818" s="7"/>
      <c r="AN1818" s="7"/>
      <c r="AO1818" s="7"/>
      <c r="AP1818" s="7"/>
      <c r="AQ1818" s="7"/>
      <c r="AS1818" s="36"/>
      <c r="AT1818" s="36"/>
      <c r="AU1818" s="35"/>
      <c r="AV1818" s="7"/>
      <c r="AW1818" s="7"/>
      <c r="AX1818" s="7"/>
      <c r="AY1818" s="7"/>
      <c r="AZ1818" s="7"/>
      <c r="BA1818" s="7"/>
      <c r="BB1818" s="7"/>
      <c r="BC1818" s="7"/>
      <c r="BF1818" s="7"/>
      <c r="BG1818" s="36"/>
      <c r="BH1818" s="36"/>
      <c r="BI1818" s="36"/>
      <c r="BJ1818" s="36"/>
      <c r="BK1818" s="36"/>
      <c r="BL1818" s="36"/>
      <c r="BM1818" s="36"/>
      <c r="BN1818" s="36"/>
      <c r="BO1818" s="36"/>
    </row>
    <row r="1819" spans="1:67" x14ac:dyDescent="0.25">
      <c r="A1819" s="39"/>
      <c r="B1819" s="40"/>
      <c r="U1819" s="36"/>
      <c r="V1819" s="36"/>
      <c r="W1819" s="35"/>
      <c r="X1819" s="7"/>
      <c r="Y1819" s="7"/>
      <c r="Z1819" s="7"/>
      <c r="AA1819" s="7"/>
      <c r="AB1819" s="7"/>
      <c r="AC1819" s="7"/>
      <c r="AD1819" s="7"/>
      <c r="AE1819" s="7"/>
      <c r="AG1819" s="36"/>
      <c r="AH1819" s="36"/>
      <c r="AI1819" s="35"/>
      <c r="AJ1819" s="7"/>
      <c r="AK1819" s="7"/>
      <c r="AL1819" s="7"/>
      <c r="AM1819" s="7"/>
      <c r="AN1819" s="7"/>
      <c r="AO1819" s="7"/>
      <c r="AP1819" s="7"/>
      <c r="AQ1819" s="7"/>
      <c r="AS1819" s="36"/>
      <c r="AT1819" s="36"/>
      <c r="AU1819" s="35"/>
      <c r="AV1819" s="7"/>
      <c r="AW1819" s="7"/>
      <c r="AX1819" s="7"/>
      <c r="AY1819" s="7"/>
      <c r="AZ1819" s="7"/>
      <c r="BA1819" s="7"/>
      <c r="BB1819" s="7"/>
      <c r="BC1819" s="7"/>
      <c r="BF1819" s="7"/>
      <c r="BG1819" s="36"/>
      <c r="BH1819" s="36"/>
      <c r="BI1819" s="36"/>
      <c r="BJ1819" s="36"/>
      <c r="BK1819" s="36"/>
      <c r="BL1819" s="36"/>
      <c r="BM1819" s="36"/>
      <c r="BN1819" s="36"/>
      <c r="BO1819" s="36"/>
    </row>
    <row r="1820" spans="1:67" x14ac:dyDescent="0.25">
      <c r="A1820" s="39"/>
      <c r="B1820" s="40"/>
      <c r="U1820" s="36"/>
      <c r="V1820" s="36"/>
      <c r="W1820" s="35"/>
      <c r="X1820" s="7"/>
      <c r="Y1820" s="7"/>
      <c r="Z1820" s="7"/>
      <c r="AA1820" s="7"/>
      <c r="AB1820" s="7"/>
      <c r="AC1820" s="7"/>
      <c r="AD1820" s="7"/>
      <c r="AE1820" s="7"/>
      <c r="AG1820" s="36"/>
      <c r="AH1820" s="36"/>
      <c r="AI1820" s="35"/>
      <c r="AJ1820" s="7"/>
      <c r="AK1820" s="7"/>
      <c r="AL1820" s="7"/>
      <c r="AM1820" s="7"/>
      <c r="AN1820" s="7"/>
      <c r="AO1820" s="7"/>
      <c r="AP1820" s="7"/>
      <c r="AQ1820" s="7"/>
      <c r="AS1820" s="36"/>
      <c r="AT1820" s="36"/>
      <c r="AU1820" s="35"/>
      <c r="AV1820" s="7"/>
      <c r="AW1820" s="7"/>
      <c r="AX1820" s="7"/>
      <c r="AY1820" s="7"/>
      <c r="AZ1820" s="7"/>
      <c r="BA1820" s="7"/>
      <c r="BB1820" s="7"/>
      <c r="BC1820" s="7"/>
      <c r="BF1820" s="7"/>
      <c r="BG1820" s="36"/>
      <c r="BH1820" s="36"/>
      <c r="BI1820" s="36"/>
      <c r="BJ1820" s="36"/>
      <c r="BK1820" s="36"/>
      <c r="BL1820" s="36"/>
      <c r="BM1820" s="36"/>
      <c r="BN1820" s="36"/>
      <c r="BO1820" s="36"/>
    </row>
    <row r="1821" spans="1:67" x14ac:dyDescent="0.25">
      <c r="A1821" s="39"/>
      <c r="B1821" s="40"/>
      <c r="U1821" s="36"/>
      <c r="V1821" s="36"/>
      <c r="W1821" s="35"/>
      <c r="X1821" s="7"/>
      <c r="Y1821" s="7"/>
      <c r="Z1821" s="7"/>
      <c r="AA1821" s="7"/>
      <c r="AB1821" s="7"/>
      <c r="AC1821" s="7"/>
      <c r="AD1821" s="7"/>
      <c r="AE1821" s="7"/>
      <c r="AG1821" s="36"/>
      <c r="AH1821" s="36"/>
      <c r="AI1821" s="35"/>
      <c r="AJ1821" s="7"/>
      <c r="AK1821" s="7"/>
      <c r="AL1821" s="7"/>
      <c r="AM1821" s="7"/>
      <c r="AN1821" s="7"/>
      <c r="AO1821" s="7"/>
      <c r="AP1821" s="7"/>
      <c r="AQ1821" s="7"/>
      <c r="AS1821" s="36"/>
      <c r="AT1821" s="36"/>
      <c r="AU1821" s="35"/>
      <c r="AV1821" s="7"/>
      <c r="AW1821" s="7"/>
      <c r="AX1821" s="7"/>
      <c r="AY1821" s="7"/>
      <c r="AZ1821" s="7"/>
      <c r="BA1821" s="7"/>
      <c r="BB1821" s="7"/>
      <c r="BC1821" s="7"/>
      <c r="BF1821" s="7"/>
      <c r="BG1821" s="36"/>
      <c r="BH1821" s="36"/>
      <c r="BI1821" s="36"/>
      <c r="BJ1821" s="36"/>
      <c r="BK1821" s="36"/>
      <c r="BL1821" s="36"/>
      <c r="BM1821" s="36"/>
      <c r="BN1821" s="36"/>
      <c r="BO1821" s="36"/>
    </row>
    <row r="1822" spans="1:67" x14ac:dyDescent="0.25">
      <c r="A1822" s="39"/>
      <c r="B1822" s="40"/>
      <c r="U1822" s="36"/>
      <c r="V1822" s="36"/>
      <c r="W1822" s="35"/>
      <c r="X1822" s="7"/>
      <c r="Y1822" s="7"/>
      <c r="Z1822" s="7"/>
      <c r="AA1822" s="7"/>
      <c r="AB1822" s="7"/>
      <c r="AC1822" s="7"/>
      <c r="AD1822" s="7"/>
      <c r="AE1822" s="7"/>
      <c r="AG1822" s="36"/>
      <c r="AH1822" s="36"/>
      <c r="AI1822" s="35"/>
      <c r="AJ1822" s="7"/>
      <c r="AK1822" s="7"/>
      <c r="AL1822" s="7"/>
      <c r="AM1822" s="7"/>
      <c r="AN1822" s="7"/>
      <c r="AO1822" s="7"/>
      <c r="AP1822" s="7"/>
      <c r="AQ1822" s="7"/>
      <c r="AS1822" s="36"/>
      <c r="AT1822" s="36"/>
      <c r="AU1822" s="35"/>
      <c r="AV1822" s="7"/>
      <c r="AW1822" s="7"/>
      <c r="AX1822" s="7"/>
      <c r="AY1822" s="7"/>
      <c r="AZ1822" s="7"/>
      <c r="BA1822" s="7"/>
      <c r="BB1822" s="7"/>
      <c r="BC1822" s="7"/>
      <c r="BF1822" s="7"/>
      <c r="BG1822" s="36"/>
      <c r="BH1822" s="36"/>
      <c r="BI1822" s="36"/>
      <c r="BJ1822" s="36"/>
      <c r="BK1822" s="36"/>
      <c r="BL1822" s="36"/>
      <c r="BM1822" s="36"/>
      <c r="BN1822" s="36"/>
      <c r="BO1822" s="36"/>
    </row>
    <row r="1823" spans="1:67" x14ac:dyDescent="0.25">
      <c r="A1823" s="39"/>
      <c r="B1823" s="40"/>
      <c r="U1823" s="36"/>
      <c r="V1823" s="36"/>
      <c r="W1823" s="35"/>
      <c r="X1823" s="7"/>
      <c r="Y1823" s="7"/>
      <c r="Z1823" s="7"/>
      <c r="AA1823" s="7"/>
      <c r="AB1823" s="7"/>
      <c r="AC1823" s="7"/>
      <c r="AD1823" s="7"/>
      <c r="AE1823" s="7"/>
      <c r="AG1823" s="36"/>
      <c r="AH1823" s="36"/>
      <c r="AI1823" s="35"/>
      <c r="AJ1823" s="7"/>
      <c r="AK1823" s="7"/>
      <c r="AL1823" s="7"/>
      <c r="AM1823" s="7"/>
      <c r="AN1823" s="7"/>
      <c r="AO1823" s="7"/>
      <c r="AP1823" s="7"/>
      <c r="AQ1823" s="7"/>
      <c r="AS1823" s="36"/>
      <c r="AT1823" s="36"/>
      <c r="AU1823" s="35"/>
      <c r="AV1823" s="7"/>
      <c r="AW1823" s="7"/>
      <c r="AX1823" s="7"/>
      <c r="AY1823" s="7"/>
      <c r="AZ1823" s="7"/>
      <c r="BA1823" s="7"/>
      <c r="BB1823" s="7"/>
      <c r="BC1823" s="7"/>
      <c r="BF1823" s="7"/>
      <c r="BG1823" s="36"/>
      <c r="BH1823" s="36"/>
      <c r="BI1823" s="36"/>
      <c r="BJ1823" s="36"/>
      <c r="BK1823" s="36"/>
      <c r="BL1823" s="36"/>
      <c r="BM1823" s="36"/>
      <c r="BN1823" s="36"/>
      <c r="BO1823" s="36"/>
    </row>
    <row r="1824" spans="1:67" x14ac:dyDescent="0.25">
      <c r="A1824" s="39"/>
      <c r="B1824" s="40"/>
      <c r="U1824" s="36"/>
      <c r="V1824" s="36"/>
      <c r="W1824" s="35"/>
      <c r="X1824" s="7"/>
      <c r="Y1824" s="7"/>
      <c r="Z1824" s="7"/>
      <c r="AA1824" s="7"/>
      <c r="AB1824" s="7"/>
      <c r="AC1824" s="7"/>
      <c r="AD1824" s="7"/>
      <c r="AE1824" s="7"/>
      <c r="AG1824" s="36"/>
      <c r="AH1824" s="36"/>
      <c r="AI1824" s="35"/>
      <c r="AJ1824" s="7"/>
      <c r="AK1824" s="7"/>
      <c r="AL1824" s="7"/>
      <c r="AM1824" s="7"/>
      <c r="AN1824" s="7"/>
      <c r="AO1824" s="7"/>
      <c r="AP1824" s="7"/>
      <c r="AQ1824" s="7"/>
      <c r="AS1824" s="36"/>
      <c r="AT1824" s="36"/>
      <c r="AU1824" s="35"/>
      <c r="AV1824" s="7"/>
      <c r="AW1824" s="7"/>
      <c r="AX1824" s="7"/>
      <c r="AY1824" s="7"/>
      <c r="AZ1824" s="7"/>
      <c r="BA1824" s="7"/>
      <c r="BB1824" s="7"/>
      <c r="BC1824" s="7"/>
      <c r="BF1824" s="7"/>
      <c r="BG1824" s="36"/>
      <c r="BH1824" s="36"/>
      <c r="BI1824" s="36"/>
      <c r="BJ1824" s="36"/>
      <c r="BK1824" s="36"/>
      <c r="BL1824" s="36"/>
      <c r="BM1824" s="36"/>
      <c r="BN1824" s="36"/>
      <c r="BO1824" s="36"/>
    </row>
    <row r="1825" spans="1:67" x14ac:dyDescent="0.25">
      <c r="A1825" s="39"/>
      <c r="B1825" s="40"/>
      <c r="U1825" s="36"/>
      <c r="V1825" s="36"/>
      <c r="W1825" s="35"/>
      <c r="X1825" s="7"/>
      <c r="Y1825" s="7"/>
      <c r="Z1825" s="7"/>
      <c r="AA1825" s="7"/>
      <c r="AB1825" s="7"/>
      <c r="AC1825" s="7"/>
      <c r="AD1825" s="7"/>
      <c r="AE1825" s="7"/>
      <c r="AG1825" s="36"/>
      <c r="AH1825" s="36"/>
      <c r="AI1825" s="35"/>
      <c r="AJ1825" s="7"/>
      <c r="AK1825" s="7"/>
      <c r="AL1825" s="7"/>
      <c r="AM1825" s="7"/>
      <c r="AN1825" s="7"/>
      <c r="AO1825" s="7"/>
      <c r="AP1825" s="7"/>
      <c r="AQ1825" s="7"/>
      <c r="AS1825" s="36"/>
      <c r="AT1825" s="36"/>
      <c r="AU1825" s="35"/>
      <c r="AV1825" s="7"/>
      <c r="AW1825" s="7"/>
      <c r="AX1825" s="7"/>
      <c r="AY1825" s="7"/>
      <c r="AZ1825" s="7"/>
      <c r="BA1825" s="7"/>
      <c r="BB1825" s="7"/>
      <c r="BC1825" s="7"/>
      <c r="BF1825" s="7"/>
      <c r="BG1825" s="36"/>
      <c r="BH1825" s="36"/>
      <c r="BI1825" s="36"/>
      <c r="BJ1825" s="36"/>
      <c r="BK1825" s="36"/>
      <c r="BL1825" s="36"/>
      <c r="BM1825" s="36"/>
      <c r="BN1825" s="36"/>
      <c r="BO1825" s="36"/>
    </row>
    <row r="1826" spans="1:67" x14ac:dyDescent="0.25">
      <c r="A1826" s="39"/>
      <c r="B1826" s="40"/>
      <c r="U1826" s="36"/>
      <c r="V1826" s="36"/>
      <c r="W1826" s="35"/>
      <c r="X1826" s="7"/>
      <c r="Y1826" s="7"/>
      <c r="Z1826" s="7"/>
      <c r="AA1826" s="7"/>
      <c r="AB1826" s="7"/>
      <c r="AC1826" s="7"/>
      <c r="AD1826" s="7"/>
      <c r="AE1826" s="7"/>
      <c r="AG1826" s="36"/>
      <c r="AH1826" s="36"/>
      <c r="AI1826" s="35"/>
      <c r="AJ1826" s="7"/>
      <c r="AK1826" s="7"/>
      <c r="AL1826" s="7"/>
      <c r="AM1826" s="7"/>
      <c r="AN1826" s="7"/>
      <c r="AO1826" s="7"/>
      <c r="AP1826" s="7"/>
      <c r="AQ1826" s="7"/>
      <c r="AS1826" s="36"/>
      <c r="AT1826" s="36"/>
      <c r="AU1826" s="35"/>
      <c r="AV1826" s="7"/>
      <c r="AW1826" s="7"/>
      <c r="AX1826" s="7"/>
      <c r="AY1826" s="7"/>
      <c r="AZ1826" s="7"/>
      <c r="BA1826" s="7"/>
      <c r="BB1826" s="7"/>
      <c r="BC1826" s="7"/>
      <c r="BF1826" s="7"/>
      <c r="BG1826" s="36"/>
      <c r="BH1826" s="36"/>
      <c r="BI1826" s="36"/>
      <c r="BJ1826" s="36"/>
      <c r="BK1826" s="36"/>
      <c r="BL1826" s="36"/>
      <c r="BM1826" s="36"/>
      <c r="BN1826" s="36"/>
      <c r="BO1826" s="36"/>
    </row>
    <row r="1827" spans="1:67" x14ac:dyDescent="0.25">
      <c r="A1827" s="39"/>
      <c r="B1827" s="40"/>
      <c r="U1827" s="36"/>
      <c r="V1827" s="36"/>
      <c r="W1827" s="35"/>
      <c r="X1827" s="7"/>
      <c r="Y1827" s="7"/>
      <c r="Z1827" s="7"/>
      <c r="AA1827" s="7"/>
      <c r="AB1827" s="7"/>
      <c r="AC1827" s="7"/>
      <c r="AD1827" s="7"/>
      <c r="AE1827" s="7"/>
      <c r="AG1827" s="36"/>
      <c r="AH1827" s="36"/>
      <c r="AI1827" s="35"/>
      <c r="AJ1827" s="7"/>
      <c r="AK1827" s="7"/>
      <c r="AL1827" s="7"/>
      <c r="AM1827" s="7"/>
      <c r="AN1827" s="7"/>
      <c r="AO1827" s="7"/>
      <c r="AP1827" s="7"/>
      <c r="AQ1827" s="7"/>
      <c r="AS1827" s="36"/>
      <c r="AT1827" s="36"/>
      <c r="AU1827" s="35"/>
      <c r="AV1827" s="7"/>
      <c r="AW1827" s="7"/>
      <c r="AX1827" s="7"/>
      <c r="AY1827" s="7"/>
      <c r="AZ1827" s="7"/>
      <c r="BA1827" s="7"/>
      <c r="BB1827" s="7"/>
      <c r="BC1827" s="7"/>
      <c r="BF1827" s="7"/>
      <c r="BG1827" s="36"/>
      <c r="BH1827" s="36"/>
      <c r="BI1827" s="36"/>
      <c r="BJ1827" s="36"/>
      <c r="BK1827" s="36"/>
      <c r="BL1827" s="36"/>
      <c r="BM1827" s="36"/>
      <c r="BN1827" s="36"/>
      <c r="BO1827" s="36"/>
    </row>
    <row r="1828" spans="1:67" x14ac:dyDescent="0.25">
      <c r="A1828" s="39"/>
      <c r="B1828" s="40"/>
      <c r="U1828" s="36"/>
      <c r="V1828" s="36"/>
      <c r="W1828" s="35"/>
      <c r="X1828" s="7"/>
      <c r="Y1828" s="7"/>
      <c r="Z1828" s="7"/>
      <c r="AA1828" s="7"/>
      <c r="AB1828" s="7"/>
      <c r="AC1828" s="7"/>
      <c r="AD1828" s="7"/>
      <c r="AE1828" s="7"/>
      <c r="AG1828" s="36"/>
      <c r="AH1828" s="36"/>
      <c r="AI1828" s="35"/>
      <c r="AJ1828" s="7"/>
      <c r="AK1828" s="7"/>
      <c r="AL1828" s="7"/>
      <c r="AM1828" s="7"/>
      <c r="AN1828" s="7"/>
      <c r="AO1828" s="7"/>
      <c r="AP1828" s="7"/>
      <c r="AQ1828" s="7"/>
      <c r="AS1828" s="36"/>
      <c r="AT1828" s="36"/>
      <c r="AU1828" s="35"/>
      <c r="AV1828" s="7"/>
      <c r="AW1828" s="7"/>
      <c r="AX1828" s="7"/>
      <c r="AY1828" s="7"/>
      <c r="AZ1828" s="7"/>
      <c r="BA1828" s="7"/>
      <c r="BB1828" s="7"/>
      <c r="BC1828" s="7"/>
      <c r="BF1828" s="7"/>
      <c r="BG1828" s="36"/>
      <c r="BH1828" s="36"/>
      <c r="BI1828" s="36"/>
      <c r="BJ1828" s="36"/>
      <c r="BK1828" s="36"/>
      <c r="BL1828" s="36"/>
      <c r="BM1828" s="36"/>
      <c r="BN1828" s="36"/>
      <c r="BO1828" s="36"/>
    </row>
    <row r="1829" spans="1:67" x14ac:dyDescent="0.25">
      <c r="A1829" s="39"/>
      <c r="B1829" s="40"/>
      <c r="U1829" s="36"/>
      <c r="V1829" s="36"/>
      <c r="W1829" s="35"/>
      <c r="X1829" s="7"/>
      <c r="Y1829" s="7"/>
      <c r="Z1829" s="7"/>
      <c r="AA1829" s="7"/>
      <c r="AB1829" s="7"/>
      <c r="AC1829" s="7"/>
      <c r="AD1829" s="7"/>
      <c r="AE1829" s="7"/>
      <c r="AG1829" s="36"/>
      <c r="AH1829" s="36"/>
      <c r="AI1829" s="35"/>
      <c r="AJ1829" s="7"/>
      <c r="AK1829" s="7"/>
      <c r="AL1829" s="7"/>
      <c r="AM1829" s="7"/>
      <c r="AN1829" s="7"/>
      <c r="AO1829" s="7"/>
      <c r="AP1829" s="7"/>
      <c r="AQ1829" s="7"/>
      <c r="AS1829" s="36"/>
      <c r="AT1829" s="36"/>
      <c r="AU1829" s="35"/>
      <c r="AV1829" s="7"/>
      <c r="AW1829" s="7"/>
      <c r="AX1829" s="7"/>
      <c r="AY1829" s="7"/>
      <c r="AZ1829" s="7"/>
      <c r="BA1829" s="7"/>
      <c r="BB1829" s="7"/>
      <c r="BC1829" s="7"/>
      <c r="BF1829" s="7"/>
      <c r="BG1829" s="36"/>
      <c r="BH1829" s="36"/>
      <c r="BI1829" s="36"/>
      <c r="BJ1829" s="36"/>
      <c r="BK1829" s="36"/>
      <c r="BL1829" s="36"/>
      <c r="BM1829" s="36"/>
      <c r="BN1829" s="36"/>
      <c r="BO1829" s="36"/>
    </row>
    <row r="1830" spans="1:67" x14ac:dyDescent="0.25">
      <c r="A1830" s="39"/>
      <c r="B1830" s="40"/>
      <c r="U1830" s="36"/>
      <c r="V1830" s="36"/>
      <c r="W1830" s="35"/>
      <c r="X1830" s="7"/>
      <c r="Y1830" s="7"/>
      <c r="Z1830" s="7"/>
      <c r="AA1830" s="7"/>
      <c r="AB1830" s="7"/>
      <c r="AC1830" s="7"/>
      <c r="AD1830" s="7"/>
      <c r="AE1830" s="7"/>
      <c r="AG1830" s="36"/>
      <c r="AH1830" s="36"/>
      <c r="AI1830" s="35"/>
      <c r="AJ1830" s="7"/>
      <c r="AK1830" s="7"/>
      <c r="AL1830" s="7"/>
      <c r="AM1830" s="7"/>
      <c r="AN1830" s="7"/>
      <c r="AO1830" s="7"/>
      <c r="AP1830" s="7"/>
      <c r="AQ1830" s="7"/>
      <c r="AS1830" s="36"/>
      <c r="AT1830" s="36"/>
      <c r="AU1830" s="35"/>
      <c r="AV1830" s="7"/>
      <c r="AW1830" s="7"/>
      <c r="AX1830" s="7"/>
      <c r="AY1830" s="7"/>
      <c r="AZ1830" s="7"/>
      <c r="BA1830" s="7"/>
      <c r="BB1830" s="7"/>
      <c r="BC1830" s="7"/>
      <c r="BF1830" s="7"/>
      <c r="BG1830" s="36"/>
      <c r="BH1830" s="36"/>
      <c r="BI1830" s="36"/>
      <c r="BJ1830" s="36"/>
      <c r="BK1830" s="36"/>
      <c r="BL1830" s="36"/>
      <c r="BM1830" s="36"/>
      <c r="BN1830" s="36"/>
      <c r="BO1830" s="36"/>
    </row>
    <row r="1831" spans="1:67" x14ac:dyDescent="0.25">
      <c r="A1831" s="39"/>
      <c r="B1831" s="40"/>
      <c r="U1831" s="36"/>
      <c r="V1831" s="36"/>
      <c r="W1831" s="35"/>
      <c r="X1831" s="7"/>
      <c r="Y1831" s="7"/>
      <c r="Z1831" s="7"/>
      <c r="AA1831" s="7"/>
      <c r="AB1831" s="7"/>
      <c r="AC1831" s="7"/>
      <c r="AD1831" s="7"/>
      <c r="AE1831" s="7"/>
      <c r="AG1831" s="36"/>
      <c r="AH1831" s="36"/>
      <c r="AI1831" s="35"/>
      <c r="AJ1831" s="7"/>
      <c r="AK1831" s="7"/>
      <c r="AL1831" s="7"/>
      <c r="AM1831" s="7"/>
      <c r="AN1831" s="7"/>
      <c r="AO1831" s="7"/>
      <c r="AP1831" s="7"/>
      <c r="AQ1831" s="7"/>
      <c r="AS1831" s="36"/>
      <c r="AT1831" s="36"/>
      <c r="AU1831" s="35"/>
      <c r="AV1831" s="7"/>
      <c r="AW1831" s="7"/>
      <c r="AX1831" s="7"/>
      <c r="AY1831" s="7"/>
      <c r="AZ1831" s="7"/>
      <c r="BA1831" s="7"/>
      <c r="BB1831" s="7"/>
      <c r="BC1831" s="7"/>
      <c r="BF1831" s="7"/>
      <c r="BG1831" s="36"/>
      <c r="BH1831" s="36"/>
      <c r="BI1831" s="36"/>
      <c r="BJ1831" s="36"/>
      <c r="BK1831" s="36"/>
      <c r="BL1831" s="36"/>
      <c r="BM1831" s="36"/>
      <c r="BN1831" s="36"/>
      <c r="BO1831" s="36"/>
    </row>
    <row r="1832" spans="1:67" x14ac:dyDescent="0.25">
      <c r="A1832" s="39"/>
      <c r="B1832" s="40"/>
      <c r="U1832" s="36"/>
      <c r="V1832" s="36"/>
      <c r="W1832" s="35"/>
      <c r="X1832" s="7"/>
      <c r="Y1832" s="7"/>
      <c r="Z1832" s="7"/>
      <c r="AA1832" s="7"/>
      <c r="AB1832" s="7"/>
      <c r="AC1832" s="7"/>
      <c r="AD1832" s="7"/>
      <c r="AE1832" s="7"/>
      <c r="AG1832" s="36"/>
      <c r="AH1832" s="36"/>
      <c r="AI1832" s="35"/>
      <c r="AJ1832" s="7"/>
      <c r="AK1832" s="7"/>
      <c r="AL1832" s="7"/>
      <c r="AM1832" s="7"/>
      <c r="AN1832" s="7"/>
      <c r="AO1832" s="7"/>
      <c r="AP1832" s="7"/>
      <c r="AQ1832" s="7"/>
      <c r="AS1832" s="36"/>
      <c r="AT1832" s="36"/>
      <c r="AU1832" s="35"/>
      <c r="AV1832" s="7"/>
      <c r="AW1832" s="7"/>
      <c r="AX1832" s="7"/>
      <c r="AY1832" s="7"/>
      <c r="AZ1832" s="7"/>
      <c r="BA1832" s="7"/>
      <c r="BB1832" s="7"/>
      <c r="BC1832" s="7"/>
      <c r="BF1832" s="7"/>
      <c r="BG1832" s="36"/>
      <c r="BH1832" s="36"/>
      <c r="BI1832" s="36"/>
      <c r="BJ1832" s="36"/>
      <c r="BK1832" s="36"/>
      <c r="BL1832" s="36"/>
      <c r="BM1832" s="36"/>
      <c r="BN1832" s="36"/>
      <c r="BO1832" s="36"/>
    </row>
    <row r="1833" spans="1:67" x14ac:dyDescent="0.25">
      <c r="A1833" s="39"/>
      <c r="B1833" s="40"/>
      <c r="U1833" s="36"/>
      <c r="V1833" s="36"/>
      <c r="W1833" s="35"/>
      <c r="X1833" s="7"/>
      <c r="Y1833" s="7"/>
      <c r="Z1833" s="7"/>
      <c r="AA1833" s="7"/>
      <c r="AB1833" s="7"/>
      <c r="AC1833" s="7"/>
      <c r="AD1833" s="7"/>
      <c r="AE1833" s="7"/>
      <c r="AG1833" s="36"/>
      <c r="AH1833" s="36"/>
      <c r="AI1833" s="35"/>
      <c r="AJ1833" s="7"/>
      <c r="AK1833" s="7"/>
      <c r="AL1833" s="7"/>
      <c r="AM1833" s="7"/>
      <c r="AN1833" s="7"/>
      <c r="AO1833" s="7"/>
      <c r="AP1833" s="7"/>
      <c r="AQ1833" s="7"/>
      <c r="AS1833" s="36"/>
      <c r="AT1833" s="36"/>
      <c r="AU1833" s="35"/>
      <c r="AV1833" s="7"/>
      <c r="AW1833" s="7"/>
      <c r="AX1833" s="7"/>
      <c r="AY1833" s="7"/>
      <c r="AZ1833" s="7"/>
      <c r="BA1833" s="7"/>
      <c r="BB1833" s="7"/>
      <c r="BC1833" s="7"/>
      <c r="BF1833" s="7"/>
      <c r="BG1833" s="36"/>
      <c r="BH1833" s="36"/>
      <c r="BI1833" s="36"/>
      <c r="BJ1833" s="36"/>
      <c r="BK1833" s="36"/>
      <c r="BL1833" s="36"/>
      <c r="BM1833" s="36"/>
      <c r="BN1833" s="36"/>
      <c r="BO1833" s="36"/>
    </row>
    <row r="1834" spans="1:67" x14ac:dyDescent="0.25">
      <c r="A1834" s="39"/>
      <c r="B1834" s="40"/>
      <c r="U1834" s="36"/>
      <c r="V1834" s="36"/>
      <c r="W1834" s="35"/>
      <c r="X1834" s="7"/>
      <c r="Y1834" s="7"/>
      <c r="Z1834" s="7"/>
      <c r="AA1834" s="7"/>
      <c r="AB1834" s="7"/>
      <c r="AC1834" s="7"/>
      <c r="AD1834" s="7"/>
      <c r="AE1834" s="7"/>
      <c r="AG1834" s="36"/>
      <c r="AH1834" s="36"/>
      <c r="AI1834" s="35"/>
      <c r="AJ1834" s="7"/>
      <c r="AK1834" s="7"/>
      <c r="AL1834" s="7"/>
      <c r="AM1834" s="7"/>
      <c r="AN1834" s="7"/>
      <c r="AO1834" s="7"/>
      <c r="AP1834" s="7"/>
      <c r="AQ1834" s="7"/>
      <c r="AS1834" s="36"/>
      <c r="AT1834" s="36"/>
      <c r="AU1834" s="35"/>
      <c r="AV1834" s="7"/>
      <c r="AW1834" s="7"/>
      <c r="AX1834" s="7"/>
      <c r="AY1834" s="7"/>
      <c r="AZ1834" s="7"/>
      <c r="BA1834" s="7"/>
      <c r="BB1834" s="7"/>
      <c r="BC1834" s="7"/>
      <c r="BF1834" s="7"/>
      <c r="BG1834" s="36"/>
      <c r="BH1834" s="36"/>
      <c r="BI1834" s="36"/>
      <c r="BJ1834" s="36"/>
      <c r="BK1834" s="36"/>
      <c r="BL1834" s="36"/>
      <c r="BM1834" s="36"/>
      <c r="BN1834" s="36"/>
      <c r="BO1834" s="36"/>
    </row>
    <row r="1835" spans="1:67" x14ac:dyDescent="0.25">
      <c r="A1835" s="39"/>
      <c r="B1835" s="40"/>
      <c r="U1835" s="36"/>
      <c r="V1835" s="36"/>
      <c r="W1835" s="35"/>
      <c r="X1835" s="7"/>
      <c r="Y1835" s="7"/>
      <c r="Z1835" s="7"/>
      <c r="AA1835" s="7"/>
      <c r="AB1835" s="7"/>
      <c r="AC1835" s="7"/>
      <c r="AD1835" s="7"/>
      <c r="AE1835" s="7"/>
      <c r="AG1835" s="36"/>
      <c r="AH1835" s="36"/>
      <c r="AI1835" s="35"/>
      <c r="AJ1835" s="7"/>
      <c r="AK1835" s="7"/>
      <c r="AL1835" s="7"/>
      <c r="AM1835" s="7"/>
      <c r="AN1835" s="7"/>
      <c r="AO1835" s="7"/>
      <c r="AP1835" s="7"/>
      <c r="AQ1835" s="7"/>
      <c r="AS1835" s="36"/>
      <c r="AT1835" s="36"/>
      <c r="AU1835" s="35"/>
      <c r="AV1835" s="7"/>
      <c r="AW1835" s="7"/>
      <c r="AX1835" s="7"/>
      <c r="AY1835" s="7"/>
      <c r="AZ1835" s="7"/>
      <c r="BA1835" s="7"/>
      <c r="BB1835" s="7"/>
      <c r="BC1835" s="7"/>
      <c r="BF1835" s="7"/>
      <c r="BG1835" s="36"/>
      <c r="BH1835" s="36"/>
      <c r="BI1835" s="36"/>
      <c r="BJ1835" s="36"/>
      <c r="BK1835" s="36"/>
      <c r="BL1835" s="36"/>
      <c r="BM1835" s="36"/>
      <c r="BN1835" s="36"/>
      <c r="BO1835" s="36"/>
    </row>
    <row r="1836" spans="1:67" x14ac:dyDescent="0.25">
      <c r="A1836" s="39"/>
      <c r="B1836" s="40"/>
      <c r="U1836" s="36"/>
      <c r="V1836" s="36"/>
      <c r="W1836" s="35"/>
      <c r="X1836" s="7"/>
      <c r="Y1836" s="7"/>
      <c r="Z1836" s="7"/>
      <c r="AA1836" s="7"/>
      <c r="AB1836" s="7"/>
      <c r="AC1836" s="7"/>
      <c r="AD1836" s="7"/>
      <c r="AE1836" s="7"/>
      <c r="AG1836" s="36"/>
      <c r="AH1836" s="36"/>
      <c r="AI1836" s="35"/>
      <c r="AJ1836" s="7"/>
      <c r="AK1836" s="7"/>
      <c r="AL1836" s="7"/>
      <c r="AM1836" s="7"/>
      <c r="AN1836" s="7"/>
      <c r="AO1836" s="7"/>
      <c r="AP1836" s="7"/>
      <c r="AQ1836" s="7"/>
      <c r="AS1836" s="36"/>
      <c r="AT1836" s="36"/>
      <c r="AU1836" s="35"/>
      <c r="AV1836" s="7"/>
      <c r="AW1836" s="7"/>
      <c r="AX1836" s="7"/>
      <c r="AY1836" s="7"/>
      <c r="AZ1836" s="7"/>
      <c r="BA1836" s="7"/>
      <c r="BB1836" s="7"/>
      <c r="BC1836" s="7"/>
      <c r="BF1836" s="7"/>
      <c r="BG1836" s="36"/>
      <c r="BH1836" s="36"/>
      <c r="BI1836" s="36"/>
      <c r="BJ1836" s="36"/>
      <c r="BK1836" s="36"/>
      <c r="BL1836" s="36"/>
      <c r="BM1836" s="36"/>
      <c r="BN1836" s="36"/>
      <c r="BO1836" s="36"/>
    </row>
    <row r="1837" spans="1:67" x14ac:dyDescent="0.25">
      <c r="A1837" s="39"/>
      <c r="B1837" s="40"/>
      <c r="U1837" s="36"/>
      <c r="V1837" s="36"/>
      <c r="W1837" s="35"/>
      <c r="X1837" s="7"/>
      <c r="Y1837" s="7"/>
      <c r="Z1837" s="7"/>
      <c r="AA1837" s="7"/>
      <c r="AB1837" s="7"/>
      <c r="AC1837" s="7"/>
      <c r="AD1837" s="7"/>
      <c r="AE1837" s="7"/>
      <c r="AG1837" s="36"/>
      <c r="AH1837" s="36"/>
      <c r="AI1837" s="35"/>
      <c r="AJ1837" s="7"/>
      <c r="AK1837" s="7"/>
      <c r="AL1837" s="7"/>
      <c r="AM1837" s="7"/>
      <c r="AN1837" s="7"/>
      <c r="AO1837" s="7"/>
      <c r="AP1837" s="7"/>
      <c r="AQ1837" s="7"/>
      <c r="AS1837" s="36"/>
      <c r="AT1837" s="36"/>
      <c r="AU1837" s="35"/>
      <c r="AV1837" s="7"/>
      <c r="AW1837" s="7"/>
      <c r="AX1837" s="7"/>
      <c r="AY1837" s="7"/>
      <c r="AZ1837" s="7"/>
      <c r="BA1837" s="7"/>
      <c r="BB1837" s="7"/>
      <c r="BC1837" s="7"/>
      <c r="BF1837" s="7"/>
      <c r="BG1837" s="36"/>
      <c r="BH1837" s="36"/>
      <c r="BI1837" s="36"/>
      <c r="BJ1837" s="36"/>
      <c r="BK1837" s="36"/>
      <c r="BL1837" s="36"/>
      <c r="BM1837" s="36"/>
      <c r="BN1837" s="36"/>
      <c r="BO1837" s="36"/>
    </row>
    <row r="1838" spans="1:67" x14ac:dyDescent="0.25">
      <c r="A1838" s="39"/>
      <c r="B1838" s="40"/>
      <c r="U1838" s="36"/>
      <c r="V1838" s="36"/>
      <c r="W1838" s="35"/>
      <c r="X1838" s="7"/>
      <c r="Y1838" s="7"/>
      <c r="Z1838" s="7"/>
      <c r="AA1838" s="7"/>
      <c r="AB1838" s="7"/>
      <c r="AC1838" s="7"/>
      <c r="AD1838" s="7"/>
      <c r="AE1838" s="7"/>
      <c r="AG1838" s="36"/>
      <c r="AH1838" s="36"/>
      <c r="AI1838" s="35"/>
      <c r="AJ1838" s="7"/>
      <c r="AK1838" s="7"/>
      <c r="AL1838" s="7"/>
      <c r="AM1838" s="7"/>
      <c r="AN1838" s="7"/>
      <c r="AO1838" s="7"/>
      <c r="AP1838" s="7"/>
      <c r="AQ1838" s="7"/>
      <c r="AS1838" s="36"/>
      <c r="AT1838" s="36"/>
      <c r="AU1838" s="35"/>
      <c r="AV1838" s="7"/>
      <c r="AW1838" s="7"/>
      <c r="AX1838" s="7"/>
      <c r="AY1838" s="7"/>
      <c r="AZ1838" s="7"/>
      <c r="BA1838" s="7"/>
      <c r="BB1838" s="7"/>
      <c r="BC1838" s="7"/>
      <c r="BF1838" s="7"/>
      <c r="BG1838" s="36"/>
      <c r="BH1838" s="36"/>
      <c r="BI1838" s="36"/>
      <c r="BJ1838" s="36"/>
      <c r="BK1838" s="36"/>
      <c r="BL1838" s="36"/>
      <c r="BM1838" s="36"/>
      <c r="BN1838" s="36"/>
      <c r="BO1838" s="36"/>
    </row>
    <row r="1839" spans="1:67" x14ac:dyDescent="0.25">
      <c r="A1839" s="39"/>
      <c r="B1839" s="40"/>
      <c r="U1839" s="36"/>
      <c r="V1839" s="36"/>
      <c r="W1839" s="35"/>
      <c r="X1839" s="7"/>
      <c r="Y1839" s="7"/>
      <c r="Z1839" s="7"/>
      <c r="AA1839" s="7"/>
      <c r="AB1839" s="7"/>
      <c r="AC1839" s="7"/>
      <c r="AD1839" s="7"/>
      <c r="AE1839" s="7"/>
      <c r="AG1839" s="36"/>
      <c r="AH1839" s="36"/>
      <c r="AI1839" s="35"/>
      <c r="AJ1839" s="7"/>
      <c r="AK1839" s="7"/>
      <c r="AL1839" s="7"/>
      <c r="AM1839" s="7"/>
      <c r="AN1839" s="7"/>
      <c r="AO1839" s="7"/>
      <c r="AP1839" s="7"/>
      <c r="AQ1839" s="7"/>
      <c r="AS1839" s="36"/>
      <c r="AT1839" s="36"/>
      <c r="AU1839" s="35"/>
      <c r="AV1839" s="7"/>
      <c r="AW1839" s="7"/>
      <c r="AX1839" s="7"/>
      <c r="AY1839" s="7"/>
      <c r="AZ1839" s="7"/>
      <c r="BA1839" s="7"/>
      <c r="BB1839" s="7"/>
      <c r="BC1839" s="7"/>
      <c r="BF1839" s="7"/>
      <c r="BG1839" s="36"/>
      <c r="BH1839" s="36"/>
      <c r="BI1839" s="36"/>
      <c r="BJ1839" s="36"/>
      <c r="BK1839" s="36"/>
      <c r="BL1839" s="36"/>
      <c r="BM1839" s="36"/>
      <c r="BN1839" s="36"/>
      <c r="BO1839" s="36"/>
    </row>
    <row r="1840" spans="1:67" x14ac:dyDescent="0.25">
      <c r="A1840" s="39"/>
      <c r="B1840" s="40"/>
      <c r="U1840" s="36"/>
      <c r="V1840" s="36"/>
      <c r="W1840" s="35"/>
      <c r="X1840" s="7"/>
      <c r="Y1840" s="7"/>
      <c r="Z1840" s="7"/>
      <c r="AA1840" s="7"/>
      <c r="AB1840" s="7"/>
      <c r="AC1840" s="7"/>
      <c r="AD1840" s="7"/>
      <c r="AE1840" s="7"/>
      <c r="AG1840" s="36"/>
      <c r="AH1840" s="36"/>
      <c r="AI1840" s="35"/>
      <c r="AJ1840" s="7"/>
      <c r="AK1840" s="7"/>
      <c r="AL1840" s="7"/>
      <c r="AM1840" s="7"/>
      <c r="AN1840" s="7"/>
      <c r="AO1840" s="7"/>
      <c r="AP1840" s="7"/>
      <c r="AQ1840" s="7"/>
      <c r="AS1840" s="36"/>
      <c r="AT1840" s="36"/>
      <c r="AU1840" s="35"/>
      <c r="AV1840" s="7"/>
      <c r="AW1840" s="7"/>
      <c r="AX1840" s="7"/>
      <c r="AY1840" s="7"/>
      <c r="AZ1840" s="7"/>
      <c r="BA1840" s="7"/>
      <c r="BB1840" s="7"/>
      <c r="BC1840" s="7"/>
      <c r="BF1840" s="7"/>
      <c r="BG1840" s="36"/>
      <c r="BH1840" s="36"/>
      <c r="BI1840" s="36"/>
      <c r="BJ1840" s="36"/>
      <c r="BK1840" s="36"/>
      <c r="BL1840" s="36"/>
      <c r="BM1840" s="36"/>
      <c r="BN1840" s="36"/>
      <c r="BO1840" s="36"/>
    </row>
    <row r="1841" spans="1:67" x14ac:dyDescent="0.25">
      <c r="A1841" s="39"/>
      <c r="B1841" s="40"/>
      <c r="U1841" s="36"/>
      <c r="V1841" s="36"/>
      <c r="W1841" s="35"/>
      <c r="X1841" s="7"/>
      <c r="Y1841" s="7"/>
      <c r="Z1841" s="7"/>
      <c r="AA1841" s="7"/>
      <c r="AB1841" s="7"/>
      <c r="AC1841" s="7"/>
      <c r="AD1841" s="7"/>
      <c r="AE1841" s="7"/>
      <c r="AG1841" s="36"/>
      <c r="AH1841" s="36"/>
      <c r="AI1841" s="35"/>
      <c r="AJ1841" s="7"/>
      <c r="AK1841" s="7"/>
      <c r="AL1841" s="7"/>
      <c r="AM1841" s="7"/>
      <c r="AN1841" s="7"/>
      <c r="AO1841" s="7"/>
      <c r="AP1841" s="7"/>
      <c r="AQ1841" s="7"/>
      <c r="AS1841" s="36"/>
      <c r="AT1841" s="36"/>
      <c r="AU1841" s="35"/>
      <c r="AV1841" s="7"/>
      <c r="AW1841" s="7"/>
      <c r="AX1841" s="7"/>
      <c r="AY1841" s="7"/>
      <c r="AZ1841" s="7"/>
      <c r="BA1841" s="7"/>
      <c r="BB1841" s="7"/>
      <c r="BC1841" s="7"/>
      <c r="BF1841" s="7"/>
      <c r="BG1841" s="36"/>
      <c r="BH1841" s="36"/>
      <c r="BI1841" s="36"/>
      <c r="BJ1841" s="36"/>
      <c r="BK1841" s="36"/>
      <c r="BL1841" s="36"/>
      <c r="BM1841" s="36"/>
      <c r="BN1841" s="36"/>
      <c r="BO1841" s="36"/>
    </row>
    <row r="1842" spans="1:67" x14ac:dyDescent="0.25">
      <c r="A1842" s="39"/>
      <c r="B1842" s="40"/>
      <c r="U1842" s="36"/>
      <c r="V1842" s="36"/>
      <c r="W1842" s="35"/>
      <c r="X1842" s="7"/>
      <c r="Y1842" s="7"/>
      <c r="Z1842" s="7"/>
      <c r="AA1842" s="7"/>
      <c r="AB1842" s="7"/>
      <c r="AC1842" s="7"/>
      <c r="AD1842" s="7"/>
      <c r="AE1842" s="7"/>
      <c r="AG1842" s="36"/>
      <c r="AH1842" s="36"/>
      <c r="AI1842" s="35"/>
      <c r="AJ1842" s="7"/>
      <c r="AK1842" s="7"/>
      <c r="AL1842" s="7"/>
      <c r="AM1842" s="7"/>
      <c r="AN1842" s="7"/>
      <c r="AO1842" s="7"/>
      <c r="AP1842" s="7"/>
      <c r="AQ1842" s="7"/>
      <c r="AS1842" s="36"/>
      <c r="AT1842" s="36"/>
      <c r="AU1842" s="35"/>
      <c r="AV1842" s="7"/>
      <c r="AW1842" s="7"/>
      <c r="AX1842" s="7"/>
      <c r="AY1842" s="7"/>
      <c r="AZ1842" s="7"/>
      <c r="BA1842" s="7"/>
      <c r="BB1842" s="7"/>
      <c r="BC1842" s="7"/>
      <c r="BF1842" s="7"/>
      <c r="BG1842" s="36"/>
      <c r="BH1842" s="36"/>
      <c r="BI1842" s="36"/>
      <c r="BJ1842" s="36"/>
      <c r="BK1842" s="36"/>
      <c r="BL1842" s="36"/>
      <c r="BM1842" s="36"/>
      <c r="BN1842" s="36"/>
      <c r="BO1842" s="36"/>
    </row>
    <row r="1843" spans="1:67" x14ac:dyDescent="0.25">
      <c r="A1843" s="39"/>
      <c r="B1843" s="40"/>
      <c r="U1843" s="36"/>
      <c r="V1843" s="36"/>
      <c r="W1843" s="35"/>
      <c r="X1843" s="7"/>
      <c r="Y1843" s="7"/>
      <c r="Z1843" s="7"/>
      <c r="AA1843" s="7"/>
      <c r="AB1843" s="7"/>
      <c r="AC1843" s="7"/>
      <c r="AD1843" s="7"/>
      <c r="AE1843" s="7"/>
      <c r="AG1843" s="36"/>
      <c r="AH1843" s="36"/>
      <c r="AI1843" s="35"/>
      <c r="AJ1843" s="7"/>
      <c r="AK1843" s="7"/>
      <c r="AL1843" s="7"/>
      <c r="AM1843" s="7"/>
      <c r="AN1843" s="7"/>
      <c r="AO1843" s="7"/>
      <c r="AP1843" s="7"/>
      <c r="AQ1843" s="7"/>
      <c r="AS1843" s="36"/>
      <c r="AT1843" s="36"/>
      <c r="AU1843" s="35"/>
      <c r="AV1843" s="7"/>
      <c r="AW1843" s="7"/>
      <c r="AX1843" s="7"/>
      <c r="AY1843" s="7"/>
      <c r="AZ1843" s="7"/>
      <c r="BA1843" s="7"/>
      <c r="BB1843" s="7"/>
      <c r="BC1843" s="7"/>
      <c r="BF1843" s="7"/>
      <c r="BG1843" s="36"/>
      <c r="BH1843" s="36"/>
      <c r="BI1843" s="36"/>
      <c r="BJ1843" s="36"/>
      <c r="BK1843" s="36"/>
      <c r="BL1843" s="36"/>
      <c r="BM1843" s="36"/>
      <c r="BN1843" s="36"/>
      <c r="BO1843" s="36"/>
    </row>
    <row r="1844" spans="1:67" x14ac:dyDescent="0.25">
      <c r="A1844" s="39"/>
      <c r="B1844" s="40"/>
      <c r="U1844" s="36"/>
      <c r="V1844" s="36"/>
      <c r="W1844" s="35"/>
      <c r="X1844" s="7"/>
      <c r="Y1844" s="7"/>
      <c r="Z1844" s="7"/>
      <c r="AA1844" s="7"/>
      <c r="AB1844" s="7"/>
      <c r="AC1844" s="7"/>
      <c r="AD1844" s="7"/>
      <c r="AE1844" s="7"/>
      <c r="AG1844" s="36"/>
      <c r="AH1844" s="36"/>
      <c r="AI1844" s="35"/>
      <c r="AJ1844" s="7"/>
      <c r="AK1844" s="7"/>
      <c r="AL1844" s="7"/>
      <c r="AM1844" s="7"/>
      <c r="AN1844" s="7"/>
      <c r="AO1844" s="7"/>
      <c r="AP1844" s="7"/>
      <c r="AQ1844" s="7"/>
      <c r="AS1844" s="36"/>
      <c r="AT1844" s="36"/>
      <c r="AU1844" s="35"/>
      <c r="AV1844" s="7"/>
      <c r="AW1844" s="7"/>
      <c r="AX1844" s="7"/>
      <c r="AY1844" s="7"/>
      <c r="AZ1844" s="7"/>
      <c r="BA1844" s="7"/>
      <c r="BB1844" s="7"/>
      <c r="BC1844" s="7"/>
      <c r="BF1844" s="7"/>
      <c r="BG1844" s="36"/>
      <c r="BH1844" s="36"/>
      <c r="BI1844" s="36"/>
      <c r="BJ1844" s="36"/>
      <c r="BK1844" s="36"/>
      <c r="BL1844" s="36"/>
      <c r="BM1844" s="36"/>
      <c r="BN1844" s="36"/>
      <c r="BO1844" s="36"/>
    </row>
    <row r="1845" spans="1:67" x14ac:dyDescent="0.25">
      <c r="A1845" s="39"/>
      <c r="B1845" s="40"/>
      <c r="U1845" s="36"/>
      <c r="V1845" s="36"/>
      <c r="W1845" s="35"/>
      <c r="X1845" s="7"/>
      <c r="Y1845" s="7"/>
      <c r="Z1845" s="7"/>
      <c r="AA1845" s="7"/>
      <c r="AB1845" s="7"/>
      <c r="AC1845" s="7"/>
      <c r="AD1845" s="7"/>
      <c r="AE1845" s="7"/>
      <c r="AG1845" s="36"/>
      <c r="AH1845" s="36"/>
      <c r="AI1845" s="35"/>
      <c r="AJ1845" s="7"/>
      <c r="AK1845" s="7"/>
      <c r="AL1845" s="7"/>
      <c r="AM1845" s="7"/>
      <c r="AN1845" s="7"/>
      <c r="AO1845" s="7"/>
      <c r="AP1845" s="7"/>
      <c r="AQ1845" s="7"/>
      <c r="AS1845" s="36"/>
      <c r="AT1845" s="36"/>
      <c r="AU1845" s="35"/>
      <c r="AV1845" s="7"/>
      <c r="AW1845" s="7"/>
      <c r="AX1845" s="7"/>
      <c r="AY1845" s="7"/>
      <c r="AZ1845" s="7"/>
      <c r="BA1845" s="7"/>
      <c r="BB1845" s="7"/>
      <c r="BC1845" s="7"/>
      <c r="BF1845" s="7"/>
      <c r="BG1845" s="36"/>
      <c r="BH1845" s="36"/>
      <c r="BI1845" s="36"/>
      <c r="BJ1845" s="36"/>
      <c r="BK1845" s="36"/>
      <c r="BL1845" s="36"/>
      <c r="BM1845" s="36"/>
      <c r="BN1845" s="36"/>
      <c r="BO1845" s="36"/>
    </row>
    <row r="1846" spans="1:67" x14ac:dyDescent="0.25">
      <c r="A1846" s="39"/>
      <c r="B1846" s="40"/>
      <c r="U1846" s="36"/>
      <c r="V1846" s="36"/>
      <c r="W1846" s="35"/>
      <c r="X1846" s="7"/>
      <c r="Y1846" s="7"/>
      <c r="Z1846" s="7"/>
      <c r="AA1846" s="7"/>
      <c r="AB1846" s="7"/>
      <c r="AC1846" s="7"/>
      <c r="AD1846" s="7"/>
      <c r="AE1846" s="7"/>
      <c r="AG1846" s="36"/>
      <c r="AH1846" s="36"/>
      <c r="AI1846" s="35"/>
      <c r="AJ1846" s="7"/>
      <c r="AK1846" s="7"/>
      <c r="AL1846" s="7"/>
      <c r="AM1846" s="7"/>
      <c r="AN1846" s="7"/>
      <c r="AO1846" s="7"/>
      <c r="AP1846" s="7"/>
      <c r="AQ1846" s="7"/>
      <c r="AS1846" s="36"/>
      <c r="AT1846" s="36"/>
      <c r="AU1846" s="35"/>
      <c r="AV1846" s="7"/>
      <c r="AW1846" s="7"/>
      <c r="AX1846" s="7"/>
      <c r="AY1846" s="7"/>
      <c r="AZ1846" s="7"/>
      <c r="BA1846" s="7"/>
      <c r="BB1846" s="7"/>
      <c r="BC1846" s="7"/>
      <c r="BF1846" s="7"/>
      <c r="BG1846" s="36"/>
      <c r="BH1846" s="36"/>
      <c r="BI1846" s="36"/>
      <c r="BJ1846" s="36"/>
      <c r="BK1846" s="36"/>
      <c r="BL1846" s="36"/>
      <c r="BM1846" s="36"/>
      <c r="BN1846" s="36"/>
      <c r="BO1846" s="36"/>
    </row>
    <row r="1847" spans="1:67" x14ac:dyDescent="0.25">
      <c r="A1847" s="39"/>
      <c r="B1847" s="40"/>
      <c r="U1847" s="36"/>
      <c r="V1847" s="36"/>
      <c r="W1847" s="35"/>
      <c r="X1847" s="7"/>
      <c r="Y1847" s="7"/>
      <c r="Z1847" s="7"/>
      <c r="AA1847" s="7"/>
      <c r="AB1847" s="7"/>
      <c r="AC1847" s="7"/>
      <c r="AD1847" s="7"/>
      <c r="AE1847" s="7"/>
      <c r="AG1847" s="36"/>
      <c r="AH1847" s="36"/>
      <c r="AI1847" s="35"/>
      <c r="AJ1847" s="7"/>
      <c r="AK1847" s="7"/>
      <c r="AL1847" s="7"/>
      <c r="AM1847" s="7"/>
      <c r="AN1847" s="7"/>
      <c r="AO1847" s="7"/>
      <c r="AP1847" s="7"/>
      <c r="AQ1847" s="7"/>
      <c r="AS1847" s="36"/>
      <c r="AT1847" s="36"/>
      <c r="AU1847" s="35"/>
      <c r="AV1847" s="7"/>
      <c r="AW1847" s="7"/>
      <c r="AX1847" s="7"/>
      <c r="AY1847" s="7"/>
      <c r="AZ1847" s="7"/>
      <c r="BA1847" s="7"/>
      <c r="BB1847" s="7"/>
      <c r="BC1847" s="7"/>
      <c r="BF1847" s="7"/>
      <c r="BG1847" s="36"/>
      <c r="BH1847" s="36"/>
      <c r="BI1847" s="36"/>
      <c r="BJ1847" s="36"/>
      <c r="BK1847" s="36"/>
      <c r="BL1847" s="36"/>
      <c r="BM1847" s="36"/>
      <c r="BN1847" s="36"/>
      <c r="BO1847" s="36"/>
    </row>
    <row r="1848" spans="1:67" x14ac:dyDescent="0.25">
      <c r="A1848" s="39"/>
      <c r="B1848" s="40"/>
      <c r="U1848" s="36"/>
      <c r="V1848" s="36"/>
      <c r="W1848" s="35"/>
      <c r="X1848" s="7"/>
      <c r="Y1848" s="7"/>
      <c r="Z1848" s="7"/>
      <c r="AA1848" s="7"/>
      <c r="AB1848" s="7"/>
      <c r="AC1848" s="7"/>
      <c r="AD1848" s="7"/>
      <c r="AE1848" s="7"/>
      <c r="AG1848" s="36"/>
      <c r="AH1848" s="36"/>
      <c r="AI1848" s="35"/>
      <c r="AJ1848" s="7"/>
      <c r="AK1848" s="7"/>
      <c r="AL1848" s="7"/>
      <c r="AM1848" s="7"/>
      <c r="AN1848" s="7"/>
      <c r="AO1848" s="7"/>
      <c r="AP1848" s="7"/>
      <c r="AQ1848" s="7"/>
      <c r="AS1848" s="36"/>
      <c r="AT1848" s="36"/>
      <c r="AU1848" s="35"/>
      <c r="AV1848" s="7"/>
      <c r="AW1848" s="7"/>
      <c r="AX1848" s="7"/>
      <c r="AY1848" s="7"/>
      <c r="AZ1848" s="7"/>
      <c r="BA1848" s="7"/>
      <c r="BB1848" s="7"/>
      <c r="BC1848" s="7"/>
      <c r="BF1848" s="7"/>
      <c r="BG1848" s="36"/>
      <c r="BH1848" s="36"/>
      <c r="BI1848" s="36"/>
      <c r="BJ1848" s="36"/>
      <c r="BK1848" s="36"/>
      <c r="BL1848" s="36"/>
      <c r="BM1848" s="36"/>
      <c r="BN1848" s="36"/>
      <c r="BO1848" s="36"/>
    </row>
    <row r="1849" spans="1:67" x14ac:dyDescent="0.25">
      <c r="A1849" s="39"/>
      <c r="B1849" s="40"/>
      <c r="U1849" s="36"/>
      <c r="V1849" s="36"/>
      <c r="W1849" s="35"/>
      <c r="X1849" s="7"/>
      <c r="Y1849" s="7"/>
      <c r="Z1849" s="7"/>
      <c r="AA1849" s="7"/>
      <c r="AB1849" s="7"/>
      <c r="AC1849" s="7"/>
      <c r="AD1849" s="7"/>
      <c r="AE1849" s="7"/>
      <c r="AG1849" s="36"/>
      <c r="AH1849" s="36"/>
      <c r="AI1849" s="35"/>
      <c r="AJ1849" s="7"/>
      <c r="AK1849" s="7"/>
      <c r="AL1849" s="7"/>
      <c r="AM1849" s="7"/>
      <c r="AN1849" s="7"/>
      <c r="AO1849" s="7"/>
      <c r="AP1849" s="7"/>
      <c r="AQ1849" s="7"/>
      <c r="AS1849" s="36"/>
      <c r="AT1849" s="36"/>
      <c r="AU1849" s="35"/>
      <c r="AV1849" s="7"/>
      <c r="AW1849" s="7"/>
      <c r="AX1849" s="7"/>
      <c r="AY1849" s="7"/>
      <c r="AZ1849" s="7"/>
      <c r="BA1849" s="7"/>
      <c r="BB1849" s="7"/>
      <c r="BC1849" s="7"/>
      <c r="BF1849" s="7"/>
      <c r="BG1849" s="36"/>
      <c r="BH1849" s="36"/>
      <c r="BI1849" s="36"/>
      <c r="BJ1849" s="36"/>
      <c r="BK1849" s="36"/>
      <c r="BL1849" s="36"/>
      <c r="BM1849" s="36"/>
      <c r="BN1849" s="36"/>
      <c r="BO1849" s="36"/>
    </row>
    <row r="1850" spans="1:67" x14ac:dyDescent="0.25">
      <c r="A1850" s="39"/>
      <c r="B1850" s="40"/>
      <c r="U1850" s="36"/>
      <c r="V1850" s="36"/>
      <c r="W1850" s="35"/>
      <c r="X1850" s="7"/>
      <c r="Y1850" s="7"/>
      <c r="Z1850" s="7"/>
      <c r="AA1850" s="7"/>
      <c r="AB1850" s="7"/>
      <c r="AC1850" s="7"/>
      <c r="AD1850" s="7"/>
      <c r="AE1850" s="7"/>
      <c r="AG1850" s="36"/>
      <c r="AH1850" s="36"/>
      <c r="AI1850" s="35"/>
      <c r="AJ1850" s="7"/>
      <c r="AK1850" s="7"/>
      <c r="AL1850" s="7"/>
      <c r="AM1850" s="7"/>
      <c r="AN1850" s="7"/>
      <c r="AO1850" s="7"/>
      <c r="AP1850" s="7"/>
      <c r="AQ1850" s="7"/>
      <c r="AS1850" s="36"/>
      <c r="AT1850" s="36"/>
      <c r="AU1850" s="35"/>
      <c r="AV1850" s="7"/>
      <c r="AW1850" s="7"/>
      <c r="AX1850" s="7"/>
      <c r="AY1850" s="7"/>
      <c r="AZ1850" s="7"/>
      <c r="BA1850" s="7"/>
      <c r="BB1850" s="7"/>
      <c r="BC1850" s="7"/>
      <c r="BF1850" s="7"/>
      <c r="BG1850" s="36"/>
      <c r="BH1850" s="36"/>
      <c r="BI1850" s="36"/>
      <c r="BJ1850" s="36"/>
      <c r="BK1850" s="36"/>
      <c r="BL1850" s="36"/>
      <c r="BM1850" s="36"/>
      <c r="BN1850" s="36"/>
      <c r="BO1850" s="36"/>
    </row>
    <row r="1851" spans="1:67" x14ac:dyDescent="0.25">
      <c r="A1851" s="39"/>
      <c r="B1851" s="40"/>
      <c r="U1851" s="36"/>
      <c r="V1851" s="36"/>
      <c r="W1851" s="35"/>
      <c r="X1851" s="7"/>
      <c r="Y1851" s="7"/>
      <c r="Z1851" s="7"/>
      <c r="AA1851" s="7"/>
      <c r="AB1851" s="7"/>
      <c r="AC1851" s="7"/>
      <c r="AD1851" s="7"/>
      <c r="AE1851" s="7"/>
      <c r="AG1851" s="36"/>
      <c r="AH1851" s="36"/>
      <c r="AI1851" s="35"/>
      <c r="AJ1851" s="7"/>
      <c r="AK1851" s="7"/>
      <c r="AL1851" s="7"/>
      <c r="AM1851" s="7"/>
      <c r="AN1851" s="7"/>
      <c r="AO1851" s="7"/>
      <c r="AP1851" s="7"/>
      <c r="AQ1851" s="7"/>
      <c r="AS1851" s="36"/>
      <c r="AT1851" s="36"/>
      <c r="AU1851" s="35"/>
      <c r="AV1851" s="7"/>
      <c r="AW1851" s="7"/>
      <c r="AX1851" s="7"/>
      <c r="AY1851" s="7"/>
      <c r="AZ1851" s="7"/>
      <c r="BA1851" s="7"/>
      <c r="BB1851" s="7"/>
      <c r="BC1851" s="7"/>
      <c r="BF1851" s="7"/>
      <c r="BG1851" s="36"/>
      <c r="BH1851" s="36"/>
      <c r="BI1851" s="36"/>
      <c r="BJ1851" s="36"/>
      <c r="BK1851" s="36"/>
      <c r="BL1851" s="36"/>
      <c r="BM1851" s="36"/>
      <c r="BN1851" s="36"/>
      <c r="BO1851" s="36"/>
    </row>
    <row r="1852" spans="1:67" x14ac:dyDescent="0.25">
      <c r="A1852" s="39"/>
      <c r="B1852" s="40"/>
      <c r="U1852" s="36"/>
      <c r="V1852" s="36"/>
      <c r="W1852" s="35"/>
      <c r="X1852" s="7"/>
      <c r="Y1852" s="7"/>
      <c r="Z1852" s="7"/>
      <c r="AA1852" s="7"/>
      <c r="AB1852" s="7"/>
      <c r="AC1852" s="7"/>
      <c r="AD1852" s="7"/>
      <c r="AE1852" s="7"/>
      <c r="AG1852" s="36"/>
      <c r="AH1852" s="36"/>
      <c r="AI1852" s="35"/>
      <c r="AJ1852" s="7"/>
      <c r="AK1852" s="7"/>
      <c r="AL1852" s="7"/>
      <c r="AM1852" s="7"/>
      <c r="AN1852" s="7"/>
      <c r="AO1852" s="7"/>
      <c r="AP1852" s="7"/>
      <c r="AQ1852" s="7"/>
      <c r="AS1852" s="36"/>
      <c r="AT1852" s="36"/>
      <c r="AU1852" s="35"/>
      <c r="AV1852" s="7"/>
      <c r="AW1852" s="7"/>
      <c r="AX1852" s="7"/>
      <c r="AY1852" s="7"/>
      <c r="AZ1852" s="7"/>
      <c r="BA1852" s="7"/>
      <c r="BB1852" s="7"/>
      <c r="BC1852" s="7"/>
      <c r="BF1852" s="7"/>
      <c r="BG1852" s="36"/>
      <c r="BH1852" s="36"/>
      <c r="BI1852" s="36"/>
      <c r="BJ1852" s="36"/>
      <c r="BK1852" s="36"/>
      <c r="BL1852" s="36"/>
      <c r="BM1852" s="36"/>
      <c r="BN1852" s="36"/>
      <c r="BO1852" s="36"/>
    </row>
    <row r="1853" spans="1:67" x14ac:dyDescent="0.25">
      <c r="A1853" s="39"/>
      <c r="B1853" s="40"/>
      <c r="U1853" s="36"/>
      <c r="V1853" s="36"/>
      <c r="W1853" s="35"/>
      <c r="X1853" s="7"/>
      <c r="Y1853" s="7"/>
      <c r="Z1853" s="7"/>
      <c r="AA1853" s="7"/>
      <c r="AB1853" s="7"/>
      <c r="AC1853" s="7"/>
      <c r="AD1853" s="7"/>
      <c r="AE1853" s="7"/>
      <c r="AG1853" s="36"/>
      <c r="AH1853" s="36"/>
      <c r="AI1853" s="35"/>
      <c r="AJ1853" s="7"/>
      <c r="AK1853" s="7"/>
      <c r="AL1853" s="7"/>
      <c r="AM1853" s="7"/>
      <c r="AN1853" s="7"/>
      <c r="AO1853" s="7"/>
      <c r="AP1853" s="7"/>
      <c r="AQ1853" s="7"/>
      <c r="AS1853" s="36"/>
      <c r="AT1853" s="36"/>
      <c r="AU1853" s="35"/>
      <c r="AV1853" s="7"/>
      <c r="AW1853" s="7"/>
      <c r="AX1853" s="7"/>
      <c r="AY1853" s="7"/>
      <c r="AZ1853" s="7"/>
      <c r="BA1853" s="7"/>
      <c r="BB1853" s="7"/>
      <c r="BC1853" s="7"/>
      <c r="BF1853" s="7"/>
      <c r="BG1853" s="36"/>
      <c r="BH1853" s="36"/>
      <c r="BI1853" s="36"/>
      <c r="BJ1853" s="36"/>
      <c r="BK1853" s="36"/>
      <c r="BL1853" s="36"/>
      <c r="BM1853" s="36"/>
      <c r="BN1853" s="36"/>
      <c r="BO1853" s="36"/>
    </row>
    <row r="1854" spans="1:67" x14ac:dyDescent="0.25">
      <c r="A1854" s="39"/>
      <c r="B1854" s="40"/>
      <c r="U1854" s="36"/>
      <c r="V1854" s="36"/>
      <c r="W1854" s="35"/>
      <c r="X1854" s="7"/>
      <c r="Y1854" s="7"/>
      <c r="Z1854" s="7"/>
      <c r="AA1854" s="7"/>
      <c r="AB1854" s="7"/>
      <c r="AC1854" s="7"/>
      <c r="AD1854" s="7"/>
      <c r="AE1854" s="7"/>
      <c r="AG1854" s="36"/>
      <c r="AH1854" s="36"/>
      <c r="AI1854" s="35"/>
      <c r="AJ1854" s="7"/>
      <c r="AK1854" s="7"/>
      <c r="AL1854" s="7"/>
      <c r="AM1854" s="7"/>
      <c r="AN1854" s="7"/>
      <c r="AO1854" s="7"/>
      <c r="AP1854" s="7"/>
      <c r="AQ1854" s="7"/>
      <c r="AS1854" s="36"/>
      <c r="AT1854" s="36"/>
      <c r="AU1854" s="35"/>
      <c r="AV1854" s="7"/>
      <c r="AW1854" s="7"/>
      <c r="AX1854" s="7"/>
      <c r="AY1854" s="7"/>
      <c r="AZ1854" s="7"/>
      <c r="BA1854" s="7"/>
      <c r="BB1854" s="7"/>
      <c r="BC1854" s="7"/>
      <c r="BF1854" s="7"/>
      <c r="BG1854" s="36"/>
      <c r="BH1854" s="36"/>
      <c r="BI1854" s="36"/>
      <c r="BJ1854" s="36"/>
      <c r="BK1854" s="36"/>
      <c r="BL1854" s="36"/>
      <c r="BM1854" s="36"/>
      <c r="BN1854" s="36"/>
      <c r="BO1854" s="36"/>
    </row>
    <row r="1855" spans="1:67" x14ac:dyDescent="0.25">
      <c r="A1855" s="39"/>
      <c r="B1855" s="40"/>
      <c r="U1855" s="36"/>
      <c r="V1855" s="36"/>
      <c r="W1855" s="35"/>
      <c r="X1855" s="7"/>
      <c r="Y1855" s="7"/>
      <c r="Z1855" s="7"/>
      <c r="AA1855" s="7"/>
      <c r="AB1855" s="7"/>
      <c r="AC1855" s="7"/>
      <c r="AD1855" s="7"/>
      <c r="AE1855" s="7"/>
      <c r="AG1855" s="36"/>
      <c r="AH1855" s="36"/>
      <c r="AI1855" s="35"/>
      <c r="AJ1855" s="7"/>
      <c r="AK1855" s="7"/>
      <c r="AL1855" s="7"/>
      <c r="AM1855" s="7"/>
      <c r="AN1855" s="7"/>
      <c r="AO1855" s="7"/>
      <c r="AP1855" s="7"/>
      <c r="AQ1855" s="7"/>
      <c r="AS1855" s="36"/>
      <c r="AT1855" s="36"/>
      <c r="AU1855" s="35"/>
      <c r="AV1855" s="7"/>
      <c r="AW1855" s="7"/>
      <c r="AX1855" s="7"/>
      <c r="AY1855" s="7"/>
      <c r="AZ1855" s="7"/>
      <c r="BA1855" s="7"/>
      <c r="BB1855" s="7"/>
      <c r="BC1855" s="7"/>
      <c r="BF1855" s="7"/>
      <c r="BG1855" s="36"/>
      <c r="BH1855" s="36"/>
      <c r="BI1855" s="36"/>
      <c r="BJ1855" s="36"/>
      <c r="BK1855" s="36"/>
      <c r="BL1855" s="36"/>
      <c r="BM1855" s="36"/>
      <c r="BN1855" s="36"/>
      <c r="BO1855" s="36"/>
    </row>
    <row r="1856" spans="1:67" x14ac:dyDescent="0.25">
      <c r="A1856" s="39"/>
      <c r="B1856" s="40"/>
      <c r="U1856" s="36"/>
      <c r="V1856" s="36"/>
      <c r="W1856" s="35"/>
      <c r="X1856" s="7"/>
      <c r="Y1856" s="7"/>
      <c r="Z1856" s="7"/>
      <c r="AA1856" s="7"/>
      <c r="AB1856" s="7"/>
      <c r="AC1856" s="7"/>
      <c r="AD1856" s="7"/>
      <c r="AE1856" s="7"/>
      <c r="AG1856" s="36"/>
      <c r="AH1856" s="36"/>
      <c r="AI1856" s="35"/>
      <c r="AJ1856" s="7"/>
      <c r="AK1856" s="7"/>
      <c r="AL1856" s="7"/>
      <c r="AM1856" s="7"/>
      <c r="AN1856" s="7"/>
      <c r="AO1856" s="7"/>
      <c r="AP1856" s="7"/>
      <c r="AQ1856" s="7"/>
      <c r="AS1856" s="36"/>
      <c r="AT1856" s="36"/>
      <c r="AU1856" s="35"/>
      <c r="AV1856" s="7"/>
      <c r="AW1856" s="7"/>
      <c r="AX1856" s="7"/>
      <c r="AY1856" s="7"/>
      <c r="AZ1856" s="7"/>
      <c r="BA1856" s="7"/>
      <c r="BB1856" s="7"/>
      <c r="BC1856" s="7"/>
      <c r="BF1856" s="7"/>
      <c r="BG1856" s="36"/>
      <c r="BH1856" s="36"/>
      <c r="BI1856" s="36"/>
      <c r="BJ1856" s="36"/>
      <c r="BK1856" s="36"/>
      <c r="BL1856" s="36"/>
      <c r="BM1856" s="36"/>
      <c r="BN1856" s="36"/>
      <c r="BO1856" s="36"/>
    </row>
    <row r="1857" spans="1:67" x14ac:dyDescent="0.25">
      <c r="A1857" s="39"/>
      <c r="B1857" s="40"/>
      <c r="U1857" s="36"/>
      <c r="V1857" s="36"/>
      <c r="W1857" s="35"/>
      <c r="X1857" s="7"/>
      <c r="Y1857" s="7"/>
      <c r="Z1857" s="7"/>
      <c r="AA1857" s="7"/>
      <c r="AB1857" s="7"/>
      <c r="AC1857" s="7"/>
      <c r="AD1857" s="7"/>
      <c r="AE1857" s="7"/>
      <c r="AG1857" s="36"/>
      <c r="AH1857" s="36"/>
      <c r="AI1857" s="35"/>
      <c r="AJ1857" s="7"/>
      <c r="AK1857" s="7"/>
      <c r="AL1857" s="7"/>
      <c r="AM1857" s="7"/>
      <c r="AN1857" s="7"/>
      <c r="AO1857" s="7"/>
      <c r="AP1857" s="7"/>
      <c r="AQ1857" s="7"/>
      <c r="AS1857" s="36"/>
      <c r="AT1857" s="36"/>
      <c r="AU1857" s="35"/>
      <c r="AV1857" s="7"/>
      <c r="AW1857" s="7"/>
      <c r="AX1857" s="7"/>
      <c r="AY1857" s="7"/>
      <c r="AZ1857" s="7"/>
      <c r="BA1857" s="7"/>
      <c r="BB1857" s="7"/>
      <c r="BC1857" s="7"/>
      <c r="BF1857" s="7"/>
      <c r="BG1857" s="36"/>
      <c r="BH1857" s="36"/>
      <c r="BI1857" s="36"/>
      <c r="BJ1857" s="36"/>
      <c r="BK1857" s="36"/>
      <c r="BL1857" s="36"/>
      <c r="BM1857" s="36"/>
      <c r="BN1857" s="36"/>
      <c r="BO1857" s="36"/>
    </row>
    <row r="1858" spans="1:67" x14ac:dyDescent="0.25">
      <c r="A1858" s="39"/>
      <c r="B1858" s="40"/>
      <c r="U1858" s="36"/>
      <c r="V1858" s="36"/>
      <c r="W1858" s="35"/>
      <c r="X1858" s="7"/>
      <c r="Y1858" s="7"/>
      <c r="Z1858" s="7"/>
      <c r="AA1858" s="7"/>
      <c r="AB1858" s="7"/>
      <c r="AC1858" s="7"/>
      <c r="AD1858" s="7"/>
      <c r="AE1858" s="7"/>
      <c r="AG1858" s="36"/>
      <c r="AH1858" s="36"/>
      <c r="AI1858" s="35"/>
      <c r="AJ1858" s="7"/>
      <c r="AK1858" s="7"/>
      <c r="AL1858" s="7"/>
      <c r="AM1858" s="7"/>
      <c r="AN1858" s="7"/>
      <c r="AO1858" s="7"/>
      <c r="AP1858" s="7"/>
      <c r="AQ1858" s="7"/>
      <c r="AS1858" s="36"/>
      <c r="AT1858" s="36"/>
      <c r="AU1858" s="35"/>
      <c r="AV1858" s="7"/>
      <c r="AW1858" s="7"/>
      <c r="AX1858" s="7"/>
      <c r="AY1858" s="7"/>
      <c r="AZ1858" s="7"/>
      <c r="BA1858" s="7"/>
      <c r="BB1858" s="7"/>
      <c r="BC1858" s="7"/>
      <c r="BF1858" s="7"/>
      <c r="BG1858" s="36"/>
      <c r="BH1858" s="36"/>
      <c r="BI1858" s="36"/>
      <c r="BJ1858" s="36"/>
      <c r="BK1858" s="36"/>
      <c r="BL1858" s="36"/>
      <c r="BM1858" s="36"/>
      <c r="BN1858" s="36"/>
      <c r="BO1858" s="36"/>
    </row>
    <row r="1859" spans="1:67" x14ac:dyDescent="0.25">
      <c r="A1859" s="39"/>
      <c r="B1859" s="40"/>
      <c r="U1859" s="36"/>
      <c r="V1859" s="36"/>
      <c r="W1859" s="35"/>
      <c r="X1859" s="7"/>
      <c r="Y1859" s="7"/>
      <c r="Z1859" s="7"/>
      <c r="AA1859" s="7"/>
      <c r="AB1859" s="7"/>
      <c r="AC1859" s="7"/>
      <c r="AD1859" s="7"/>
      <c r="AE1859" s="7"/>
      <c r="AG1859" s="36"/>
      <c r="AH1859" s="36"/>
      <c r="AI1859" s="35"/>
      <c r="AJ1859" s="7"/>
      <c r="AK1859" s="7"/>
      <c r="AL1859" s="7"/>
      <c r="AM1859" s="7"/>
      <c r="AN1859" s="7"/>
      <c r="AO1859" s="7"/>
      <c r="AP1859" s="7"/>
      <c r="AQ1859" s="7"/>
      <c r="AS1859" s="36"/>
      <c r="AT1859" s="36"/>
      <c r="AU1859" s="35"/>
      <c r="AV1859" s="7"/>
      <c r="AW1859" s="7"/>
      <c r="AX1859" s="7"/>
      <c r="AY1859" s="7"/>
      <c r="AZ1859" s="7"/>
      <c r="BA1859" s="7"/>
      <c r="BB1859" s="7"/>
      <c r="BC1859" s="7"/>
      <c r="BF1859" s="7"/>
      <c r="BG1859" s="36"/>
      <c r="BH1859" s="36"/>
      <c r="BI1859" s="36"/>
      <c r="BJ1859" s="36"/>
      <c r="BK1859" s="36"/>
      <c r="BL1859" s="36"/>
      <c r="BM1859" s="36"/>
      <c r="BN1859" s="36"/>
      <c r="BO1859" s="36"/>
    </row>
    <row r="1860" spans="1:67" x14ac:dyDescent="0.25">
      <c r="A1860" s="39"/>
      <c r="B1860" s="40"/>
      <c r="U1860" s="36"/>
      <c r="V1860" s="36"/>
      <c r="W1860" s="35"/>
      <c r="X1860" s="7"/>
      <c r="Y1860" s="7"/>
      <c r="Z1860" s="7"/>
      <c r="AA1860" s="7"/>
      <c r="AB1860" s="7"/>
      <c r="AC1860" s="7"/>
      <c r="AD1860" s="7"/>
      <c r="AE1860" s="7"/>
      <c r="AG1860" s="36"/>
      <c r="AH1860" s="36"/>
      <c r="AI1860" s="35"/>
      <c r="AJ1860" s="7"/>
      <c r="AK1860" s="7"/>
      <c r="AL1860" s="7"/>
      <c r="AM1860" s="7"/>
      <c r="AN1860" s="7"/>
      <c r="AO1860" s="7"/>
      <c r="AP1860" s="7"/>
      <c r="AQ1860" s="7"/>
      <c r="AS1860" s="36"/>
      <c r="AT1860" s="36"/>
      <c r="AU1860" s="35"/>
      <c r="AV1860" s="7"/>
      <c r="AW1860" s="7"/>
      <c r="AX1860" s="7"/>
      <c r="AY1860" s="7"/>
      <c r="AZ1860" s="7"/>
      <c r="BA1860" s="7"/>
      <c r="BB1860" s="7"/>
      <c r="BC1860" s="7"/>
      <c r="BF1860" s="7"/>
      <c r="BG1860" s="36"/>
      <c r="BH1860" s="36"/>
      <c r="BI1860" s="36"/>
      <c r="BJ1860" s="36"/>
      <c r="BK1860" s="36"/>
      <c r="BL1860" s="36"/>
      <c r="BM1860" s="36"/>
      <c r="BN1860" s="36"/>
      <c r="BO1860" s="36"/>
    </row>
    <row r="1861" spans="1:67" x14ac:dyDescent="0.25">
      <c r="A1861" s="39"/>
      <c r="B1861" s="40"/>
      <c r="U1861" s="36"/>
      <c r="V1861" s="36"/>
      <c r="W1861" s="35"/>
      <c r="X1861" s="7"/>
      <c r="Y1861" s="7"/>
      <c r="Z1861" s="7"/>
      <c r="AA1861" s="7"/>
      <c r="AB1861" s="7"/>
      <c r="AC1861" s="7"/>
      <c r="AD1861" s="7"/>
      <c r="AE1861" s="7"/>
      <c r="AG1861" s="36"/>
      <c r="AH1861" s="36"/>
      <c r="AI1861" s="35"/>
      <c r="AJ1861" s="7"/>
      <c r="AK1861" s="7"/>
      <c r="AL1861" s="7"/>
      <c r="AM1861" s="7"/>
      <c r="AN1861" s="7"/>
      <c r="AO1861" s="7"/>
      <c r="AP1861" s="7"/>
      <c r="AQ1861" s="7"/>
      <c r="AS1861" s="36"/>
      <c r="AT1861" s="36"/>
      <c r="AU1861" s="35"/>
      <c r="AV1861" s="7"/>
      <c r="AW1861" s="7"/>
      <c r="AX1861" s="7"/>
      <c r="AY1861" s="7"/>
      <c r="AZ1861" s="7"/>
      <c r="BA1861" s="7"/>
      <c r="BB1861" s="7"/>
      <c r="BC1861" s="7"/>
      <c r="BF1861" s="7"/>
      <c r="BG1861" s="36"/>
      <c r="BH1861" s="36"/>
      <c r="BI1861" s="36"/>
      <c r="BJ1861" s="36"/>
      <c r="BK1861" s="36"/>
      <c r="BL1861" s="36"/>
      <c r="BM1861" s="36"/>
      <c r="BN1861" s="36"/>
      <c r="BO1861" s="36"/>
    </row>
    <row r="1862" spans="1:67" x14ac:dyDescent="0.25">
      <c r="A1862" s="39"/>
      <c r="B1862" s="40"/>
      <c r="U1862" s="36"/>
      <c r="V1862" s="36"/>
      <c r="W1862" s="35"/>
      <c r="X1862" s="7"/>
      <c r="Y1862" s="7"/>
      <c r="Z1862" s="7"/>
      <c r="AA1862" s="7"/>
      <c r="AB1862" s="7"/>
      <c r="AC1862" s="7"/>
      <c r="AD1862" s="7"/>
      <c r="AE1862" s="7"/>
      <c r="AG1862" s="36"/>
      <c r="AH1862" s="36"/>
      <c r="AI1862" s="35"/>
      <c r="AJ1862" s="7"/>
      <c r="AK1862" s="7"/>
      <c r="AL1862" s="7"/>
      <c r="AM1862" s="7"/>
      <c r="AN1862" s="7"/>
      <c r="AO1862" s="7"/>
      <c r="AP1862" s="7"/>
      <c r="AQ1862" s="7"/>
      <c r="AS1862" s="36"/>
      <c r="AT1862" s="36"/>
      <c r="AU1862" s="35"/>
      <c r="AV1862" s="7"/>
      <c r="AW1862" s="7"/>
      <c r="AX1862" s="7"/>
      <c r="AY1862" s="7"/>
      <c r="AZ1862" s="7"/>
      <c r="BA1862" s="7"/>
      <c r="BB1862" s="7"/>
      <c r="BC1862" s="7"/>
      <c r="BF1862" s="7"/>
      <c r="BG1862" s="36"/>
      <c r="BH1862" s="36"/>
      <c r="BI1862" s="36"/>
      <c r="BJ1862" s="36"/>
      <c r="BK1862" s="36"/>
      <c r="BL1862" s="36"/>
      <c r="BM1862" s="36"/>
      <c r="BN1862" s="36"/>
      <c r="BO1862" s="36"/>
    </row>
    <row r="1863" spans="1:67" x14ac:dyDescent="0.25">
      <c r="A1863" s="39"/>
      <c r="B1863" s="40"/>
      <c r="U1863" s="36"/>
      <c r="V1863" s="36"/>
      <c r="W1863" s="35"/>
      <c r="X1863" s="7"/>
      <c r="Y1863" s="7"/>
      <c r="Z1863" s="7"/>
      <c r="AA1863" s="7"/>
      <c r="AB1863" s="7"/>
      <c r="AC1863" s="7"/>
      <c r="AD1863" s="7"/>
      <c r="AE1863" s="7"/>
      <c r="AG1863" s="36"/>
      <c r="AH1863" s="36"/>
      <c r="AI1863" s="35"/>
      <c r="AJ1863" s="7"/>
      <c r="AK1863" s="7"/>
      <c r="AL1863" s="7"/>
      <c r="AM1863" s="7"/>
      <c r="AN1863" s="7"/>
      <c r="AO1863" s="7"/>
      <c r="AP1863" s="7"/>
      <c r="AQ1863" s="7"/>
      <c r="AS1863" s="36"/>
      <c r="AT1863" s="36"/>
      <c r="AU1863" s="35"/>
      <c r="AV1863" s="7"/>
      <c r="AW1863" s="7"/>
      <c r="AX1863" s="7"/>
      <c r="AY1863" s="7"/>
      <c r="AZ1863" s="7"/>
      <c r="BA1863" s="7"/>
      <c r="BB1863" s="7"/>
      <c r="BC1863" s="7"/>
      <c r="BF1863" s="7"/>
      <c r="BG1863" s="36"/>
      <c r="BH1863" s="36"/>
      <c r="BI1863" s="36"/>
      <c r="BJ1863" s="36"/>
      <c r="BK1863" s="36"/>
      <c r="BL1863" s="36"/>
      <c r="BM1863" s="36"/>
      <c r="BN1863" s="36"/>
      <c r="BO1863" s="36"/>
    </row>
    <row r="1864" spans="1:67" x14ac:dyDescent="0.25">
      <c r="A1864" s="39"/>
      <c r="B1864" s="40"/>
      <c r="U1864" s="36"/>
      <c r="V1864" s="36"/>
      <c r="W1864" s="35"/>
      <c r="X1864" s="7"/>
      <c r="Y1864" s="7"/>
      <c r="Z1864" s="7"/>
      <c r="AA1864" s="7"/>
      <c r="AB1864" s="7"/>
      <c r="AC1864" s="7"/>
      <c r="AD1864" s="7"/>
      <c r="AE1864" s="7"/>
      <c r="AG1864" s="36"/>
      <c r="AH1864" s="36"/>
      <c r="AI1864" s="35"/>
      <c r="AJ1864" s="7"/>
      <c r="AK1864" s="7"/>
      <c r="AL1864" s="7"/>
      <c r="AM1864" s="7"/>
      <c r="AN1864" s="7"/>
      <c r="AO1864" s="7"/>
      <c r="AP1864" s="7"/>
      <c r="AQ1864" s="7"/>
      <c r="AS1864" s="36"/>
      <c r="AT1864" s="36"/>
      <c r="AU1864" s="35"/>
      <c r="AV1864" s="7"/>
      <c r="AW1864" s="7"/>
      <c r="AX1864" s="7"/>
      <c r="AY1864" s="7"/>
      <c r="AZ1864" s="7"/>
      <c r="BA1864" s="7"/>
      <c r="BB1864" s="7"/>
      <c r="BC1864" s="7"/>
      <c r="BF1864" s="7"/>
      <c r="BG1864" s="36"/>
      <c r="BH1864" s="36"/>
      <c r="BI1864" s="36"/>
      <c r="BJ1864" s="36"/>
      <c r="BK1864" s="36"/>
      <c r="BL1864" s="36"/>
      <c r="BM1864" s="36"/>
      <c r="BN1864" s="36"/>
      <c r="BO1864" s="36"/>
    </row>
    <row r="1865" spans="1:67" x14ac:dyDescent="0.25">
      <c r="A1865" s="39"/>
      <c r="B1865" s="40"/>
      <c r="U1865" s="36"/>
      <c r="V1865" s="36"/>
      <c r="W1865" s="35"/>
      <c r="X1865" s="7"/>
      <c r="Y1865" s="7"/>
      <c r="Z1865" s="7"/>
      <c r="AA1865" s="7"/>
      <c r="AB1865" s="7"/>
      <c r="AC1865" s="7"/>
      <c r="AD1865" s="7"/>
      <c r="AE1865" s="7"/>
      <c r="AG1865" s="36"/>
      <c r="AH1865" s="36"/>
      <c r="AI1865" s="35"/>
      <c r="AJ1865" s="7"/>
      <c r="AK1865" s="7"/>
      <c r="AL1865" s="7"/>
      <c r="AM1865" s="7"/>
      <c r="AN1865" s="7"/>
      <c r="AO1865" s="7"/>
      <c r="AP1865" s="7"/>
      <c r="AQ1865" s="7"/>
      <c r="AS1865" s="36"/>
      <c r="AT1865" s="36"/>
      <c r="AU1865" s="35"/>
      <c r="AV1865" s="7"/>
      <c r="AW1865" s="7"/>
      <c r="AX1865" s="7"/>
      <c r="AY1865" s="7"/>
      <c r="AZ1865" s="7"/>
      <c r="BA1865" s="7"/>
      <c r="BB1865" s="7"/>
      <c r="BC1865" s="7"/>
      <c r="BF1865" s="7"/>
      <c r="BG1865" s="36"/>
      <c r="BH1865" s="36"/>
      <c r="BI1865" s="36"/>
      <c r="BJ1865" s="36"/>
      <c r="BK1865" s="36"/>
      <c r="BL1865" s="36"/>
      <c r="BM1865" s="36"/>
      <c r="BN1865" s="36"/>
      <c r="BO1865" s="36"/>
    </row>
    <row r="1866" spans="1:67" x14ac:dyDescent="0.25">
      <c r="A1866" s="39"/>
      <c r="B1866" s="40"/>
      <c r="U1866" s="36"/>
      <c r="V1866" s="36"/>
      <c r="W1866" s="35"/>
      <c r="X1866" s="7"/>
      <c r="Y1866" s="7"/>
      <c r="Z1866" s="7"/>
      <c r="AA1866" s="7"/>
      <c r="AB1866" s="7"/>
      <c r="AC1866" s="7"/>
      <c r="AD1866" s="7"/>
      <c r="AE1866" s="7"/>
      <c r="AG1866" s="36"/>
      <c r="AH1866" s="36"/>
      <c r="AI1866" s="35"/>
      <c r="AJ1866" s="7"/>
      <c r="AK1866" s="7"/>
      <c r="AL1866" s="7"/>
      <c r="AM1866" s="7"/>
      <c r="AN1866" s="7"/>
      <c r="AO1866" s="7"/>
      <c r="AP1866" s="7"/>
      <c r="AQ1866" s="7"/>
      <c r="AS1866" s="36"/>
      <c r="AT1866" s="36"/>
      <c r="AU1866" s="35"/>
      <c r="AV1866" s="7"/>
      <c r="AW1866" s="7"/>
      <c r="AX1866" s="7"/>
      <c r="AY1866" s="7"/>
      <c r="AZ1866" s="7"/>
      <c r="BA1866" s="7"/>
      <c r="BB1866" s="7"/>
      <c r="BC1866" s="7"/>
      <c r="BF1866" s="7"/>
      <c r="BG1866" s="36"/>
      <c r="BH1866" s="36"/>
      <c r="BI1866" s="36"/>
      <c r="BJ1866" s="36"/>
      <c r="BK1866" s="36"/>
      <c r="BL1866" s="36"/>
      <c r="BM1866" s="36"/>
      <c r="BN1866" s="36"/>
      <c r="BO1866" s="36"/>
    </row>
    <row r="1867" spans="1:67" x14ac:dyDescent="0.25">
      <c r="A1867" s="39"/>
      <c r="B1867" s="40"/>
      <c r="U1867" s="36"/>
      <c r="V1867" s="36"/>
      <c r="W1867" s="35"/>
      <c r="X1867" s="7"/>
      <c r="Y1867" s="7"/>
      <c r="Z1867" s="7"/>
      <c r="AA1867" s="7"/>
      <c r="AB1867" s="7"/>
      <c r="AC1867" s="7"/>
      <c r="AD1867" s="7"/>
      <c r="AE1867" s="7"/>
      <c r="AG1867" s="36"/>
      <c r="AH1867" s="36"/>
      <c r="AI1867" s="35"/>
      <c r="AJ1867" s="7"/>
      <c r="AK1867" s="7"/>
      <c r="AL1867" s="7"/>
      <c r="AM1867" s="7"/>
      <c r="AN1867" s="7"/>
      <c r="AO1867" s="7"/>
      <c r="AP1867" s="7"/>
      <c r="AQ1867" s="7"/>
      <c r="AS1867" s="36"/>
      <c r="AT1867" s="36"/>
      <c r="AU1867" s="35"/>
      <c r="AV1867" s="7"/>
      <c r="AW1867" s="7"/>
      <c r="AX1867" s="7"/>
      <c r="AY1867" s="7"/>
      <c r="AZ1867" s="7"/>
      <c r="BA1867" s="7"/>
      <c r="BB1867" s="7"/>
      <c r="BC1867" s="7"/>
      <c r="BF1867" s="7"/>
      <c r="BG1867" s="36"/>
      <c r="BH1867" s="36"/>
      <c r="BI1867" s="36"/>
      <c r="BJ1867" s="36"/>
      <c r="BK1867" s="36"/>
      <c r="BL1867" s="36"/>
      <c r="BM1867" s="36"/>
      <c r="BN1867" s="36"/>
      <c r="BO1867" s="36"/>
    </row>
    <row r="1868" spans="1:67" x14ac:dyDescent="0.25">
      <c r="A1868" s="39"/>
      <c r="B1868" s="40"/>
      <c r="U1868" s="36"/>
      <c r="V1868" s="36"/>
      <c r="W1868" s="35"/>
      <c r="X1868" s="7"/>
      <c r="Y1868" s="7"/>
      <c r="Z1868" s="7"/>
      <c r="AA1868" s="7"/>
      <c r="AB1868" s="7"/>
      <c r="AC1868" s="7"/>
      <c r="AD1868" s="7"/>
      <c r="AE1868" s="7"/>
      <c r="AG1868" s="36"/>
      <c r="AH1868" s="36"/>
      <c r="AI1868" s="35"/>
      <c r="AJ1868" s="7"/>
      <c r="AK1868" s="7"/>
      <c r="AL1868" s="7"/>
      <c r="AM1868" s="7"/>
      <c r="AN1868" s="7"/>
      <c r="AO1868" s="7"/>
      <c r="AP1868" s="7"/>
      <c r="AQ1868" s="7"/>
      <c r="AS1868" s="36"/>
      <c r="AT1868" s="36"/>
      <c r="AU1868" s="35"/>
      <c r="AV1868" s="7"/>
      <c r="AW1868" s="7"/>
      <c r="AX1868" s="7"/>
      <c r="AY1868" s="7"/>
      <c r="AZ1868" s="7"/>
      <c r="BA1868" s="7"/>
      <c r="BB1868" s="7"/>
      <c r="BC1868" s="7"/>
      <c r="BF1868" s="7"/>
      <c r="BG1868" s="36"/>
      <c r="BH1868" s="36"/>
      <c r="BI1868" s="36"/>
      <c r="BJ1868" s="36"/>
      <c r="BK1868" s="36"/>
      <c r="BL1868" s="36"/>
      <c r="BM1868" s="36"/>
      <c r="BN1868" s="36"/>
      <c r="BO1868" s="36"/>
    </row>
    <row r="1869" spans="1:67" x14ac:dyDescent="0.25">
      <c r="A1869" s="39"/>
      <c r="B1869" s="40"/>
      <c r="U1869" s="36"/>
      <c r="V1869" s="36"/>
      <c r="W1869" s="35"/>
      <c r="X1869" s="7"/>
      <c r="Y1869" s="7"/>
      <c r="Z1869" s="7"/>
      <c r="AA1869" s="7"/>
      <c r="AB1869" s="7"/>
      <c r="AC1869" s="7"/>
      <c r="AD1869" s="7"/>
      <c r="AE1869" s="7"/>
      <c r="AG1869" s="36"/>
      <c r="AH1869" s="36"/>
      <c r="AI1869" s="35"/>
      <c r="AJ1869" s="7"/>
      <c r="AK1869" s="7"/>
      <c r="AL1869" s="7"/>
      <c r="AM1869" s="7"/>
      <c r="AN1869" s="7"/>
      <c r="AO1869" s="7"/>
      <c r="AP1869" s="7"/>
      <c r="AQ1869" s="7"/>
      <c r="AS1869" s="36"/>
      <c r="AT1869" s="36"/>
      <c r="AU1869" s="35"/>
      <c r="AV1869" s="7"/>
      <c r="AW1869" s="7"/>
      <c r="AX1869" s="7"/>
      <c r="AY1869" s="7"/>
      <c r="AZ1869" s="7"/>
      <c r="BA1869" s="7"/>
      <c r="BB1869" s="7"/>
      <c r="BC1869" s="7"/>
      <c r="BF1869" s="7"/>
      <c r="BG1869" s="36"/>
      <c r="BH1869" s="36"/>
      <c r="BI1869" s="36"/>
      <c r="BJ1869" s="36"/>
      <c r="BK1869" s="36"/>
      <c r="BL1869" s="36"/>
      <c r="BM1869" s="36"/>
      <c r="BN1869" s="36"/>
      <c r="BO1869" s="36"/>
    </row>
    <row r="1870" spans="1:67" x14ac:dyDescent="0.25">
      <c r="A1870" s="39"/>
      <c r="B1870" s="40"/>
      <c r="U1870" s="36"/>
      <c r="V1870" s="36"/>
      <c r="W1870" s="35"/>
      <c r="X1870" s="7"/>
      <c r="Y1870" s="7"/>
      <c r="Z1870" s="7"/>
      <c r="AA1870" s="7"/>
      <c r="AB1870" s="7"/>
      <c r="AC1870" s="7"/>
      <c r="AD1870" s="7"/>
      <c r="AE1870" s="7"/>
      <c r="AG1870" s="36"/>
      <c r="AH1870" s="36"/>
      <c r="AI1870" s="35"/>
      <c r="AJ1870" s="7"/>
      <c r="AK1870" s="7"/>
      <c r="AL1870" s="7"/>
      <c r="AM1870" s="7"/>
      <c r="AN1870" s="7"/>
      <c r="AO1870" s="7"/>
      <c r="AP1870" s="7"/>
      <c r="AQ1870" s="7"/>
      <c r="AS1870" s="36"/>
      <c r="AT1870" s="36"/>
      <c r="AU1870" s="35"/>
      <c r="AV1870" s="7"/>
      <c r="AW1870" s="7"/>
      <c r="AX1870" s="7"/>
      <c r="AY1870" s="7"/>
      <c r="AZ1870" s="7"/>
      <c r="BA1870" s="7"/>
      <c r="BB1870" s="7"/>
      <c r="BC1870" s="7"/>
      <c r="BF1870" s="7"/>
      <c r="BG1870" s="36"/>
      <c r="BH1870" s="36"/>
      <c r="BI1870" s="36"/>
      <c r="BJ1870" s="36"/>
      <c r="BK1870" s="36"/>
      <c r="BL1870" s="36"/>
      <c r="BM1870" s="36"/>
      <c r="BN1870" s="36"/>
      <c r="BO1870" s="36"/>
    </row>
    <row r="1871" spans="1:67" x14ac:dyDescent="0.25">
      <c r="A1871" s="39"/>
      <c r="B1871" s="40"/>
      <c r="U1871" s="36"/>
      <c r="V1871" s="36"/>
      <c r="W1871" s="35"/>
      <c r="X1871" s="7"/>
      <c r="Y1871" s="7"/>
      <c r="Z1871" s="7"/>
      <c r="AA1871" s="7"/>
      <c r="AB1871" s="7"/>
      <c r="AC1871" s="7"/>
      <c r="AD1871" s="7"/>
      <c r="AE1871" s="7"/>
      <c r="AG1871" s="36"/>
      <c r="AH1871" s="36"/>
      <c r="AI1871" s="35"/>
      <c r="AJ1871" s="7"/>
      <c r="AK1871" s="7"/>
      <c r="AL1871" s="7"/>
      <c r="AM1871" s="7"/>
      <c r="AN1871" s="7"/>
      <c r="AO1871" s="7"/>
      <c r="AP1871" s="7"/>
      <c r="AQ1871" s="7"/>
      <c r="AS1871" s="36"/>
      <c r="AT1871" s="36"/>
      <c r="AU1871" s="35"/>
      <c r="AV1871" s="7"/>
      <c r="AW1871" s="7"/>
      <c r="AX1871" s="7"/>
      <c r="AY1871" s="7"/>
      <c r="AZ1871" s="7"/>
      <c r="BA1871" s="7"/>
      <c r="BB1871" s="7"/>
      <c r="BC1871" s="7"/>
      <c r="BF1871" s="7"/>
      <c r="BG1871" s="36"/>
      <c r="BH1871" s="36"/>
      <c r="BI1871" s="36"/>
      <c r="BJ1871" s="36"/>
      <c r="BK1871" s="36"/>
      <c r="BL1871" s="36"/>
      <c r="BM1871" s="36"/>
      <c r="BN1871" s="36"/>
      <c r="BO1871" s="36"/>
    </row>
    <row r="1872" spans="1:67" x14ac:dyDescent="0.25">
      <c r="A1872" s="39"/>
      <c r="B1872" s="40"/>
      <c r="U1872" s="36"/>
      <c r="V1872" s="36"/>
      <c r="W1872" s="35"/>
      <c r="X1872" s="7"/>
      <c r="Y1872" s="7"/>
      <c r="Z1872" s="7"/>
      <c r="AA1872" s="7"/>
      <c r="AB1872" s="7"/>
      <c r="AC1872" s="7"/>
      <c r="AD1872" s="7"/>
      <c r="AE1872" s="7"/>
      <c r="AG1872" s="36"/>
      <c r="AH1872" s="36"/>
      <c r="AI1872" s="35"/>
      <c r="AJ1872" s="7"/>
      <c r="AK1872" s="7"/>
      <c r="AL1872" s="7"/>
      <c r="AM1872" s="7"/>
      <c r="AN1872" s="7"/>
      <c r="AO1872" s="7"/>
      <c r="AP1872" s="7"/>
      <c r="AQ1872" s="7"/>
      <c r="AS1872" s="36"/>
      <c r="AT1872" s="36"/>
      <c r="AU1872" s="35"/>
      <c r="AV1872" s="7"/>
      <c r="AW1872" s="7"/>
      <c r="AX1872" s="7"/>
      <c r="AY1872" s="7"/>
      <c r="AZ1872" s="7"/>
      <c r="BA1872" s="7"/>
      <c r="BB1872" s="7"/>
      <c r="BC1872" s="7"/>
      <c r="BF1872" s="7"/>
      <c r="BG1872" s="36"/>
      <c r="BH1872" s="36"/>
      <c r="BI1872" s="36"/>
      <c r="BJ1872" s="36"/>
      <c r="BK1872" s="36"/>
      <c r="BL1872" s="36"/>
      <c r="BM1872" s="36"/>
      <c r="BN1872" s="36"/>
      <c r="BO1872" s="36"/>
    </row>
    <row r="1873" spans="1:67" x14ac:dyDescent="0.25">
      <c r="A1873" s="39"/>
      <c r="B1873" s="40"/>
      <c r="U1873" s="36"/>
      <c r="V1873" s="36"/>
      <c r="W1873" s="35"/>
      <c r="X1873" s="7"/>
      <c r="Y1873" s="7"/>
      <c r="Z1873" s="7"/>
      <c r="AA1873" s="7"/>
      <c r="AB1873" s="7"/>
      <c r="AC1873" s="7"/>
      <c r="AD1873" s="7"/>
      <c r="AE1873" s="7"/>
      <c r="AG1873" s="36"/>
      <c r="AH1873" s="36"/>
      <c r="AI1873" s="35"/>
      <c r="AJ1873" s="7"/>
      <c r="AK1873" s="7"/>
      <c r="AL1873" s="7"/>
      <c r="AM1873" s="7"/>
      <c r="AN1873" s="7"/>
      <c r="AO1873" s="7"/>
      <c r="AP1873" s="7"/>
      <c r="AQ1873" s="7"/>
      <c r="AS1873" s="36"/>
      <c r="AT1873" s="36"/>
      <c r="AU1873" s="35"/>
      <c r="AV1873" s="7"/>
      <c r="AW1873" s="7"/>
      <c r="AX1873" s="7"/>
      <c r="AY1873" s="7"/>
      <c r="AZ1873" s="7"/>
      <c r="BA1873" s="7"/>
      <c r="BB1873" s="7"/>
      <c r="BC1873" s="7"/>
      <c r="BF1873" s="7"/>
      <c r="BG1873" s="36"/>
      <c r="BH1873" s="36"/>
      <c r="BI1873" s="36"/>
      <c r="BJ1873" s="36"/>
      <c r="BK1873" s="36"/>
      <c r="BL1873" s="36"/>
      <c r="BM1873" s="36"/>
      <c r="BN1873" s="36"/>
      <c r="BO1873" s="36"/>
    </row>
    <row r="1874" spans="1:67" x14ac:dyDescent="0.25">
      <c r="A1874" s="39"/>
      <c r="B1874" s="40"/>
      <c r="U1874" s="36"/>
      <c r="V1874" s="36"/>
      <c r="W1874" s="35"/>
      <c r="X1874" s="7"/>
      <c r="Y1874" s="7"/>
      <c r="Z1874" s="7"/>
      <c r="AA1874" s="7"/>
      <c r="AB1874" s="7"/>
      <c r="AC1874" s="7"/>
      <c r="AD1874" s="7"/>
      <c r="AE1874" s="7"/>
      <c r="AG1874" s="36"/>
      <c r="AH1874" s="36"/>
      <c r="AI1874" s="35"/>
      <c r="AJ1874" s="7"/>
      <c r="AK1874" s="7"/>
      <c r="AL1874" s="7"/>
      <c r="AM1874" s="7"/>
      <c r="AN1874" s="7"/>
      <c r="AO1874" s="7"/>
      <c r="AP1874" s="7"/>
      <c r="AQ1874" s="7"/>
      <c r="AS1874" s="36"/>
      <c r="AT1874" s="36"/>
      <c r="AU1874" s="35"/>
      <c r="AV1874" s="7"/>
      <c r="AW1874" s="7"/>
      <c r="AX1874" s="7"/>
      <c r="AY1874" s="7"/>
      <c r="AZ1874" s="7"/>
      <c r="BA1874" s="7"/>
      <c r="BB1874" s="7"/>
      <c r="BC1874" s="7"/>
      <c r="BF1874" s="7"/>
      <c r="BG1874" s="36"/>
      <c r="BH1874" s="36"/>
      <c r="BI1874" s="36"/>
      <c r="BJ1874" s="36"/>
      <c r="BK1874" s="36"/>
      <c r="BL1874" s="36"/>
      <c r="BM1874" s="36"/>
      <c r="BN1874" s="36"/>
      <c r="BO1874" s="36"/>
    </row>
    <row r="1875" spans="1:67" x14ac:dyDescent="0.25">
      <c r="A1875" s="39"/>
      <c r="B1875" s="40"/>
      <c r="U1875" s="36"/>
      <c r="V1875" s="36"/>
      <c r="W1875" s="35"/>
      <c r="X1875" s="7"/>
      <c r="Y1875" s="7"/>
      <c r="Z1875" s="7"/>
      <c r="AA1875" s="7"/>
      <c r="AB1875" s="7"/>
      <c r="AC1875" s="7"/>
      <c r="AD1875" s="7"/>
      <c r="AE1875" s="7"/>
      <c r="AG1875" s="36"/>
      <c r="AH1875" s="36"/>
      <c r="AI1875" s="35"/>
      <c r="AJ1875" s="7"/>
      <c r="AK1875" s="7"/>
      <c r="AL1875" s="7"/>
      <c r="AM1875" s="7"/>
      <c r="AN1875" s="7"/>
      <c r="AO1875" s="7"/>
      <c r="AP1875" s="7"/>
      <c r="AQ1875" s="7"/>
      <c r="AS1875" s="36"/>
      <c r="AT1875" s="36"/>
      <c r="AU1875" s="35"/>
      <c r="AV1875" s="7"/>
      <c r="AW1875" s="7"/>
      <c r="AX1875" s="7"/>
      <c r="AY1875" s="7"/>
      <c r="AZ1875" s="7"/>
      <c r="BA1875" s="7"/>
      <c r="BB1875" s="7"/>
      <c r="BC1875" s="7"/>
      <c r="BF1875" s="7"/>
      <c r="BG1875" s="36"/>
      <c r="BH1875" s="36"/>
      <c r="BI1875" s="36"/>
      <c r="BJ1875" s="36"/>
      <c r="BK1875" s="36"/>
      <c r="BL1875" s="36"/>
      <c r="BM1875" s="36"/>
      <c r="BN1875" s="36"/>
      <c r="BO1875" s="36"/>
    </row>
    <row r="1876" spans="1:67" x14ac:dyDescent="0.25">
      <c r="A1876" s="39"/>
      <c r="B1876" s="40"/>
      <c r="U1876" s="36"/>
      <c r="V1876" s="36"/>
      <c r="W1876" s="35"/>
      <c r="X1876" s="7"/>
      <c r="Y1876" s="7"/>
      <c r="Z1876" s="7"/>
      <c r="AA1876" s="7"/>
      <c r="AB1876" s="7"/>
      <c r="AC1876" s="7"/>
      <c r="AD1876" s="7"/>
      <c r="AE1876" s="7"/>
      <c r="AG1876" s="36"/>
      <c r="AH1876" s="36"/>
      <c r="AI1876" s="35"/>
      <c r="AJ1876" s="7"/>
      <c r="AK1876" s="7"/>
      <c r="AL1876" s="7"/>
      <c r="AM1876" s="7"/>
      <c r="AN1876" s="7"/>
      <c r="AO1876" s="7"/>
      <c r="AP1876" s="7"/>
      <c r="AQ1876" s="7"/>
      <c r="AS1876" s="36"/>
      <c r="AT1876" s="36"/>
      <c r="AU1876" s="35"/>
      <c r="AV1876" s="7"/>
      <c r="AW1876" s="7"/>
      <c r="AX1876" s="7"/>
      <c r="AY1876" s="7"/>
      <c r="AZ1876" s="7"/>
      <c r="BA1876" s="7"/>
      <c r="BB1876" s="7"/>
      <c r="BC1876" s="7"/>
      <c r="BF1876" s="7"/>
      <c r="BG1876" s="36"/>
      <c r="BH1876" s="36"/>
      <c r="BI1876" s="36"/>
      <c r="BJ1876" s="36"/>
      <c r="BK1876" s="36"/>
      <c r="BL1876" s="36"/>
      <c r="BM1876" s="36"/>
      <c r="BN1876" s="36"/>
      <c r="BO1876" s="36"/>
    </row>
    <row r="1877" spans="1:67" x14ac:dyDescent="0.25">
      <c r="A1877" s="39"/>
      <c r="B1877" s="40"/>
      <c r="U1877" s="36"/>
      <c r="V1877" s="36"/>
      <c r="W1877" s="35"/>
      <c r="X1877" s="7"/>
      <c r="Y1877" s="7"/>
      <c r="Z1877" s="7"/>
      <c r="AA1877" s="7"/>
      <c r="AB1877" s="7"/>
      <c r="AC1877" s="7"/>
      <c r="AD1877" s="7"/>
      <c r="AE1877" s="7"/>
      <c r="AG1877" s="36"/>
      <c r="AH1877" s="36"/>
      <c r="AI1877" s="35"/>
      <c r="AJ1877" s="7"/>
      <c r="AK1877" s="7"/>
      <c r="AL1877" s="7"/>
      <c r="AM1877" s="7"/>
      <c r="AN1877" s="7"/>
      <c r="AO1877" s="7"/>
      <c r="AP1877" s="7"/>
      <c r="AQ1877" s="7"/>
      <c r="AS1877" s="36"/>
      <c r="AT1877" s="36"/>
      <c r="AU1877" s="35"/>
      <c r="AV1877" s="7"/>
      <c r="AW1877" s="7"/>
      <c r="AX1877" s="7"/>
      <c r="AY1877" s="7"/>
      <c r="AZ1877" s="7"/>
      <c r="BA1877" s="7"/>
      <c r="BB1877" s="7"/>
      <c r="BC1877" s="7"/>
      <c r="BF1877" s="7"/>
      <c r="BG1877" s="36"/>
      <c r="BH1877" s="36"/>
      <c r="BI1877" s="36"/>
      <c r="BJ1877" s="36"/>
      <c r="BK1877" s="36"/>
      <c r="BL1877" s="36"/>
      <c r="BM1877" s="36"/>
      <c r="BN1877" s="36"/>
      <c r="BO1877" s="36"/>
    </row>
    <row r="1878" spans="1:67" x14ac:dyDescent="0.25">
      <c r="A1878" s="39"/>
      <c r="B1878" s="40"/>
      <c r="U1878" s="36"/>
      <c r="V1878" s="36"/>
      <c r="W1878" s="35"/>
      <c r="X1878" s="7"/>
      <c r="Y1878" s="7"/>
      <c r="Z1878" s="7"/>
      <c r="AA1878" s="7"/>
      <c r="AB1878" s="7"/>
      <c r="AC1878" s="7"/>
      <c r="AD1878" s="7"/>
      <c r="AE1878" s="7"/>
      <c r="AG1878" s="36"/>
      <c r="AH1878" s="36"/>
      <c r="AI1878" s="35"/>
      <c r="AJ1878" s="7"/>
      <c r="AK1878" s="7"/>
      <c r="AL1878" s="7"/>
      <c r="AM1878" s="7"/>
      <c r="AN1878" s="7"/>
      <c r="AO1878" s="7"/>
      <c r="AP1878" s="7"/>
      <c r="AQ1878" s="7"/>
      <c r="AS1878" s="36"/>
      <c r="AT1878" s="36"/>
      <c r="AU1878" s="35"/>
      <c r="AV1878" s="7"/>
      <c r="AW1878" s="7"/>
      <c r="AX1878" s="7"/>
      <c r="AY1878" s="7"/>
      <c r="AZ1878" s="7"/>
      <c r="BA1878" s="7"/>
      <c r="BB1878" s="7"/>
      <c r="BC1878" s="7"/>
      <c r="BF1878" s="7"/>
      <c r="BG1878" s="36"/>
      <c r="BH1878" s="36"/>
      <c r="BI1878" s="36"/>
      <c r="BJ1878" s="36"/>
      <c r="BK1878" s="36"/>
      <c r="BL1878" s="36"/>
      <c r="BM1878" s="36"/>
      <c r="BN1878" s="36"/>
      <c r="BO1878" s="36"/>
    </row>
    <row r="1879" spans="1:67" x14ac:dyDescent="0.25">
      <c r="A1879" s="39"/>
      <c r="B1879" s="40"/>
      <c r="U1879" s="36"/>
      <c r="V1879" s="36"/>
      <c r="W1879" s="35"/>
      <c r="X1879" s="7"/>
      <c r="Y1879" s="7"/>
      <c r="Z1879" s="7"/>
      <c r="AA1879" s="7"/>
      <c r="AB1879" s="7"/>
      <c r="AC1879" s="7"/>
      <c r="AD1879" s="7"/>
      <c r="AE1879" s="7"/>
      <c r="AG1879" s="36"/>
      <c r="AH1879" s="36"/>
      <c r="AI1879" s="35"/>
      <c r="AJ1879" s="7"/>
      <c r="AK1879" s="7"/>
      <c r="AL1879" s="7"/>
      <c r="AM1879" s="7"/>
      <c r="AN1879" s="7"/>
      <c r="AO1879" s="7"/>
      <c r="AP1879" s="7"/>
      <c r="AQ1879" s="7"/>
      <c r="AS1879" s="36"/>
      <c r="AT1879" s="36"/>
      <c r="AU1879" s="35"/>
      <c r="AV1879" s="7"/>
      <c r="AW1879" s="7"/>
      <c r="AX1879" s="7"/>
      <c r="AY1879" s="7"/>
      <c r="AZ1879" s="7"/>
      <c r="BA1879" s="7"/>
      <c r="BB1879" s="7"/>
      <c r="BC1879" s="7"/>
      <c r="BF1879" s="7"/>
      <c r="BG1879" s="36"/>
      <c r="BH1879" s="36"/>
      <c r="BI1879" s="36"/>
      <c r="BJ1879" s="36"/>
      <c r="BK1879" s="36"/>
      <c r="BL1879" s="36"/>
      <c r="BM1879" s="36"/>
      <c r="BN1879" s="36"/>
      <c r="BO1879" s="36"/>
    </row>
    <row r="1880" spans="1:67" x14ac:dyDescent="0.25">
      <c r="A1880" s="39"/>
      <c r="B1880" s="40"/>
      <c r="U1880" s="36"/>
      <c r="V1880" s="36"/>
      <c r="W1880" s="35"/>
      <c r="X1880" s="7"/>
      <c r="Y1880" s="7"/>
      <c r="Z1880" s="7"/>
      <c r="AA1880" s="7"/>
      <c r="AB1880" s="7"/>
      <c r="AC1880" s="7"/>
      <c r="AD1880" s="7"/>
      <c r="AE1880" s="7"/>
      <c r="AG1880" s="36"/>
      <c r="AH1880" s="36"/>
      <c r="AI1880" s="35"/>
      <c r="AJ1880" s="7"/>
      <c r="AK1880" s="7"/>
      <c r="AL1880" s="7"/>
      <c r="AM1880" s="7"/>
      <c r="AN1880" s="7"/>
      <c r="AO1880" s="7"/>
      <c r="AP1880" s="7"/>
      <c r="AQ1880" s="7"/>
      <c r="AS1880" s="36"/>
      <c r="AT1880" s="36"/>
      <c r="AU1880" s="35"/>
      <c r="AV1880" s="7"/>
      <c r="AW1880" s="7"/>
      <c r="AX1880" s="7"/>
      <c r="AY1880" s="7"/>
      <c r="AZ1880" s="7"/>
      <c r="BA1880" s="7"/>
      <c r="BB1880" s="7"/>
      <c r="BC1880" s="7"/>
      <c r="BF1880" s="7"/>
      <c r="BG1880" s="36"/>
      <c r="BH1880" s="36"/>
      <c r="BI1880" s="36"/>
      <c r="BJ1880" s="36"/>
      <c r="BK1880" s="36"/>
      <c r="BL1880" s="36"/>
      <c r="BM1880" s="36"/>
      <c r="BN1880" s="36"/>
      <c r="BO1880" s="36"/>
    </row>
    <row r="1881" spans="1:67" x14ac:dyDescent="0.25">
      <c r="A1881" s="39"/>
      <c r="B1881" s="40"/>
      <c r="U1881" s="36"/>
      <c r="V1881" s="36"/>
      <c r="W1881" s="35"/>
      <c r="X1881" s="7"/>
      <c r="Y1881" s="7"/>
      <c r="Z1881" s="7"/>
      <c r="AA1881" s="7"/>
      <c r="AB1881" s="7"/>
      <c r="AC1881" s="7"/>
      <c r="AD1881" s="7"/>
      <c r="AE1881" s="7"/>
      <c r="AG1881" s="36"/>
      <c r="AH1881" s="36"/>
      <c r="AI1881" s="35"/>
      <c r="AJ1881" s="7"/>
      <c r="AK1881" s="7"/>
      <c r="AL1881" s="7"/>
      <c r="AM1881" s="7"/>
      <c r="AN1881" s="7"/>
      <c r="AO1881" s="7"/>
      <c r="AP1881" s="7"/>
      <c r="AQ1881" s="7"/>
      <c r="AS1881" s="36"/>
      <c r="AT1881" s="36"/>
      <c r="AU1881" s="35"/>
      <c r="AV1881" s="7"/>
      <c r="AW1881" s="7"/>
      <c r="AX1881" s="7"/>
      <c r="AY1881" s="7"/>
      <c r="AZ1881" s="7"/>
      <c r="BA1881" s="7"/>
      <c r="BB1881" s="7"/>
      <c r="BC1881" s="7"/>
      <c r="BF1881" s="7"/>
      <c r="BG1881" s="36"/>
      <c r="BH1881" s="36"/>
      <c r="BI1881" s="36"/>
      <c r="BJ1881" s="36"/>
      <c r="BK1881" s="36"/>
      <c r="BL1881" s="36"/>
      <c r="BM1881" s="36"/>
      <c r="BN1881" s="36"/>
      <c r="BO1881" s="36"/>
    </row>
    <row r="1882" spans="1:67" x14ac:dyDescent="0.25">
      <c r="A1882" s="39"/>
      <c r="B1882" s="40"/>
      <c r="U1882" s="36"/>
      <c r="V1882" s="36"/>
      <c r="W1882" s="35"/>
      <c r="X1882" s="7"/>
      <c r="Y1882" s="7"/>
      <c r="Z1882" s="7"/>
      <c r="AA1882" s="7"/>
      <c r="AB1882" s="7"/>
      <c r="AC1882" s="7"/>
      <c r="AD1882" s="7"/>
      <c r="AE1882" s="7"/>
      <c r="AG1882" s="36"/>
      <c r="AH1882" s="36"/>
      <c r="AI1882" s="35"/>
      <c r="AJ1882" s="7"/>
      <c r="AK1882" s="7"/>
      <c r="AL1882" s="7"/>
      <c r="AM1882" s="7"/>
      <c r="AN1882" s="7"/>
      <c r="AO1882" s="7"/>
      <c r="AP1882" s="7"/>
      <c r="AQ1882" s="7"/>
      <c r="AS1882" s="36"/>
      <c r="AT1882" s="36"/>
      <c r="AU1882" s="35"/>
      <c r="AV1882" s="7"/>
      <c r="AW1882" s="7"/>
      <c r="AX1882" s="7"/>
      <c r="AY1882" s="7"/>
      <c r="AZ1882" s="7"/>
      <c r="BA1882" s="7"/>
      <c r="BB1882" s="7"/>
      <c r="BC1882" s="7"/>
      <c r="BF1882" s="7"/>
      <c r="BG1882" s="36"/>
      <c r="BH1882" s="36"/>
      <c r="BI1882" s="36"/>
      <c r="BJ1882" s="36"/>
      <c r="BK1882" s="36"/>
      <c r="BL1882" s="36"/>
      <c r="BM1882" s="36"/>
      <c r="BN1882" s="36"/>
      <c r="BO1882" s="36"/>
    </row>
    <row r="1883" spans="1:67" x14ac:dyDescent="0.25">
      <c r="A1883" s="39"/>
      <c r="B1883" s="40"/>
      <c r="U1883" s="36"/>
      <c r="V1883" s="36"/>
      <c r="W1883" s="35"/>
      <c r="X1883" s="7"/>
      <c r="Y1883" s="7"/>
      <c r="Z1883" s="7"/>
      <c r="AA1883" s="7"/>
      <c r="AB1883" s="7"/>
      <c r="AC1883" s="7"/>
      <c r="AD1883" s="7"/>
      <c r="AE1883" s="7"/>
      <c r="AG1883" s="36"/>
      <c r="AH1883" s="36"/>
      <c r="AI1883" s="35"/>
      <c r="AJ1883" s="7"/>
      <c r="AK1883" s="7"/>
      <c r="AL1883" s="7"/>
      <c r="AM1883" s="7"/>
      <c r="AN1883" s="7"/>
      <c r="AO1883" s="7"/>
      <c r="AP1883" s="7"/>
      <c r="AQ1883" s="7"/>
      <c r="AS1883" s="36"/>
      <c r="AT1883" s="36"/>
      <c r="AU1883" s="35"/>
      <c r="AV1883" s="7"/>
      <c r="AW1883" s="7"/>
      <c r="AX1883" s="7"/>
      <c r="AY1883" s="7"/>
      <c r="AZ1883" s="7"/>
      <c r="BA1883" s="7"/>
      <c r="BB1883" s="7"/>
      <c r="BC1883" s="7"/>
      <c r="BF1883" s="7"/>
      <c r="BG1883" s="36"/>
      <c r="BH1883" s="36"/>
      <c r="BI1883" s="36"/>
      <c r="BJ1883" s="36"/>
      <c r="BK1883" s="36"/>
      <c r="BL1883" s="36"/>
      <c r="BM1883" s="36"/>
      <c r="BN1883" s="36"/>
      <c r="BO1883" s="36"/>
    </row>
    <row r="1884" spans="1:67" x14ac:dyDescent="0.25">
      <c r="A1884" s="39"/>
      <c r="B1884" s="40"/>
      <c r="U1884" s="36"/>
      <c r="V1884" s="36"/>
      <c r="W1884" s="35"/>
      <c r="X1884" s="7"/>
      <c r="Y1884" s="7"/>
      <c r="Z1884" s="7"/>
      <c r="AA1884" s="7"/>
      <c r="AB1884" s="7"/>
      <c r="AC1884" s="7"/>
      <c r="AD1884" s="7"/>
      <c r="AE1884" s="7"/>
      <c r="AG1884" s="36"/>
      <c r="AH1884" s="36"/>
      <c r="AI1884" s="35"/>
      <c r="AJ1884" s="7"/>
      <c r="AK1884" s="7"/>
      <c r="AL1884" s="7"/>
      <c r="AM1884" s="7"/>
      <c r="AN1884" s="7"/>
      <c r="AO1884" s="7"/>
      <c r="AP1884" s="7"/>
      <c r="AQ1884" s="7"/>
      <c r="AS1884" s="36"/>
      <c r="AT1884" s="36"/>
      <c r="AU1884" s="35"/>
      <c r="AV1884" s="7"/>
      <c r="AW1884" s="7"/>
      <c r="AX1884" s="7"/>
      <c r="AY1884" s="7"/>
      <c r="AZ1884" s="7"/>
      <c r="BA1884" s="7"/>
      <c r="BB1884" s="7"/>
      <c r="BC1884" s="7"/>
      <c r="BF1884" s="7"/>
      <c r="BG1884" s="36"/>
      <c r="BH1884" s="36"/>
      <c r="BI1884" s="36"/>
      <c r="BJ1884" s="36"/>
      <c r="BK1884" s="36"/>
      <c r="BL1884" s="36"/>
      <c r="BM1884" s="36"/>
      <c r="BN1884" s="36"/>
      <c r="BO1884" s="36"/>
    </row>
    <row r="1885" spans="1:67" x14ac:dyDescent="0.25">
      <c r="A1885" s="39"/>
      <c r="B1885" s="40"/>
      <c r="U1885" s="36"/>
      <c r="V1885" s="36"/>
      <c r="W1885" s="35"/>
      <c r="X1885" s="7"/>
      <c r="Y1885" s="7"/>
      <c r="Z1885" s="7"/>
      <c r="AA1885" s="7"/>
      <c r="AB1885" s="7"/>
      <c r="AC1885" s="7"/>
      <c r="AD1885" s="7"/>
      <c r="AE1885" s="7"/>
      <c r="AG1885" s="36"/>
      <c r="AH1885" s="36"/>
      <c r="AI1885" s="35"/>
      <c r="AJ1885" s="7"/>
      <c r="AK1885" s="7"/>
      <c r="AL1885" s="7"/>
      <c r="AM1885" s="7"/>
      <c r="AN1885" s="7"/>
      <c r="AO1885" s="7"/>
      <c r="AP1885" s="7"/>
      <c r="AQ1885" s="7"/>
      <c r="AS1885" s="36"/>
      <c r="AT1885" s="36"/>
      <c r="AU1885" s="35"/>
      <c r="AV1885" s="7"/>
      <c r="AW1885" s="7"/>
      <c r="AX1885" s="7"/>
      <c r="AY1885" s="7"/>
      <c r="AZ1885" s="7"/>
      <c r="BA1885" s="7"/>
      <c r="BB1885" s="7"/>
      <c r="BC1885" s="7"/>
      <c r="BF1885" s="7"/>
      <c r="BG1885" s="36"/>
      <c r="BH1885" s="36"/>
      <c r="BI1885" s="36"/>
      <c r="BJ1885" s="36"/>
      <c r="BK1885" s="36"/>
      <c r="BL1885" s="36"/>
      <c r="BM1885" s="36"/>
      <c r="BN1885" s="36"/>
      <c r="BO1885" s="36"/>
    </row>
    <row r="1886" spans="1:67" x14ac:dyDescent="0.25">
      <c r="A1886" s="39"/>
      <c r="B1886" s="40"/>
      <c r="U1886" s="36"/>
      <c r="V1886" s="36"/>
      <c r="W1886" s="35"/>
      <c r="X1886" s="7"/>
      <c r="Y1886" s="7"/>
      <c r="Z1886" s="7"/>
      <c r="AA1886" s="7"/>
      <c r="AB1886" s="7"/>
      <c r="AC1886" s="7"/>
      <c r="AD1886" s="7"/>
      <c r="AE1886" s="7"/>
      <c r="AG1886" s="36"/>
      <c r="AH1886" s="36"/>
      <c r="AI1886" s="35"/>
      <c r="AJ1886" s="7"/>
      <c r="AK1886" s="7"/>
      <c r="AL1886" s="7"/>
      <c r="AM1886" s="7"/>
      <c r="AN1886" s="7"/>
      <c r="AO1886" s="7"/>
      <c r="AP1886" s="7"/>
      <c r="AQ1886" s="7"/>
      <c r="AS1886" s="36"/>
      <c r="AT1886" s="36"/>
      <c r="AU1886" s="35"/>
      <c r="AV1886" s="7"/>
      <c r="AW1886" s="7"/>
      <c r="AX1886" s="7"/>
      <c r="AY1886" s="7"/>
      <c r="AZ1886" s="7"/>
      <c r="BA1886" s="7"/>
      <c r="BB1886" s="7"/>
      <c r="BC1886" s="7"/>
      <c r="BF1886" s="7"/>
      <c r="BG1886" s="36"/>
      <c r="BH1886" s="36"/>
      <c r="BI1886" s="36"/>
      <c r="BJ1886" s="36"/>
      <c r="BK1886" s="36"/>
      <c r="BL1886" s="36"/>
      <c r="BM1886" s="36"/>
      <c r="BN1886" s="36"/>
      <c r="BO1886" s="36"/>
    </row>
    <row r="1887" spans="1:67" x14ac:dyDescent="0.25">
      <c r="A1887" s="39"/>
      <c r="B1887" s="40"/>
      <c r="U1887" s="36"/>
      <c r="V1887" s="36"/>
      <c r="W1887" s="35"/>
      <c r="X1887" s="7"/>
      <c r="Y1887" s="7"/>
      <c r="Z1887" s="7"/>
      <c r="AA1887" s="7"/>
      <c r="AB1887" s="7"/>
      <c r="AC1887" s="7"/>
      <c r="AD1887" s="7"/>
      <c r="AE1887" s="7"/>
      <c r="AG1887" s="36"/>
      <c r="AH1887" s="36"/>
      <c r="AI1887" s="35"/>
      <c r="AJ1887" s="7"/>
      <c r="AK1887" s="7"/>
      <c r="AL1887" s="7"/>
      <c r="AM1887" s="7"/>
      <c r="AN1887" s="7"/>
      <c r="AO1887" s="7"/>
      <c r="AP1887" s="7"/>
      <c r="AQ1887" s="7"/>
      <c r="AS1887" s="36"/>
      <c r="AT1887" s="36"/>
      <c r="AU1887" s="35"/>
      <c r="AV1887" s="7"/>
      <c r="AW1887" s="7"/>
      <c r="AX1887" s="7"/>
      <c r="AY1887" s="7"/>
      <c r="AZ1887" s="7"/>
      <c r="BA1887" s="7"/>
      <c r="BB1887" s="7"/>
      <c r="BC1887" s="7"/>
      <c r="BF1887" s="7"/>
      <c r="BG1887" s="36"/>
      <c r="BH1887" s="36"/>
      <c r="BI1887" s="36"/>
      <c r="BJ1887" s="36"/>
      <c r="BK1887" s="36"/>
      <c r="BL1887" s="36"/>
      <c r="BM1887" s="36"/>
      <c r="BN1887" s="36"/>
      <c r="BO1887" s="36"/>
    </row>
    <row r="1888" spans="1:67" x14ac:dyDescent="0.25">
      <c r="A1888" s="39"/>
      <c r="B1888" s="40"/>
      <c r="U1888" s="36"/>
      <c r="V1888" s="36"/>
      <c r="W1888" s="35"/>
      <c r="X1888" s="7"/>
      <c r="Y1888" s="7"/>
      <c r="Z1888" s="7"/>
      <c r="AA1888" s="7"/>
      <c r="AB1888" s="7"/>
      <c r="AC1888" s="7"/>
      <c r="AD1888" s="7"/>
      <c r="AE1888" s="7"/>
      <c r="AG1888" s="36"/>
      <c r="AH1888" s="36"/>
      <c r="AI1888" s="35"/>
      <c r="AJ1888" s="7"/>
      <c r="AK1888" s="7"/>
      <c r="AL1888" s="7"/>
      <c r="AM1888" s="7"/>
      <c r="AN1888" s="7"/>
      <c r="AO1888" s="7"/>
      <c r="AP1888" s="7"/>
      <c r="AQ1888" s="7"/>
      <c r="AS1888" s="36"/>
      <c r="AT1888" s="36"/>
      <c r="AU1888" s="35"/>
      <c r="AV1888" s="7"/>
      <c r="AW1888" s="7"/>
      <c r="AX1888" s="7"/>
      <c r="AY1888" s="7"/>
      <c r="AZ1888" s="7"/>
      <c r="BA1888" s="7"/>
      <c r="BB1888" s="7"/>
      <c r="BC1888" s="7"/>
      <c r="BF1888" s="7"/>
      <c r="BG1888" s="36"/>
      <c r="BH1888" s="36"/>
      <c r="BI1888" s="36"/>
      <c r="BJ1888" s="36"/>
      <c r="BK1888" s="36"/>
      <c r="BL1888" s="36"/>
      <c r="BM1888" s="36"/>
      <c r="BN1888" s="36"/>
      <c r="BO1888" s="36"/>
    </row>
    <row r="1889" spans="1:67" x14ac:dyDescent="0.25">
      <c r="A1889" s="39"/>
      <c r="B1889" s="40"/>
      <c r="U1889" s="36"/>
      <c r="V1889" s="36"/>
      <c r="W1889" s="35"/>
      <c r="X1889" s="7"/>
      <c r="Y1889" s="7"/>
      <c r="Z1889" s="7"/>
      <c r="AA1889" s="7"/>
      <c r="AB1889" s="7"/>
      <c r="AC1889" s="7"/>
      <c r="AD1889" s="7"/>
      <c r="AE1889" s="7"/>
      <c r="AG1889" s="36"/>
      <c r="AH1889" s="36"/>
      <c r="AI1889" s="35"/>
      <c r="AJ1889" s="7"/>
      <c r="AK1889" s="7"/>
      <c r="AL1889" s="7"/>
      <c r="AM1889" s="7"/>
      <c r="AN1889" s="7"/>
      <c r="AO1889" s="7"/>
      <c r="AP1889" s="7"/>
      <c r="AQ1889" s="7"/>
      <c r="AS1889" s="36"/>
      <c r="AT1889" s="36"/>
      <c r="AU1889" s="35"/>
      <c r="AV1889" s="7"/>
      <c r="AW1889" s="7"/>
      <c r="AX1889" s="7"/>
      <c r="AY1889" s="7"/>
      <c r="AZ1889" s="7"/>
      <c r="BA1889" s="7"/>
      <c r="BB1889" s="7"/>
      <c r="BC1889" s="7"/>
      <c r="BF1889" s="7"/>
      <c r="BG1889" s="36"/>
      <c r="BH1889" s="36"/>
      <c r="BI1889" s="36"/>
      <c r="BJ1889" s="36"/>
      <c r="BK1889" s="36"/>
      <c r="BL1889" s="36"/>
      <c r="BM1889" s="36"/>
      <c r="BN1889" s="36"/>
      <c r="BO1889" s="36"/>
    </row>
    <row r="1890" spans="1:67" x14ac:dyDescent="0.25">
      <c r="A1890" s="39"/>
      <c r="B1890" s="40"/>
      <c r="U1890" s="36"/>
      <c r="V1890" s="36"/>
      <c r="W1890" s="35"/>
      <c r="X1890" s="7"/>
      <c r="Y1890" s="7"/>
      <c r="Z1890" s="7"/>
      <c r="AA1890" s="7"/>
      <c r="AB1890" s="7"/>
      <c r="AC1890" s="7"/>
      <c r="AD1890" s="7"/>
      <c r="AE1890" s="7"/>
      <c r="AG1890" s="36"/>
      <c r="AH1890" s="36"/>
      <c r="AI1890" s="35"/>
      <c r="AJ1890" s="7"/>
      <c r="AK1890" s="7"/>
      <c r="AL1890" s="7"/>
      <c r="AM1890" s="7"/>
      <c r="AN1890" s="7"/>
      <c r="AO1890" s="7"/>
      <c r="AP1890" s="7"/>
      <c r="AQ1890" s="7"/>
      <c r="AS1890" s="36"/>
      <c r="AT1890" s="36"/>
      <c r="AU1890" s="35"/>
      <c r="AV1890" s="7"/>
      <c r="AW1890" s="7"/>
      <c r="AX1890" s="7"/>
      <c r="AY1890" s="7"/>
      <c r="AZ1890" s="7"/>
      <c r="BA1890" s="7"/>
      <c r="BB1890" s="7"/>
      <c r="BC1890" s="7"/>
      <c r="BF1890" s="7"/>
      <c r="BG1890" s="36"/>
      <c r="BH1890" s="36"/>
      <c r="BI1890" s="36"/>
      <c r="BJ1890" s="36"/>
      <c r="BK1890" s="36"/>
      <c r="BL1890" s="36"/>
      <c r="BM1890" s="36"/>
      <c r="BN1890" s="36"/>
      <c r="BO1890" s="36"/>
    </row>
    <row r="1891" spans="1:67" x14ac:dyDescent="0.25">
      <c r="A1891" s="39"/>
      <c r="B1891" s="40"/>
      <c r="U1891" s="36"/>
      <c r="V1891" s="36"/>
      <c r="W1891" s="35"/>
      <c r="X1891" s="7"/>
      <c r="Y1891" s="7"/>
      <c r="Z1891" s="7"/>
      <c r="AA1891" s="7"/>
      <c r="AB1891" s="7"/>
      <c r="AC1891" s="7"/>
      <c r="AD1891" s="7"/>
      <c r="AE1891" s="7"/>
      <c r="AG1891" s="36"/>
      <c r="AH1891" s="36"/>
      <c r="AI1891" s="35"/>
      <c r="AJ1891" s="7"/>
      <c r="AK1891" s="7"/>
      <c r="AL1891" s="7"/>
      <c r="AM1891" s="7"/>
      <c r="AN1891" s="7"/>
      <c r="AO1891" s="7"/>
      <c r="AP1891" s="7"/>
      <c r="AQ1891" s="7"/>
      <c r="AS1891" s="36"/>
      <c r="AT1891" s="36"/>
      <c r="AU1891" s="35"/>
      <c r="AV1891" s="7"/>
      <c r="AW1891" s="7"/>
      <c r="AX1891" s="7"/>
      <c r="AY1891" s="7"/>
      <c r="AZ1891" s="7"/>
      <c r="BA1891" s="7"/>
      <c r="BB1891" s="7"/>
      <c r="BC1891" s="7"/>
      <c r="BF1891" s="7"/>
      <c r="BG1891" s="36"/>
      <c r="BH1891" s="36"/>
      <c r="BI1891" s="36"/>
      <c r="BJ1891" s="36"/>
      <c r="BK1891" s="36"/>
      <c r="BL1891" s="36"/>
      <c r="BM1891" s="36"/>
      <c r="BN1891" s="36"/>
      <c r="BO1891" s="36"/>
    </row>
    <row r="1892" spans="1:67" x14ac:dyDescent="0.25">
      <c r="A1892" s="39"/>
      <c r="B1892" s="40"/>
      <c r="U1892" s="36"/>
      <c r="V1892" s="36"/>
      <c r="W1892" s="35"/>
      <c r="X1892" s="7"/>
      <c r="Y1892" s="7"/>
      <c r="Z1892" s="7"/>
      <c r="AA1892" s="7"/>
      <c r="AB1892" s="7"/>
      <c r="AC1892" s="7"/>
      <c r="AD1892" s="7"/>
      <c r="AE1892" s="7"/>
      <c r="AG1892" s="36"/>
      <c r="AH1892" s="36"/>
      <c r="AI1892" s="35"/>
      <c r="AJ1892" s="7"/>
      <c r="AK1892" s="7"/>
      <c r="AL1892" s="7"/>
      <c r="AM1892" s="7"/>
      <c r="AN1892" s="7"/>
      <c r="AO1892" s="7"/>
      <c r="AP1892" s="7"/>
      <c r="AQ1892" s="7"/>
      <c r="AS1892" s="36"/>
      <c r="AT1892" s="36"/>
      <c r="AU1892" s="35"/>
      <c r="AV1892" s="7"/>
      <c r="AW1892" s="7"/>
      <c r="AX1892" s="7"/>
      <c r="AY1892" s="7"/>
      <c r="AZ1892" s="7"/>
      <c r="BA1892" s="7"/>
      <c r="BB1892" s="7"/>
      <c r="BC1892" s="7"/>
      <c r="BF1892" s="7"/>
      <c r="BG1892" s="36"/>
      <c r="BH1892" s="36"/>
      <c r="BI1892" s="36"/>
      <c r="BJ1892" s="36"/>
      <c r="BK1892" s="36"/>
      <c r="BL1892" s="36"/>
      <c r="BM1892" s="36"/>
      <c r="BN1892" s="36"/>
      <c r="BO1892" s="36"/>
    </row>
    <row r="1893" spans="1:67" x14ac:dyDescent="0.25">
      <c r="A1893" s="39"/>
      <c r="B1893" s="40"/>
      <c r="U1893" s="36"/>
      <c r="V1893" s="36"/>
      <c r="W1893" s="35"/>
      <c r="X1893" s="7"/>
      <c r="Y1893" s="7"/>
      <c r="Z1893" s="7"/>
      <c r="AA1893" s="7"/>
      <c r="AB1893" s="7"/>
      <c r="AC1893" s="7"/>
      <c r="AD1893" s="7"/>
      <c r="AE1893" s="7"/>
      <c r="AG1893" s="36"/>
      <c r="AH1893" s="36"/>
      <c r="AI1893" s="35"/>
      <c r="AJ1893" s="7"/>
      <c r="AK1893" s="7"/>
      <c r="AL1893" s="7"/>
      <c r="AM1893" s="7"/>
      <c r="AN1893" s="7"/>
      <c r="AO1893" s="7"/>
      <c r="AP1893" s="7"/>
      <c r="AQ1893" s="7"/>
      <c r="AS1893" s="36"/>
      <c r="AT1893" s="36"/>
      <c r="AU1893" s="35"/>
      <c r="AV1893" s="7"/>
      <c r="AW1893" s="7"/>
      <c r="AX1893" s="7"/>
      <c r="AY1893" s="7"/>
      <c r="AZ1893" s="7"/>
      <c r="BA1893" s="7"/>
      <c r="BB1893" s="7"/>
      <c r="BC1893" s="7"/>
      <c r="BF1893" s="7"/>
      <c r="BG1893" s="36"/>
      <c r="BH1893" s="36"/>
      <c r="BI1893" s="36"/>
      <c r="BJ1893" s="36"/>
      <c r="BK1893" s="36"/>
      <c r="BL1893" s="36"/>
      <c r="BM1893" s="36"/>
      <c r="BN1893" s="36"/>
      <c r="BO1893" s="36"/>
    </row>
    <row r="1894" spans="1:67" x14ac:dyDescent="0.25">
      <c r="A1894" s="39"/>
      <c r="B1894" s="40"/>
      <c r="U1894" s="36"/>
      <c r="V1894" s="36"/>
      <c r="W1894" s="35"/>
      <c r="X1894" s="7"/>
      <c r="Y1894" s="7"/>
      <c r="Z1894" s="7"/>
      <c r="AA1894" s="7"/>
      <c r="AB1894" s="7"/>
      <c r="AC1894" s="7"/>
      <c r="AD1894" s="7"/>
      <c r="AE1894" s="7"/>
      <c r="AG1894" s="36"/>
      <c r="AH1894" s="36"/>
      <c r="AI1894" s="35"/>
      <c r="AJ1894" s="7"/>
      <c r="AK1894" s="7"/>
      <c r="AL1894" s="7"/>
      <c r="AM1894" s="7"/>
      <c r="AN1894" s="7"/>
      <c r="AO1894" s="7"/>
      <c r="AP1894" s="7"/>
      <c r="AQ1894" s="7"/>
      <c r="AS1894" s="36"/>
      <c r="AT1894" s="36"/>
      <c r="AU1894" s="35"/>
      <c r="AV1894" s="7"/>
      <c r="AW1894" s="7"/>
      <c r="AX1894" s="7"/>
      <c r="AY1894" s="7"/>
      <c r="AZ1894" s="7"/>
      <c r="BA1894" s="7"/>
      <c r="BB1894" s="7"/>
      <c r="BC1894" s="7"/>
      <c r="BF1894" s="7"/>
      <c r="BG1894" s="36"/>
      <c r="BH1894" s="36"/>
      <c r="BI1894" s="36"/>
      <c r="BJ1894" s="36"/>
      <c r="BK1894" s="36"/>
      <c r="BL1894" s="36"/>
      <c r="BM1894" s="36"/>
      <c r="BN1894" s="36"/>
      <c r="BO1894" s="36"/>
    </row>
    <row r="1895" spans="1:67" x14ac:dyDescent="0.25">
      <c r="A1895" s="39"/>
      <c r="B1895" s="40"/>
      <c r="U1895" s="36"/>
      <c r="V1895" s="36"/>
      <c r="W1895" s="35"/>
      <c r="X1895" s="7"/>
      <c r="Y1895" s="7"/>
      <c r="Z1895" s="7"/>
      <c r="AA1895" s="7"/>
      <c r="AB1895" s="7"/>
      <c r="AC1895" s="7"/>
      <c r="AD1895" s="7"/>
      <c r="AE1895" s="7"/>
      <c r="AG1895" s="36"/>
      <c r="AH1895" s="36"/>
      <c r="AI1895" s="35"/>
      <c r="AJ1895" s="7"/>
      <c r="AK1895" s="7"/>
      <c r="AL1895" s="7"/>
      <c r="AM1895" s="7"/>
      <c r="AN1895" s="7"/>
      <c r="AO1895" s="7"/>
      <c r="AP1895" s="7"/>
      <c r="AQ1895" s="7"/>
      <c r="AS1895" s="36"/>
      <c r="AT1895" s="36"/>
      <c r="AU1895" s="35"/>
      <c r="AV1895" s="7"/>
      <c r="AW1895" s="7"/>
      <c r="AX1895" s="7"/>
      <c r="AY1895" s="7"/>
      <c r="AZ1895" s="7"/>
      <c r="BA1895" s="7"/>
      <c r="BB1895" s="7"/>
      <c r="BC1895" s="7"/>
      <c r="BF1895" s="7"/>
      <c r="BG1895" s="36"/>
      <c r="BH1895" s="36"/>
      <c r="BI1895" s="36"/>
      <c r="BJ1895" s="36"/>
      <c r="BK1895" s="36"/>
      <c r="BL1895" s="36"/>
      <c r="BM1895" s="36"/>
      <c r="BN1895" s="36"/>
      <c r="BO1895" s="36"/>
    </row>
    <row r="1896" spans="1:67" x14ac:dyDescent="0.25">
      <c r="A1896" s="39"/>
      <c r="B1896" s="40"/>
      <c r="U1896" s="36"/>
      <c r="V1896" s="36"/>
      <c r="W1896" s="35"/>
      <c r="X1896" s="7"/>
      <c r="Y1896" s="7"/>
      <c r="Z1896" s="7"/>
      <c r="AA1896" s="7"/>
      <c r="AB1896" s="7"/>
      <c r="AC1896" s="7"/>
      <c r="AD1896" s="7"/>
      <c r="AE1896" s="7"/>
      <c r="AG1896" s="36"/>
      <c r="AH1896" s="36"/>
      <c r="AI1896" s="35"/>
      <c r="AJ1896" s="7"/>
      <c r="AK1896" s="7"/>
      <c r="AL1896" s="7"/>
      <c r="AM1896" s="7"/>
      <c r="AN1896" s="7"/>
      <c r="AO1896" s="7"/>
      <c r="AP1896" s="7"/>
      <c r="AQ1896" s="7"/>
      <c r="AS1896" s="36"/>
      <c r="AT1896" s="36"/>
      <c r="AU1896" s="35"/>
      <c r="AV1896" s="7"/>
      <c r="AW1896" s="7"/>
      <c r="AX1896" s="7"/>
      <c r="AY1896" s="7"/>
      <c r="AZ1896" s="7"/>
      <c r="BA1896" s="7"/>
      <c r="BB1896" s="7"/>
      <c r="BC1896" s="7"/>
      <c r="BF1896" s="7"/>
      <c r="BG1896" s="36"/>
      <c r="BH1896" s="36"/>
      <c r="BI1896" s="36"/>
      <c r="BJ1896" s="36"/>
      <c r="BK1896" s="36"/>
      <c r="BL1896" s="36"/>
      <c r="BM1896" s="36"/>
      <c r="BN1896" s="36"/>
      <c r="BO1896" s="36"/>
    </row>
    <row r="1897" spans="1:67" x14ac:dyDescent="0.25">
      <c r="A1897" s="39"/>
      <c r="B1897" s="40"/>
      <c r="U1897" s="36"/>
      <c r="V1897" s="36"/>
      <c r="W1897" s="35"/>
      <c r="X1897" s="7"/>
      <c r="Y1897" s="7"/>
      <c r="Z1897" s="7"/>
      <c r="AA1897" s="7"/>
      <c r="AB1897" s="7"/>
      <c r="AC1897" s="7"/>
      <c r="AD1897" s="7"/>
      <c r="AE1897" s="7"/>
      <c r="AG1897" s="36"/>
      <c r="AH1897" s="36"/>
      <c r="AI1897" s="35"/>
      <c r="AJ1897" s="7"/>
      <c r="AK1897" s="7"/>
      <c r="AL1897" s="7"/>
      <c r="AM1897" s="7"/>
      <c r="AN1897" s="7"/>
      <c r="AO1897" s="7"/>
      <c r="AP1897" s="7"/>
      <c r="AQ1897" s="7"/>
      <c r="AS1897" s="36"/>
      <c r="AT1897" s="36"/>
      <c r="AU1897" s="35"/>
      <c r="AV1897" s="7"/>
      <c r="AW1897" s="7"/>
      <c r="AX1897" s="7"/>
      <c r="AY1897" s="7"/>
      <c r="AZ1897" s="7"/>
      <c r="BA1897" s="7"/>
      <c r="BB1897" s="7"/>
      <c r="BC1897" s="7"/>
      <c r="BF1897" s="7"/>
      <c r="BG1897" s="36"/>
      <c r="BH1897" s="36"/>
      <c r="BI1897" s="36"/>
      <c r="BJ1897" s="36"/>
      <c r="BK1897" s="36"/>
      <c r="BL1897" s="36"/>
      <c r="BM1897" s="36"/>
      <c r="BN1897" s="36"/>
      <c r="BO1897" s="36"/>
    </row>
    <row r="1898" spans="1:67" x14ac:dyDescent="0.25">
      <c r="A1898" s="39"/>
      <c r="B1898" s="40"/>
      <c r="U1898" s="36"/>
      <c r="V1898" s="36"/>
      <c r="W1898" s="35"/>
      <c r="X1898" s="7"/>
      <c r="Y1898" s="7"/>
      <c r="Z1898" s="7"/>
      <c r="AA1898" s="7"/>
      <c r="AB1898" s="7"/>
      <c r="AC1898" s="7"/>
      <c r="AD1898" s="7"/>
      <c r="AE1898" s="7"/>
      <c r="AG1898" s="36"/>
      <c r="AH1898" s="36"/>
      <c r="AI1898" s="35"/>
      <c r="AJ1898" s="7"/>
      <c r="AK1898" s="7"/>
      <c r="AL1898" s="7"/>
      <c r="AM1898" s="7"/>
      <c r="AN1898" s="7"/>
      <c r="AO1898" s="7"/>
      <c r="AP1898" s="7"/>
      <c r="AQ1898" s="7"/>
      <c r="AS1898" s="36"/>
      <c r="AT1898" s="36"/>
      <c r="AU1898" s="35"/>
      <c r="AV1898" s="7"/>
      <c r="AW1898" s="7"/>
      <c r="AX1898" s="7"/>
      <c r="AY1898" s="7"/>
      <c r="AZ1898" s="7"/>
      <c r="BA1898" s="7"/>
      <c r="BB1898" s="7"/>
      <c r="BC1898" s="7"/>
      <c r="BF1898" s="7"/>
      <c r="BG1898" s="36"/>
      <c r="BH1898" s="36"/>
      <c r="BI1898" s="36"/>
      <c r="BJ1898" s="36"/>
      <c r="BK1898" s="36"/>
      <c r="BL1898" s="36"/>
      <c r="BM1898" s="36"/>
      <c r="BN1898" s="36"/>
      <c r="BO1898" s="36"/>
    </row>
    <row r="1899" spans="1:67" x14ac:dyDescent="0.25">
      <c r="A1899" s="39"/>
      <c r="B1899" s="40"/>
      <c r="U1899" s="36"/>
      <c r="V1899" s="36"/>
      <c r="W1899" s="35"/>
      <c r="X1899" s="7"/>
      <c r="Y1899" s="7"/>
      <c r="Z1899" s="7"/>
      <c r="AA1899" s="7"/>
      <c r="AB1899" s="7"/>
      <c r="AC1899" s="7"/>
      <c r="AD1899" s="7"/>
      <c r="AE1899" s="7"/>
      <c r="AG1899" s="36"/>
      <c r="AH1899" s="36"/>
      <c r="AI1899" s="35"/>
      <c r="AJ1899" s="7"/>
      <c r="AK1899" s="7"/>
      <c r="AL1899" s="7"/>
      <c r="AM1899" s="7"/>
      <c r="AN1899" s="7"/>
      <c r="AO1899" s="7"/>
      <c r="AP1899" s="7"/>
      <c r="AQ1899" s="7"/>
      <c r="AS1899" s="36"/>
      <c r="AT1899" s="36"/>
      <c r="AU1899" s="35"/>
      <c r="AV1899" s="7"/>
      <c r="AW1899" s="7"/>
      <c r="AX1899" s="7"/>
      <c r="AY1899" s="7"/>
      <c r="AZ1899" s="7"/>
      <c r="BA1899" s="7"/>
      <c r="BB1899" s="7"/>
      <c r="BC1899" s="7"/>
      <c r="BF1899" s="7"/>
      <c r="BG1899" s="36"/>
      <c r="BH1899" s="36"/>
      <c r="BI1899" s="36"/>
      <c r="BJ1899" s="36"/>
      <c r="BK1899" s="36"/>
      <c r="BL1899" s="36"/>
      <c r="BM1899" s="36"/>
      <c r="BN1899" s="36"/>
      <c r="BO1899" s="36"/>
    </row>
    <row r="1900" spans="1:67" x14ac:dyDescent="0.25">
      <c r="A1900" s="39"/>
      <c r="B1900" s="40"/>
      <c r="U1900" s="36"/>
      <c r="V1900" s="36"/>
      <c r="W1900" s="35"/>
      <c r="X1900" s="7"/>
      <c r="Y1900" s="7"/>
      <c r="Z1900" s="7"/>
      <c r="AA1900" s="7"/>
      <c r="AB1900" s="7"/>
      <c r="AC1900" s="7"/>
      <c r="AD1900" s="7"/>
      <c r="AE1900" s="7"/>
      <c r="AG1900" s="36"/>
      <c r="AH1900" s="36"/>
      <c r="AI1900" s="35"/>
      <c r="AJ1900" s="7"/>
      <c r="AK1900" s="7"/>
      <c r="AL1900" s="7"/>
      <c r="AM1900" s="7"/>
      <c r="AN1900" s="7"/>
      <c r="AO1900" s="7"/>
      <c r="AP1900" s="7"/>
      <c r="AQ1900" s="7"/>
      <c r="AS1900" s="36"/>
      <c r="AT1900" s="36"/>
      <c r="AU1900" s="35"/>
      <c r="AV1900" s="7"/>
      <c r="AW1900" s="7"/>
      <c r="AX1900" s="7"/>
      <c r="AY1900" s="7"/>
      <c r="AZ1900" s="7"/>
      <c r="BA1900" s="7"/>
      <c r="BB1900" s="7"/>
      <c r="BC1900" s="7"/>
      <c r="BF1900" s="7"/>
      <c r="BG1900" s="36"/>
      <c r="BH1900" s="36"/>
      <c r="BI1900" s="36"/>
      <c r="BJ1900" s="36"/>
      <c r="BK1900" s="36"/>
      <c r="BL1900" s="36"/>
      <c r="BM1900" s="36"/>
      <c r="BN1900" s="36"/>
      <c r="BO1900" s="36"/>
    </row>
    <row r="1901" spans="1:67" x14ac:dyDescent="0.25">
      <c r="A1901" s="39"/>
      <c r="B1901" s="40"/>
      <c r="U1901" s="36"/>
      <c r="V1901" s="36"/>
      <c r="W1901" s="35"/>
      <c r="X1901" s="7"/>
      <c r="Y1901" s="7"/>
      <c r="Z1901" s="7"/>
      <c r="AA1901" s="7"/>
      <c r="AB1901" s="7"/>
      <c r="AC1901" s="7"/>
      <c r="AD1901" s="7"/>
      <c r="AE1901" s="7"/>
      <c r="AG1901" s="36"/>
      <c r="AH1901" s="36"/>
      <c r="AI1901" s="35"/>
      <c r="AJ1901" s="7"/>
      <c r="AK1901" s="7"/>
      <c r="AL1901" s="7"/>
      <c r="AM1901" s="7"/>
      <c r="AN1901" s="7"/>
      <c r="AO1901" s="7"/>
      <c r="AP1901" s="7"/>
      <c r="AQ1901" s="7"/>
      <c r="AS1901" s="36"/>
      <c r="AT1901" s="36"/>
      <c r="AU1901" s="35"/>
      <c r="AV1901" s="7"/>
      <c r="AW1901" s="7"/>
      <c r="AX1901" s="7"/>
      <c r="AY1901" s="7"/>
      <c r="AZ1901" s="7"/>
      <c r="BA1901" s="7"/>
      <c r="BB1901" s="7"/>
      <c r="BC1901" s="7"/>
      <c r="BF1901" s="7"/>
      <c r="BG1901" s="36"/>
      <c r="BH1901" s="36"/>
      <c r="BI1901" s="36"/>
      <c r="BJ1901" s="36"/>
      <c r="BK1901" s="36"/>
      <c r="BL1901" s="36"/>
      <c r="BM1901" s="36"/>
      <c r="BN1901" s="36"/>
      <c r="BO1901" s="36"/>
    </row>
    <row r="1902" spans="1:67" x14ac:dyDescent="0.25">
      <c r="A1902" s="39"/>
      <c r="B1902" s="40"/>
      <c r="U1902" s="36"/>
      <c r="V1902" s="36"/>
      <c r="W1902" s="35"/>
      <c r="X1902" s="7"/>
      <c r="Y1902" s="7"/>
      <c r="Z1902" s="7"/>
      <c r="AA1902" s="7"/>
      <c r="AB1902" s="7"/>
      <c r="AC1902" s="7"/>
      <c r="AD1902" s="7"/>
      <c r="AE1902" s="7"/>
      <c r="AG1902" s="36"/>
      <c r="AH1902" s="36"/>
      <c r="AI1902" s="35"/>
      <c r="AJ1902" s="7"/>
      <c r="AK1902" s="7"/>
      <c r="AL1902" s="7"/>
      <c r="AM1902" s="7"/>
      <c r="AN1902" s="7"/>
      <c r="AO1902" s="7"/>
      <c r="AP1902" s="7"/>
      <c r="AQ1902" s="7"/>
      <c r="AS1902" s="36"/>
      <c r="AT1902" s="36"/>
      <c r="AU1902" s="35"/>
      <c r="AV1902" s="7"/>
      <c r="AW1902" s="7"/>
      <c r="AX1902" s="7"/>
      <c r="AY1902" s="7"/>
      <c r="AZ1902" s="7"/>
      <c r="BA1902" s="7"/>
      <c r="BB1902" s="7"/>
      <c r="BC1902" s="7"/>
      <c r="BF1902" s="7"/>
      <c r="BG1902" s="36"/>
      <c r="BH1902" s="36"/>
      <c r="BI1902" s="36"/>
      <c r="BJ1902" s="36"/>
      <c r="BK1902" s="36"/>
      <c r="BL1902" s="36"/>
      <c r="BM1902" s="36"/>
      <c r="BN1902" s="36"/>
      <c r="BO1902" s="36"/>
    </row>
    <row r="1903" spans="1:67" x14ac:dyDescent="0.25">
      <c r="A1903" s="39"/>
      <c r="B1903" s="40"/>
      <c r="U1903" s="36"/>
      <c r="V1903" s="36"/>
      <c r="W1903" s="35"/>
      <c r="X1903" s="7"/>
      <c r="Y1903" s="7"/>
      <c r="Z1903" s="7"/>
      <c r="AA1903" s="7"/>
      <c r="AB1903" s="7"/>
      <c r="AC1903" s="7"/>
      <c r="AD1903" s="7"/>
      <c r="AE1903" s="7"/>
      <c r="AG1903" s="36"/>
      <c r="AH1903" s="36"/>
      <c r="AI1903" s="35"/>
      <c r="AJ1903" s="7"/>
      <c r="AK1903" s="7"/>
      <c r="AL1903" s="7"/>
      <c r="AM1903" s="7"/>
      <c r="AN1903" s="7"/>
      <c r="AO1903" s="7"/>
      <c r="AP1903" s="7"/>
      <c r="AQ1903" s="7"/>
      <c r="AS1903" s="36"/>
      <c r="AT1903" s="36"/>
      <c r="AU1903" s="35"/>
      <c r="AV1903" s="7"/>
      <c r="AW1903" s="7"/>
      <c r="AX1903" s="7"/>
      <c r="AY1903" s="7"/>
      <c r="AZ1903" s="7"/>
      <c r="BA1903" s="7"/>
      <c r="BB1903" s="7"/>
      <c r="BC1903" s="7"/>
      <c r="BF1903" s="7"/>
      <c r="BG1903" s="36"/>
      <c r="BH1903" s="36"/>
      <c r="BI1903" s="36"/>
      <c r="BJ1903" s="36"/>
      <c r="BK1903" s="36"/>
      <c r="BL1903" s="36"/>
      <c r="BM1903" s="36"/>
      <c r="BN1903" s="36"/>
      <c r="BO1903" s="36"/>
    </row>
    <row r="1904" spans="1:67" x14ac:dyDescent="0.25">
      <c r="A1904" s="39"/>
      <c r="B1904" s="40"/>
      <c r="U1904" s="36"/>
      <c r="V1904" s="36"/>
      <c r="W1904" s="35"/>
      <c r="X1904" s="7"/>
      <c r="Y1904" s="7"/>
      <c r="Z1904" s="7"/>
      <c r="AA1904" s="7"/>
      <c r="AB1904" s="7"/>
      <c r="AC1904" s="7"/>
      <c r="AD1904" s="7"/>
      <c r="AE1904" s="7"/>
      <c r="AG1904" s="36"/>
      <c r="AH1904" s="36"/>
      <c r="AI1904" s="35"/>
      <c r="AJ1904" s="7"/>
      <c r="AK1904" s="7"/>
      <c r="AL1904" s="7"/>
      <c r="AM1904" s="7"/>
      <c r="AN1904" s="7"/>
      <c r="AO1904" s="7"/>
      <c r="AP1904" s="7"/>
      <c r="AQ1904" s="7"/>
      <c r="AS1904" s="36"/>
      <c r="AT1904" s="36"/>
      <c r="AU1904" s="35"/>
      <c r="AV1904" s="7"/>
      <c r="AW1904" s="7"/>
      <c r="AX1904" s="7"/>
      <c r="AY1904" s="7"/>
      <c r="AZ1904" s="7"/>
      <c r="BA1904" s="7"/>
      <c r="BB1904" s="7"/>
      <c r="BC1904" s="7"/>
      <c r="BF1904" s="7"/>
      <c r="BG1904" s="36"/>
      <c r="BH1904" s="36"/>
      <c r="BI1904" s="36"/>
      <c r="BJ1904" s="36"/>
      <c r="BK1904" s="36"/>
      <c r="BL1904" s="36"/>
      <c r="BM1904" s="36"/>
      <c r="BN1904" s="36"/>
      <c r="BO1904" s="36"/>
    </row>
    <row r="1905" spans="1:67" x14ac:dyDescent="0.25">
      <c r="A1905" s="39"/>
      <c r="B1905" s="40"/>
      <c r="U1905" s="36"/>
      <c r="V1905" s="36"/>
      <c r="W1905" s="35"/>
      <c r="X1905" s="7"/>
      <c r="Y1905" s="7"/>
      <c r="Z1905" s="7"/>
      <c r="AA1905" s="7"/>
      <c r="AB1905" s="7"/>
      <c r="AC1905" s="7"/>
      <c r="AD1905" s="7"/>
      <c r="AE1905" s="7"/>
      <c r="AG1905" s="36"/>
      <c r="AH1905" s="36"/>
      <c r="AI1905" s="35"/>
      <c r="AJ1905" s="7"/>
      <c r="AK1905" s="7"/>
      <c r="AL1905" s="7"/>
      <c r="AM1905" s="7"/>
      <c r="AN1905" s="7"/>
      <c r="AO1905" s="7"/>
      <c r="AP1905" s="7"/>
      <c r="AQ1905" s="7"/>
      <c r="AS1905" s="36"/>
      <c r="AT1905" s="36"/>
      <c r="AU1905" s="35"/>
      <c r="AV1905" s="7"/>
      <c r="AW1905" s="7"/>
      <c r="AX1905" s="7"/>
      <c r="AY1905" s="7"/>
      <c r="AZ1905" s="7"/>
      <c r="BA1905" s="7"/>
      <c r="BB1905" s="7"/>
      <c r="BC1905" s="7"/>
      <c r="BF1905" s="7"/>
      <c r="BG1905" s="36"/>
      <c r="BH1905" s="36"/>
      <c r="BI1905" s="36"/>
      <c r="BJ1905" s="36"/>
      <c r="BK1905" s="36"/>
      <c r="BL1905" s="36"/>
      <c r="BM1905" s="36"/>
      <c r="BN1905" s="36"/>
      <c r="BO1905" s="36"/>
    </row>
    <row r="1906" spans="1:67" x14ac:dyDescent="0.25">
      <c r="A1906" s="39"/>
      <c r="B1906" s="40"/>
      <c r="U1906" s="36"/>
      <c r="V1906" s="36"/>
      <c r="W1906" s="35"/>
      <c r="X1906" s="7"/>
      <c r="Y1906" s="7"/>
      <c r="Z1906" s="7"/>
      <c r="AA1906" s="7"/>
      <c r="AB1906" s="7"/>
      <c r="AC1906" s="7"/>
      <c r="AD1906" s="7"/>
      <c r="AE1906" s="7"/>
      <c r="AG1906" s="36"/>
      <c r="AH1906" s="36"/>
      <c r="AI1906" s="35"/>
      <c r="AJ1906" s="7"/>
      <c r="AK1906" s="7"/>
      <c r="AL1906" s="7"/>
      <c r="AM1906" s="7"/>
      <c r="AN1906" s="7"/>
      <c r="AO1906" s="7"/>
      <c r="AP1906" s="7"/>
      <c r="AQ1906" s="7"/>
      <c r="AS1906" s="36"/>
      <c r="AT1906" s="36"/>
      <c r="AU1906" s="35"/>
      <c r="AV1906" s="7"/>
      <c r="AW1906" s="7"/>
      <c r="AX1906" s="7"/>
      <c r="AY1906" s="7"/>
      <c r="AZ1906" s="7"/>
      <c r="BA1906" s="7"/>
      <c r="BB1906" s="7"/>
      <c r="BC1906" s="7"/>
      <c r="BF1906" s="7"/>
      <c r="BG1906" s="36"/>
      <c r="BH1906" s="36"/>
      <c r="BI1906" s="36"/>
      <c r="BJ1906" s="36"/>
      <c r="BK1906" s="36"/>
      <c r="BL1906" s="36"/>
      <c r="BM1906" s="36"/>
      <c r="BN1906" s="36"/>
      <c r="BO1906" s="36"/>
    </row>
    <row r="1907" spans="1:67" x14ac:dyDescent="0.25">
      <c r="A1907" s="39"/>
      <c r="B1907" s="40"/>
      <c r="U1907" s="36"/>
      <c r="V1907" s="36"/>
      <c r="W1907" s="35"/>
      <c r="X1907" s="7"/>
      <c r="Y1907" s="7"/>
      <c r="Z1907" s="7"/>
      <c r="AA1907" s="7"/>
      <c r="AB1907" s="7"/>
      <c r="AC1907" s="7"/>
      <c r="AD1907" s="7"/>
      <c r="AE1907" s="7"/>
      <c r="AG1907" s="36"/>
      <c r="AH1907" s="36"/>
      <c r="AI1907" s="35"/>
      <c r="AJ1907" s="7"/>
      <c r="AK1907" s="7"/>
      <c r="AL1907" s="7"/>
      <c r="AM1907" s="7"/>
      <c r="AN1907" s="7"/>
      <c r="AO1907" s="7"/>
      <c r="AP1907" s="7"/>
      <c r="AQ1907" s="7"/>
      <c r="AS1907" s="36"/>
      <c r="AT1907" s="36"/>
      <c r="AU1907" s="35"/>
      <c r="AV1907" s="7"/>
      <c r="AW1907" s="7"/>
      <c r="AX1907" s="7"/>
      <c r="AY1907" s="7"/>
      <c r="AZ1907" s="7"/>
      <c r="BA1907" s="7"/>
      <c r="BB1907" s="7"/>
      <c r="BC1907" s="7"/>
      <c r="BF1907" s="7"/>
      <c r="BG1907" s="36"/>
      <c r="BH1907" s="36"/>
      <c r="BI1907" s="36"/>
      <c r="BJ1907" s="36"/>
      <c r="BK1907" s="36"/>
      <c r="BL1907" s="36"/>
      <c r="BM1907" s="36"/>
      <c r="BN1907" s="36"/>
      <c r="BO1907" s="36"/>
    </row>
    <row r="1908" spans="1:67" x14ac:dyDescent="0.25">
      <c r="A1908" s="39"/>
      <c r="B1908" s="40"/>
      <c r="U1908" s="36"/>
      <c r="V1908" s="36"/>
      <c r="W1908" s="35"/>
      <c r="X1908" s="7"/>
      <c r="Y1908" s="7"/>
      <c r="Z1908" s="7"/>
      <c r="AA1908" s="7"/>
      <c r="AB1908" s="7"/>
      <c r="AC1908" s="7"/>
      <c r="AD1908" s="7"/>
      <c r="AE1908" s="7"/>
      <c r="AG1908" s="36"/>
      <c r="AH1908" s="36"/>
      <c r="AI1908" s="35"/>
      <c r="AJ1908" s="7"/>
      <c r="AK1908" s="7"/>
      <c r="AL1908" s="7"/>
      <c r="AM1908" s="7"/>
      <c r="AN1908" s="7"/>
      <c r="AO1908" s="7"/>
      <c r="AP1908" s="7"/>
      <c r="AQ1908" s="7"/>
      <c r="AS1908" s="36"/>
      <c r="AT1908" s="36"/>
      <c r="AU1908" s="35"/>
      <c r="AV1908" s="7"/>
      <c r="AW1908" s="7"/>
      <c r="AX1908" s="7"/>
      <c r="AY1908" s="7"/>
      <c r="AZ1908" s="7"/>
      <c r="BA1908" s="7"/>
      <c r="BB1908" s="7"/>
      <c r="BC1908" s="7"/>
      <c r="BF1908" s="7"/>
      <c r="BG1908" s="36"/>
      <c r="BH1908" s="36"/>
      <c r="BI1908" s="36"/>
      <c r="BJ1908" s="36"/>
      <c r="BK1908" s="36"/>
      <c r="BL1908" s="36"/>
      <c r="BM1908" s="36"/>
      <c r="BN1908" s="36"/>
      <c r="BO1908" s="36"/>
    </row>
    <row r="1909" spans="1:67" x14ac:dyDescent="0.25">
      <c r="A1909" s="39"/>
      <c r="B1909" s="40"/>
      <c r="U1909" s="36"/>
      <c r="V1909" s="36"/>
      <c r="W1909" s="35"/>
      <c r="X1909" s="7"/>
      <c r="Y1909" s="7"/>
      <c r="Z1909" s="7"/>
      <c r="AA1909" s="7"/>
      <c r="AB1909" s="7"/>
      <c r="AC1909" s="7"/>
      <c r="AD1909" s="7"/>
      <c r="AE1909" s="7"/>
      <c r="AG1909" s="36"/>
      <c r="AH1909" s="36"/>
      <c r="AI1909" s="35"/>
      <c r="AJ1909" s="7"/>
      <c r="AK1909" s="7"/>
      <c r="AL1909" s="7"/>
      <c r="AM1909" s="7"/>
      <c r="AN1909" s="7"/>
      <c r="AO1909" s="7"/>
      <c r="AP1909" s="7"/>
      <c r="AQ1909" s="7"/>
      <c r="AS1909" s="36"/>
      <c r="AT1909" s="36"/>
      <c r="AU1909" s="35"/>
      <c r="AV1909" s="7"/>
      <c r="AW1909" s="7"/>
      <c r="AX1909" s="7"/>
      <c r="AY1909" s="7"/>
      <c r="AZ1909" s="7"/>
      <c r="BA1909" s="7"/>
      <c r="BB1909" s="7"/>
      <c r="BC1909" s="7"/>
      <c r="BF1909" s="7"/>
      <c r="BG1909" s="36"/>
      <c r="BH1909" s="36"/>
      <c r="BI1909" s="36"/>
      <c r="BJ1909" s="36"/>
      <c r="BK1909" s="36"/>
      <c r="BL1909" s="36"/>
      <c r="BM1909" s="36"/>
      <c r="BN1909" s="36"/>
      <c r="BO1909" s="36"/>
    </row>
    <row r="1910" spans="1:67" x14ac:dyDescent="0.25">
      <c r="A1910" s="39"/>
      <c r="B1910" s="40"/>
      <c r="U1910" s="36"/>
      <c r="V1910" s="36"/>
      <c r="W1910" s="35"/>
      <c r="X1910" s="7"/>
      <c r="Y1910" s="7"/>
      <c r="Z1910" s="7"/>
      <c r="AA1910" s="7"/>
      <c r="AB1910" s="7"/>
      <c r="AC1910" s="7"/>
      <c r="AD1910" s="7"/>
      <c r="AE1910" s="7"/>
      <c r="AG1910" s="36"/>
      <c r="AH1910" s="36"/>
      <c r="AI1910" s="35"/>
      <c r="AJ1910" s="7"/>
      <c r="AK1910" s="7"/>
      <c r="AL1910" s="7"/>
      <c r="AM1910" s="7"/>
      <c r="AN1910" s="7"/>
      <c r="AO1910" s="7"/>
      <c r="AP1910" s="7"/>
      <c r="AQ1910" s="7"/>
      <c r="AS1910" s="36"/>
      <c r="AT1910" s="36"/>
      <c r="AU1910" s="35"/>
      <c r="AV1910" s="7"/>
      <c r="AW1910" s="7"/>
      <c r="AX1910" s="7"/>
      <c r="AY1910" s="7"/>
      <c r="AZ1910" s="7"/>
      <c r="BA1910" s="7"/>
      <c r="BB1910" s="7"/>
      <c r="BC1910" s="7"/>
      <c r="BF1910" s="7"/>
      <c r="BG1910" s="36"/>
      <c r="BH1910" s="36"/>
      <c r="BI1910" s="36"/>
      <c r="BJ1910" s="36"/>
      <c r="BK1910" s="36"/>
      <c r="BL1910" s="36"/>
      <c r="BM1910" s="36"/>
      <c r="BN1910" s="36"/>
      <c r="BO1910" s="36"/>
    </row>
    <row r="1911" spans="1:67" x14ac:dyDescent="0.25">
      <c r="A1911" s="39"/>
      <c r="B1911" s="40"/>
      <c r="U1911" s="36"/>
      <c r="V1911" s="36"/>
      <c r="W1911" s="35"/>
      <c r="X1911" s="7"/>
      <c r="Y1911" s="7"/>
      <c r="Z1911" s="7"/>
      <c r="AA1911" s="7"/>
      <c r="AB1911" s="7"/>
      <c r="AC1911" s="7"/>
      <c r="AD1911" s="7"/>
      <c r="AE1911" s="7"/>
      <c r="AG1911" s="36"/>
      <c r="AH1911" s="36"/>
      <c r="AI1911" s="35"/>
      <c r="AJ1911" s="7"/>
      <c r="AK1911" s="7"/>
      <c r="AL1911" s="7"/>
      <c r="AM1911" s="7"/>
      <c r="AN1911" s="7"/>
      <c r="AO1911" s="7"/>
      <c r="AP1911" s="7"/>
      <c r="AQ1911" s="7"/>
      <c r="AS1911" s="36"/>
      <c r="AT1911" s="36"/>
      <c r="AU1911" s="35"/>
      <c r="AV1911" s="7"/>
      <c r="AW1911" s="7"/>
      <c r="AX1911" s="7"/>
      <c r="AY1911" s="7"/>
      <c r="AZ1911" s="7"/>
      <c r="BA1911" s="7"/>
      <c r="BB1911" s="7"/>
      <c r="BC1911" s="7"/>
      <c r="BF1911" s="7"/>
      <c r="BG1911" s="36"/>
      <c r="BH1911" s="36"/>
      <c r="BI1911" s="36"/>
      <c r="BJ1911" s="36"/>
      <c r="BK1911" s="36"/>
      <c r="BL1911" s="36"/>
      <c r="BM1911" s="36"/>
      <c r="BN1911" s="36"/>
      <c r="BO1911" s="36"/>
    </row>
    <row r="1912" spans="1:67" x14ac:dyDescent="0.25">
      <c r="A1912" s="39"/>
      <c r="B1912" s="40"/>
      <c r="U1912" s="36"/>
      <c r="V1912" s="36"/>
      <c r="W1912" s="35"/>
      <c r="X1912" s="7"/>
      <c r="Y1912" s="7"/>
      <c r="Z1912" s="7"/>
      <c r="AA1912" s="7"/>
      <c r="AB1912" s="7"/>
      <c r="AC1912" s="7"/>
      <c r="AD1912" s="7"/>
      <c r="AE1912" s="7"/>
      <c r="AG1912" s="36"/>
      <c r="AH1912" s="36"/>
      <c r="AI1912" s="35"/>
      <c r="AJ1912" s="7"/>
      <c r="AK1912" s="7"/>
      <c r="AL1912" s="7"/>
      <c r="AM1912" s="7"/>
      <c r="AN1912" s="7"/>
      <c r="AO1912" s="7"/>
      <c r="AP1912" s="7"/>
      <c r="AQ1912" s="7"/>
      <c r="AS1912" s="36"/>
      <c r="AT1912" s="36"/>
      <c r="AU1912" s="35"/>
      <c r="AV1912" s="7"/>
      <c r="AW1912" s="7"/>
      <c r="AX1912" s="7"/>
      <c r="AY1912" s="7"/>
      <c r="AZ1912" s="7"/>
      <c r="BA1912" s="7"/>
      <c r="BB1912" s="7"/>
      <c r="BC1912" s="7"/>
      <c r="BF1912" s="7"/>
      <c r="BG1912" s="36"/>
      <c r="BH1912" s="36"/>
      <c r="BI1912" s="36"/>
      <c r="BJ1912" s="36"/>
      <c r="BK1912" s="36"/>
      <c r="BL1912" s="36"/>
      <c r="BM1912" s="36"/>
      <c r="BN1912" s="36"/>
      <c r="BO1912" s="36"/>
    </row>
    <row r="1913" spans="1:67" x14ac:dyDescent="0.25">
      <c r="A1913" s="39"/>
      <c r="B1913" s="40"/>
      <c r="U1913" s="36"/>
      <c r="V1913" s="36"/>
      <c r="W1913" s="35"/>
      <c r="X1913" s="7"/>
      <c r="Y1913" s="7"/>
      <c r="Z1913" s="7"/>
      <c r="AA1913" s="7"/>
      <c r="AB1913" s="7"/>
      <c r="AC1913" s="7"/>
      <c r="AD1913" s="7"/>
      <c r="AE1913" s="7"/>
      <c r="AG1913" s="36"/>
      <c r="AH1913" s="36"/>
      <c r="AI1913" s="35"/>
      <c r="AJ1913" s="7"/>
      <c r="AK1913" s="7"/>
      <c r="AL1913" s="7"/>
      <c r="AM1913" s="7"/>
      <c r="AN1913" s="7"/>
      <c r="AO1913" s="7"/>
      <c r="AP1913" s="7"/>
      <c r="AQ1913" s="7"/>
      <c r="AS1913" s="36"/>
      <c r="AT1913" s="36"/>
      <c r="AU1913" s="35"/>
      <c r="AV1913" s="7"/>
      <c r="AW1913" s="7"/>
      <c r="AX1913" s="7"/>
      <c r="AY1913" s="7"/>
      <c r="AZ1913" s="7"/>
      <c r="BA1913" s="7"/>
      <c r="BB1913" s="7"/>
      <c r="BC1913" s="7"/>
      <c r="BF1913" s="7"/>
      <c r="BG1913" s="36"/>
      <c r="BH1913" s="36"/>
      <c r="BI1913" s="36"/>
      <c r="BJ1913" s="36"/>
      <c r="BK1913" s="36"/>
      <c r="BL1913" s="36"/>
      <c r="BM1913" s="36"/>
      <c r="BN1913" s="36"/>
      <c r="BO1913" s="36"/>
    </row>
    <row r="1914" spans="1:67" x14ac:dyDescent="0.25">
      <c r="A1914" s="39"/>
      <c r="B1914" s="40"/>
      <c r="U1914" s="36"/>
      <c r="V1914" s="36"/>
      <c r="W1914" s="35"/>
      <c r="X1914" s="7"/>
      <c r="Y1914" s="7"/>
      <c r="Z1914" s="7"/>
      <c r="AA1914" s="7"/>
      <c r="AB1914" s="7"/>
      <c r="AC1914" s="7"/>
      <c r="AD1914" s="7"/>
      <c r="AE1914" s="7"/>
      <c r="AG1914" s="36"/>
      <c r="AH1914" s="36"/>
      <c r="AI1914" s="35"/>
      <c r="AJ1914" s="7"/>
      <c r="AK1914" s="7"/>
      <c r="AL1914" s="7"/>
      <c r="AM1914" s="7"/>
      <c r="AN1914" s="7"/>
      <c r="AO1914" s="7"/>
      <c r="AP1914" s="7"/>
      <c r="AQ1914" s="7"/>
      <c r="AS1914" s="36"/>
      <c r="AT1914" s="36"/>
      <c r="AU1914" s="35"/>
      <c r="AV1914" s="7"/>
      <c r="AW1914" s="7"/>
      <c r="AX1914" s="7"/>
      <c r="AY1914" s="7"/>
      <c r="AZ1914" s="7"/>
      <c r="BA1914" s="7"/>
      <c r="BB1914" s="7"/>
      <c r="BC1914" s="7"/>
      <c r="BF1914" s="7"/>
      <c r="BG1914" s="36"/>
      <c r="BH1914" s="36"/>
      <c r="BI1914" s="36"/>
      <c r="BJ1914" s="36"/>
      <c r="BK1914" s="36"/>
      <c r="BL1914" s="36"/>
      <c r="BM1914" s="36"/>
      <c r="BN1914" s="36"/>
      <c r="BO1914" s="36"/>
    </row>
    <row r="1915" spans="1:67" x14ac:dyDescent="0.25">
      <c r="A1915" s="39"/>
      <c r="B1915" s="40"/>
      <c r="U1915" s="36"/>
      <c r="V1915" s="36"/>
      <c r="W1915" s="35"/>
      <c r="X1915" s="7"/>
      <c r="Y1915" s="7"/>
      <c r="Z1915" s="7"/>
      <c r="AA1915" s="7"/>
      <c r="AB1915" s="7"/>
      <c r="AC1915" s="7"/>
      <c r="AD1915" s="7"/>
      <c r="AE1915" s="7"/>
      <c r="AG1915" s="36"/>
      <c r="AH1915" s="36"/>
      <c r="AI1915" s="35"/>
      <c r="AJ1915" s="7"/>
      <c r="AK1915" s="7"/>
      <c r="AL1915" s="7"/>
      <c r="AM1915" s="7"/>
      <c r="AN1915" s="7"/>
      <c r="AO1915" s="7"/>
      <c r="AP1915" s="7"/>
      <c r="AQ1915" s="7"/>
      <c r="AS1915" s="36"/>
      <c r="AT1915" s="36"/>
      <c r="AU1915" s="35"/>
      <c r="AV1915" s="7"/>
      <c r="AW1915" s="7"/>
      <c r="AX1915" s="7"/>
      <c r="AY1915" s="7"/>
      <c r="AZ1915" s="7"/>
      <c r="BA1915" s="7"/>
      <c r="BB1915" s="7"/>
      <c r="BC1915" s="7"/>
      <c r="BF1915" s="7"/>
      <c r="BG1915" s="36"/>
      <c r="BH1915" s="36"/>
      <c r="BI1915" s="36"/>
      <c r="BJ1915" s="36"/>
      <c r="BK1915" s="36"/>
      <c r="BL1915" s="36"/>
      <c r="BM1915" s="36"/>
      <c r="BN1915" s="36"/>
      <c r="BO1915" s="36"/>
    </row>
    <row r="1916" spans="1:67" x14ac:dyDescent="0.25">
      <c r="A1916" s="39"/>
      <c r="B1916" s="40"/>
      <c r="U1916" s="36"/>
      <c r="V1916" s="36"/>
      <c r="W1916" s="35"/>
      <c r="X1916" s="7"/>
      <c r="Y1916" s="7"/>
      <c r="Z1916" s="7"/>
      <c r="AA1916" s="7"/>
      <c r="AB1916" s="7"/>
      <c r="AC1916" s="7"/>
      <c r="AD1916" s="7"/>
      <c r="AE1916" s="7"/>
      <c r="AG1916" s="36"/>
      <c r="AH1916" s="36"/>
      <c r="AI1916" s="35"/>
      <c r="AJ1916" s="7"/>
      <c r="AK1916" s="7"/>
      <c r="AL1916" s="7"/>
      <c r="AM1916" s="7"/>
      <c r="AN1916" s="7"/>
      <c r="AO1916" s="7"/>
      <c r="AP1916" s="7"/>
      <c r="AQ1916" s="7"/>
      <c r="AS1916" s="36"/>
      <c r="AT1916" s="36"/>
      <c r="AU1916" s="35"/>
      <c r="AV1916" s="7"/>
      <c r="AW1916" s="7"/>
      <c r="AX1916" s="7"/>
      <c r="AY1916" s="7"/>
      <c r="AZ1916" s="7"/>
      <c r="BA1916" s="7"/>
      <c r="BB1916" s="7"/>
      <c r="BC1916" s="7"/>
      <c r="BF1916" s="7"/>
      <c r="BG1916" s="36"/>
      <c r="BH1916" s="36"/>
      <c r="BI1916" s="36"/>
      <c r="BJ1916" s="36"/>
      <c r="BK1916" s="36"/>
      <c r="BL1916" s="36"/>
      <c r="BM1916" s="36"/>
      <c r="BN1916" s="36"/>
      <c r="BO1916" s="36"/>
    </row>
    <row r="1917" spans="1:67" x14ac:dyDescent="0.25">
      <c r="A1917" s="39"/>
      <c r="B1917" s="40"/>
      <c r="U1917" s="36"/>
      <c r="V1917" s="36"/>
      <c r="W1917" s="35"/>
      <c r="X1917" s="7"/>
      <c r="Y1917" s="7"/>
      <c r="Z1917" s="7"/>
      <c r="AA1917" s="7"/>
      <c r="AB1917" s="7"/>
      <c r="AC1917" s="7"/>
      <c r="AD1917" s="7"/>
      <c r="AE1917" s="7"/>
      <c r="AG1917" s="36"/>
      <c r="AH1917" s="36"/>
      <c r="AI1917" s="35"/>
      <c r="AJ1917" s="7"/>
      <c r="AK1917" s="7"/>
      <c r="AL1917" s="7"/>
      <c r="AM1917" s="7"/>
      <c r="AN1917" s="7"/>
      <c r="AO1917" s="7"/>
      <c r="AP1917" s="7"/>
      <c r="AQ1917" s="7"/>
      <c r="AS1917" s="36"/>
      <c r="AT1917" s="36"/>
      <c r="AU1917" s="35"/>
      <c r="AV1917" s="7"/>
      <c r="AW1917" s="7"/>
      <c r="AX1917" s="7"/>
      <c r="AY1917" s="7"/>
      <c r="AZ1917" s="7"/>
      <c r="BA1917" s="7"/>
      <c r="BB1917" s="7"/>
      <c r="BC1917" s="7"/>
      <c r="BF1917" s="7"/>
      <c r="BG1917" s="36"/>
      <c r="BH1917" s="36"/>
      <c r="BI1917" s="36"/>
      <c r="BJ1917" s="36"/>
      <c r="BK1917" s="36"/>
      <c r="BL1917" s="36"/>
      <c r="BM1917" s="36"/>
      <c r="BN1917" s="36"/>
      <c r="BO1917" s="36"/>
    </row>
    <row r="1918" spans="1:67" x14ac:dyDescent="0.25">
      <c r="A1918" s="39"/>
      <c r="B1918" s="40"/>
      <c r="U1918" s="36"/>
      <c r="V1918" s="36"/>
      <c r="W1918" s="35"/>
      <c r="X1918" s="7"/>
      <c r="Y1918" s="7"/>
      <c r="Z1918" s="7"/>
      <c r="AA1918" s="7"/>
      <c r="AB1918" s="7"/>
      <c r="AC1918" s="7"/>
      <c r="AD1918" s="7"/>
      <c r="AE1918" s="7"/>
      <c r="AG1918" s="36"/>
      <c r="AH1918" s="36"/>
      <c r="AI1918" s="35"/>
      <c r="AJ1918" s="7"/>
      <c r="AK1918" s="7"/>
      <c r="AL1918" s="7"/>
      <c r="AM1918" s="7"/>
      <c r="AN1918" s="7"/>
      <c r="AO1918" s="7"/>
      <c r="AP1918" s="7"/>
      <c r="AQ1918" s="7"/>
      <c r="AS1918" s="36"/>
      <c r="AT1918" s="36"/>
      <c r="AU1918" s="35"/>
      <c r="AV1918" s="7"/>
      <c r="AW1918" s="7"/>
      <c r="AX1918" s="7"/>
      <c r="AY1918" s="7"/>
      <c r="AZ1918" s="7"/>
      <c r="BA1918" s="7"/>
      <c r="BB1918" s="7"/>
      <c r="BC1918" s="7"/>
      <c r="BF1918" s="7"/>
      <c r="BG1918" s="36"/>
      <c r="BH1918" s="36"/>
      <c r="BI1918" s="36"/>
      <c r="BJ1918" s="36"/>
      <c r="BK1918" s="36"/>
      <c r="BL1918" s="36"/>
      <c r="BM1918" s="36"/>
      <c r="BN1918" s="36"/>
      <c r="BO1918" s="36"/>
    </row>
    <row r="1919" spans="1:67" x14ac:dyDescent="0.25">
      <c r="A1919" s="39"/>
      <c r="B1919" s="40"/>
      <c r="U1919" s="36"/>
      <c r="V1919" s="36"/>
      <c r="W1919" s="35"/>
      <c r="X1919" s="7"/>
      <c r="Y1919" s="7"/>
      <c r="Z1919" s="7"/>
      <c r="AA1919" s="7"/>
      <c r="AB1919" s="7"/>
      <c r="AC1919" s="7"/>
      <c r="AD1919" s="7"/>
      <c r="AE1919" s="7"/>
      <c r="AG1919" s="36"/>
      <c r="AH1919" s="36"/>
      <c r="AI1919" s="35"/>
      <c r="AJ1919" s="7"/>
      <c r="AK1919" s="7"/>
      <c r="AL1919" s="7"/>
      <c r="AM1919" s="7"/>
      <c r="AN1919" s="7"/>
      <c r="AO1919" s="7"/>
      <c r="AP1919" s="7"/>
      <c r="AQ1919" s="7"/>
      <c r="AS1919" s="36"/>
      <c r="AT1919" s="36"/>
      <c r="AU1919" s="35"/>
      <c r="AV1919" s="7"/>
      <c r="AW1919" s="7"/>
      <c r="AX1919" s="7"/>
      <c r="AY1919" s="7"/>
      <c r="AZ1919" s="7"/>
      <c r="BA1919" s="7"/>
      <c r="BB1919" s="7"/>
      <c r="BC1919" s="7"/>
      <c r="BF1919" s="7"/>
      <c r="BG1919" s="36"/>
      <c r="BH1919" s="36"/>
      <c r="BI1919" s="36"/>
      <c r="BJ1919" s="36"/>
      <c r="BK1919" s="36"/>
      <c r="BL1919" s="36"/>
      <c r="BM1919" s="36"/>
      <c r="BN1919" s="36"/>
      <c r="BO1919" s="36"/>
    </row>
    <row r="1920" spans="1:67" x14ac:dyDescent="0.25">
      <c r="A1920" s="39"/>
      <c r="B1920" s="40"/>
      <c r="U1920" s="36"/>
      <c r="V1920" s="36"/>
      <c r="W1920" s="35"/>
      <c r="X1920" s="7"/>
      <c r="Y1920" s="7"/>
      <c r="Z1920" s="7"/>
      <c r="AA1920" s="7"/>
      <c r="AB1920" s="7"/>
      <c r="AC1920" s="7"/>
      <c r="AD1920" s="7"/>
      <c r="AE1920" s="7"/>
      <c r="AG1920" s="36"/>
      <c r="AH1920" s="36"/>
      <c r="AI1920" s="35"/>
      <c r="AJ1920" s="7"/>
      <c r="AK1920" s="7"/>
      <c r="AL1920" s="7"/>
      <c r="AM1920" s="7"/>
      <c r="AN1920" s="7"/>
      <c r="AO1920" s="7"/>
      <c r="AP1920" s="7"/>
      <c r="AQ1920" s="7"/>
      <c r="AS1920" s="36"/>
      <c r="AT1920" s="36"/>
      <c r="AU1920" s="35"/>
      <c r="AV1920" s="7"/>
      <c r="AW1920" s="7"/>
      <c r="AX1920" s="7"/>
      <c r="AY1920" s="7"/>
      <c r="AZ1920" s="7"/>
      <c r="BA1920" s="7"/>
      <c r="BB1920" s="7"/>
      <c r="BC1920" s="7"/>
      <c r="BF1920" s="7"/>
      <c r="BG1920" s="36"/>
      <c r="BH1920" s="36"/>
      <c r="BI1920" s="36"/>
      <c r="BJ1920" s="36"/>
      <c r="BK1920" s="36"/>
      <c r="BL1920" s="36"/>
      <c r="BM1920" s="36"/>
      <c r="BN1920" s="36"/>
      <c r="BO1920" s="36"/>
    </row>
    <row r="1921" spans="1:67" x14ac:dyDescent="0.25">
      <c r="A1921" s="39"/>
      <c r="B1921" s="40"/>
      <c r="U1921" s="36"/>
      <c r="V1921" s="36"/>
      <c r="W1921" s="35"/>
      <c r="X1921" s="7"/>
      <c r="Y1921" s="7"/>
      <c r="Z1921" s="7"/>
      <c r="AA1921" s="7"/>
      <c r="AB1921" s="7"/>
      <c r="AC1921" s="7"/>
      <c r="AD1921" s="7"/>
      <c r="AE1921" s="7"/>
      <c r="AG1921" s="36"/>
      <c r="AH1921" s="36"/>
      <c r="AI1921" s="35"/>
      <c r="AJ1921" s="7"/>
      <c r="AK1921" s="7"/>
      <c r="AL1921" s="7"/>
      <c r="AM1921" s="7"/>
      <c r="AN1921" s="7"/>
      <c r="AO1921" s="7"/>
      <c r="AP1921" s="7"/>
      <c r="AQ1921" s="7"/>
      <c r="AS1921" s="36"/>
      <c r="AT1921" s="36"/>
      <c r="AU1921" s="35"/>
      <c r="AV1921" s="7"/>
      <c r="AW1921" s="7"/>
      <c r="AX1921" s="7"/>
      <c r="AY1921" s="7"/>
      <c r="AZ1921" s="7"/>
      <c r="BA1921" s="7"/>
      <c r="BB1921" s="7"/>
      <c r="BC1921" s="7"/>
      <c r="BF1921" s="7"/>
      <c r="BG1921" s="36"/>
      <c r="BH1921" s="36"/>
      <c r="BI1921" s="36"/>
      <c r="BJ1921" s="36"/>
      <c r="BK1921" s="36"/>
      <c r="BL1921" s="36"/>
      <c r="BM1921" s="36"/>
      <c r="BN1921" s="36"/>
      <c r="BO1921" s="36"/>
    </row>
    <row r="1922" spans="1:67" x14ac:dyDescent="0.25">
      <c r="A1922" s="39"/>
      <c r="B1922" s="40"/>
      <c r="U1922" s="36"/>
      <c r="V1922" s="36"/>
      <c r="W1922" s="35"/>
      <c r="X1922" s="7"/>
      <c r="Y1922" s="7"/>
      <c r="Z1922" s="7"/>
      <c r="AA1922" s="7"/>
      <c r="AB1922" s="7"/>
      <c r="AC1922" s="7"/>
      <c r="AD1922" s="7"/>
      <c r="AE1922" s="7"/>
      <c r="AG1922" s="36"/>
      <c r="AH1922" s="36"/>
      <c r="AI1922" s="35"/>
      <c r="AJ1922" s="7"/>
      <c r="AK1922" s="7"/>
      <c r="AL1922" s="7"/>
      <c r="AM1922" s="7"/>
      <c r="AN1922" s="7"/>
      <c r="AO1922" s="7"/>
      <c r="AP1922" s="7"/>
      <c r="AQ1922" s="7"/>
      <c r="AS1922" s="36"/>
      <c r="AT1922" s="36"/>
      <c r="AU1922" s="35"/>
      <c r="AV1922" s="7"/>
      <c r="AW1922" s="7"/>
      <c r="AX1922" s="7"/>
      <c r="AY1922" s="7"/>
      <c r="AZ1922" s="7"/>
      <c r="BA1922" s="7"/>
      <c r="BB1922" s="7"/>
      <c r="BC1922" s="7"/>
      <c r="BF1922" s="7"/>
      <c r="BG1922" s="36"/>
      <c r="BH1922" s="36"/>
      <c r="BI1922" s="36"/>
      <c r="BJ1922" s="36"/>
      <c r="BK1922" s="36"/>
      <c r="BL1922" s="36"/>
      <c r="BM1922" s="36"/>
      <c r="BN1922" s="36"/>
      <c r="BO1922" s="36"/>
    </row>
    <row r="1923" spans="1:67" x14ac:dyDescent="0.25">
      <c r="A1923" s="39"/>
      <c r="B1923" s="40"/>
      <c r="U1923" s="36"/>
      <c r="V1923" s="36"/>
      <c r="W1923" s="35"/>
      <c r="X1923" s="7"/>
      <c r="Y1923" s="7"/>
      <c r="Z1923" s="7"/>
      <c r="AA1923" s="7"/>
      <c r="AB1923" s="7"/>
      <c r="AC1923" s="7"/>
      <c r="AD1923" s="7"/>
      <c r="AE1923" s="7"/>
      <c r="AG1923" s="36"/>
      <c r="AH1923" s="36"/>
      <c r="AI1923" s="35"/>
      <c r="AJ1923" s="7"/>
      <c r="AK1923" s="7"/>
      <c r="AL1923" s="7"/>
      <c r="AM1923" s="7"/>
      <c r="AN1923" s="7"/>
      <c r="AO1923" s="7"/>
      <c r="AP1923" s="7"/>
      <c r="AQ1923" s="7"/>
      <c r="AS1923" s="36"/>
      <c r="AT1923" s="36"/>
      <c r="AU1923" s="35"/>
      <c r="AV1923" s="7"/>
      <c r="AW1923" s="7"/>
      <c r="AX1923" s="7"/>
      <c r="AY1923" s="7"/>
      <c r="AZ1923" s="7"/>
      <c r="BA1923" s="7"/>
      <c r="BB1923" s="7"/>
      <c r="BC1923" s="7"/>
      <c r="BF1923" s="7"/>
      <c r="BG1923" s="36"/>
      <c r="BH1923" s="36"/>
      <c r="BI1923" s="36"/>
      <c r="BJ1923" s="36"/>
      <c r="BK1923" s="36"/>
      <c r="BL1923" s="36"/>
      <c r="BM1923" s="36"/>
      <c r="BN1923" s="36"/>
      <c r="BO1923" s="36"/>
    </row>
    <row r="1924" spans="1:67" x14ac:dyDescent="0.25">
      <c r="A1924" s="39"/>
      <c r="B1924" s="40"/>
      <c r="U1924" s="36"/>
      <c r="V1924" s="36"/>
      <c r="W1924" s="35"/>
      <c r="X1924" s="7"/>
      <c r="Y1924" s="7"/>
      <c r="Z1924" s="7"/>
      <c r="AA1924" s="7"/>
      <c r="AB1924" s="7"/>
      <c r="AC1924" s="7"/>
      <c r="AD1924" s="7"/>
      <c r="AE1924" s="7"/>
      <c r="AG1924" s="36"/>
      <c r="AH1924" s="36"/>
      <c r="AI1924" s="35"/>
      <c r="AJ1924" s="7"/>
      <c r="AK1924" s="7"/>
      <c r="AL1924" s="7"/>
      <c r="AM1924" s="7"/>
      <c r="AN1924" s="7"/>
      <c r="AO1924" s="7"/>
      <c r="AP1924" s="7"/>
      <c r="AQ1924" s="7"/>
      <c r="AS1924" s="36"/>
      <c r="AT1924" s="36"/>
      <c r="AU1924" s="35"/>
      <c r="AV1924" s="7"/>
      <c r="AW1924" s="7"/>
      <c r="AX1924" s="7"/>
      <c r="AY1924" s="7"/>
      <c r="AZ1924" s="7"/>
      <c r="BA1924" s="7"/>
      <c r="BB1924" s="7"/>
      <c r="BC1924" s="7"/>
      <c r="BF1924" s="7"/>
      <c r="BG1924" s="36"/>
      <c r="BH1924" s="36"/>
      <c r="BI1924" s="36"/>
      <c r="BJ1924" s="36"/>
      <c r="BK1924" s="36"/>
      <c r="BL1924" s="36"/>
      <c r="BM1924" s="36"/>
      <c r="BN1924" s="36"/>
      <c r="BO1924" s="36"/>
    </row>
    <row r="1925" spans="1:67" x14ac:dyDescent="0.25">
      <c r="A1925" s="39"/>
      <c r="B1925" s="40"/>
      <c r="U1925" s="36"/>
      <c r="V1925" s="36"/>
      <c r="W1925" s="35"/>
      <c r="X1925" s="7"/>
      <c r="Y1925" s="7"/>
      <c r="Z1925" s="7"/>
      <c r="AA1925" s="7"/>
      <c r="AB1925" s="7"/>
      <c r="AC1925" s="7"/>
      <c r="AD1925" s="7"/>
      <c r="AE1925" s="7"/>
      <c r="AG1925" s="36"/>
      <c r="AH1925" s="36"/>
      <c r="AI1925" s="35"/>
      <c r="AJ1925" s="7"/>
      <c r="AK1925" s="7"/>
      <c r="AL1925" s="7"/>
      <c r="AM1925" s="7"/>
      <c r="AN1925" s="7"/>
      <c r="AO1925" s="7"/>
      <c r="AP1925" s="7"/>
      <c r="AQ1925" s="7"/>
      <c r="AS1925" s="36"/>
      <c r="AT1925" s="36"/>
      <c r="AU1925" s="35"/>
      <c r="AV1925" s="7"/>
      <c r="AW1925" s="7"/>
      <c r="AX1925" s="7"/>
      <c r="AY1925" s="7"/>
      <c r="AZ1925" s="7"/>
      <c r="BA1925" s="7"/>
      <c r="BB1925" s="7"/>
      <c r="BC1925" s="7"/>
      <c r="BF1925" s="7"/>
      <c r="BG1925" s="36"/>
      <c r="BH1925" s="36"/>
      <c r="BI1925" s="36"/>
      <c r="BJ1925" s="36"/>
      <c r="BK1925" s="36"/>
      <c r="BL1925" s="36"/>
      <c r="BM1925" s="36"/>
      <c r="BN1925" s="36"/>
      <c r="BO1925" s="36"/>
    </row>
    <row r="1926" spans="1:67" x14ac:dyDescent="0.25">
      <c r="A1926" s="39"/>
      <c r="B1926" s="40"/>
      <c r="U1926" s="36"/>
      <c r="V1926" s="36"/>
      <c r="W1926" s="35"/>
      <c r="X1926" s="7"/>
      <c r="Y1926" s="7"/>
      <c r="Z1926" s="7"/>
      <c r="AA1926" s="7"/>
      <c r="AB1926" s="7"/>
      <c r="AC1926" s="7"/>
      <c r="AD1926" s="7"/>
      <c r="AE1926" s="7"/>
      <c r="AG1926" s="36"/>
      <c r="AH1926" s="36"/>
      <c r="AI1926" s="35"/>
      <c r="AJ1926" s="7"/>
      <c r="AK1926" s="7"/>
      <c r="AL1926" s="7"/>
      <c r="AM1926" s="7"/>
      <c r="AN1926" s="7"/>
      <c r="AO1926" s="7"/>
      <c r="AP1926" s="7"/>
      <c r="AQ1926" s="7"/>
      <c r="AS1926" s="36"/>
      <c r="AT1926" s="36"/>
      <c r="AU1926" s="35"/>
      <c r="AV1926" s="7"/>
      <c r="AW1926" s="7"/>
      <c r="AX1926" s="7"/>
      <c r="AY1926" s="7"/>
      <c r="AZ1926" s="7"/>
      <c r="BA1926" s="7"/>
      <c r="BB1926" s="7"/>
      <c r="BC1926" s="7"/>
      <c r="BF1926" s="7"/>
      <c r="BG1926" s="36"/>
      <c r="BH1926" s="36"/>
      <c r="BI1926" s="36"/>
      <c r="BJ1926" s="36"/>
      <c r="BK1926" s="36"/>
      <c r="BL1926" s="36"/>
      <c r="BM1926" s="36"/>
      <c r="BN1926" s="36"/>
      <c r="BO1926" s="36"/>
    </row>
    <row r="1927" spans="1:67" x14ac:dyDescent="0.25">
      <c r="A1927" s="39"/>
      <c r="B1927" s="40"/>
      <c r="U1927" s="36"/>
      <c r="V1927" s="36"/>
      <c r="W1927" s="35"/>
      <c r="X1927" s="7"/>
      <c r="Y1927" s="7"/>
      <c r="Z1927" s="7"/>
      <c r="AA1927" s="7"/>
      <c r="AB1927" s="7"/>
      <c r="AC1927" s="7"/>
      <c r="AD1927" s="7"/>
      <c r="AE1927" s="7"/>
      <c r="AG1927" s="36"/>
      <c r="AH1927" s="36"/>
      <c r="AI1927" s="35"/>
      <c r="AJ1927" s="7"/>
      <c r="AK1927" s="7"/>
      <c r="AL1927" s="7"/>
      <c r="AM1927" s="7"/>
      <c r="AN1927" s="7"/>
      <c r="AO1927" s="7"/>
      <c r="AP1927" s="7"/>
      <c r="AQ1927" s="7"/>
      <c r="AS1927" s="36"/>
      <c r="AT1927" s="36"/>
      <c r="AU1927" s="35"/>
      <c r="AV1927" s="7"/>
      <c r="AW1927" s="7"/>
      <c r="AX1927" s="7"/>
      <c r="AY1927" s="7"/>
      <c r="AZ1927" s="7"/>
      <c r="BA1927" s="7"/>
      <c r="BB1927" s="7"/>
      <c r="BC1927" s="7"/>
      <c r="BF1927" s="7"/>
      <c r="BG1927" s="36"/>
      <c r="BH1927" s="36"/>
      <c r="BI1927" s="36"/>
      <c r="BJ1927" s="36"/>
      <c r="BK1927" s="36"/>
      <c r="BL1927" s="36"/>
      <c r="BM1927" s="36"/>
      <c r="BN1927" s="36"/>
      <c r="BO1927" s="36"/>
    </row>
    <row r="1928" spans="1:67" x14ac:dyDescent="0.25">
      <c r="A1928" s="39"/>
      <c r="B1928" s="40"/>
      <c r="U1928" s="36"/>
      <c r="V1928" s="36"/>
      <c r="W1928" s="35"/>
      <c r="X1928" s="7"/>
      <c r="Y1928" s="7"/>
      <c r="Z1928" s="7"/>
      <c r="AA1928" s="7"/>
      <c r="AB1928" s="7"/>
      <c r="AC1928" s="7"/>
      <c r="AD1928" s="7"/>
      <c r="AE1928" s="7"/>
      <c r="AG1928" s="36"/>
      <c r="AH1928" s="36"/>
      <c r="AI1928" s="35"/>
      <c r="AJ1928" s="7"/>
      <c r="AK1928" s="7"/>
      <c r="AL1928" s="7"/>
      <c r="AM1928" s="7"/>
      <c r="AN1928" s="7"/>
      <c r="AO1928" s="7"/>
      <c r="AP1928" s="7"/>
      <c r="AQ1928" s="7"/>
      <c r="AS1928" s="36"/>
      <c r="AT1928" s="36"/>
      <c r="AU1928" s="35"/>
      <c r="AV1928" s="7"/>
      <c r="AW1928" s="7"/>
      <c r="AX1928" s="7"/>
      <c r="AY1928" s="7"/>
      <c r="AZ1928" s="7"/>
      <c r="BA1928" s="7"/>
      <c r="BB1928" s="7"/>
      <c r="BC1928" s="7"/>
      <c r="BF1928" s="7"/>
      <c r="BG1928" s="36"/>
      <c r="BH1928" s="36"/>
      <c r="BI1928" s="36"/>
      <c r="BJ1928" s="36"/>
      <c r="BK1928" s="36"/>
      <c r="BL1928" s="36"/>
      <c r="BM1928" s="36"/>
      <c r="BN1928" s="36"/>
      <c r="BO1928" s="36"/>
    </row>
    <row r="1929" spans="1:67" x14ac:dyDescent="0.25">
      <c r="A1929" s="39"/>
      <c r="B1929" s="40"/>
      <c r="U1929" s="36"/>
      <c r="V1929" s="36"/>
      <c r="W1929" s="35"/>
      <c r="X1929" s="7"/>
      <c r="Y1929" s="7"/>
      <c r="Z1929" s="7"/>
      <c r="AA1929" s="7"/>
      <c r="AB1929" s="7"/>
      <c r="AC1929" s="7"/>
      <c r="AD1929" s="7"/>
      <c r="AE1929" s="7"/>
      <c r="AG1929" s="36"/>
      <c r="AH1929" s="36"/>
      <c r="AI1929" s="35"/>
      <c r="AJ1929" s="7"/>
      <c r="AK1929" s="7"/>
      <c r="AL1929" s="7"/>
      <c r="AM1929" s="7"/>
      <c r="AN1929" s="7"/>
      <c r="AO1929" s="7"/>
      <c r="AP1929" s="7"/>
      <c r="AQ1929" s="7"/>
      <c r="AS1929" s="36"/>
      <c r="AT1929" s="36"/>
      <c r="AU1929" s="35"/>
      <c r="AV1929" s="7"/>
      <c r="AW1929" s="7"/>
      <c r="AX1929" s="7"/>
      <c r="AY1929" s="7"/>
      <c r="AZ1929" s="7"/>
      <c r="BA1929" s="7"/>
      <c r="BB1929" s="7"/>
      <c r="BC1929" s="7"/>
      <c r="BF1929" s="7"/>
      <c r="BG1929" s="36"/>
      <c r="BH1929" s="36"/>
      <c r="BI1929" s="36"/>
      <c r="BJ1929" s="36"/>
      <c r="BK1929" s="36"/>
      <c r="BL1929" s="36"/>
      <c r="BM1929" s="36"/>
      <c r="BN1929" s="36"/>
      <c r="BO1929" s="36"/>
    </row>
    <row r="1930" spans="1:67" x14ac:dyDescent="0.25">
      <c r="A1930" s="39"/>
      <c r="B1930" s="40"/>
      <c r="U1930" s="36"/>
      <c r="V1930" s="36"/>
      <c r="W1930" s="35"/>
      <c r="X1930" s="7"/>
      <c r="Y1930" s="7"/>
      <c r="Z1930" s="7"/>
      <c r="AA1930" s="7"/>
      <c r="AB1930" s="7"/>
      <c r="AC1930" s="7"/>
      <c r="AD1930" s="7"/>
      <c r="AE1930" s="7"/>
      <c r="AG1930" s="36"/>
      <c r="AH1930" s="36"/>
      <c r="AI1930" s="35"/>
      <c r="AJ1930" s="7"/>
      <c r="AK1930" s="7"/>
      <c r="AL1930" s="7"/>
      <c r="AM1930" s="7"/>
      <c r="AN1930" s="7"/>
      <c r="AO1930" s="7"/>
      <c r="AP1930" s="7"/>
      <c r="AQ1930" s="7"/>
      <c r="AS1930" s="36"/>
      <c r="AT1930" s="36"/>
      <c r="AU1930" s="35"/>
      <c r="AV1930" s="7"/>
      <c r="AW1930" s="7"/>
      <c r="AX1930" s="7"/>
      <c r="AY1930" s="7"/>
      <c r="AZ1930" s="7"/>
      <c r="BA1930" s="7"/>
      <c r="BB1930" s="7"/>
      <c r="BC1930" s="7"/>
      <c r="BF1930" s="7"/>
      <c r="BG1930" s="36"/>
      <c r="BH1930" s="36"/>
      <c r="BI1930" s="36"/>
      <c r="BJ1930" s="36"/>
      <c r="BK1930" s="36"/>
      <c r="BL1930" s="36"/>
      <c r="BM1930" s="36"/>
      <c r="BN1930" s="36"/>
      <c r="BO1930" s="36"/>
    </row>
    <row r="1931" spans="1:67" x14ac:dyDescent="0.25">
      <c r="A1931" s="39"/>
      <c r="B1931" s="40"/>
      <c r="U1931" s="36"/>
      <c r="V1931" s="36"/>
      <c r="W1931" s="35"/>
      <c r="X1931" s="7"/>
      <c r="Y1931" s="7"/>
      <c r="Z1931" s="7"/>
      <c r="AA1931" s="7"/>
      <c r="AB1931" s="7"/>
      <c r="AC1931" s="7"/>
      <c r="AD1931" s="7"/>
      <c r="AE1931" s="7"/>
      <c r="AG1931" s="36"/>
      <c r="AH1931" s="36"/>
      <c r="AI1931" s="35"/>
      <c r="AJ1931" s="7"/>
      <c r="AK1931" s="7"/>
      <c r="AL1931" s="7"/>
      <c r="AM1931" s="7"/>
      <c r="AN1931" s="7"/>
      <c r="AO1931" s="7"/>
      <c r="AP1931" s="7"/>
      <c r="AQ1931" s="7"/>
      <c r="AS1931" s="36"/>
      <c r="AT1931" s="36"/>
      <c r="AU1931" s="35"/>
      <c r="AV1931" s="7"/>
      <c r="AW1931" s="7"/>
      <c r="AX1931" s="7"/>
      <c r="AY1931" s="7"/>
      <c r="AZ1931" s="7"/>
      <c r="BA1931" s="7"/>
      <c r="BB1931" s="7"/>
      <c r="BC1931" s="7"/>
      <c r="BF1931" s="7"/>
      <c r="BG1931" s="36"/>
      <c r="BH1931" s="36"/>
      <c r="BI1931" s="36"/>
      <c r="BJ1931" s="36"/>
      <c r="BK1931" s="36"/>
      <c r="BL1931" s="36"/>
      <c r="BM1931" s="36"/>
      <c r="BN1931" s="36"/>
      <c r="BO1931" s="36"/>
    </row>
    <row r="1932" spans="1:67" x14ac:dyDescent="0.25">
      <c r="A1932" s="39"/>
      <c r="B1932" s="40"/>
      <c r="U1932" s="36"/>
      <c r="V1932" s="36"/>
      <c r="W1932" s="35"/>
      <c r="X1932" s="7"/>
      <c r="Y1932" s="7"/>
      <c r="Z1932" s="7"/>
      <c r="AA1932" s="7"/>
      <c r="AB1932" s="7"/>
      <c r="AC1932" s="7"/>
      <c r="AD1932" s="7"/>
      <c r="AE1932" s="7"/>
      <c r="AG1932" s="36"/>
      <c r="AH1932" s="36"/>
      <c r="AI1932" s="35"/>
      <c r="AJ1932" s="7"/>
      <c r="AK1932" s="7"/>
      <c r="AL1932" s="7"/>
      <c r="AM1932" s="7"/>
      <c r="AN1932" s="7"/>
      <c r="AO1932" s="7"/>
      <c r="AP1932" s="7"/>
      <c r="AQ1932" s="7"/>
      <c r="AS1932" s="36"/>
      <c r="AT1932" s="36"/>
      <c r="AU1932" s="35"/>
      <c r="AV1932" s="7"/>
      <c r="AW1932" s="7"/>
      <c r="AX1932" s="7"/>
      <c r="AY1932" s="7"/>
      <c r="AZ1932" s="7"/>
      <c r="BA1932" s="7"/>
      <c r="BB1932" s="7"/>
      <c r="BC1932" s="7"/>
      <c r="BF1932" s="7"/>
      <c r="BG1932" s="36"/>
      <c r="BH1932" s="36"/>
      <c r="BI1932" s="36"/>
      <c r="BJ1932" s="36"/>
      <c r="BK1932" s="36"/>
      <c r="BL1932" s="36"/>
      <c r="BM1932" s="36"/>
      <c r="BN1932" s="36"/>
      <c r="BO1932" s="36"/>
    </row>
    <row r="1933" spans="1:67" x14ac:dyDescent="0.25">
      <c r="A1933" s="39"/>
      <c r="B1933" s="40"/>
      <c r="U1933" s="36"/>
      <c r="V1933" s="36"/>
      <c r="W1933" s="35"/>
      <c r="X1933" s="7"/>
      <c r="Y1933" s="7"/>
      <c r="Z1933" s="7"/>
      <c r="AA1933" s="7"/>
      <c r="AB1933" s="7"/>
      <c r="AC1933" s="7"/>
      <c r="AD1933" s="7"/>
      <c r="AE1933" s="7"/>
      <c r="AG1933" s="36"/>
      <c r="AH1933" s="36"/>
      <c r="AI1933" s="35"/>
      <c r="AJ1933" s="7"/>
      <c r="AK1933" s="7"/>
      <c r="AL1933" s="7"/>
      <c r="AM1933" s="7"/>
      <c r="AN1933" s="7"/>
      <c r="AO1933" s="7"/>
      <c r="AP1933" s="7"/>
      <c r="AQ1933" s="7"/>
      <c r="AS1933" s="36"/>
      <c r="AT1933" s="36"/>
      <c r="AU1933" s="35"/>
      <c r="AV1933" s="7"/>
      <c r="AW1933" s="7"/>
      <c r="AX1933" s="7"/>
      <c r="AY1933" s="7"/>
      <c r="AZ1933" s="7"/>
      <c r="BA1933" s="7"/>
      <c r="BB1933" s="7"/>
      <c r="BC1933" s="7"/>
      <c r="BF1933" s="7"/>
      <c r="BG1933" s="36"/>
      <c r="BH1933" s="36"/>
      <c r="BI1933" s="36"/>
      <c r="BJ1933" s="36"/>
      <c r="BK1933" s="36"/>
      <c r="BL1933" s="36"/>
      <c r="BM1933" s="36"/>
      <c r="BN1933" s="36"/>
      <c r="BO1933" s="36"/>
    </row>
    <row r="1934" spans="1:67" x14ac:dyDescent="0.25">
      <c r="A1934" s="39"/>
      <c r="B1934" s="40"/>
      <c r="U1934" s="36"/>
      <c r="V1934" s="36"/>
      <c r="W1934" s="35"/>
      <c r="X1934" s="7"/>
      <c r="Y1934" s="7"/>
      <c r="Z1934" s="7"/>
      <c r="AA1934" s="7"/>
      <c r="AB1934" s="7"/>
      <c r="AC1934" s="7"/>
      <c r="AD1934" s="7"/>
      <c r="AE1934" s="7"/>
      <c r="AG1934" s="36"/>
      <c r="AH1934" s="36"/>
      <c r="AI1934" s="35"/>
      <c r="AJ1934" s="7"/>
      <c r="AK1934" s="7"/>
      <c r="AL1934" s="7"/>
      <c r="AM1934" s="7"/>
      <c r="AN1934" s="7"/>
      <c r="AO1934" s="7"/>
      <c r="AP1934" s="7"/>
      <c r="AQ1934" s="7"/>
      <c r="AS1934" s="36"/>
      <c r="AT1934" s="36"/>
      <c r="AU1934" s="35"/>
      <c r="AV1934" s="7"/>
      <c r="AW1934" s="7"/>
      <c r="AX1934" s="7"/>
      <c r="AY1934" s="7"/>
      <c r="AZ1934" s="7"/>
      <c r="BA1934" s="7"/>
      <c r="BB1934" s="7"/>
      <c r="BC1934" s="7"/>
      <c r="BF1934" s="7"/>
      <c r="BG1934" s="36"/>
      <c r="BH1934" s="36"/>
      <c r="BI1934" s="36"/>
      <c r="BJ1934" s="36"/>
      <c r="BK1934" s="36"/>
      <c r="BL1934" s="36"/>
      <c r="BM1934" s="36"/>
      <c r="BN1934" s="36"/>
      <c r="BO1934" s="36"/>
    </row>
    <row r="1935" spans="1:67" x14ac:dyDescent="0.25">
      <c r="A1935" s="39"/>
      <c r="B1935" s="40"/>
      <c r="U1935" s="36"/>
      <c r="V1935" s="36"/>
      <c r="W1935" s="35"/>
      <c r="X1935" s="7"/>
      <c r="Y1935" s="7"/>
      <c r="Z1935" s="7"/>
      <c r="AA1935" s="7"/>
      <c r="AB1935" s="7"/>
      <c r="AC1935" s="7"/>
      <c r="AD1935" s="7"/>
      <c r="AE1935" s="7"/>
      <c r="AG1935" s="36"/>
      <c r="AH1935" s="36"/>
      <c r="AI1935" s="35"/>
      <c r="AJ1935" s="7"/>
      <c r="AK1935" s="7"/>
      <c r="AL1935" s="7"/>
      <c r="AM1935" s="7"/>
      <c r="AN1935" s="7"/>
      <c r="AO1935" s="7"/>
      <c r="AP1935" s="7"/>
      <c r="AQ1935" s="7"/>
      <c r="AS1935" s="36"/>
      <c r="AT1935" s="36"/>
      <c r="AU1935" s="35"/>
      <c r="AV1935" s="7"/>
      <c r="AW1935" s="7"/>
      <c r="AX1935" s="7"/>
      <c r="AY1935" s="7"/>
      <c r="AZ1935" s="7"/>
      <c r="BA1935" s="7"/>
      <c r="BB1935" s="7"/>
      <c r="BC1935" s="7"/>
      <c r="BF1935" s="7"/>
      <c r="BG1935" s="36"/>
      <c r="BH1935" s="36"/>
      <c r="BI1935" s="36"/>
      <c r="BJ1935" s="36"/>
      <c r="BK1935" s="36"/>
      <c r="BL1935" s="36"/>
      <c r="BM1935" s="36"/>
      <c r="BN1935" s="36"/>
      <c r="BO1935" s="36"/>
    </row>
    <row r="1936" spans="1:67" x14ac:dyDescent="0.25">
      <c r="A1936" s="39"/>
      <c r="B1936" s="40"/>
      <c r="U1936" s="36"/>
      <c r="V1936" s="36"/>
      <c r="W1936" s="35"/>
      <c r="X1936" s="7"/>
      <c r="Y1936" s="7"/>
      <c r="Z1936" s="7"/>
      <c r="AA1936" s="7"/>
      <c r="AB1936" s="7"/>
      <c r="AC1936" s="7"/>
      <c r="AD1936" s="7"/>
      <c r="AE1936" s="7"/>
      <c r="AG1936" s="36"/>
      <c r="AH1936" s="36"/>
      <c r="AI1936" s="35"/>
      <c r="AJ1936" s="7"/>
      <c r="AK1936" s="7"/>
      <c r="AL1936" s="7"/>
      <c r="AM1936" s="7"/>
      <c r="AN1936" s="7"/>
      <c r="AO1936" s="7"/>
      <c r="AP1936" s="7"/>
      <c r="AQ1936" s="7"/>
      <c r="AS1936" s="36"/>
      <c r="AT1936" s="36"/>
      <c r="AU1936" s="35"/>
      <c r="AV1936" s="7"/>
      <c r="AW1936" s="7"/>
      <c r="AX1936" s="7"/>
      <c r="AY1936" s="7"/>
      <c r="AZ1936" s="7"/>
      <c r="BA1936" s="7"/>
      <c r="BB1936" s="7"/>
      <c r="BC1936" s="7"/>
      <c r="BF1936" s="7"/>
      <c r="BG1936" s="36"/>
      <c r="BH1936" s="36"/>
      <c r="BI1936" s="36"/>
      <c r="BJ1936" s="36"/>
      <c r="BK1936" s="36"/>
      <c r="BL1936" s="36"/>
      <c r="BM1936" s="36"/>
      <c r="BN1936" s="36"/>
      <c r="BO1936" s="36"/>
    </row>
    <row r="1937" spans="1:67" x14ac:dyDescent="0.25">
      <c r="A1937" s="39"/>
      <c r="B1937" s="40"/>
      <c r="U1937" s="36"/>
      <c r="V1937" s="36"/>
      <c r="W1937" s="35"/>
      <c r="X1937" s="7"/>
      <c r="Y1937" s="7"/>
      <c r="Z1937" s="7"/>
      <c r="AA1937" s="7"/>
      <c r="AB1937" s="7"/>
      <c r="AC1937" s="7"/>
      <c r="AD1937" s="7"/>
      <c r="AE1937" s="7"/>
      <c r="AG1937" s="36"/>
      <c r="AH1937" s="36"/>
      <c r="AI1937" s="35"/>
      <c r="AJ1937" s="7"/>
      <c r="AK1937" s="7"/>
      <c r="AL1937" s="7"/>
      <c r="AM1937" s="7"/>
      <c r="AN1937" s="7"/>
      <c r="AO1937" s="7"/>
      <c r="AP1937" s="7"/>
      <c r="AQ1937" s="7"/>
      <c r="AS1937" s="36"/>
      <c r="AT1937" s="36"/>
      <c r="AU1937" s="35"/>
      <c r="AV1937" s="7"/>
      <c r="AW1937" s="7"/>
      <c r="AX1937" s="7"/>
      <c r="AY1937" s="7"/>
      <c r="AZ1937" s="7"/>
      <c r="BA1937" s="7"/>
      <c r="BB1937" s="7"/>
      <c r="BC1937" s="7"/>
      <c r="BF1937" s="7"/>
      <c r="BG1937" s="36"/>
      <c r="BH1937" s="36"/>
      <c r="BI1937" s="36"/>
      <c r="BJ1937" s="36"/>
      <c r="BK1937" s="36"/>
      <c r="BL1937" s="36"/>
      <c r="BM1937" s="36"/>
      <c r="BN1937" s="36"/>
      <c r="BO1937" s="36"/>
    </row>
    <row r="1938" spans="1:67" x14ac:dyDescent="0.25">
      <c r="A1938" s="39"/>
      <c r="B1938" s="40"/>
      <c r="U1938" s="36"/>
      <c r="V1938" s="36"/>
      <c r="W1938" s="35"/>
      <c r="X1938" s="7"/>
      <c r="Y1938" s="7"/>
      <c r="Z1938" s="7"/>
      <c r="AA1938" s="7"/>
      <c r="AB1938" s="7"/>
      <c r="AC1938" s="7"/>
      <c r="AD1938" s="7"/>
      <c r="AE1938" s="7"/>
      <c r="AG1938" s="36"/>
      <c r="AH1938" s="36"/>
      <c r="AI1938" s="35"/>
      <c r="AJ1938" s="7"/>
      <c r="AK1938" s="7"/>
      <c r="AL1938" s="7"/>
      <c r="AM1938" s="7"/>
      <c r="AN1938" s="7"/>
      <c r="AO1938" s="7"/>
      <c r="AP1938" s="7"/>
      <c r="AQ1938" s="7"/>
      <c r="AS1938" s="36"/>
      <c r="AT1938" s="36"/>
      <c r="AU1938" s="35"/>
      <c r="AV1938" s="7"/>
      <c r="AW1938" s="7"/>
      <c r="AX1938" s="7"/>
      <c r="AY1938" s="7"/>
      <c r="AZ1938" s="7"/>
      <c r="BA1938" s="7"/>
      <c r="BB1938" s="7"/>
      <c r="BC1938" s="7"/>
      <c r="BF1938" s="7"/>
      <c r="BG1938" s="36"/>
      <c r="BH1938" s="36"/>
      <c r="BI1938" s="36"/>
      <c r="BJ1938" s="36"/>
      <c r="BK1938" s="36"/>
      <c r="BL1938" s="36"/>
      <c r="BM1938" s="36"/>
      <c r="BN1938" s="36"/>
      <c r="BO1938" s="36"/>
    </row>
    <row r="1939" spans="1:67" x14ac:dyDescent="0.25">
      <c r="A1939" s="39"/>
      <c r="B1939" s="40"/>
      <c r="U1939" s="36"/>
      <c r="V1939" s="36"/>
      <c r="W1939" s="35"/>
      <c r="X1939" s="7"/>
      <c r="Y1939" s="7"/>
      <c r="Z1939" s="7"/>
      <c r="AA1939" s="7"/>
      <c r="AB1939" s="7"/>
      <c r="AC1939" s="7"/>
      <c r="AD1939" s="7"/>
      <c r="AE1939" s="7"/>
      <c r="AG1939" s="36"/>
      <c r="AH1939" s="36"/>
      <c r="AI1939" s="35"/>
      <c r="AJ1939" s="7"/>
      <c r="AK1939" s="7"/>
      <c r="AL1939" s="7"/>
      <c r="AM1939" s="7"/>
      <c r="AN1939" s="7"/>
      <c r="AO1939" s="7"/>
      <c r="AP1939" s="7"/>
      <c r="AQ1939" s="7"/>
      <c r="AS1939" s="36"/>
      <c r="AT1939" s="36"/>
      <c r="AU1939" s="35"/>
      <c r="AV1939" s="7"/>
      <c r="AW1939" s="7"/>
      <c r="AX1939" s="7"/>
      <c r="AY1939" s="7"/>
      <c r="AZ1939" s="7"/>
      <c r="BA1939" s="7"/>
      <c r="BB1939" s="7"/>
      <c r="BC1939" s="7"/>
      <c r="BF1939" s="7"/>
      <c r="BG1939" s="36"/>
      <c r="BH1939" s="36"/>
      <c r="BI1939" s="36"/>
      <c r="BJ1939" s="36"/>
      <c r="BK1939" s="36"/>
      <c r="BL1939" s="36"/>
      <c r="BM1939" s="36"/>
      <c r="BN1939" s="36"/>
      <c r="BO1939" s="36"/>
    </row>
    <row r="1940" spans="1:67" x14ac:dyDescent="0.25">
      <c r="A1940" s="39"/>
      <c r="B1940" s="40"/>
      <c r="U1940" s="36"/>
      <c r="V1940" s="36"/>
      <c r="W1940" s="35"/>
      <c r="X1940" s="7"/>
      <c r="Y1940" s="7"/>
      <c r="Z1940" s="7"/>
      <c r="AA1940" s="7"/>
      <c r="AB1940" s="7"/>
      <c r="AC1940" s="7"/>
      <c r="AD1940" s="7"/>
      <c r="AE1940" s="7"/>
      <c r="AG1940" s="36"/>
      <c r="AH1940" s="36"/>
      <c r="AI1940" s="35"/>
      <c r="AJ1940" s="7"/>
      <c r="AK1940" s="7"/>
      <c r="AL1940" s="7"/>
      <c r="AM1940" s="7"/>
      <c r="AN1940" s="7"/>
      <c r="AO1940" s="7"/>
      <c r="AP1940" s="7"/>
      <c r="AQ1940" s="7"/>
      <c r="AS1940" s="36"/>
      <c r="AT1940" s="36"/>
      <c r="AU1940" s="35"/>
      <c r="AV1940" s="7"/>
      <c r="AW1940" s="7"/>
      <c r="AX1940" s="7"/>
      <c r="AY1940" s="7"/>
      <c r="AZ1940" s="7"/>
      <c r="BA1940" s="7"/>
      <c r="BB1940" s="7"/>
      <c r="BC1940" s="7"/>
      <c r="BF1940" s="7"/>
      <c r="BG1940" s="36"/>
      <c r="BH1940" s="36"/>
      <c r="BI1940" s="36"/>
      <c r="BJ1940" s="36"/>
      <c r="BK1940" s="36"/>
      <c r="BL1940" s="36"/>
      <c r="BM1940" s="36"/>
      <c r="BN1940" s="36"/>
      <c r="BO1940" s="36"/>
    </row>
    <row r="1941" spans="1:67" x14ac:dyDescent="0.25">
      <c r="A1941" s="39"/>
      <c r="B1941" s="40"/>
      <c r="U1941" s="36"/>
      <c r="V1941" s="36"/>
      <c r="W1941" s="35"/>
      <c r="X1941" s="7"/>
      <c r="Y1941" s="7"/>
      <c r="Z1941" s="7"/>
      <c r="AA1941" s="7"/>
      <c r="AB1941" s="7"/>
      <c r="AC1941" s="7"/>
      <c r="AD1941" s="7"/>
      <c r="AE1941" s="7"/>
      <c r="AG1941" s="36"/>
      <c r="AH1941" s="36"/>
      <c r="AI1941" s="35"/>
      <c r="AJ1941" s="7"/>
      <c r="AK1941" s="7"/>
      <c r="AL1941" s="7"/>
      <c r="AM1941" s="7"/>
      <c r="AN1941" s="7"/>
      <c r="AO1941" s="7"/>
      <c r="AP1941" s="7"/>
      <c r="AQ1941" s="7"/>
      <c r="AS1941" s="36"/>
      <c r="AT1941" s="36"/>
      <c r="AU1941" s="35"/>
      <c r="AV1941" s="7"/>
      <c r="AW1941" s="7"/>
      <c r="AX1941" s="7"/>
      <c r="AY1941" s="7"/>
      <c r="AZ1941" s="7"/>
      <c r="BA1941" s="7"/>
      <c r="BB1941" s="7"/>
      <c r="BC1941" s="7"/>
      <c r="BF1941" s="7"/>
      <c r="BG1941" s="36"/>
      <c r="BH1941" s="36"/>
      <c r="BI1941" s="36"/>
      <c r="BJ1941" s="36"/>
      <c r="BK1941" s="36"/>
      <c r="BL1941" s="36"/>
      <c r="BM1941" s="36"/>
      <c r="BN1941" s="36"/>
      <c r="BO1941" s="36"/>
    </row>
    <row r="1942" spans="1:67" x14ac:dyDescent="0.25">
      <c r="A1942" s="39"/>
      <c r="B1942" s="40"/>
      <c r="U1942" s="36"/>
      <c r="V1942" s="36"/>
      <c r="W1942" s="35"/>
      <c r="X1942" s="7"/>
      <c r="Y1942" s="7"/>
      <c r="Z1942" s="7"/>
      <c r="AA1942" s="7"/>
      <c r="AB1942" s="7"/>
      <c r="AC1942" s="7"/>
      <c r="AD1942" s="7"/>
      <c r="AE1942" s="7"/>
      <c r="AG1942" s="36"/>
      <c r="AH1942" s="36"/>
      <c r="AI1942" s="35"/>
      <c r="AJ1942" s="7"/>
      <c r="AK1942" s="7"/>
      <c r="AL1942" s="7"/>
      <c r="AM1942" s="7"/>
      <c r="AN1942" s="7"/>
      <c r="AO1942" s="7"/>
      <c r="AP1942" s="7"/>
      <c r="AQ1942" s="7"/>
      <c r="AS1942" s="36"/>
      <c r="AT1942" s="36"/>
      <c r="AU1942" s="35"/>
      <c r="AV1942" s="7"/>
      <c r="AW1942" s="7"/>
      <c r="AX1942" s="7"/>
      <c r="AY1942" s="7"/>
      <c r="AZ1942" s="7"/>
      <c r="BA1942" s="7"/>
      <c r="BB1942" s="7"/>
      <c r="BC1942" s="7"/>
      <c r="BF1942" s="7"/>
      <c r="BG1942" s="36"/>
      <c r="BH1942" s="36"/>
      <c r="BI1942" s="36"/>
      <c r="BJ1942" s="36"/>
      <c r="BK1942" s="36"/>
      <c r="BL1942" s="36"/>
      <c r="BM1942" s="36"/>
      <c r="BN1942" s="36"/>
      <c r="BO1942" s="36"/>
    </row>
    <row r="1943" spans="1:67" x14ac:dyDescent="0.25">
      <c r="A1943" s="39"/>
      <c r="B1943" s="40"/>
      <c r="U1943" s="36"/>
      <c r="V1943" s="36"/>
      <c r="W1943" s="35"/>
      <c r="X1943" s="7"/>
      <c r="Y1943" s="7"/>
      <c r="Z1943" s="7"/>
      <c r="AA1943" s="7"/>
      <c r="AB1943" s="7"/>
      <c r="AC1943" s="7"/>
      <c r="AD1943" s="7"/>
      <c r="AE1943" s="7"/>
      <c r="AG1943" s="36"/>
      <c r="AH1943" s="36"/>
      <c r="AI1943" s="35"/>
      <c r="AJ1943" s="7"/>
      <c r="AK1943" s="7"/>
      <c r="AL1943" s="7"/>
      <c r="AM1943" s="7"/>
      <c r="AN1943" s="7"/>
      <c r="AO1943" s="7"/>
      <c r="AP1943" s="7"/>
      <c r="AQ1943" s="7"/>
      <c r="AS1943" s="36"/>
      <c r="AT1943" s="36"/>
      <c r="AU1943" s="35"/>
      <c r="AV1943" s="7"/>
      <c r="AW1943" s="7"/>
      <c r="AX1943" s="7"/>
      <c r="AY1943" s="7"/>
      <c r="AZ1943" s="7"/>
      <c r="BA1943" s="7"/>
      <c r="BB1943" s="7"/>
      <c r="BC1943" s="7"/>
      <c r="BF1943" s="7"/>
      <c r="BG1943" s="36"/>
      <c r="BH1943" s="36"/>
      <c r="BI1943" s="36"/>
      <c r="BJ1943" s="36"/>
      <c r="BK1943" s="36"/>
      <c r="BL1943" s="36"/>
      <c r="BM1943" s="36"/>
      <c r="BN1943" s="36"/>
      <c r="BO1943" s="36"/>
    </row>
    <row r="1944" spans="1:67" x14ac:dyDescent="0.25">
      <c r="A1944" s="39"/>
      <c r="B1944" s="40"/>
      <c r="U1944" s="36"/>
      <c r="V1944" s="36"/>
      <c r="W1944" s="35"/>
      <c r="X1944" s="7"/>
      <c r="Y1944" s="7"/>
      <c r="Z1944" s="7"/>
      <c r="AA1944" s="7"/>
      <c r="AB1944" s="7"/>
      <c r="AC1944" s="7"/>
      <c r="AD1944" s="7"/>
      <c r="AE1944" s="7"/>
      <c r="AG1944" s="36"/>
      <c r="AH1944" s="36"/>
      <c r="AI1944" s="35"/>
      <c r="AJ1944" s="7"/>
      <c r="AK1944" s="7"/>
      <c r="AL1944" s="7"/>
      <c r="AM1944" s="7"/>
      <c r="AN1944" s="7"/>
      <c r="AO1944" s="7"/>
      <c r="AP1944" s="7"/>
      <c r="AQ1944" s="7"/>
      <c r="AS1944" s="36"/>
      <c r="AT1944" s="36"/>
      <c r="AU1944" s="35"/>
      <c r="AV1944" s="7"/>
      <c r="AW1944" s="7"/>
      <c r="AX1944" s="7"/>
      <c r="AY1944" s="7"/>
      <c r="AZ1944" s="7"/>
      <c r="BA1944" s="7"/>
      <c r="BB1944" s="7"/>
      <c r="BC1944" s="7"/>
      <c r="BF1944" s="7"/>
      <c r="BG1944" s="36"/>
      <c r="BH1944" s="36"/>
      <c r="BI1944" s="36"/>
      <c r="BJ1944" s="36"/>
      <c r="BK1944" s="36"/>
      <c r="BL1944" s="36"/>
      <c r="BM1944" s="36"/>
      <c r="BN1944" s="36"/>
      <c r="BO1944" s="36"/>
    </row>
    <row r="1945" spans="1:67" x14ac:dyDescent="0.25">
      <c r="A1945" s="39"/>
      <c r="B1945" s="40"/>
      <c r="U1945" s="36"/>
      <c r="V1945" s="36"/>
      <c r="W1945" s="35"/>
      <c r="X1945" s="7"/>
      <c r="Y1945" s="7"/>
      <c r="Z1945" s="7"/>
      <c r="AA1945" s="7"/>
      <c r="AB1945" s="7"/>
      <c r="AC1945" s="7"/>
      <c r="AD1945" s="7"/>
      <c r="AE1945" s="7"/>
      <c r="AG1945" s="36"/>
      <c r="AH1945" s="36"/>
      <c r="AI1945" s="35"/>
      <c r="AJ1945" s="7"/>
      <c r="AK1945" s="7"/>
      <c r="AL1945" s="7"/>
      <c r="AM1945" s="7"/>
      <c r="AN1945" s="7"/>
      <c r="AO1945" s="7"/>
      <c r="AP1945" s="7"/>
      <c r="AQ1945" s="7"/>
      <c r="AS1945" s="36"/>
      <c r="AT1945" s="36"/>
      <c r="AU1945" s="35"/>
      <c r="AV1945" s="7"/>
      <c r="AW1945" s="7"/>
      <c r="AX1945" s="7"/>
      <c r="AY1945" s="7"/>
      <c r="AZ1945" s="7"/>
      <c r="BA1945" s="7"/>
      <c r="BB1945" s="7"/>
      <c r="BC1945" s="7"/>
      <c r="BF1945" s="7"/>
      <c r="BG1945" s="36"/>
      <c r="BH1945" s="36"/>
      <c r="BI1945" s="36"/>
      <c r="BJ1945" s="36"/>
      <c r="BK1945" s="36"/>
      <c r="BL1945" s="36"/>
      <c r="BM1945" s="36"/>
      <c r="BN1945" s="36"/>
      <c r="BO1945" s="36"/>
    </row>
    <row r="1946" spans="1:67" x14ac:dyDescent="0.25">
      <c r="A1946" s="39"/>
      <c r="B1946" s="40"/>
      <c r="U1946" s="36"/>
      <c r="V1946" s="36"/>
      <c r="W1946" s="35"/>
      <c r="X1946" s="7"/>
      <c r="Y1946" s="7"/>
      <c r="Z1946" s="7"/>
      <c r="AA1946" s="7"/>
      <c r="AB1946" s="7"/>
      <c r="AC1946" s="7"/>
      <c r="AD1946" s="7"/>
      <c r="AE1946" s="7"/>
      <c r="AG1946" s="36"/>
      <c r="AH1946" s="36"/>
      <c r="AI1946" s="35"/>
      <c r="AJ1946" s="7"/>
      <c r="AK1946" s="7"/>
      <c r="AL1946" s="7"/>
      <c r="AM1946" s="7"/>
      <c r="AN1946" s="7"/>
      <c r="AO1946" s="7"/>
      <c r="AP1946" s="7"/>
      <c r="AQ1946" s="7"/>
      <c r="AS1946" s="36"/>
      <c r="AT1946" s="36"/>
      <c r="AU1946" s="35"/>
      <c r="AV1946" s="7"/>
      <c r="AW1946" s="7"/>
      <c r="AX1946" s="7"/>
      <c r="AY1946" s="7"/>
      <c r="AZ1946" s="7"/>
      <c r="BA1946" s="7"/>
      <c r="BB1946" s="7"/>
      <c r="BC1946" s="7"/>
      <c r="BF1946" s="7"/>
      <c r="BG1946" s="36"/>
      <c r="BH1946" s="36"/>
      <c r="BI1946" s="36"/>
      <c r="BJ1946" s="36"/>
      <c r="BK1946" s="36"/>
      <c r="BL1946" s="36"/>
      <c r="BM1946" s="36"/>
      <c r="BN1946" s="36"/>
      <c r="BO1946" s="36"/>
    </row>
    <row r="1947" spans="1:67" x14ac:dyDescent="0.25">
      <c r="A1947" s="39"/>
      <c r="B1947" s="40"/>
      <c r="U1947" s="36"/>
      <c r="V1947" s="36"/>
      <c r="W1947" s="35"/>
      <c r="X1947" s="7"/>
      <c r="Y1947" s="7"/>
      <c r="Z1947" s="7"/>
      <c r="AA1947" s="7"/>
      <c r="AB1947" s="7"/>
      <c r="AC1947" s="7"/>
      <c r="AD1947" s="7"/>
      <c r="AE1947" s="7"/>
      <c r="AG1947" s="36"/>
      <c r="AH1947" s="36"/>
      <c r="AI1947" s="35"/>
      <c r="AJ1947" s="7"/>
      <c r="AK1947" s="7"/>
      <c r="AL1947" s="7"/>
      <c r="AM1947" s="7"/>
      <c r="AN1947" s="7"/>
      <c r="AO1947" s="7"/>
      <c r="AP1947" s="7"/>
      <c r="AQ1947" s="7"/>
      <c r="AS1947" s="36"/>
      <c r="AT1947" s="36"/>
      <c r="AU1947" s="35"/>
      <c r="AV1947" s="7"/>
      <c r="AW1947" s="7"/>
      <c r="AX1947" s="7"/>
      <c r="AY1947" s="7"/>
      <c r="AZ1947" s="7"/>
      <c r="BA1947" s="7"/>
      <c r="BB1947" s="7"/>
      <c r="BC1947" s="7"/>
      <c r="BF1947" s="7"/>
      <c r="BG1947" s="36"/>
      <c r="BH1947" s="36"/>
      <c r="BI1947" s="36"/>
      <c r="BJ1947" s="36"/>
      <c r="BK1947" s="36"/>
      <c r="BL1947" s="36"/>
      <c r="BM1947" s="36"/>
      <c r="BN1947" s="36"/>
      <c r="BO1947" s="36"/>
    </row>
    <row r="1948" spans="1:67" x14ac:dyDescent="0.25">
      <c r="A1948" s="39"/>
      <c r="B1948" s="40"/>
      <c r="U1948" s="36"/>
      <c r="V1948" s="36"/>
      <c r="W1948" s="35"/>
      <c r="X1948" s="7"/>
      <c r="Y1948" s="7"/>
      <c r="Z1948" s="7"/>
      <c r="AA1948" s="7"/>
      <c r="AB1948" s="7"/>
      <c r="AC1948" s="7"/>
      <c r="AD1948" s="7"/>
      <c r="AE1948" s="7"/>
      <c r="AG1948" s="36"/>
      <c r="AH1948" s="36"/>
      <c r="AI1948" s="35"/>
      <c r="AJ1948" s="7"/>
      <c r="AK1948" s="7"/>
      <c r="AL1948" s="7"/>
      <c r="AM1948" s="7"/>
      <c r="AN1948" s="7"/>
      <c r="AO1948" s="7"/>
      <c r="AP1948" s="7"/>
      <c r="AQ1948" s="7"/>
      <c r="AS1948" s="36"/>
      <c r="AT1948" s="36"/>
      <c r="AU1948" s="35"/>
      <c r="AV1948" s="7"/>
      <c r="AW1948" s="7"/>
      <c r="AX1948" s="7"/>
      <c r="AY1948" s="7"/>
      <c r="AZ1948" s="7"/>
      <c r="BA1948" s="7"/>
      <c r="BB1948" s="7"/>
      <c r="BC1948" s="7"/>
      <c r="BF1948" s="7"/>
      <c r="BG1948" s="36"/>
      <c r="BH1948" s="36"/>
      <c r="BI1948" s="36"/>
      <c r="BJ1948" s="36"/>
      <c r="BK1948" s="36"/>
      <c r="BL1948" s="36"/>
      <c r="BM1948" s="36"/>
      <c r="BN1948" s="36"/>
      <c r="BO1948" s="36"/>
    </row>
    <row r="1949" spans="1:67" x14ac:dyDescent="0.25">
      <c r="A1949" s="39"/>
      <c r="B1949" s="40"/>
      <c r="U1949" s="36"/>
      <c r="V1949" s="36"/>
      <c r="W1949" s="35"/>
      <c r="X1949" s="7"/>
      <c r="Y1949" s="7"/>
      <c r="Z1949" s="7"/>
      <c r="AA1949" s="7"/>
      <c r="AB1949" s="7"/>
      <c r="AC1949" s="7"/>
      <c r="AD1949" s="7"/>
      <c r="AE1949" s="7"/>
      <c r="AG1949" s="36"/>
      <c r="AH1949" s="36"/>
      <c r="AI1949" s="35"/>
      <c r="AJ1949" s="7"/>
      <c r="AK1949" s="7"/>
      <c r="AL1949" s="7"/>
      <c r="AM1949" s="7"/>
      <c r="AN1949" s="7"/>
      <c r="AO1949" s="7"/>
      <c r="AP1949" s="7"/>
      <c r="AQ1949" s="7"/>
      <c r="AS1949" s="36"/>
      <c r="AT1949" s="36"/>
      <c r="AU1949" s="35"/>
      <c r="AV1949" s="7"/>
      <c r="AW1949" s="7"/>
      <c r="AX1949" s="7"/>
      <c r="AY1949" s="7"/>
      <c r="AZ1949" s="7"/>
      <c r="BA1949" s="7"/>
      <c r="BB1949" s="7"/>
      <c r="BC1949" s="7"/>
      <c r="BF1949" s="7"/>
      <c r="BG1949" s="36"/>
      <c r="BH1949" s="36"/>
      <c r="BI1949" s="36"/>
      <c r="BJ1949" s="36"/>
      <c r="BK1949" s="36"/>
      <c r="BL1949" s="36"/>
      <c r="BM1949" s="36"/>
      <c r="BN1949" s="36"/>
      <c r="BO1949" s="36"/>
    </row>
    <row r="1950" spans="1:67" x14ac:dyDescent="0.25">
      <c r="A1950" s="39"/>
      <c r="B1950" s="40"/>
      <c r="U1950" s="36"/>
      <c r="V1950" s="36"/>
      <c r="W1950" s="35"/>
      <c r="X1950" s="7"/>
      <c r="Y1950" s="7"/>
      <c r="Z1950" s="7"/>
      <c r="AA1950" s="7"/>
      <c r="AB1950" s="7"/>
      <c r="AC1950" s="7"/>
      <c r="AD1950" s="7"/>
      <c r="AE1950" s="7"/>
      <c r="AG1950" s="36"/>
      <c r="AH1950" s="36"/>
      <c r="AI1950" s="35"/>
      <c r="AJ1950" s="7"/>
      <c r="AK1950" s="7"/>
      <c r="AL1950" s="7"/>
      <c r="AM1950" s="7"/>
      <c r="AN1950" s="7"/>
      <c r="AO1950" s="7"/>
      <c r="AP1950" s="7"/>
      <c r="AQ1950" s="7"/>
      <c r="AS1950" s="36"/>
      <c r="AT1950" s="36"/>
      <c r="AU1950" s="35"/>
      <c r="AV1950" s="7"/>
      <c r="AW1950" s="7"/>
      <c r="AX1950" s="7"/>
      <c r="AY1950" s="7"/>
      <c r="AZ1950" s="7"/>
      <c r="BA1950" s="7"/>
      <c r="BB1950" s="7"/>
      <c r="BC1950" s="7"/>
      <c r="BF1950" s="7"/>
      <c r="BG1950" s="36"/>
      <c r="BH1950" s="36"/>
      <c r="BI1950" s="36"/>
      <c r="BJ1950" s="36"/>
      <c r="BK1950" s="36"/>
      <c r="BL1950" s="36"/>
      <c r="BM1950" s="36"/>
      <c r="BN1950" s="36"/>
      <c r="BO1950" s="36"/>
    </row>
    <row r="1951" spans="1:67" x14ac:dyDescent="0.25">
      <c r="A1951" s="39"/>
      <c r="B1951" s="40"/>
      <c r="U1951" s="36"/>
      <c r="V1951" s="36"/>
      <c r="W1951" s="35"/>
      <c r="X1951" s="7"/>
      <c r="Y1951" s="7"/>
      <c r="Z1951" s="7"/>
      <c r="AA1951" s="7"/>
      <c r="AB1951" s="7"/>
      <c r="AC1951" s="7"/>
      <c r="AD1951" s="7"/>
      <c r="AE1951" s="7"/>
      <c r="AG1951" s="36"/>
      <c r="AH1951" s="36"/>
      <c r="AI1951" s="35"/>
      <c r="AJ1951" s="7"/>
      <c r="AK1951" s="7"/>
      <c r="AL1951" s="7"/>
      <c r="AM1951" s="7"/>
      <c r="AN1951" s="7"/>
      <c r="AO1951" s="7"/>
      <c r="AP1951" s="7"/>
      <c r="AQ1951" s="7"/>
      <c r="AS1951" s="36"/>
      <c r="AT1951" s="36"/>
      <c r="AU1951" s="35"/>
      <c r="AV1951" s="7"/>
      <c r="AW1951" s="7"/>
      <c r="AX1951" s="7"/>
      <c r="AY1951" s="7"/>
      <c r="AZ1951" s="7"/>
      <c r="BA1951" s="7"/>
      <c r="BB1951" s="7"/>
      <c r="BC1951" s="7"/>
      <c r="BF1951" s="7"/>
      <c r="BG1951" s="36"/>
      <c r="BH1951" s="36"/>
      <c r="BI1951" s="36"/>
      <c r="BJ1951" s="36"/>
      <c r="BK1951" s="36"/>
      <c r="BL1951" s="36"/>
      <c r="BM1951" s="36"/>
      <c r="BN1951" s="36"/>
      <c r="BO1951" s="36"/>
    </row>
    <row r="1952" spans="1:67" x14ac:dyDescent="0.25">
      <c r="A1952" s="39"/>
      <c r="B1952" s="40"/>
      <c r="U1952" s="36"/>
      <c r="V1952" s="36"/>
      <c r="W1952" s="35"/>
      <c r="X1952" s="7"/>
      <c r="Y1952" s="7"/>
      <c r="Z1952" s="7"/>
      <c r="AA1952" s="7"/>
      <c r="AB1952" s="7"/>
      <c r="AC1952" s="7"/>
      <c r="AD1952" s="7"/>
      <c r="AE1952" s="7"/>
      <c r="AG1952" s="36"/>
      <c r="AH1952" s="36"/>
      <c r="AI1952" s="35"/>
      <c r="AJ1952" s="7"/>
      <c r="AK1952" s="7"/>
      <c r="AL1952" s="7"/>
      <c r="AM1952" s="7"/>
      <c r="AN1952" s="7"/>
      <c r="AO1952" s="7"/>
      <c r="AP1952" s="7"/>
      <c r="AQ1952" s="7"/>
      <c r="AS1952" s="36"/>
      <c r="AT1952" s="36"/>
      <c r="AU1952" s="35"/>
      <c r="AV1952" s="7"/>
      <c r="AW1952" s="7"/>
      <c r="AX1952" s="7"/>
      <c r="AY1952" s="7"/>
      <c r="AZ1952" s="7"/>
      <c r="BA1952" s="7"/>
      <c r="BB1952" s="7"/>
      <c r="BC1952" s="7"/>
      <c r="BF1952" s="7"/>
      <c r="BG1952" s="36"/>
      <c r="BH1952" s="36"/>
      <c r="BI1952" s="36"/>
      <c r="BJ1952" s="36"/>
      <c r="BK1952" s="36"/>
      <c r="BL1952" s="36"/>
      <c r="BM1952" s="36"/>
      <c r="BN1952" s="36"/>
      <c r="BO1952" s="36"/>
    </row>
    <row r="1953" spans="1:67" x14ac:dyDescent="0.25">
      <c r="A1953" s="39"/>
      <c r="B1953" s="40"/>
      <c r="U1953" s="36"/>
      <c r="V1953" s="36"/>
      <c r="W1953" s="35"/>
      <c r="X1953" s="7"/>
      <c r="Y1953" s="7"/>
      <c r="Z1953" s="7"/>
      <c r="AA1953" s="7"/>
      <c r="AB1953" s="7"/>
      <c r="AC1953" s="7"/>
      <c r="AD1953" s="7"/>
      <c r="AE1953" s="7"/>
      <c r="AG1953" s="36"/>
      <c r="AH1953" s="36"/>
      <c r="AI1953" s="35"/>
      <c r="AJ1953" s="7"/>
      <c r="AK1953" s="7"/>
      <c r="AL1953" s="7"/>
      <c r="AM1953" s="7"/>
      <c r="AN1953" s="7"/>
      <c r="AO1953" s="7"/>
      <c r="AP1953" s="7"/>
      <c r="AQ1953" s="7"/>
      <c r="AS1953" s="36"/>
      <c r="AT1953" s="36"/>
      <c r="AU1953" s="35"/>
      <c r="AV1953" s="7"/>
      <c r="AW1953" s="7"/>
      <c r="AX1953" s="7"/>
      <c r="AY1953" s="7"/>
      <c r="AZ1953" s="7"/>
      <c r="BA1953" s="7"/>
      <c r="BB1953" s="7"/>
      <c r="BC1953" s="7"/>
      <c r="BF1953" s="7"/>
      <c r="BG1953" s="36"/>
      <c r="BH1953" s="36"/>
      <c r="BI1953" s="36"/>
      <c r="BJ1953" s="36"/>
      <c r="BK1953" s="36"/>
      <c r="BL1953" s="36"/>
      <c r="BM1953" s="36"/>
      <c r="BN1953" s="36"/>
      <c r="BO1953" s="36"/>
    </row>
    <row r="1954" spans="1:67" x14ac:dyDescent="0.25">
      <c r="A1954" s="39"/>
      <c r="B1954" s="40"/>
      <c r="U1954" s="36"/>
      <c r="V1954" s="36"/>
      <c r="W1954" s="35"/>
      <c r="X1954" s="7"/>
      <c r="Y1954" s="7"/>
      <c r="Z1954" s="7"/>
      <c r="AA1954" s="7"/>
      <c r="AB1954" s="7"/>
      <c r="AC1954" s="7"/>
      <c r="AD1954" s="7"/>
      <c r="AE1954" s="7"/>
      <c r="AG1954" s="36"/>
      <c r="AH1954" s="36"/>
      <c r="AI1954" s="35"/>
      <c r="AJ1954" s="7"/>
      <c r="AK1954" s="7"/>
      <c r="AL1954" s="7"/>
      <c r="AM1954" s="7"/>
      <c r="AN1954" s="7"/>
      <c r="AO1954" s="7"/>
      <c r="AP1954" s="7"/>
      <c r="AQ1954" s="7"/>
      <c r="AS1954" s="36"/>
      <c r="AT1954" s="36"/>
      <c r="AU1954" s="35"/>
      <c r="AV1954" s="7"/>
      <c r="AW1954" s="7"/>
      <c r="AX1954" s="7"/>
      <c r="AY1954" s="7"/>
      <c r="AZ1954" s="7"/>
      <c r="BA1954" s="7"/>
      <c r="BB1954" s="7"/>
      <c r="BC1954" s="7"/>
      <c r="BF1954" s="7"/>
      <c r="BG1954" s="36"/>
      <c r="BH1954" s="36"/>
      <c r="BI1954" s="36"/>
      <c r="BJ1954" s="36"/>
      <c r="BK1954" s="36"/>
      <c r="BL1954" s="36"/>
      <c r="BM1954" s="36"/>
      <c r="BN1954" s="36"/>
      <c r="BO1954" s="36"/>
    </row>
    <row r="1955" spans="1:67" x14ac:dyDescent="0.25">
      <c r="A1955" s="39"/>
      <c r="B1955" s="40"/>
      <c r="U1955" s="36"/>
      <c r="V1955" s="36"/>
      <c r="W1955" s="35"/>
      <c r="X1955" s="7"/>
      <c r="Y1955" s="7"/>
      <c r="Z1955" s="7"/>
      <c r="AA1955" s="7"/>
      <c r="AB1955" s="7"/>
      <c r="AC1955" s="7"/>
      <c r="AD1955" s="7"/>
      <c r="AE1955" s="7"/>
      <c r="AG1955" s="36"/>
      <c r="AH1955" s="36"/>
      <c r="AI1955" s="35"/>
      <c r="AJ1955" s="7"/>
      <c r="AK1955" s="7"/>
      <c r="AL1955" s="7"/>
      <c r="AM1955" s="7"/>
      <c r="AN1955" s="7"/>
      <c r="AO1955" s="7"/>
      <c r="AP1955" s="7"/>
      <c r="AQ1955" s="7"/>
      <c r="AS1955" s="36"/>
      <c r="AT1955" s="36"/>
      <c r="AU1955" s="35"/>
      <c r="AV1955" s="7"/>
      <c r="AW1955" s="7"/>
      <c r="AX1955" s="7"/>
      <c r="AY1955" s="7"/>
      <c r="AZ1955" s="7"/>
      <c r="BA1955" s="7"/>
      <c r="BB1955" s="7"/>
      <c r="BC1955" s="7"/>
      <c r="BF1955" s="7"/>
      <c r="BG1955" s="36"/>
      <c r="BH1955" s="36"/>
      <c r="BI1955" s="36"/>
      <c r="BJ1955" s="36"/>
      <c r="BK1955" s="36"/>
      <c r="BL1955" s="36"/>
      <c r="BM1955" s="36"/>
      <c r="BN1955" s="36"/>
      <c r="BO1955" s="36"/>
    </row>
    <row r="1956" spans="1:67" x14ac:dyDescent="0.25">
      <c r="A1956" s="39"/>
      <c r="B1956" s="40"/>
      <c r="U1956" s="36"/>
      <c r="V1956" s="36"/>
      <c r="W1956" s="35"/>
      <c r="X1956" s="7"/>
      <c r="Y1956" s="7"/>
      <c r="Z1956" s="7"/>
      <c r="AA1956" s="7"/>
      <c r="AB1956" s="7"/>
      <c r="AC1956" s="7"/>
      <c r="AD1956" s="7"/>
      <c r="AE1956" s="7"/>
      <c r="AG1956" s="36"/>
      <c r="AH1956" s="36"/>
      <c r="AI1956" s="35"/>
      <c r="AJ1956" s="7"/>
      <c r="AK1956" s="7"/>
      <c r="AL1956" s="7"/>
      <c r="AM1956" s="7"/>
      <c r="AN1956" s="7"/>
      <c r="AO1956" s="7"/>
      <c r="AP1956" s="7"/>
      <c r="AQ1956" s="7"/>
      <c r="AS1956" s="36"/>
      <c r="AT1956" s="36"/>
      <c r="AU1956" s="35"/>
      <c r="AV1956" s="7"/>
      <c r="AW1956" s="7"/>
      <c r="AX1956" s="7"/>
      <c r="AY1956" s="7"/>
      <c r="AZ1956" s="7"/>
      <c r="BA1956" s="7"/>
      <c r="BB1956" s="7"/>
      <c r="BC1956" s="7"/>
      <c r="BF1956" s="7"/>
      <c r="BG1956" s="36"/>
      <c r="BH1956" s="36"/>
      <c r="BI1956" s="36"/>
      <c r="BJ1956" s="36"/>
      <c r="BK1956" s="36"/>
      <c r="BL1956" s="36"/>
      <c r="BM1956" s="36"/>
      <c r="BN1956" s="36"/>
      <c r="BO1956" s="36"/>
    </row>
    <row r="1957" spans="1:67" x14ac:dyDescent="0.25">
      <c r="A1957" s="39"/>
      <c r="B1957" s="40"/>
      <c r="U1957" s="36"/>
      <c r="V1957" s="36"/>
      <c r="W1957" s="35"/>
      <c r="X1957" s="7"/>
      <c r="Y1957" s="7"/>
      <c r="Z1957" s="7"/>
      <c r="AA1957" s="7"/>
      <c r="AB1957" s="7"/>
      <c r="AC1957" s="7"/>
      <c r="AD1957" s="7"/>
      <c r="AE1957" s="7"/>
      <c r="AG1957" s="36"/>
      <c r="AH1957" s="36"/>
      <c r="AI1957" s="35"/>
      <c r="AJ1957" s="7"/>
      <c r="AK1957" s="7"/>
      <c r="AL1957" s="7"/>
      <c r="AM1957" s="7"/>
      <c r="AN1957" s="7"/>
      <c r="AO1957" s="7"/>
      <c r="AP1957" s="7"/>
      <c r="AQ1957" s="7"/>
      <c r="AS1957" s="36"/>
      <c r="AT1957" s="36"/>
      <c r="AU1957" s="35"/>
      <c r="AV1957" s="7"/>
      <c r="AW1957" s="7"/>
      <c r="AX1957" s="7"/>
      <c r="AY1957" s="7"/>
      <c r="AZ1957" s="7"/>
      <c r="BA1957" s="7"/>
      <c r="BB1957" s="7"/>
      <c r="BC1957" s="7"/>
      <c r="BF1957" s="7"/>
      <c r="BG1957" s="36"/>
      <c r="BH1957" s="36"/>
      <c r="BI1957" s="36"/>
      <c r="BJ1957" s="36"/>
      <c r="BK1957" s="36"/>
      <c r="BL1957" s="36"/>
      <c r="BM1957" s="36"/>
      <c r="BN1957" s="36"/>
      <c r="BO1957" s="36"/>
    </row>
    <row r="1958" spans="1:67" x14ac:dyDescent="0.25">
      <c r="A1958" s="39"/>
      <c r="B1958" s="40"/>
      <c r="U1958" s="36"/>
      <c r="V1958" s="36"/>
      <c r="W1958" s="35"/>
      <c r="X1958" s="7"/>
      <c r="Y1958" s="7"/>
      <c r="Z1958" s="7"/>
      <c r="AA1958" s="7"/>
      <c r="AB1958" s="7"/>
      <c r="AC1958" s="7"/>
      <c r="AD1958" s="7"/>
      <c r="AE1958" s="7"/>
      <c r="AG1958" s="36"/>
      <c r="AH1958" s="36"/>
      <c r="AI1958" s="35"/>
      <c r="AJ1958" s="7"/>
      <c r="AK1958" s="7"/>
      <c r="AL1958" s="7"/>
      <c r="AM1958" s="7"/>
      <c r="AN1958" s="7"/>
      <c r="AO1958" s="7"/>
      <c r="AP1958" s="7"/>
      <c r="AQ1958" s="7"/>
      <c r="AS1958" s="36"/>
      <c r="AT1958" s="36"/>
      <c r="AU1958" s="35"/>
      <c r="AV1958" s="7"/>
      <c r="AW1958" s="7"/>
      <c r="AX1958" s="7"/>
      <c r="AY1958" s="7"/>
      <c r="AZ1958" s="7"/>
      <c r="BA1958" s="7"/>
      <c r="BB1958" s="7"/>
      <c r="BC1958" s="7"/>
      <c r="BF1958" s="7"/>
      <c r="BG1958" s="36"/>
      <c r="BH1958" s="36"/>
      <c r="BI1958" s="36"/>
      <c r="BJ1958" s="36"/>
      <c r="BK1958" s="36"/>
      <c r="BL1958" s="36"/>
      <c r="BM1958" s="36"/>
      <c r="BN1958" s="36"/>
      <c r="BO1958" s="36"/>
    </row>
    <row r="1959" spans="1:67" x14ac:dyDescent="0.25">
      <c r="A1959" s="39"/>
      <c r="B1959" s="40"/>
      <c r="U1959" s="36"/>
      <c r="V1959" s="36"/>
      <c r="W1959" s="35"/>
      <c r="X1959" s="7"/>
      <c r="Y1959" s="7"/>
      <c r="Z1959" s="7"/>
      <c r="AA1959" s="7"/>
      <c r="AB1959" s="7"/>
      <c r="AC1959" s="7"/>
      <c r="AD1959" s="7"/>
      <c r="AE1959" s="7"/>
      <c r="AG1959" s="36"/>
      <c r="AH1959" s="36"/>
      <c r="AI1959" s="35"/>
      <c r="AJ1959" s="7"/>
      <c r="AK1959" s="7"/>
      <c r="AL1959" s="7"/>
      <c r="AM1959" s="7"/>
      <c r="AN1959" s="7"/>
      <c r="AO1959" s="7"/>
      <c r="AP1959" s="7"/>
      <c r="AQ1959" s="7"/>
      <c r="AS1959" s="36"/>
      <c r="AT1959" s="36"/>
      <c r="AU1959" s="35"/>
      <c r="AV1959" s="7"/>
      <c r="AW1959" s="7"/>
      <c r="AX1959" s="7"/>
      <c r="AY1959" s="7"/>
      <c r="AZ1959" s="7"/>
      <c r="BA1959" s="7"/>
      <c r="BB1959" s="7"/>
      <c r="BC1959" s="7"/>
      <c r="BF1959" s="7"/>
      <c r="BG1959" s="36"/>
      <c r="BH1959" s="36"/>
      <c r="BI1959" s="36"/>
      <c r="BJ1959" s="36"/>
      <c r="BK1959" s="36"/>
      <c r="BL1959" s="36"/>
      <c r="BM1959" s="36"/>
      <c r="BN1959" s="36"/>
      <c r="BO1959" s="36"/>
    </row>
    <row r="1960" spans="1:67" x14ac:dyDescent="0.25">
      <c r="A1960" s="39"/>
      <c r="B1960" s="40"/>
      <c r="U1960" s="36"/>
      <c r="V1960" s="36"/>
      <c r="W1960" s="35"/>
      <c r="X1960" s="7"/>
      <c r="Y1960" s="7"/>
      <c r="Z1960" s="7"/>
      <c r="AA1960" s="7"/>
      <c r="AB1960" s="7"/>
      <c r="AC1960" s="7"/>
      <c r="AD1960" s="7"/>
      <c r="AE1960" s="7"/>
      <c r="AG1960" s="36"/>
      <c r="AH1960" s="36"/>
      <c r="AI1960" s="35"/>
      <c r="AJ1960" s="7"/>
      <c r="AK1960" s="7"/>
      <c r="AL1960" s="7"/>
      <c r="AM1960" s="7"/>
      <c r="AN1960" s="7"/>
      <c r="AO1960" s="7"/>
      <c r="AP1960" s="7"/>
      <c r="AQ1960" s="7"/>
      <c r="AS1960" s="36"/>
      <c r="AT1960" s="36"/>
      <c r="AU1960" s="35"/>
      <c r="AV1960" s="7"/>
      <c r="AW1960" s="7"/>
      <c r="AX1960" s="7"/>
      <c r="AY1960" s="7"/>
      <c r="AZ1960" s="7"/>
      <c r="BA1960" s="7"/>
      <c r="BB1960" s="7"/>
      <c r="BC1960" s="7"/>
      <c r="BF1960" s="7"/>
      <c r="BG1960" s="36"/>
      <c r="BH1960" s="36"/>
      <c r="BI1960" s="36"/>
      <c r="BJ1960" s="36"/>
      <c r="BK1960" s="36"/>
      <c r="BL1960" s="36"/>
      <c r="BM1960" s="36"/>
      <c r="BN1960" s="36"/>
      <c r="BO1960" s="36"/>
    </row>
    <row r="1961" spans="1:67" x14ac:dyDescent="0.25">
      <c r="A1961" s="39"/>
      <c r="B1961" s="40"/>
      <c r="U1961" s="36"/>
      <c r="V1961" s="36"/>
      <c r="W1961" s="35"/>
      <c r="X1961" s="7"/>
      <c r="Y1961" s="7"/>
      <c r="Z1961" s="7"/>
      <c r="AA1961" s="7"/>
      <c r="AB1961" s="7"/>
      <c r="AC1961" s="7"/>
      <c r="AD1961" s="7"/>
      <c r="AE1961" s="7"/>
      <c r="AG1961" s="36"/>
      <c r="AH1961" s="36"/>
      <c r="AI1961" s="35"/>
      <c r="AJ1961" s="7"/>
      <c r="AK1961" s="7"/>
      <c r="AL1961" s="7"/>
      <c r="AM1961" s="7"/>
      <c r="AN1961" s="7"/>
      <c r="AO1961" s="7"/>
      <c r="AP1961" s="7"/>
      <c r="AQ1961" s="7"/>
      <c r="AS1961" s="36"/>
      <c r="AT1961" s="36"/>
      <c r="AU1961" s="35"/>
      <c r="AV1961" s="7"/>
      <c r="AW1961" s="7"/>
      <c r="AX1961" s="7"/>
      <c r="AY1961" s="7"/>
      <c r="AZ1961" s="7"/>
      <c r="BA1961" s="7"/>
      <c r="BB1961" s="7"/>
      <c r="BC1961" s="7"/>
      <c r="BF1961" s="7"/>
      <c r="BG1961" s="36"/>
      <c r="BH1961" s="36"/>
      <c r="BI1961" s="36"/>
      <c r="BJ1961" s="36"/>
      <c r="BK1961" s="36"/>
      <c r="BL1961" s="36"/>
      <c r="BM1961" s="36"/>
      <c r="BN1961" s="36"/>
      <c r="BO1961" s="36"/>
    </row>
    <row r="1962" spans="1:67" x14ac:dyDescent="0.25">
      <c r="A1962" s="39"/>
      <c r="B1962" s="40"/>
      <c r="U1962" s="36"/>
      <c r="V1962" s="36"/>
      <c r="W1962" s="35"/>
      <c r="X1962" s="7"/>
      <c r="Y1962" s="7"/>
      <c r="Z1962" s="7"/>
      <c r="AA1962" s="7"/>
      <c r="AB1962" s="7"/>
      <c r="AC1962" s="7"/>
      <c r="AD1962" s="7"/>
      <c r="AE1962" s="7"/>
      <c r="AG1962" s="36"/>
      <c r="AH1962" s="36"/>
      <c r="AI1962" s="35"/>
      <c r="AJ1962" s="7"/>
      <c r="AK1962" s="7"/>
      <c r="AL1962" s="7"/>
      <c r="AM1962" s="7"/>
      <c r="AN1962" s="7"/>
      <c r="AO1962" s="7"/>
      <c r="AP1962" s="7"/>
      <c r="AQ1962" s="7"/>
      <c r="AS1962" s="36"/>
      <c r="AT1962" s="36"/>
      <c r="AU1962" s="35"/>
      <c r="AV1962" s="7"/>
      <c r="AW1962" s="7"/>
      <c r="AX1962" s="7"/>
      <c r="AY1962" s="7"/>
      <c r="AZ1962" s="7"/>
      <c r="BA1962" s="7"/>
      <c r="BB1962" s="7"/>
      <c r="BC1962" s="7"/>
      <c r="BF1962" s="7"/>
      <c r="BG1962" s="36"/>
      <c r="BH1962" s="36"/>
      <c r="BI1962" s="36"/>
      <c r="BJ1962" s="36"/>
      <c r="BK1962" s="36"/>
      <c r="BL1962" s="36"/>
      <c r="BM1962" s="36"/>
      <c r="BN1962" s="36"/>
      <c r="BO1962" s="36"/>
    </row>
    <row r="1963" spans="1:67" x14ac:dyDescent="0.25">
      <c r="A1963" s="39"/>
      <c r="B1963" s="40"/>
      <c r="U1963" s="36"/>
      <c r="V1963" s="36"/>
      <c r="W1963" s="35"/>
      <c r="X1963" s="7"/>
      <c r="Y1963" s="7"/>
      <c r="Z1963" s="7"/>
      <c r="AA1963" s="7"/>
      <c r="AB1963" s="7"/>
      <c r="AC1963" s="7"/>
      <c r="AD1963" s="7"/>
      <c r="AE1963" s="7"/>
      <c r="AG1963" s="36"/>
      <c r="AH1963" s="36"/>
      <c r="AI1963" s="35"/>
      <c r="AJ1963" s="7"/>
      <c r="AK1963" s="7"/>
      <c r="AL1963" s="7"/>
      <c r="AM1963" s="7"/>
      <c r="AN1963" s="7"/>
      <c r="AO1963" s="7"/>
      <c r="AP1963" s="7"/>
      <c r="AQ1963" s="7"/>
      <c r="AS1963" s="36"/>
      <c r="AT1963" s="36"/>
      <c r="AU1963" s="35"/>
      <c r="AV1963" s="7"/>
      <c r="AW1963" s="7"/>
      <c r="AX1963" s="7"/>
      <c r="AY1963" s="7"/>
      <c r="AZ1963" s="7"/>
      <c r="BA1963" s="7"/>
      <c r="BB1963" s="7"/>
      <c r="BC1963" s="7"/>
      <c r="BF1963" s="7"/>
      <c r="BG1963" s="36"/>
      <c r="BH1963" s="36"/>
      <c r="BI1963" s="36"/>
      <c r="BJ1963" s="36"/>
      <c r="BK1963" s="36"/>
      <c r="BL1963" s="36"/>
      <c r="BM1963" s="36"/>
      <c r="BN1963" s="36"/>
      <c r="BO1963" s="36"/>
    </row>
    <row r="1964" spans="1:67" x14ac:dyDescent="0.25">
      <c r="A1964" s="39"/>
      <c r="B1964" s="40"/>
      <c r="U1964" s="36"/>
      <c r="V1964" s="36"/>
      <c r="W1964" s="35"/>
      <c r="X1964" s="7"/>
      <c r="Y1964" s="7"/>
      <c r="Z1964" s="7"/>
      <c r="AA1964" s="7"/>
      <c r="AB1964" s="7"/>
      <c r="AC1964" s="7"/>
      <c r="AD1964" s="7"/>
      <c r="AE1964" s="7"/>
      <c r="AG1964" s="36"/>
      <c r="AH1964" s="36"/>
      <c r="AI1964" s="35"/>
      <c r="AJ1964" s="7"/>
      <c r="AK1964" s="7"/>
      <c r="AL1964" s="7"/>
      <c r="AM1964" s="7"/>
      <c r="AN1964" s="7"/>
      <c r="AO1964" s="7"/>
      <c r="AP1964" s="7"/>
      <c r="AQ1964" s="7"/>
      <c r="AS1964" s="36"/>
      <c r="AT1964" s="36"/>
      <c r="AU1964" s="35"/>
      <c r="AV1964" s="7"/>
      <c r="AW1964" s="7"/>
      <c r="AX1964" s="7"/>
      <c r="AY1964" s="7"/>
      <c r="AZ1964" s="7"/>
      <c r="BA1964" s="7"/>
      <c r="BB1964" s="7"/>
      <c r="BC1964" s="7"/>
      <c r="BF1964" s="7"/>
      <c r="BG1964" s="36"/>
      <c r="BH1964" s="36"/>
      <c r="BI1964" s="36"/>
      <c r="BJ1964" s="36"/>
      <c r="BK1964" s="36"/>
      <c r="BL1964" s="36"/>
      <c r="BM1964" s="36"/>
      <c r="BN1964" s="36"/>
      <c r="BO1964" s="36"/>
    </row>
    <row r="1965" spans="1:67" x14ac:dyDescent="0.25">
      <c r="A1965" s="39"/>
      <c r="B1965" s="40"/>
      <c r="U1965" s="36"/>
      <c r="V1965" s="36"/>
      <c r="W1965" s="35"/>
      <c r="X1965" s="7"/>
      <c r="Y1965" s="7"/>
      <c r="Z1965" s="7"/>
      <c r="AA1965" s="7"/>
      <c r="AB1965" s="7"/>
      <c r="AC1965" s="7"/>
      <c r="AD1965" s="7"/>
      <c r="AE1965" s="7"/>
      <c r="AG1965" s="36"/>
      <c r="AH1965" s="36"/>
      <c r="AI1965" s="35"/>
      <c r="AJ1965" s="7"/>
      <c r="AK1965" s="7"/>
      <c r="AL1965" s="7"/>
      <c r="AM1965" s="7"/>
      <c r="AN1965" s="7"/>
      <c r="AO1965" s="7"/>
      <c r="AP1965" s="7"/>
      <c r="AQ1965" s="7"/>
      <c r="AS1965" s="36"/>
      <c r="AT1965" s="36"/>
      <c r="AU1965" s="35"/>
      <c r="AV1965" s="7"/>
      <c r="AW1965" s="7"/>
      <c r="AX1965" s="7"/>
      <c r="AY1965" s="7"/>
      <c r="AZ1965" s="7"/>
      <c r="BA1965" s="7"/>
      <c r="BB1965" s="7"/>
      <c r="BC1965" s="7"/>
      <c r="BF1965" s="7"/>
      <c r="BG1965" s="36"/>
      <c r="BH1965" s="36"/>
      <c r="BI1965" s="36"/>
      <c r="BJ1965" s="36"/>
      <c r="BK1965" s="36"/>
      <c r="BL1965" s="36"/>
      <c r="BM1965" s="36"/>
      <c r="BN1965" s="36"/>
      <c r="BO1965" s="36"/>
    </row>
    <row r="1966" spans="1:67" x14ac:dyDescent="0.25">
      <c r="A1966" s="39"/>
      <c r="B1966" s="40"/>
      <c r="U1966" s="36"/>
      <c r="V1966" s="36"/>
      <c r="W1966" s="35"/>
      <c r="X1966" s="7"/>
      <c r="Y1966" s="7"/>
      <c r="Z1966" s="7"/>
      <c r="AA1966" s="7"/>
      <c r="AB1966" s="7"/>
      <c r="AC1966" s="7"/>
      <c r="AD1966" s="7"/>
      <c r="AE1966" s="7"/>
      <c r="AG1966" s="36"/>
      <c r="AH1966" s="36"/>
      <c r="AI1966" s="35"/>
      <c r="AJ1966" s="7"/>
      <c r="AK1966" s="7"/>
      <c r="AL1966" s="7"/>
      <c r="AM1966" s="7"/>
      <c r="AN1966" s="7"/>
      <c r="AO1966" s="7"/>
      <c r="AP1966" s="7"/>
      <c r="AQ1966" s="7"/>
      <c r="AS1966" s="36"/>
      <c r="AT1966" s="36"/>
      <c r="AU1966" s="35"/>
      <c r="AV1966" s="7"/>
      <c r="AW1966" s="7"/>
      <c r="AX1966" s="7"/>
      <c r="AY1966" s="7"/>
      <c r="AZ1966" s="7"/>
      <c r="BA1966" s="7"/>
      <c r="BB1966" s="7"/>
      <c r="BC1966" s="7"/>
      <c r="BF1966" s="7"/>
      <c r="BG1966" s="36"/>
      <c r="BH1966" s="36"/>
      <c r="BI1966" s="36"/>
      <c r="BJ1966" s="36"/>
      <c r="BK1966" s="36"/>
      <c r="BL1966" s="36"/>
      <c r="BM1966" s="36"/>
      <c r="BN1966" s="36"/>
      <c r="BO1966" s="36"/>
    </row>
    <row r="1967" spans="1:67" x14ac:dyDescent="0.25">
      <c r="A1967" s="39"/>
      <c r="B1967" s="40"/>
      <c r="U1967" s="36"/>
      <c r="V1967" s="36"/>
      <c r="W1967" s="35"/>
      <c r="X1967" s="7"/>
      <c r="Y1967" s="7"/>
      <c r="Z1967" s="7"/>
      <c r="AA1967" s="7"/>
      <c r="AB1967" s="7"/>
      <c r="AC1967" s="7"/>
      <c r="AD1967" s="7"/>
      <c r="AE1967" s="7"/>
      <c r="AG1967" s="36"/>
      <c r="AH1967" s="36"/>
      <c r="AI1967" s="35"/>
      <c r="AJ1967" s="7"/>
      <c r="AK1967" s="7"/>
      <c r="AL1967" s="7"/>
      <c r="AM1967" s="7"/>
      <c r="AN1967" s="7"/>
      <c r="AO1967" s="7"/>
      <c r="AP1967" s="7"/>
      <c r="AQ1967" s="7"/>
      <c r="AS1967" s="36"/>
      <c r="AT1967" s="36"/>
      <c r="AU1967" s="35"/>
      <c r="AV1967" s="7"/>
      <c r="AW1967" s="7"/>
      <c r="AX1967" s="7"/>
      <c r="AY1967" s="7"/>
      <c r="AZ1967" s="7"/>
      <c r="BA1967" s="7"/>
      <c r="BB1967" s="7"/>
      <c r="BC1967" s="7"/>
      <c r="BF1967" s="7"/>
      <c r="BG1967" s="36"/>
      <c r="BH1967" s="36"/>
      <c r="BI1967" s="36"/>
      <c r="BJ1967" s="36"/>
      <c r="BK1967" s="36"/>
      <c r="BL1967" s="36"/>
      <c r="BM1967" s="36"/>
      <c r="BN1967" s="36"/>
      <c r="BO1967" s="36"/>
    </row>
    <row r="1968" spans="1:67" x14ac:dyDescent="0.25">
      <c r="A1968" s="39"/>
      <c r="B1968" s="40"/>
      <c r="U1968" s="36"/>
      <c r="V1968" s="36"/>
      <c r="W1968" s="35"/>
      <c r="X1968" s="7"/>
      <c r="Y1968" s="7"/>
      <c r="Z1968" s="7"/>
      <c r="AA1968" s="7"/>
      <c r="AB1968" s="7"/>
      <c r="AC1968" s="7"/>
      <c r="AD1968" s="7"/>
      <c r="AE1968" s="7"/>
      <c r="AG1968" s="36"/>
      <c r="AH1968" s="36"/>
      <c r="AI1968" s="35"/>
      <c r="AJ1968" s="7"/>
      <c r="AK1968" s="7"/>
      <c r="AL1968" s="7"/>
      <c r="AM1968" s="7"/>
      <c r="AN1968" s="7"/>
      <c r="AO1968" s="7"/>
      <c r="AP1968" s="7"/>
      <c r="AQ1968" s="7"/>
      <c r="AS1968" s="36"/>
      <c r="AT1968" s="36"/>
      <c r="AU1968" s="35"/>
      <c r="AV1968" s="7"/>
      <c r="AW1968" s="7"/>
      <c r="AX1968" s="7"/>
      <c r="AY1968" s="7"/>
      <c r="AZ1968" s="7"/>
      <c r="BA1968" s="7"/>
      <c r="BB1968" s="7"/>
      <c r="BC1968" s="7"/>
      <c r="BF1968" s="7"/>
      <c r="BG1968" s="36"/>
      <c r="BH1968" s="36"/>
      <c r="BI1968" s="36"/>
      <c r="BJ1968" s="36"/>
      <c r="BK1968" s="36"/>
      <c r="BL1968" s="36"/>
      <c r="BM1968" s="36"/>
      <c r="BN1968" s="36"/>
      <c r="BO1968" s="36"/>
    </row>
    <row r="1969" spans="1:67" x14ac:dyDescent="0.25">
      <c r="A1969" s="39"/>
      <c r="B1969" s="40"/>
      <c r="U1969" s="36"/>
      <c r="V1969" s="36"/>
      <c r="W1969" s="35"/>
      <c r="X1969" s="7"/>
      <c r="Y1969" s="7"/>
      <c r="Z1969" s="7"/>
      <c r="AA1969" s="7"/>
      <c r="AB1969" s="7"/>
      <c r="AC1969" s="7"/>
      <c r="AD1969" s="7"/>
      <c r="AE1969" s="7"/>
      <c r="AG1969" s="36"/>
      <c r="AH1969" s="36"/>
      <c r="AI1969" s="35"/>
      <c r="AJ1969" s="7"/>
      <c r="AK1969" s="7"/>
      <c r="AL1969" s="7"/>
      <c r="AM1969" s="7"/>
      <c r="AN1969" s="7"/>
      <c r="AO1969" s="7"/>
      <c r="AP1969" s="7"/>
      <c r="AQ1969" s="7"/>
      <c r="AS1969" s="36"/>
      <c r="AT1969" s="36"/>
      <c r="AU1969" s="35"/>
      <c r="AV1969" s="7"/>
      <c r="AW1969" s="7"/>
      <c r="AX1969" s="7"/>
      <c r="AY1969" s="7"/>
      <c r="AZ1969" s="7"/>
      <c r="BA1969" s="7"/>
      <c r="BB1969" s="7"/>
      <c r="BC1969" s="7"/>
      <c r="BF1969" s="7"/>
      <c r="BG1969" s="36"/>
      <c r="BH1969" s="36"/>
      <c r="BI1969" s="36"/>
      <c r="BJ1969" s="36"/>
      <c r="BK1969" s="36"/>
      <c r="BL1969" s="36"/>
      <c r="BM1969" s="36"/>
      <c r="BN1969" s="36"/>
      <c r="BO1969" s="36"/>
    </row>
    <row r="1970" spans="1:67" x14ac:dyDescent="0.25">
      <c r="A1970" s="39"/>
      <c r="B1970" s="40"/>
      <c r="U1970" s="36"/>
      <c r="V1970" s="36"/>
      <c r="W1970" s="35"/>
      <c r="X1970" s="7"/>
      <c r="Y1970" s="7"/>
      <c r="Z1970" s="7"/>
      <c r="AA1970" s="7"/>
      <c r="AB1970" s="7"/>
      <c r="AC1970" s="7"/>
      <c r="AD1970" s="7"/>
      <c r="AE1970" s="7"/>
      <c r="AG1970" s="36"/>
      <c r="AH1970" s="36"/>
      <c r="AI1970" s="35"/>
      <c r="AJ1970" s="7"/>
      <c r="AK1970" s="7"/>
      <c r="AL1970" s="7"/>
      <c r="AM1970" s="7"/>
      <c r="AN1970" s="7"/>
      <c r="AO1970" s="7"/>
      <c r="AP1970" s="7"/>
      <c r="AQ1970" s="7"/>
      <c r="AS1970" s="36"/>
      <c r="AT1970" s="36"/>
      <c r="AU1970" s="35"/>
      <c r="AV1970" s="7"/>
      <c r="AW1970" s="7"/>
      <c r="AX1970" s="7"/>
      <c r="AY1970" s="7"/>
      <c r="AZ1970" s="7"/>
      <c r="BA1970" s="7"/>
      <c r="BB1970" s="7"/>
      <c r="BC1970" s="7"/>
      <c r="BF1970" s="7"/>
      <c r="BG1970" s="36"/>
      <c r="BH1970" s="36"/>
      <c r="BI1970" s="36"/>
      <c r="BJ1970" s="36"/>
      <c r="BK1970" s="36"/>
      <c r="BL1970" s="36"/>
      <c r="BM1970" s="36"/>
      <c r="BN1970" s="36"/>
      <c r="BO1970" s="36"/>
    </row>
    <row r="1971" spans="1:67" x14ac:dyDescent="0.25">
      <c r="A1971" s="39"/>
      <c r="B1971" s="40"/>
      <c r="U1971" s="36"/>
      <c r="V1971" s="36"/>
      <c r="W1971" s="35"/>
      <c r="X1971" s="7"/>
      <c r="Y1971" s="7"/>
      <c r="Z1971" s="7"/>
      <c r="AA1971" s="7"/>
      <c r="AB1971" s="7"/>
      <c r="AC1971" s="7"/>
      <c r="AD1971" s="7"/>
      <c r="AE1971" s="7"/>
      <c r="AG1971" s="36"/>
      <c r="AH1971" s="36"/>
      <c r="AI1971" s="35"/>
      <c r="AJ1971" s="7"/>
      <c r="AK1971" s="7"/>
      <c r="AL1971" s="7"/>
      <c r="AM1971" s="7"/>
      <c r="AN1971" s="7"/>
      <c r="AO1971" s="7"/>
      <c r="AP1971" s="7"/>
      <c r="AQ1971" s="7"/>
      <c r="AS1971" s="36"/>
      <c r="AT1971" s="36"/>
      <c r="AU1971" s="35"/>
      <c r="AV1971" s="7"/>
      <c r="AW1971" s="7"/>
      <c r="AX1971" s="7"/>
      <c r="AY1971" s="7"/>
      <c r="AZ1971" s="7"/>
      <c r="BA1971" s="7"/>
      <c r="BB1971" s="7"/>
      <c r="BC1971" s="7"/>
      <c r="BF1971" s="7"/>
      <c r="BG1971" s="36"/>
      <c r="BH1971" s="36"/>
      <c r="BI1971" s="36"/>
      <c r="BJ1971" s="36"/>
      <c r="BK1971" s="36"/>
      <c r="BL1971" s="36"/>
      <c r="BM1971" s="36"/>
      <c r="BN1971" s="36"/>
      <c r="BO1971" s="36"/>
    </row>
    <row r="1972" spans="1:67" x14ac:dyDescent="0.25">
      <c r="A1972" s="39"/>
      <c r="B1972" s="40"/>
      <c r="U1972" s="36"/>
      <c r="V1972" s="36"/>
      <c r="W1972" s="35"/>
      <c r="X1972" s="7"/>
      <c r="Y1972" s="7"/>
      <c r="Z1972" s="7"/>
      <c r="AA1972" s="7"/>
      <c r="AB1972" s="7"/>
      <c r="AC1972" s="7"/>
      <c r="AD1972" s="7"/>
      <c r="AE1972" s="7"/>
      <c r="AG1972" s="36"/>
      <c r="AH1972" s="36"/>
      <c r="AI1972" s="35"/>
      <c r="AJ1972" s="7"/>
      <c r="AK1972" s="7"/>
      <c r="AL1972" s="7"/>
      <c r="AM1972" s="7"/>
      <c r="AN1972" s="7"/>
      <c r="AO1972" s="7"/>
      <c r="AP1972" s="7"/>
      <c r="AQ1972" s="7"/>
      <c r="AS1972" s="36"/>
      <c r="AT1972" s="36"/>
      <c r="AU1972" s="35"/>
      <c r="AV1972" s="7"/>
      <c r="AW1972" s="7"/>
      <c r="AX1972" s="7"/>
      <c r="AY1972" s="7"/>
      <c r="AZ1972" s="7"/>
      <c r="BA1972" s="7"/>
      <c r="BB1972" s="7"/>
      <c r="BC1972" s="7"/>
      <c r="BF1972" s="7"/>
      <c r="BG1972" s="36"/>
      <c r="BH1972" s="36"/>
      <c r="BI1972" s="36"/>
      <c r="BJ1972" s="36"/>
      <c r="BK1972" s="36"/>
      <c r="BL1972" s="36"/>
      <c r="BM1972" s="36"/>
      <c r="BN1972" s="36"/>
      <c r="BO1972" s="36"/>
    </row>
    <row r="1973" spans="1:67" x14ac:dyDescent="0.25">
      <c r="A1973" s="39"/>
      <c r="B1973" s="40"/>
      <c r="U1973" s="36"/>
      <c r="V1973" s="36"/>
      <c r="W1973" s="35"/>
      <c r="X1973" s="7"/>
      <c r="Y1973" s="7"/>
      <c r="Z1973" s="7"/>
      <c r="AA1973" s="7"/>
      <c r="AB1973" s="7"/>
      <c r="AC1973" s="7"/>
      <c r="AD1973" s="7"/>
      <c r="AE1973" s="7"/>
      <c r="AG1973" s="36"/>
      <c r="AH1973" s="36"/>
      <c r="AI1973" s="35"/>
      <c r="AJ1973" s="7"/>
      <c r="AK1973" s="7"/>
      <c r="AL1973" s="7"/>
      <c r="AM1973" s="7"/>
      <c r="AN1973" s="7"/>
      <c r="AO1973" s="7"/>
      <c r="AP1973" s="7"/>
      <c r="AQ1973" s="7"/>
      <c r="AS1973" s="36"/>
      <c r="AT1973" s="36"/>
      <c r="AU1973" s="35"/>
      <c r="AV1973" s="7"/>
      <c r="AW1973" s="7"/>
      <c r="AX1973" s="7"/>
      <c r="AY1973" s="7"/>
      <c r="AZ1973" s="7"/>
      <c r="BA1973" s="7"/>
      <c r="BB1973" s="7"/>
      <c r="BC1973" s="7"/>
      <c r="BF1973" s="7"/>
      <c r="BG1973" s="36"/>
      <c r="BH1973" s="36"/>
      <c r="BI1973" s="36"/>
      <c r="BJ1973" s="36"/>
      <c r="BK1973" s="36"/>
      <c r="BL1973" s="36"/>
      <c r="BM1973" s="36"/>
      <c r="BN1973" s="36"/>
      <c r="BO1973" s="36"/>
    </row>
    <row r="1974" spans="1:67" x14ac:dyDescent="0.25">
      <c r="A1974" s="39"/>
      <c r="B1974" s="40"/>
      <c r="U1974" s="36"/>
      <c r="V1974" s="36"/>
      <c r="W1974" s="35"/>
      <c r="X1974" s="7"/>
      <c r="Y1974" s="7"/>
      <c r="Z1974" s="7"/>
      <c r="AA1974" s="7"/>
      <c r="AB1974" s="7"/>
      <c r="AC1974" s="7"/>
      <c r="AD1974" s="7"/>
      <c r="AE1974" s="7"/>
      <c r="AG1974" s="36"/>
      <c r="AH1974" s="36"/>
      <c r="AI1974" s="35"/>
      <c r="AJ1974" s="7"/>
      <c r="AK1974" s="7"/>
      <c r="AL1974" s="7"/>
      <c r="AM1974" s="7"/>
      <c r="AN1974" s="7"/>
      <c r="AO1974" s="7"/>
      <c r="AP1974" s="7"/>
      <c r="AQ1974" s="7"/>
      <c r="AS1974" s="36"/>
      <c r="AT1974" s="36"/>
      <c r="AU1974" s="35"/>
      <c r="AV1974" s="7"/>
      <c r="AW1974" s="7"/>
      <c r="AX1974" s="7"/>
      <c r="AY1974" s="7"/>
      <c r="AZ1974" s="7"/>
      <c r="BA1974" s="7"/>
      <c r="BB1974" s="7"/>
      <c r="BC1974" s="7"/>
      <c r="BF1974" s="7"/>
      <c r="BG1974" s="36"/>
      <c r="BH1974" s="36"/>
      <c r="BI1974" s="36"/>
      <c r="BJ1974" s="36"/>
      <c r="BK1974" s="36"/>
      <c r="BL1974" s="36"/>
      <c r="BM1974" s="36"/>
      <c r="BN1974" s="36"/>
      <c r="BO1974" s="36"/>
    </row>
    <row r="1975" spans="1:67" x14ac:dyDescent="0.25">
      <c r="A1975" s="39"/>
      <c r="B1975" s="40"/>
      <c r="U1975" s="36"/>
      <c r="V1975" s="36"/>
      <c r="W1975" s="35"/>
      <c r="X1975" s="7"/>
      <c r="Y1975" s="7"/>
      <c r="Z1975" s="7"/>
      <c r="AA1975" s="7"/>
      <c r="AB1975" s="7"/>
      <c r="AC1975" s="7"/>
      <c r="AD1975" s="7"/>
      <c r="AE1975" s="7"/>
      <c r="AG1975" s="36"/>
      <c r="AH1975" s="36"/>
      <c r="AI1975" s="35"/>
      <c r="AJ1975" s="7"/>
      <c r="AK1975" s="7"/>
      <c r="AL1975" s="7"/>
      <c r="AM1975" s="7"/>
      <c r="AN1975" s="7"/>
      <c r="AO1975" s="7"/>
      <c r="AP1975" s="7"/>
      <c r="AQ1975" s="7"/>
      <c r="AS1975" s="36"/>
      <c r="AT1975" s="36"/>
      <c r="AU1975" s="35"/>
      <c r="AV1975" s="7"/>
      <c r="AW1975" s="7"/>
      <c r="AX1975" s="7"/>
      <c r="AY1975" s="7"/>
      <c r="AZ1975" s="7"/>
      <c r="BA1975" s="7"/>
      <c r="BB1975" s="7"/>
      <c r="BC1975" s="7"/>
      <c r="BF1975" s="7"/>
      <c r="BG1975" s="36"/>
      <c r="BH1975" s="36"/>
      <c r="BI1975" s="36"/>
      <c r="BJ1975" s="36"/>
      <c r="BK1975" s="36"/>
      <c r="BL1975" s="36"/>
      <c r="BM1975" s="36"/>
      <c r="BN1975" s="36"/>
      <c r="BO1975" s="36"/>
    </row>
    <row r="1976" spans="1:67" x14ac:dyDescent="0.25">
      <c r="A1976" s="39"/>
      <c r="B1976" s="40"/>
      <c r="U1976" s="36"/>
      <c r="V1976" s="36"/>
      <c r="W1976" s="35"/>
      <c r="X1976" s="7"/>
      <c r="Y1976" s="7"/>
      <c r="Z1976" s="7"/>
      <c r="AA1976" s="7"/>
      <c r="AB1976" s="7"/>
      <c r="AC1976" s="7"/>
      <c r="AD1976" s="7"/>
      <c r="AE1976" s="7"/>
      <c r="AG1976" s="36"/>
      <c r="AH1976" s="36"/>
      <c r="AI1976" s="35"/>
      <c r="AJ1976" s="7"/>
      <c r="AK1976" s="7"/>
      <c r="AL1976" s="7"/>
      <c r="AM1976" s="7"/>
      <c r="AN1976" s="7"/>
      <c r="AO1976" s="7"/>
      <c r="AP1976" s="7"/>
      <c r="AQ1976" s="7"/>
      <c r="AS1976" s="36"/>
      <c r="AT1976" s="36"/>
      <c r="AU1976" s="35"/>
      <c r="AV1976" s="7"/>
      <c r="AW1976" s="7"/>
      <c r="AX1976" s="7"/>
      <c r="AY1976" s="7"/>
      <c r="AZ1976" s="7"/>
      <c r="BA1976" s="7"/>
      <c r="BB1976" s="7"/>
      <c r="BC1976" s="7"/>
      <c r="BF1976" s="7"/>
      <c r="BG1976" s="36"/>
      <c r="BH1976" s="36"/>
      <c r="BI1976" s="36"/>
      <c r="BJ1976" s="36"/>
      <c r="BK1976" s="36"/>
      <c r="BL1976" s="36"/>
      <c r="BM1976" s="36"/>
      <c r="BN1976" s="36"/>
      <c r="BO1976" s="36"/>
    </row>
    <row r="1977" spans="1:67" x14ac:dyDescent="0.25">
      <c r="A1977" s="39"/>
      <c r="B1977" s="40"/>
      <c r="U1977" s="36"/>
      <c r="V1977" s="36"/>
      <c r="W1977" s="35"/>
      <c r="X1977" s="7"/>
      <c r="Y1977" s="7"/>
      <c r="Z1977" s="7"/>
      <c r="AA1977" s="7"/>
      <c r="AB1977" s="7"/>
      <c r="AC1977" s="7"/>
      <c r="AD1977" s="7"/>
      <c r="AE1977" s="7"/>
      <c r="AG1977" s="36"/>
      <c r="AH1977" s="36"/>
      <c r="AI1977" s="35"/>
      <c r="AJ1977" s="7"/>
      <c r="AK1977" s="7"/>
      <c r="AL1977" s="7"/>
      <c r="AM1977" s="7"/>
      <c r="AN1977" s="7"/>
      <c r="AO1977" s="7"/>
      <c r="AP1977" s="7"/>
      <c r="AQ1977" s="7"/>
      <c r="AS1977" s="36"/>
      <c r="AT1977" s="36"/>
      <c r="AU1977" s="35"/>
      <c r="AV1977" s="7"/>
      <c r="AW1977" s="7"/>
      <c r="AX1977" s="7"/>
      <c r="AY1977" s="7"/>
      <c r="AZ1977" s="7"/>
      <c r="BA1977" s="7"/>
      <c r="BB1977" s="7"/>
      <c r="BC1977" s="7"/>
      <c r="BF1977" s="7"/>
      <c r="BG1977" s="36"/>
      <c r="BH1977" s="36"/>
      <c r="BI1977" s="36"/>
      <c r="BJ1977" s="36"/>
      <c r="BK1977" s="36"/>
      <c r="BL1977" s="36"/>
      <c r="BM1977" s="36"/>
      <c r="BN1977" s="36"/>
      <c r="BO1977" s="36"/>
    </row>
    <row r="1978" spans="1:67" x14ac:dyDescent="0.25">
      <c r="A1978" s="39"/>
      <c r="B1978" s="40"/>
      <c r="U1978" s="36"/>
      <c r="V1978" s="36"/>
      <c r="W1978" s="35"/>
      <c r="X1978" s="7"/>
      <c r="Y1978" s="7"/>
      <c r="Z1978" s="7"/>
      <c r="AA1978" s="7"/>
      <c r="AB1978" s="7"/>
      <c r="AC1978" s="7"/>
      <c r="AD1978" s="7"/>
      <c r="AE1978" s="7"/>
      <c r="AG1978" s="36"/>
      <c r="AH1978" s="36"/>
      <c r="AI1978" s="35"/>
      <c r="AJ1978" s="7"/>
      <c r="AK1978" s="7"/>
      <c r="AL1978" s="7"/>
      <c r="AM1978" s="7"/>
      <c r="AN1978" s="7"/>
      <c r="AO1978" s="7"/>
      <c r="AP1978" s="7"/>
      <c r="AQ1978" s="7"/>
      <c r="AS1978" s="36"/>
      <c r="AT1978" s="36"/>
      <c r="AU1978" s="35"/>
      <c r="AV1978" s="7"/>
      <c r="AW1978" s="7"/>
      <c r="AX1978" s="7"/>
      <c r="AY1978" s="7"/>
      <c r="AZ1978" s="7"/>
      <c r="BA1978" s="7"/>
      <c r="BB1978" s="7"/>
      <c r="BC1978" s="7"/>
      <c r="BF1978" s="7"/>
      <c r="BG1978" s="36"/>
      <c r="BH1978" s="36"/>
      <c r="BI1978" s="36"/>
      <c r="BJ1978" s="36"/>
      <c r="BK1978" s="36"/>
      <c r="BL1978" s="36"/>
      <c r="BM1978" s="36"/>
      <c r="BN1978" s="36"/>
      <c r="BO1978" s="36"/>
    </row>
    <row r="1979" spans="1:67" x14ac:dyDescent="0.25">
      <c r="A1979" s="39"/>
      <c r="B1979" s="40"/>
      <c r="U1979" s="36"/>
      <c r="V1979" s="36"/>
      <c r="W1979" s="35"/>
      <c r="X1979" s="7"/>
      <c r="Y1979" s="7"/>
      <c r="Z1979" s="7"/>
      <c r="AA1979" s="7"/>
      <c r="AB1979" s="7"/>
      <c r="AC1979" s="7"/>
      <c r="AD1979" s="7"/>
      <c r="AE1979" s="7"/>
      <c r="AG1979" s="36"/>
      <c r="AH1979" s="36"/>
      <c r="AI1979" s="35"/>
      <c r="AJ1979" s="7"/>
      <c r="AK1979" s="7"/>
      <c r="AL1979" s="7"/>
      <c r="AM1979" s="7"/>
      <c r="AN1979" s="7"/>
      <c r="AO1979" s="7"/>
      <c r="AP1979" s="7"/>
      <c r="AQ1979" s="7"/>
      <c r="AS1979" s="36"/>
      <c r="AT1979" s="36"/>
      <c r="AU1979" s="35"/>
      <c r="AV1979" s="7"/>
      <c r="AW1979" s="7"/>
      <c r="AX1979" s="7"/>
      <c r="AY1979" s="7"/>
      <c r="AZ1979" s="7"/>
      <c r="BA1979" s="7"/>
      <c r="BB1979" s="7"/>
      <c r="BC1979" s="7"/>
      <c r="BF1979" s="7"/>
      <c r="BG1979" s="36"/>
      <c r="BH1979" s="36"/>
      <c r="BI1979" s="36"/>
      <c r="BJ1979" s="36"/>
      <c r="BK1979" s="36"/>
      <c r="BL1979" s="36"/>
      <c r="BM1979" s="36"/>
      <c r="BN1979" s="36"/>
      <c r="BO1979" s="36"/>
    </row>
    <row r="1980" spans="1:67" x14ac:dyDescent="0.25">
      <c r="A1980" s="39"/>
      <c r="B1980" s="40"/>
      <c r="U1980" s="36"/>
      <c r="V1980" s="36"/>
      <c r="W1980" s="35"/>
      <c r="X1980" s="7"/>
      <c r="Y1980" s="7"/>
      <c r="Z1980" s="7"/>
      <c r="AA1980" s="7"/>
      <c r="AB1980" s="7"/>
      <c r="AC1980" s="7"/>
      <c r="AD1980" s="7"/>
      <c r="AE1980" s="7"/>
      <c r="AG1980" s="36"/>
      <c r="AH1980" s="36"/>
      <c r="AI1980" s="35"/>
      <c r="AJ1980" s="7"/>
      <c r="AK1980" s="7"/>
      <c r="AL1980" s="7"/>
      <c r="AM1980" s="7"/>
      <c r="AN1980" s="7"/>
      <c r="AO1980" s="7"/>
      <c r="AP1980" s="7"/>
      <c r="AQ1980" s="7"/>
      <c r="AS1980" s="36"/>
      <c r="AT1980" s="36"/>
      <c r="AU1980" s="35"/>
      <c r="AV1980" s="7"/>
      <c r="AW1980" s="7"/>
      <c r="AX1980" s="7"/>
      <c r="AY1980" s="7"/>
      <c r="AZ1980" s="7"/>
      <c r="BA1980" s="7"/>
      <c r="BB1980" s="7"/>
      <c r="BC1980" s="7"/>
      <c r="BF1980" s="7"/>
      <c r="BG1980" s="36"/>
      <c r="BH1980" s="36"/>
      <c r="BI1980" s="36"/>
      <c r="BJ1980" s="36"/>
      <c r="BK1980" s="36"/>
      <c r="BL1980" s="36"/>
      <c r="BM1980" s="36"/>
      <c r="BN1980" s="36"/>
      <c r="BO1980" s="36"/>
    </row>
    <row r="1981" spans="1:67" x14ac:dyDescent="0.25">
      <c r="A1981" s="39"/>
      <c r="B1981" s="40"/>
      <c r="U1981" s="36"/>
      <c r="V1981" s="36"/>
      <c r="W1981" s="35"/>
      <c r="X1981" s="7"/>
      <c r="Y1981" s="7"/>
      <c r="Z1981" s="7"/>
      <c r="AA1981" s="7"/>
      <c r="AB1981" s="7"/>
      <c r="AC1981" s="7"/>
      <c r="AD1981" s="7"/>
      <c r="AE1981" s="7"/>
      <c r="AG1981" s="36"/>
      <c r="AH1981" s="36"/>
      <c r="AI1981" s="35"/>
      <c r="AJ1981" s="7"/>
      <c r="AK1981" s="7"/>
      <c r="AL1981" s="7"/>
      <c r="AM1981" s="7"/>
      <c r="AN1981" s="7"/>
      <c r="AO1981" s="7"/>
      <c r="AP1981" s="7"/>
      <c r="AQ1981" s="7"/>
      <c r="AS1981" s="36"/>
      <c r="AT1981" s="36"/>
      <c r="AU1981" s="35"/>
      <c r="AV1981" s="7"/>
      <c r="AW1981" s="7"/>
      <c r="AX1981" s="7"/>
      <c r="AY1981" s="7"/>
      <c r="AZ1981" s="7"/>
      <c r="BA1981" s="7"/>
      <c r="BB1981" s="7"/>
      <c r="BC1981" s="7"/>
      <c r="BF1981" s="7"/>
      <c r="BG1981" s="36"/>
      <c r="BH1981" s="36"/>
      <c r="BI1981" s="36"/>
      <c r="BJ1981" s="36"/>
      <c r="BK1981" s="36"/>
      <c r="BL1981" s="36"/>
      <c r="BM1981" s="36"/>
      <c r="BN1981" s="36"/>
      <c r="BO1981" s="36"/>
    </row>
    <row r="1982" spans="1:67" x14ac:dyDescent="0.25">
      <c r="A1982" s="39"/>
      <c r="B1982" s="40"/>
      <c r="U1982" s="36"/>
      <c r="V1982" s="36"/>
      <c r="W1982" s="35"/>
      <c r="X1982" s="7"/>
      <c r="Y1982" s="7"/>
      <c r="Z1982" s="7"/>
      <c r="AA1982" s="7"/>
      <c r="AB1982" s="7"/>
      <c r="AC1982" s="7"/>
      <c r="AD1982" s="7"/>
      <c r="AE1982" s="7"/>
      <c r="AG1982" s="36"/>
      <c r="AH1982" s="36"/>
      <c r="AI1982" s="35"/>
      <c r="AJ1982" s="7"/>
      <c r="AK1982" s="7"/>
      <c r="AL1982" s="7"/>
      <c r="AM1982" s="7"/>
      <c r="AN1982" s="7"/>
      <c r="AO1982" s="7"/>
      <c r="AP1982" s="7"/>
      <c r="AQ1982" s="7"/>
      <c r="AS1982" s="36"/>
      <c r="AT1982" s="36"/>
      <c r="AU1982" s="35"/>
      <c r="AV1982" s="7"/>
      <c r="AW1982" s="7"/>
      <c r="AX1982" s="7"/>
      <c r="AY1982" s="7"/>
      <c r="AZ1982" s="7"/>
      <c r="BA1982" s="7"/>
      <c r="BB1982" s="7"/>
      <c r="BC1982" s="7"/>
      <c r="BF1982" s="7"/>
      <c r="BG1982" s="36"/>
      <c r="BH1982" s="36"/>
      <c r="BI1982" s="36"/>
      <c r="BJ1982" s="36"/>
      <c r="BK1982" s="36"/>
      <c r="BL1982" s="36"/>
      <c r="BM1982" s="36"/>
      <c r="BN1982" s="36"/>
      <c r="BO1982" s="36"/>
    </row>
    <row r="1983" spans="1:67" x14ac:dyDescent="0.25">
      <c r="A1983" s="39"/>
      <c r="B1983" s="40"/>
      <c r="U1983" s="36"/>
      <c r="V1983" s="36"/>
      <c r="W1983" s="35"/>
      <c r="X1983" s="7"/>
      <c r="Y1983" s="7"/>
      <c r="Z1983" s="7"/>
      <c r="AA1983" s="7"/>
      <c r="AB1983" s="7"/>
      <c r="AC1983" s="7"/>
      <c r="AD1983" s="7"/>
      <c r="AE1983" s="7"/>
      <c r="AG1983" s="36"/>
      <c r="AH1983" s="36"/>
      <c r="AI1983" s="35"/>
      <c r="AJ1983" s="7"/>
      <c r="AK1983" s="7"/>
      <c r="AL1983" s="7"/>
      <c r="AM1983" s="7"/>
      <c r="AN1983" s="7"/>
      <c r="AO1983" s="7"/>
      <c r="AP1983" s="7"/>
      <c r="AQ1983" s="7"/>
      <c r="AS1983" s="36"/>
      <c r="AT1983" s="36"/>
      <c r="AU1983" s="35"/>
      <c r="AV1983" s="7"/>
      <c r="AW1983" s="7"/>
      <c r="AX1983" s="7"/>
      <c r="AY1983" s="7"/>
      <c r="AZ1983" s="7"/>
      <c r="BA1983" s="7"/>
      <c r="BB1983" s="7"/>
      <c r="BC1983" s="7"/>
      <c r="BF1983" s="7"/>
      <c r="BG1983" s="36"/>
      <c r="BH1983" s="36"/>
      <c r="BI1983" s="36"/>
      <c r="BJ1983" s="36"/>
      <c r="BK1983" s="36"/>
      <c r="BL1983" s="36"/>
      <c r="BM1983" s="36"/>
      <c r="BN1983" s="36"/>
      <c r="BO1983" s="36"/>
    </row>
    <row r="1984" spans="1:67" x14ac:dyDescent="0.25">
      <c r="A1984" s="39"/>
      <c r="B1984" s="40"/>
      <c r="U1984" s="36"/>
      <c r="V1984" s="36"/>
      <c r="W1984" s="35"/>
      <c r="X1984" s="7"/>
      <c r="Y1984" s="7"/>
      <c r="Z1984" s="7"/>
      <c r="AA1984" s="7"/>
      <c r="AB1984" s="7"/>
      <c r="AC1984" s="7"/>
      <c r="AD1984" s="7"/>
      <c r="AE1984" s="7"/>
      <c r="AG1984" s="36"/>
      <c r="AH1984" s="36"/>
      <c r="AI1984" s="35"/>
      <c r="AJ1984" s="7"/>
      <c r="AK1984" s="7"/>
      <c r="AL1984" s="7"/>
      <c r="AM1984" s="7"/>
      <c r="AN1984" s="7"/>
      <c r="AO1984" s="7"/>
      <c r="AP1984" s="7"/>
      <c r="AQ1984" s="7"/>
      <c r="AS1984" s="36"/>
      <c r="AT1984" s="36"/>
      <c r="AU1984" s="35"/>
      <c r="AV1984" s="7"/>
      <c r="AW1984" s="7"/>
      <c r="AX1984" s="7"/>
      <c r="AY1984" s="7"/>
      <c r="AZ1984" s="7"/>
      <c r="BA1984" s="7"/>
      <c r="BB1984" s="7"/>
      <c r="BC1984" s="7"/>
      <c r="BF1984" s="7"/>
      <c r="BG1984" s="36"/>
      <c r="BH1984" s="36"/>
      <c r="BI1984" s="36"/>
      <c r="BJ1984" s="36"/>
      <c r="BK1984" s="36"/>
      <c r="BL1984" s="36"/>
      <c r="BM1984" s="36"/>
      <c r="BN1984" s="36"/>
      <c r="BO1984" s="36"/>
    </row>
    <row r="1985" spans="1:67" x14ac:dyDescent="0.25">
      <c r="A1985" s="39"/>
      <c r="B1985" s="40"/>
      <c r="U1985" s="36"/>
      <c r="V1985" s="36"/>
      <c r="W1985" s="35"/>
      <c r="X1985" s="7"/>
      <c r="Y1985" s="7"/>
      <c r="Z1985" s="7"/>
      <c r="AA1985" s="7"/>
      <c r="AB1985" s="7"/>
      <c r="AC1985" s="7"/>
      <c r="AD1985" s="7"/>
      <c r="AE1985" s="7"/>
      <c r="AG1985" s="36"/>
      <c r="AH1985" s="36"/>
      <c r="AI1985" s="35"/>
      <c r="AJ1985" s="7"/>
      <c r="AK1985" s="7"/>
      <c r="AL1985" s="7"/>
      <c r="AM1985" s="7"/>
      <c r="AN1985" s="7"/>
      <c r="AO1985" s="7"/>
      <c r="AP1985" s="7"/>
      <c r="AQ1985" s="7"/>
      <c r="AS1985" s="36"/>
      <c r="AT1985" s="36"/>
      <c r="AU1985" s="35"/>
      <c r="AV1985" s="7"/>
      <c r="AW1985" s="7"/>
      <c r="AX1985" s="7"/>
      <c r="AY1985" s="7"/>
      <c r="AZ1985" s="7"/>
      <c r="BA1985" s="7"/>
      <c r="BB1985" s="7"/>
      <c r="BC1985" s="7"/>
      <c r="BF1985" s="7"/>
      <c r="BG1985" s="36"/>
      <c r="BH1985" s="36"/>
      <c r="BI1985" s="36"/>
      <c r="BJ1985" s="36"/>
      <c r="BK1985" s="36"/>
      <c r="BL1985" s="36"/>
      <c r="BM1985" s="36"/>
      <c r="BN1985" s="36"/>
      <c r="BO1985" s="36"/>
    </row>
    <row r="1986" spans="1:67" x14ac:dyDescent="0.25">
      <c r="A1986" s="39"/>
      <c r="B1986" s="40"/>
      <c r="U1986" s="36"/>
      <c r="V1986" s="36"/>
      <c r="W1986" s="35"/>
      <c r="X1986" s="7"/>
      <c r="Y1986" s="7"/>
      <c r="Z1986" s="7"/>
      <c r="AA1986" s="7"/>
      <c r="AB1986" s="7"/>
      <c r="AC1986" s="7"/>
      <c r="AD1986" s="7"/>
      <c r="AE1986" s="7"/>
      <c r="AG1986" s="36"/>
      <c r="AH1986" s="36"/>
      <c r="AI1986" s="35"/>
      <c r="AJ1986" s="7"/>
      <c r="AK1986" s="7"/>
      <c r="AL1986" s="7"/>
      <c r="AM1986" s="7"/>
      <c r="AN1986" s="7"/>
      <c r="AO1986" s="7"/>
      <c r="AP1986" s="7"/>
      <c r="AQ1986" s="7"/>
      <c r="AS1986" s="36"/>
      <c r="AT1986" s="36"/>
      <c r="AU1986" s="35"/>
      <c r="AV1986" s="7"/>
      <c r="AW1986" s="7"/>
      <c r="AX1986" s="7"/>
      <c r="AY1986" s="7"/>
      <c r="AZ1986" s="7"/>
      <c r="BA1986" s="7"/>
      <c r="BB1986" s="7"/>
      <c r="BC1986" s="7"/>
      <c r="BF1986" s="7"/>
      <c r="BG1986" s="36"/>
      <c r="BH1986" s="36"/>
      <c r="BI1986" s="36"/>
      <c r="BJ1986" s="36"/>
      <c r="BK1986" s="36"/>
      <c r="BL1986" s="36"/>
      <c r="BM1986" s="36"/>
      <c r="BN1986" s="36"/>
      <c r="BO1986" s="36"/>
    </row>
    <row r="1987" spans="1:67" x14ac:dyDescent="0.25">
      <c r="A1987" s="39"/>
      <c r="B1987" s="40"/>
      <c r="U1987" s="36"/>
      <c r="V1987" s="36"/>
      <c r="W1987" s="35"/>
      <c r="X1987" s="7"/>
      <c r="Y1987" s="7"/>
      <c r="Z1987" s="7"/>
      <c r="AA1987" s="7"/>
      <c r="AB1987" s="7"/>
      <c r="AC1987" s="7"/>
      <c r="AD1987" s="7"/>
      <c r="AE1987" s="7"/>
      <c r="AG1987" s="36"/>
      <c r="AH1987" s="36"/>
      <c r="AI1987" s="35"/>
      <c r="AJ1987" s="7"/>
      <c r="AK1987" s="7"/>
      <c r="AL1987" s="7"/>
      <c r="AM1987" s="7"/>
      <c r="AN1987" s="7"/>
      <c r="AO1987" s="7"/>
      <c r="AP1987" s="7"/>
      <c r="AQ1987" s="7"/>
      <c r="AS1987" s="36"/>
      <c r="AT1987" s="36"/>
      <c r="AU1987" s="35"/>
      <c r="AV1987" s="7"/>
      <c r="AW1987" s="7"/>
      <c r="AX1987" s="7"/>
      <c r="AY1987" s="7"/>
      <c r="AZ1987" s="7"/>
      <c r="BA1987" s="7"/>
      <c r="BB1987" s="7"/>
      <c r="BC1987" s="7"/>
      <c r="BF1987" s="7"/>
      <c r="BG1987" s="36"/>
      <c r="BH1987" s="36"/>
      <c r="BI1987" s="36"/>
      <c r="BJ1987" s="36"/>
      <c r="BK1987" s="36"/>
      <c r="BL1987" s="36"/>
      <c r="BM1987" s="36"/>
      <c r="BN1987" s="36"/>
      <c r="BO1987" s="36"/>
    </row>
    <row r="1988" spans="1:67" x14ac:dyDescent="0.25">
      <c r="A1988" s="39"/>
      <c r="B1988" s="40"/>
      <c r="U1988" s="36"/>
      <c r="V1988" s="36"/>
      <c r="W1988" s="35"/>
      <c r="X1988" s="7"/>
      <c r="Y1988" s="7"/>
      <c r="Z1988" s="7"/>
      <c r="AA1988" s="7"/>
      <c r="AB1988" s="7"/>
      <c r="AC1988" s="7"/>
      <c r="AD1988" s="7"/>
      <c r="AE1988" s="7"/>
      <c r="AG1988" s="36"/>
      <c r="AH1988" s="36"/>
      <c r="AI1988" s="35"/>
      <c r="AJ1988" s="7"/>
      <c r="AK1988" s="7"/>
      <c r="AL1988" s="7"/>
      <c r="AM1988" s="7"/>
      <c r="AN1988" s="7"/>
      <c r="AO1988" s="7"/>
      <c r="AP1988" s="7"/>
      <c r="AQ1988" s="7"/>
      <c r="AS1988" s="36"/>
      <c r="AT1988" s="36"/>
      <c r="AU1988" s="35"/>
      <c r="AV1988" s="7"/>
      <c r="AW1988" s="7"/>
      <c r="AX1988" s="7"/>
      <c r="AY1988" s="7"/>
      <c r="AZ1988" s="7"/>
      <c r="BA1988" s="7"/>
      <c r="BB1988" s="7"/>
      <c r="BC1988" s="7"/>
      <c r="BF1988" s="7"/>
      <c r="BG1988" s="36"/>
      <c r="BH1988" s="36"/>
      <c r="BI1988" s="36"/>
      <c r="BJ1988" s="36"/>
      <c r="BK1988" s="36"/>
      <c r="BL1988" s="36"/>
      <c r="BM1988" s="36"/>
      <c r="BN1988" s="36"/>
      <c r="BO1988" s="36"/>
    </row>
    <row r="1989" spans="1:67" x14ac:dyDescent="0.25">
      <c r="A1989" s="39"/>
      <c r="B1989" s="40"/>
      <c r="U1989" s="36"/>
      <c r="V1989" s="36"/>
      <c r="W1989" s="35"/>
      <c r="X1989" s="7"/>
      <c r="Y1989" s="7"/>
      <c r="Z1989" s="7"/>
      <c r="AA1989" s="7"/>
      <c r="AB1989" s="7"/>
      <c r="AC1989" s="7"/>
      <c r="AD1989" s="7"/>
      <c r="AE1989" s="7"/>
      <c r="AG1989" s="36"/>
      <c r="AH1989" s="36"/>
      <c r="AI1989" s="35"/>
      <c r="AJ1989" s="7"/>
      <c r="AK1989" s="7"/>
      <c r="AL1989" s="7"/>
      <c r="AM1989" s="7"/>
      <c r="AN1989" s="7"/>
      <c r="AO1989" s="7"/>
      <c r="AP1989" s="7"/>
      <c r="AQ1989" s="7"/>
      <c r="AS1989" s="36"/>
      <c r="AT1989" s="36"/>
      <c r="AU1989" s="35"/>
      <c r="AV1989" s="7"/>
      <c r="AW1989" s="7"/>
      <c r="AX1989" s="7"/>
      <c r="AY1989" s="7"/>
      <c r="AZ1989" s="7"/>
      <c r="BA1989" s="7"/>
      <c r="BB1989" s="7"/>
      <c r="BC1989" s="7"/>
      <c r="BF1989" s="7"/>
      <c r="BG1989" s="36"/>
      <c r="BH1989" s="36"/>
      <c r="BI1989" s="36"/>
      <c r="BJ1989" s="36"/>
      <c r="BK1989" s="36"/>
      <c r="BL1989" s="36"/>
      <c r="BM1989" s="36"/>
      <c r="BN1989" s="36"/>
      <c r="BO1989" s="36"/>
    </row>
    <row r="1990" spans="1:67" x14ac:dyDescent="0.25">
      <c r="A1990" s="39"/>
      <c r="B1990" s="40"/>
      <c r="U1990" s="36"/>
      <c r="V1990" s="36"/>
      <c r="W1990" s="35"/>
      <c r="X1990" s="7"/>
      <c r="Y1990" s="7"/>
      <c r="Z1990" s="7"/>
      <c r="AA1990" s="7"/>
      <c r="AB1990" s="7"/>
      <c r="AC1990" s="7"/>
      <c r="AD1990" s="7"/>
      <c r="AE1990" s="7"/>
      <c r="AG1990" s="36"/>
      <c r="AH1990" s="36"/>
      <c r="AI1990" s="35"/>
      <c r="AJ1990" s="7"/>
      <c r="AK1990" s="7"/>
      <c r="AL1990" s="7"/>
      <c r="AM1990" s="7"/>
      <c r="AN1990" s="7"/>
      <c r="AO1990" s="7"/>
      <c r="AP1990" s="7"/>
      <c r="AQ1990" s="7"/>
      <c r="AS1990" s="36"/>
      <c r="AT1990" s="36"/>
      <c r="AU1990" s="35"/>
      <c r="AV1990" s="7"/>
      <c r="AW1990" s="7"/>
      <c r="AX1990" s="7"/>
      <c r="AY1990" s="7"/>
      <c r="AZ1990" s="7"/>
      <c r="BA1990" s="7"/>
      <c r="BB1990" s="7"/>
      <c r="BC1990" s="7"/>
      <c r="BF1990" s="7"/>
      <c r="BG1990" s="36"/>
      <c r="BH1990" s="36"/>
      <c r="BI1990" s="36"/>
      <c r="BJ1990" s="36"/>
      <c r="BK1990" s="36"/>
      <c r="BL1990" s="36"/>
      <c r="BM1990" s="36"/>
      <c r="BN1990" s="36"/>
      <c r="BO1990" s="36"/>
    </row>
    <row r="1991" spans="1:67" x14ac:dyDescent="0.25">
      <c r="A1991" s="39"/>
      <c r="B1991" s="40"/>
      <c r="U1991" s="36"/>
      <c r="V1991" s="36"/>
      <c r="W1991" s="35"/>
      <c r="X1991" s="7"/>
      <c r="Y1991" s="7"/>
      <c r="Z1991" s="7"/>
      <c r="AA1991" s="7"/>
      <c r="AB1991" s="7"/>
      <c r="AC1991" s="7"/>
      <c r="AD1991" s="7"/>
      <c r="AE1991" s="7"/>
      <c r="AG1991" s="36"/>
      <c r="AH1991" s="36"/>
      <c r="AI1991" s="35"/>
      <c r="AJ1991" s="7"/>
      <c r="AK1991" s="7"/>
      <c r="AL1991" s="7"/>
      <c r="AM1991" s="7"/>
      <c r="AN1991" s="7"/>
      <c r="AO1991" s="7"/>
      <c r="AP1991" s="7"/>
      <c r="AQ1991" s="7"/>
      <c r="AS1991" s="36"/>
      <c r="AT1991" s="36"/>
      <c r="AU1991" s="35"/>
      <c r="AV1991" s="7"/>
      <c r="AW1991" s="7"/>
      <c r="AX1991" s="7"/>
      <c r="AY1991" s="7"/>
      <c r="AZ1991" s="7"/>
      <c r="BA1991" s="7"/>
      <c r="BB1991" s="7"/>
      <c r="BC1991" s="7"/>
      <c r="BF1991" s="7"/>
      <c r="BG1991" s="36"/>
      <c r="BH1991" s="36"/>
      <c r="BI1991" s="36"/>
      <c r="BJ1991" s="36"/>
      <c r="BK1991" s="36"/>
      <c r="BL1991" s="36"/>
      <c r="BM1991" s="36"/>
      <c r="BN1991" s="36"/>
      <c r="BO1991" s="36"/>
    </row>
    <row r="1992" spans="1:67" x14ac:dyDescent="0.25">
      <c r="A1992" s="39"/>
      <c r="B1992" s="40"/>
      <c r="U1992" s="36"/>
      <c r="V1992" s="36"/>
      <c r="W1992" s="35"/>
      <c r="X1992" s="7"/>
      <c r="Y1992" s="7"/>
      <c r="Z1992" s="7"/>
      <c r="AA1992" s="7"/>
      <c r="AB1992" s="7"/>
      <c r="AC1992" s="7"/>
      <c r="AD1992" s="7"/>
      <c r="AE1992" s="7"/>
      <c r="AG1992" s="36"/>
      <c r="AH1992" s="36"/>
      <c r="AI1992" s="35"/>
      <c r="AJ1992" s="7"/>
      <c r="AK1992" s="7"/>
      <c r="AL1992" s="7"/>
      <c r="AM1992" s="7"/>
      <c r="AN1992" s="7"/>
      <c r="AO1992" s="7"/>
      <c r="AP1992" s="7"/>
      <c r="AQ1992" s="7"/>
      <c r="AS1992" s="36"/>
      <c r="AT1992" s="36"/>
      <c r="AU1992" s="35"/>
      <c r="AV1992" s="7"/>
      <c r="AW1992" s="7"/>
      <c r="AX1992" s="7"/>
      <c r="AY1992" s="7"/>
      <c r="AZ1992" s="7"/>
      <c r="BA1992" s="7"/>
      <c r="BB1992" s="7"/>
      <c r="BC1992" s="7"/>
      <c r="BF1992" s="7"/>
      <c r="BG1992" s="36"/>
      <c r="BH1992" s="36"/>
      <c r="BI1992" s="36"/>
      <c r="BJ1992" s="36"/>
      <c r="BK1992" s="36"/>
      <c r="BL1992" s="36"/>
      <c r="BM1992" s="36"/>
      <c r="BN1992" s="36"/>
      <c r="BO1992" s="36"/>
    </row>
    <row r="1993" spans="1:67" x14ac:dyDescent="0.25">
      <c r="A1993" s="39"/>
      <c r="B1993" s="40"/>
      <c r="U1993" s="36"/>
      <c r="V1993" s="36"/>
      <c r="W1993" s="35"/>
      <c r="X1993" s="7"/>
      <c r="Y1993" s="7"/>
      <c r="Z1993" s="7"/>
      <c r="AA1993" s="7"/>
      <c r="AB1993" s="7"/>
      <c r="AC1993" s="7"/>
      <c r="AD1993" s="7"/>
      <c r="AE1993" s="7"/>
      <c r="AG1993" s="36"/>
      <c r="AH1993" s="36"/>
      <c r="AI1993" s="35"/>
      <c r="AJ1993" s="7"/>
      <c r="AK1993" s="7"/>
      <c r="AL1993" s="7"/>
      <c r="AM1993" s="7"/>
      <c r="AN1993" s="7"/>
      <c r="AO1993" s="7"/>
      <c r="AP1993" s="7"/>
      <c r="AQ1993" s="7"/>
      <c r="AS1993" s="36"/>
      <c r="AT1993" s="36"/>
      <c r="AU1993" s="35"/>
      <c r="AV1993" s="7"/>
      <c r="AW1993" s="7"/>
      <c r="AX1993" s="7"/>
      <c r="AY1993" s="7"/>
      <c r="AZ1993" s="7"/>
      <c r="BA1993" s="7"/>
      <c r="BB1993" s="7"/>
      <c r="BC1993" s="7"/>
      <c r="BF1993" s="7"/>
      <c r="BG1993" s="36"/>
      <c r="BH1993" s="36"/>
      <c r="BI1993" s="36"/>
      <c r="BJ1993" s="36"/>
      <c r="BK1993" s="36"/>
      <c r="BL1993" s="36"/>
      <c r="BM1993" s="36"/>
      <c r="BN1993" s="36"/>
      <c r="BO1993" s="36"/>
    </row>
    <row r="1994" spans="1:67" x14ac:dyDescent="0.25">
      <c r="A1994" s="39"/>
      <c r="B1994" s="40"/>
      <c r="U1994" s="36"/>
      <c r="V1994" s="36"/>
      <c r="W1994" s="35"/>
      <c r="X1994" s="7"/>
      <c r="Y1994" s="7"/>
      <c r="Z1994" s="7"/>
      <c r="AA1994" s="7"/>
      <c r="AB1994" s="7"/>
      <c r="AC1994" s="7"/>
      <c r="AD1994" s="7"/>
      <c r="AE1994" s="7"/>
      <c r="AG1994" s="36"/>
      <c r="AH1994" s="36"/>
      <c r="AI1994" s="35"/>
      <c r="AJ1994" s="7"/>
      <c r="AK1994" s="7"/>
      <c r="AL1994" s="7"/>
      <c r="AM1994" s="7"/>
      <c r="AN1994" s="7"/>
      <c r="AO1994" s="7"/>
      <c r="AP1994" s="7"/>
      <c r="AQ1994" s="7"/>
      <c r="AS1994" s="36"/>
      <c r="AT1994" s="36"/>
      <c r="AU1994" s="35"/>
      <c r="AV1994" s="7"/>
      <c r="AW1994" s="7"/>
      <c r="AX1994" s="7"/>
      <c r="AY1994" s="7"/>
      <c r="AZ1994" s="7"/>
      <c r="BA1994" s="7"/>
      <c r="BB1994" s="7"/>
      <c r="BC1994" s="7"/>
      <c r="BF1994" s="7"/>
      <c r="BG1994" s="36"/>
      <c r="BH1994" s="36"/>
      <c r="BI1994" s="36"/>
      <c r="BJ1994" s="36"/>
      <c r="BK1994" s="36"/>
      <c r="BL1994" s="36"/>
      <c r="BM1994" s="36"/>
      <c r="BN1994" s="36"/>
      <c r="BO1994" s="36"/>
    </row>
    <row r="1995" spans="1:67" x14ac:dyDescent="0.25">
      <c r="A1995" s="39"/>
      <c r="B1995" s="40"/>
      <c r="U1995" s="36"/>
      <c r="V1995" s="36"/>
      <c r="W1995" s="35"/>
      <c r="X1995" s="7"/>
      <c r="Y1995" s="7"/>
      <c r="Z1995" s="7"/>
      <c r="AA1995" s="7"/>
      <c r="AB1995" s="7"/>
      <c r="AC1995" s="7"/>
      <c r="AD1995" s="7"/>
      <c r="AE1995" s="7"/>
      <c r="AG1995" s="36"/>
      <c r="AH1995" s="36"/>
      <c r="AI1995" s="35"/>
      <c r="AJ1995" s="7"/>
      <c r="AK1995" s="7"/>
      <c r="AL1995" s="7"/>
      <c r="AM1995" s="7"/>
      <c r="AN1995" s="7"/>
      <c r="AO1995" s="7"/>
      <c r="AP1995" s="7"/>
      <c r="AQ1995" s="7"/>
      <c r="AS1995" s="36"/>
      <c r="AT1995" s="36"/>
      <c r="AU1995" s="35"/>
      <c r="AV1995" s="7"/>
      <c r="AW1995" s="7"/>
      <c r="AX1995" s="7"/>
      <c r="AY1995" s="7"/>
      <c r="AZ1995" s="7"/>
      <c r="BA1995" s="7"/>
      <c r="BB1995" s="7"/>
      <c r="BC1995" s="7"/>
      <c r="BF1995" s="7"/>
      <c r="BG1995" s="36"/>
      <c r="BH1995" s="36"/>
      <c r="BI1995" s="36"/>
      <c r="BJ1995" s="36"/>
      <c r="BK1995" s="36"/>
      <c r="BL1995" s="36"/>
      <c r="BM1995" s="36"/>
      <c r="BN1995" s="36"/>
      <c r="BO1995" s="36"/>
    </row>
    <row r="1996" spans="1:67" x14ac:dyDescent="0.25">
      <c r="A1996" s="39"/>
      <c r="B1996" s="40"/>
      <c r="U1996" s="36"/>
      <c r="V1996" s="36"/>
      <c r="W1996" s="35"/>
      <c r="X1996" s="7"/>
      <c r="Y1996" s="7"/>
      <c r="Z1996" s="7"/>
      <c r="AA1996" s="7"/>
      <c r="AB1996" s="7"/>
      <c r="AC1996" s="7"/>
      <c r="AD1996" s="7"/>
      <c r="AE1996" s="7"/>
      <c r="AG1996" s="36"/>
      <c r="AH1996" s="36"/>
      <c r="AI1996" s="35"/>
      <c r="AJ1996" s="7"/>
      <c r="AK1996" s="7"/>
      <c r="AL1996" s="7"/>
      <c r="AM1996" s="7"/>
      <c r="AN1996" s="7"/>
      <c r="AO1996" s="7"/>
      <c r="AP1996" s="7"/>
      <c r="AQ1996" s="7"/>
      <c r="AS1996" s="36"/>
      <c r="AT1996" s="36"/>
      <c r="AU1996" s="35"/>
      <c r="AV1996" s="7"/>
      <c r="AW1996" s="7"/>
      <c r="AX1996" s="7"/>
      <c r="AY1996" s="7"/>
      <c r="AZ1996" s="7"/>
      <c r="BA1996" s="7"/>
      <c r="BB1996" s="7"/>
      <c r="BC1996" s="7"/>
      <c r="BF1996" s="7"/>
      <c r="BG1996" s="36"/>
      <c r="BH1996" s="36"/>
      <c r="BI1996" s="36"/>
      <c r="BJ1996" s="36"/>
      <c r="BK1996" s="36"/>
      <c r="BL1996" s="36"/>
      <c r="BM1996" s="36"/>
      <c r="BN1996" s="36"/>
      <c r="BO1996" s="36"/>
    </row>
    <row r="1997" spans="1:67" x14ac:dyDescent="0.25">
      <c r="A1997" s="39"/>
      <c r="B1997" s="40"/>
      <c r="U1997" s="36"/>
      <c r="V1997" s="36"/>
      <c r="W1997" s="35"/>
      <c r="X1997" s="7"/>
      <c r="Y1997" s="7"/>
      <c r="Z1997" s="7"/>
      <c r="AA1997" s="7"/>
      <c r="AB1997" s="7"/>
      <c r="AC1997" s="7"/>
      <c r="AD1997" s="7"/>
      <c r="AE1997" s="7"/>
      <c r="AG1997" s="36"/>
      <c r="AH1997" s="36"/>
      <c r="AI1997" s="35"/>
      <c r="AJ1997" s="7"/>
      <c r="AK1997" s="7"/>
      <c r="AL1997" s="7"/>
      <c r="AM1997" s="7"/>
      <c r="AN1997" s="7"/>
      <c r="AO1997" s="7"/>
      <c r="AP1997" s="7"/>
      <c r="AQ1997" s="7"/>
      <c r="AS1997" s="36"/>
      <c r="AT1997" s="36"/>
      <c r="AU1997" s="35"/>
      <c r="AV1997" s="7"/>
      <c r="AW1997" s="7"/>
      <c r="AX1997" s="7"/>
      <c r="AY1997" s="7"/>
      <c r="AZ1997" s="7"/>
      <c r="BA1997" s="7"/>
      <c r="BB1997" s="7"/>
      <c r="BC1997" s="7"/>
      <c r="BF1997" s="7"/>
      <c r="BG1997" s="36"/>
      <c r="BH1997" s="36"/>
      <c r="BI1997" s="36"/>
      <c r="BJ1997" s="36"/>
      <c r="BK1997" s="36"/>
      <c r="BL1997" s="36"/>
      <c r="BM1997" s="36"/>
      <c r="BN1997" s="36"/>
      <c r="BO1997" s="36"/>
    </row>
    <row r="1998" spans="1:67" x14ac:dyDescent="0.25">
      <c r="A1998" s="39"/>
      <c r="B1998" s="40"/>
      <c r="U1998" s="36"/>
      <c r="V1998" s="36"/>
      <c r="W1998" s="35"/>
      <c r="X1998" s="7"/>
      <c r="Y1998" s="7"/>
      <c r="Z1998" s="7"/>
      <c r="AA1998" s="7"/>
      <c r="AB1998" s="7"/>
      <c r="AC1998" s="7"/>
      <c r="AD1998" s="7"/>
      <c r="AE1998" s="7"/>
      <c r="AG1998" s="36"/>
      <c r="AH1998" s="36"/>
      <c r="AI1998" s="35"/>
      <c r="AJ1998" s="7"/>
      <c r="AK1998" s="7"/>
      <c r="AL1998" s="7"/>
      <c r="AM1998" s="7"/>
      <c r="AN1998" s="7"/>
      <c r="AO1998" s="7"/>
      <c r="AP1998" s="7"/>
      <c r="AQ1998" s="7"/>
      <c r="AS1998" s="36"/>
      <c r="AT1998" s="36"/>
      <c r="AU1998" s="35"/>
      <c r="AV1998" s="7"/>
      <c r="AW1998" s="7"/>
      <c r="AX1998" s="7"/>
      <c r="AY1998" s="7"/>
      <c r="AZ1998" s="7"/>
      <c r="BA1998" s="7"/>
      <c r="BB1998" s="7"/>
      <c r="BC1998" s="7"/>
      <c r="BF1998" s="7"/>
      <c r="BG1998" s="36"/>
      <c r="BH1998" s="36"/>
      <c r="BI1998" s="36"/>
      <c r="BJ1998" s="36"/>
      <c r="BK1998" s="36"/>
      <c r="BL1998" s="36"/>
      <c r="BM1998" s="36"/>
      <c r="BN1998" s="36"/>
      <c r="BO1998" s="36"/>
    </row>
    <row r="1999" spans="1:67" x14ac:dyDescent="0.25">
      <c r="A1999" s="39"/>
      <c r="B1999" s="40"/>
      <c r="U1999" s="36"/>
      <c r="V1999" s="36"/>
      <c r="W1999" s="35"/>
      <c r="X1999" s="7"/>
      <c r="Y1999" s="7"/>
      <c r="Z1999" s="7"/>
      <c r="AA1999" s="7"/>
      <c r="AB1999" s="7"/>
      <c r="AC1999" s="7"/>
      <c r="AD1999" s="7"/>
      <c r="AE1999" s="7"/>
      <c r="AG1999" s="36"/>
      <c r="AH1999" s="36"/>
      <c r="AI1999" s="35"/>
      <c r="AJ1999" s="7"/>
      <c r="AK1999" s="7"/>
      <c r="AL1999" s="7"/>
      <c r="AM1999" s="7"/>
      <c r="AN1999" s="7"/>
      <c r="AO1999" s="7"/>
      <c r="AP1999" s="7"/>
      <c r="AQ1999" s="7"/>
      <c r="AS1999" s="36"/>
      <c r="AT1999" s="36"/>
      <c r="AU1999" s="35"/>
      <c r="AV1999" s="7"/>
      <c r="AW1999" s="7"/>
      <c r="AX1999" s="7"/>
      <c r="AY1999" s="7"/>
      <c r="AZ1999" s="7"/>
      <c r="BA1999" s="7"/>
      <c r="BB1999" s="7"/>
      <c r="BC1999" s="7"/>
      <c r="BF1999" s="7"/>
      <c r="BG1999" s="36"/>
      <c r="BH1999" s="36"/>
      <c r="BI1999" s="36"/>
      <c r="BJ1999" s="36"/>
      <c r="BK1999" s="36"/>
      <c r="BL1999" s="36"/>
      <c r="BM1999" s="36"/>
      <c r="BN1999" s="36"/>
      <c r="BO1999" s="36"/>
    </row>
    <row r="2000" spans="1:67" x14ac:dyDescent="0.25">
      <c r="A2000" s="39"/>
      <c r="B2000" s="40"/>
      <c r="U2000" s="36"/>
      <c r="V2000" s="36"/>
      <c r="W2000" s="35"/>
      <c r="X2000" s="7"/>
      <c r="Y2000" s="7"/>
      <c r="Z2000" s="7"/>
      <c r="AA2000" s="7"/>
      <c r="AB2000" s="7"/>
      <c r="AC2000" s="7"/>
      <c r="AD2000" s="7"/>
      <c r="AE2000" s="7"/>
      <c r="AG2000" s="36"/>
      <c r="AH2000" s="36"/>
      <c r="AI2000" s="35"/>
      <c r="AJ2000" s="7"/>
      <c r="AK2000" s="7"/>
      <c r="AL2000" s="7"/>
      <c r="AM2000" s="7"/>
      <c r="AN2000" s="7"/>
      <c r="AO2000" s="7"/>
      <c r="AP2000" s="7"/>
      <c r="AQ2000" s="7"/>
      <c r="AS2000" s="36"/>
      <c r="AT2000" s="36"/>
      <c r="AU2000" s="35"/>
      <c r="AV2000" s="7"/>
      <c r="AW2000" s="7"/>
      <c r="AX2000" s="7"/>
      <c r="AY2000" s="7"/>
      <c r="AZ2000" s="7"/>
      <c r="BA2000" s="7"/>
      <c r="BB2000" s="7"/>
      <c r="BC2000" s="7"/>
      <c r="BF2000" s="7"/>
      <c r="BG2000" s="36"/>
      <c r="BH2000" s="36"/>
      <c r="BI2000" s="36"/>
      <c r="BJ2000" s="36"/>
      <c r="BK2000" s="36"/>
      <c r="BL2000" s="36"/>
      <c r="BM2000" s="36"/>
      <c r="BN2000" s="36"/>
      <c r="BO2000" s="36"/>
    </row>
    <row r="2001" spans="1:67" x14ac:dyDescent="0.25">
      <c r="A2001" s="39"/>
      <c r="B2001" s="40"/>
      <c r="U2001" s="36"/>
      <c r="V2001" s="36"/>
      <c r="W2001" s="35"/>
      <c r="X2001" s="7"/>
      <c r="Y2001" s="7"/>
      <c r="Z2001" s="7"/>
      <c r="AA2001" s="7"/>
      <c r="AB2001" s="7"/>
      <c r="AC2001" s="7"/>
      <c r="AD2001" s="7"/>
      <c r="AE2001" s="7"/>
      <c r="AG2001" s="36"/>
      <c r="AH2001" s="36"/>
      <c r="AI2001" s="35"/>
      <c r="AJ2001" s="7"/>
      <c r="AK2001" s="7"/>
      <c r="AL2001" s="7"/>
      <c r="AM2001" s="7"/>
      <c r="AN2001" s="7"/>
      <c r="AO2001" s="7"/>
      <c r="AP2001" s="7"/>
      <c r="AQ2001" s="7"/>
      <c r="AS2001" s="36"/>
      <c r="AT2001" s="36"/>
      <c r="AU2001" s="35"/>
      <c r="AV2001" s="7"/>
      <c r="AW2001" s="7"/>
      <c r="AX2001" s="7"/>
      <c r="AY2001" s="7"/>
      <c r="AZ2001" s="7"/>
      <c r="BA2001" s="7"/>
      <c r="BB2001" s="7"/>
      <c r="BC2001" s="7"/>
      <c r="BF2001" s="7"/>
      <c r="BG2001" s="36"/>
      <c r="BH2001" s="36"/>
      <c r="BI2001" s="36"/>
      <c r="BJ2001" s="36"/>
      <c r="BK2001" s="36"/>
      <c r="BL2001" s="36"/>
      <c r="BM2001" s="36"/>
      <c r="BN2001" s="36"/>
      <c r="BO2001" s="36"/>
    </row>
    <row r="2002" spans="1:67" x14ac:dyDescent="0.25">
      <c r="A2002" s="39"/>
      <c r="B2002" s="40"/>
      <c r="U2002" s="36"/>
      <c r="V2002" s="36"/>
      <c r="W2002" s="35"/>
      <c r="X2002" s="7"/>
      <c r="Y2002" s="7"/>
      <c r="Z2002" s="7"/>
      <c r="AA2002" s="7"/>
      <c r="AB2002" s="7"/>
      <c r="AC2002" s="7"/>
      <c r="AD2002" s="7"/>
      <c r="AE2002" s="7"/>
      <c r="AG2002" s="36"/>
      <c r="AH2002" s="36"/>
      <c r="AI2002" s="35"/>
      <c r="AJ2002" s="7"/>
      <c r="AK2002" s="7"/>
      <c r="AL2002" s="7"/>
      <c r="AM2002" s="7"/>
      <c r="AN2002" s="7"/>
      <c r="AO2002" s="7"/>
      <c r="AP2002" s="7"/>
      <c r="AQ2002" s="7"/>
      <c r="AS2002" s="36"/>
      <c r="AT2002" s="36"/>
      <c r="AU2002" s="35"/>
      <c r="AV2002" s="7"/>
      <c r="AW2002" s="7"/>
      <c r="AX2002" s="7"/>
      <c r="AY2002" s="7"/>
      <c r="AZ2002" s="7"/>
      <c r="BA2002" s="7"/>
      <c r="BB2002" s="7"/>
      <c r="BC2002" s="7"/>
      <c r="BF2002" s="7"/>
      <c r="BG2002" s="36"/>
      <c r="BH2002" s="36"/>
      <c r="BI2002" s="36"/>
      <c r="BJ2002" s="36"/>
      <c r="BK2002" s="36"/>
      <c r="BL2002" s="36"/>
      <c r="BM2002" s="36"/>
      <c r="BN2002" s="36"/>
      <c r="BO2002" s="36"/>
    </row>
    <row r="2003" spans="1:67" x14ac:dyDescent="0.25">
      <c r="A2003" s="39"/>
      <c r="B2003" s="40"/>
      <c r="U2003" s="36"/>
      <c r="V2003" s="36"/>
      <c r="W2003" s="35"/>
      <c r="X2003" s="7"/>
      <c r="Y2003" s="7"/>
      <c r="Z2003" s="7"/>
      <c r="AA2003" s="7"/>
      <c r="AB2003" s="7"/>
      <c r="AC2003" s="7"/>
      <c r="AD2003" s="7"/>
      <c r="AE2003" s="7"/>
      <c r="AG2003" s="36"/>
      <c r="AH2003" s="36"/>
      <c r="AI2003" s="35"/>
      <c r="AJ2003" s="7"/>
      <c r="AK2003" s="7"/>
      <c r="AL2003" s="7"/>
      <c r="AM2003" s="7"/>
      <c r="AN2003" s="7"/>
      <c r="AO2003" s="7"/>
      <c r="AP2003" s="7"/>
      <c r="AQ2003" s="7"/>
      <c r="AS2003" s="36"/>
      <c r="AT2003" s="36"/>
      <c r="AU2003" s="35"/>
      <c r="AV2003" s="7"/>
      <c r="AW2003" s="7"/>
      <c r="AX2003" s="7"/>
      <c r="AY2003" s="7"/>
      <c r="AZ2003" s="7"/>
      <c r="BA2003" s="7"/>
      <c r="BB2003" s="7"/>
      <c r="BC2003" s="7"/>
      <c r="BF2003" s="7"/>
      <c r="BG2003" s="36"/>
      <c r="BH2003" s="36"/>
      <c r="BI2003" s="36"/>
      <c r="BJ2003" s="36"/>
      <c r="BK2003" s="36"/>
      <c r="BL2003" s="36"/>
      <c r="BM2003" s="36"/>
      <c r="BN2003" s="36"/>
      <c r="BO2003" s="36"/>
    </row>
    <row r="2004" spans="1:67" x14ac:dyDescent="0.25">
      <c r="BF2004" s="7"/>
      <c r="BG2004" s="36"/>
      <c r="BH2004" s="36"/>
      <c r="BI2004" s="36"/>
      <c r="BJ2004" s="36"/>
      <c r="BK2004" s="36"/>
      <c r="BL2004" s="36"/>
      <c r="BM2004" s="36"/>
      <c r="BN2004" s="36"/>
      <c r="BO2004" s="36"/>
    </row>
  </sheetData>
  <mergeCells count="3">
    <mergeCell ref="U1:BC1"/>
    <mergeCell ref="G2:S2"/>
    <mergeCell ref="BF1:BO1"/>
  </mergeCells>
  <conditionalFormatting sqref="G5:S12">
    <cfRule type="expression" dxfId="43" priority="1" stopIfTrue="1">
      <formula>$P5=MIN($P$5:$P$12)</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B7478-7ECD-450A-B887-6179C5316F24}">
  <dimension ref="A1:L407"/>
  <sheetViews>
    <sheetView workbookViewId="0">
      <pane ySplit="1" topLeftCell="A372" activePane="bottomLeft" state="frozenSplit"/>
      <selection pane="bottomLeft" sqref="A1:L407"/>
    </sheetView>
  </sheetViews>
  <sheetFormatPr defaultRowHeight="15" x14ac:dyDescent="0.25"/>
  <cols>
    <col min="1" max="1" width="7.42578125" bestFit="1" customWidth="1"/>
    <col min="2" max="2" width="12" bestFit="1" customWidth="1"/>
    <col min="3" max="3" width="16" bestFit="1" customWidth="1"/>
    <col min="4" max="4" width="14.28515625" bestFit="1" customWidth="1"/>
    <col min="5" max="5" width="9.7109375" bestFit="1" customWidth="1"/>
    <col min="6" max="6" width="14.5703125" bestFit="1" customWidth="1"/>
    <col min="7" max="7" width="13.28515625" bestFit="1" customWidth="1"/>
    <col min="8" max="8" width="8.7109375" bestFit="1" customWidth="1"/>
    <col min="9" max="9" width="34.28515625" bestFit="1" customWidth="1"/>
    <col min="10" max="10" width="14.5703125" bestFit="1" customWidth="1"/>
    <col min="11" max="11" width="26.5703125" bestFit="1" customWidth="1"/>
    <col min="12" max="12" width="12.7109375" customWidth="1"/>
  </cols>
  <sheetData>
    <row r="1" spans="1:12" x14ac:dyDescent="0.25">
      <c r="A1" t="s">
        <v>1067</v>
      </c>
      <c r="B1" t="s">
        <v>1068</v>
      </c>
      <c r="C1" t="s">
        <v>1069</v>
      </c>
      <c r="D1" t="s">
        <v>1070</v>
      </c>
      <c r="E1" t="s">
        <v>1071</v>
      </c>
      <c r="F1" t="s">
        <v>1072</v>
      </c>
      <c r="G1" t="s">
        <v>1073</v>
      </c>
      <c r="H1" t="s">
        <v>1074</v>
      </c>
      <c r="I1" t="s">
        <v>1075</v>
      </c>
      <c r="J1" t="s">
        <v>1076</v>
      </c>
      <c r="K1" t="s">
        <v>1077</v>
      </c>
      <c r="L1" t="s">
        <v>379</v>
      </c>
    </row>
    <row r="2" spans="1:12" x14ac:dyDescent="0.25">
      <c r="A2">
        <v>18</v>
      </c>
      <c r="B2">
        <v>8</v>
      </c>
      <c r="C2">
        <v>307</v>
      </c>
      <c r="D2">
        <v>130</v>
      </c>
      <c r="E2">
        <v>3504</v>
      </c>
      <c r="F2">
        <v>12</v>
      </c>
      <c r="G2">
        <v>70</v>
      </c>
      <c r="H2">
        <v>1</v>
      </c>
      <c r="I2" t="s">
        <v>1078</v>
      </c>
      <c r="J2" t="s">
        <v>1079</v>
      </c>
      <c r="K2" t="s">
        <v>1080</v>
      </c>
      <c r="L2" t="b">
        <f>Data_Completeness(MileageData[[#This Row],[MPG]:[Acceleration]])</f>
        <v>1</v>
      </c>
    </row>
    <row r="3" spans="1:12" x14ac:dyDescent="0.25">
      <c r="A3">
        <v>15</v>
      </c>
      <c r="B3">
        <v>8</v>
      </c>
      <c r="C3">
        <v>350</v>
      </c>
      <c r="D3">
        <v>165</v>
      </c>
      <c r="E3">
        <v>3693</v>
      </c>
      <c r="F3">
        <v>11.5</v>
      </c>
      <c r="G3">
        <v>70</v>
      </c>
      <c r="H3">
        <v>1</v>
      </c>
      <c r="I3" t="s">
        <v>1081</v>
      </c>
      <c r="J3" t="s">
        <v>1082</v>
      </c>
      <c r="K3" t="s">
        <v>1083</v>
      </c>
      <c r="L3" t="b">
        <f>Data_Completeness(MileageData[[#This Row],[MPG]:[Acceleration]])</f>
        <v>1</v>
      </c>
    </row>
    <row r="4" spans="1:12" x14ac:dyDescent="0.25">
      <c r="A4">
        <v>18</v>
      </c>
      <c r="B4">
        <v>8</v>
      </c>
      <c r="C4">
        <v>318</v>
      </c>
      <c r="D4">
        <v>150</v>
      </c>
      <c r="E4">
        <v>3436</v>
      </c>
      <c r="F4">
        <v>11</v>
      </c>
      <c r="G4">
        <v>70</v>
      </c>
      <c r="H4">
        <v>1</v>
      </c>
      <c r="I4" t="s">
        <v>1084</v>
      </c>
      <c r="J4" t="s">
        <v>1085</v>
      </c>
      <c r="K4" t="s">
        <v>1086</v>
      </c>
      <c r="L4" t="b">
        <f>Data_Completeness(MileageData[[#This Row],[MPG]:[Acceleration]])</f>
        <v>1</v>
      </c>
    </row>
    <row r="5" spans="1:12" x14ac:dyDescent="0.25">
      <c r="A5">
        <v>16</v>
      </c>
      <c r="B5">
        <v>8</v>
      </c>
      <c r="C5">
        <v>304</v>
      </c>
      <c r="D5">
        <v>150</v>
      </c>
      <c r="E5">
        <v>3433</v>
      </c>
      <c r="F5">
        <v>12</v>
      </c>
      <c r="G5">
        <v>70</v>
      </c>
      <c r="H5">
        <v>1</v>
      </c>
      <c r="I5" t="s">
        <v>1087</v>
      </c>
      <c r="J5" t="s">
        <v>1088</v>
      </c>
      <c r="K5" t="s">
        <v>1089</v>
      </c>
      <c r="L5" t="b">
        <f>Data_Completeness(MileageData[[#This Row],[MPG]:[Acceleration]])</f>
        <v>1</v>
      </c>
    </row>
    <row r="6" spans="1:12" x14ac:dyDescent="0.25">
      <c r="A6">
        <v>17</v>
      </c>
      <c r="B6">
        <v>8</v>
      </c>
      <c r="C6">
        <v>302</v>
      </c>
      <c r="D6">
        <v>140</v>
      </c>
      <c r="E6">
        <v>3449</v>
      </c>
      <c r="F6">
        <v>10.5</v>
      </c>
      <c r="G6">
        <v>70</v>
      </c>
      <c r="H6">
        <v>1</v>
      </c>
      <c r="I6" t="s">
        <v>1090</v>
      </c>
      <c r="J6" t="s">
        <v>1091</v>
      </c>
      <c r="K6" t="s">
        <v>1092</v>
      </c>
      <c r="L6" t="b">
        <f>Data_Completeness(MileageData[[#This Row],[MPG]:[Acceleration]])</f>
        <v>1</v>
      </c>
    </row>
    <row r="7" spans="1:12" x14ac:dyDescent="0.25">
      <c r="A7">
        <v>15</v>
      </c>
      <c r="B7">
        <v>8</v>
      </c>
      <c r="C7">
        <v>429</v>
      </c>
      <c r="D7">
        <v>198</v>
      </c>
      <c r="E7">
        <v>4341</v>
      </c>
      <c r="F7">
        <v>10</v>
      </c>
      <c r="G7">
        <v>70</v>
      </c>
      <c r="H7">
        <v>1</v>
      </c>
      <c r="I7" t="s">
        <v>1093</v>
      </c>
      <c r="J7" t="s">
        <v>1091</v>
      </c>
      <c r="K7" t="s">
        <v>1094</v>
      </c>
      <c r="L7" t="b">
        <f>Data_Completeness(MileageData[[#This Row],[MPG]:[Acceleration]])</f>
        <v>1</v>
      </c>
    </row>
    <row r="8" spans="1:12" x14ac:dyDescent="0.25">
      <c r="A8">
        <v>14</v>
      </c>
      <c r="B8">
        <v>8</v>
      </c>
      <c r="C8">
        <v>454</v>
      </c>
      <c r="D8">
        <v>220</v>
      </c>
      <c r="E8">
        <v>4354</v>
      </c>
      <c r="F8">
        <v>9</v>
      </c>
      <c r="G8">
        <v>70</v>
      </c>
      <c r="H8">
        <v>1</v>
      </c>
      <c r="I8" t="s">
        <v>1095</v>
      </c>
      <c r="J8" t="s">
        <v>1079</v>
      </c>
      <c r="K8" t="s">
        <v>1096</v>
      </c>
      <c r="L8" t="b">
        <f>Data_Completeness(MileageData[[#This Row],[MPG]:[Acceleration]])</f>
        <v>1</v>
      </c>
    </row>
    <row r="9" spans="1:12" x14ac:dyDescent="0.25">
      <c r="A9">
        <v>14</v>
      </c>
      <c r="B9">
        <v>8</v>
      </c>
      <c r="C9">
        <v>440</v>
      </c>
      <c r="D9">
        <v>215</v>
      </c>
      <c r="E9">
        <v>4312</v>
      </c>
      <c r="F9">
        <v>8.5</v>
      </c>
      <c r="G9">
        <v>70</v>
      </c>
      <c r="H9">
        <v>1</v>
      </c>
      <c r="I9" t="s">
        <v>1097</v>
      </c>
      <c r="J9" t="s">
        <v>1085</v>
      </c>
      <c r="K9" t="s">
        <v>1098</v>
      </c>
      <c r="L9" t="b">
        <f>Data_Completeness(MileageData[[#This Row],[MPG]:[Acceleration]])</f>
        <v>1</v>
      </c>
    </row>
    <row r="10" spans="1:12" x14ac:dyDescent="0.25">
      <c r="A10">
        <v>14</v>
      </c>
      <c r="B10">
        <v>8</v>
      </c>
      <c r="C10">
        <v>455</v>
      </c>
      <c r="D10">
        <v>225</v>
      </c>
      <c r="E10">
        <v>4425</v>
      </c>
      <c r="F10">
        <v>10</v>
      </c>
      <c r="G10">
        <v>70</v>
      </c>
      <c r="H10">
        <v>1</v>
      </c>
      <c r="I10" t="s">
        <v>1099</v>
      </c>
      <c r="J10" t="s">
        <v>1100</v>
      </c>
      <c r="K10" t="s">
        <v>1101</v>
      </c>
      <c r="L10" t="b">
        <f>Data_Completeness(MileageData[[#This Row],[MPG]:[Acceleration]])</f>
        <v>1</v>
      </c>
    </row>
    <row r="11" spans="1:12" x14ac:dyDescent="0.25">
      <c r="A11">
        <v>15</v>
      </c>
      <c r="B11">
        <v>8</v>
      </c>
      <c r="C11">
        <v>390</v>
      </c>
      <c r="D11">
        <v>190</v>
      </c>
      <c r="E11">
        <v>3850</v>
      </c>
      <c r="F11">
        <v>8.5</v>
      </c>
      <c r="G11">
        <v>70</v>
      </c>
      <c r="H11">
        <v>1</v>
      </c>
      <c r="I11" t="s">
        <v>1102</v>
      </c>
      <c r="J11" t="s">
        <v>1088</v>
      </c>
      <c r="K11" t="s">
        <v>1103</v>
      </c>
      <c r="L11" t="b">
        <f>Data_Completeness(MileageData[[#This Row],[MPG]:[Acceleration]])</f>
        <v>1</v>
      </c>
    </row>
    <row r="12" spans="1:12" x14ac:dyDescent="0.25">
      <c r="B12">
        <v>4</v>
      </c>
      <c r="C12">
        <v>133</v>
      </c>
      <c r="D12">
        <v>115</v>
      </c>
      <c r="E12">
        <v>3090</v>
      </c>
      <c r="F12">
        <v>17.5</v>
      </c>
      <c r="G12">
        <v>70</v>
      </c>
      <c r="H12">
        <v>2</v>
      </c>
      <c r="I12" t="s">
        <v>1104</v>
      </c>
      <c r="J12" t="s">
        <v>1105</v>
      </c>
      <c r="K12" t="s">
        <v>1106</v>
      </c>
      <c r="L12" t="b">
        <f>Data_Completeness(MileageData[[#This Row],[MPG]:[Acceleration]])</f>
        <v>0</v>
      </c>
    </row>
    <row r="13" spans="1:12" x14ac:dyDescent="0.25">
      <c r="B13">
        <v>8</v>
      </c>
      <c r="C13">
        <v>350</v>
      </c>
      <c r="D13">
        <v>165</v>
      </c>
      <c r="E13">
        <v>4142</v>
      </c>
      <c r="F13">
        <v>11.5</v>
      </c>
      <c r="G13">
        <v>70</v>
      </c>
      <c r="H13">
        <v>1</v>
      </c>
      <c r="I13" t="s">
        <v>1107</v>
      </c>
      <c r="J13" t="s">
        <v>1079</v>
      </c>
      <c r="K13" t="s">
        <v>1108</v>
      </c>
      <c r="L13" t="b">
        <f>Data_Completeness(MileageData[[#This Row],[MPG]:[Acceleration]])</f>
        <v>0</v>
      </c>
    </row>
    <row r="14" spans="1:12" x14ac:dyDescent="0.25">
      <c r="B14">
        <v>8</v>
      </c>
      <c r="C14">
        <v>351</v>
      </c>
      <c r="D14">
        <v>153</v>
      </c>
      <c r="E14">
        <v>4034</v>
      </c>
      <c r="F14">
        <v>11</v>
      </c>
      <c r="G14">
        <v>70</v>
      </c>
      <c r="H14">
        <v>1</v>
      </c>
      <c r="I14" t="s">
        <v>1109</v>
      </c>
      <c r="J14" t="s">
        <v>1091</v>
      </c>
      <c r="K14" t="s">
        <v>1110</v>
      </c>
      <c r="L14" t="b">
        <f>Data_Completeness(MileageData[[#This Row],[MPG]:[Acceleration]])</f>
        <v>0</v>
      </c>
    </row>
    <row r="15" spans="1:12" x14ac:dyDescent="0.25">
      <c r="B15">
        <v>8</v>
      </c>
      <c r="C15">
        <v>383</v>
      </c>
      <c r="D15">
        <v>175</v>
      </c>
      <c r="E15">
        <v>4166</v>
      </c>
      <c r="F15">
        <v>10.5</v>
      </c>
      <c r="G15">
        <v>70</v>
      </c>
      <c r="H15">
        <v>1</v>
      </c>
      <c r="I15" t="s">
        <v>1111</v>
      </c>
      <c r="J15" t="s">
        <v>1085</v>
      </c>
      <c r="K15" t="s">
        <v>1112</v>
      </c>
      <c r="L15" t="b">
        <f>Data_Completeness(MileageData[[#This Row],[MPG]:[Acceleration]])</f>
        <v>0</v>
      </c>
    </row>
    <row r="16" spans="1:12" x14ac:dyDescent="0.25">
      <c r="B16">
        <v>8</v>
      </c>
      <c r="C16">
        <v>360</v>
      </c>
      <c r="D16">
        <v>175</v>
      </c>
      <c r="E16">
        <v>3850</v>
      </c>
      <c r="F16">
        <v>11</v>
      </c>
      <c r="G16">
        <v>70</v>
      </c>
      <c r="H16">
        <v>1</v>
      </c>
      <c r="I16" t="s">
        <v>1113</v>
      </c>
      <c r="J16" t="s">
        <v>1088</v>
      </c>
      <c r="K16" t="s">
        <v>1114</v>
      </c>
      <c r="L16" t="b">
        <f>Data_Completeness(MileageData[[#This Row],[MPG]:[Acceleration]])</f>
        <v>0</v>
      </c>
    </row>
    <row r="17" spans="1:12" x14ac:dyDescent="0.25">
      <c r="A17">
        <v>15</v>
      </c>
      <c r="B17">
        <v>8</v>
      </c>
      <c r="C17">
        <v>383</v>
      </c>
      <c r="D17">
        <v>170</v>
      </c>
      <c r="E17">
        <v>3563</v>
      </c>
      <c r="F17">
        <v>10</v>
      </c>
      <c r="G17">
        <v>70</v>
      </c>
      <c r="H17">
        <v>1</v>
      </c>
      <c r="I17" t="s">
        <v>1115</v>
      </c>
      <c r="J17" t="s">
        <v>1116</v>
      </c>
      <c r="K17" t="s">
        <v>1117</v>
      </c>
      <c r="L17" t="b">
        <f>Data_Completeness(MileageData[[#This Row],[MPG]:[Acceleration]])</f>
        <v>1</v>
      </c>
    </row>
    <row r="18" spans="1:12" x14ac:dyDescent="0.25">
      <c r="A18">
        <v>14</v>
      </c>
      <c r="B18">
        <v>8</v>
      </c>
      <c r="C18">
        <v>340</v>
      </c>
      <c r="D18">
        <v>160</v>
      </c>
      <c r="E18">
        <v>3609</v>
      </c>
      <c r="F18">
        <v>8</v>
      </c>
      <c r="G18">
        <v>70</v>
      </c>
      <c r="H18">
        <v>1</v>
      </c>
      <c r="I18" t="s">
        <v>1118</v>
      </c>
      <c r="J18" t="s">
        <v>1085</v>
      </c>
      <c r="K18" s="52" t="s">
        <v>1727</v>
      </c>
      <c r="L18" t="b">
        <f>Data_Completeness(MileageData[[#This Row],[MPG]:[Acceleration]])</f>
        <v>1</v>
      </c>
    </row>
    <row r="19" spans="1:12" x14ac:dyDescent="0.25">
      <c r="B19">
        <v>8</v>
      </c>
      <c r="C19">
        <v>302</v>
      </c>
      <c r="D19">
        <v>140</v>
      </c>
      <c r="E19">
        <v>3353</v>
      </c>
      <c r="F19">
        <v>8</v>
      </c>
      <c r="G19">
        <v>70</v>
      </c>
      <c r="H19">
        <v>1</v>
      </c>
      <c r="I19" t="s">
        <v>1119</v>
      </c>
      <c r="J19" t="s">
        <v>1091</v>
      </c>
      <c r="K19" t="s">
        <v>1120</v>
      </c>
      <c r="L19" t="b">
        <f>Data_Completeness(MileageData[[#This Row],[MPG]:[Acceleration]])</f>
        <v>0</v>
      </c>
    </row>
    <row r="20" spans="1:12" x14ac:dyDescent="0.25">
      <c r="A20">
        <v>15</v>
      </c>
      <c r="B20">
        <v>8</v>
      </c>
      <c r="C20">
        <v>400</v>
      </c>
      <c r="D20">
        <v>150</v>
      </c>
      <c r="E20">
        <v>3761</v>
      </c>
      <c r="F20">
        <v>9.5</v>
      </c>
      <c r="G20">
        <v>70</v>
      </c>
      <c r="H20">
        <v>1</v>
      </c>
      <c r="I20" t="s">
        <v>1121</v>
      </c>
      <c r="J20" t="s">
        <v>1079</v>
      </c>
      <c r="K20" t="s">
        <v>1122</v>
      </c>
      <c r="L20" t="b">
        <f>Data_Completeness(MileageData[[#This Row],[MPG]:[Acceleration]])</f>
        <v>1</v>
      </c>
    </row>
    <row r="21" spans="1:12" x14ac:dyDescent="0.25">
      <c r="A21">
        <v>14</v>
      </c>
      <c r="B21">
        <v>8</v>
      </c>
      <c r="C21">
        <v>455</v>
      </c>
      <c r="D21">
        <v>225</v>
      </c>
      <c r="E21">
        <v>3086</v>
      </c>
      <c r="F21">
        <v>10</v>
      </c>
      <c r="G21">
        <v>70</v>
      </c>
      <c r="H21">
        <v>1</v>
      </c>
      <c r="I21" t="s">
        <v>1123</v>
      </c>
      <c r="J21" t="s">
        <v>1082</v>
      </c>
      <c r="K21" t="s">
        <v>1124</v>
      </c>
      <c r="L21" t="b">
        <f>Data_Completeness(MileageData[[#This Row],[MPG]:[Acceleration]])</f>
        <v>1</v>
      </c>
    </row>
    <row r="22" spans="1:12" x14ac:dyDescent="0.25">
      <c r="A22">
        <v>24</v>
      </c>
      <c r="B22">
        <v>4</v>
      </c>
      <c r="C22">
        <v>113</v>
      </c>
      <c r="D22">
        <v>95</v>
      </c>
      <c r="E22">
        <v>2372</v>
      </c>
      <c r="F22">
        <v>15</v>
      </c>
      <c r="G22">
        <v>70</v>
      </c>
      <c r="H22">
        <v>3</v>
      </c>
      <c r="I22" t="s">
        <v>1125</v>
      </c>
      <c r="J22" t="s">
        <v>1126</v>
      </c>
      <c r="K22" t="s">
        <v>1127</v>
      </c>
      <c r="L22" t="b">
        <f>Data_Completeness(MileageData[[#This Row],[MPG]:[Acceleration]])</f>
        <v>1</v>
      </c>
    </row>
    <row r="23" spans="1:12" x14ac:dyDescent="0.25">
      <c r="A23">
        <v>22</v>
      </c>
      <c r="B23">
        <v>6</v>
      </c>
      <c r="C23">
        <v>198</v>
      </c>
      <c r="D23">
        <v>95</v>
      </c>
      <c r="E23">
        <v>2833</v>
      </c>
      <c r="F23">
        <v>15.5</v>
      </c>
      <c r="G23">
        <v>70</v>
      </c>
      <c r="H23">
        <v>1</v>
      </c>
      <c r="I23" t="s">
        <v>1128</v>
      </c>
      <c r="J23" t="s">
        <v>1085</v>
      </c>
      <c r="K23" t="s">
        <v>1129</v>
      </c>
      <c r="L23" t="b">
        <f>Data_Completeness(MileageData[[#This Row],[MPG]:[Acceleration]])</f>
        <v>1</v>
      </c>
    </row>
    <row r="24" spans="1:12" x14ac:dyDescent="0.25">
      <c r="A24">
        <v>18</v>
      </c>
      <c r="B24">
        <v>6</v>
      </c>
      <c r="C24">
        <v>199</v>
      </c>
      <c r="D24">
        <v>97</v>
      </c>
      <c r="E24">
        <v>2774</v>
      </c>
      <c r="F24">
        <v>15.5</v>
      </c>
      <c r="G24">
        <v>70</v>
      </c>
      <c r="H24">
        <v>1</v>
      </c>
      <c r="I24" t="s">
        <v>1130</v>
      </c>
      <c r="J24" t="s">
        <v>1088</v>
      </c>
      <c r="K24" t="s">
        <v>1131</v>
      </c>
      <c r="L24" t="b">
        <f>Data_Completeness(MileageData[[#This Row],[MPG]:[Acceleration]])</f>
        <v>1</v>
      </c>
    </row>
    <row r="25" spans="1:12" x14ac:dyDescent="0.25">
      <c r="A25">
        <v>21</v>
      </c>
      <c r="B25">
        <v>6</v>
      </c>
      <c r="C25">
        <v>200</v>
      </c>
      <c r="D25">
        <v>85</v>
      </c>
      <c r="E25">
        <v>2587</v>
      </c>
      <c r="F25">
        <v>16</v>
      </c>
      <c r="G25">
        <v>70</v>
      </c>
      <c r="H25">
        <v>1</v>
      </c>
      <c r="I25" t="s">
        <v>1132</v>
      </c>
      <c r="J25" t="s">
        <v>1091</v>
      </c>
      <c r="K25" t="s">
        <v>1133</v>
      </c>
      <c r="L25" t="b">
        <f>Data_Completeness(MileageData[[#This Row],[MPG]:[Acceleration]])</f>
        <v>1</v>
      </c>
    </row>
    <row r="26" spans="1:12" x14ac:dyDescent="0.25">
      <c r="A26">
        <v>27</v>
      </c>
      <c r="B26">
        <v>4</v>
      </c>
      <c r="C26">
        <v>97</v>
      </c>
      <c r="D26">
        <v>88</v>
      </c>
      <c r="E26">
        <v>2130</v>
      </c>
      <c r="F26">
        <v>14.5</v>
      </c>
      <c r="G26">
        <v>70</v>
      </c>
      <c r="H26">
        <v>3</v>
      </c>
      <c r="I26" t="s">
        <v>1134</v>
      </c>
      <c r="J26" t="s">
        <v>1135</v>
      </c>
      <c r="K26" t="s">
        <v>1136</v>
      </c>
      <c r="L26" t="b">
        <f>Data_Completeness(MileageData[[#This Row],[MPG]:[Acceleration]])</f>
        <v>1</v>
      </c>
    </row>
    <row r="27" spans="1:12" x14ac:dyDescent="0.25">
      <c r="A27">
        <v>26</v>
      </c>
      <c r="B27">
        <v>4</v>
      </c>
      <c r="C27">
        <v>97</v>
      </c>
      <c r="D27">
        <v>46</v>
      </c>
      <c r="E27">
        <v>1835</v>
      </c>
      <c r="F27">
        <v>20.5</v>
      </c>
      <c r="G27">
        <v>70</v>
      </c>
      <c r="H27">
        <v>2</v>
      </c>
      <c r="I27" t="s">
        <v>1137</v>
      </c>
      <c r="J27" t="s">
        <v>1138</v>
      </c>
      <c r="K27" t="s">
        <v>1139</v>
      </c>
      <c r="L27" t="b">
        <f>Data_Completeness(MileageData[[#This Row],[MPG]:[Acceleration]])</f>
        <v>1</v>
      </c>
    </row>
    <row r="28" spans="1:12" x14ac:dyDescent="0.25">
      <c r="A28">
        <v>25</v>
      </c>
      <c r="B28">
        <v>4</v>
      </c>
      <c r="C28">
        <v>110</v>
      </c>
      <c r="D28">
        <v>87</v>
      </c>
      <c r="E28">
        <v>2672</v>
      </c>
      <c r="F28">
        <v>17.5</v>
      </c>
      <c r="G28">
        <v>70</v>
      </c>
      <c r="H28">
        <v>2</v>
      </c>
      <c r="I28" t="s">
        <v>1140</v>
      </c>
      <c r="J28" t="s">
        <v>1141</v>
      </c>
      <c r="K28">
        <v>504</v>
      </c>
      <c r="L28" t="b">
        <f>Data_Completeness(MileageData[[#This Row],[MPG]:[Acceleration]])</f>
        <v>1</v>
      </c>
    </row>
    <row r="29" spans="1:12" x14ac:dyDescent="0.25">
      <c r="A29">
        <v>24</v>
      </c>
      <c r="B29">
        <v>4</v>
      </c>
      <c r="C29">
        <v>107</v>
      </c>
      <c r="D29">
        <v>90</v>
      </c>
      <c r="E29">
        <v>2430</v>
      </c>
      <c r="F29">
        <v>14.5</v>
      </c>
      <c r="G29">
        <v>70</v>
      </c>
      <c r="H29">
        <v>2</v>
      </c>
      <c r="I29" t="s">
        <v>1142</v>
      </c>
      <c r="J29" t="s">
        <v>1143</v>
      </c>
      <c r="K29" t="s">
        <v>1144</v>
      </c>
      <c r="L29" t="b">
        <f>Data_Completeness(MileageData[[#This Row],[MPG]:[Acceleration]])</f>
        <v>1</v>
      </c>
    </row>
    <row r="30" spans="1:12" x14ac:dyDescent="0.25">
      <c r="A30">
        <v>25</v>
      </c>
      <c r="B30">
        <v>4</v>
      </c>
      <c r="C30">
        <v>104</v>
      </c>
      <c r="D30">
        <v>95</v>
      </c>
      <c r="E30">
        <v>2375</v>
      </c>
      <c r="F30">
        <v>17.5</v>
      </c>
      <c r="G30">
        <v>70</v>
      </c>
      <c r="H30">
        <v>2</v>
      </c>
      <c r="I30" t="s">
        <v>1145</v>
      </c>
      <c r="J30" t="s">
        <v>1146</v>
      </c>
      <c r="K30" t="s">
        <v>1147</v>
      </c>
      <c r="L30" t="b">
        <f>Data_Completeness(MileageData[[#This Row],[MPG]:[Acceleration]])</f>
        <v>1</v>
      </c>
    </row>
    <row r="31" spans="1:12" x14ac:dyDescent="0.25">
      <c r="A31">
        <v>26</v>
      </c>
      <c r="B31">
        <v>4</v>
      </c>
      <c r="C31">
        <v>121</v>
      </c>
      <c r="D31">
        <v>113</v>
      </c>
      <c r="E31">
        <v>2234</v>
      </c>
      <c r="F31">
        <v>12.5</v>
      </c>
      <c r="G31">
        <v>70</v>
      </c>
      <c r="H31">
        <v>2</v>
      </c>
      <c r="I31" t="s">
        <v>1148</v>
      </c>
      <c r="J31" t="s">
        <v>1149</v>
      </c>
      <c r="K31">
        <v>2002</v>
      </c>
      <c r="L31" t="b">
        <f>Data_Completeness(MileageData[[#This Row],[MPG]:[Acceleration]])</f>
        <v>1</v>
      </c>
    </row>
    <row r="32" spans="1:12" x14ac:dyDescent="0.25">
      <c r="A32">
        <v>21</v>
      </c>
      <c r="B32">
        <v>6</v>
      </c>
      <c r="C32">
        <v>199</v>
      </c>
      <c r="D32">
        <v>90</v>
      </c>
      <c r="E32">
        <v>2648</v>
      </c>
      <c r="F32">
        <v>15</v>
      </c>
      <c r="G32">
        <v>70</v>
      </c>
      <c r="H32">
        <v>1</v>
      </c>
      <c r="I32" t="s">
        <v>1150</v>
      </c>
      <c r="J32" t="s">
        <v>1088</v>
      </c>
      <c r="K32" t="s">
        <v>1151</v>
      </c>
      <c r="L32" t="b">
        <f>Data_Completeness(MileageData[[#This Row],[MPG]:[Acceleration]])</f>
        <v>1</v>
      </c>
    </row>
    <row r="33" spans="1:12" x14ac:dyDescent="0.25">
      <c r="A33">
        <v>10</v>
      </c>
      <c r="B33">
        <v>8</v>
      </c>
      <c r="C33">
        <v>360</v>
      </c>
      <c r="D33">
        <v>215</v>
      </c>
      <c r="E33">
        <v>4615</v>
      </c>
      <c r="F33">
        <v>14</v>
      </c>
      <c r="G33">
        <v>70</v>
      </c>
      <c r="H33">
        <v>1</v>
      </c>
      <c r="I33" t="s">
        <v>1152</v>
      </c>
      <c r="J33" t="s">
        <v>1091</v>
      </c>
      <c r="K33" t="s">
        <v>1153</v>
      </c>
      <c r="L33" t="b">
        <f>Data_Completeness(MileageData[[#This Row],[MPG]:[Acceleration]])</f>
        <v>1</v>
      </c>
    </row>
    <row r="34" spans="1:12" x14ac:dyDescent="0.25">
      <c r="A34">
        <v>10</v>
      </c>
      <c r="B34">
        <v>8</v>
      </c>
      <c r="C34">
        <v>307</v>
      </c>
      <c r="D34">
        <v>200</v>
      </c>
      <c r="E34">
        <v>4376</v>
      </c>
      <c r="F34">
        <v>15</v>
      </c>
      <c r="G34">
        <v>70</v>
      </c>
      <c r="H34">
        <v>1</v>
      </c>
      <c r="I34" t="s">
        <v>1154</v>
      </c>
      <c r="J34" t="s">
        <v>1155</v>
      </c>
      <c r="K34" t="s">
        <v>1156</v>
      </c>
      <c r="L34" t="b">
        <f>Data_Completeness(MileageData[[#This Row],[MPG]:[Acceleration]])</f>
        <v>1</v>
      </c>
    </row>
    <row r="35" spans="1:12" x14ac:dyDescent="0.25">
      <c r="A35">
        <v>11</v>
      </c>
      <c r="B35">
        <v>8</v>
      </c>
      <c r="C35">
        <v>318</v>
      </c>
      <c r="D35">
        <v>210</v>
      </c>
      <c r="E35">
        <v>4382</v>
      </c>
      <c r="F35">
        <v>13.5</v>
      </c>
      <c r="G35">
        <v>70</v>
      </c>
      <c r="H35">
        <v>1</v>
      </c>
      <c r="I35" t="s">
        <v>1157</v>
      </c>
      <c r="J35" t="s">
        <v>1116</v>
      </c>
      <c r="K35" t="s">
        <v>1158</v>
      </c>
      <c r="L35" t="b">
        <f>Data_Completeness(MileageData[[#This Row],[MPG]:[Acceleration]])</f>
        <v>1</v>
      </c>
    </row>
    <row r="36" spans="1:12" x14ac:dyDescent="0.25">
      <c r="A36">
        <v>9</v>
      </c>
      <c r="B36">
        <v>8</v>
      </c>
      <c r="C36">
        <v>304</v>
      </c>
      <c r="D36">
        <v>193</v>
      </c>
      <c r="E36">
        <v>4732</v>
      </c>
      <c r="F36">
        <v>18.5</v>
      </c>
      <c r="G36">
        <v>70</v>
      </c>
      <c r="H36">
        <v>1</v>
      </c>
      <c r="I36" t="s">
        <v>1159</v>
      </c>
      <c r="J36" t="s">
        <v>1160</v>
      </c>
      <c r="K36" t="s">
        <v>1161</v>
      </c>
      <c r="L36" t="b">
        <f>Data_Completeness(MileageData[[#This Row],[MPG]:[Acceleration]])</f>
        <v>1</v>
      </c>
    </row>
    <row r="37" spans="1:12" x14ac:dyDescent="0.25">
      <c r="A37">
        <v>27</v>
      </c>
      <c r="B37">
        <v>4</v>
      </c>
      <c r="C37">
        <v>97</v>
      </c>
      <c r="D37">
        <v>88</v>
      </c>
      <c r="E37">
        <v>2130</v>
      </c>
      <c r="F37">
        <v>14.5</v>
      </c>
      <c r="G37">
        <v>71</v>
      </c>
      <c r="H37">
        <v>3</v>
      </c>
      <c r="I37" t="s">
        <v>1134</v>
      </c>
      <c r="J37" t="s">
        <v>1135</v>
      </c>
      <c r="K37" t="s">
        <v>1136</v>
      </c>
      <c r="L37" t="b">
        <f>Data_Completeness(MileageData[[#This Row],[MPG]:[Acceleration]])</f>
        <v>1</v>
      </c>
    </row>
    <row r="38" spans="1:12" x14ac:dyDescent="0.25">
      <c r="A38">
        <v>28</v>
      </c>
      <c r="B38">
        <v>4</v>
      </c>
      <c r="C38">
        <v>140</v>
      </c>
      <c r="D38">
        <v>90</v>
      </c>
      <c r="E38">
        <v>2264</v>
      </c>
      <c r="F38">
        <v>15.5</v>
      </c>
      <c r="G38">
        <v>71</v>
      </c>
      <c r="H38">
        <v>1</v>
      </c>
      <c r="I38" t="s">
        <v>1162</v>
      </c>
      <c r="J38" t="s">
        <v>1079</v>
      </c>
      <c r="K38" t="s">
        <v>1163</v>
      </c>
      <c r="L38" t="b">
        <f>Data_Completeness(MileageData[[#This Row],[MPG]:[Acceleration]])</f>
        <v>1</v>
      </c>
    </row>
    <row r="39" spans="1:12" x14ac:dyDescent="0.25">
      <c r="A39">
        <v>25</v>
      </c>
      <c r="B39">
        <v>4</v>
      </c>
      <c r="C39">
        <v>113</v>
      </c>
      <c r="D39">
        <v>95</v>
      </c>
      <c r="E39">
        <v>2228</v>
      </c>
      <c r="F39">
        <v>14</v>
      </c>
      <c r="G39">
        <v>71</v>
      </c>
      <c r="H39">
        <v>3</v>
      </c>
      <c r="I39" t="s">
        <v>1164</v>
      </c>
      <c r="J39" t="s">
        <v>1126</v>
      </c>
      <c r="K39" t="s">
        <v>1165</v>
      </c>
      <c r="L39" t="b">
        <f>Data_Completeness(MileageData[[#This Row],[MPG]:[Acceleration]])</f>
        <v>1</v>
      </c>
    </row>
    <row r="40" spans="1:12" x14ac:dyDescent="0.25">
      <c r="A40">
        <v>25</v>
      </c>
      <c r="B40">
        <v>4</v>
      </c>
      <c r="C40">
        <v>98</v>
      </c>
      <c r="E40">
        <v>2046</v>
      </c>
      <c r="F40">
        <v>19</v>
      </c>
      <c r="G40">
        <v>71</v>
      </c>
      <c r="H40">
        <v>1</v>
      </c>
      <c r="I40" t="s">
        <v>1166</v>
      </c>
      <c r="J40" t="s">
        <v>1091</v>
      </c>
      <c r="K40" t="s">
        <v>1167</v>
      </c>
      <c r="L40" t="b">
        <f>Data_Completeness(MileageData[[#This Row],[MPG]:[Acceleration]])</f>
        <v>0</v>
      </c>
    </row>
    <row r="41" spans="1:12" x14ac:dyDescent="0.25">
      <c r="B41">
        <v>4</v>
      </c>
      <c r="C41">
        <v>97</v>
      </c>
      <c r="D41">
        <v>48</v>
      </c>
      <c r="E41">
        <v>1978</v>
      </c>
      <c r="F41">
        <v>20</v>
      </c>
      <c r="G41">
        <v>71</v>
      </c>
      <c r="H41">
        <v>2</v>
      </c>
      <c r="I41" t="s">
        <v>1168</v>
      </c>
      <c r="J41" t="s">
        <v>1138</v>
      </c>
      <c r="K41" t="s">
        <v>1169</v>
      </c>
      <c r="L41" t="b">
        <f>Data_Completeness(MileageData[[#This Row],[MPG]:[Acceleration]])</f>
        <v>0</v>
      </c>
    </row>
    <row r="42" spans="1:12" x14ac:dyDescent="0.25">
      <c r="A42">
        <v>19</v>
      </c>
      <c r="B42">
        <v>6</v>
      </c>
      <c r="C42">
        <v>232</v>
      </c>
      <c r="D42">
        <v>100</v>
      </c>
      <c r="E42">
        <v>2634</v>
      </c>
      <c r="F42">
        <v>13</v>
      </c>
      <c r="G42">
        <v>71</v>
      </c>
      <c r="H42">
        <v>1</v>
      </c>
      <c r="I42" t="s">
        <v>1150</v>
      </c>
      <c r="J42" t="s">
        <v>1088</v>
      </c>
      <c r="K42" t="s">
        <v>1151</v>
      </c>
      <c r="L42" t="b">
        <f>Data_Completeness(MileageData[[#This Row],[MPG]:[Acceleration]])</f>
        <v>1</v>
      </c>
    </row>
    <row r="43" spans="1:12" x14ac:dyDescent="0.25">
      <c r="A43">
        <v>16</v>
      </c>
      <c r="B43">
        <v>6</v>
      </c>
      <c r="C43">
        <v>225</v>
      </c>
      <c r="D43">
        <v>105</v>
      </c>
      <c r="E43">
        <v>3439</v>
      </c>
      <c r="F43">
        <v>15.5</v>
      </c>
      <c r="G43">
        <v>71</v>
      </c>
      <c r="H43">
        <v>1</v>
      </c>
      <c r="I43" t="s">
        <v>1170</v>
      </c>
      <c r="J43" t="s">
        <v>1085</v>
      </c>
      <c r="K43" t="s">
        <v>1171</v>
      </c>
      <c r="L43" t="b">
        <f>Data_Completeness(MileageData[[#This Row],[MPG]:[Acceleration]])</f>
        <v>1</v>
      </c>
    </row>
    <row r="44" spans="1:12" x14ac:dyDescent="0.25">
      <c r="A44">
        <v>17</v>
      </c>
      <c r="B44">
        <v>6</v>
      </c>
      <c r="C44">
        <v>250</v>
      </c>
      <c r="D44">
        <v>100</v>
      </c>
      <c r="E44">
        <v>3329</v>
      </c>
      <c r="F44">
        <v>15.5</v>
      </c>
      <c r="G44">
        <v>71</v>
      </c>
      <c r="H44">
        <v>1</v>
      </c>
      <c r="I44" t="s">
        <v>1078</v>
      </c>
      <c r="J44" t="s">
        <v>1079</v>
      </c>
      <c r="K44" t="s">
        <v>1080</v>
      </c>
      <c r="L44" t="b">
        <f>Data_Completeness(MileageData[[#This Row],[MPG]:[Acceleration]])</f>
        <v>1</v>
      </c>
    </row>
    <row r="45" spans="1:12" x14ac:dyDescent="0.25">
      <c r="A45">
        <v>19</v>
      </c>
      <c r="B45">
        <v>6</v>
      </c>
      <c r="C45">
        <v>250</v>
      </c>
      <c r="D45">
        <v>88</v>
      </c>
      <c r="E45">
        <v>3302</v>
      </c>
      <c r="F45">
        <v>15.5</v>
      </c>
      <c r="G45">
        <v>71</v>
      </c>
      <c r="H45">
        <v>1</v>
      </c>
      <c r="I45" t="s">
        <v>1172</v>
      </c>
      <c r="J45" t="s">
        <v>1091</v>
      </c>
      <c r="K45" t="s">
        <v>1173</v>
      </c>
      <c r="L45" t="b">
        <f>Data_Completeness(MileageData[[#This Row],[MPG]:[Acceleration]])</f>
        <v>1</v>
      </c>
    </row>
    <row r="46" spans="1:12" x14ac:dyDescent="0.25">
      <c r="A46">
        <v>18</v>
      </c>
      <c r="B46">
        <v>6</v>
      </c>
      <c r="C46">
        <v>232</v>
      </c>
      <c r="D46">
        <v>100</v>
      </c>
      <c r="E46">
        <v>3288</v>
      </c>
      <c r="F46">
        <v>15.5</v>
      </c>
      <c r="G46">
        <v>71</v>
      </c>
      <c r="H46">
        <v>1</v>
      </c>
      <c r="I46" t="s">
        <v>1174</v>
      </c>
      <c r="J46" t="s">
        <v>1088</v>
      </c>
      <c r="K46" t="s">
        <v>1175</v>
      </c>
      <c r="L46" t="b">
        <f>Data_Completeness(MileageData[[#This Row],[MPG]:[Acceleration]])</f>
        <v>1</v>
      </c>
    </row>
    <row r="47" spans="1:12" x14ac:dyDescent="0.25">
      <c r="A47">
        <v>14</v>
      </c>
      <c r="B47">
        <v>8</v>
      </c>
      <c r="C47">
        <v>350</v>
      </c>
      <c r="D47">
        <v>165</v>
      </c>
      <c r="E47">
        <v>4209</v>
      </c>
      <c r="F47">
        <v>12</v>
      </c>
      <c r="G47">
        <v>71</v>
      </c>
      <c r="H47">
        <v>1</v>
      </c>
      <c r="I47" t="s">
        <v>1095</v>
      </c>
      <c r="J47" t="s">
        <v>1079</v>
      </c>
      <c r="K47" t="s">
        <v>1096</v>
      </c>
      <c r="L47" t="b">
        <f>Data_Completeness(MileageData[[#This Row],[MPG]:[Acceleration]])</f>
        <v>1</v>
      </c>
    </row>
    <row r="48" spans="1:12" x14ac:dyDescent="0.25">
      <c r="A48">
        <v>14</v>
      </c>
      <c r="B48">
        <v>8</v>
      </c>
      <c r="C48">
        <v>400</v>
      </c>
      <c r="D48">
        <v>175</v>
      </c>
      <c r="E48">
        <v>4464</v>
      </c>
      <c r="F48">
        <v>11.5</v>
      </c>
      <c r="G48">
        <v>71</v>
      </c>
      <c r="H48">
        <v>1</v>
      </c>
      <c r="I48" t="s">
        <v>1176</v>
      </c>
      <c r="J48" t="s">
        <v>1100</v>
      </c>
      <c r="K48" t="s">
        <v>1177</v>
      </c>
      <c r="L48" t="b">
        <f>Data_Completeness(MileageData[[#This Row],[MPG]:[Acceleration]])</f>
        <v>1</v>
      </c>
    </row>
    <row r="49" spans="1:12" x14ac:dyDescent="0.25">
      <c r="A49">
        <v>14</v>
      </c>
      <c r="B49">
        <v>8</v>
      </c>
      <c r="C49">
        <v>351</v>
      </c>
      <c r="D49">
        <v>153</v>
      </c>
      <c r="E49">
        <v>4154</v>
      </c>
      <c r="F49">
        <v>13.5</v>
      </c>
      <c r="G49">
        <v>71</v>
      </c>
      <c r="H49">
        <v>1</v>
      </c>
      <c r="I49" t="s">
        <v>1093</v>
      </c>
      <c r="J49" t="s">
        <v>1091</v>
      </c>
      <c r="K49" t="s">
        <v>1094</v>
      </c>
      <c r="L49" t="b">
        <f>Data_Completeness(MileageData[[#This Row],[MPG]:[Acceleration]])</f>
        <v>1</v>
      </c>
    </row>
    <row r="50" spans="1:12" x14ac:dyDescent="0.25">
      <c r="A50">
        <v>14</v>
      </c>
      <c r="B50">
        <v>8</v>
      </c>
      <c r="C50">
        <v>318</v>
      </c>
      <c r="D50">
        <v>150</v>
      </c>
      <c r="E50">
        <v>4096</v>
      </c>
      <c r="F50">
        <v>13</v>
      </c>
      <c r="G50">
        <v>71</v>
      </c>
      <c r="H50">
        <v>1</v>
      </c>
      <c r="I50" t="s">
        <v>1097</v>
      </c>
      <c r="J50" t="s">
        <v>1085</v>
      </c>
      <c r="K50" t="s">
        <v>1098</v>
      </c>
      <c r="L50" t="b">
        <f>Data_Completeness(MileageData[[#This Row],[MPG]:[Acceleration]])</f>
        <v>1</v>
      </c>
    </row>
    <row r="51" spans="1:12" x14ac:dyDescent="0.25">
      <c r="A51">
        <v>12</v>
      </c>
      <c r="B51">
        <v>8</v>
      </c>
      <c r="C51">
        <v>383</v>
      </c>
      <c r="D51">
        <v>180</v>
      </c>
      <c r="E51">
        <v>4955</v>
      </c>
      <c r="F51">
        <v>11.5</v>
      </c>
      <c r="G51">
        <v>71</v>
      </c>
      <c r="H51">
        <v>1</v>
      </c>
      <c r="I51" t="s">
        <v>1178</v>
      </c>
      <c r="J51" t="s">
        <v>1116</v>
      </c>
      <c r="K51" t="s">
        <v>1179</v>
      </c>
      <c r="L51" t="b">
        <f>Data_Completeness(MileageData[[#This Row],[MPG]:[Acceleration]])</f>
        <v>1</v>
      </c>
    </row>
    <row r="52" spans="1:12" x14ac:dyDescent="0.25">
      <c r="A52">
        <v>13</v>
      </c>
      <c r="B52">
        <v>8</v>
      </c>
      <c r="C52">
        <v>400</v>
      </c>
      <c r="D52">
        <v>170</v>
      </c>
      <c r="E52">
        <v>4746</v>
      </c>
      <c r="F52">
        <v>12</v>
      </c>
      <c r="G52">
        <v>71</v>
      </c>
      <c r="H52">
        <v>1</v>
      </c>
      <c r="I52" t="s">
        <v>1180</v>
      </c>
      <c r="J52" t="s">
        <v>1091</v>
      </c>
      <c r="K52" t="s">
        <v>1181</v>
      </c>
      <c r="L52" t="b">
        <f>Data_Completeness(MileageData[[#This Row],[MPG]:[Acceleration]])</f>
        <v>1</v>
      </c>
    </row>
    <row r="53" spans="1:12" x14ac:dyDescent="0.25">
      <c r="A53">
        <v>13</v>
      </c>
      <c r="B53">
        <v>8</v>
      </c>
      <c r="C53">
        <v>400</v>
      </c>
      <c r="D53">
        <v>175</v>
      </c>
      <c r="E53">
        <v>5140</v>
      </c>
      <c r="F53">
        <v>12</v>
      </c>
      <c r="G53">
        <v>71</v>
      </c>
      <c r="H53">
        <v>1</v>
      </c>
      <c r="I53" t="s">
        <v>1182</v>
      </c>
      <c r="J53" t="s">
        <v>1100</v>
      </c>
      <c r="K53" t="s">
        <v>1183</v>
      </c>
      <c r="L53" t="b">
        <f>Data_Completeness(MileageData[[#This Row],[MPG]:[Acceleration]])</f>
        <v>1</v>
      </c>
    </row>
    <row r="54" spans="1:12" x14ac:dyDescent="0.25">
      <c r="A54">
        <v>18</v>
      </c>
      <c r="B54">
        <v>6</v>
      </c>
      <c r="C54">
        <v>258</v>
      </c>
      <c r="D54">
        <v>110</v>
      </c>
      <c r="E54">
        <v>2962</v>
      </c>
      <c r="F54">
        <v>13.5</v>
      </c>
      <c r="G54">
        <v>71</v>
      </c>
      <c r="H54">
        <v>1</v>
      </c>
      <c r="I54" t="s">
        <v>1184</v>
      </c>
      <c r="J54" t="s">
        <v>1088</v>
      </c>
      <c r="K54" t="s">
        <v>1185</v>
      </c>
      <c r="L54" t="b">
        <f>Data_Completeness(MileageData[[#This Row],[MPG]:[Acceleration]])</f>
        <v>1</v>
      </c>
    </row>
    <row r="55" spans="1:12" x14ac:dyDescent="0.25">
      <c r="A55">
        <v>22</v>
      </c>
      <c r="B55">
        <v>4</v>
      </c>
      <c r="C55">
        <v>140</v>
      </c>
      <c r="D55">
        <v>72</v>
      </c>
      <c r="E55">
        <v>2408</v>
      </c>
      <c r="F55">
        <v>19</v>
      </c>
      <c r="G55">
        <v>71</v>
      </c>
      <c r="H55">
        <v>1</v>
      </c>
      <c r="I55" t="s">
        <v>1186</v>
      </c>
      <c r="J55" t="s">
        <v>1079</v>
      </c>
      <c r="K55" t="s">
        <v>1187</v>
      </c>
      <c r="L55" t="b">
        <f>Data_Completeness(MileageData[[#This Row],[MPG]:[Acceleration]])</f>
        <v>1</v>
      </c>
    </row>
    <row r="56" spans="1:12" x14ac:dyDescent="0.25">
      <c r="A56">
        <v>19</v>
      </c>
      <c r="B56">
        <v>6</v>
      </c>
      <c r="C56">
        <v>250</v>
      </c>
      <c r="D56">
        <v>100</v>
      </c>
      <c r="E56">
        <v>3282</v>
      </c>
      <c r="F56">
        <v>15</v>
      </c>
      <c r="G56">
        <v>71</v>
      </c>
      <c r="H56">
        <v>1</v>
      </c>
      <c r="I56" t="s">
        <v>1188</v>
      </c>
      <c r="J56" t="s">
        <v>1100</v>
      </c>
      <c r="K56" t="s">
        <v>1189</v>
      </c>
      <c r="L56" t="b">
        <f>Data_Completeness(MileageData[[#This Row],[MPG]:[Acceleration]])</f>
        <v>1</v>
      </c>
    </row>
    <row r="57" spans="1:12" x14ac:dyDescent="0.25">
      <c r="A57">
        <v>18</v>
      </c>
      <c r="B57">
        <v>6</v>
      </c>
      <c r="C57">
        <v>250</v>
      </c>
      <c r="D57">
        <v>88</v>
      </c>
      <c r="E57">
        <v>3139</v>
      </c>
      <c r="F57">
        <v>14.5</v>
      </c>
      <c r="G57">
        <v>71</v>
      </c>
      <c r="H57">
        <v>1</v>
      </c>
      <c r="I57" t="s">
        <v>1190</v>
      </c>
      <c r="J57" t="s">
        <v>1091</v>
      </c>
      <c r="K57" t="s">
        <v>1191</v>
      </c>
      <c r="L57" t="b">
        <f>Data_Completeness(MileageData[[#This Row],[MPG]:[Acceleration]])</f>
        <v>1</v>
      </c>
    </row>
    <row r="58" spans="1:12" x14ac:dyDescent="0.25">
      <c r="A58">
        <v>23</v>
      </c>
      <c r="B58">
        <v>4</v>
      </c>
      <c r="C58">
        <v>122</v>
      </c>
      <c r="D58">
        <v>86</v>
      </c>
      <c r="E58">
        <v>2220</v>
      </c>
      <c r="F58">
        <v>14</v>
      </c>
      <c r="G58">
        <v>71</v>
      </c>
      <c r="H58">
        <v>1</v>
      </c>
      <c r="I58" t="s">
        <v>1192</v>
      </c>
      <c r="J58" t="s">
        <v>1193</v>
      </c>
      <c r="K58" t="s">
        <v>1194</v>
      </c>
      <c r="L58" t="b">
        <f>Data_Completeness(MileageData[[#This Row],[MPG]:[Acceleration]])</f>
        <v>1</v>
      </c>
    </row>
    <row r="59" spans="1:12" x14ac:dyDescent="0.25">
      <c r="A59">
        <v>28</v>
      </c>
      <c r="B59">
        <v>4</v>
      </c>
      <c r="C59">
        <v>116</v>
      </c>
      <c r="D59">
        <v>90</v>
      </c>
      <c r="E59">
        <v>2123</v>
      </c>
      <c r="F59">
        <v>14</v>
      </c>
      <c r="G59">
        <v>71</v>
      </c>
      <c r="H59">
        <v>2</v>
      </c>
      <c r="I59" t="s">
        <v>1195</v>
      </c>
      <c r="J59" t="s">
        <v>1196</v>
      </c>
      <c r="K59">
        <v>1900</v>
      </c>
      <c r="L59" t="b">
        <f>Data_Completeness(MileageData[[#This Row],[MPG]:[Acceleration]])</f>
        <v>1</v>
      </c>
    </row>
    <row r="60" spans="1:12" x14ac:dyDescent="0.25">
      <c r="A60">
        <v>30</v>
      </c>
      <c r="B60">
        <v>4</v>
      </c>
      <c r="C60">
        <v>79</v>
      </c>
      <c r="D60">
        <v>70</v>
      </c>
      <c r="E60">
        <v>2074</v>
      </c>
      <c r="F60">
        <v>19.5</v>
      </c>
      <c r="G60">
        <v>71</v>
      </c>
      <c r="H60">
        <v>2</v>
      </c>
      <c r="I60" t="s">
        <v>1197</v>
      </c>
      <c r="J60" t="s">
        <v>1141</v>
      </c>
      <c r="K60">
        <v>304</v>
      </c>
      <c r="L60" t="b">
        <f>Data_Completeness(MileageData[[#This Row],[MPG]:[Acceleration]])</f>
        <v>1</v>
      </c>
    </row>
    <row r="61" spans="1:12" x14ac:dyDescent="0.25">
      <c r="A61">
        <v>30</v>
      </c>
      <c r="B61">
        <v>4</v>
      </c>
      <c r="C61">
        <v>88</v>
      </c>
      <c r="D61">
        <v>76</v>
      </c>
      <c r="E61">
        <v>2065</v>
      </c>
      <c r="F61">
        <v>14.5</v>
      </c>
      <c r="G61">
        <v>71</v>
      </c>
      <c r="H61">
        <v>2</v>
      </c>
      <c r="I61" t="s">
        <v>1198</v>
      </c>
      <c r="J61" t="s">
        <v>1199</v>
      </c>
      <c r="K61" t="s">
        <v>1200</v>
      </c>
      <c r="L61" t="b">
        <f>Data_Completeness(MileageData[[#This Row],[MPG]:[Acceleration]])</f>
        <v>1</v>
      </c>
    </row>
    <row r="62" spans="1:12" x14ac:dyDescent="0.25">
      <c r="A62">
        <v>31</v>
      </c>
      <c r="B62">
        <v>4</v>
      </c>
      <c r="C62">
        <v>71</v>
      </c>
      <c r="D62">
        <v>65</v>
      </c>
      <c r="E62">
        <v>1773</v>
      </c>
      <c r="F62">
        <v>19</v>
      </c>
      <c r="G62">
        <v>71</v>
      </c>
      <c r="H62">
        <v>3</v>
      </c>
      <c r="I62" t="s">
        <v>1201</v>
      </c>
      <c r="J62" t="s">
        <v>1126</v>
      </c>
      <c r="K62" t="s">
        <v>1202</v>
      </c>
      <c r="L62" t="b">
        <f>Data_Completeness(MileageData[[#This Row],[MPG]:[Acceleration]])</f>
        <v>1</v>
      </c>
    </row>
    <row r="63" spans="1:12" x14ac:dyDescent="0.25">
      <c r="A63">
        <v>35</v>
      </c>
      <c r="B63">
        <v>4</v>
      </c>
      <c r="C63">
        <v>72</v>
      </c>
      <c r="D63">
        <v>69</v>
      </c>
      <c r="E63">
        <v>1613</v>
      </c>
      <c r="F63">
        <v>18</v>
      </c>
      <c r="G63">
        <v>71</v>
      </c>
      <c r="H63">
        <v>3</v>
      </c>
      <c r="I63" t="s">
        <v>1203</v>
      </c>
      <c r="J63" t="s">
        <v>1135</v>
      </c>
      <c r="K63">
        <v>1200</v>
      </c>
      <c r="L63" t="b">
        <f>Data_Completeness(MileageData[[#This Row],[MPG]:[Acceleration]])</f>
        <v>1</v>
      </c>
    </row>
    <row r="64" spans="1:12" x14ac:dyDescent="0.25">
      <c r="A64">
        <v>27</v>
      </c>
      <c r="B64">
        <v>4</v>
      </c>
      <c r="C64">
        <v>97</v>
      </c>
      <c r="D64">
        <v>60</v>
      </c>
      <c r="E64">
        <v>1834</v>
      </c>
      <c r="F64">
        <v>19</v>
      </c>
      <c r="G64">
        <v>71</v>
      </c>
      <c r="H64">
        <v>2</v>
      </c>
      <c r="I64" t="s">
        <v>1204</v>
      </c>
      <c r="J64" t="s">
        <v>1138</v>
      </c>
      <c r="K64" t="s">
        <v>1205</v>
      </c>
      <c r="L64" t="b">
        <f>Data_Completeness(MileageData[[#This Row],[MPG]:[Acceleration]])</f>
        <v>1</v>
      </c>
    </row>
    <row r="65" spans="1:12" x14ac:dyDescent="0.25">
      <c r="A65">
        <v>26</v>
      </c>
      <c r="B65">
        <v>4</v>
      </c>
      <c r="C65">
        <v>91</v>
      </c>
      <c r="D65">
        <v>70</v>
      </c>
      <c r="E65">
        <v>1955</v>
      </c>
      <c r="F65">
        <v>20.5</v>
      </c>
      <c r="G65">
        <v>71</v>
      </c>
      <c r="H65">
        <v>1</v>
      </c>
      <c r="I65" t="s">
        <v>1206</v>
      </c>
      <c r="J65" t="s">
        <v>1085</v>
      </c>
      <c r="K65" t="s">
        <v>1207</v>
      </c>
      <c r="L65" t="b">
        <f>Data_Completeness(MileageData[[#This Row],[MPG]:[Acceleration]])</f>
        <v>1</v>
      </c>
    </row>
    <row r="66" spans="1:12" x14ac:dyDescent="0.25">
      <c r="A66">
        <v>24</v>
      </c>
      <c r="B66">
        <v>4</v>
      </c>
      <c r="C66">
        <v>113</v>
      </c>
      <c r="D66">
        <v>95</v>
      </c>
      <c r="E66">
        <v>2278</v>
      </c>
      <c r="F66">
        <v>15.5</v>
      </c>
      <c r="G66">
        <v>72</v>
      </c>
      <c r="H66">
        <v>3</v>
      </c>
      <c r="I66" t="s">
        <v>1208</v>
      </c>
      <c r="J66" t="s">
        <v>1126</v>
      </c>
      <c r="K66" t="s">
        <v>1209</v>
      </c>
      <c r="L66" t="b">
        <f>Data_Completeness(MileageData[[#This Row],[MPG]:[Acceleration]])</f>
        <v>1</v>
      </c>
    </row>
    <row r="67" spans="1:12" x14ac:dyDescent="0.25">
      <c r="A67">
        <v>25</v>
      </c>
      <c r="B67">
        <v>4</v>
      </c>
      <c r="C67">
        <v>97.5</v>
      </c>
      <c r="D67">
        <v>80</v>
      </c>
      <c r="E67">
        <v>2126</v>
      </c>
      <c r="F67">
        <v>17</v>
      </c>
      <c r="G67">
        <v>72</v>
      </c>
      <c r="H67">
        <v>1</v>
      </c>
      <c r="I67" t="s">
        <v>1210</v>
      </c>
      <c r="J67" t="s">
        <v>1116</v>
      </c>
      <c r="K67" t="s">
        <v>1211</v>
      </c>
      <c r="L67" t="b">
        <f>Data_Completeness(MileageData[[#This Row],[MPG]:[Acceleration]])</f>
        <v>1</v>
      </c>
    </row>
    <row r="68" spans="1:12" x14ac:dyDescent="0.25">
      <c r="A68">
        <v>23</v>
      </c>
      <c r="B68">
        <v>4</v>
      </c>
      <c r="C68">
        <v>97</v>
      </c>
      <c r="D68">
        <v>54</v>
      </c>
      <c r="E68">
        <v>2254</v>
      </c>
      <c r="F68">
        <v>23.5</v>
      </c>
      <c r="G68">
        <v>72</v>
      </c>
      <c r="H68">
        <v>2</v>
      </c>
      <c r="I68" t="s">
        <v>1212</v>
      </c>
      <c r="J68" t="s">
        <v>1138</v>
      </c>
      <c r="K68" t="s">
        <v>1213</v>
      </c>
      <c r="L68" t="b">
        <f>Data_Completeness(MileageData[[#This Row],[MPG]:[Acceleration]])</f>
        <v>1</v>
      </c>
    </row>
    <row r="69" spans="1:12" x14ac:dyDescent="0.25">
      <c r="A69">
        <v>20</v>
      </c>
      <c r="B69">
        <v>4</v>
      </c>
      <c r="C69">
        <v>140</v>
      </c>
      <c r="D69">
        <v>90</v>
      </c>
      <c r="E69">
        <v>2408</v>
      </c>
      <c r="F69">
        <v>19.5</v>
      </c>
      <c r="G69">
        <v>72</v>
      </c>
      <c r="H69">
        <v>1</v>
      </c>
      <c r="I69" t="s">
        <v>1214</v>
      </c>
      <c r="J69" t="s">
        <v>1079</v>
      </c>
      <c r="K69" t="s">
        <v>1215</v>
      </c>
      <c r="L69" t="b">
        <f>Data_Completeness(MileageData[[#This Row],[MPG]:[Acceleration]])</f>
        <v>1</v>
      </c>
    </row>
    <row r="70" spans="1:12" x14ac:dyDescent="0.25">
      <c r="A70">
        <v>21</v>
      </c>
      <c r="B70">
        <v>4</v>
      </c>
      <c r="C70">
        <v>122</v>
      </c>
      <c r="D70">
        <v>86</v>
      </c>
      <c r="E70">
        <v>2226</v>
      </c>
      <c r="F70">
        <v>16.5</v>
      </c>
      <c r="G70">
        <v>72</v>
      </c>
      <c r="H70">
        <v>1</v>
      </c>
      <c r="I70" t="s">
        <v>1216</v>
      </c>
      <c r="J70" t="s">
        <v>1091</v>
      </c>
      <c r="K70" t="s">
        <v>1217</v>
      </c>
      <c r="L70" t="b">
        <f>Data_Completeness(MileageData[[#This Row],[MPG]:[Acceleration]])</f>
        <v>1</v>
      </c>
    </row>
    <row r="71" spans="1:12" x14ac:dyDescent="0.25">
      <c r="A71">
        <v>13</v>
      </c>
      <c r="B71">
        <v>8</v>
      </c>
      <c r="C71">
        <v>350</v>
      </c>
      <c r="D71">
        <v>165</v>
      </c>
      <c r="E71">
        <v>4274</v>
      </c>
      <c r="F71">
        <v>12</v>
      </c>
      <c r="G71">
        <v>72</v>
      </c>
      <c r="H71">
        <v>1</v>
      </c>
      <c r="I71" t="s">
        <v>1095</v>
      </c>
      <c r="J71" t="s">
        <v>1079</v>
      </c>
      <c r="K71" t="s">
        <v>1096</v>
      </c>
      <c r="L71" t="b">
        <f>Data_Completeness(MileageData[[#This Row],[MPG]:[Acceleration]])</f>
        <v>1</v>
      </c>
    </row>
    <row r="72" spans="1:12" x14ac:dyDescent="0.25">
      <c r="A72">
        <v>14</v>
      </c>
      <c r="B72">
        <v>8</v>
      </c>
      <c r="C72">
        <v>400</v>
      </c>
      <c r="D72">
        <v>175</v>
      </c>
      <c r="E72">
        <v>4385</v>
      </c>
      <c r="F72">
        <v>12</v>
      </c>
      <c r="G72">
        <v>72</v>
      </c>
      <c r="H72">
        <v>1</v>
      </c>
      <c r="I72" t="s">
        <v>1099</v>
      </c>
      <c r="J72" t="s">
        <v>1100</v>
      </c>
      <c r="K72" t="s">
        <v>1101</v>
      </c>
      <c r="L72" t="b">
        <f>Data_Completeness(MileageData[[#This Row],[MPG]:[Acceleration]])</f>
        <v>1</v>
      </c>
    </row>
    <row r="73" spans="1:12" x14ac:dyDescent="0.25">
      <c r="A73">
        <v>15</v>
      </c>
      <c r="B73">
        <v>8</v>
      </c>
      <c r="C73">
        <v>318</v>
      </c>
      <c r="D73">
        <v>150</v>
      </c>
      <c r="E73">
        <v>4135</v>
      </c>
      <c r="F73">
        <v>13.5</v>
      </c>
      <c r="G73">
        <v>72</v>
      </c>
      <c r="H73">
        <v>1</v>
      </c>
      <c r="I73" t="s">
        <v>1097</v>
      </c>
      <c r="J73" t="s">
        <v>1085</v>
      </c>
      <c r="K73" t="s">
        <v>1098</v>
      </c>
      <c r="L73" t="b">
        <f>Data_Completeness(MileageData[[#This Row],[MPG]:[Acceleration]])</f>
        <v>1</v>
      </c>
    </row>
    <row r="74" spans="1:12" x14ac:dyDescent="0.25">
      <c r="A74">
        <v>14</v>
      </c>
      <c r="B74">
        <v>8</v>
      </c>
      <c r="C74">
        <v>351</v>
      </c>
      <c r="D74">
        <v>153</v>
      </c>
      <c r="E74">
        <v>4129</v>
      </c>
      <c r="F74">
        <v>13</v>
      </c>
      <c r="G74">
        <v>72</v>
      </c>
      <c r="H74">
        <v>1</v>
      </c>
      <c r="I74" t="s">
        <v>1093</v>
      </c>
      <c r="J74" t="s">
        <v>1091</v>
      </c>
      <c r="K74" t="s">
        <v>1094</v>
      </c>
      <c r="L74" t="b">
        <f>Data_Completeness(MileageData[[#This Row],[MPG]:[Acceleration]])</f>
        <v>1</v>
      </c>
    </row>
    <row r="75" spans="1:12" x14ac:dyDescent="0.25">
      <c r="A75">
        <v>17</v>
      </c>
      <c r="B75">
        <v>8</v>
      </c>
      <c r="C75">
        <v>304</v>
      </c>
      <c r="D75">
        <v>150</v>
      </c>
      <c r="E75">
        <v>3672</v>
      </c>
      <c r="F75">
        <v>11.5</v>
      </c>
      <c r="G75">
        <v>72</v>
      </c>
      <c r="H75">
        <v>1</v>
      </c>
      <c r="I75" t="s">
        <v>1218</v>
      </c>
      <c r="J75" t="s">
        <v>1088</v>
      </c>
      <c r="K75" t="s">
        <v>1219</v>
      </c>
      <c r="L75" t="b">
        <f>Data_Completeness(MileageData[[#This Row],[MPG]:[Acceleration]])</f>
        <v>1</v>
      </c>
    </row>
    <row r="76" spans="1:12" x14ac:dyDescent="0.25">
      <c r="A76">
        <v>11</v>
      </c>
      <c r="B76">
        <v>8</v>
      </c>
      <c r="C76">
        <v>429</v>
      </c>
      <c r="D76">
        <v>208</v>
      </c>
      <c r="E76">
        <v>4633</v>
      </c>
      <c r="F76">
        <v>11</v>
      </c>
      <c r="G76">
        <v>72</v>
      </c>
      <c r="H76">
        <v>1</v>
      </c>
      <c r="I76" t="s">
        <v>1220</v>
      </c>
      <c r="J76" t="s">
        <v>1193</v>
      </c>
      <c r="K76" t="s">
        <v>1221</v>
      </c>
      <c r="L76" t="b">
        <f>Data_Completeness(MileageData[[#This Row],[MPG]:[Acceleration]])</f>
        <v>1</v>
      </c>
    </row>
    <row r="77" spans="1:12" x14ac:dyDescent="0.25">
      <c r="A77">
        <v>13</v>
      </c>
      <c r="B77">
        <v>8</v>
      </c>
      <c r="C77">
        <v>350</v>
      </c>
      <c r="D77">
        <v>155</v>
      </c>
      <c r="E77">
        <v>4502</v>
      </c>
      <c r="F77">
        <v>13.5</v>
      </c>
      <c r="G77">
        <v>72</v>
      </c>
      <c r="H77">
        <v>1</v>
      </c>
      <c r="I77" t="s">
        <v>1222</v>
      </c>
      <c r="J77" t="s">
        <v>1082</v>
      </c>
      <c r="K77" t="s">
        <v>1223</v>
      </c>
      <c r="L77" t="b">
        <f>Data_Completeness(MileageData[[#This Row],[MPG]:[Acceleration]])</f>
        <v>1</v>
      </c>
    </row>
    <row r="78" spans="1:12" x14ac:dyDescent="0.25">
      <c r="A78">
        <v>12</v>
      </c>
      <c r="B78">
        <v>8</v>
      </c>
      <c r="C78">
        <v>350</v>
      </c>
      <c r="D78">
        <v>160</v>
      </c>
      <c r="E78">
        <v>4456</v>
      </c>
      <c r="F78">
        <v>13.5</v>
      </c>
      <c r="G78">
        <v>72</v>
      </c>
      <c r="H78">
        <v>1</v>
      </c>
      <c r="I78" t="s">
        <v>1224</v>
      </c>
      <c r="J78" t="s">
        <v>1225</v>
      </c>
      <c r="K78" t="s">
        <v>1226</v>
      </c>
      <c r="L78" t="b">
        <f>Data_Completeness(MileageData[[#This Row],[MPG]:[Acceleration]])</f>
        <v>1</v>
      </c>
    </row>
    <row r="79" spans="1:12" x14ac:dyDescent="0.25">
      <c r="A79">
        <v>13</v>
      </c>
      <c r="B79">
        <v>8</v>
      </c>
      <c r="C79">
        <v>400</v>
      </c>
      <c r="D79">
        <v>190</v>
      </c>
      <c r="E79">
        <v>4422</v>
      </c>
      <c r="F79">
        <v>12.5</v>
      </c>
      <c r="G79">
        <v>72</v>
      </c>
      <c r="H79">
        <v>1</v>
      </c>
      <c r="I79" t="s">
        <v>1227</v>
      </c>
      <c r="J79" t="s">
        <v>1228</v>
      </c>
      <c r="K79" t="s">
        <v>1229</v>
      </c>
      <c r="L79" t="b">
        <f>Data_Completeness(MileageData[[#This Row],[MPG]:[Acceleration]])</f>
        <v>1</v>
      </c>
    </row>
    <row r="80" spans="1:12" x14ac:dyDescent="0.25">
      <c r="A80">
        <v>19</v>
      </c>
      <c r="B80">
        <v>3</v>
      </c>
      <c r="C80">
        <v>70</v>
      </c>
      <c r="D80">
        <v>97</v>
      </c>
      <c r="E80">
        <v>2330</v>
      </c>
      <c r="F80">
        <v>13.5</v>
      </c>
      <c r="G80">
        <v>72</v>
      </c>
      <c r="H80">
        <v>3</v>
      </c>
      <c r="I80" t="s">
        <v>1230</v>
      </c>
      <c r="J80" t="s">
        <v>1231</v>
      </c>
      <c r="K80" t="s">
        <v>1232</v>
      </c>
      <c r="L80" t="b">
        <f>Data_Completeness(MileageData[[#This Row],[MPG]:[Acceleration]])</f>
        <v>1</v>
      </c>
    </row>
    <row r="81" spans="1:12" x14ac:dyDescent="0.25">
      <c r="A81">
        <v>15</v>
      </c>
      <c r="B81">
        <v>8</v>
      </c>
      <c r="C81">
        <v>304</v>
      </c>
      <c r="D81">
        <v>150</v>
      </c>
      <c r="E81">
        <v>3892</v>
      </c>
      <c r="F81">
        <v>12.5</v>
      </c>
      <c r="G81">
        <v>72</v>
      </c>
      <c r="H81">
        <v>1</v>
      </c>
      <c r="I81" t="s">
        <v>1233</v>
      </c>
      <c r="J81" t="s">
        <v>1088</v>
      </c>
      <c r="K81" t="s">
        <v>1234</v>
      </c>
      <c r="L81" t="b">
        <f>Data_Completeness(MileageData[[#This Row],[MPG]:[Acceleration]])</f>
        <v>1</v>
      </c>
    </row>
    <row r="82" spans="1:12" x14ac:dyDescent="0.25">
      <c r="A82">
        <v>13</v>
      </c>
      <c r="B82">
        <v>8</v>
      </c>
      <c r="C82">
        <v>307</v>
      </c>
      <c r="D82">
        <v>130</v>
      </c>
      <c r="E82">
        <v>4098</v>
      </c>
      <c r="F82">
        <v>14</v>
      </c>
      <c r="G82">
        <v>72</v>
      </c>
      <c r="H82">
        <v>1</v>
      </c>
      <c r="I82" t="s">
        <v>1107</v>
      </c>
      <c r="J82" t="s">
        <v>1079</v>
      </c>
      <c r="K82" t="s">
        <v>1108</v>
      </c>
      <c r="L82" t="b">
        <f>Data_Completeness(MileageData[[#This Row],[MPG]:[Acceleration]])</f>
        <v>1</v>
      </c>
    </row>
    <row r="83" spans="1:12" x14ac:dyDescent="0.25">
      <c r="A83">
        <v>13</v>
      </c>
      <c r="B83">
        <v>8</v>
      </c>
      <c r="C83">
        <v>302</v>
      </c>
      <c r="D83">
        <v>140</v>
      </c>
      <c r="E83">
        <v>4294</v>
      </c>
      <c r="F83">
        <v>16</v>
      </c>
      <c r="G83">
        <v>72</v>
      </c>
      <c r="H83">
        <v>1</v>
      </c>
      <c r="I83" t="s">
        <v>1235</v>
      </c>
      <c r="J83" t="s">
        <v>1091</v>
      </c>
      <c r="K83" t="s">
        <v>1236</v>
      </c>
      <c r="L83" t="b">
        <f>Data_Completeness(MileageData[[#This Row],[MPG]:[Acceleration]])</f>
        <v>1</v>
      </c>
    </row>
    <row r="84" spans="1:12" x14ac:dyDescent="0.25">
      <c r="A84">
        <v>14</v>
      </c>
      <c r="B84">
        <v>8</v>
      </c>
      <c r="C84">
        <v>318</v>
      </c>
      <c r="D84">
        <v>150</v>
      </c>
      <c r="E84">
        <v>4077</v>
      </c>
      <c r="F84">
        <v>14</v>
      </c>
      <c r="G84">
        <v>72</v>
      </c>
      <c r="H84">
        <v>1</v>
      </c>
      <c r="I84" t="s">
        <v>1237</v>
      </c>
      <c r="J84" t="s">
        <v>1085</v>
      </c>
      <c r="K84" t="s">
        <v>1238</v>
      </c>
      <c r="L84" t="b">
        <f>Data_Completeness(MileageData[[#This Row],[MPG]:[Acceleration]])</f>
        <v>1</v>
      </c>
    </row>
    <row r="85" spans="1:12" x14ac:dyDescent="0.25">
      <c r="A85">
        <v>18</v>
      </c>
      <c r="B85">
        <v>4</v>
      </c>
      <c r="C85">
        <v>121</v>
      </c>
      <c r="D85">
        <v>112</v>
      </c>
      <c r="E85">
        <v>2933</v>
      </c>
      <c r="F85">
        <v>14.5</v>
      </c>
      <c r="G85">
        <v>72</v>
      </c>
      <c r="H85">
        <v>2</v>
      </c>
      <c r="I85" t="s">
        <v>1239</v>
      </c>
      <c r="J85" t="s">
        <v>1240</v>
      </c>
      <c r="K85" t="s">
        <v>1241</v>
      </c>
      <c r="L85" t="b">
        <f>Data_Completeness(MileageData[[#This Row],[MPG]:[Acceleration]])</f>
        <v>1</v>
      </c>
    </row>
    <row r="86" spans="1:12" x14ac:dyDescent="0.25">
      <c r="A86">
        <v>22</v>
      </c>
      <c r="B86">
        <v>4</v>
      </c>
      <c r="C86">
        <v>121</v>
      </c>
      <c r="D86">
        <v>76</v>
      </c>
      <c r="E86">
        <v>2511</v>
      </c>
      <c r="F86">
        <v>18</v>
      </c>
      <c r="G86">
        <v>72</v>
      </c>
      <c r="H86">
        <v>2</v>
      </c>
      <c r="I86" t="s">
        <v>1242</v>
      </c>
      <c r="J86" t="s">
        <v>1138</v>
      </c>
      <c r="K86" t="s">
        <v>1243</v>
      </c>
      <c r="L86" t="b">
        <f>Data_Completeness(MileageData[[#This Row],[MPG]:[Acceleration]])</f>
        <v>1</v>
      </c>
    </row>
    <row r="87" spans="1:12" x14ac:dyDescent="0.25">
      <c r="A87">
        <v>21</v>
      </c>
      <c r="B87">
        <v>4</v>
      </c>
      <c r="C87">
        <v>120</v>
      </c>
      <c r="D87">
        <v>87</v>
      </c>
      <c r="E87">
        <v>2979</v>
      </c>
      <c r="F87">
        <v>19.5</v>
      </c>
      <c r="G87">
        <v>72</v>
      </c>
      <c r="H87">
        <v>2</v>
      </c>
      <c r="I87" t="s">
        <v>1244</v>
      </c>
      <c r="J87" t="s">
        <v>1141</v>
      </c>
      <c r="K87" t="s">
        <v>1245</v>
      </c>
      <c r="L87" t="b">
        <f>Data_Completeness(MileageData[[#This Row],[MPG]:[Acceleration]])</f>
        <v>1</v>
      </c>
    </row>
    <row r="88" spans="1:12" x14ac:dyDescent="0.25">
      <c r="A88">
        <v>26</v>
      </c>
      <c r="B88">
        <v>4</v>
      </c>
      <c r="C88">
        <v>96</v>
      </c>
      <c r="D88">
        <v>69</v>
      </c>
      <c r="E88">
        <v>2189</v>
      </c>
      <c r="F88">
        <v>18</v>
      </c>
      <c r="G88">
        <v>72</v>
      </c>
      <c r="H88">
        <v>2</v>
      </c>
      <c r="I88" t="s">
        <v>1246</v>
      </c>
      <c r="J88" t="s">
        <v>1247</v>
      </c>
      <c r="K88" t="s">
        <v>1248</v>
      </c>
      <c r="L88" t="b">
        <f>Data_Completeness(MileageData[[#This Row],[MPG]:[Acceleration]])</f>
        <v>1</v>
      </c>
    </row>
    <row r="89" spans="1:12" x14ac:dyDescent="0.25">
      <c r="A89">
        <v>22</v>
      </c>
      <c r="B89">
        <v>4</v>
      </c>
      <c r="C89">
        <v>122</v>
      </c>
      <c r="D89">
        <v>86</v>
      </c>
      <c r="E89">
        <v>2395</v>
      </c>
      <c r="F89">
        <v>16</v>
      </c>
      <c r="G89">
        <v>72</v>
      </c>
      <c r="H89">
        <v>1</v>
      </c>
      <c r="I89" t="s">
        <v>1249</v>
      </c>
      <c r="J89" t="s">
        <v>1091</v>
      </c>
      <c r="K89" t="s">
        <v>1250</v>
      </c>
      <c r="L89" t="b">
        <f>Data_Completeness(MileageData[[#This Row],[MPG]:[Acceleration]])</f>
        <v>1</v>
      </c>
    </row>
    <row r="90" spans="1:12" x14ac:dyDescent="0.25">
      <c r="A90">
        <v>28</v>
      </c>
      <c r="B90">
        <v>4</v>
      </c>
      <c r="C90">
        <v>97</v>
      </c>
      <c r="D90">
        <v>92</v>
      </c>
      <c r="E90">
        <v>2288</v>
      </c>
      <c r="F90">
        <v>17</v>
      </c>
      <c r="G90">
        <v>72</v>
      </c>
      <c r="H90">
        <v>3</v>
      </c>
      <c r="I90" t="s">
        <v>1251</v>
      </c>
      <c r="J90" t="s">
        <v>1135</v>
      </c>
      <c r="K90" t="s">
        <v>1252</v>
      </c>
      <c r="L90" t="b">
        <f>Data_Completeness(MileageData[[#This Row],[MPG]:[Acceleration]])</f>
        <v>1</v>
      </c>
    </row>
    <row r="91" spans="1:12" x14ac:dyDescent="0.25">
      <c r="A91">
        <v>23</v>
      </c>
      <c r="B91">
        <v>4</v>
      </c>
      <c r="C91">
        <v>120</v>
      </c>
      <c r="D91">
        <v>97</v>
      </c>
      <c r="E91">
        <v>2506</v>
      </c>
      <c r="F91">
        <v>14.5</v>
      </c>
      <c r="G91">
        <v>72</v>
      </c>
      <c r="H91">
        <v>3</v>
      </c>
      <c r="I91" t="s">
        <v>1253</v>
      </c>
      <c r="J91" t="s">
        <v>1254</v>
      </c>
      <c r="K91" t="s">
        <v>1255</v>
      </c>
      <c r="L91" t="b">
        <f>Data_Completeness(MileageData[[#This Row],[MPG]:[Acceleration]])</f>
        <v>1</v>
      </c>
    </row>
    <row r="92" spans="1:12" x14ac:dyDescent="0.25">
      <c r="A92">
        <v>28</v>
      </c>
      <c r="B92">
        <v>4</v>
      </c>
      <c r="C92">
        <v>98</v>
      </c>
      <c r="D92">
        <v>80</v>
      </c>
      <c r="E92">
        <v>2164</v>
      </c>
      <c r="F92">
        <v>15</v>
      </c>
      <c r="G92">
        <v>72</v>
      </c>
      <c r="H92">
        <v>1</v>
      </c>
      <c r="I92" t="s">
        <v>1256</v>
      </c>
      <c r="J92" t="s">
        <v>1116</v>
      </c>
      <c r="K92" t="s">
        <v>1257</v>
      </c>
      <c r="L92" t="b">
        <f>Data_Completeness(MileageData[[#This Row],[MPG]:[Acceleration]])</f>
        <v>1</v>
      </c>
    </row>
    <row r="93" spans="1:12" x14ac:dyDescent="0.25">
      <c r="A93">
        <v>27</v>
      </c>
      <c r="B93">
        <v>4</v>
      </c>
      <c r="C93">
        <v>97</v>
      </c>
      <c r="D93">
        <v>88</v>
      </c>
      <c r="E93">
        <v>2100</v>
      </c>
      <c r="F93">
        <v>16.5</v>
      </c>
      <c r="G93">
        <v>72</v>
      </c>
      <c r="H93">
        <v>3</v>
      </c>
      <c r="I93" t="s">
        <v>1258</v>
      </c>
      <c r="J93" t="s">
        <v>1126</v>
      </c>
      <c r="K93" t="s">
        <v>1259</v>
      </c>
      <c r="L93" t="b">
        <f>Data_Completeness(MileageData[[#This Row],[MPG]:[Acceleration]])</f>
        <v>1</v>
      </c>
    </row>
    <row r="94" spans="1:12" x14ac:dyDescent="0.25">
      <c r="A94">
        <v>13</v>
      </c>
      <c r="B94">
        <v>8</v>
      </c>
      <c r="C94">
        <v>350</v>
      </c>
      <c r="D94">
        <v>175</v>
      </c>
      <c r="E94">
        <v>4100</v>
      </c>
      <c r="F94">
        <v>13</v>
      </c>
      <c r="G94">
        <v>73</v>
      </c>
      <c r="H94">
        <v>1</v>
      </c>
      <c r="I94" t="s">
        <v>1260</v>
      </c>
      <c r="J94" t="s">
        <v>1082</v>
      </c>
      <c r="K94" t="s">
        <v>1261</v>
      </c>
      <c r="L94" t="b">
        <f>Data_Completeness(MileageData[[#This Row],[MPG]:[Acceleration]])</f>
        <v>1</v>
      </c>
    </row>
    <row r="95" spans="1:12" x14ac:dyDescent="0.25">
      <c r="A95">
        <v>14</v>
      </c>
      <c r="B95">
        <v>8</v>
      </c>
      <c r="C95">
        <v>304</v>
      </c>
      <c r="D95">
        <v>150</v>
      </c>
      <c r="E95">
        <v>3672</v>
      </c>
      <c r="F95">
        <v>11.5</v>
      </c>
      <c r="G95">
        <v>73</v>
      </c>
      <c r="H95">
        <v>1</v>
      </c>
      <c r="I95" t="s">
        <v>1174</v>
      </c>
      <c r="J95" t="s">
        <v>1088</v>
      </c>
      <c r="K95" t="s">
        <v>1175</v>
      </c>
      <c r="L95" t="b">
        <f>Data_Completeness(MileageData[[#This Row],[MPG]:[Acceleration]])</f>
        <v>1</v>
      </c>
    </row>
    <row r="96" spans="1:12" x14ac:dyDescent="0.25">
      <c r="A96">
        <v>13</v>
      </c>
      <c r="B96">
        <v>8</v>
      </c>
      <c r="C96">
        <v>350</v>
      </c>
      <c r="D96">
        <v>145</v>
      </c>
      <c r="E96">
        <v>3988</v>
      </c>
      <c r="F96">
        <v>13</v>
      </c>
      <c r="G96">
        <v>73</v>
      </c>
      <c r="H96">
        <v>1</v>
      </c>
      <c r="I96" t="s">
        <v>1262</v>
      </c>
      <c r="J96" t="s">
        <v>1079</v>
      </c>
      <c r="K96" t="s">
        <v>1263</v>
      </c>
      <c r="L96" t="b">
        <f>Data_Completeness(MileageData[[#This Row],[MPG]:[Acceleration]])</f>
        <v>1</v>
      </c>
    </row>
    <row r="97" spans="1:12" x14ac:dyDescent="0.25">
      <c r="A97">
        <v>14</v>
      </c>
      <c r="B97">
        <v>8</v>
      </c>
      <c r="C97">
        <v>302</v>
      </c>
      <c r="D97">
        <v>137</v>
      </c>
      <c r="E97">
        <v>4042</v>
      </c>
      <c r="F97">
        <v>14.5</v>
      </c>
      <c r="G97">
        <v>73</v>
      </c>
      <c r="H97">
        <v>1</v>
      </c>
      <c r="I97" t="s">
        <v>1264</v>
      </c>
      <c r="J97" t="s">
        <v>1091</v>
      </c>
      <c r="K97" t="s">
        <v>1265</v>
      </c>
      <c r="L97" t="b">
        <f>Data_Completeness(MileageData[[#This Row],[MPG]:[Acceleration]])</f>
        <v>1</v>
      </c>
    </row>
    <row r="98" spans="1:12" x14ac:dyDescent="0.25">
      <c r="A98">
        <v>15</v>
      </c>
      <c r="B98">
        <v>8</v>
      </c>
      <c r="C98">
        <v>318</v>
      </c>
      <c r="D98">
        <v>150</v>
      </c>
      <c r="E98">
        <v>3777</v>
      </c>
      <c r="F98">
        <v>12.5</v>
      </c>
      <c r="G98">
        <v>73</v>
      </c>
      <c r="H98">
        <v>1</v>
      </c>
      <c r="I98" t="s">
        <v>1266</v>
      </c>
      <c r="J98" t="s">
        <v>1116</v>
      </c>
      <c r="K98" t="s">
        <v>1267</v>
      </c>
      <c r="L98" t="b">
        <f>Data_Completeness(MileageData[[#This Row],[MPG]:[Acceleration]])</f>
        <v>1</v>
      </c>
    </row>
    <row r="99" spans="1:12" x14ac:dyDescent="0.25">
      <c r="A99">
        <v>12</v>
      </c>
      <c r="B99">
        <v>8</v>
      </c>
      <c r="C99">
        <v>429</v>
      </c>
      <c r="D99">
        <v>198</v>
      </c>
      <c r="E99">
        <v>4952</v>
      </c>
      <c r="F99">
        <v>11.5</v>
      </c>
      <c r="G99">
        <v>73</v>
      </c>
      <c r="H99">
        <v>1</v>
      </c>
      <c r="I99" t="s">
        <v>1268</v>
      </c>
      <c r="J99" t="s">
        <v>1193</v>
      </c>
      <c r="K99" t="s">
        <v>1269</v>
      </c>
      <c r="L99" t="b">
        <f>Data_Completeness(MileageData[[#This Row],[MPG]:[Acceleration]])</f>
        <v>1</v>
      </c>
    </row>
    <row r="100" spans="1:12" x14ac:dyDescent="0.25">
      <c r="A100">
        <v>13</v>
      </c>
      <c r="B100">
        <v>8</v>
      </c>
      <c r="C100">
        <v>400</v>
      </c>
      <c r="D100">
        <v>150</v>
      </c>
      <c r="E100">
        <v>4464</v>
      </c>
      <c r="F100">
        <v>12</v>
      </c>
      <c r="G100">
        <v>73</v>
      </c>
      <c r="H100">
        <v>1</v>
      </c>
      <c r="I100" t="s">
        <v>1270</v>
      </c>
      <c r="J100" t="s">
        <v>1079</v>
      </c>
      <c r="K100" t="s">
        <v>1271</v>
      </c>
      <c r="L100" t="b">
        <f>Data_Completeness(MileageData[[#This Row],[MPG]:[Acceleration]])</f>
        <v>1</v>
      </c>
    </row>
    <row r="101" spans="1:12" x14ac:dyDescent="0.25">
      <c r="A101">
        <v>13</v>
      </c>
      <c r="B101">
        <v>8</v>
      </c>
      <c r="C101">
        <v>351</v>
      </c>
      <c r="D101">
        <v>158</v>
      </c>
      <c r="E101">
        <v>4363</v>
      </c>
      <c r="F101">
        <v>13</v>
      </c>
      <c r="G101">
        <v>73</v>
      </c>
      <c r="H101">
        <v>1</v>
      </c>
      <c r="I101" t="s">
        <v>1272</v>
      </c>
      <c r="J101" t="s">
        <v>1091</v>
      </c>
      <c r="K101" t="s">
        <v>1273</v>
      </c>
      <c r="L101" t="b">
        <f>Data_Completeness(MileageData[[#This Row],[MPG]:[Acceleration]])</f>
        <v>1</v>
      </c>
    </row>
    <row r="102" spans="1:12" x14ac:dyDescent="0.25">
      <c r="A102">
        <v>14</v>
      </c>
      <c r="B102">
        <v>8</v>
      </c>
      <c r="C102">
        <v>318</v>
      </c>
      <c r="D102">
        <v>150</v>
      </c>
      <c r="E102">
        <v>4237</v>
      </c>
      <c r="F102">
        <v>14.5</v>
      </c>
      <c r="G102">
        <v>73</v>
      </c>
      <c r="H102">
        <v>1</v>
      </c>
      <c r="I102" t="s">
        <v>1274</v>
      </c>
      <c r="J102" t="s">
        <v>1085</v>
      </c>
      <c r="K102" t="s">
        <v>1275</v>
      </c>
      <c r="L102" t="b">
        <f>Data_Completeness(MileageData[[#This Row],[MPG]:[Acceleration]])</f>
        <v>1</v>
      </c>
    </row>
    <row r="103" spans="1:12" x14ac:dyDescent="0.25">
      <c r="A103">
        <v>13</v>
      </c>
      <c r="B103">
        <v>8</v>
      </c>
      <c r="C103">
        <v>440</v>
      </c>
      <c r="D103">
        <v>215</v>
      </c>
      <c r="E103">
        <v>4735</v>
      </c>
      <c r="F103">
        <v>11</v>
      </c>
      <c r="G103">
        <v>73</v>
      </c>
      <c r="H103">
        <v>1</v>
      </c>
      <c r="I103" t="s">
        <v>1276</v>
      </c>
      <c r="J103" t="s">
        <v>1228</v>
      </c>
      <c r="K103" t="s">
        <v>1277</v>
      </c>
      <c r="L103" t="b">
        <f>Data_Completeness(MileageData[[#This Row],[MPG]:[Acceleration]])</f>
        <v>1</v>
      </c>
    </row>
    <row r="104" spans="1:12" x14ac:dyDescent="0.25">
      <c r="A104">
        <v>12</v>
      </c>
      <c r="B104">
        <v>8</v>
      </c>
      <c r="C104">
        <v>455</v>
      </c>
      <c r="D104">
        <v>225</v>
      </c>
      <c r="E104">
        <v>4951</v>
      </c>
      <c r="F104">
        <v>11</v>
      </c>
      <c r="G104">
        <v>73</v>
      </c>
      <c r="H104">
        <v>1</v>
      </c>
      <c r="I104" t="s">
        <v>1278</v>
      </c>
      <c r="J104" t="s">
        <v>1082</v>
      </c>
      <c r="K104" t="s">
        <v>1279</v>
      </c>
      <c r="L104" t="b">
        <f>Data_Completeness(MileageData[[#This Row],[MPG]:[Acceleration]])</f>
        <v>1</v>
      </c>
    </row>
    <row r="105" spans="1:12" x14ac:dyDescent="0.25">
      <c r="A105">
        <v>13</v>
      </c>
      <c r="B105">
        <v>8</v>
      </c>
      <c r="C105">
        <v>360</v>
      </c>
      <c r="D105">
        <v>175</v>
      </c>
      <c r="E105">
        <v>3821</v>
      </c>
      <c r="F105">
        <v>11</v>
      </c>
      <c r="G105">
        <v>73</v>
      </c>
      <c r="H105">
        <v>1</v>
      </c>
      <c r="I105" t="s">
        <v>1280</v>
      </c>
      <c r="J105" t="s">
        <v>1088</v>
      </c>
      <c r="K105" t="s">
        <v>1281</v>
      </c>
      <c r="L105" t="b">
        <f>Data_Completeness(MileageData[[#This Row],[MPG]:[Acceleration]])</f>
        <v>1</v>
      </c>
    </row>
    <row r="106" spans="1:12" x14ac:dyDescent="0.25">
      <c r="A106">
        <v>18</v>
      </c>
      <c r="B106">
        <v>6</v>
      </c>
      <c r="C106">
        <v>225</v>
      </c>
      <c r="D106">
        <v>105</v>
      </c>
      <c r="E106">
        <v>3121</v>
      </c>
      <c r="F106">
        <v>16.5</v>
      </c>
      <c r="G106">
        <v>73</v>
      </c>
      <c r="H106">
        <v>1</v>
      </c>
      <c r="I106" t="s">
        <v>1282</v>
      </c>
      <c r="J106" t="s">
        <v>1085</v>
      </c>
      <c r="K106" t="s">
        <v>1283</v>
      </c>
      <c r="L106" t="b">
        <f>Data_Completeness(MileageData[[#This Row],[MPG]:[Acceleration]])</f>
        <v>1</v>
      </c>
    </row>
    <row r="107" spans="1:12" x14ac:dyDescent="0.25">
      <c r="A107">
        <v>16</v>
      </c>
      <c r="B107">
        <v>6</v>
      </c>
      <c r="C107">
        <v>250</v>
      </c>
      <c r="D107">
        <v>100</v>
      </c>
      <c r="E107">
        <v>3278</v>
      </c>
      <c r="F107">
        <v>18</v>
      </c>
      <c r="G107">
        <v>73</v>
      </c>
      <c r="H107">
        <v>1</v>
      </c>
      <c r="I107" t="s">
        <v>1284</v>
      </c>
      <c r="J107" t="s">
        <v>1079</v>
      </c>
      <c r="K107" t="s">
        <v>1285</v>
      </c>
      <c r="L107" t="b">
        <f>Data_Completeness(MileageData[[#This Row],[MPG]:[Acceleration]])</f>
        <v>1</v>
      </c>
    </row>
    <row r="108" spans="1:12" x14ac:dyDescent="0.25">
      <c r="A108">
        <v>18</v>
      </c>
      <c r="B108">
        <v>6</v>
      </c>
      <c r="C108">
        <v>232</v>
      </c>
      <c r="D108">
        <v>100</v>
      </c>
      <c r="E108">
        <v>2945</v>
      </c>
      <c r="F108">
        <v>16</v>
      </c>
      <c r="G108">
        <v>73</v>
      </c>
      <c r="H108">
        <v>1</v>
      </c>
      <c r="I108" t="s">
        <v>1130</v>
      </c>
      <c r="J108" t="s">
        <v>1088</v>
      </c>
      <c r="K108" t="s">
        <v>1131</v>
      </c>
      <c r="L108" t="b">
        <f>Data_Completeness(MileageData[[#This Row],[MPG]:[Acceleration]])</f>
        <v>1</v>
      </c>
    </row>
    <row r="109" spans="1:12" x14ac:dyDescent="0.25">
      <c r="A109">
        <v>18</v>
      </c>
      <c r="B109">
        <v>6</v>
      </c>
      <c r="C109">
        <v>250</v>
      </c>
      <c r="D109">
        <v>88</v>
      </c>
      <c r="E109">
        <v>3021</v>
      </c>
      <c r="F109">
        <v>16.5</v>
      </c>
      <c r="G109">
        <v>73</v>
      </c>
      <c r="H109">
        <v>1</v>
      </c>
      <c r="I109" t="s">
        <v>1132</v>
      </c>
      <c r="J109" t="s">
        <v>1091</v>
      </c>
      <c r="K109" t="s">
        <v>1133</v>
      </c>
      <c r="L109" t="b">
        <f>Data_Completeness(MileageData[[#This Row],[MPG]:[Acceleration]])</f>
        <v>1</v>
      </c>
    </row>
    <row r="110" spans="1:12" x14ac:dyDescent="0.25">
      <c r="A110">
        <v>23</v>
      </c>
      <c r="B110">
        <v>6</v>
      </c>
      <c r="C110">
        <v>198</v>
      </c>
      <c r="D110">
        <v>95</v>
      </c>
      <c r="E110">
        <v>2904</v>
      </c>
      <c r="F110">
        <v>16</v>
      </c>
      <c r="G110">
        <v>73</v>
      </c>
      <c r="H110">
        <v>1</v>
      </c>
      <c r="I110" t="s">
        <v>1128</v>
      </c>
      <c r="J110" t="s">
        <v>1085</v>
      </c>
      <c r="K110" t="s">
        <v>1129</v>
      </c>
      <c r="L110" t="b">
        <f>Data_Completeness(MileageData[[#This Row],[MPG]:[Acceleration]])</f>
        <v>1</v>
      </c>
    </row>
    <row r="111" spans="1:12" x14ac:dyDescent="0.25">
      <c r="A111">
        <v>26</v>
      </c>
      <c r="B111">
        <v>4</v>
      </c>
      <c r="C111">
        <v>97</v>
      </c>
      <c r="D111">
        <v>46</v>
      </c>
      <c r="E111">
        <v>1950</v>
      </c>
      <c r="F111">
        <v>21</v>
      </c>
      <c r="G111">
        <v>73</v>
      </c>
      <c r="H111">
        <v>2</v>
      </c>
      <c r="I111" t="s">
        <v>1286</v>
      </c>
      <c r="J111" t="s">
        <v>1138</v>
      </c>
      <c r="K111" t="s">
        <v>1287</v>
      </c>
      <c r="L111" t="b">
        <f>Data_Completeness(MileageData[[#This Row],[MPG]:[Acceleration]])</f>
        <v>1</v>
      </c>
    </row>
    <row r="112" spans="1:12" x14ac:dyDescent="0.25">
      <c r="A112">
        <v>11</v>
      </c>
      <c r="B112">
        <v>8</v>
      </c>
      <c r="C112">
        <v>400</v>
      </c>
      <c r="D112">
        <v>150</v>
      </c>
      <c r="E112">
        <v>4997</v>
      </c>
      <c r="F112">
        <v>14</v>
      </c>
      <c r="G112">
        <v>73</v>
      </c>
      <c r="H112">
        <v>1</v>
      </c>
      <c r="I112" t="s">
        <v>1095</v>
      </c>
      <c r="J112" t="s">
        <v>1079</v>
      </c>
      <c r="K112" t="s">
        <v>1096</v>
      </c>
      <c r="L112" t="b">
        <f>Data_Completeness(MileageData[[#This Row],[MPG]:[Acceleration]])</f>
        <v>1</v>
      </c>
    </row>
    <row r="113" spans="1:12" x14ac:dyDescent="0.25">
      <c r="A113">
        <v>12</v>
      </c>
      <c r="B113">
        <v>8</v>
      </c>
      <c r="C113">
        <v>400</v>
      </c>
      <c r="D113">
        <v>167</v>
      </c>
      <c r="E113">
        <v>4906</v>
      </c>
      <c r="F113">
        <v>12.5</v>
      </c>
      <c r="G113">
        <v>73</v>
      </c>
      <c r="H113">
        <v>1</v>
      </c>
      <c r="I113" t="s">
        <v>1288</v>
      </c>
      <c r="J113" t="s">
        <v>1091</v>
      </c>
      <c r="K113" t="s">
        <v>1289</v>
      </c>
      <c r="L113" t="b">
        <f>Data_Completeness(MileageData[[#This Row],[MPG]:[Acceleration]])</f>
        <v>1</v>
      </c>
    </row>
    <row r="114" spans="1:12" x14ac:dyDescent="0.25">
      <c r="A114">
        <v>13</v>
      </c>
      <c r="B114">
        <v>8</v>
      </c>
      <c r="C114">
        <v>360</v>
      </c>
      <c r="D114">
        <v>170</v>
      </c>
      <c r="E114">
        <v>4654</v>
      </c>
      <c r="F114">
        <v>13</v>
      </c>
      <c r="G114">
        <v>73</v>
      </c>
      <c r="H114">
        <v>1</v>
      </c>
      <c r="I114" t="s">
        <v>1290</v>
      </c>
      <c r="J114" t="s">
        <v>1085</v>
      </c>
      <c r="K114" t="s">
        <v>1291</v>
      </c>
      <c r="L114" t="b">
        <f>Data_Completeness(MileageData[[#This Row],[MPG]:[Acceleration]])</f>
        <v>1</v>
      </c>
    </row>
    <row r="115" spans="1:12" x14ac:dyDescent="0.25">
      <c r="A115">
        <v>12</v>
      </c>
      <c r="B115">
        <v>8</v>
      </c>
      <c r="C115">
        <v>350</v>
      </c>
      <c r="D115">
        <v>180</v>
      </c>
      <c r="E115">
        <v>4499</v>
      </c>
      <c r="F115">
        <v>12.5</v>
      </c>
      <c r="G115">
        <v>73</v>
      </c>
      <c r="H115">
        <v>1</v>
      </c>
      <c r="I115" t="s">
        <v>1292</v>
      </c>
      <c r="J115" t="s">
        <v>1225</v>
      </c>
      <c r="K115" t="s">
        <v>1293</v>
      </c>
      <c r="L115" t="b">
        <f>Data_Completeness(MileageData[[#This Row],[MPG]:[Acceleration]])</f>
        <v>1</v>
      </c>
    </row>
    <row r="116" spans="1:12" x14ac:dyDescent="0.25">
      <c r="A116">
        <v>18</v>
      </c>
      <c r="B116">
        <v>6</v>
      </c>
      <c r="C116">
        <v>232</v>
      </c>
      <c r="D116">
        <v>100</v>
      </c>
      <c r="E116">
        <v>2789</v>
      </c>
      <c r="F116">
        <v>15</v>
      </c>
      <c r="G116">
        <v>73</v>
      </c>
      <c r="H116">
        <v>1</v>
      </c>
      <c r="I116" t="s">
        <v>1150</v>
      </c>
      <c r="J116" t="s">
        <v>1088</v>
      </c>
      <c r="K116" t="s">
        <v>1151</v>
      </c>
      <c r="L116" t="b">
        <f>Data_Completeness(MileageData[[#This Row],[MPG]:[Acceleration]])</f>
        <v>1</v>
      </c>
    </row>
    <row r="117" spans="1:12" x14ac:dyDescent="0.25">
      <c r="A117">
        <v>20</v>
      </c>
      <c r="B117">
        <v>4</v>
      </c>
      <c r="C117">
        <v>97</v>
      </c>
      <c r="D117">
        <v>88</v>
      </c>
      <c r="E117">
        <v>2279</v>
      </c>
      <c r="F117">
        <v>19</v>
      </c>
      <c r="G117">
        <v>73</v>
      </c>
      <c r="H117">
        <v>3</v>
      </c>
      <c r="I117" t="s">
        <v>1294</v>
      </c>
      <c r="J117" t="s">
        <v>1126</v>
      </c>
      <c r="K117" t="s">
        <v>1295</v>
      </c>
      <c r="L117" t="b">
        <f>Data_Completeness(MileageData[[#This Row],[MPG]:[Acceleration]])</f>
        <v>1</v>
      </c>
    </row>
    <row r="118" spans="1:12" x14ac:dyDescent="0.25">
      <c r="A118">
        <v>21</v>
      </c>
      <c r="B118">
        <v>4</v>
      </c>
      <c r="C118">
        <v>140</v>
      </c>
      <c r="D118">
        <v>72</v>
      </c>
      <c r="E118">
        <v>2401</v>
      </c>
      <c r="F118">
        <v>19.5</v>
      </c>
      <c r="G118">
        <v>73</v>
      </c>
      <c r="H118">
        <v>1</v>
      </c>
      <c r="I118" t="s">
        <v>1214</v>
      </c>
      <c r="J118" t="s">
        <v>1079</v>
      </c>
      <c r="K118" t="s">
        <v>1215</v>
      </c>
      <c r="L118" t="b">
        <f>Data_Completeness(MileageData[[#This Row],[MPG]:[Acceleration]])</f>
        <v>1</v>
      </c>
    </row>
    <row r="119" spans="1:12" x14ac:dyDescent="0.25">
      <c r="A119">
        <v>22</v>
      </c>
      <c r="B119">
        <v>4</v>
      </c>
      <c r="C119">
        <v>108</v>
      </c>
      <c r="D119">
        <v>94</v>
      </c>
      <c r="E119">
        <v>2379</v>
      </c>
      <c r="F119">
        <v>16.5</v>
      </c>
      <c r="G119">
        <v>73</v>
      </c>
      <c r="H119">
        <v>3</v>
      </c>
      <c r="I119" t="s">
        <v>1296</v>
      </c>
      <c r="J119" t="s">
        <v>1135</v>
      </c>
      <c r="K119">
        <v>610</v>
      </c>
      <c r="L119" t="b">
        <f>Data_Completeness(MileageData[[#This Row],[MPG]:[Acceleration]])</f>
        <v>1</v>
      </c>
    </row>
    <row r="120" spans="1:12" x14ac:dyDescent="0.25">
      <c r="A120">
        <v>18</v>
      </c>
      <c r="B120">
        <v>3</v>
      </c>
      <c r="C120">
        <v>70</v>
      </c>
      <c r="D120">
        <v>90</v>
      </c>
      <c r="E120">
        <v>2124</v>
      </c>
      <c r="F120">
        <v>13.5</v>
      </c>
      <c r="G120">
        <v>73</v>
      </c>
      <c r="H120">
        <v>3</v>
      </c>
      <c r="I120" t="s">
        <v>1297</v>
      </c>
      <c r="J120" t="s">
        <v>1298</v>
      </c>
      <c r="K120" t="s">
        <v>1299</v>
      </c>
      <c r="L120" t="b">
        <f>Data_Completeness(MileageData[[#This Row],[MPG]:[Acceleration]])</f>
        <v>1</v>
      </c>
    </row>
    <row r="121" spans="1:12" x14ac:dyDescent="0.25">
      <c r="A121">
        <v>19</v>
      </c>
      <c r="B121">
        <v>4</v>
      </c>
      <c r="C121">
        <v>122</v>
      </c>
      <c r="D121">
        <v>85</v>
      </c>
      <c r="E121">
        <v>2310</v>
      </c>
      <c r="F121">
        <v>18.5</v>
      </c>
      <c r="G121">
        <v>73</v>
      </c>
      <c r="H121">
        <v>1</v>
      </c>
      <c r="I121" t="s">
        <v>1166</v>
      </c>
      <c r="J121" t="s">
        <v>1091</v>
      </c>
      <c r="K121" t="s">
        <v>1167</v>
      </c>
      <c r="L121" t="b">
        <f>Data_Completeness(MileageData[[#This Row],[MPG]:[Acceleration]])</f>
        <v>1</v>
      </c>
    </row>
    <row r="122" spans="1:12" x14ac:dyDescent="0.25">
      <c r="A122">
        <v>21</v>
      </c>
      <c r="B122">
        <v>6</v>
      </c>
      <c r="C122">
        <v>155</v>
      </c>
      <c r="D122">
        <v>107</v>
      </c>
      <c r="E122">
        <v>2472</v>
      </c>
      <c r="F122">
        <v>14</v>
      </c>
      <c r="G122">
        <v>73</v>
      </c>
      <c r="H122">
        <v>1</v>
      </c>
      <c r="I122" t="s">
        <v>1300</v>
      </c>
      <c r="J122" t="s">
        <v>1193</v>
      </c>
      <c r="K122" t="s">
        <v>1301</v>
      </c>
      <c r="L122" t="b">
        <f>Data_Completeness(MileageData[[#This Row],[MPG]:[Acceleration]])</f>
        <v>1</v>
      </c>
    </row>
    <row r="123" spans="1:12" x14ac:dyDescent="0.25">
      <c r="A123">
        <v>26</v>
      </c>
      <c r="B123">
        <v>4</v>
      </c>
      <c r="C123">
        <v>98</v>
      </c>
      <c r="D123">
        <v>90</v>
      </c>
      <c r="E123">
        <v>2265</v>
      </c>
      <c r="F123">
        <v>15.5</v>
      </c>
      <c r="G123">
        <v>73</v>
      </c>
      <c r="H123">
        <v>2</v>
      </c>
      <c r="I123" t="s">
        <v>1302</v>
      </c>
      <c r="J123" t="s">
        <v>1199</v>
      </c>
      <c r="K123" t="s">
        <v>1303</v>
      </c>
      <c r="L123" t="b">
        <f>Data_Completeness(MileageData[[#This Row],[MPG]:[Acceleration]])</f>
        <v>1</v>
      </c>
    </row>
    <row r="124" spans="1:12" x14ac:dyDescent="0.25">
      <c r="A124">
        <v>15</v>
      </c>
      <c r="B124">
        <v>8</v>
      </c>
      <c r="C124">
        <v>350</v>
      </c>
      <c r="D124">
        <v>145</v>
      </c>
      <c r="E124">
        <v>4082</v>
      </c>
      <c r="F124">
        <v>13</v>
      </c>
      <c r="G124">
        <v>73</v>
      </c>
      <c r="H124">
        <v>1</v>
      </c>
      <c r="I124" t="s">
        <v>1304</v>
      </c>
      <c r="J124" t="s">
        <v>1079</v>
      </c>
      <c r="K124" t="s">
        <v>1305</v>
      </c>
      <c r="L124" t="b">
        <f>Data_Completeness(MileageData[[#This Row],[MPG]:[Acceleration]])</f>
        <v>1</v>
      </c>
    </row>
    <row r="125" spans="1:12" x14ac:dyDescent="0.25">
      <c r="A125">
        <v>16</v>
      </c>
      <c r="B125">
        <v>8</v>
      </c>
      <c r="C125">
        <v>400</v>
      </c>
      <c r="D125">
        <v>230</v>
      </c>
      <c r="E125">
        <v>4278</v>
      </c>
      <c r="F125">
        <v>9.5</v>
      </c>
      <c r="G125">
        <v>73</v>
      </c>
      <c r="H125">
        <v>1</v>
      </c>
      <c r="I125" t="s">
        <v>1306</v>
      </c>
      <c r="J125" t="s">
        <v>1100</v>
      </c>
      <c r="K125" t="s">
        <v>1307</v>
      </c>
      <c r="L125" t="b">
        <f>Data_Completeness(MileageData[[#This Row],[MPG]:[Acceleration]])</f>
        <v>1</v>
      </c>
    </row>
    <row r="126" spans="1:12" x14ac:dyDescent="0.25">
      <c r="A126">
        <v>29</v>
      </c>
      <c r="B126">
        <v>4</v>
      </c>
      <c r="C126">
        <v>68</v>
      </c>
      <c r="D126">
        <v>49</v>
      </c>
      <c r="E126">
        <v>1867</v>
      </c>
      <c r="F126">
        <v>19.5</v>
      </c>
      <c r="G126">
        <v>73</v>
      </c>
      <c r="H126">
        <v>2</v>
      </c>
      <c r="I126" t="s">
        <v>1308</v>
      </c>
      <c r="J126" t="s">
        <v>1199</v>
      </c>
      <c r="K126">
        <v>128</v>
      </c>
      <c r="L126" t="b">
        <f>Data_Completeness(MileageData[[#This Row],[MPG]:[Acceleration]])</f>
        <v>1</v>
      </c>
    </row>
    <row r="127" spans="1:12" x14ac:dyDescent="0.25">
      <c r="A127">
        <v>24</v>
      </c>
      <c r="B127">
        <v>4</v>
      </c>
      <c r="C127">
        <v>116</v>
      </c>
      <c r="D127">
        <v>75</v>
      </c>
      <c r="E127">
        <v>2158</v>
      </c>
      <c r="F127">
        <v>15.5</v>
      </c>
      <c r="G127">
        <v>73</v>
      </c>
      <c r="H127">
        <v>2</v>
      </c>
      <c r="I127" t="s">
        <v>1309</v>
      </c>
      <c r="J127" t="s">
        <v>1196</v>
      </c>
      <c r="K127" t="s">
        <v>1310</v>
      </c>
      <c r="L127" t="b">
        <f>Data_Completeness(MileageData[[#This Row],[MPG]:[Acceleration]])</f>
        <v>1</v>
      </c>
    </row>
    <row r="128" spans="1:12" x14ac:dyDescent="0.25">
      <c r="A128">
        <v>20</v>
      </c>
      <c r="B128">
        <v>4</v>
      </c>
      <c r="C128">
        <v>114</v>
      </c>
      <c r="D128">
        <v>91</v>
      </c>
      <c r="E128">
        <v>2582</v>
      </c>
      <c r="F128">
        <v>14</v>
      </c>
      <c r="G128">
        <v>73</v>
      </c>
      <c r="H128">
        <v>2</v>
      </c>
      <c r="I128" t="s">
        <v>1311</v>
      </c>
      <c r="J128" t="s">
        <v>1143</v>
      </c>
      <c r="K128" t="s">
        <v>1312</v>
      </c>
      <c r="L128" t="b">
        <f>Data_Completeness(MileageData[[#This Row],[MPG]:[Acceleration]])</f>
        <v>1</v>
      </c>
    </row>
    <row r="129" spans="1:12" x14ac:dyDescent="0.25">
      <c r="A129">
        <v>19</v>
      </c>
      <c r="B129">
        <v>4</v>
      </c>
      <c r="C129">
        <v>121</v>
      </c>
      <c r="D129">
        <v>112</v>
      </c>
      <c r="E129">
        <v>2868</v>
      </c>
      <c r="F129">
        <v>15.5</v>
      </c>
      <c r="G129">
        <v>73</v>
      </c>
      <c r="H129">
        <v>2</v>
      </c>
      <c r="I129" t="s">
        <v>1313</v>
      </c>
      <c r="J129" t="s">
        <v>1240</v>
      </c>
      <c r="K129" t="s">
        <v>1314</v>
      </c>
      <c r="L129" t="b">
        <f>Data_Completeness(MileageData[[#This Row],[MPG]:[Acceleration]])</f>
        <v>1</v>
      </c>
    </row>
    <row r="130" spans="1:12" x14ac:dyDescent="0.25">
      <c r="A130">
        <v>15</v>
      </c>
      <c r="B130">
        <v>8</v>
      </c>
      <c r="C130">
        <v>318</v>
      </c>
      <c r="D130">
        <v>150</v>
      </c>
      <c r="E130">
        <v>3399</v>
      </c>
      <c r="F130">
        <v>11</v>
      </c>
      <c r="G130">
        <v>73</v>
      </c>
      <c r="H130">
        <v>1</v>
      </c>
      <c r="I130" t="s">
        <v>1315</v>
      </c>
      <c r="J130" t="s">
        <v>1116</v>
      </c>
      <c r="K130" t="s">
        <v>1316</v>
      </c>
      <c r="L130" t="b">
        <f>Data_Completeness(MileageData[[#This Row],[MPG]:[Acceleration]])</f>
        <v>1</v>
      </c>
    </row>
    <row r="131" spans="1:12" x14ac:dyDescent="0.25">
      <c r="A131">
        <v>24</v>
      </c>
      <c r="B131">
        <v>4</v>
      </c>
      <c r="C131">
        <v>121</v>
      </c>
      <c r="D131">
        <v>110</v>
      </c>
      <c r="E131">
        <v>2660</v>
      </c>
      <c r="F131">
        <v>14</v>
      </c>
      <c r="G131">
        <v>73</v>
      </c>
      <c r="H131">
        <v>2</v>
      </c>
      <c r="I131" t="s">
        <v>1317</v>
      </c>
      <c r="J131" t="s">
        <v>1146</v>
      </c>
      <c r="K131" t="s">
        <v>1318</v>
      </c>
      <c r="L131" t="b">
        <f>Data_Completeness(MileageData[[#This Row],[MPG]:[Acceleration]])</f>
        <v>1</v>
      </c>
    </row>
    <row r="132" spans="1:12" x14ac:dyDescent="0.25">
      <c r="A132">
        <v>20</v>
      </c>
      <c r="B132">
        <v>6</v>
      </c>
      <c r="C132">
        <v>156</v>
      </c>
      <c r="D132">
        <v>122</v>
      </c>
      <c r="E132">
        <v>2807</v>
      </c>
      <c r="F132">
        <v>13.5</v>
      </c>
      <c r="G132">
        <v>73</v>
      </c>
      <c r="H132">
        <v>3</v>
      </c>
      <c r="I132" t="s">
        <v>1319</v>
      </c>
      <c r="J132" t="s">
        <v>1126</v>
      </c>
      <c r="K132" t="s">
        <v>1320</v>
      </c>
      <c r="L132" t="b">
        <f>Data_Completeness(MileageData[[#This Row],[MPG]:[Acceleration]])</f>
        <v>1</v>
      </c>
    </row>
    <row r="133" spans="1:12" x14ac:dyDescent="0.25">
      <c r="A133">
        <v>11</v>
      </c>
      <c r="B133">
        <v>8</v>
      </c>
      <c r="C133">
        <v>350</v>
      </c>
      <c r="D133">
        <v>180</v>
      </c>
      <c r="E133">
        <v>3664</v>
      </c>
      <c r="F133">
        <v>11</v>
      </c>
      <c r="G133">
        <v>73</v>
      </c>
      <c r="H133">
        <v>1</v>
      </c>
      <c r="I133" t="s">
        <v>1321</v>
      </c>
      <c r="J133" t="s">
        <v>1225</v>
      </c>
      <c r="K133" t="s">
        <v>1322</v>
      </c>
      <c r="L133" t="b">
        <f>Data_Completeness(MileageData[[#This Row],[MPG]:[Acceleration]])</f>
        <v>1</v>
      </c>
    </row>
    <row r="134" spans="1:12" x14ac:dyDescent="0.25">
      <c r="A134">
        <v>20</v>
      </c>
      <c r="B134">
        <v>6</v>
      </c>
      <c r="C134">
        <v>198</v>
      </c>
      <c r="D134">
        <v>95</v>
      </c>
      <c r="E134">
        <v>3102</v>
      </c>
      <c r="F134">
        <v>16.5</v>
      </c>
      <c r="G134">
        <v>74</v>
      </c>
      <c r="H134">
        <v>1</v>
      </c>
      <c r="I134" t="s">
        <v>1128</v>
      </c>
      <c r="J134" t="s">
        <v>1085</v>
      </c>
      <c r="K134" t="s">
        <v>1129</v>
      </c>
      <c r="L134" t="b">
        <f>Data_Completeness(MileageData[[#This Row],[MPG]:[Acceleration]])</f>
        <v>1</v>
      </c>
    </row>
    <row r="135" spans="1:12" x14ac:dyDescent="0.25">
      <c r="A135">
        <v>21</v>
      </c>
      <c r="B135">
        <v>6</v>
      </c>
      <c r="C135">
        <v>200</v>
      </c>
      <c r="E135">
        <v>2875</v>
      </c>
      <c r="F135">
        <v>17</v>
      </c>
      <c r="G135">
        <v>74</v>
      </c>
      <c r="H135">
        <v>1</v>
      </c>
      <c r="I135" t="s">
        <v>1132</v>
      </c>
      <c r="J135" t="s">
        <v>1091</v>
      </c>
      <c r="K135" t="s">
        <v>1133</v>
      </c>
      <c r="L135" t="b">
        <f>Data_Completeness(MileageData[[#This Row],[MPG]:[Acceleration]])</f>
        <v>0</v>
      </c>
    </row>
    <row r="136" spans="1:12" x14ac:dyDescent="0.25">
      <c r="A136">
        <v>19</v>
      </c>
      <c r="B136">
        <v>6</v>
      </c>
      <c r="C136">
        <v>232</v>
      </c>
      <c r="D136">
        <v>100</v>
      </c>
      <c r="E136">
        <v>2901</v>
      </c>
      <c r="F136">
        <v>16</v>
      </c>
      <c r="G136">
        <v>74</v>
      </c>
      <c r="H136">
        <v>1</v>
      </c>
      <c r="I136" t="s">
        <v>1130</v>
      </c>
      <c r="J136" t="s">
        <v>1088</v>
      </c>
      <c r="K136" t="s">
        <v>1131</v>
      </c>
      <c r="L136" t="b">
        <f>Data_Completeness(MileageData[[#This Row],[MPG]:[Acceleration]])</f>
        <v>1</v>
      </c>
    </row>
    <row r="137" spans="1:12" x14ac:dyDescent="0.25">
      <c r="A137">
        <v>15</v>
      </c>
      <c r="B137">
        <v>6</v>
      </c>
      <c r="C137">
        <v>250</v>
      </c>
      <c r="D137">
        <v>100</v>
      </c>
      <c r="E137">
        <v>3336</v>
      </c>
      <c r="F137">
        <v>17</v>
      </c>
      <c r="G137">
        <v>74</v>
      </c>
      <c r="H137">
        <v>1</v>
      </c>
      <c r="I137" t="s">
        <v>1323</v>
      </c>
      <c r="J137" t="s">
        <v>1079</v>
      </c>
      <c r="K137" t="s">
        <v>1324</v>
      </c>
      <c r="L137" t="b">
        <f>Data_Completeness(MileageData[[#This Row],[MPG]:[Acceleration]])</f>
        <v>1</v>
      </c>
    </row>
    <row r="138" spans="1:12" x14ac:dyDescent="0.25">
      <c r="A138">
        <v>31</v>
      </c>
      <c r="B138">
        <v>4</v>
      </c>
      <c r="C138">
        <v>79</v>
      </c>
      <c r="D138">
        <v>67</v>
      </c>
      <c r="E138">
        <v>1950</v>
      </c>
      <c r="F138">
        <v>19</v>
      </c>
      <c r="G138">
        <v>74</v>
      </c>
      <c r="H138">
        <v>3</v>
      </c>
      <c r="I138" t="s">
        <v>1325</v>
      </c>
      <c r="J138" t="s">
        <v>1135</v>
      </c>
      <c r="K138" t="s">
        <v>1326</v>
      </c>
      <c r="L138" t="b">
        <f>Data_Completeness(MileageData[[#This Row],[MPG]:[Acceleration]])</f>
        <v>1</v>
      </c>
    </row>
    <row r="139" spans="1:12" x14ac:dyDescent="0.25">
      <c r="A139">
        <v>26</v>
      </c>
      <c r="B139">
        <v>4</v>
      </c>
      <c r="C139">
        <v>122</v>
      </c>
      <c r="D139">
        <v>80</v>
      </c>
      <c r="E139">
        <v>2451</v>
      </c>
      <c r="F139">
        <v>16.5</v>
      </c>
      <c r="G139">
        <v>74</v>
      </c>
      <c r="H139">
        <v>1</v>
      </c>
      <c r="I139" t="s">
        <v>1166</v>
      </c>
      <c r="J139" t="s">
        <v>1091</v>
      </c>
      <c r="K139" t="s">
        <v>1167</v>
      </c>
      <c r="L139" t="b">
        <f>Data_Completeness(MileageData[[#This Row],[MPG]:[Acceleration]])</f>
        <v>1</v>
      </c>
    </row>
    <row r="140" spans="1:12" x14ac:dyDescent="0.25">
      <c r="A140">
        <v>32</v>
      </c>
      <c r="B140">
        <v>4</v>
      </c>
      <c r="C140">
        <v>71</v>
      </c>
      <c r="D140">
        <v>65</v>
      </c>
      <c r="E140">
        <v>1836</v>
      </c>
      <c r="F140">
        <v>21</v>
      </c>
      <c r="G140">
        <v>74</v>
      </c>
      <c r="H140">
        <v>3</v>
      </c>
      <c r="I140" t="s">
        <v>1201</v>
      </c>
      <c r="J140" t="s">
        <v>1126</v>
      </c>
      <c r="K140" t="s">
        <v>1202</v>
      </c>
      <c r="L140" t="b">
        <f>Data_Completeness(MileageData[[#This Row],[MPG]:[Acceleration]])</f>
        <v>1</v>
      </c>
    </row>
    <row r="141" spans="1:12" x14ac:dyDescent="0.25">
      <c r="A141">
        <v>25</v>
      </c>
      <c r="B141">
        <v>4</v>
      </c>
      <c r="C141">
        <v>140</v>
      </c>
      <c r="D141">
        <v>75</v>
      </c>
      <c r="E141">
        <v>2542</v>
      </c>
      <c r="F141">
        <v>17</v>
      </c>
      <c r="G141">
        <v>74</v>
      </c>
      <c r="H141">
        <v>1</v>
      </c>
      <c r="I141" t="s">
        <v>1214</v>
      </c>
      <c r="J141" t="s">
        <v>1079</v>
      </c>
      <c r="K141" t="s">
        <v>1215</v>
      </c>
      <c r="L141" t="b">
        <f>Data_Completeness(MileageData[[#This Row],[MPG]:[Acceleration]])</f>
        <v>1</v>
      </c>
    </row>
    <row r="142" spans="1:12" x14ac:dyDescent="0.25">
      <c r="A142">
        <v>16</v>
      </c>
      <c r="B142">
        <v>6</v>
      </c>
      <c r="C142">
        <v>250</v>
      </c>
      <c r="D142">
        <v>100</v>
      </c>
      <c r="E142">
        <v>3781</v>
      </c>
      <c r="F142">
        <v>17</v>
      </c>
      <c r="G142">
        <v>74</v>
      </c>
      <c r="H142">
        <v>1</v>
      </c>
      <c r="I142" t="s">
        <v>1327</v>
      </c>
      <c r="J142" t="s">
        <v>1079</v>
      </c>
      <c r="K142" t="s">
        <v>1328</v>
      </c>
      <c r="L142" t="b">
        <f>Data_Completeness(MileageData[[#This Row],[MPG]:[Acceleration]])</f>
        <v>1</v>
      </c>
    </row>
    <row r="143" spans="1:12" x14ac:dyDescent="0.25">
      <c r="A143">
        <v>16</v>
      </c>
      <c r="B143">
        <v>6</v>
      </c>
      <c r="C143">
        <v>258</v>
      </c>
      <c r="D143">
        <v>110</v>
      </c>
      <c r="E143">
        <v>3632</v>
      </c>
      <c r="F143">
        <v>18</v>
      </c>
      <c r="G143">
        <v>74</v>
      </c>
      <c r="H143">
        <v>1</v>
      </c>
      <c r="I143" t="s">
        <v>1174</v>
      </c>
      <c r="J143" t="s">
        <v>1088</v>
      </c>
      <c r="K143" t="s">
        <v>1175</v>
      </c>
      <c r="L143" t="b">
        <f>Data_Completeness(MileageData[[#This Row],[MPG]:[Acceleration]])</f>
        <v>1</v>
      </c>
    </row>
    <row r="144" spans="1:12" x14ac:dyDescent="0.25">
      <c r="A144">
        <v>18</v>
      </c>
      <c r="B144">
        <v>6</v>
      </c>
      <c r="C144">
        <v>225</v>
      </c>
      <c r="D144">
        <v>105</v>
      </c>
      <c r="E144">
        <v>3613</v>
      </c>
      <c r="F144">
        <v>16.5</v>
      </c>
      <c r="G144">
        <v>74</v>
      </c>
      <c r="H144">
        <v>1</v>
      </c>
      <c r="I144" t="s">
        <v>1329</v>
      </c>
      <c r="J144" t="s">
        <v>1085</v>
      </c>
      <c r="K144" t="s">
        <v>1330</v>
      </c>
      <c r="L144" t="b">
        <f>Data_Completeness(MileageData[[#This Row],[MPG]:[Acceleration]])</f>
        <v>1</v>
      </c>
    </row>
    <row r="145" spans="1:12" x14ac:dyDescent="0.25">
      <c r="A145">
        <v>16</v>
      </c>
      <c r="B145">
        <v>8</v>
      </c>
      <c r="C145">
        <v>302</v>
      </c>
      <c r="D145">
        <v>140</v>
      </c>
      <c r="E145">
        <v>4141</v>
      </c>
      <c r="F145">
        <v>14</v>
      </c>
      <c r="G145">
        <v>74</v>
      </c>
      <c r="H145">
        <v>1</v>
      </c>
      <c r="I145" t="s">
        <v>1264</v>
      </c>
      <c r="J145" t="s">
        <v>1091</v>
      </c>
      <c r="K145" t="s">
        <v>1265</v>
      </c>
      <c r="L145" t="b">
        <f>Data_Completeness(MileageData[[#This Row],[MPG]:[Acceleration]])</f>
        <v>1</v>
      </c>
    </row>
    <row r="146" spans="1:12" x14ac:dyDescent="0.25">
      <c r="A146">
        <v>13</v>
      </c>
      <c r="B146">
        <v>8</v>
      </c>
      <c r="C146">
        <v>350</v>
      </c>
      <c r="D146">
        <v>150</v>
      </c>
      <c r="E146">
        <v>4699</v>
      </c>
      <c r="F146">
        <v>14.5</v>
      </c>
      <c r="G146">
        <v>74</v>
      </c>
      <c r="H146">
        <v>1</v>
      </c>
      <c r="I146" t="s">
        <v>1331</v>
      </c>
      <c r="J146" t="s">
        <v>1082</v>
      </c>
      <c r="K146" t="s">
        <v>1332</v>
      </c>
      <c r="L146" t="b">
        <f>Data_Completeness(MileageData[[#This Row],[MPG]:[Acceleration]])</f>
        <v>1</v>
      </c>
    </row>
    <row r="147" spans="1:12" x14ac:dyDescent="0.25">
      <c r="A147">
        <v>14</v>
      </c>
      <c r="B147">
        <v>8</v>
      </c>
      <c r="C147">
        <v>318</v>
      </c>
      <c r="D147">
        <v>150</v>
      </c>
      <c r="E147">
        <v>4457</v>
      </c>
      <c r="F147">
        <v>13.5</v>
      </c>
      <c r="G147">
        <v>74</v>
      </c>
      <c r="H147">
        <v>1</v>
      </c>
      <c r="I147" t="s">
        <v>1333</v>
      </c>
      <c r="J147" t="s">
        <v>1116</v>
      </c>
      <c r="K147" t="s">
        <v>1334</v>
      </c>
      <c r="L147" t="b">
        <f>Data_Completeness(MileageData[[#This Row],[MPG]:[Acceleration]])</f>
        <v>1</v>
      </c>
    </row>
    <row r="148" spans="1:12" x14ac:dyDescent="0.25">
      <c r="A148">
        <v>14</v>
      </c>
      <c r="B148">
        <v>8</v>
      </c>
      <c r="C148">
        <v>302</v>
      </c>
      <c r="D148">
        <v>140</v>
      </c>
      <c r="E148">
        <v>4638</v>
      </c>
      <c r="F148">
        <v>16</v>
      </c>
      <c r="G148">
        <v>74</v>
      </c>
      <c r="H148">
        <v>1</v>
      </c>
      <c r="I148" t="s">
        <v>1235</v>
      </c>
      <c r="J148" t="s">
        <v>1091</v>
      </c>
      <c r="K148" t="s">
        <v>1236</v>
      </c>
      <c r="L148" t="b">
        <f>Data_Completeness(MileageData[[#This Row],[MPG]:[Acceleration]])</f>
        <v>1</v>
      </c>
    </row>
    <row r="149" spans="1:12" x14ac:dyDescent="0.25">
      <c r="A149">
        <v>14</v>
      </c>
      <c r="B149">
        <v>8</v>
      </c>
      <c r="C149">
        <v>304</v>
      </c>
      <c r="D149">
        <v>150</v>
      </c>
      <c r="E149">
        <v>4257</v>
      </c>
      <c r="F149">
        <v>15.5</v>
      </c>
      <c r="G149">
        <v>74</v>
      </c>
      <c r="H149">
        <v>1</v>
      </c>
      <c r="I149" t="s">
        <v>1233</v>
      </c>
      <c r="J149" t="s">
        <v>1088</v>
      </c>
      <c r="K149" t="s">
        <v>1234</v>
      </c>
      <c r="L149" t="b">
        <f>Data_Completeness(MileageData[[#This Row],[MPG]:[Acceleration]])</f>
        <v>1</v>
      </c>
    </row>
    <row r="150" spans="1:12" x14ac:dyDescent="0.25">
      <c r="A150">
        <v>29</v>
      </c>
      <c r="B150">
        <v>4</v>
      </c>
      <c r="C150">
        <v>98</v>
      </c>
      <c r="D150">
        <v>83</v>
      </c>
      <c r="E150">
        <v>2219</v>
      </c>
      <c r="F150">
        <v>16.5</v>
      </c>
      <c r="G150">
        <v>74</v>
      </c>
      <c r="H150">
        <v>2</v>
      </c>
      <c r="I150" t="s">
        <v>1335</v>
      </c>
      <c r="J150" t="s">
        <v>1143</v>
      </c>
      <c r="K150" t="s">
        <v>1336</v>
      </c>
      <c r="L150" t="b">
        <f>Data_Completeness(MileageData[[#This Row],[MPG]:[Acceleration]])</f>
        <v>1</v>
      </c>
    </row>
    <row r="151" spans="1:12" x14ac:dyDescent="0.25">
      <c r="A151">
        <v>26</v>
      </c>
      <c r="B151">
        <v>4</v>
      </c>
      <c r="C151">
        <v>79</v>
      </c>
      <c r="D151">
        <v>67</v>
      </c>
      <c r="E151">
        <v>1963</v>
      </c>
      <c r="F151">
        <v>15.5</v>
      </c>
      <c r="G151">
        <v>74</v>
      </c>
      <c r="H151">
        <v>2</v>
      </c>
      <c r="I151" t="s">
        <v>1337</v>
      </c>
      <c r="J151" t="s">
        <v>1138</v>
      </c>
      <c r="K151" t="s">
        <v>1338</v>
      </c>
      <c r="L151" t="b">
        <f>Data_Completeness(MileageData[[#This Row],[MPG]:[Acceleration]])</f>
        <v>1</v>
      </c>
    </row>
    <row r="152" spans="1:12" x14ac:dyDescent="0.25">
      <c r="A152">
        <v>26</v>
      </c>
      <c r="B152">
        <v>4</v>
      </c>
      <c r="C152">
        <v>97</v>
      </c>
      <c r="D152">
        <v>78</v>
      </c>
      <c r="E152">
        <v>2300</v>
      </c>
      <c r="F152">
        <v>14.5</v>
      </c>
      <c r="G152">
        <v>74</v>
      </c>
      <c r="H152">
        <v>2</v>
      </c>
      <c r="I152" t="s">
        <v>1309</v>
      </c>
      <c r="J152" t="s">
        <v>1196</v>
      </c>
      <c r="K152" t="s">
        <v>1310</v>
      </c>
      <c r="L152" t="b">
        <f>Data_Completeness(MileageData[[#This Row],[MPG]:[Acceleration]])</f>
        <v>1</v>
      </c>
    </row>
    <row r="153" spans="1:12" x14ac:dyDescent="0.25">
      <c r="A153">
        <v>31</v>
      </c>
      <c r="B153">
        <v>4</v>
      </c>
      <c r="C153">
        <v>76</v>
      </c>
      <c r="D153">
        <v>52</v>
      </c>
      <c r="E153">
        <v>1649</v>
      </c>
      <c r="F153">
        <v>16.5</v>
      </c>
      <c r="G153">
        <v>74</v>
      </c>
      <c r="H153">
        <v>3</v>
      </c>
      <c r="I153" t="s">
        <v>1164</v>
      </c>
      <c r="J153" t="s">
        <v>1126</v>
      </c>
      <c r="K153" t="s">
        <v>1165</v>
      </c>
      <c r="L153" t="b">
        <f>Data_Completeness(MileageData[[#This Row],[MPG]:[Acceleration]])</f>
        <v>1</v>
      </c>
    </row>
    <row r="154" spans="1:12" x14ac:dyDescent="0.25">
      <c r="A154">
        <v>32</v>
      </c>
      <c r="B154">
        <v>4</v>
      </c>
      <c r="C154">
        <v>83</v>
      </c>
      <c r="D154">
        <v>61</v>
      </c>
      <c r="E154">
        <v>2003</v>
      </c>
      <c r="F154">
        <v>19</v>
      </c>
      <c r="G154">
        <v>74</v>
      </c>
      <c r="H154">
        <v>3</v>
      </c>
      <c r="I154" t="s">
        <v>1339</v>
      </c>
      <c r="J154" t="s">
        <v>1135</v>
      </c>
      <c r="K154">
        <v>710</v>
      </c>
      <c r="L154" t="b">
        <f>Data_Completeness(MileageData[[#This Row],[MPG]:[Acceleration]])</f>
        <v>1</v>
      </c>
    </row>
    <row r="155" spans="1:12" x14ac:dyDescent="0.25">
      <c r="A155">
        <v>28</v>
      </c>
      <c r="B155">
        <v>4</v>
      </c>
      <c r="C155">
        <v>90</v>
      </c>
      <c r="D155">
        <v>75</v>
      </c>
      <c r="E155">
        <v>2125</v>
      </c>
      <c r="F155">
        <v>14.5</v>
      </c>
      <c r="G155">
        <v>74</v>
      </c>
      <c r="H155">
        <v>1</v>
      </c>
      <c r="I155" t="s">
        <v>1340</v>
      </c>
      <c r="J155" t="s">
        <v>1116</v>
      </c>
      <c r="K155" t="s">
        <v>1341</v>
      </c>
      <c r="L155" t="b">
        <f>Data_Completeness(MileageData[[#This Row],[MPG]:[Acceleration]])</f>
        <v>1</v>
      </c>
    </row>
    <row r="156" spans="1:12" x14ac:dyDescent="0.25">
      <c r="A156">
        <v>24</v>
      </c>
      <c r="B156">
        <v>4</v>
      </c>
      <c r="C156">
        <v>90</v>
      </c>
      <c r="D156">
        <v>75</v>
      </c>
      <c r="E156">
        <v>2108</v>
      </c>
      <c r="F156">
        <v>15.5</v>
      </c>
      <c r="G156">
        <v>74</v>
      </c>
      <c r="H156">
        <v>2</v>
      </c>
      <c r="I156" t="s">
        <v>1308</v>
      </c>
      <c r="J156" t="s">
        <v>1199</v>
      </c>
      <c r="K156">
        <v>128</v>
      </c>
      <c r="L156" t="b">
        <f>Data_Completeness(MileageData[[#This Row],[MPG]:[Acceleration]])</f>
        <v>1</v>
      </c>
    </row>
    <row r="157" spans="1:12" x14ac:dyDescent="0.25">
      <c r="A157">
        <v>26</v>
      </c>
      <c r="B157">
        <v>4</v>
      </c>
      <c r="C157">
        <v>116</v>
      </c>
      <c r="D157">
        <v>75</v>
      </c>
      <c r="E157">
        <v>2246</v>
      </c>
      <c r="F157">
        <v>14</v>
      </c>
      <c r="G157">
        <v>74</v>
      </c>
      <c r="H157">
        <v>2</v>
      </c>
      <c r="I157" t="s">
        <v>1342</v>
      </c>
      <c r="J157" t="s">
        <v>1199</v>
      </c>
      <c r="K157" t="s">
        <v>1343</v>
      </c>
      <c r="L157" t="b">
        <f>Data_Completeness(MileageData[[#This Row],[MPG]:[Acceleration]])</f>
        <v>1</v>
      </c>
    </row>
    <row r="158" spans="1:12" x14ac:dyDescent="0.25">
      <c r="A158">
        <v>24</v>
      </c>
      <c r="B158">
        <v>4</v>
      </c>
      <c r="C158">
        <v>120</v>
      </c>
      <c r="D158">
        <v>97</v>
      </c>
      <c r="E158">
        <v>2489</v>
      </c>
      <c r="F158">
        <v>15</v>
      </c>
      <c r="G158">
        <v>74</v>
      </c>
      <c r="H158">
        <v>3</v>
      </c>
      <c r="I158" t="s">
        <v>1344</v>
      </c>
      <c r="J158" t="s">
        <v>1345</v>
      </c>
      <c r="K158" t="s">
        <v>1346</v>
      </c>
      <c r="L158" t="b">
        <f>Data_Completeness(MileageData[[#This Row],[MPG]:[Acceleration]])</f>
        <v>1</v>
      </c>
    </row>
    <row r="159" spans="1:12" x14ac:dyDescent="0.25">
      <c r="A159">
        <v>26</v>
      </c>
      <c r="B159">
        <v>4</v>
      </c>
      <c r="C159">
        <v>108</v>
      </c>
      <c r="D159">
        <v>93</v>
      </c>
      <c r="E159">
        <v>2391</v>
      </c>
      <c r="F159">
        <v>15.5</v>
      </c>
      <c r="G159">
        <v>74</v>
      </c>
      <c r="H159">
        <v>3</v>
      </c>
      <c r="I159" t="s">
        <v>1347</v>
      </c>
      <c r="J159" t="e">
        <v>#VALUE!</v>
      </c>
      <c r="K159" t="e">
        <v>#VALUE!</v>
      </c>
      <c r="L159" t="b">
        <f>Data_Completeness(MileageData[[#This Row],[MPG]:[Acceleration]])</f>
        <v>1</v>
      </c>
    </row>
    <row r="160" spans="1:12" x14ac:dyDescent="0.25">
      <c r="A160">
        <v>31</v>
      </c>
      <c r="B160">
        <v>4</v>
      </c>
      <c r="C160">
        <v>79</v>
      </c>
      <c r="D160">
        <v>67</v>
      </c>
      <c r="E160">
        <v>2000</v>
      </c>
      <c r="F160">
        <v>16</v>
      </c>
      <c r="G160">
        <v>74</v>
      </c>
      <c r="H160">
        <v>2</v>
      </c>
      <c r="I160" t="s">
        <v>1348</v>
      </c>
      <c r="J160" t="s">
        <v>1199</v>
      </c>
      <c r="K160" t="s">
        <v>1349</v>
      </c>
      <c r="L160" t="b">
        <f>Data_Completeness(MileageData[[#This Row],[MPG]:[Acceleration]])</f>
        <v>1</v>
      </c>
    </row>
    <row r="161" spans="1:12" x14ac:dyDescent="0.25">
      <c r="A161">
        <v>19</v>
      </c>
      <c r="B161">
        <v>6</v>
      </c>
      <c r="C161">
        <v>225</v>
      </c>
      <c r="D161">
        <v>95</v>
      </c>
      <c r="E161">
        <v>3264</v>
      </c>
      <c r="F161">
        <v>16</v>
      </c>
      <c r="G161">
        <v>75</v>
      </c>
      <c r="H161">
        <v>1</v>
      </c>
      <c r="I161" t="s">
        <v>1350</v>
      </c>
      <c r="J161" t="s">
        <v>1085</v>
      </c>
      <c r="K161" t="s">
        <v>1351</v>
      </c>
      <c r="L161" t="b">
        <f>Data_Completeness(MileageData[[#This Row],[MPG]:[Acceleration]])</f>
        <v>1</v>
      </c>
    </row>
    <row r="162" spans="1:12" x14ac:dyDescent="0.25">
      <c r="A162">
        <v>18</v>
      </c>
      <c r="B162">
        <v>6</v>
      </c>
      <c r="C162">
        <v>250</v>
      </c>
      <c r="D162">
        <v>105</v>
      </c>
      <c r="E162">
        <v>3459</v>
      </c>
      <c r="F162">
        <v>16</v>
      </c>
      <c r="G162">
        <v>75</v>
      </c>
      <c r="H162">
        <v>1</v>
      </c>
      <c r="I162" t="s">
        <v>1323</v>
      </c>
      <c r="J162" t="s">
        <v>1079</v>
      </c>
      <c r="K162" t="s">
        <v>1324</v>
      </c>
      <c r="L162" t="b">
        <f>Data_Completeness(MileageData[[#This Row],[MPG]:[Acceleration]])</f>
        <v>1</v>
      </c>
    </row>
    <row r="163" spans="1:12" x14ac:dyDescent="0.25">
      <c r="A163">
        <v>15</v>
      </c>
      <c r="B163">
        <v>6</v>
      </c>
      <c r="C163">
        <v>250</v>
      </c>
      <c r="D163">
        <v>72</v>
      </c>
      <c r="E163">
        <v>3432</v>
      </c>
      <c r="F163">
        <v>21</v>
      </c>
      <c r="G163">
        <v>75</v>
      </c>
      <c r="H163">
        <v>1</v>
      </c>
      <c r="I163" t="s">
        <v>1352</v>
      </c>
      <c r="J163" t="s">
        <v>1193</v>
      </c>
      <c r="K163" t="s">
        <v>1353</v>
      </c>
      <c r="L163" t="b">
        <f>Data_Completeness(MileageData[[#This Row],[MPG]:[Acceleration]])</f>
        <v>1</v>
      </c>
    </row>
    <row r="164" spans="1:12" x14ac:dyDescent="0.25">
      <c r="A164">
        <v>15</v>
      </c>
      <c r="B164">
        <v>6</v>
      </c>
      <c r="C164">
        <v>250</v>
      </c>
      <c r="D164">
        <v>72</v>
      </c>
      <c r="E164">
        <v>3158</v>
      </c>
      <c r="F164">
        <v>19.5</v>
      </c>
      <c r="G164">
        <v>75</v>
      </c>
      <c r="H164">
        <v>1</v>
      </c>
      <c r="I164" t="s">
        <v>1132</v>
      </c>
      <c r="J164" t="s">
        <v>1091</v>
      </c>
      <c r="K164" t="s">
        <v>1133</v>
      </c>
      <c r="L164" t="b">
        <f>Data_Completeness(MileageData[[#This Row],[MPG]:[Acceleration]])</f>
        <v>1</v>
      </c>
    </row>
    <row r="165" spans="1:12" x14ac:dyDescent="0.25">
      <c r="A165">
        <v>16</v>
      </c>
      <c r="B165">
        <v>8</v>
      </c>
      <c r="C165">
        <v>400</v>
      </c>
      <c r="D165">
        <v>170</v>
      </c>
      <c r="E165">
        <v>4668</v>
      </c>
      <c r="F165">
        <v>11.5</v>
      </c>
      <c r="G165">
        <v>75</v>
      </c>
      <c r="H165">
        <v>1</v>
      </c>
      <c r="I165" t="s">
        <v>1099</v>
      </c>
      <c r="J165" t="s">
        <v>1100</v>
      </c>
      <c r="K165" t="s">
        <v>1101</v>
      </c>
      <c r="L165" t="b">
        <f>Data_Completeness(MileageData[[#This Row],[MPG]:[Acceleration]])</f>
        <v>1</v>
      </c>
    </row>
    <row r="166" spans="1:12" x14ac:dyDescent="0.25">
      <c r="A166">
        <v>15</v>
      </c>
      <c r="B166">
        <v>8</v>
      </c>
      <c r="C166">
        <v>350</v>
      </c>
      <c r="D166">
        <v>145</v>
      </c>
      <c r="E166">
        <v>4440</v>
      </c>
      <c r="F166">
        <v>14</v>
      </c>
      <c r="G166">
        <v>75</v>
      </c>
      <c r="H166">
        <v>1</v>
      </c>
      <c r="I166" t="s">
        <v>1354</v>
      </c>
      <c r="J166" t="s">
        <v>1079</v>
      </c>
      <c r="K166" t="s">
        <v>1355</v>
      </c>
      <c r="L166" t="b">
        <f>Data_Completeness(MileageData[[#This Row],[MPG]:[Acceleration]])</f>
        <v>1</v>
      </c>
    </row>
    <row r="167" spans="1:12" x14ac:dyDescent="0.25">
      <c r="A167">
        <v>16</v>
      </c>
      <c r="B167">
        <v>8</v>
      </c>
      <c r="C167">
        <v>318</v>
      </c>
      <c r="D167">
        <v>150</v>
      </c>
      <c r="E167">
        <v>4498</v>
      </c>
      <c r="F167">
        <v>14.5</v>
      </c>
      <c r="G167">
        <v>75</v>
      </c>
      <c r="H167">
        <v>1</v>
      </c>
      <c r="I167" t="s">
        <v>1356</v>
      </c>
      <c r="J167" t="s">
        <v>1085</v>
      </c>
      <c r="K167" t="s">
        <v>1357</v>
      </c>
      <c r="L167" t="b">
        <f>Data_Completeness(MileageData[[#This Row],[MPG]:[Acceleration]])</f>
        <v>1</v>
      </c>
    </row>
    <row r="168" spans="1:12" x14ac:dyDescent="0.25">
      <c r="A168">
        <v>14</v>
      </c>
      <c r="B168">
        <v>8</v>
      </c>
      <c r="C168">
        <v>351</v>
      </c>
      <c r="D168">
        <v>148</v>
      </c>
      <c r="E168">
        <v>4657</v>
      </c>
      <c r="F168">
        <v>13.5</v>
      </c>
      <c r="G168">
        <v>75</v>
      </c>
      <c r="H168">
        <v>1</v>
      </c>
      <c r="I168" t="s">
        <v>1272</v>
      </c>
      <c r="J168" t="s">
        <v>1091</v>
      </c>
      <c r="K168" t="s">
        <v>1273</v>
      </c>
      <c r="L168" t="b">
        <f>Data_Completeness(MileageData[[#This Row],[MPG]:[Acceleration]])</f>
        <v>1</v>
      </c>
    </row>
    <row r="169" spans="1:12" x14ac:dyDescent="0.25">
      <c r="A169">
        <v>17</v>
      </c>
      <c r="B169">
        <v>6</v>
      </c>
      <c r="C169">
        <v>231</v>
      </c>
      <c r="D169">
        <v>110</v>
      </c>
      <c r="E169">
        <v>3907</v>
      </c>
      <c r="F169">
        <v>21</v>
      </c>
      <c r="G169">
        <v>75</v>
      </c>
      <c r="H169">
        <v>1</v>
      </c>
      <c r="I169" t="s">
        <v>1358</v>
      </c>
      <c r="J169" t="s">
        <v>1082</v>
      </c>
      <c r="K169" t="s">
        <v>1359</v>
      </c>
      <c r="L169" t="b">
        <f>Data_Completeness(MileageData[[#This Row],[MPG]:[Acceleration]])</f>
        <v>1</v>
      </c>
    </row>
    <row r="170" spans="1:12" x14ac:dyDescent="0.25">
      <c r="A170">
        <v>16</v>
      </c>
      <c r="B170">
        <v>6</v>
      </c>
      <c r="C170">
        <v>250</v>
      </c>
      <c r="D170">
        <v>105</v>
      </c>
      <c r="E170">
        <v>3897</v>
      </c>
      <c r="F170">
        <v>18.5</v>
      </c>
      <c r="G170">
        <v>75</v>
      </c>
      <c r="H170">
        <v>1</v>
      </c>
      <c r="I170" t="s">
        <v>1360</v>
      </c>
      <c r="J170" t="s">
        <v>1361</v>
      </c>
      <c r="K170" t="s">
        <v>1080</v>
      </c>
      <c r="L170" t="b">
        <f>Data_Completeness(MileageData[[#This Row],[MPG]:[Acceleration]])</f>
        <v>1</v>
      </c>
    </row>
    <row r="171" spans="1:12" x14ac:dyDescent="0.25">
      <c r="A171">
        <v>15</v>
      </c>
      <c r="B171">
        <v>6</v>
      </c>
      <c r="C171">
        <v>258</v>
      </c>
      <c r="D171">
        <v>110</v>
      </c>
      <c r="E171">
        <v>3730</v>
      </c>
      <c r="F171">
        <v>19</v>
      </c>
      <c r="G171">
        <v>75</v>
      </c>
      <c r="H171">
        <v>1</v>
      </c>
      <c r="I171" t="s">
        <v>1174</v>
      </c>
      <c r="J171" t="s">
        <v>1088</v>
      </c>
      <c r="K171" t="s">
        <v>1175</v>
      </c>
      <c r="L171" t="b">
        <f>Data_Completeness(MileageData[[#This Row],[MPG]:[Acceleration]])</f>
        <v>1</v>
      </c>
    </row>
    <row r="172" spans="1:12" x14ac:dyDescent="0.25">
      <c r="A172">
        <v>18</v>
      </c>
      <c r="B172">
        <v>6</v>
      </c>
      <c r="C172">
        <v>225</v>
      </c>
      <c r="D172">
        <v>95</v>
      </c>
      <c r="E172">
        <v>3785</v>
      </c>
      <c r="F172">
        <v>19</v>
      </c>
      <c r="G172">
        <v>75</v>
      </c>
      <c r="H172">
        <v>1</v>
      </c>
      <c r="I172" t="s">
        <v>1362</v>
      </c>
      <c r="J172" t="s">
        <v>1085</v>
      </c>
      <c r="K172" t="s">
        <v>1363</v>
      </c>
      <c r="L172" t="b">
        <f>Data_Completeness(MileageData[[#This Row],[MPG]:[Acceleration]])</f>
        <v>1</v>
      </c>
    </row>
    <row r="173" spans="1:12" x14ac:dyDescent="0.25">
      <c r="A173">
        <v>21</v>
      </c>
      <c r="B173">
        <v>6</v>
      </c>
      <c r="C173">
        <v>231</v>
      </c>
      <c r="D173">
        <v>110</v>
      </c>
      <c r="E173">
        <v>3039</v>
      </c>
      <c r="F173">
        <v>15</v>
      </c>
      <c r="G173">
        <v>75</v>
      </c>
      <c r="H173">
        <v>1</v>
      </c>
      <c r="I173" t="s">
        <v>1364</v>
      </c>
      <c r="J173" t="s">
        <v>1082</v>
      </c>
      <c r="K173" t="s">
        <v>1365</v>
      </c>
      <c r="L173" t="b">
        <f>Data_Completeness(MileageData[[#This Row],[MPG]:[Acceleration]])</f>
        <v>1</v>
      </c>
    </row>
    <row r="174" spans="1:12" x14ac:dyDescent="0.25">
      <c r="A174">
        <v>20</v>
      </c>
      <c r="B174">
        <v>8</v>
      </c>
      <c r="C174">
        <v>262</v>
      </c>
      <c r="D174">
        <v>110</v>
      </c>
      <c r="E174">
        <v>3221</v>
      </c>
      <c r="F174">
        <v>13.5</v>
      </c>
      <c r="G174">
        <v>75</v>
      </c>
      <c r="H174">
        <v>1</v>
      </c>
      <c r="I174" t="s">
        <v>1366</v>
      </c>
      <c r="J174" t="s">
        <v>1079</v>
      </c>
      <c r="K174" t="s">
        <v>1367</v>
      </c>
      <c r="L174" t="b">
        <f>Data_Completeness(MileageData[[#This Row],[MPG]:[Acceleration]])</f>
        <v>1</v>
      </c>
    </row>
    <row r="175" spans="1:12" x14ac:dyDescent="0.25">
      <c r="A175">
        <v>13</v>
      </c>
      <c r="B175">
        <v>8</v>
      </c>
      <c r="C175">
        <v>302</v>
      </c>
      <c r="D175">
        <v>129</v>
      </c>
      <c r="E175">
        <v>3169</v>
      </c>
      <c r="F175">
        <v>12</v>
      </c>
      <c r="G175">
        <v>75</v>
      </c>
      <c r="H175">
        <v>1</v>
      </c>
      <c r="I175" t="s">
        <v>1368</v>
      </c>
      <c r="J175" t="s">
        <v>1091</v>
      </c>
      <c r="K175" t="s">
        <v>1369</v>
      </c>
      <c r="L175" t="b">
        <f>Data_Completeness(MileageData[[#This Row],[MPG]:[Acceleration]])</f>
        <v>1</v>
      </c>
    </row>
    <row r="176" spans="1:12" x14ac:dyDescent="0.25">
      <c r="A176">
        <v>29</v>
      </c>
      <c r="B176">
        <v>4</v>
      </c>
      <c r="C176">
        <v>97</v>
      </c>
      <c r="D176">
        <v>75</v>
      </c>
      <c r="E176">
        <v>2171</v>
      </c>
      <c r="F176">
        <v>16</v>
      </c>
      <c r="G176">
        <v>75</v>
      </c>
      <c r="H176">
        <v>3</v>
      </c>
      <c r="I176" t="s">
        <v>1370</v>
      </c>
      <c r="J176" t="s">
        <v>1126</v>
      </c>
      <c r="K176" t="s">
        <v>1371</v>
      </c>
      <c r="L176" t="b">
        <f>Data_Completeness(MileageData[[#This Row],[MPG]:[Acceleration]])</f>
        <v>1</v>
      </c>
    </row>
    <row r="177" spans="1:12" x14ac:dyDescent="0.25">
      <c r="A177">
        <v>23</v>
      </c>
      <c r="B177">
        <v>4</v>
      </c>
      <c r="C177">
        <v>140</v>
      </c>
      <c r="D177">
        <v>83</v>
      </c>
      <c r="E177">
        <v>2639</v>
      </c>
      <c r="F177">
        <v>17</v>
      </c>
      <c r="G177">
        <v>75</v>
      </c>
      <c r="H177">
        <v>1</v>
      </c>
      <c r="I177" t="s">
        <v>1166</v>
      </c>
      <c r="J177" t="s">
        <v>1091</v>
      </c>
      <c r="K177" t="s">
        <v>1167</v>
      </c>
      <c r="L177" t="b">
        <f>Data_Completeness(MileageData[[#This Row],[MPG]:[Acceleration]])</f>
        <v>1</v>
      </c>
    </row>
    <row r="178" spans="1:12" x14ac:dyDescent="0.25">
      <c r="A178">
        <v>20</v>
      </c>
      <c r="B178">
        <v>6</v>
      </c>
      <c r="C178">
        <v>232</v>
      </c>
      <c r="D178">
        <v>100</v>
      </c>
      <c r="E178">
        <v>2914</v>
      </c>
      <c r="F178">
        <v>16</v>
      </c>
      <c r="G178">
        <v>75</v>
      </c>
      <c r="H178">
        <v>1</v>
      </c>
      <c r="I178" t="s">
        <v>1150</v>
      </c>
      <c r="J178" t="s">
        <v>1088</v>
      </c>
      <c r="K178" t="s">
        <v>1151</v>
      </c>
      <c r="L178" t="b">
        <f>Data_Completeness(MileageData[[#This Row],[MPG]:[Acceleration]])</f>
        <v>1</v>
      </c>
    </row>
    <row r="179" spans="1:12" x14ac:dyDescent="0.25">
      <c r="A179">
        <v>23</v>
      </c>
      <c r="B179">
        <v>4</v>
      </c>
      <c r="C179">
        <v>140</v>
      </c>
      <c r="D179">
        <v>78</v>
      </c>
      <c r="E179">
        <v>2592</v>
      </c>
      <c r="F179">
        <v>18.5</v>
      </c>
      <c r="G179">
        <v>75</v>
      </c>
      <c r="H179">
        <v>1</v>
      </c>
      <c r="I179" t="s">
        <v>1372</v>
      </c>
      <c r="J179" t="s">
        <v>1100</v>
      </c>
      <c r="K179" t="s">
        <v>1373</v>
      </c>
      <c r="L179" t="b">
        <f>Data_Completeness(MileageData[[#This Row],[MPG]:[Acceleration]])</f>
        <v>1</v>
      </c>
    </row>
    <row r="180" spans="1:12" x14ac:dyDescent="0.25">
      <c r="A180">
        <v>24</v>
      </c>
      <c r="B180">
        <v>4</v>
      </c>
      <c r="C180">
        <v>134</v>
      </c>
      <c r="D180">
        <v>96</v>
      </c>
      <c r="E180">
        <v>2702</v>
      </c>
      <c r="F180">
        <v>13.5</v>
      </c>
      <c r="G180">
        <v>75</v>
      </c>
      <c r="H180">
        <v>3</v>
      </c>
      <c r="I180" t="s">
        <v>1164</v>
      </c>
      <c r="J180" t="s">
        <v>1126</v>
      </c>
      <c r="K180" t="s">
        <v>1165</v>
      </c>
      <c r="L180" t="b">
        <f>Data_Completeness(MileageData[[#This Row],[MPG]:[Acceleration]])</f>
        <v>1</v>
      </c>
    </row>
    <row r="181" spans="1:12" x14ac:dyDescent="0.25">
      <c r="A181">
        <v>25</v>
      </c>
      <c r="B181">
        <v>4</v>
      </c>
      <c r="C181">
        <v>90</v>
      </c>
      <c r="D181">
        <v>71</v>
      </c>
      <c r="E181">
        <v>2223</v>
      </c>
      <c r="F181">
        <v>16.5</v>
      </c>
      <c r="G181">
        <v>75</v>
      </c>
      <c r="H181">
        <v>2</v>
      </c>
      <c r="I181" t="s">
        <v>1337</v>
      </c>
      <c r="J181" t="s">
        <v>1138</v>
      </c>
      <c r="K181" t="s">
        <v>1338</v>
      </c>
      <c r="L181" t="b">
        <f>Data_Completeness(MileageData[[#This Row],[MPG]:[Acceleration]])</f>
        <v>1</v>
      </c>
    </row>
    <row r="182" spans="1:12" x14ac:dyDescent="0.25">
      <c r="A182">
        <v>24</v>
      </c>
      <c r="B182">
        <v>4</v>
      </c>
      <c r="C182">
        <v>119</v>
      </c>
      <c r="D182">
        <v>97</v>
      </c>
      <c r="E182">
        <v>2545</v>
      </c>
      <c r="F182">
        <v>17</v>
      </c>
      <c r="G182">
        <v>75</v>
      </c>
      <c r="H182">
        <v>3</v>
      </c>
      <c r="I182" t="s">
        <v>1339</v>
      </c>
      <c r="J182" t="s">
        <v>1135</v>
      </c>
      <c r="K182">
        <v>710</v>
      </c>
      <c r="L182" t="b">
        <f>Data_Completeness(MileageData[[#This Row],[MPG]:[Acceleration]])</f>
        <v>1</v>
      </c>
    </row>
    <row r="183" spans="1:12" x14ac:dyDescent="0.25">
      <c r="A183">
        <v>18</v>
      </c>
      <c r="B183">
        <v>6</v>
      </c>
      <c r="C183">
        <v>171</v>
      </c>
      <c r="D183">
        <v>97</v>
      </c>
      <c r="E183">
        <v>2984</v>
      </c>
      <c r="F183">
        <v>14.5</v>
      </c>
      <c r="G183">
        <v>75</v>
      </c>
      <c r="H183">
        <v>1</v>
      </c>
      <c r="I183" t="s">
        <v>1166</v>
      </c>
      <c r="J183" t="s">
        <v>1091</v>
      </c>
      <c r="K183" t="s">
        <v>1167</v>
      </c>
      <c r="L183" t="b">
        <f>Data_Completeness(MileageData[[#This Row],[MPG]:[Acceleration]])</f>
        <v>1</v>
      </c>
    </row>
    <row r="184" spans="1:12" x14ac:dyDescent="0.25">
      <c r="A184">
        <v>29</v>
      </c>
      <c r="B184">
        <v>4</v>
      </c>
      <c r="C184">
        <v>90</v>
      </c>
      <c r="D184">
        <v>70</v>
      </c>
      <c r="E184">
        <v>1937</v>
      </c>
      <c r="F184">
        <v>14</v>
      </c>
      <c r="G184">
        <v>75</v>
      </c>
      <c r="H184">
        <v>2</v>
      </c>
      <c r="I184" t="s">
        <v>1374</v>
      </c>
      <c r="J184" t="s">
        <v>1138</v>
      </c>
      <c r="K184" t="s">
        <v>1375</v>
      </c>
      <c r="L184" t="b">
        <f>Data_Completeness(MileageData[[#This Row],[MPG]:[Acceleration]])</f>
        <v>1</v>
      </c>
    </row>
    <row r="185" spans="1:12" x14ac:dyDescent="0.25">
      <c r="A185">
        <v>19</v>
      </c>
      <c r="B185">
        <v>6</v>
      </c>
      <c r="C185">
        <v>232</v>
      </c>
      <c r="D185">
        <v>90</v>
      </c>
      <c r="E185">
        <v>3211</v>
      </c>
      <c r="F185">
        <v>17</v>
      </c>
      <c r="G185">
        <v>75</v>
      </c>
      <c r="H185">
        <v>1</v>
      </c>
      <c r="I185" t="s">
        <v>1376</v>
      </c>
      <c r="J185" t="s">
        <v>1088</v>
      </c>
      <c r="K185" t="s">
        <v>1377</v>
      </c>
      <c r="L185" t="b">
        <f>Data_Completeness(MileageData[[#This Row],[MPG]:[Acceleration]])</f>
        <v>1</v>
      </c>
    </row>
    <row r="186" spans="1:12" x14ac:dyDescent="0.25">
      <c r="A186">
        <v>23</v>
      </c>
      <c r="B186">
        <v>4</v>
      </c>
      <c r="C186">
        <v>115</v>
      </c>
      <c r="D186">
        <v>95</v>
      </c>
      <c r="E186">
        <v>2694</v>
      </c>
      <c r="F186">
        <v>15</v>
      </c>
      <c r="G186">
        <v>75</v>
      </c>
      <c r="H186">
        <v>2</v>
      </c>
      <c r="I186" t="s">
        <v>1311</v>
      </c>
      <c r="J186" t="s">
        <v>1143</v>
      </c>
      <c r="K186" t="s">
        <v>1312</v>
      </c>
      <c r="L186" t="b">
        <f>Data_Completeness(MileageData[[#This Row],[MPG]:[Acceleration]])</f>
        <v>1</v>
      </c>
    </row>
    <row r="187" spans="1:12" x14ac:dyDescent="0.25">
      <c r="A187">
        <v>23</v>
      </c>
      <c r="B187">
        <v>4</v>
      </c>
      <c r="C187">
        <v>120</v>
      </c>
      <c r="D187">
        <v>88</v>
      </c>
      <c r="E187">
        <v>2957</v>
      </c>
      <c r="F187">
        <v>17</v>
      </c>
      <c r="G187">
        <v>75</v>
      </c>
      <c r="H187">
        <v>2</v>
      </c>
      <c r="I187" t="s">
        <v>1140</v>
      </c>
      <c r="J187" t="s">
        <v>1141</v>
      </c>
      <c r="K187">
        <v>504</v>
      </c>
      <c r="L187" t="b">
        <f>Data_Completeness(MileageData[[#This Row],[MPG]:[Acceleration]])</f>
        <v>1</v>
      </c>
    </row>
    <row r="188" spans="1:12" x14ac:dyDescent="0.25">
      <c r="A188">
        <v>22</v>
      </c>
      <c r="B188">
        <v>4</v>
      </c>
      <c r="C188">
        <v>121</v>
      </c>
      <c r="D188">
        <v>98</v>
      </c>
      <c r="E188">
        <v>2945</v>
      </c>
      <c r="F188">
        <v>14.5</v>
      </c>
      <c r="G188">
        <v>75</v>
      </c>
      <c r="H188">
        <v>2</v>
      </c>
      <c r="I188" t="s">
        <v>1378</v>
      </c>
      <c r="J188" t="s">
        <v>1240</v>
      </c>
      <c r="K188" t="s">
        <v>1379</v>
      </c>
      <c r="L188" t="b">
        <f>Data_Completeness(MileageData[[#This Row],[MPG]:[Acceleration]])</f>
        <v>1</v>
      </c>
    </row>
    <row r="189" spans="1:12" x14ac:dyDescent="0.25">
      <c r="A189">
        <v>25</v>
      </c>
      <c r="B189">
        <v>4</v>
      </c>
      <c r="C189">
        <v>121</v>
      </c>
      <c r="D189">
        <v>115</v>
      </c>
      <c r="E189">
        <v>2671</v>
      </c>
      <c r="F189">
        <v>13.5</v>
      </c>
      <c r="G189">
        <v>75</v>
      </c>
      <c r="H189">
        <v>2</v>
      </c>
      <c r="I189" t="s">
        <v>1317</v>
      </c>
      <c r="J189" t="s">
        <v>1146</v>
      </c>
      <c r="K189" t="s">
        <v>1318</v>
      </c>
      <c r="L189" t="b">
        <f>Data_Completeness(MileageData[[#This Row],[MPG]:[Acceleration]])</f>
        <v>1</v>
      </c>
    </row>
    <row r="190" spans="1:12" x14ac:dyDescent="0.25">
      <c r="A190">
        <v>33</v>
      </c>
      <c r="B190">
        <v>4</v>
      </c>
      <c r="C190">
        <v>91</v>
      </c>
      <c r="D190">
        <v>53</v>
      </c>
      <c r="E190">
        <v>1795</v>
      </c>
      <c r="F190">
        <v>17.5</v>
      </c>
      <c r="G190">
        <v>75</v>
      </c>
      <c r="H190">
        <v>3</v>
      </c>
      <c r="I190" t="s">
        <v>1380</v>
      </c>
      <c r="J190" t="s">
        <v>1345</v>
      </c>
      <c r="K190" t="s">
        <v>1381</v>
      </c>
      <c r="L190" t="b">
        <f>Data_Completeness(MileageData[[#This Row],[MPG]:[Acceleration]])</f>
        <v>1</v>
      </c>
    </row>
    <row r="191" spans="1:12" x14ac:dyDescent="0.25">
      <c r="A191">
        <v>28</v>
      </c>
      <c r="B191">
        <v>4</v>
      </c>
      <c r="C191">
        <v>107</v>
      </c>
      <c r="D191">
        <v>86</v>
      </c>
      <c r="E191">
        <v>2464</v>
      </c>
      <c r="F191">
        <v>15.5</v>
      </c>
      <c r="G191">
        <v>76</v>
      </c>
      <c r="H191">
        <v>2</v>
      </c>
      <c r="I191" t="s">
        <v>1382</v>
      </c>
      <c r="J191" t="s">
        <v>1199</v>
      </c>
      <c r="K191">
        <v>131</v>
      </c>
      <c r="L191" t="b">
        <f>Data_Completeness(MileageData[[#This Row],[MPG]:[Acceleration]])</f>
        <v>1</v>
      </c>
    </row>
    <row r="192" spans="1:12" x14ac:dyDescent="0.25">
      <c r="A192">
        <v>25</v>
      </c>
      <c r="B192">
        <v>4</v>
      </c>
      <c r="C192">
        <v>116</v>
      </c>
      <c r="D192">
        <v>81</v>
      </c>
      <c r="E192">
        <v>2220</v>
      </c>
      <c r="F192">
        <v>16.899999999999999</v>
      </c>
      <c r="G192">
        <v>76</v>
      </c>
      <c r="H192">
        <v>2</v>
      </c>
      <c r="I192" t="s">
        <v>1195</v>
      </c>
      <c r="J192" t="s">
        <v>1196</v>
      </c>
      <c r="K192">
        <v>1900</v>
      </c>
      <c r="L192" t="b">
        <f>Data_Completeness(MileageData[[#This Row],[MPG]:[Acceleration]])</f>
        <v>1</v>
      </c>
    </row>
    <row r="193" spans="1:12" x14ac:dyDescent="0.25">
      <c r="A193">
        <v>25</v>
      </c>
      <c r="B193">
        <v>4</v>
      </c>
      <c r="C193">
        <v>140</v>
      </c>
      <c r="D193">
        <v>92</v>
      </c>
      <c r="E193">
        <v>2572</v>
      </c>
      <c r="F193">
        <v>14.9</v>
      </c>
      <c r="G193">
        <v>76</v>
      </c>
      <c r="H193">
        <v>1</v>
      </c>
      <c r="I193" t="s">
        <v>1383</v>
      </c>
      <c r="J193" t="s">
        <v>1384</v>
      </c>
      <c r="K193" t="s">
        <v>1385</v>
      </c>
      <c r="L193" t="b">
        <f>Data_Completeness(MileageData[[#This Row],[MPG]:[Acceleration]])</f>
        <v>1</v>
      </c>
    </row>
    <row r="194" spans="1:12" x14ac:dyDescent="0.25">
      <c r="A194">
        <v>26</v>
      </c>
      <c r="B194">
        <v>4</v>
      </c>
      <c r="C194">
        <v>98</v>
      </c>
      <c r="D194">
        <v>79</v>
      </c>
      <c r="E194">
        <v>2255</v>
      </c>
      <c r="F194">
        <v>17.7</v>
      </c>
      <c r="G194">
        <v>76</v>
      </c>
      <c r="H194">
        <v>1</v>
      </c>
      <c r="I194" t="s">
        <v>1340</v>
      </c>
      <c r="J194" t="s">
        <v>1116</v>
      </c>
      <c r="K194" t="s">
        <v>1341</v>
      </c>
      <c r="L194" t="b">
        <f>Data_Completeness(MileageData[[#This Row],[MPG]:[Acceleration]])</f>
        <v>1</v>
      </c>
    </row>
    <row r="195" spans="1:12" x14ac:dyDescent="0.25">
      <c r="A195">
        <v>27</v>
      </c>
      <c r="B195">
        <v>4</v>
      </c>
      <c r="C195">
        <v>101</v>
      </c>
      <c r="D195">
        <v>83</v>
      </c>
      <c r="E195">
        <v>2202</v>
      </c>
      <c r="F195">
        <v>15.3</v>
      </c>
      <c r="G195">
        <v>76</v>
      </c>
      <c r="H195">
        <v>2</v>
      </c>
      <c r="I195" t="s">
        <v>1386</v>
      </c>
      <c r="J195" t="s">
        <v>1247</v>
      </c>
      <c r="K195" t="s">
        <v>1387</v>
      </c>
      <c r="L195" t="b">
        <f>Data_Completeness(MileageData[[#This Row],[MPG]:[Acceleration]])</f>
        <v>1</v>
      </c>
    </row>
    <row r="196" spans="1:12" x14ac:dyDescent="0.25">
      <c r="A196">
        <v>17.5</v>
      </c>
      <c r="B196">
        <v>8</v>
      </c>
      <c r="C196">
        <v>305</v>
      </c>
      <c r="D196">
        <v>140</v>
      </c>
      <c r="E196">
        <v>4215</v>
      </c>
      <c r="F196">
        <v>13</v>
      </c>
      <c r="G196">
        <v>76</v>
      </c>
      <c r="H196">
        <v>1</v>
      </c>
      <c r="I196" t="s">
        <v>1327</v>
      </c>
      <c r="J196" t="s">
        <v>1079</v>
      </c>
      <c r="K196" t="s">
        <v>1328</v>
      </c>
      <c r="L196" t="b">
        <f>Data_Completeness(MileageData[[#This Row],[MPG]:[Acceleration]])</f>
        <v>1</v>
      </c>
    </row>
    <row r="197" spans="1:12" x14ac:dyDescent="0.25">
      <c r="A197">
        <v>16</v>
      </c>
      <c r="B197">
        <v>8</v>
      </c>
      <c r="C197">
        <v>318</v>
      </c>
      <c r="D197">
        <v>150</v>
      </c>
      <c r="E197">
        <v>4190</v>
      </c>
      <c r="F197">
        <v>13</v>
      </c>
      <c r="G197">
        <v>76</v>
      </c>
      <c r="H197">
        <v>1</v>
      </c>
      <c r="I197" t="s">
        <v>1388</v>
      </c>
      <c r="J197" t="s">
        <v>1116</v>
      </c>
      <c r="K197" t="s">
        <v>1389</v>
      </c>
      <c r="L197" t="b">
        <f>Data_Completeness(MileageData[[#This Row],[MPG]:[Acceleration]])</f>
        <v>1</v>
      </c>
    </row>
    <row r="198" spans="1:12" x14ac:dyDescent="0.25">
      <c r="A198">
        <v>15.5</v>
      </c>
      <c r="B198">
        <v>8</v>
      </c>
      <c r="C198">
        <v>304</v>
      </c>
      <c r="D198">
        <v>120</v>
      </c>
      <c r="E198">
        <v>3962</v>
      </c>
      <c r="F198">
        <v>13.9</v>
      </c>
      <c r="G198">
        <v>76</v>
      </c>
      <c r="H198">
        <v>1</v>
      </c>
      <c r="I198" t="s">
        <v>1174</v>
      </c>
      <c r="J198" t="s">
        <v>1088</v>
      </c>
      <c r="K198" t="s">
        <v>1175</v>
      </c>
      <c r="L198" t="b">
        <f>Data_Completeness(MileageData[[#This Row],[MPG]:[Acceleration]])</f>
        <v>1</v>
      </c>
    </row>
    <row r="199" spans="1:12" x14ac:dyDescent="0.25">
      <c r="A199">
        <v>14.5</v>
      </c>
      <c r="B199">
        <v>8</v>
      </c>
      <c r="C199">
        <v>351</v>
      </c>
      <c r="D199">
        <v>152</v>
      </c>
      <c r="E199">
        <v>4215</v>
      </c>
      <c r="F199">
        <v>12.8</v>
      </c>
      <c r="G199">
        <v>76</v>
      </c>
      <c r="H199">
        <v>1</v>
      </c>
      <c r="I199" t="s">
        <v>1264</v>
      </c>
      <c r="J199" t="s">
        <v>1091</v>
      </c>
      <c r="K199" t="s">
        <v>1265</v>
      </c>
      <c r="L199" t="b">
        <f>Data_Completeness(MileageData[[#This Row],[MPG]:[Acceleration]])</f>
        <v>1</v>
      </c>
    </row>
    <row r="200" spans="1:12" x14ac:dyDescent="0.25">
      <c r="A200">
        <v>22</v>
      </c>
      <c r="B200">
        <v>6</v>
      </c>
      <c r="C200">
        <v>225</v>
      </c>
      <c r="D200">
        <v>100</v>
      </c>
      <c r="E200">
        <v>3233</v>
      </c>
      <c r="F200">
        <v>15.4</v>
      </c>
      <c r="G200">
        <v>76</v>
      </c>
      <c r="H200">
        <v>1</v>
      </c>
      <c r="I200" t="s">
        <v>1282</v>
      </c>
      <c r="J200" t="s">
        <v>1085</v>
      </c>
      <c r="K200" t="s">
        <v>1283</v>
      </c>
      <c r="L200" t="b">
        <f>Data_Completeness(MileageData[[#This Row],[MPG]:[Acceleration]])</f>
        <v>1</v>
      </c>
    </row>
    <row r="201" spans="1:12" x14ac:dyDescent="0.25">
      <c r="A201">
        <v>22</v>
      </c>
      <c r="B201">
        <v>6</v>
      </c>
      <c r="C201">
        <v>250</v>
      </c>
      <c r="D201">
        <v>105</v>
      </c>
      <c r="E201">
        <v>3353</v>
      </c>
      <c r="F201">
        <v>14.5</v>
      </c>
      <c r="G201">
        <v>76</v>
      </c>
      <c r="H201">
        <v>1</v>
      </c>
      <c r="I201" t="s">
        <v>1323</v>
      </c>
      <c r="J201" t="s">
        <v>1079</v>
      </c>
      <c r="K201" t="s">
        <v>1324</v>
      </c>
      <c r="L201" t="b">
        <f>Data_Completeness(MileageData[[#This Row],[MPG]:[Acceleration]])</f>
        <v>1</v>
      </c>
    </row>
    <row r="202" spans="1:12" x14ac:dyDescent="0.25">
      <c r="A202">
        <v>24</v>
      </c>
      <c r="B202">
        <v>6</v>
      </c>
      <c r="C202">
        <v>200</v>
      </c>
      <c r="D202">
        <v>81</v>
      </c>
      <c r="E202">
        <v>3012</v>
      </c>
      <c r="F202">
        <v>17.600000000000001</v>
      </c>
      <c r="G202">
        <v>76</v>
      </c>
      <c r="H202">
        <v>1</v>
      </c>
      <c r="I202" t="s">
        <v>1132</v>
      </c>
      <c r="J202" t="s">
        <v>1091</v>
      </c>
      <c r="K202" t="s">
        <v>1133</v>
      </c>
      <c r="L202" t="b">
        <f>Data_Completeness(MileageData[[#This Row],[MPG]:[Acceleration]])</f>
        <v>1</v>
      </c>
    </row>
    <row r="203" spans="1:12" x14ac:dyDescent="0.25">
      <c r="A203">
        <v>22.5</v>
      </c>
      <c r="B203">
        <v>6</v>
      </c>
      <c r="C203">
        <v>232</v>
      </c>
      <c r="D203">
        <v>90</v>
      </c>
      <c r="E203">
        <v>3085</v>
      </c>
      <c r="F203">
        <v>17.600000000000001</v>
      </c>
      <c r="G203">
        <v>76</v>
      </c>
      <c r="H203">
        <v>1</v>
      </c>
      <c r="I203" t="s">
        <v>1130</v>
      </c>
      <c r="J203" t="s">
        <v>1088</v>
      </c>
      <c r="K203" t="s">
        <v>1131</v>
      </c>
      <c r="L203" t="b">
        <f>Data_Completeness(MileageData[[#This Row],[MPG]:[Acceleration]])</f>
        <v>1</v>
      </c>
    </row>
    <row r="204" spans="1:12" x14ac:dyDescent="0.25">
      <c r="A204">
        <v>29</v>
      </c>
      <c r="B204">
        <v>4</v>
      </c>
      <c r="C204">
        <v>85</v>
      </c>
      <c r="D204">
        <v>52</v>
      </c>
      <c r="E204">
        <v>2035</v>
      </c>
      <c r="F204">
        <v>22.2</v>
      </c>
      <c r="G204">
        <v>76</v>
      </c>
      <c r="H204">
        <v>1</v>
      </c>
      <c r="I204" t="s">
        <v>1390</v>
      </c>
      <c r="J204" t="s">
        <v>1079</v>
      </c>
      <c r="K204" t="s">
        <v>1391</v>
      </c>
      <c r="L204" t="b">
        <f>Data_Completeness(MileageData[[#This Row],[MPG]:[Acceleration]])</f>
        <v>1</v>
      </c>
    </row>
    <row r="205" spans="1:12" x14ac:dyDescent="0.25">
      <c r="A205">
        <v>24.5</v>
      </c>
      <c r="B205">
        <v>4</v>
      </c>
      <c r="C205">
        <v>98</v>
      </c>
      <c r="D205">
        <v>60</v>
      </c>
      <c r="E205">
        <v>2164</v>
      </c>
      <c r="F205">
        <v>22.1</v>
      </c>
      <c r="G205">
        <v>76</v>
      </c>
      <c r="H205">
        <v>1</v>
      </c>
      <c r="I205" t="s">
        <v>1392</v>
      </c>
      <c r="J205" t="s">
        <v>1079</v>
      </c>
      <c r="K205" t="s">
        <v>1393</v>
      </c>
      <c r="L205" t="b">
        <f>Data_Completeness(MileageData[[#This Row],[MPG]:[Acceleration]])</f>
        <v>1</v>
      </c>
    </row>
    <row r="206" spans="1:12" x14ac:dyDescent="0.25">
      <c r="A206">
        <v>29</v>
      </c>
      <c r="B206">
        <v>4</v>
      </c>
      <c r="C206">
        <v>90</v>
      </c>
      <c r="D206">
        <v>70</v>
      </c>
      <c r="E206">
        <v>1937</v>
      </c>
      <c r="F206">
        <v>14.2</v>
      </c>
      <c r="G206">
        <v>76</v>
      </c>
      <c r="H206">
        <v>2</v>
      </c>
      <c r="I206" t="s">
        <v>1394</v>
      </c>
      <c r="J206" t="s">
        <v>1395</v>
      </c>
      <c r="K206" t="s">
        <v>1375</v>
      </c>
      <c r="L206" t="b">
        <f>Data_Completeness(MileageData[[#This Row],[MPG]:[Acceleration]])</f>
        <v>1</v>
      </c>
    </row>
    <row r="207" spans="1:12" x14ac:dyDescent="0.25">
      <c r="A207">
        <v>33</v>
      </c>
      <c r="B207">
        <v>4</v>
      </c>
      <c r="C207">
        <v>91</v>
      </c>
      <c r="D207">
        <v>53</v>
      </c>
      <c r="E207">
        <v>1795</v>
      </c>
      <c r="F207">
        <v>17.399999999999999</v>
      </c>
      <c r="G207">
        <v>76</v>
      </c>
      <c r="H207">
        <v>3</v>
      </c>
      <c r="I207" t="s">
        <v>1344</v>
      </c>
      <c r="J207" t="s">
        <v>1345</v>
      </c>
      <c r="K207" t="s">
        <v>1346</v>
      </c>
      <c r="L207" t="b">
        <f>Data_Completeness(MileageData[[#This Row],[MPG]:[Acceleration]])</f>
        <v>1</v>
      </c>
    </row>
    <row r="208" spans="1:12" x14ac:dyDescent="0.25">
      <c r="A208">
        <v>20</v>
      </c>
      <c r="B208">
        <v>6</v>
      </c>
      <c r="C208">
        <v>225</v>
      </c>
      <c r="D208">
        <v>100</v>
      </c>
      <c r="E208">
        <v>3651</v>
      </c>
      <c r="F208">
        <v>17.7</v>
      </c>
      <c r="G208">
        <v>76</v>
      </c>
      <c r="H208">
        <v>1</v>
      </c>
      <c r="I208" t="s">
        <v>1396</v>
      </c>
      <c r="J208" t="s">
        <v>1116</v>
      </c>
      <c r="K208" t="s">
        <v>1397</v>
      </c>
      <c r="L208" t="b">
        <f>Data_Completeness(MileageData[[#This Row],[MPG]:[Acceleration]])</f>
        <v>1</v>
      </c>
    </row>
    <row r="209" spans="1:12" x14ac:dyDescent="0.25">
      <c r="A209">
        <v>18</v>
      </c>
      <c r="B209">
        <v>6</v>
      </c>
      <c r="C209">
        <v>250</v>
      </c>
      <c r="D209">
        <v>78</v>
      </c>
      <c r="E209">
        <v>3574</v>
      </c>
      <c r="F209">
        <v>21</v>
      </c>
      <c r="G209">
        <v>76</v>
      </c>
      <c r="H209">
        <v>1</v>
      </c>
      <c r="I209" t="s">
        <v>1398</v>
      </c>
      <c r="J209" t="s">
        <v>1091</v>
      </c>
      <c r="K209" t="s">
        <v>1399</v>
      </c>
      <c r="L209" t="b">
        <f>Data_Completeness(MileageData[[#This Row],[MPG]:[Acceleration]])</f>
        <v>1</v>
      </c>
    </row>
    <row r="210" spans="1:12" x14ac:dyDescent="0.25">
      <c r="A210">
        <v>18.5</v>
      </c>
      <c r="B210">
        <v>6</v>
      </c>
      <c r="C210">
        <v>250</v>
      </c>
      <c r="D210">
        <v>110</v>
      </c>
      <c r="E210">
        <v>3645</v>
      </c>
      <c r="F210">
        <v>16.2</v>
      </c>
      <c r="G210">
        <v>76</v>
      </c>
      <c r="H210">
        <v>1</v>
      </c>
      <c r="I210" t="s">
        <v>1400</v>
      </c>
      <c r="J210" t="s">
        <v>1100</v>
      </c>
      <c r="K210" t="s">
        <v>1401</v>
      </c>
      <c r="L210" t="b">
        <f>Data_Completeness(MileageData[[#This Row],[MPG]:[Acceleration]])</f>
        <v>1</v>
      </c>
    </row>
    <row r="211" spans="1:12" x14ac:dyDescent="0.25">
      <c r="A211">
        <v>17.5</v>
      </c>
      <c r="B211">
        <v>6</v>
      </c>
      <c r="C211">
        <v>258</v>
      </c>
      <c r="D211">
        <v>95</v>
      </c>
      <c r="E211">
        <v>3193</v>
      </c>
      <c r="F211">
        <v>17.8</v>
      </c>
      <c r="G211">
        <v>76</v>
      </c>
      <c r="H211">
        <v>1</v>
      </c>
      <c r="I211" t="s">
        <v>1402</v>
      </c>
      <c r="J211" t="s">
        <v>1088</v>
      </c>
      <c r="K211" t="s">
        <v>1403</v>
      </c>
      <c r="L211" t="b">
        <f>Data_Completeness(MileageData[[#This Row],[MPG]:[Acceleration]])</f>
        <v>1</v>
      </c>
    </row>
    <row r="212" spans="1:12" x14ac:dyDescent="0.25">
      <c r="A212">
        <v>29.5</v>
      </c>
      <c r="B212">
        <v>4</v>
      </c>
      <c r="C212">
        <v>97</v>
      </c>
      <c r="D212">
        <v>71</v>
      </c>
      <c r="E212">
        <v>1825</v>
      </c>
      <c r="F212">
        <v>12.2</v>
      </c>
      <c r="G212">
        <v>76</v>
      </c>
      <c r="H212">
        <v>2</v>
      </c>
      <c r="I212" t="s">
        <v>1374</v>
      </c>
      <c r="J212" t="s">
        <v>1138</v>
      </c>
      <c r="K212" t="s">
        <v>1375</v>
      </c>
      <c r="L212" t="b">
        <f>Data_Completeness(MileageData[[#This Row],[MPG]:[Acceleration]])</f>
        <v>1</v>
      </c>
    </row>
    <row r="213" spans="1:12" x14ac:dyDescent="0.25">
      <c r="A213">
        <v>32</v>
      </c>
      <c r="B213">
        <v>4</v>
      </c>
      <c r="C213">
        <v>85</v>
      </c>
      <c r="D213">
        <v>70</v>
      </c>
      <c r="E213">
        <v>1990</v>
      </c>
      <c r="F213">
        <v>17</v>
      </c>
      <c r="G213">
        <v>76</v>
      </c>
      <c r="H213">
        <v>3</v>
      </c>
      <c r="I213" t="s">
        <v>1404</v>
      </c>
      <c r="J213" t="s">
        <v>1135</v>
      </c>
      <c r="K213" t="s">
        <v>1405</v>
      </c>
      <c r="L213" t="b">
        <f>Data_Completeness(MileageData[[#This Row],[MPG]:[Acceleration]])</f>
        <v>1</v>
      </c>
    </row>
    <row r="214" spans="1:12" x14ac:dyDescent="0.25">
      <c r="A214">
        <v>28</v>
      </c>
      <c r="B214">
        <v>4</v>
      </c>
      <c r="C214">
        <v>97</v>
      </c>
      <c r="D214">
        <v>75</v>
      </c>
      <c r="E214">
        <v>2155</v>
      </c>
      <c r="F214">
        <v>16.399999999999999</v>
      </c>
      <c r="G214">
        <v>76</v>
      </c>
      <c r="H214">
        <v>3</v>
      </c>
      <c r="I214" t="s">
        <v>1370</v>
      </c>
      <c r="J214" t="s">
        <v>1126</v>
      </c>
      <c r="K214" t="s">
        <v>1371</v>
      </c>
      <c r="L214" t="b">
        <f>Data_Completeness(MileageData[[#This Row],[MPG]:[Acceleration]])</f>
        <v>1</v>
      </c>
    </row>
    <row r="215" spans="1:12" x14ac:dyDescent="0.25">
      <c r="A215">
        <v>26.5</v>
      </c>
      <c r="B215">
        <v>4</v>
      </c>
      <c r="C215">
        <v>140</v>
      </c>
      <c r="D215">
        <v>72</v>
      </c>
      <c r="E215">
        <v>2565</v>
      </c>
      <c r="F215">
        <v>13.6</v>
      </c>
      <c r="G215">
        <v>76</v>
      </c>
      <c r="H215">
        <v>1</v>
      </c>
      <c r="I215" t="s">
        <v>1166</v>
      </c>
      <c r="J215" t="s">
        <v>1091</v>
      </c>
      <c r="K215" t="s">
        <v>1167</v>
      </c>
      <c r="L215" t="b">
        <f>Data_Completeness(MileageData[[#This Row],[MPG]:[Acceleration]])</f>
        <v>1</v>
      </c>
    </row>
    <row r="216" spans="1:12" x14ac:dyDescent="0.25">
      <c r="A216">
        <v>20</v>
      </c>
      <c r="B216">
        <v>4</v>
      </c>
      <c r="C216">
        <v>130</v>
      </c>
      <c r="D216">
        <v>102</v>
      </c>
      <c r="E216">
        <v>3150</v>
      </c>
      <c r="F216">
        <v>15.7</v>
      </c>
      <c r="G216">
        <v>76</v>
      </c>
      <c r="H216">
        <v>2</v>
      </c>
      <c r="I216" t="s">
        <v>1406</v>
      </c>
      <c r="J216" t="s">
        <v>1240</v>
      </c>
      <c r="K216">
        <v>245</v>
      </c>
      <c r="L216" t="b">
        <f>Data_Completeness(MileageData[[#This Row],[MPG]:[Acceleration]])</f>
        <v>1</v>
      </c>
    </row>
    <row r="217" spans="1:12" x14ac:dyDescent="0.25">
      <c r="A217">
        <v>13</v>
      </c>
      <c r="B217">
        <v>8</v>
      </c>
      <c r="C217">
        <v>318</v>
      </c>
      <c r="D217">
        <v>150</v>
      </c>
      <c r="E217">
        <v>3940</v>
      </c>
      <c r="F217">
        <v>13.2</v>
      </c>
      <c r="G217">
        <v>76</v>
      </c>
      <c r="H217">
        <v>1</v>
      </c>
      <c r="I217" t="s">
        <v>1407</v>
      </c>
      <c r="J217" t="s">
        <v>1085</v>
      </c>
      <c r="K217" t="s">
        <v>1408</v>
      </c>
      <c r="L217" t="b">
        <f>Data_Completeness(MileageData[[#This Row],[MPG]:[Acceleration]])</f>
        <v>1</v>
      </c>
    </row>
    <row r="218" spans="1:12" x14ac:dyDescent="0.25">
      <c r="A218">
        <v>19</v>
      </c>
      <c r="B218">
        <v>4</v>
      </c>
      <c r="C218">
        <v>120</v>
      </c>
      <c r="D218">
        <v>88</v>
      </c>
      <c r="E218">
        <v>3270</v>
      </c>
      <c r="F218">
        <v>21.9</v>
      </c>
      <c r="G218">
        <v>76</v>
      </c>
      <c r="H218">
        <v>2</v>
      </c>
      <c r="I218" t="s">
        <v>1140</v>
      </c>
      <c r="J218" t="s">
        <v>1141</v>
      </c>
      <c r="K218">
        <v>504</v>
      </c>
      <c r="L218" t="b">
        <f>Data_Completeness(MileageData[[#This Row],[MPG]:[Acceleration]])</f>
        <v>1</v>
      </c>
    </row>
    <row r="219" spans="1:12" x14ac:dyDescent="0.25">
      <c r="A219">
        <v>19</v>
      </c>
      <c r="B219">
        <v>6</v>
      </c>
      <c r="C219">
        <v>156</v>
      </c>
      <c r="D219">
        <v>108</v>
      </c>
      <c r="E219">
        <v>2930</v>
      </c>
      <c r="F219">
        <v>15.5</v>
      </c>
      <c r="G219">
        <v>76</v>
      </c>
      <c r="H219">
        <v>3</v>
      </c>
      <c r="I219" t="s">
        <v>1319</v>
      </c>
      <c r="J219" t="s">
        <v>1126</v>
      </c>
      <c r="K219" t="s">
        <v>1320</v>
      </c>
      <c r="L219" t="b">
        <f>Data_Completeness(MileageData[[#This Row],[MPG]:[Acceleration]])</f>
        <v>1</v>
      </c>
    </row>
    <row r="220" spans="1:12" x14ac:dyDescent="0.25">
      <c r="A220">
        <v>16.5</v>
      </c>
      <c r="B220">
        <v>6</v>
      </c>
      <c r="C220">
        <v>168</v>
      </c>
      <c r="D220">
        <v>120</v>
      </c>
      <c r="E220">
        <v>3820</v>
      </c>
      <c r="F220">
        <v>16.7</v>
      </c>
      <c r="G220">
        <v>76</v>
      </c>
      <c r="H220">
        <v>2</v>
      </c>
      <c r="I220" t="s">
        <v>1409</v>
      </c>
      <c r="J220" t="s">
        <v>1410</v>
      </c>
      <c r="K220" t="s">
        <v>1411</v>
      </c>
      <c r="L220" t="b">
        <f>Data_Completeness(MileageData[[#This Row],[MPG]:[Acceleration]])</f>
        <v>1</v>
      </c>
    </row>
    <row r="221" spans="1:12" x14ac:dyDescent="0.25">
      <c r="A221">
        <v>16.5</v>
      </c>
      <c r="B221">
        <v>8</v>
      </c>
      <c r="C221">
        <v>350</v>
      </c>
      <c r="D221">
        <v>180</v>
      </c>
      <c r="E221">
        <v>4380</v>
      </c>
      <c r="F221">
        <v>12.1</v>
      </c>
      <c r="G221">
        <v>76</v>
      </c>
      <c r="H221">
        <v>1</v>
      </c>
      <c r="I221" t="s">
        <v>1412</v>
      </c>
      <c r="J221" t="s">
        <v>1413</v>
      </c>
      <c r="K221" t="s">
        <v>1414</v>
      </c>
      <c r="L221" t="b">
        <f>Data_Completeness(MileageData[[#This Row],[MPG]:[Acceleration]])</f>
        <v>1</v>
      </c>
    </row>
    <row r="222" spans="1:12" x14ac:dyDescent="0.25">
      <c r="A222">
        <v>13</v>
      </c>
      <c r="B222">
        <v>8</v>
      </c>
      <c r="C222">
        <v>350</v>
      </c>
      <c r="D222">
        <v>145</v>
      </c>
      <c r="E222">
        <v>4055</v>
      </c>
      <c r="F222">
        <v>12</v>
      </c>
      <c r="G222">
        <v>76</v>
      </c>
      <c r="H222">
        <v>1</v>
      </c>
      <c r="I222" t="s">
        <v>1415</v>
      </c>
      <c r="J222" t="s">
        <v>1155</v>
      </c>
      <c r="K222" t="s">
        <v>1416</v>
      </c>
      <c r="L222" t="b">
        <f>Data_Completeness(MileageData[[#This Row],[MPG]:[Acceleration]])</f>
        <v>1</v>
      </c>
    </row>
    <row r="223" spans="1:12" x14ac:dyDescent="0.25">
      <c r="A223">
        <v>13</v>
      </c>
      <c r="B223">
        <v>8</v>
      </c>
      <c r="C223">
        <v>302</v>
      </c>
      <c r="D223">
        <v>130</v>
      </c>
      <c r="E223">
        <v>3870</v>
      </c>
      <c r="F223">
        <v>15</v>
      </c>
      <c r="G223">
        <v>76</v>
      </c>
      <c r="H223">
        <v>1</v>
      </c>
      <c r="I223" t="s">
        <v>1417</v>
      </c>
      <c r="J223" t="s">
        <v>1091</v>
      </c>
      <c r="K223" t="s">
        <v>1418</v>
      </c>
      <c r="L223" t="b">
        <f>Data_Completeness(MileageData[[#This Row],[MPG]:[Acceleration]])</f>
        <v>1</v>
      </c>
    </row>
    <row r="224" spans="1:12" x14ac:dyDescent="0.25">
      <c r="A224">
        <v>13</v>
      </c>
      <c r="B224">
        <v>8</v>
      </c>
      <c r="C224">
        <v>318</v>
      </c>
      <c r="D224">
        <v>150</v>
      </c>
      <c r="E224">
        <v>3755</v>
      </c>
      <c r="F224">
        <v>14</v>
      </c>
      <c r="G224">
        <v>76</v>
      </c>
      <c r="H224">
        <v>1</v>
      </c>
      <c r="I224" t="s">
        <v>1419</v>
      </c>
      <c r="J224" t="s">
        <v>1116</v>
      </c>
      <c r="K224" t="s">
        <v>1420</v>
      </c>
      <c r="L224" t="b">
        <f>Data_Completeness(MileageData[[#This Row],[MPG]:[Acceleration]])</f>
        <v>1</v>
      </c>
    </row>
    <row r="225" spans="1:12" x14ac:dyDescent="0.25">
      <c r="A225">
        <v>31.5</v>
      </c>
      <c r="B225">
        <v>4</v>
      </c>
      <c r="C225">
        <v>98</v>
      </c>
      <c r="D225">
        <v>68</v>
      </c>
      <c r="E225">
        <v>2045</v>
      </c>
      <c r="F225">
        <v>18.5</v>
      </c>
      <c r="G225">
        <v>77</v>
      </c>
      <c r="H225">
        <v>3</v>
      </c>
      <c r="I225" t="s">
        <v>1421</v>
      </c>
      <c r="J225" t="s">
        <v>1345</v>
      </c>
      <c r="K225" t="s">
        <v>1422</v>
      </c>
      <c r="L225" t="b">
        <f>Data_Completeness(MileageData[[#This Row],[MPG]:[Acceleration]])</f>
        <v>1</v>
      </c>
    </row>
    <row r="226" spans="1:12" x14ac:dyDescent="0.25">
      <c r="A226">
        <v>30</v>
      </c>
      <c r="B226">
        <v>4</v>
      </c>
      <c r="C226">
        <v>111</v>
      </c>
      <c r="D226">
        <v>80</v>
      </c>
      <c r="E226">
        <v>2155</v>
      </c>
      <c r="F226">
        <v>14.8</v>
      </c>
      <c r="G226">
        <v>77</v>
      </c>
      <c r="H226">
        <v>1</v>
      </c>
      <c r="I226" t="s">
        <v>1423</v>
      </c>
      <c r="J226" t="s">
        <v>1082</v>
      </c>
      <c r="K226" t="s">
        <v>1424</v>
      </c>
      <c r="L226" t="b">
        <f>Data_Completeness(MileageData[[#This Row],[MPG]:[Acceleration]])</f>
        <v>1</v>
      </c>
    </row>
    <row r="227" spans="1:12" x14ac:dyDescent="0.25">
      <c r="A227">
        <v>36</v>
      </c>
      <c r="B227">
        <v>4</v>
      </c>
      <c r="C227">
        <v>79</v>
      </c>
      <c r="D227">
        <v>58</v>
      </c>
      <c r="E227">
        <v>1825</v>
      </c>
      <c r="F227">
        <v>18.600000000000001</v>
      </c>
      <c r="G227">
        <v>77</v>
      </c>
      <c r="H227">
        <v>2</v>
      </c>
      <c r="I227" t="s">
        <v>1425</v>
      </c>
      <c r="J227" t="s">
        <v>1247</v>
      </c>
      <c r="K227" t="s">
        <v>1426</v>
      </c>
      <c r="L227" t="b">
        <f>Data_Completeness(MileageData[[#This Row],[MPG]:[Acceleration]])</f>
        <v>1</v>
      </c>
    </row>
    <row r="228" spans="1:12" x14ac:dyDescent="0.25">
      <c r="A228">
        <v>25.5</v>
      </c>
      <c r="B228">
        <v>4</v>
      </c>
      <c r="C228">
        <v>122</v>
      </c>
      <c r="D228">
        <v>96</v>
      </c>
      <c r="E228">
        <v>2300</v>
      </c>
      <c r="F228">
        <v>15.5</v>
      </c>
      <c r="G228">
        <v>77</v>
      </c>
      <c r="H228">
        <v>1</v>
      </c>
      <c r="I228" t="s">
        <v>1427</v>
      </c>
      <c r="J228" t="s">
        <v>1085</v>
      </c>
      <c r="K228" t="s">
        <v>1428</v>
      </c>
      <c r="L228" t="b">
        <f>Data_Completeness(MileageData[[#This Row],[MPG]:[Acceleration]])</f>
        <v>1</v>
      </c>
    </row>
    <row r="229" spans="1:12" x14ac:dyDescent="0.25">
      <c r="A229">
        <v>33.5</v>
      </c>
      <c r="B229">
        <v>4</v>
      </c>
      <c r="C229">
        <v>85</v>
      </c>
      <c r="D229">
        <v>70</v>
      </c>
      <c r="E229">
        <v>1945</v>
      </c>
      <c r="F229">
        <v>16.8</v>
      </c>
      <c r="G229">
        <v>77</v>
      </c>
      <c r="H229">
        <v>3</v>
      </c>
      <c r="I229" t="s">
        <v>1429</v>
      </c>
      <c r="J229" t="s">
        <v>1135</v>
      </c>
      <c r="K229" t="s">
        <v>1430</v>
      </c>
      <c r="L229" t="b">
        <f>Data_Completeness(MileageData[[#This Row],[MPG]:[Acceleration]])</f>
        <v>1</v>
      </c>
    </row>
    <row r="230" spans="1:12" x14ac:dyDescent="0.25">
      <c r="A230">
        <v>17.5</v>
      </c>
      <c r="B230">
        <v>8</v>
      </c>
      <c r="C230">
        <v>305</v>
      </c>
      <c r="D230">
        <v>145</v>
      </c>
      <c r="E230">
        <v>3880</v>
      </c>
      <c r="F230">
        <v>12.5</v>
      </c>
      <c r="G230">
        <v>77</v>
      </c>
      <c r="H230">
        <v>1</v>
      </c>
      <c r="I230" t="s">
        <v>1270</v>
      </c>
      <c r="J230" t="s">
        <v>1079</v>
      </c>
      <c r="K230" t="s">
        <v>1271</v>
      </c>
      <c r="L230" t="b">
        <f>Data_Completeness(MileageData[[#This Row],[MPG]:[Acceleration]])</f>
        <v>1</v>
      </c>
    </row>
    <row r="231" spans="1:12" x14ac:dyDescent="0.25">
      <c r="A231">
        <v>17</v>
      </c>
      <c r="B231">
        <v>8</v>
      </c>
      <c r="C231">
        <v>260</v>
      </c>
      <c r="D231">
        <v>110</v>
      </c>
      <c r="E231">
        <v>4060</v>
      </c>
      <c r="F231">
        <v>19</v>
      </c>
      <c r="G231">
        <v>77</v>
      </c>
      <c r="H231">
        <v>1</v>
      </c>
      <c r="I231" t="s">
        <v>1431</v>
      </c>
      <c r="J231" t="s">
        <v>1225</v>
      </c>
      <c r="K231" t="s">
        <v>1432</v>
      </c>
      <c r="L231" t="b">
        <f>Data_Completeness(MileageData[[#This Row],[MPG]:[Acceleration]])</f>
        <v>1</v>
      </c>
    </row>
    <row r="232" spans="1:12" x14ac:dyDescent="0.25">
      <c r="A232">
        <v>15.5</v>
      </c>
      <c r="B232">
        <v>8</v>
      </c>
      <c r="C232">
        <v>318</v>
      </c>
      <c r="D232">
        <v>145</v>
      </c>
      <c r="E232">
        <v>4140</v>
      </c>
      <c r="F232">
        <v>13.7</v>
      </c>
      <c r="G232">
        <v>77</v>
      </c>
      <c r="H232">
        <v>1</v>
      </c>
      <c r="I232" t="s">
        <v>1433</v>
      </c>
      <c r="J232" t="s">
        <v>1116</v>
      </c>
      <c r="K232" t="s">
        <v>1434</v>
      </c>
      <c r="L232" t="b">
        <f>Data_Completeness(MileageData[[#This Row],[MPG]:[Acceleration]])</f>
        <v>1</v>
      </c>
    </row>
    <row r="233" spans="1:12" x14ac:dyDescent="0.25">
      <c r="A233">
        <v>15</v>
      </c>
      <c r="B233">
        <v>8</v>
      </c>
      <c r="C233">
        <v>302</v>
      </c>
      <c r="D233">
        <v>130</v>
      </c>
      <c r="E233">
        <v>4295</v>
      </c>
      <c r="F233">
        <v>14.9</v>
      </c>
      <c r="G233">
        <v>77</v>
      </c>
      <c r="H233">
        <v>1</v>
      </c>
      <c r="I233" t="s">
        <v>1435</v>
      </c>
      <c r="J233" t="s">
        <v>1193</v>
      </c>
      <c r="K233" t="s">
        <v>1436</v>
      </c>
      <c r="L233" t="b">
        <f>Data_Completeness(MileageData[[#This Row],[MPG]:[Acceleration]])</f>
        <v>1</v>
      </c>
    </row>
    <row r="234" spans="1:12" x14ac:dyDescent="0.25">
      <c r="A234">
        <v>17.5</v>
      </c>
      <c r="B234">
        <v>6</v>
      </c>
      <c r="C234">
        <v>250</v>
      </c>
      <c r="D234">
        <v>110</v>
      </c>
      <c r="E234">
        <v>3520</v>
      </c>
      <c r="F234">
        <v>16.399999999999999</v>
      </c>
      <c r="G234">
        <v>77</v>
      </c>
      <c r="H234">
        <v>1</v>
      </c>
      <c r="I234" t="s">
        <v>1437</v>
      </c>
      <c r="J234" t="s">
        <v>1079</v>
      </c>
      <c r="K234" t="s">
        <v>1438</v>
      </c>
      <c r="L234" t="b">
        <f>Data_Completeness(MileageData[[#This Row],[MPG]:[Acceleration]])</f>
        <v>1</v>
      </c>
    </row>
    <row r="235" spans="1:12" x14ac:dyDescent="0.25">
      <c r="A235">
        <v>20.5</v>
      </c>
      <c r="B235">
        <v>6</v>
      </c>
      <c r="C235">
        <v>231</v>
      </c>
      <c r="D235">
        <v>105</v>
      </c>
      <c r="E235">
        <v>3425</v>
      </c>
      <c r="F235">
        <v>16.899999999999999</v>
      </c>
      <c r="G235">
        <v>77</v>
      </c>
      <c r="H235">
        <v>1</v>
      </c>
      <c r="I235" t="s">
        <v>1439</v>
      </c>
      <c r="J235" t="s">
        <v>1082</v>
      </c>
      <c r="K235" t="s">
        <v>1440</v>
      </c>
      <c r="L235" t="b">
        <f>Data_Completeness(MileageData[[#This Row],[MPG]:[Acceleration]])</f>
        <v>1</v>
      </c>
    </row>
    <row r="236" spans="1:12" x14ac:dyDescent="0.25">
      <c r="A236">
        <v>19</v>
      </c>
      <c r="B236">
        <v>6</v>
      </c>
      <c r="C236">
        <v>225</v>
      </c>
      <c r="D236">
        <v>100</v>
      </c>
      <c r="E236">
        <v>3630</v>
      </c>
      <c r="F236">
        <v>17.7</v>
      </c>
      <c r="G236">
        <v>77</v>
      </c>
      <c r="H236">
        <v>1</v>
      </c>
      <c r="I236" t="s">
        <v>1441</v>
      </c>
      <c r="J236" t="s">
        <v>1085</v>
      </c>
      <c r="K236" t="s">
        <v>1442</v>
      </c>
      <c r="L236" t="b">
        <f>Data_Completeness(MileageData[[#This Row],[MPG]:[Acceleration]])</f>
        <v>1</v>
      </c>
    </row>
    <row r="237" spans="1:12" x14ac:dyDescent="0.25">
      <c r="A237">
        <v>18.5</v>
      </c>
      <c r="B237">
        <v>6</v>
      </c>
      <c r="C237">
        <v>250</v>
      </c>
      <c r="D237">
        <v>98</v>
      </c>
      <c r="E237">
        <v>3525</v>
      </c>
      <c r="F237">
        <v>19</v>
      </c>
      <c r="G237">
        <v>77</v>
      </c>
      <c r="H237">
        <v>1</v>
      </c>
      <c r="I237" t="s">
        <v>1443</v>
      </c>
      <c r="J237" t="s">
        <v>1091</v>
      </c>
      <c r="K237" t="s">
        <v>1444</v>
      </c>
      <c r="L237" t="b">
        <f>Data_Completeness(MileageData[[#This Row],[MPG]:[Acceleration]])</f>
        <v>1</v>
      </c>
    </row>
    <row r="238" spans="1:12" x14ac:dyDescent="0.25">
      <c r="A238">
        <v>16</v>
      </c>
      <c r="B238">
        <v>8</v>
      </c>
      <c r="C238">
        <v>400</v>
      </c>
      <c r="D238">
        <v>180</v>
      </c>
      <c r="E238">
        <v>4220</v>
      </c>
      <c r="F238">
        <v>11.1</v>
      </c>
      <c r="G238">
        <v>77</v>
      </c>
      <c r="H238">
        <v>1</v>
      </c>
      <c r="I238" t="s">
        <v>1445</v>
      </c>
      <c r="J238" t="s">
        <v>1100</v>
      </c>
      <c r="K238" t="s">
        <v>1446</v>
      </c>
      <c r="L238" t="b">
        <f>Data_Completeness(MileageData[[#This Row],[MPG]:[Acceleration]])</f>
        <v>1</v>
      </c>
    </row>
    <row r="239" spans="1:12" x14ac:dyDescent="0.25">
      <c r="A239">
        <v>15.5</v>
      </c>
      <c r="B239">
        <v>8</v>
      </c>
      <c r="C239">
        <v>350</v>
      </c>
      <c r="D239">
        <v>170</v>
      </c>
      <c r="E239">
        <v>4165</v>
      </c>
      <c r="F239">
        <v>11.4</v>
      </c>
      <c r="G239">
        <v>77</v>
      </c>
      <c r="H239">
        <v>1</v>
      </c>
      <c r="I239" t="s">
        <v>1447</v>
      </c>
      <c r="J239" t="s">
        <v>1079</v>
      </c>
      <c r="K239" t="s">
        <v>1448</v>
      </c>
      <c r="L239" t="b">
        <f>Data_Completeness(MileageData[[#This Row],[MPG]:[Acceleration]])</f>
        <v>1</v>
      </c>
    </row>
    <row r="240" spans="1:12" x14ac:dyDescent="0.25">
      <c r="A240">
        <v>15.5</v>
      </c>
      <c r="B240">
        <v>8</v>
      </c>
      <c r="C240">
        <v>400</v>
      </c>
      <c r="D240">
        <v>190</v>
      </c>
      <c r="E240">
        <v>4325</v>
      </c>
      <c r="F240">
        <v>12.2</v>
      </c>
      <c r="G240">
        <v>77</v>
      </c>
      <c r="H240">
        <v>1</v>
      </c>
      <c r="I240" t="s">
        <v>1449</v>
      </c>
      <c r="J240" t="s">
        <v>1228</v>
      </c>
      <c r="K240" t="s">
        <v>1450</v>
      </c>
      <c r="L240" t="b">
        <f>Data_Completeness(MileageData[[#This Row],[MPG]:[Acceleration]])</f>
        <v>1</v>
      </c>
    </row>
    <row r="241" spans="1:12" x14ac:dyDescent="0.25">
      <c r="A241">
        <v>16</v>
      </c>
      <c r="B241">
        <v>8</v>
      </c>
      <c r="C241">
        <v>351</v>
      </c>
      <c r="D241">
        <v>149</v>
      </c>
      <c r="E241">
        <v>4335</v>
      </c>
      <c r="F241">
        <v>14.5</v>
      </c>
      <c r="G241">
        <v>77</v>
      </c>
      <c r="H241">
        <v>1</v>
      </c>
      <c r="I241" t="s">
        <v>1451</v>
      </c>
      <c r="J241" t="s">
        <v>1091</v>
      </c>
      <c r="K241" t="s">
        <v>1452</v>
      </c>
      <c r="L241" t="b">
        <f>Data_Completeness(MileageData[[#This Row],[MPG]:[Acceleration]])</f>
        <v>1</v>
      </c>
    </row>
    <row r="242" spans="1:12" x14ac:dyDescent="0.25">
      <c r="A242">
        <v>29</v>
      </c>
      <c r="B242">
        <v>4</v>
      </c>
      <c r="C242">
        <v>97</v>
      </c>
      <c r="D242">
        <v>78</v>
      </c>
      <c r="E242">
        <v>1940</v>
      </c>
      <c r="F242">
        <v>14.5</v>
      </c>
      <c r="G242">
        <v>77</v>
      </c>
      <c r="H242">
        <v>2</v>
      </c>
      <c r="I242" t="s">
        <v>1453</v>
      </c>
      <c r="J242" t="s">
        <v>1138</v>
      </c>
      <c r="K242" t="s">
        <v>1454</v>
      </c>
      <c r="L242" t="b">
        <f>Data_Completeness(MileageData[[#This Row],[MPG]:[Acceleration]])</f>
        <v>1</v>
      </c>
    </row>
    <row r="243" spans="1:12" x14ac:dyDescent="0.25">
      <c r="A243">
        <v>24.5</v>
      </c>
      <c r="B243">
        <v>4</v>
      </c>
      <c r="C243">
        <v>151</v>
      </c>
      <c r="D243">
        <v>88</v>
      </c>
      <c r="E243">
        <v>2740</v>
      </c>
      <c r="F243">
        <v>16</v>
      </c>
      <c r="G243">
        <v>77</v>
      </c>
      <c r="H243">
        <v>1</v>
      </c>
      <c r="I243" t="s">
        <v>1455</v>
      </c>
      <c r="J243" t="s">
        <v>1100</v>
      </c>
      <c r="K243" t="s">
        <v>1456</v>
      </c>
      <c r="L243" t="b">
        <f>Data_Completeness(MileageData[[#This Row],[MPG]:[Acceleration]])</f>
        <v>1</v>
      </c>
    </row>
    <row r="244" spans="1:12" x14ac:dyDescent="0.25">
      <c r="A244">
        <v>26</v>
      </c>
      <c r="B244">
        <v>4</v>
      </c>
      <c r="C244">
        <v>97</v>
      </c>
      <c r="D244">
        <v>75</v>
      </c>
      <c r="E244">
        <v>2265</v>
      </c>
      <c r="F244">
        <v>18.2</v>
      </c>
      <c r="G244">
        <v>77</v>
      </c>
      <c r="H244">
        <v>3</v>
      </c>
      <c r="I244" t="s">
        <v>1457</v>
      </c>
      <c r="J244" t="s">
        <v>1126</v>
      </c>
      <c r="K244" t="s">
        <v>1458</v>
      </c>
      <c r="L244" t="b">
        <f>Data_Completeness(MileageData[[#This Row],[MPG]:[Acceleration]])</f>
        <v>1</v>
      </c>
    </row>
    <row r="245" spans="1:12" x14ac:dyDescent="0.25">
      <c r="A245">
        <v>25.5</v>
      </c>
      <c r="B245">
        <v>4</v>
      </c>
      <c r="C245">
        <v>140</v>
      </c>
      <c r="D245">
        <v>89</v>
      </c>
      <c r="E245">
        <v>2755</v>
      </c>
      <c r="F245">
        <v>15.8</v>
      </c>
      <c r="G245">
        <v>77</v>
      </c>
      <c r="H245">
        <v>1</v>
      </c>
      <c r="I245" t="s">
        <v>1459</v>
      </c>
      <c r="J245" t="s">
        <v>1091</v>
      </c>
      <c r="K245" t="s">
        <v>1460</v>
      </c>
      <c r="L245" t="b">
        <f>Data_Completeness(MileageData[[#This Row],[MPG]:[Acceleration]])</f>
        <v>1</v>
      </c>
    </row>
    <row r="246" spans="1:12" x14ac:dyDescent="0.25">
      <c r="A246">
        <v>30.5</v>
      </c>
      <c r="B246">
        <v>4</v>
      </c>
      <c r="C246">
        <v>98</v>
      </c>
      <c r="D246">
        <v>63</v>
      </c>
      <c r="E246">
        <v>2051</v>
      </c>
      <c r="F246">
        <v>17</v>
      </c>
      <c r="G246">
        <v>77</v>
      </c>
      <c r="H246">
        <v>1</v>
      </c>
      <c r="I246" t="s">
        <v>1390</v>
      </c>
      <c r="J246" t="s">
        <v>1079</v>
      </c>
      <c r="K246" t="s">
        <v>1391</v>
      </c>
      <c r="L246" t="b">
        <f>Data_Completeness(MileageData[[#This Row],[MPG]:[Acceleration]])</f>
        <v>1</v>
      </c>
    </row>
    <row r="247" spans="1:12" x14ac:dyDescent="0.25">
      <c r="A247">
        <v>33.5</v>
      </c>
      <c r="B247">
        <v>4</v>
      </c>
      <c r="C247">
        <v>98</v>
      </c>
      <c r="D247">
        <v>83</v>
      </c>
      <c r="E247">
        <v>2075</v>
      </c>
      <c r="F247">
        <v>15.9</v>
      </c>
      <c r="G247">
        <v>77</v>
      </c>
      <c r="H247">
        <v>1</v>
      </c>
      <c r="I247" t="s">
        <v>1461</v>
      </c>
      <c r="J247" t="s">
        <v>1116</v>
      </c>
      <c r="K247" t="s">
        <v>1462</v>
      </c>
      <c r="L247" t="b">
        <f>Data_Completeness(MileageData[[#This Row],[MPG]:[Acceleration]])</f>
        <v>1</v>
      </c>
    </row>
    <row r="248" spans="1:12" x14ac:dyDescent="0.25">
      <c r="A248">
        <v>30</v>
      </c>
      <c r="B248">
        <v>4</v>
      </c>
      <c r="C248">
        <v>97</v>
      </c>
      <c r="D248">
        <v>67</v>
      </c>
      <c r="E248">
        <v>1985</v>
      </c>
      <c r="F248">
        <v>16.399999999999999</v>
      </c>
      <c r="G248">
        <v>77</v>
      </c>
      <c r="H248">
        <v>3</v>
      </c>
      <c r="I248" t="s">
        <v>1463</v>
      </c>
      <c r="J248" t="s">
        <v>1347</v>
      </c>
      <c r="K248" t="s">
        <v>1464</v>
      </c>
      <c r="L248" t="b">
        <f>Data_Completeness(MileageData[[#This Row],[MPG]:[Acceleration]])</f>
        <v>1</v>
      </c>
    </row>
    <row r="249" spans="1:12" x14ac:dyDescent="0.25">
      <c r="A249">
        <v>30.5</v>
      </c>
      <c r="B249">
        <v>4</v>
      </c>
      <c r="C249">
        <v>97</v>
      </c>
      <c r="D249">
        <v>78</v>
      </c>
      <c r="E249">
        <v>2190</v>
      </c>
      <c r="F249">
        <v>14.1</v>
      </c>
      <c r="G249">
        <v>77</v>
      </c>
      <c r="H249">
        <v>2</v>
      </c>
      <c r="I249" t="s">
        <v>1337</v>
      </c>
      <c r="J249" t="s">
        <v>1138</v>
      </c>
      <c r="K249" t="s">
        <v>1338</v>
      </c>
      <c r="L249" t="b">
        <f>Data_Completeness(MileageData[[#This Row],[MPG]:[Acceleration]])</f>
        <v>1</v>
      </c>
    </row>
    <row r="250" spans="1:12" x14ac:dyDescent="0.25">
      <c r="A250">
        <v>22</v>
      </c>
      <c r="B250">
        <v>6</v>
      </c>
      <c r="C250">
        <v>146</v>
      </c>
      <c r="D250">
        <v>97</v>
      </c>
      <c r="E250">
        <v>2815</v>
      </c>
      <c r="F250">
        <v>14.5</v>
      </c>
      <c r="G250">
        <v>77</v>
      </c>
      <c r="H250">
        <v>3</v>
      </c>
      <c r="I250" t="s">
        <v>1465</v>
      </c>
      <c r="J250" t="s">
        <v>1135</v>
      </c>
      <c r="K250">
        <v>810</v>
      </c>
      <c r="L250" t="b">
        <f>Data_Completeness(MileageData[[#This Row],[MPG]:[Acceleration]])</f>
        <v>1</v>
      </c>
    </row>
    <row r="251" spans="1:12" x14ac:dyDescent="0.25">
      <c r="A251">
        <v>21.5</v>
      </c>
      <c r="B251">
        <v>4</v>
      </c>
      <c r="C251">
        <v>121</v>
      </c>
      <c r="D251">
        <v>110</v>
      </c>
      <c r="E251">
        <v>2600</v>
      </c>
      <c r="F251">
        <v>12.8</v>
      </c>
      <c r="G251">
        <v>77</v>
      </c>
      <c r="H251">
        <v>2</v>
      </c>
      <c r="I251" t="s">
        <v>1466</v>
      </c>
      <c r="J251" t="s">
        <v>1149</v>
      </c>
      <c r="K251" t="s">
        <v>1467</v>
      </c>
      <c r="L251" t="b">
        <f>Data_Completeness(MileageData[[#This Row],[MPG]:[Acceleration]])</f>
        <v>1</v>
      </c>
    </row>
    <row r="252" spans="1:12" x14ac:dyDescent="0.25">
      <c r="A252">
        <v>21.5</v>
      </c>
      <c r="B252">
        <v>3</v>
      </c>
      <c r="C252">
        <v>80</v>
      </c>
      <c r="D252">
        <v>110</v>
      </c>
      <c r="E252">
        <v>2720</v>
      </c>
      <c r="F252">
        <v>13.5</v>
      </c>
      <c r="G252">
        <v>77</v>
      </c>
      <c r="H252">
        <v>3</v>
      </c>
      <c r="I252" t="s">
        <v>1468</v>
      </c>
      <c r="J252" t="s">
        <v>1231</v>
      </c>
      <c r="K252" t="s">
        <v>1469</v>
      </c>
      <c r="L252" t="b">
        <f>Data_Completeness(MileageData[[#This Row],[MPG]:[Acceleration]])</f>
        <v>1</v>
      </c>
    </row>
    <row r="253" spans="1:12" x14ac:dyDescent="0.25">
      <c r="A253">
        <v>43.1</v>
      </c>
      <c r="B253">
        <v>4</v>
      </c>
      <c r="C253">
        <v>90</v>
      </c>
      <c r="D253">
        <v>48</v>
      </c>
      <c r="E253">
        <v>1985</v>
      </c>
      <c r="F253">
        <v>21.5</v>
      </c>
      <c r="G253">
        <v>78</v>
      </c>
      <c r="H253">
        <v>2</v>
      </c>
      <c r="I253" t="s">
        <v>1470</v>
      </c>
      <c r="J253" t="s">
        <v>1138</v>
      </c>
      <c r="K253" t="s">
        <v>1471</v>
      </c>
      <c r="L253" t="b">
        <f>Data_Completeness(MileageData[[#This Row],[MPG]:[Acceleration]])</f>
        <v>1</v>
      </c>
    </row>
    <row r="254" spans="1:12" x14ac:dyDescent="0.25">
      <c r="A254">
        <v>36.1</v>
      </c>
      <c r="B254">
        <v>4</v>
      </c>
      <c r="C254">
        <v>98</v>
      </c>
      <c r="D254">
        <v>66</v>
      </c>
      <c r="E254">
        <v>1800</v>
      </c>
      <c r="F254">
        <v>14.4</v>
      </c>
      <c r="G254">
        <v>78</v>
      </c>
      <c r="H254">
        <v>1</v>
      </c>
      <c r="I254" t="s">
        <v>1472</v>
      </c>
      <c r="J254" t="s">
        <v>1091</v>
      </c>
      <c r="K254" t="s">
        <v>1473</v>
      </c>
      <c r="L254" t="b">
        <f>Data_Completeness(MileageData[[#This Row],[MPG]:[Acceleration]])</f>
        <v>1</v>
      </c>
    </row>
    <row r="255" spans="1:12" x14ac:dyDescent="0.25">
      <c r="A255">
        <v>32.799999999999997</v>
      </c>
      <c r="B255">
        <v>4</v>
      </c>
      <c r="C255">
        <v>78</v>
      </c>
      <c r="D255">
        <v>52</v>
      </c>
      <c r="E255">
        <v>1985</v>
      </c>
      <c r="F255">
        <v>19.399999999999999</v>
      </c>
      <c r="G255">
        <v>78</v>
      </c>
      <c r="H255">
        <v>3</v>
      </c>
      <c r="I255" t="s">
        <v>1474</v>
      </c>
      <c r="J255" t="s">
        <v>1231</v>
      </c>
      <c r="K255" t="s">
        <v>1475</v>
      </c>
      <c r="L255" t="b">
        <f>Data_Completeness(MileageData[[#This Row],[MPG]:[Acceleration]])</f>
        <v>1</v>
      </c>
    </row>
    <row r="256" spans="1:12" x14ac:dyDescent="0.25">
      <c r="A256">
        <v>39.4</v>
      </c>
      <c r="B256">
        <v>4</v>
      </c>
      <c r="C256">
        <v>85</v>
      </c>
      <c r="D256">
        <v>70</v>
      </c>
      <c r="E256">
        <v>2070</v>
      </c>
      <c r="F256">
        <v>18.600000000000001</v>
      </c>
      <c r="G256">
        <v>78</v>
      </c>
      <c r="H256">
        <v>3</v>
      </c>
      <c r="I256" t="s">
        <v>1476</v>
      </c>
      <c r="J256" t="s">
        <v>1135</v>
      </c>
      <c r="K256" t="s">
        <v>1477</v>
      </c>
      <c r="L256" t="b">
        <f>Data_Completeness(MileageData[[#This Row],[MPG]:[Acceleration]])</f>
        <v>1</v>
      </c>
    </row>
    <row r="257" spans="1:12" x14ac:dyDescent="0.25">
      <c r="A257">
        <v>36.1</v>
      </c>
      <c r="B257">
        <v>4</v>
      </c>
      <c r="C257">
        <v>91</v>
      </c>
      <c r="D257">
        <v>60</v>
      </c>
      <c r="E257">
        <v>1800</v>
      </c>
      <c r="F257">
        <v>16.399999999999999</v>
      </c>
      <c r="G257">
        <v>78</v>
      </c>
      <c r="H257">
        <v>3</v>
      </c>
      <c r="I257" t="s">
        <v>1380</v>
      </c>
      <c r="J257" t="s">
        <v>1345</v>
      </c>
      <c r="K257" t="s">
        <v>1381</v>
      </c>
      <c r="L257" t="b">
        <f>Data_Completeness(MileageData[[#This Row],[MPG]:[Acceleration]])</f>
        <v>1</v>
      </c>
    </row>
    <row r="258" spans="1:12" x14ac:dyDescent="0.25">
      <c r="A258">
        <v>19.899999999999999</v>
      </c>
      <c r="B258">
        <v>8</v>
      </c>
      <c r="C258">
        <v>260</v>
      </c>
      <c r="D258">
        <v>110</v>
      </c>
      <c r="E258">
        <v>3365</v>
      </c>
      <c r="F258">
        <v>15.5</v>
      </c>
      <c r="G258">
        <v>78</v>
      </c>
      <c r="H258">
        <v>1</v>
      </c>
      <c r="I258" t="s">
        <v>1478</v>
      </c>
      <c r="J258" t="s">
        <v>1225</v>
      </c>
      <c r="K258" t="s">
        <v>1479</v>
      </c>
      <c r="L258" t="b">
        <f>Data_Completeness(MileageData[[#This Row],[MPG]:[Acceleration]])</f>
        <v>1</v>
      </c>
    </row>
    <row r="259" spans="1:12" x14ac:dyDescent="0.25">
      <c r="A259">
        <v>19.399999999999999</v>
      </c>
      <c r="B259">
        <v>8</v>
      </c>
      <c r="C259">
        <v>318</v>
      </c>
      <c r="D259">
        <v>140</v>
      </c>
      <c r="E259">
        <v>3735</v>
      </c>
      <c r="F259">
        <v>13.2</v>
      </c>
      <c r="G259">
        <v>78</v>
      </c>
      <c r="H259">
        <v>1</v>
      </c>
      <c r="I259" t="s">
        <v>1480</v>
      </c>
      <c r="J259" t="s">
        <v>1116</v>
      </c>
      <c r="K259" t="s">
        <v>1481</v>
      </c>
      <c r="L259" t="b">
        <f>Data_Completeness(MileageData[[#This Row],[MPG]:[Acceleration]])</f>
        <v>1</v>
      </c>
    </row>
    <row r="260" spans="1:12" x14ac:dyDescent="0.25">
      <c r="A260">
        <v>20.2</v>
      </c>
      <c r="B260">
        <v>8</v>
      </c>
      <c r="C260">
        <v>302</v>
      </c>
      <c r="D260">
        <v>139</v>
      </c>
      <c r="E260">
        <v>3570</v>
      </c>
      <c r="F260">
        <v>12.8</v>
      </c>
      <c r="G260">
        <v>78</v>
      </c>
      <c r="H260">
        <v>1</v>
      </c>
      <c r="I260" t="s">
        <v>1482</v>
      </c>
      <c r="J260" t="s">
        <v>1193</v>
      </c>
      <c r="K260" t="s">
        <v>1483</v>
      </c>
      <c r="L260" t="b">
        <f>Data_Completeness(MileageData[[#This Row],[MPG]:[Acceleration]])</f>
        <v>1</v>
      </c>
    </row>
    <row r="261" spans="1:12" x14ac:dyDescent="0.25">
      <c r="A261">
        <v>19.2</v>
      </c>
      <c r="B261">
        <v>6</v>
      </c>
      <c r="C261">
        <v>231</v>
      </c>
      <c r="D261">
        <v>105</v>
      </c>
      <c r="E261">
        <v>3535</v>
      </c>
      <c r="F261">
        <v>19.2</v>
      </c>
      <c r="G261">
        <v>78</v>
      </c>
      <c r="H261">
        <v>1</v>
      </c>
      <c r="I261" t="s">
        <v>1484</v>
      </c>
      <c r="J261" t="s">
        <v>1100</v>
      </c>
      <c r="K261" t="s">
        <v>1485</v>
      </c>
      <c r="L261" t="b">
        <f>Data_Completeness(MileageData[[#This Row],[MPG]:[Acceleration]])</f>
        <v>1</v>
      </c>
    </row>
    <row r="262" spans="1:12" x14ac:dyDescent="0.25">
      <c r="A262">
        <v>20.5</v>
      </c>
      <c r="B262">
        <v>6</v>
      </c>
      <c r="C262">
        <v>200</v>
      </c>
      <c r="D262">
        <v>95</v>
      </c>
      <c r="E262">
        <v>3155</v>
      </c>
      <c r="F262">
        <v>18.2</v>
      </c>
      <c r="G262">
        <v>78</v>
      </c>
      <c r="H262">
        <v>1</v>
      </c>
      <c r="I262" t="s">
        <v>1262</v>
      </c>
      <c r="J262" t="s">
        <v>1079</v>
      </c>
      <c r="K262" t="s">
        <v>1263</v>
      </c>
      <c r="L262" t="b">
        <f>Data_Completeness(MileageData[[#This Row],[MPG]:[Acceleration]])</f>
        <v>1</v>
      </c>
    </row>
    <row r="263" spans="1:12" x14ac:dyDescent="0.25">
      <c r="A263">
        <v>20.2</v>
      </c>
      <c r="B263">
        <v>6</v>
      </c>
      <c r="C263">
        <v>200</v>
      </c>
      <c r="D263">
        <v>85</v>
      </c>
      <c r="E263">
        <v>2965</v>
      </c>
      <c r="F263">
        <v>15.8</v>
      </c>
      <c r="G263">
        <v>78</v>
      </c>
      <c r="H263">
        <v>1</v>
      </c>
      <c r="I263" t="s">
        <v>1486</v>
      </c>
      <c r="J263" t="s">
        <v>1091</v>
      </c>
      <c r="K263" t="s">
        <v>1487</v>
      </c>
      <c r="L263" t="b">
        <f>Data_Completeness(MileageData[[#This Row],[MPG]:[Acceleration]])</f>
        <v>1</v>
      </c>
    </row>
    <row r="264" spans="1:12" x14ac:dyDescent="0.25">
      <c r="A264">
        <v>25.1</v>
      </c>
      <c r="B264">
        <v>4</v>
      </c>
      <c r="C264">
        <v>140</v>
      </c>
      <c r="D264">
        <v>88</v>
      </c>
      <c r="E264">
        <v>2720</v>
      </c>
      <c r="F264">
        <v>15.4</v>
      </c>
      <c r="G264">
        <v>78</v>
      </c>
      <c r="H264">
        <v>1</v>
      </c>
      <c r="I264" t="s">
        <v>1488</v>
      </c>
      <c r="J264" t="s">
        <v>1091</v>
      </c>
      <c r="K264" t="s">
        <v>1489</v>
      </c>
      <c r="L264" t="b">
        <f>Data_Completeness(MileageData[[#This Row],[MPG]:[Acceleration]])</f>
        <v>1</v>
      </c>
    </row>
    <row r="265" spans="1:12" x14ac:dyDescent="0.25">
      <c r="A265">
        <v>20.5</v>
      </c>
      <c r="B265">
        <v>6</v>
      </c>
      <c r="C265">
        <v>225</v>
      </c>
      <c r="D265">
        <v>100</v>
      </c>
      <c r="E265">
        <v>3430</v>
      </c>
      <c r="F265">
        <v>17.2</v>
      </c>
      <c r="G265">
        <v>78</v>
      </c>
      <c r="H265">
        <v>1</v>
      </c>
      <c r="I265" t="s">
        <v>1490</v>
      </c>
      <c r="J265" t="s">
        <v>1085</v>
      </c>
      <c r="K265" t="s">
        <v>1491</v>
      </c>
      <c r="L265" t="b">
        <f>Data_Completeness(MileageData[[#This Row],[MPG]:[Acceleration]])</f>
        <v>1</v>
      </c>
    </row>
    <row r="266" spans="1:12" x14ac:dyDescent="0.25">
      <c r="A266">
        <v>19.399999999999999</v>
      </c>
      <c r="B266">
        <v>6</v>
      </c>
      <c r="C266">
        <v>232</v>
      </c>
      <c r="D266">
        <v>90</v>
      </c>
      <c r="E266">
        <v>3210</v>
      </c>
      <c r="F266">
        <v>17.2</v>
      </c>
      <c r="G266">
        <v>78</v>
      </c>
      <c r="H266">
        <v>1</v>
      </c>
      <c r="I266" t="s">
        <v>1492</v>
      </c>
      <c r="J266" t="s">
        <v>1088</v>
      </c>
      <c r="K266" t="s">
        <v>1493</v>
      </c>
      <c r="L266" t="b">
        <f>Data_Completeness(MileageData[[#This Row],[MPG]:[Acceleration]])</f>
        <v>1</v>
      </c>
    </row>
    <row r="267" spans="1:12" x14ac:dyDescent="0.25">
      <c r="A267">
        <v>20.6</v>
      </c>
      <c r="B267">
        <v>6</v>
      </c>
      <c r="C267">
        <v>231</v>
      </c>
      <c r="D267">
        <v>105</v>
      </c>
      <c r="E267">
        <v>3380</v>
      </c>
      <c r="F267">
        <v>15.8</v>
      </c>
      <c r="G267">
        <v>78</v>
      </c>
      <c r="H267">
        <v>1</v>
      </c>
      <c r="I267" t="s">
        <v>1494</v>
      </c>
      <c r="J267" t="s">
        <v>1082</v>
      </c>
      <c r="K267" t="s">
        <v>1495</v>
      </c>
      <c r="L267" t="b">
        <f>Data_Completeness(MileageData[[#This Row],[MPG]:[Acceleration]])</f>
        <v>1</v>
      </c>
    </row>
    <row r="268" spans="1:12" x14ac:dyDescent="0.25">
      <c r="A268">
        <v>20.8</v>
      </c>
      <c r="B268">
        <v>6</v>
      </c>
      <c r="C268">
        <v>200</v>
      </c>
      <c r="D268">
        <v>85</v>
      </c>
      <c r="E268">
        <v>3070</v>
      </c>
      <c r="F268">
        <v>16.7</v>
      </c>
      <c r="G268">
        <v>78</v>
      </c>
      <c r="H268">
        <v>1</v>
      </c>
      <c r="I268" t="s">
        <v>1496</v>
      </c>
      <c r="J268" t="s">
        <v>1193</v>
      </c>
      <c r="K268" t="s">
        <v>1497</v>
      </c>
      <c r="L268" t="b">
        <f>Data_Completeness(MileageData[[#This Row],[MPG]:[Acceleration]])</f>
        <v>1</v>
      </c>
    </row>
    <row r="269" spans="1:12" x14ac:dyDescent="0.25">
      <c r="A269">
        <v>18.600000000000001</v>
      </c>
      <c r="B269">
        <v>6</v>
      </c>
      <c r="C269">
        <v>225</v>
      </c>
      <c r="D269">
        <v>110</v>
      </c>
      <c r="E269">
        <v>3620</v>
      </c>
      <c r="F269">
        <v>18.7</v>
      </c>
      <c r="G269">
        <v>78</v>
      </c>
      <c r="H269">
        <v>1</v>
      </c>
      <c r="I269" t="s">
        <v>1498</v>
      </c>
      <c r="J269" t="s">
        <v>1116</v>
      </c>
      <c r="K269" t="s">
        <v>1499</v>
      </c>
      <c r="L269" t="b">
        <f>Data_Completeness(MileageData[[#This Row],[MPG]:[Acceleration]])</f>
        <v>1</v>
      </c>
    </row>
    <row r="270" spans="1:12" x14ac:dyDescent="0.25">
      <c r="A270">
        <v>18.100000000000001</v>
      </c>
      <c r="B270">
        <v>6</v>
      </c>
      <c r="C270">
        <v>258</v>
      </c>
      <c r="D270">
        <v>120</v>
      </c>
      <c r="E270">
        <v>3410</v>
      </c>
      <c r="F270">
        <v>15.1</v>
      </c>
      <c r="G270">
        <v>78</v>
      </c>
      <c r="H270">
        <v>1</v>
      </c>
      <c r="I270" t="s">
        <v>1500</v>
      </c>
      <c r="J270" t="s">
        <v>1088</v>
      </c>
      <c r="K270" t="s">
        <v>1501</v>
      </c>
      <c r="L270" t="b">
        <f>Data_Completeness(MileageData[[#This Row],[MPG]:[Acceleration]])</f>
        <v>1</v>
      </c>
    </row>
    <row r="271" spans="1:12" x14ac:dyDescent="0.25">
      <c r="A271">
        <v>19.2</v>
      </c>
      <c r="B271">
        <v>8</v>
      </c>
      <c r="C271">
        <v>305</v>
      </c>
      <c r="D271">
        <v>145</v>
      </c>
      <c r="E271">
        <v>3425</v>
      </c>
      <c r="F271">
        <v>13.2</v>
      </c>
      <c r="G271">
        <v>78</v>
      </c>
      <c r="H271">
        <v>1</v>
      </c>
      <c r="I271" t="s">
        <v>1447</v>
      </c>
      <c r="J271" t="s">
        <v>1079</v>
      </c>
      <c r="K271" t="s">
        <v>1448</v>
      </c>
      <c r="L271" t="b">
        <f>Data_Completeness(MileageData[[#This Row],[MPG]:[Acceleration]])</f>
        <v>1</v>
      </c>
    </row>
    <row r="272" spans="1:12" x14ac:dyDescent="0.25">
      <c r="A272">
        <v>17.7</v>
      </c>
      <c r="B272">
        <v>6</v>
      </c>
      <c r="C272">
        <v>231</v>
      </c>
      <c r="D272">
        <v>165</v>
      </c>
      <c r="E272">
        <v>3445</v>
      </c>
      <c r="F272">
        <v>13.4</v>
      </c>
      <c r="G272">
        <v>78</v>
      </c>
      <c r="H272">
        <v>1</v>
      </c>
      <c r="I272" t="s">
        <v>1502</v>
      </c>
      <c r="J272" t="s">
        <v>1082</v>
      </c>
      <c r="K272" t="s">
        <v>1503</v>
      </c>
      <c r="L272" t="b">
        <f>Data_Completeness(MileageData[[#This Row],[MPG]:[Acceleration]])</f>
        <v>1</v>
      </c>
    </row>
    <row r="273" spans="1:12" x14ac:dyDescent="0.25">
      <c r="A273">
        <v>18.100000000000001</v>
      </c>
      <c r="B273">
        <v>8</v>
      </c>
      <c r="C273">
        <v>302</v>
      </c>
      <c r="D273">
        <v>139</v>
      </c>
      <c r="E273">
        <v>3205</v>
      </c>
      <c r="F273">
        <v>11.2</v>
      </c>
      <c r="G273">
        <v>78</v>
      </c>
      <c r="H273">
        <v>1</v>
      </c>
      <c r="I273" t="s">
        <v>1504</v>
      </c>
      <c r="J273" t="s">
        <v>1091</v>
      </c>
      <c r="K273" t="s">
        <v>1505</v>
      </c>
      <c r="L273" t="b">
        <f>Data_Completeness(MileageData[[#This Row],[MPG]:[Acceleration]])</f>
        <v>1</v>
      </c>
    </row>
    <row r="274" spans="1:12" x14ac:dyDescent="0.25">
      <c r="A274">
        <v>17.5</v>
      </c>
      <c r="B274">
        <v>8</v>
      </c>
      <c r="C274">
        <v>318</v>
      </c>
      <c r="D274">
        <v>140</v>
      </c>
      <c r="E274">
        <v>4080</v>
      </c>
      <c r="F274">
        <v>13.7</v>
      </c>
      <c r="G274">
        <v>78</v>
      </c>
      <c r="H274">
        <v>1</v>
      </c>
      <c r="I274" t="s">
        <v>1506</v>
      </c>
      <c r="J274" t="s">
        <v>1116</v>
      </c>
      <c r="K274" t="s">
        <v>1507</v>
      </c>
      <c r="L274" t="b">
        <f>Data_Completeness(MileageData[[#This Row],[MPG]:[Acceleration]])</f>
        <v>1</v>
      </c>
    </row>
    <row r="275" spans="1:12" x14ac:dyDescent="0.25">
      <c r="A275">
        <v>30</v>
      </c>
      <c r="B275">
        <v>4</v>
      </c>
      <c r="C275">
        <v>98</v>
      </c>
      <c r="D275">
        <v>68</v>
      </c>
      <c r="E275">
        <v>2155</v>
      </c>
      <c r="F275">
        <v>16.5</v>
      </c>
      <c r="G275">
        <v>78</v>
      </c>
      <c r="H275">
        <v>1</v>
      </c>
      <c r="I275" t="s">
        <v>1390</v>
      </c>
      <c r="J275" t="s">
        <v>1079</v>
      </c>
      <c r="K275" t="s">
        <v>1391</v>
      </c>
      <c r="L275" t="b">
        <f>Data_Completeness(MileageData[[#This Row],[MPG]:[Acceleration]])</f>
        <v>1</v>
      </c>
    </row>
    <row r="276" spans="1:12" x14ac:dyDescent="0.25">
      <c r="A276">
        <v>27.5</v>
      </c>
      <c r="B276">
        <v>4</v>
      </c>
      <c r="C276">
        <v>134</v>
      </c>
      <c r="D276">
        <v>95</v>
      </c>
      <c r="E276">
        <v>2560</v>
      </c>
      <c r="F276">
        <v>14.2</v>
      </c>
      <c r="G276">
        <v>78</v>
      </c>
      <c r="H276">
        <v>3</v>
      </c>
      <c r="I276" t="s">
        <v>1164</v>
      </c>
      <c r="J276" t="s">
        <v>1126</v>
      </c>
      <c r="K276" t="s">
        <v>1165</v>
      </c>
      <c r="L276" t="b">
        <f>Data_Completeness(MileageData[[#This Row],[MPG]:[Acceleration]])</f>
        <v>1</v>
      </c>
    </row>
    <row r="277" spans="1:12" x14ac:dyDescent="0.25">
      <c r="A277">
        <v>27.2</v>
      </c>
      <c r="B277">
        <v>4</v>
      </c>
      <c r="C277">
        <v>119</v>
      </c>
      <c r="D277">
        <v>97</v>
      </c>
      <c r="E277">
        <v>2300</v>
      </c>
      <c r="F277">
        <v>14.7</v>
      </c>
      <c r="G277">
        <v>78</v>
      </c>
      <c r="H277">
        <v>3</v>
      </c>
      <c r="I277" t="s">
        <v>1508</v>
      </c>
      <c r="J277" t="s">
        <v>1135</v>
      </c>
      <c r="K277">
        <v>510</v>
      </c>
      <c r="L277" t="b">
        <f>Data_Completeness(MileageData[[#This Row],[MPG]:[Acceleration]])</f>
        <v>1</v>
      </c>
    </row>
    <row r="278" spans="1:12" x14ac:dyDescent="0.25">
      <c r="A278">
        <v>30.9</v>
      </c>
      <c r="B278">
        <v>4</v>
      </c>
      <c r="C278">
        <v>105</v>
      </c>
      <c r="D278">
        <v>75</v>
      </c>
      <c r="E278">
        <v>2230</v>
      </c>
      <c r="F278">
        <v>14.5</v>
      </c>
      <c r="G278">
        <v>78</v>
      </c>
      <c r="H278">
        <v>1</v>
      </c>
      <c r="I278" t="s">
        <v>1509</v>
      </c>
      <c r="J278" t="s">
        <v>1116</v>
      </c>
      <c r="K278" t="s">
        <v>1510</v>
      </c>
      <c r="L278" t="b">
        <f>Data_Completeness(MileageData[[#This Row],[MPG]:[Acceleration]])</f>
        <v>1</v>
      </c>
    </row>
    <row r="279" spans="1:12" x14ac:dyDescent="0.25">
      <c r="A279">
        <v>21.1</v>
      </c>
      <c r="B279">
        <v>4</v>
      </c>
      <c r="C279">
        <v>134</v>
      </c>
      <c r="D279">
        <v>95</v>
      </c>
      <c r="E279">
        <v>2515</v>
      </c>
      <c r="F279">
        <v>14.8</v>
      </c>
      <c r="G279">
        <v>78</v>
      </c>
      <c r="H279">
        <v>3</v>
      </c>
      <c r="I279" t="s">
        <v>1511</v>
      </c>
      <c r="J279" t="s">
        <v>1126</v>
      </c>
      <c r="K279" t="s">
        <v>1512</v>
      </c>
      <c r="L279" t="b">
        <f>Data_Completeness(MileageData[[#This Row],[MPG]:[Acceleration]])</f>
        <v>1</v>
      </c>
    </row>
    <row r="280" spans="1:12" x14ac:dyDescent="0.25">
      <c r="A280">
        <v>23.2</v>
      </c>
      <c r="B280">
        <v>4</v>
      </c>
      <c r="C280">
        <v>156</v>
      </c>
      <c r="D280">
        <v>105</v>
      </c>
      <c r="E280">
        <v>2745</v>
      </c>
      <c r="F280">
        <v>16.7</v>
      </c>
      <c r="G280">
        <v>78</v>
      </c>
      <c r="H280">
        <v>1</v>
      </c>
      <c r="I280" t="s">
        <v>1513</v>
      </c>
      <c r="J280" t="s">
        <v>1085</v>
      </c>
      <c r="K280" t="s">
        <v>1514</v>
      </c>
      <c r="L280" t="b">
        <f>Data_Completeness(MileageData[[#This Row],[MPG]:[Acceleration]])</f>
        <v>1</v>
      </c>
    </row>
    <row r="281" spans="1:12" x14ac:dyDescent="0.25">
      <c r="A281">
        <v>23.8</v>
      </c>
      <c r="B281">
        <v>4</v>
      </c>
      <c r="C281">
        <v>151</v>
      </c>
      <c r="D281">
        <v>85</v>
      </c>
      <c r="E281">
        <v>2855</v>
      </c>
      <c r="F281">
        <v>17.600000000000001</v>
      </c>
      <c r="G281">
        <v>78</v>
      </c>
      <c r="H281">
        <v>1</v>
      </c>
      <c r="I281" t="s">
        <v>1515</v>
      </c>
      <c r="J281" t="s">
        <v>1225</v>
      </c>
      <c r="K281" t="s">
        <v>1516</v>
      </c>
      <c r="L281" t="b">
        <f>Data_Completeness(MileageData[[#This Row],[MPG]:[Acceleration]])</f>
        <v>1</v>
      </c>
    </row>
    <row r="282" spans="1:12" x14ac:dyDescent="0.25">
      <c r="A282">
        <v>23.9</v>
      </c>
      <c r="B282">
        <v>4</v>
      </c>
      <c r="C282">
        <v>119</v>
      </c>
      <c r="D282">
        <v>97</v>
      </c>
      <c r="E282">
        <v>2405</v>
      </c>
      <c r="F282">
        <v>14.9</v>
      </c>
      <c r="G282">
        <v>78</v>
      </c>
      <c r="H282">
        <v>3</v>
      </c>
      <c r="I282" t="s">
        <v>1517</v>
      </c>
      <c r="J282" t="s">
        <v>1135</v>
      </c>
      <c r="K282" t="s">
        <v>1518</v>
      </c>
      <c r="L282" t="b">
        <f>Data_Completeness(MileageData[[#This Row],[MPG]:[Acceleration]])</f>
        <v>1</v>
      </c>
    </row>
    <row r="283" spans="1:12" x14ac:dyDescent="0.25">
      <c r="A283">
        <v>20.3</v>
      </c>
      <c r="B283">
        <v>5</v>
      </c>
      <c r="C283">
        <v>131</v>
      </c>
      <c r="D283">
        <v>103</v>
      </c>
      <c r="E283">
        <v>2830</v>
      </c>
      <c r="F283">
        <v>15.9</v>
      </c>
      <c r="G283">
        <v>78</v>
      </c>
      <c r="H283">
        <v>2</v>
      </c>
      <c r="I283" t="s">
        <v>1519</v>
      </c>
      <c r="J283" t="s">
        <v>1143</v>
      </c>
      <c r="K283">
        <v>5000</v>
      </c>
      <c r="L283" t="b">
        <f>Data_Completeness(MileageData[[#This Row],[MPG]:[Acceleration]])</f>
        <v>1</v>
      </c>
    </row>
    <row r="284" spans="1:12" x14ac:dyDescent="0.25">
      <c r="A284">
        <v>17</v>
      </c>
      <c r="B284">
        <v>6</v>
      </c>
      <c r="C284">
        <v>163</v>
      </c>
      <c r="D284">
        <v>125</v>
      </c>
      <c r="E284">
        <v>3140</v>
      </c>
      <c r="F284">
        <v>13.6</v>
      </c>
      <c r="G284">
        <v>78</v>
      </c>
      <c r="H284">
        <v>2</v>
      </c>
      <c r="I284" t="s">
        <v>1520</v>
      </c>
      <c r="J284" t="s">
        <v>1240</v>
      </c>
      <c r="K284" t="s">
        <v>1521</v>
      </c>
      <c r="L284" t="b">
        <f>Data_Completeness(MileageData[[#This Row],[MPG]:[Acceleration]])</f>
        <v>1</v>
      </c>
    </row>
    <row r="285" spans="1:12" x14ac:dyDescent="0.25">
      <c r="A285">
        <v>21.6</v>
      </c>
      <c r="B285">
        <v>4</v>
      </c>
      <c r="C285">
        <v>121</v>
      </c>
      <c r="D285">
        <v>115</v>
      </c>
      <c r="E285">
        <v>2795</v>
      </c>
      <c r="F285">
        <v>15.7</v>
      </c>
      <c r="G285">
        <v>78</v>
      </c>
      <c r="H285">
        <v>2</v>
      </c>
      <c r="I285" t="s">
        <v>1522</v>
      </c>
      <c r="J285" t="s">
        <v>1146</v>
      </c>
      <c r="K285" t="s">
        <v>1523</v>
      </c>
      <c r="L285" t="b">
        <f>Data_Completeness(MileageData[[#This Row],[MPG]:[Acceleration]])</f>
        <v>1</v>
      </c>
    </row>
    <row r="286" spans="1:12" x14ac:dyDescent="0.25">
      <c r="A286">
        <v>16.2</v>
      </c>
      <c r="B286">
        <v>6</v>
      </c>
      <c r="C286">
        <v>163</v>
      </c>
      <c r="D286">
        <v>133</v>
      </c>
      <c r="E286">
        <v>3410</v>
      </c>
      <c r="F286">
        <v>15.8</v>
      </c>
      <c r="G286">
        <v>78</v>
      </c>
      <c r="H286">
        <v>2</v>
      </c>
      <c r="I286" t="s">
        <v>1524</v>
      </c>
      <c r="J286" t="s">
        <v>1141</v>
      </c>
      <c r="K286" t="s">
        <v>1525</v>
      </c>
      <c r="L286" t="b">
        <f>Data_Completeness(MileageData[[#This Row],[MPG]:[Acceleration]])</f>
        <v>1</v>
      </c>
    </row>
    <row r="287" spans="1:12" x14ac:dyDescent="0.25">
      <c r="A287">
        <v>31.5</v>
      </c>
      <c r="B287">
        <v>4</v>
      </c>
      <c r="C287">
        <v>89</v>
      </c>
      <c r="D287">
        <v>71</v>
      </c>
      <c r="E287">
        <v>1990</v>
      </c>
      <c r="F287">
        <v>14.9</v>
      </c>
      <c r="G287">
        <v>78</v>
      </c>
      <c r="H287">
        <v>2</v>
      </c>
      <c r="I287" t="s">
        <v>1526</v>
      </c>
      <c r="J287" t="s">
        <v>1138</v>
      </c>
      <c r="K287" t="s">
        <v>1527</v>
      </c>
      <c r="L287" t="b">
        <f>Data_Completeness(MileageData[[#This Row],[MPG]:[Acceleration]])</f>
        <v>1</v>
      </c>
    </row>
    <row r="288" spans="1:12" x14ac:dyDescent="0.25">
      <c r="A288">
        <v>29.5</v>
      </c>
      <c r="B288">
        <v>4</v>
      </c>
      <c r="C288">
        <v>98</v>
      </c>
      <c r="D288">
        <v>68</v>
      </c>
      <c r="E288">
        <v>2135</v>
      </c>
      <c r="F288">
        <v>16.600000000000001</v>
      </c>
      <c r="G288">
        <v>78</v>
      </c>
      <c r="H288">
        <v>3</v>
      </c>
      <c r="I288" t="s">
        <v>1528</v>
      </c>
      <c r="J288" t="s">
        <v>1345</v>
      </c>
      <c r="K288" t="s">
        <v>1529</v>
      </c>
      <c r="L288" t="b">
        <f>Data_Completeness(MileageData[[#This Row],[MPG]:[Acceleration]])</f>
        <v>1</v>
      </c>
    </row>
    <row r="289" spans="1:12" x14ac:dyDescent="0.25">
      <c r="A289">
        <v>21.5</v>
      </c>
      <c r="B289">
        <v>6</v>
      </c>
      <c r="C289">
        <v>231</v>
      </c>
      <c r="D289">
        <v>115</v>
      </c>
      <c r="E289">
        <v>3245</v>
      </c>
      <c r="F289">
        <v>15.4</v>
      </c>
      <c r="G289">
        <v>79</v>
      </c>
      <c r="H289">
        <v>1</v>
      </c>
      <c r="I289" t="s">
        <v>1530</v>
      </c>
      <c r="J289" t="s">
        <v>1100</v>
      </c>
      <c r="K289" t="s">
        <v>1531</v>
      </c>
      <c r="L289" t="b">
        <f>Data_Completeness(MileageData[[#This Row],[MPG]:[Acceleration]])</f>
        <v>1</v>
      </c>
    </row>
    <row r="290" spans="1:12" x14ac:dyDescent="0.25">
      <c r="A290">
        <v>19.8</v>
      </c>
      <c r="B290">
        <v>6</v>
      </c>
      <c r="C290">
        <v>200</v>
      </c>
      <c r="D290">
        <v>85</v>
      </c>
      <c r="E290">
        <v>2990</v>
      </c>
      <c r="F290">
        <v>18.2</v>
      </c>
      <c r="G290">
        <v>79</v>
      </c>
      <c r="H290">
        <v>1</v>
      </c>
      <c r="I290" t="s">
        <v>1532</v>
      </c>
      <c r="J290" t="s">
        <v>1193</v>
      </c>
      <c r="K290" t="s">
        <v>1533</v>
      </c>
      <c r="L290" t="b">
        <f>Data_Completeness(MileageData[[#This Row],[MPG]:[Acceleration]])</f>
        <v>1</v>
      </c>
    </row>
    <row r="291" spans="1:12" x14ac:dyDescent="0.25">
      <c r="A291">
        <v>22.3</v>
      </c>
      <c r="B291">
        <v>4</v>
      </c>
      <c r="C291">
        <v>140</v>
      </c>
      <c r="D291">
        <v>88</v>
      </c>
      <c r="E291">
        <v>2890</v>
      </c>
      <c r="F291">
        <v>17.3</v>
      </c>
      <c r="G291">
        <v>79</v>
      </c>
      <c r="H291">
        <v>1</v>
      </c>
      <c r="I291" t="s">
        <v>1534</v>
      </c>
      <c r="J291" t="s">
        <v>1091</v>
      </c>
      <c r="K291" t="s">
        <v>1535</v>
      </c>
      <c r="L291" t="b">
        <f>Data_Completeness(MileageData[[#This Row],[MPG]:[Acceleration]])</f>
        <v>1</v>
      </c>
    </row>
    <row r="292" spans="1:12" x14ac:dyDescent="0.25">
      <c r="A292">
        <v>20.2</v>
      </c>
      <c r="B292">
        <v>6</v>
      </c>
      <c r="C292">
        <v>232</v>
      </c>
      <c r="D292">
        <v>90</v>
      </c>
      <c r="E292">
        <v>3265</v>
      </c>
      <c r="F292">
        <v>18.2</v>
      </c>
      <c r="G292">
        <v>79</v>
      </c>
      <c r="H292">
        <v>1</v>
      </c>
      <c r="I292" t="s">
        <v>1536</v>
      </c>
      <c r="J292" t="s">
        <v>1088</v>
      </c>
      <c r="K292" t="s">
        <v>1537</v>
      </c>
      <c r="L292" t="b">
        <f>Data_Completeness(MileageData[[#This Row],[MPG]:[Acceleration]])</f>
        <v>1</v>
      </c>
    </row>
    <row r="293" spans="1:12" x14ac:dyDescent="0.25">
      <c r="A293">
        <v>20.6</v>
      </c>
      <c r="B293">
        <v>6</v>
      </c>
      <c r="C293">
        <v>225</v>
      </c>
      <c r="D293">
        <v>110</v>
      </c>
      <c r="E293">
        <v>3360</v>
      </c>
      <c r="F293">
        <v>16.600000000000001</v>
      </c>
      <c r="G293">
        <v>79</v>
      </c>
      <c r="H293">
        <v>1</v>
      </c>
      <c r="I293" t="s">
        <v>1538</v>
      </c>
      <c r="J293" t="s">
        <v>1116</v>
      </c>
      <c r="K293" t="s">
        <v>1539</v>
      </c>
      <c r="L293" t="b">
        <f>Data_Completeness(MileageData[[#This Row],[MPG]:[Acceleration]])</f>
        <v>1</v>
      </c>
    </row>
    <row r="294" spans="1:12" x14ac:dyDescent="0.25">
      <c r="A294">
        <v>17</v>
      </c>
      <c r="B294">
        <v>8</v>
      </c>
      <c r="C294">
        <v>305</v>
      </c>
      <c r="D294">
        <v>130</v>
      </c>
      <c r="E294">
        <v>3840</v>
      </c>
      <c r="F294">
        <v>15.4</v>
      </c>
      <c r="G294">
        <v>79</v>
      </c>
      <c r="H294">
        <v>1</v>
      </c>
      <c r="I294" t="s">
        <v>1270</v>
      </c>
      <c r="J294" t="s">
        <v>1079</v>
      </c>
      <c r="K294" t="s">
        <v>1271</v>
      </c>
      <c r="L294" t="b">
        <f>Data_Completeness(MileageData[[#This Row],[MPG]:[Acceleration]])</f>
        <v>1</v>
      </c>
    </row>
    <row r="295" spans="1:12" x14ac:dyDescent="0.25">
      <c r="A295">
        <v>17.600000000000001</v>
      </c>
      <c r="B295">
        <v>8</v>
      </c>
      <c r="C295">
        <v>302</v>
      </c>
      <c r="D295">
        <v>129</v>
      </c>
      <c r="E295">
        <v>3725</v>
      </c>
      <c r="F295">
        <v>13.4</v>
      </c>
      <c r="G295">
        <v>79</v>
      </c>
      <c r="H295">
        <v>1</v>
      </c>
      <c r="I295" t="s">
        <v>1540</v>
      </c>
      <c r="J295" t="s">
        <v>1091</v>
      </c>
      <c r="K295" t="s">
        <v>1541</v>
      </c>
      <c r="L295" t="b">
        <f>Data_Completeness(MileageData[[#This Row],[MPG]:[Acceleration]])</f>
        <v>1</v>
      </c>
    </row>
    <row r="296" spans="1:12" x14ac:dyDescent="0.25">
      <c r="A296">
        <v>16.5</v>
      </c>
      <c r="B296">
        <v>8</v>
      </c>
      <c r="C296">
        <v>351</v>
      </c>
      <c r="D296">
        <v>138</v>
      </c>
      <c r="E296">
        <v>3955</v>
      </c>
      <c r="F296">
        <v>13.2</v>
      </c>
      <c r="G296">
        <v>79</v>
      </c>
      <c r="H296">
        <v>1</v>
      </c>
      <c r="I296" t="s">
        <v>1542</v>
      </c>
      <c r="J296" t="s">
        <v>1193</v>
      </c>
      <c r="K296" t="s">
        <v>1543</v>
      </c>
      <c r="L296" t="b">
        <f>Data_Completeness(MileageData[[#This Row],[MPG]:[Acceleration]])</f>
        <v>1</v>
      </c>
    </row>
    <row r="297" spans="1:12" x14ac:dyDescent="0.25">
      <c r="A297">
        <v>18.2</v>
      </c>
      <c r="B297">
        <v>8</v>
      </c>
      <c r="C297">
        <v>318</v>
      </c>
      <c r="D297">
        <v>135</v>
      </c>
      <c r="E297">
        <v>3830</v>
      </c>
      <c r="F297">
        <v>15.2</v>
      </c>
      <c r="G297">
        <v>79</v>
      </c>
      <c r="H297">
        <v>1</v>
      </c>
      <c r="I297" t="s">
        <v>1544</v>
      </c>
      <c r="J297" t="s">
        <v>1116</v>
      </c>
      <c r="K297" t="s">
        <v>1545</v>
      </c>
      <c r="L297" t="b">
        <f>Data_Completeness(MileageData[[#This Row],[MPG]:[Acceleration]])</f>
        <v>1</v>
      </c>
    </row>
    <row r="298" spans="1:12" x14ac:dyDescent="0.25">
      <c r="A298">
        <v>16.899999999999999</v>
      </c>
      <c r="B298">
        <v>8</v>
      </c>
      <c r="C298">
        <v>350</v>
      </c>
      <c r="D298">
        <v>155</v>
      </c>
      <c r="E298">
        <v>4360</v>
      </c>
      <c r="F298">
        <v>14.9</v>
      </c>
      <c r="G298">
        <v>79</v>
      </c>
      <c r="H298">
        <v>1</v>
      </c>
      <c r="I298" t="s">
        <v>1123</v>
      </c>
      <c r="J298" t="s">
        <v>1082</v>
      </c>
      <c r="K298" t="s">
        <v>1124</v>
      </c>
      <c r="L298" t="b">
        <f>Data_Completeness(MileageData[[#This Row],[MPG]:[Acceleration]])</f>
        <v>1</v>
      </c>
    </row>
    <row r="299" spans="1:12" x14ac:dyDescent="0.25">
      <c r="A299">
        <v>15.5</v>
      </c>
      <c r="B299">
        <v>8</v>
      </c>
      <c r="C299">
        <v>351</v>
      </c>
      <c r="D299">
        <v>142</v>
      </c>
      <c r="E299">
        <v>4054</v>
      </c>
      <c r="F299">
        <v>14.3</v>
      </c>
      <c r="G299">
        <v>79</v>
      </c>
      <c r="H299">
        <v>1</v>
      </c>
      <c r="I299" t="s">
        <v>1180</v>
      </c>
      <c r="J299" t="s">
        <v>1091</v>
      </c>
      <c r="K299" t="s">
        <v>1181</v>
      </c>
      <c r="L299" t="b">
        <f>Data_Completeness(MileageData[[#This Row],[MPG]:[Acceleration]])</f>
        <v>1</v>
      </c>
    </row>
    <row r="300" spans="1:12" x14ac:dyDescent="0.25">
      <c r="A300">
        <v>19.2</v>
      </c>
      <c r="B300">
        <v>8</v>
      </c>
      <c r="C300">
        <v>267</v>
      </c>
      <c r="D300">
        <v>125</v>
      </c>
      <c r="E300">
        <v>3605</v>
      </c>
      <c r="F300">
        <v>15</v>
      </c>
      <c r="G300">
        <v>79</v>
      </c>
      <c r="H300">
        <v>1</v>
      </c>
      <c r="I300" t="s">
        <v>1546</v>
      </c>
      <c r="J300" t="s">
        <v>1079</v>
      </c>
      <c r="K300" t="s">
        <v>1547</v>
      </c>
      <c r="L300" t="b">
        <f>Data_Completeness(MileageData[[#This Row],[MPG]:[Acceleration]])</f>
        <v>1</v>
      </c>
    </row>
    <row r="301" spans="1:12" x14ac:dyDescent="0.25">
      <c r="A301">
        <v>18.5</v>
      </c>
      <c r="B301">
        <v>8</v>
      </c>
      <c r="C301">
        <v>360</v>
      </c>
      <c r="D301">
        <v>150</v>
      </c>
      <c r="E301">
        <v>3940</v>
      </c>
      <c r="F301">
        <v>13</v>
      </c>
      <c r="G301">
        <v>79</v>
      </c>
      <c r="H301">
        <v>1</v>
      </c>
      <c r="I301" t="s">
        <v>1548</v>
      </c>
      <c r="J301" t="s">
        <v>1228</v>
      </c>
      <c r="K301" t="s">
        <v>1549</v>
      </c>
      <c r="L301" t="b">
        <f>Data_Completeness(MileageData[[#This Row],[MPG]:[Acceleration]])</f>
        <v>1</v>
      </c>
    </row>
    <row r="302" spans="1:12" x14ac:dyDescent="0.25">
      <c r="A302">
        <v>31.9</v>
      </c>
      <c r="B302">
        <v>4</v>
      </c>
      <c r="C302">
        <v>89</v>
      </c>
      <c r="D302">
        <v>71</v>
      </c>
      <c r="E302">
        <v>1925</v>
      </c>
      <c r="F302">
        <v>14</v>
      </c>
      <c r="G302">
        <v>79</v>
      </c>
      <c r="H302">
        <v>2</v>
      </c>
      <c r="I302" t="s">
        <v>1550</v>
      </c>
      <c r="J302" t="s">
        <v>1395</v>
      </c>
      <c r="K302" t="s">
        <v>1454</v>
      </c>
      <c r="L302" t="b">
        <f>Data_Completeness(MileageData[[#This Row],[MPG]:[Acceleration]])</f>
        <v>1</v>
      </c>
    </row>
    <row r="303" spans="1:12" x14ac:dyDescent="0.25">
      <c r="A303">
        <v>34.1</v>
      </c>
      <c r="B303">
        <v>4</v>
      </c>
      <c r="C303">
        <v>86</v>
      </c>
      <c r="D303">
        <v>65</v>
      </c>
      <c r="E303">
        <v>1975</v>
      </c>
      <c r="F303">
        <v>15.2</v>
      </c>
      <c r="G303">
        <v>79</v>
      </c>
      <c r="H303">
        <v>3</v>
      </c>
      <c r="I303" t="s">
        <v>1551</v>
      </c>
      <c r="J303" t="s">
        <v>1298</v>
      </c>
      <c r="K303" t="s">
        <v>1475</v>
      </c>
      <c r="L303" t="b">
        <f>Data_Completeness(MileageData[[#This Row],[MPG]:[Acceleration]])</f>
        <v>1</v>
      </c>
    </row>
    <row r="304" spans="1:12" x14ac:dyDescent="0.25">
      <c r="A304">
        <v>35.700000000000003</v>
      </c>
      <c r="B304">
        <v>4</v>
      </c>
      <c r="C304">
        <v>98</v>
      </c>
      <c r="D304">
        <v>80</v>
      </c>
      <c r="E304">
        <v>1915</v>
      </c>
      <c r="F304">
        <v>14.4</v>
      </c>
      <c r="G304">
        <v>79</v>
      </c>
      <c r="H304">
        <v>1</v>
      </c>
      <c r="I304" t="s">
        <v>1552</v>
      </c>
      <c r="J304" t="s">
        <v>1116</v>
      </c>
      <c r="K304" t="s">
        <v>1553</v>
      </c>
      <c r="L304" t="b">
        <f>Data_Completeness(MileageData[[#This Row],[MPG]:[Acceleration]])</f>
        <v>1</v>
      </c>
    </row>
    <row r="305" spans="1:12" x14ac:dyDescent="0.25">
      <c r="A305">
        <v>27.4</v>
      </c>
      <c r="B305">
        <v>4</v>
      </c>
      <c r="C305">
        <v>121</v>
      </c>
      <c r="D305">
        <v>80</v>
      </c>
      <c r="E305">
        <v>2670</v>
      </c>
      <c r="F305">
        <v>15</v>
      </c>
      <c r="G305">
        <v>79</v>
      </c>
      <c r="H305">
        <v>1</v>
      </c>
      <c r="I305" t="s">
        <v>1554</v>
      </c>
      <c r="J305" t="s">
        <v>1088</v>
      </c>
      <c r="K305" t="s">
        <v>1555</v>
      </c>
      <c r="L305" t="b">
        <f>Data_Completeness(MileageData[[#This Row],[MPG]:[Acceleration]])</f>
        <v>1</v>
      </c>
    </row>
    <row r="306" spans="1:12" x14ac:dyDescent="0.25">
      <c r="A306">
        <v>25.4</v>
      </c>
      <c r="B306">
        <v>5</v>
      </c>
      <c r="C306">
        <v>183</v>
      </c>
      <c r="D306">
        <v>77</v>
      </c>
      <c r="E306">
        <v>3530</v>
      </c>
      <c r="F306">
        <v>20.100000000000001</v>
      </c>
      <c r="G306">
        <v>79</v>
      </c>
      <c r="H306">
        <v>2</v>
      </c>
      <c r="I306" t="s">
        <v>1556</v>
      </c>
      <c r="J306" t="s">
        <v>1557</v>
      </c>
      <c r="K306" t="s">
        <v>1558</v>
      </c>
      <c r="L306" t="b">
        <f>Data_Completeness(MileageData[[#This Row],[MPG]:[Acceleration]])</f>
        <v>1</v>
      </c>
    </row>
    <row r="307" spans="1:12" x14ac:dyDescent="0.25">
      <c r="A307">
        <v>23</v>
      </c>
      <c r="B307">
        <v>8</v>
      </c>
      <c r="C307">
        <v>350</v>
      </c>
      <c r="D307">
        <v>125</v>
      </c>
      <c r="E307">
        <v>3900</v>
      </c>
      <c r="F307">
        <v>17.399999999999999</v>
      </c>
      <c r="G307">
        <v>79</v>
      </c>
      <c r="H307">
        <v>1</v>
      </c>
      <c r="I307" t="s">
        <v>1559</v>
      </c>
      <c r="J307" t="s">
        <v>1413</v>
      </c>
      <c r="K307" t="s">
        <v>1560</v>
      </c>
      <c r="L307" t="b">
        <f>Data_Completeness(MileageData[[#This Row],[MPG]:[Acceleration]])</f>
        <v>1</v>
      </c>
    </row>
    <row r="308" spans="1:12" x14ac:dyDescent="0.25">
      <c r="A308">
        <v>27.2</v>
      </c>
      <c r="B308">
        <v>4</v>
      </c>
      <c r="C308">
        <v>141</v>
      </c>
      <c r="D308">
        <v>71</v>
      </c>
      <c r="E308">
        <v>3190</v>
      </c>
      <c r="F308">
        <v>24.8</v>
      </c>
      <c r="G308">
        <v>79</v>
      </c>
      <c r="H308">
        <v>2</v>
      </c>
      <c r="I308" t="s">
        <v>1140</v>
      </c>
      <c r="J308" t="s">
        <v>1141</v>
      </c>
      <c r="K308">
        <v>504</v>
      </c>
      <c r="L308" t="b">
        <f>Data_Completeness(MileageData[[#This Row],[MPG]:[Acceleration]])</f>
        <v>1</v>
      </c>
    </row>
    <row r="309" spans="1:12" x14ac:dyDescent="0.25">
      <c r="A309">
        <v>23.9</v>
      </c>
      <c r="B309">
        <v>8</v>
      </c>
      <c r="C309">
        <v>260</v>
      </c>
      <c r="D309">
        <v>90</v>
      </c>
      <c r="E309">
        <v>3420</v>
      </c>
      <c r="F309">
        <v>22.2</v>
      </c>
      <c r="G309">
        <v>79</v>
      </c>
      <c r="H309">
        <v>1</v>
      </c>
      <c r="I309" t="s">
        <v>1478</v>
      </c>
      <c r="J309" t="s">
        <v>1225</v>
      </c>
      <c r="K309" t="s">
        <v>1479</v>
      </c>
      <c r="L309" t="b">
        <f>Data_Completeness(MileageData[[#This Row],[MPG]:[Acceleration]])</f>
        <v>1</v>
      </c>
    </row>
    <row r="310" spans="1:12" x14ac:dyDescent="0.25">
      <c r="A310">
        <v>34.200000000000003</v>
      </c>
      <c r="B310">
        <v>4</v>
      </c>
      <c r="C310">
        <v>105</v>
      </c>
      <c r="D310">
        <v>70</v>
      </c>
      <c r="E310">
        <v>2200</v>
      </c>
      <c r="F310">
        <v>13.2</v>
      </c>
      <c r="G310">
        <v>79</v>
      </c>
      <c r="H310">
        <v>1</v>
      </c>
      <c r="I310" t="s">
        <v>1561</v>
      </c>
      <c r="J310" t="s">
        <v>1085</v>
      </c>
      <c r="K310" t="s">
        <v>1562</v>
      </c>
      <c r="L310" t="b">
        <f>Data_Completeness(MileageData[[#This Row],[MPG]:[Acceleration]])</f>
        <v>1</v>
      </c>
    </row>
    <row r="311" spans="1:12" x14ac:dyDescent="0.25">
      <c r="A311">
        <v>34.5</v>
      </c>
      <c r="B311">
        <v>4</v>
      </c>
      <c r="C311">
        <v>105</v>
      </c>
      <c r="D311">
        <v>70</v>
      </c>
      <c r="E311">
        <v>2150</v>
      </c>
      <c r="F311">
        <v>14.9</v>
      </c>
      <c r="G311">
        <v>79</v>
      </c>
      <c r="H311">
        <v>1</v>
      </c>
      <c r="I311" t="s">
        <v>1563</v>
      </c>
      <c r="J311" t="s">
        <v>1085</v>
      </c>
      <c r="K311" t="s">
        <v>1564</v>
      </c>
      <c r="L311" t="b">
        <f>Data_Completeness(MileageData[[#This Row],[MPG]:[Acceleration]])</f>
        <v>1</v>
      </c>
    </row>
    <row r="312" spans="1:12" x14ac:dyDescent="0.25">
      <c r="A312">
        <v>31.8</v>
      </c>
      <c r="B312">
        <v>4</v>
      </c>
      <c r="C312">
        <v>85</v>
      </c>
      <c r="D312">
        <v>65</v>
      </c>
      <c r="E312">
        <v>2020</v>
      </c>
      <c r="F312">
        <v>19.2</v>
      </c>
      <c r="G312">
        <v>79</v>
      </c>
      <c r="H312">
        <v>3</v>
      </c>
      <c r="I312" t="s">
        <v>1565</v>
      </c>
      <c r="J312" t="s">
        <v>1135</v>
      </c>
      <c r="K312">
        <v>210</v>
      </c>
      <c r="L312" t="b">
        <f>Data_Completeness(MileageData[[#This Row],[MPG]:[Acceleration]])</f>
        <v>1</v>
      </c>
    </row>
    <row r="313" spans="1:12" x14ac:dyDescent="0.25">
      <c r="A313">
        <v>37.299999999999997</v>
      </c>
      <c r="B313">
        <v>4</v>
      </c>
      <c r="C313">
        <v>91</v>
      </c>
      <c r="D313">
        <v>69</v>
      </c>
      <c r="E313">
        <v>2130</v>
      </c>
      <c r="F313">
        <v>14.7</v>
      </c>
      <c r="G313">
        <v>79</v>
      </c>
      <c r="H313">
        <v>2</v>
      </c>
      <c r="I313" t="s">
        <v>1566</v>
      </c>
      <c r="J313" t="s">
        <v>1199</v>
      </c>
      <c r="K313" t="s">
        <v>1567</v>
      </c>
      <c r="L313" t="b">
        <f>Data_Completeness(MileageData[[#This Row],[MPG]:[Acceleration]])</f>
        <v>1</v>
      </c>
    </row>
    <row r="314" spans="1:12" x14ac:dyDescent="0.25">
      <c r="A314">
        <v>28.4</v>
      </c>
      <c r="B314">
        <v>4</v>
      </c>
      <c r="C314">
        <v>151</v>
      </c>
      <c r="D314">
        <v>90</v>
      </c>
      <c r="E314">
        <v>2670</v>
      </c>
      <c r="F314">
        <v>16</v>
      </c>
      <c r="G314">
        <v>79</v>
      </c>
      <c r="H314">
        <v>1</v>
      </c>
      <c r="I314" t="s">
        <v>1568</v>
      </c>
      <c r="J314" t="s">
        <v>1082</v>
      </c>
      <c r="K314" t="s">
        <v>1569</v>
      </c>
      <c r="L314" t="b">
        <f>Data_Completeness(MileageData[[#This Row],[MPG]:[Acceleration]])</f>
        <v>1</v>
      </c>
    </row>
    <row r="315" spans="1:12" x14ac:dyDescent="0.25">
      <c r="A315">
        <v>28.8</v>
      </c>
      <c r="B315">
        <v>6</v>
      </c>
      <c r="C315">
        <v>173</v>
      </c>
      <c r="D315">
        <v>115</v>
      </c>
      <c r="E315">
        <v>2595</v>
      </c>
      <c r="F315">
        <v>11.3</v>
      </c>
      <c r="G315">
        <v>79</v>
      </c>
      <c r="H315">
        <v>1</v>
      </c>
      <c r="I315" t="s">
        <v>1570</v>
      </c>
      <c r="J315" t="s">
        <v>1079</v>
      </c>
      <c r="K315" t="s">
        <v>1571</v>
      </c>
      <c r="L315" t="b">
        <f>Data_Completeness(MileageData[[#This Row],[MPG]:[Acceleration]])</f>
        <v>1</v>
      </c>
    </row>
    <row r="316" spans="1:12" x14ac:dyDescent="0.25">
      <c r="A316">
        <v>26.8</v>
      </c>
      <c r="B316">
        <v>6</v>
      </c>
      <c r="C316">
        <v>173</v>
      </c>
      <c r="D316">
        <v>115</v>
      </c>
      <c r="E316">
        <v>2700</v>
      </c>
      <c r="F316">
        <v>12.9</v>
      </c>
      <c r="G316">
        <v>79</v>
      </c>
      <c r="H316">
        <v>1</v>
      </c>
      <c r="I316" t="s">
        <v>1572</v>
      </c>
      <c r="J316" t="s">
        <v>1225</v>
      </c>
      <c r="K316" t="s">
        <v>1573</v>
      </c>
      <c r="L316" t="b">
        <f>Data_Completeness(MileageData[[#This Row],[MPG]:[Acceleration]])</f>
        <v>1</v>
      </c>
    </row>
    <row r="317" spans="1:12" x14ac:dyDescent="0.25">
      <c r="A317">
        <v>33.5</v>
      </c>
      <c r="B317">
        <v>4</v>
      </c>
      <c r="C317">
        <v>151</v>
      </c>
      <c r="D317">
        <v>90</v>
      </c>
      <c r="E317">
        <v>2556</v>
      </c>
      <c r="F317">
        <v>13.2</v>
      </c>
      <c r="G317">
        <v>79</v>
      </c>
      <c r="H317">
        <v>1</v>
      </c>
      <c r="I317" t="s">
        <v>1574</v>
      </c>
      <c r="J317" t="s">
        <v>1100</v>
      </c>
      <c r="K317" t="s">
        <v>1575</v>
      </c>
      <c r="L317" t="b">
        <f>Data_Completeness(MileageData[[#This Row],[MPG]:[Acceleration]])</f>
        <v>1</v>
      </c>
    </row>
    <row r="318" spans="1:12" x14ac:dyDescent="0.25">
      <c r="A318">
        <v>41.5</v>
      </c>
      <c r="B318">
        <v>4</v>
      </c>
      <c r="C318">
        <v>98</v>
      </c>
      <c r="D318">
        <v>76</v>
      </c>
      <c r="E318">
        <v>2144</v>
      </c>
      <c r="F318">
        <v>14.7</v>
      </c>
      <c r="G318">
        <v>80</v>
      </c>
      <c r="H318">
        <v>2</v>
      </c>
      <c r="I318" t="s">
        <v>1394</v>
      </c>
      <c r="J318" t="s">
        <v>1395</v>
      </c>
      <c r="K318" t="s">
        <v>1375</v>
      </c>
      <c r="L318" t="b">
        <f>Data_Completeness(MileageData[[#This Row],[MPG]:[Acceleration]])</f>
        <v>1</v>
      </c>
    </row>
    <row r="319" spans="1:12" x14ac:dyDescent="0.25">
      <c r="A319">
        <v>38.1</v>
      </c>
      <c r="B319">
        <v>4</v>
      </c>
      <c r="C319">
        <v>89</v>
      </c>
      <c r="D319">
        <v>60</v>
      </c>
      <c r="E319">
        <v>1968</v>
      </c>
      <c r="F319">
        <v>18.8</v>
      </c>
      <c r="G319">
        <v>80</v>
      </c>
      <c r="H319">
        <v>3</v>
      </c>
      <c r="I319" t="s">
        <v>1576</v>
      </c>
      <c r="J319" t="s">
        <v>1126</v>
      </c>
      <c r="K319" t="s">
        <v>1577</v>
      </c>
      <c r="L319" t="b">
        <f>Data_Completeness(MileageData[[#This Row],[MPG]:[Acceleration]])</f>
        <v>1</v>
      </c>
    </row>
    <row r="320" spans="1:12" x14ac:dyDescent="0.25">
      <c r="A320">
        <v>32.1</v>
      </c>
      <c r="B320">
        <v>4</v>
      </c>
      <c r="C320">
        <v>98</v>
      </c>
      <c r="D320">
        <v>70</v>
      </c>
      <c r="E320">
        <v>2120</v>
      </c>
      <c r="F320">
        <v>15.5</v>
      </c>
      <c r="G320">
        <v>80</v>
      </c>
      <c r="H320">
        <v>1</v>
      </c>
      <c r="I320" t="s">
        <v>1390</v>
      </c>
      <c r="J320" t="s">
        <v>1079</v>
      </c>
      <c r="K320" t="s">
        <v>1391</v>
      </c>
      <c r="L320" t="b">
        <f>Data_Completeness(MileageData[[#This Row],[MPG]:[Acceleration]])</f>
        <v>1</v>
      </c>
    </row>
    <row r="321" spans="1:12" x14ac:dyDescent="0.25">
      <c r="A321">
        <v>37.200000000000003</v>
      </c>
      <c r="B321">
        <v>4</v>
      </c>
      <c r="C321">
        <v>86</v>
      </c>
      <c r="D321">
        <v>65</v>
      </c>
      <c r="E321">
        <v>2019</v>
      </c>
      <c r="F321">
        <v>16.399999999999999</v>
      </c>
      <c r="G321">
        <v>80</v>
      </c>
      <c r="H321">
        <v>3</v>
      </c>
      <c r="I321" t="s">
        <v>1578</v>
      </c>
      <c r="J321" t="s">
        <v>1135</v>
      </c>
      <c r="K321">
        <v>310</v>
      </c>
      <c r="L321" t="b">
        <f>Data_Completeness(MileageData[[#This Row],[MPG]:[Acceleration]])</f>
        <v>1</v>
      </c>
    </row>
    <row r="322" spans="1:12" x14ac:dyDescent="0.25">
      <c r="A322">
        <v>28</v>
      </c>
      <c r="B322">
        <v>4</v>
      </c>
      <c r="C322">
        <v>151</v>
      </c>
      <c r="D322">
        <v>90</v>
      </c>
      <c r="E322">
        <v>2678</v>
      </c>
      <c r="F322">
        <v>16.5</v>
      </c>
      <c r="G322">
        <v>80</v>
      </c>
      <c r="H322">
        <v>1</v>
      </c>
      <c r="I322" t="s">
        <v>1570</v>
      </c>
      <c r="J322" t="s">
        <v>1079</v>
      </c>
      <c r="K322" t="s">
        <v>1571</v>
      </c>
      <c r="L322" t="b">
        <f>Data_Completeness(MileageData[[#This Row],[MPG]:[Acceleration]])</f>
        <v>1</v>
      </c>
    </row>
    <row r="323" spans="1:12" x14ac:dyDescent="0.25">
      <c r="A323">
        <v>26.4</v>
      </c>
      <c r="B323">
        <v>4</v>
      </c>
      <c r="C323">
        <v>140</v>
      </c>
      <c r="D323">
        <v>88</v>
      </c>
      <c r="E323">
        <v>2870</v>
      </c>
      <c r="F323">
        <v>18.100000000000001</v>
      </c>
      <c r="G323">
        <v>80</v>
      </c>
      <c r="H323">
        <v>1</v>
      </c>
      <c r="I323" t="s">
        <v>1579</v>
      </c>
      <c r="J323" t="s">
        <v>1091</v>
      </c>
      <c r="K323" t="s">
        <v>1580</v>
      </c>
      <c r="L323" t="b">
        <f>Data_Completeness(MileageData[[#This Row],[MPG]:[Acceleration]])</f>
        <v>1</v>
      </c>
    </row>
    <row r="324" spans="1:12" x14ac:dyDescent="0.25">
      <c r="A324">
        <v>24.3</v>
      </c>
      <c r="B324">
        <v>4</v>
      </c>
      <c r="C324">
        <v>151</v>
      </c>
      <c r="D324">
        <v>90</v>
      </c>
      <c r="E324">
        <v>3003</v>
      </c>
      <c r="F324">
        <v>20.100000000000001</v>
      </c>
      <c r="G324">
        <v>80</v>
      </c>
      <c r="H324">
        <v>1</v>
      </c>
      <c r="I324" t="s">
        <v>1492</v>
      </c>
      <c r="J324" t="s">
        <v>1088</v>
      </c>
      <c r="K324" t="s">
        <v>1493</v>
      </c>
      <c r="L324" t="b">
        <f>Data_Completeness(MileageData[[#This Row],[MPG]:[Acceleration]])</f>
        <v>1</v>
      </c>
    </row>
    <row r="325" spans="1:12" x14ac:dyDescent="0.25">
      <c r="A325">
        <v>19.100000000000001</v>
      </c>
      <c r="B325">
        <v>6</v>
      </c>
      <c r="C325">
        <v>225</v>
      </c>
      <c r="D325">
        <v>90</v>
      </c>
      <c r="E325">
        <v>3381</v>
      </c>
      <c r="F325">
        <v>18.7</v>
      </c>
      <c r="G325">
        <v>80</v>
      </c>
      <c r="H325">
        <v>1</v>
      </c>
      <c r="I325" t="s">
        <v>1498</v>
      </c>
      <c r="J325" t="s">
        <v>1116</v>
      </c>
      <c r="K325" t="s">
        <v>1499</v>
      </c>
      <c r="L325" t="b">
        <f>Data_Completeness(MileageData[[#This Row],[MPG]:[Acceleration]])</f>
        <v>1</v>
      </c>
    </row>
    <row r="326" spans="1:12" x14ac:dyDescent="0.25">
      <c r="A326">
        <v>34.299999999999997</v>
      </c>
      <c r="B326">
        <v>4</v>
      </c>
      <c r="C326">
        <v>97</v>
      </c>
      <c r="D326">
        <v>78</v>
      </c>
      <c r="E326">
        <v>2188</v>
      </c>
      <c r="F326">
        <v>15.8</v>
      </c>
      <c r="G326">
        <v>80</v>
      </c>
      <c r="H326">
        <v>2</v>
      </c>
      <c r="I326" t="s">
        <v>1581</v>
      </c>
      <c r="J326" t="s">
        <v>1143</v>
      </c>
      <c r="K326">
        <v>4000</v>
      </c>
      <c r="L326" t="b">
        <f>Data_Completeness(MileageData[[#This Row],[MPG]:[Acceleration]])</f>
        <v>1</v>
      </c>
    </row>
    <row r="327" spans="1:12" x14ac:dyDescent="0.25">
      <c r="A327">
        <v>29.8</v>
      </c>
      <c r="B327">
        <v>4</v>
      </c>
      <c r="C327">
        <v>134</v>
      </c>
      <c r="D327">
        <v>90</v>
      </c>
      <c r="E327">
        <v>2711</v>
      </c>
      <c r="F327">
        <v>15.5</v>
      </c>
      <c r="G327">
        <v>80</v>
      </c>
      <c r="H327">
        <v>3</v>
      </c>
      <c r="I327" t="s">
        <v>1582</v>
      </c>
      <c r="J327" t="s">
        <v>1126</v>
      </c>
      <c r="K327" t="s">
        <v>1583</v>
      </c>
      <c r="L327" t="b">
        <f>Data_Completeness(MileageData[[#This Row],[MPG]:[Acceleration]])</f>
        <v>1</v>
      </c>
    </row>
    <row r="328" spans="1:12" x14ac:dyDescent="0.25">
      <c r="A328">
        <v>31.3</v>
      </c>
      <c r="B328">
        <v>4</v>
      </c>
      <c r="C328">
        <v>120</v>
      </c>
      <c r="D328">
        <v>75</v>
      </c>
      <c r="E328">
        <v>2542</v>
      </c>
      <c r="F328">
        <v>17.5</v>
      </c>
      <c r="G328">
        <v>80</v>
      </c>
      <c r="H328">
        <v>3</v>
      </c>
      <c r="I328" t="s">
        <v>1584</v>
      </c>
      <c r="J328" t="s">
        <v>1231</v>
      </c>
      <c r="K328">
        <v>626</v>
      </c>
      <c r="L328" t="b">
        <f>Data_Completeness(MileageData[[#This Row],[MPG]:[Acceleration]])</f>
        <v>1</v>
      </c>
    </row>
    <row r="329" spans="1:12" x14ac:dyDescent="0.25">
      <c r="A329">
        <v>37</v>
      </c>
      <c r="B329">
        <v>4</v>
      </c>
      <c r="C329">
        <v>119</v>
      </c>
      <c r="D329">
        <v>92</v>
      </c>
      <c r="E329">
        <v>2434</v>
      </c>
      <c r="F329">
        <v>15</v>
      </c>
      <c r="G329">
        <v>80</v>
      </c>
      <c r="H329">
        <v>3</v>
      </c>
      <c r="I329" t="s">
        <v>1585</v>
      </c>
      <c r="J329" t="s">
        <v>1135</v>
      </c>
      <c r="K329" t="s">
        <v>1586</v>
      </c>
      <c r="L329" t="b">
        <f>Data_Completeness(MileageData[[#This Row],[MPG]:[Acceleration]])</f>
        <v>1</v>
      </c>
    </row>
    <row r="330" spans="1:12" x14ac:dyDescent="0.25">
      <c r="A330">
        <v>32.200000000000003</v>
      </c>
      <c r="B330">
        <v>4</v>
      </c>
      <c r="C330">
        <v>108</v>
      </c>
      <c r="D330">
        <v>75</v>
      </c>
      <c r="E330">
        <v>2265</v>
      </c>
      <c r="F330">
        <v>15.2</v>
      </c>
      <c r="G330">
        <v>80</v>
      </c>
      <c r="H330">
        <v>3</v>
      </c>
      <c r="I330" t="s">
        <v>1370</v>
      </c>
      <c r="J330" t="s">
        <v>1126</v>
      </c>
      <c r="K330" t="s">
        <v>1371</v>
      </c>
      <c r="L330" t="b">
        <f>Data_Completeness(MileageData[[#This Row],[MPG]:[Acceleration]])</f>
        <v>1</v>
      </c>
    </row>
    <row r="331" spans="1:12" x14ac:dyDescent="0.25">
      <c r="A331">
        <v>46.6</v>
      </c>
      <c r="B331">
        <v>4</v>
      </c>
      <c r="C331">
        <v>86</v>
      </c>
      <c r="D331">
        <v>65</v>
      </c>
      <c r="E331">
        <v>2110</v>
      </c>
      <c r="F331">
        <v>17.899999999999999</v>
      </c>
      <c r="G331">
        <v>80</v>
      </c>
      <c r="H331">
        <v>3</v>
      </c>
      <c r="I331" t="s">
        <v>1587</v>
      </c>
      <c r="J331" t="s">
        <v>1231</v>
      </c>
      <c r="K331" t="s">
        <v>1588</v>
      </c>
      <c r="L331" t="b">
        <f>Data_Completeness(MileageData[[#This Row],[MPG]:[Acceleration]])</f>
        <v>1</v>
      </c>
    </row>
    <row r="332" spans="1:12" x14ac:dyDescent="0.25">
      <c r="A332">
        <v>27.9</v>
      </c>
      <c r="B332">
        <v>4</v>
      </c>
      <c r="C332">
        <v>156</v>
      </c>
      <c r="D332">
        <v>105</v>
      </c>
      <c r="E332">
        <v>2800</v>
      </c>
      <c r="F332">
        <v>14.4</v>
      </c>
      <c r="G332">
        <v>80</v>
      </c>
      <c r="H332">
        <v>1</v>
      </c>
      <c r="I332" t="s">
        <v>1340</v>
      </c>
      <c r="J332" t="s">
        <v>1116</v>
      </c>
      <c r="K332" t="s">
        <v>1341</v>
      </c>
      <c r="L332" t="b">
        <f>Data_Completeness(MileageData[[#This Row],[MPG]:[Acceleration]])</f>
        <v>1</v>
      </c>
    </row>
    <row r="333" spans="1:12" x14ac:dyDescent="0.25">
      <c r="A333">
        <v>40.799999999999997</v>
      </c>
      <c r="B333">
        <v>4</v>
      </c>
      <c r="C333">
        <v>85</v>
      </c>
      <c r="D333">
        <v>65</v>
      </c>
      <c r="E333">
        <v>2110</v>
      </c>
      <c r="F333">
        <v>19.2</v>
      </c>
      <c r="G333">
        <v>80</v>
      </c>
      <c r="H333">
        <v>3</v>
      </c>
      <c r="I333" t="s">
        <v>1565</v>
      </c>
      <c r="J333" t="s">
        <v>1135</v>
      </c>
      <c r="K333">
        <v>210</v>
      </c>
      <c r="L333" t="b">
        <f>Data_Completeness(MileageData[[#This Row],[MPG]:[Acceleration]])</f>
        <v>1</v>
      </c>
    </row>
    <row r="334" spans="1:12" x14ac:dyDescent="0.25">
      <c r="A334">
        <v>44.3</v>
      </c>
      <c r="B334">
        <v>4</v>
      </c>
      <c r="C334">
        <v>90</v>
      </c>
      <c r="D334">
        <v>48</v>
      </c>
      <c r="E334">
        <v>2085</v>
      </c>
      <c r="F334">
        <v>21.7</v>
      </c>
      <c r="G334">
        <v>80</v>
      </c>
      <c r="H334">
        <v>2</v>
      </c>
      <c r="I334" t="s">
        <v>1589</v>
      </c>
      <c r="J334" t="s">
        <v>1395</v>
      </c>
      <c r="K334" t="s">
        <v>1590</v>
      </c>
      <c r="L334" t="b">
        <f>Data_Completeness(MileageData[[#This Row],[MPG]:[Acceleration]])</f>
        <v>1</v>
      </c>
    </row>
    <row r="335" spans="1:12" x14ac:dyDescent="0.25">
      <c r="A335">
        <v>43.4</v>
      </c>
      <c r="B335">
        <v>4</v>
      </c>
      <c r="C335">
        <v>90</v>
      </c>
      <c r="D335">
        <v>48</v>
      </c>
      <c r="E335">
        <v>2335</v>
      </c>
      <c r="F335">
        <v>23.7</v>
      </c>
      <c r="G335">
        <v>80</v>
      </c>
      <c r="H335">
        <v>2</v>
      </c>
      <c r="I335" t="s">
        <v>1591</v>
      </c>
      <c r="J335" t="s">
        <v>1395</v>
      </c>
      <c r="K335" t="s">
        <v>1592</v>
      </c>
      <c r="L335" t="b">
        <f>Data_Completeness(MileageData[[#This Row],[MPG]:[Acceleration]])</f>
        <v>1</v>
      </c>
    </row>
    <row r="336" spans="1:12" x14ac:dyDescent="0.25">
      <c r="A336">
        <v>36.4</v>
      </c>
      <c r="B336">
        <v>5</v>
      </c>
      <c r="C336">
        <v>121</v>
      </c>
      <c r="D336">
        <v>67</v>
      </c>
      <c r="E336">
        <v>2950</v>
      </c>
      <c r="F336">
        <v>19.899999999999999</v>
      </c>
      <c r="G336">
        <v>80</v>
      </c>
      <c r="H336">
        <v>2</v>
      </c>
      <c r="I336" t="s">
        <v>1593</v>
      </c>
      <c r="J336" t="s">
        <v>1143</v>
      </c>
      <c r="K336" t="s">
        <v>1594</v>
      </c>
      <c r="L336" t="b">
        <f>Data_Completeness(MileageData[[#This Row],[MPG]:[Acceleration]])</f>
        <v>1</v>
      </c>
    </row>
    <row r="337" spans="1:12" x14ac:dyDescent="0.25">
      <c r="A337">
        <v>30</v>
      </c>
      <c r="B337">
        <v>4</v>
      </c>
      <c r="C337">
        <v>146</v>
      </c>
      <c r="D337">
        <v>67</v>
      </c>
      <c r="E337">
        <v>3250</v>
      </c>
      <c r="F337">
        <v>21.8</v>
      </c>
      <c r="G337">
        <v>80</v>
      </c>
      <c r="H337">
        <v>2</v>
      </c>
      <c r="I337" t="s">
        <v>1595</v>
      </c>
      <c r="J337" t="s">
        <v>1410</v>
      </c>
      <c r="K337" t="s">
        <v>1596</v>
      </c>
      <c r="L337" t="b">
        <f>Data_Completeness(MileageData[[#This Row],[MPG]:[Acceleration]])</f>
        <v>1</v>
      </c>
    </row>
    <row r="338" spans="1:12" x14ac:dyDescent="0.25">
      <c r="A338">
        <v>44.6</v>
      </c>
      <c r="B338">
        <v>4</v>
      </c>
      <c r="C338">
        <v>91</v>
      </c>
      <c r="D338">
        <v>67</v>
      </c>
      <c r="E338">
        <v>1850</v>
      </c>
      <c r="F338">
        <v>13.8</v>
      </c>
      <c r="G338">
        <v>80</v>
      </c>
      <c r="H338">
        <v>3</v>
      </c>
      <c r="I338" t="s">
        <v>1597</v>
      </c>
      <c r="J338" t="s">
        <v>1345</v>
      </c>
      <c r="K338" t="s">
        <v>1598</v>
      </c>
      <c r="L338" t="b">
        <f>Data_Completeness(MileageData[[#This Row],[MPG]:[Acceleration]])</f>
        <v>1</v>
      </c>
    </row>
    <row r="339" spans="1:12" x14ac:dyDescent="0.25">
      <c r="A339">
        <v>40.9</v>
      </c>
      <c r="B339">
        <v>4</v>
      </c>
      <c r="C339">
        <v>85</v>
      </c>
      <c r="E339">
        <v>1835</v>
      </c>
      <c r="F339">
        <v>17.3</v>
      </c>
      <c r="G339">
        <v>80</v>
      </c>
      <c r="H339">
        <v>2</v>
      </c>
      <c r="I339" t="s">
        <v>1599</v>
      </c>
      <c r="J339" t="s">
        <v>1247</v>
      </c>
      <c r="K339" t="s">
        <v>1600</v>
      </c>
      <c r="L339" t="b">
        <f>Data_Completeness(MileageData[[#This Row],[MPG]:[Acceleration]])</f>
        <v>0</v>
      </c>
    </row>
    <row r="340" spans="1:12" x14ac:dyDescent="0.25">
      <c r="A340">
        <v>33.799999999999997</v>
      </c>
      <c r="B340">
        <v>4</v>
      </c>
      <c r="C340">
        <v>97</v>
      </c>
      <c r="D340">
        <v>67</v>
      </c>
      <c r="E340">
        <v>2145</v>
      </c>
      <c r="F340">
        <v>18</v>
      </c>
      <c r="G340">
        <v>80</v>
      </c>
      <c r="H340">
        <v>3</v>
      </c>
      <c r="I340" t="s">
        <v>1463</v>
      </c>
      <c r="J340" t="s">
        <v>1347</v>
      </c>
      <c r="K340" t="s">
        <v>1464</v>
      </c>
      <c r="L340" t="b">
        <f>Data_Completeness(MileageData[[#This Row],[MPG]:[Acceleration]])</f>
        <v>1</v>
      </c>
    </row>
    <row r="341" spans="1:12" x14ac:dyDescent="0.25">
      <c r="A341">
        <v>29.8</v>
      </c>
      <c r="B341">
        <v>4</v>
      </c>
      <c r="C341">
        <v>89</v>
      </c>
      <c r="D341">
        <v>62</v>
      </c>
      <c r="E341">
        <v>1845</v>
      </c>
      <c r="F341">
        <v>15.3</v>
      </c>
      <c r="G341">
        <v>80</v>
      </c>
      <c r="H341">
        <v>2</v>
      </c>
      <c r="I341" t="s">
        <v>1601</v>
      </c>
      <c r="J341" t="s">
        <v>1602</v>
      </c>
      <c r="K341" t="s">
        <v>1375</v>
      </c>
      <c r="L341" t="b">
        <f>Data_Completeness(MileageData[[#This Row],[MPG]:[Acceleration]])</f>
        <v>1</v>
      </c>
    </row>
    <row r="342" spans="1:12" x14ac:dyDescent="0.25">
      <c r="A342">
        <v>32.700000000000003</v>
      </c>
      <c r="B342">
        <v>6</v>
      </c>
      <c r="C342">
        <v>168</v>
      </c>
      <c r="D342">
        <v>132</v>
      </c>
      <c r="E342">
        <v>2910</v>
      </c>
      <c r="F342">
        <v>11.4</v>
      </c>
      <c r="G342">
        <v>80</v>
      </c>
      <c r="H342">
        <v>3</v>
      </c>
      <c r="I342" t="s">
        <v>1603</v>
      </c>
      <c r="J342" t="s">
        <v>1135</v>
      </c>
      <c r="K342" t="s">
        <v>1604</v>
      </c>
      <c r="L342" t="b">
        <f>Data_Completeness(MileageData[[#This Row],[MPG]:[Acceleration]])</f>
        <v>1</v>
      </c>
    </row>
    <row r="343" spans="1:12" x14ac:dyDescent="0.25">
      <c r="A343">
        <v>23.7</v>
      </c>
      <c r="B343">
        <v>3</v>
      </c>
      <c r="C343">
        <v>70</v>
      </c>
      <c r="D343">
        <v>100</v>
      </c>
      <c r="E343">
        <v>2420</v>
      </c>
      <c r="F343">
        <v>12.5</v>
      </c>
      <c r="G343">
        <v>80</v>
      </c>
      <c r="H343">
        <v>3</v>
      </c>
      <c r="I343" t="s">
        <v>1605</v>
      </c>
      <c r="J343" t="s">
        <v>1231</v>
      </c>
      <c r="K343" t="s">
        <v>1606</v>
      </c>
      <c r="L343" t="b">
        <f>Data_Completeness(MileageData[[#This Row],[MPG]:[Acceleration]])</f>
        <v>1</v>
      </c>
    </row>
    <row r="344" spans="1:12" x14ac:dyDescent="0.25">
      <c r="A344">
        <v>35</v>
      </c>
      <c r="B344">
        <v>4</v>
      </c>
      <c r="C344">
        <v>122</v>
      </c>
      <c r="D344">
        <v>88</v>
      </c>
      <c r="E344">
        <v>2500</v>
      </c>
      <c r="F344">
        <v>15.1</v>
      </c>
      <c r="G344">
        <v>80</v>
      </c>
      <c r="H344">
        <v>2</v>
      </c>
      <c r="I344" t="s">
        <v>1607</v>
      </c>
      <c r="J344" t="s">
        <v>1608</v>
      </c>
      <c r="K344" t="s">
        <v>1609</v>
      </c>
      <c r="L344" t="b">
        <f>Data_Completeness(MileageData[[#This Row],[MPG]:[Acceleration]])</f>
        <v>1</v>
      </c>
    </row>
    <row r="345" spans="1:12" x14ac:dyDescent="0.25">
      <c r="A345">
        <v>23.6</v>
      </c>
      <c r="B345">
        <v>4</v>
      </c>
      <c r="C345">
        <v>140</v>
      </c>
      <c r="E345">
        <v>2905</v>
      </c>
      <c r="F345">
        <v>14.3</v>
      </c>
      <c r="G345">
        <v>80</v>
      </c>
      <c r="H345">
        <v>1</v>
      </c>
      <c r="I345" t="s">
        <v>1610</v>
      </c>
      <c r="J345" t="s">
        <v>1091</v>
      </c>
      <c r="K345" t="s">
        <v>1611</v>
      </c>
      <c r="L345" t="b">
        <f>Data_Completeness(MileageData[[#This Row],[MPG]:[Acceleration]])</f>
        <v>0</v>
      </c>
    </row>
    <row r="346" spans="1:12" x14ac:dyDescent="0.25">
      <c r="A346">
        <v>32.4</v>
      </c>
      <c r="B346">
        <v>4</v>
      </c>
      <c r="C346">
        <v>107</v>
      </c>
      <c r="D346">
        <v>72</v>
      </c>
      <c r="E346">
        <v>2290</v>
      </c>
      <c r="F346">
        <v>17</v>
      </c>
      <c r="G346">
        <v>80</v>
      </c>
      <c r="H346">
        <v>3</v>
      </c>
      <c r="I346" t="s">
        <v>1612</v>
      </c>
      <c r="J346" t="s">
        <v>1345</v>
      </c>
      <c r="K346" t="s">
        <v>1613</v>
      </c>
      <c r="L346" t="b">
        <f>Data_Completeness(MileageData[[#This Row],[MPG]:[Acceleration]])</f>
        <v>1</v>
      </c>
    </row>
    <row r="347" spans="1:12" x14ac:dyDescent="0.25">
      <c r="A347">
        <v>27.2</v>
      </c>
      <c r="B347">
        <v>4</v>
      </c>
      <c r="C347">
        <v>135</v>
      </c>
      <c r="D347">
        <v>84</v>
      </c>
      <c r="E347">
        <v>2490</v>
      </c>
      <c r="F347">
        <v>15.7</v>
      </c>
      <c r="G347">
        <v>81</v>
      </c>
      <c r="H347">
        <v>1</v>
      </c>
      <c r="I347" t="s">
        <v>1614</v>
      </c>
      <c r="J347" t="s">
        <v>1085</v>
      </c>
      <c r="K347" t="s">
        <v>1615</v>
      </c>
      <c r="L347" t="b">
        <f>Data_Completeness(MileageData[[#This Row],[MPG]:[Acceleration]])</f>
        <v>1</v>
      </c>
    </row>
    <row r="348" spans="1:12" x14ac:dyDescent="0.25">
      <c r="A348">
        <v>26.6</v>
      </c>
      <c r="B348">
        <v>4</v>
      </c>
      <c r="C348">
        <v>151</v>
      </c>
      <c r="D348">
        <v>84</v>
      </c>
      <c r="E348">
        <v>2635</v>
      </c>
      <c r="F348">
        <v>16.399999999999999</v>
      </c>
      <c r="G348">
        <v>81</v>
      </c>
      <c r="H348">
        <v>1</v>
      </c>
      <c r="I348" t="s">
        <v>1439</v>
      </c>
      <c r="J348" t="s">
        <v>1082</v>
      </c>
      <c r="K348" t="s">
        <v>1440</v>
      </c>
      <c r="L348" t="b">
        <f>Data_Completeness(MileageData[[#This Row],[MPG]:[Acceleration]])</f>
        <v>1</v>
      </c>
    </row>
    <row r="349" spans="1:12" x14ac:dyDescent="0.25">
      <c r="A349">
        <v>25.8</v>
      </c>
      <c r="B349">
        <v>4</v>
      </c>
      <c r="C349">
        <v>156</v>
      </c>
      <c r="D349">
        <v>92</v>
      </c>
      <c r="E349">
        <v>2620</v>
      </c>
      <c r="F349">
        <v>14.4</v>
      </c>
      <c r="G349">
        <v>81</v>
      </c>
      <c r="H349">
        <v>1</v>
      </c>
      <c r="I349" t="s">
        <v>1616</v>
      </c>
      <c r="J349" t="s">
        <v>1116</v>
      </c>
      <c r="K349" t="s">
        <v>1617</v>
      </c>
      <c r="L349" t="b">
        <f>Data_Completeness(MileageData[[#This Row],[MPG]:[Acceleration]])</f>
        <v>1</v>
      </c>
    </row>
    <row r="350" spans="1:12" x14ac:dyDescent="0.25">
      <c r="A350">
        <v>23.5</v>
      </c>
      <c r="B350">
        <v>6</v>
      </c>
      <c r="C350">
        <v>173</v>
      </c>
      <c r="D350">
        <v>110</v>
      </c>
      <c r="E350">
        <v>2725</v>
      </c>
      <c r="F350">
        <v>12.6</v>
      </c>
      <c r="G350">
        <v>81</v>
      </c>
      <c r="H350">
        <v>1</v>
      </c>
      <c r="I350" t="s">
        <v>1570</v>
      </c>
      <c r="J350" t="s">
        <v>1079</v>
      </c>
      <c r="K350" t="s">
        <v>1571</v>
      </c>
      <c r="L350" t="b">
        <f>Data_Completeness(MileageData[[#This Row],[MPG]:[Acceleration]])</f>
        <v>1</v>
      </c>
    </row>
    <row r="351" spans="1:12" x14ac:dyDescent="0.25">
      <c r="A351">
        <v>30</v>
      </c>
      <c r="B351">
        <v>4</v>
      </c>
      <c r="C351">
        <v>135</v>
      </c>
      <c r="D351">
        <v>84</v>
      </c>
      <c r="E351">
        <v>2385</v>
      </c>
      <c r="F351">
        <v>12.9</v>
      </c>
      <c r="G351">
        <v>81</v>
      </c>
      <c r="H351">
        <v>1</v>
      </c>
      <c r="I351" t="s">
        <v>1614</v>
      </c>
      <c r="J351" t="s">
        <v>1085</v>
      </c>
      <c r="K351" t="s">
        <v>1615</v>
      </c>
      <c r="L351" t="b">
        <f>Data_Completeness(MileageData[[#This Row],[MPG]:[Acceleration]])</f>
        <v>1</v>
      </c>
    </row>
    <row r="352" spans="1:12" x14ac:dyDescent="0.25">
      <c r="A352">
        <v>39.1</v>
      </c>
      <c r="B352">
        <v>4</v>
      </c>
      <c r="C352">
        <v>79</v>
      </c>
      <c r="D352">
        <v>58</v>
      </c>
      <c r="E352">
        <v>1755</v>
      </c>
      <c r="F352">
        <v>16.899999999999999</v>
      </c>
      <c r="G352">
        <v>81</v>
      </c>
      <c r="H352">
        <v>3</v>
      </c>
      <c r="I352" t="s">
        <v>1618</v>
      </c>
      <c r="J352" t="s">
        <v>1126</v>
      </c>
      <c r="K352" t="s">
        <v>1619</v>
      </c>
      <c r="L352" t="b">
        <f>Data_Completeness(MileageData[[#This Row],[MPG]:[Acceleration]])</f>
        <v>1</v>
      </c>
    </row>
    <row r="353" spans="1:12" x14ac:dyDescent="0.25">
      <c r="A353">
        <v>39</v>
      </c>
      <c r="B353">
        <v>4</v>
      </c>
      <c r="C353">
        <v>86</v>
      </c>
      <c r="D353">
        <v>64</v>
      </c>
      <c r="E353">
        <v>1875</v>
      </c>
      <c r="F353">
        <v>16.399999999999999</v>
      </c>
      <c r="G353">
        <v>81</v>
      </c>
      <c r="H353">
        <v>1</v>
      </c>
      <c r="I353" t="s">
        <v>1620</v>
      </c>
      <c r="J353" t="s">
        <v>1085</v>
      </c>
      <c r="K353" t="s">
        <v>1621</v>
      </c>
      <c r="L353" t="b">
        <f>Data_Completeness(MileageData[[#This Row],[MPG]:[Acceleration]])</f>
        <v>1</v>
      </c>
    </row>
    <row r="354" spans="1:12" x14ac:dyDescent="0.25">
      <c r="A354">
        <v>35.1</v>
      </c>
      <c r="B354">
        <v>4</v>
      </c>
      <c r="C354">
        <v>81</v>
      </c>
      <c r="D354">
        <v>60</v>
      </c>
      <c r="E354">
        <v>1760</v>
      </c>
      <c r="F354">
        <v>16.100000000000001</v>
      </c>
      <c r="G354">
        <v>81</v>
      </c>
      <c r="H354">
        <v>3</v>
      </c>
      <c r="I354" t="s">
        <v>1622</v>
      </c>
      <c r="J354" t="s">
        <v>1345</v>
      </c>
      <c r="K354" t="s">
        <v>1623</v>
      </c>
      <c r="L354" t="b">
        <f>Data_Completeness(MileageData[[#This Row],[MPG]:[Acceleration]])</f>
        <v>1</v>
      </c>
    </row>
    <row r="355" spans="1:12" x14ac:dyDescent="0.25">
      <c r="A355">
        <v>32.299999999999997</v>
      </c>
      <c r="B355">
        <v>4</v>
      </c>
      <c r="C355">
        <v>97</v>
      </c>
      <c r="D355">
        <v>67</v>
      </c>
      <c r="E355">
        <v>2065</v>
      </c>
      <c r="F355">
        <v>17.8</v>
      </c>
      <c r="G355">
        <v>81</v>
      </c>
      <c r="H355">
        <v>3</v>
      </c>
      <c r="I355" t="s">
        <v>1347</v>
      </c>
      <c r="J355" t="e">
        <v>#VALUE!</v>
      </c>
      <c r="K355" t="e">
        <v>#VALUE!</v>
      </c>
      <c r="L355" t="b">
        <f>Data_Completeness(MileageData[[#This Row],[MPG]:[Acceleration]])</f>
        <v>1</v>
      </c>
    </row>
    <row r="356" spans="1:12" x14ac:dyDescent="0.25">
      <c r="A356">
        <v>37</v>
      </c>
      <c r="B356">
        <v>4</v>
      </c>
      <c r="C356">
        <v>85</v>
      </c>
      <c r="D356">
        <v>65</v>
      </c>
      <c r="E356">
        <v>1975</v>
      </c>
      <c r="F356">
        <v>19.399999999999999</v>
      </c>
      <c r="G356">
        <v>81</v>
      </c>
      <c r="H356">
        <v>3</v>
      </c>
      <c r="I356" t="s">
        <v>1624</v>
      </c>
      <c r="J356" t="s">
        <v>1135</v>
      </c>
      <c r="K356" t="s">
        <v>1625</v>
      </c>
      <c r="L356" t="b">
        <f>Data_Completeness(MileageData[[#This Row],[MPG]:[Acceleration]])</f>
        <v>1</v>
      </c>
    </row>
    <row r="357" spans="1:12" x14ac:dyDescent="0.25">
      <c r="A357">
        <v>37.700000000000003</v>
      </c>
      <c r="B357">
        <v>4</v>
      </c>
      <c r="C357">
        <v>89</v>
      </c>
      <c r="D357">
        <v>62</v>
      </c>
      <c r="E357">
        <v>2050</v>
      </c>
      <c r="F357">
        <v>17.3</v>
      </c>
      <c r="G357">
        <v>81</v>
      </c>
      <c r="H357">
        <v>3</v>
      </c>
      <c r="I357" t="s">
        <v>1626</v>
      </c>
      <c r="J357" t="s">
        <v>1126</v>
      </c>
      <c r="K357" t="s">
        <v>1627</v>
      </c>
      <c r="L357" t="b">
        <f>Data_Completeness(MileageData[[#This Row],[MPG]:[Acceleration]])</f>
        <v>1</v>
      </c>
    </row>
    <row r="358" spans="1:12" x14ac:dyDescent="0.25">
      <c r="A358">
        <v>34.1</v>
      </c>
      <c r="B358">
        <v>4</v>
      </c>
      <c r="C358">
        <v>91</v>
      </c>
      <c r="D358">
        <v>68</v>
      </c>
      <c r="E358">
        <v>1985</v>
      </c>
      <c r="F358">
        <v>16</v>
      </c>
      <c r="G358">
        <v>81</v>
      </c>
      <c r="H358">
        <v>3</v>
      </c>
      <c r="I358" t="s">
        <v>1628</v>
      </c>
      <c r="J358" t="s">
        <v>1231</v>
      </c>
      <c r="K358" t="s">
        <v>1629</v>
      </c>
      <c r="L358" t="b">
        <f>Data_Completeness(MileageData[[#This Row],[MPG]:[Acceleration]])</f>
        <v>1</v>
      </c>
    </row>
    <row r="359" spans="1:12" x14ac:dyDescent="0.25">
      <c r="A359">
        <v>34.700000000000003</v>
      </c>
      <c r="B359">
        <v>4</v>
      </c>
      <c r="C359">
        <v>105</v>
      </c>
      <c r="D359">
        <v>63</v>
      </c>
      <c r="E359">
        <v>2215</v>
      </c>
      <c r="F359">
        <v>14.9</v>
      </c>
      <c r="G359">
        <v>81</v>
      </c>
      <c r="H359">
        <v>1</v>
      </c>
      <c r="I359" t="s">
        <v>1630</v>
      </c>
      <c r="J359" t="s">
        <v>1085</v>
      </c>
      <c r="K359" t="s">
        <v>1631</v>
      </c>
      <c r="L359" t="b">
        <f>Data_Completeness(MileageData[[#This Row],[MPG]:[Acceleration]])</f>
        <v>1</v>
      </c>
    </row>
    <row r="360" spans="1:12" x14ac:dyDescent="0.25">
      <c r="A360">
        <v>34.4</v>
      </c>
      <c r="B360">
        <v>4</v>
      </c>
      <c r="C360">
        <v>98</v>
      </c>
      <c r="D360">
        <v>65</v>
      </c>
      <c r="E360">
        <v>2045</v>
      </c>
      <c r="F360">
        <v>16.2</v>
      </c>
      <c r="G360">
        <v>81</v>
      </c>
      <c r="H360">
        <v>1</v>
      </c>
      <c r="I360" t="s">
        <v>1632</v>
      </c>
      <c r="J360" t="s">
        <v>1091</v>
      </c>
      <c r="K360" t="s">
        <v>1633</v>
      </c>
      <c r="L360" t="b">
        <f>Data_Completeness(MileageData[[#This Row],[MPG]:[Acceleration]])</f>
        <v>1</v>
      </c>
    </row>
    <row r="361" spans="1:12" x14ac:dyDescent="0.25">
      <c r="A361">
        <v>29.9</v>
      </c>
      <c r="B361">
        <v>4</v>
      </c>
      <c r="C361">
        <v>98</v>
      </c>
      <c r="D361">
        <v>65</v>
      </c>
      <c r="E361">
        <v>2380</v>
      </c>
      <c r="F361">
        <v>20.7</v>
      </c>
      <c r="G361">
        <v>81</v>
      </c>
      <c r="H361">
        <v>1</v>
      </c>
      <c r="I361" t="s">
        <v>1634</v>
      </c>
      <c r="J361" t="s">
        <v>1091</v>
      </c>
      <c r="K361" t="s">
        <v>1635</v>
      </c>
      <c r="L361" t="b">
        <f>Data_Completeness(MileageData[[#This Row],[MPG]:[Acceleration]])</f>
        <v>1</v>
      </c>
    </row>
    <row r="362" spans="1:12" x14ac:dyDescent="0.25">
      <c r="A362">
        <v>33</v>
      </c>
      <c r="B362">
        <v>4</v>
      </c>
      <c r="C362">
        <v>105</v>
      </c>
      <c r="D362">
        <v>74</v>
      </c>
      <c r="E362">
        <v>2190</v>
      </c>
      <c r="F362">
        <v>14.2</v>
      </c>
      <c r="G362">
        <v>81</v>
      </c>
      <c r="H362">
        <v>2</v>
      </c>
      <c r="I362" t="s">
        <v>1636</v>
      </c>
      <c r="J362" t="s">
        <v>1138</v>
      </c>
      <c r="K362" t="s">
        <v>1637</v>
      </c>
      <c r="L362" t="b">
        <f>Data_Completeness(MileageData[[#This Row],[MPG]:[Acceleration]])</f>
        <v>1</v>
      </c>
    </row>
    <row r="363" spans="1:12" x14ac:dyDescent="0.25">
      <c r="A363">
        <v>34.5</v>
      </c>
      <c r="B363">
        <v>4</v>
      </c>
      <c r="C363">
        <v>100</v>
      </c>
      <c r="E363">
        <v>2320</v>
      </c>
      <c r="F363">
        <v>15.8</v>
      </c>
      <c r="G363">
        <v>81</v>
      </c>
      <c r="H363">
        <v>2</v>
      </c>
      <c r="I363" t="s">
        <v>1638</v>
      </c>
      <c r="J363" t="s">
        <v>1247</v>
      </c>
      <c r="K363" t="s">
        <v>1639</v>
      </c>
      <c r="L363" t="b">
        <f>Data_Completeness(MileageData[[#This Row],[MPG]:[Acceleration]])</f>
        <v>0</v>
      </c>
    </row>
    <row r="364" spans="1:12" x14ac:dyDescent="0.25">
      <c r="A364">
        <v>33.700000000000003</v>
      </c>
      <c r="B364">
        <v>4</v>
      </c>
      <c r="C364">
        <v>107</v>
      </c>
      <c r="D364">
        <v>75</v>
      </c>
      <c r="E364">
        <v>2210</v>
      </c>
      <c r="F364">
        <v>14.4</v>
      </c>
      <c r="G364">
        <v>81</v>
      </c>
      <c r="H364">
        <v>3</v>
      </c>
      <c r="I364" t="s">
        <v>1640</v>
      </c>
      <c r="J364" t="s">
        <v>1345</v>
      </c>
      <c r="K364" t="s">
        <v>1641</v>
      </c>
      <c r="L364" t="b">
        <f>Data_Completeness(MileageData[[#This Row],[MPG]:[Acceleration]])</f>
        <v>1</v>
      </c>
    </row>
    <row r="365" spans="1:12" x14ac:dyDescent="0.25">
      <c r="A365">
        <v>32.4</v>
      </c>
      <c r="B365">
        <v>4</v>
      </c>
      <c r="C365">
        <v>108</v>
      </c>
      <c r="D365">
        <v>75</v>
      </c>
      <c r="E365">
        <v>2350</v>
      </c>
      <c r="F365">
        <v>16.8</v>
      </c>
      <c r="G365">
        <v>81</v>
      </c>
      <c r="H365">
        <v>3</v>
      </c>
      <c r="I365" t="s">
        <v>1370</v>
      </c>
      <c r="J365" t="s">
        <v>1126</v>
      </c>
      <c r="K365" t="s">
        <v>1371</v>
      </c>
      <c r="L365" t="b">
        <f>Data_Completeness(MileageData[[#This Row],[MPG]:[Acceleration]])</f>
        <v>1</v>
      </c>
    </row>
    <row r="366" spans="1:12" x14ac:dyDescent="0.25">
      <c r="A366">
        <v>32.9</v>
      </c>
      <c r="B366">
        <v>4</v>
      </c>
      <c r="C366">
        <v>119</v>
      </c>
      <c r="D366">
        <v>100</v>
      </c>
      <c r="E366">
        <v>2615</v>
      </c>
      <c r="F366">
        <v>14.8</v>
      </c>
      <c r="G366">
        <v>81</v>
      </c>
      <c r="H366">
        <v>3</v>
      </c>
      <c r="I366" t="s">
        <v>1642</v>
      </c>
      <c r="J366" t="s">
        <v>1135</v>
      </c>
      <c r="K366" t="s">
        <v>1643</v>
      </c>
      <c r="L366" t="b">
        <f>Data_Completeness(MileageData[[#This Row],[MPG]:[Acceleration]])</f>
        <v>1</v>
      </c>
    </row>
    <row r="367" spans="1:12" x14ac:dyDescent="0.25">
      <c r="A367">
        <v>31.6</v>
      </c>
      <c r="B367">
        <v>4</v>
      </c>
      <c r="C367">
        <v>120</v>
      </c>
      <c r="D367">
        <v>74</v>
      </c>
      <c r="E367">
        <v>2635</v>
      </c>
      <c r="F367">
        <v>18.3</v>
      </c>
      <c r="G367">
        <v>81</v>
      </c>
      <c r="H367">
        <v>3</v>
      </c>
      <c r="I367" t="s">
        <v>1584</v>
      </c>
      <c r="J367" t="s">
        <v>1231</v>
      </c>
      <c r="K367">
        <v>626</v>
      </c>
      <c r="L367" t="b">
        <f>Data_Completeness(MileageData[[#This Row],[MPG]:[Acceleration]])</f>
        <v>1</v>
      </c>
    </row>
    <row r="368" spans="1:12" x14ac:dyDescent="0.25">
      <c r="A368">
        <v>28.1</v>
      </c>
      <c r="B368">
        <v>4</v>
      </c>
      <c r="C368">
        <v>141</v>
      </c>
      <c r="D368">
        <v>80</v>
      </c>
      <c r="E368">
        <v>3230</v>
      </c>
      <c r="F368">
        <v>20.399999999999999</v>
      </c>
      <c r="G368">
        <v>81</v>
      </c>
      <c r="H368">
        <v>2</v>
      </c>
      <c r="I368" t="s">
        <v>1644</v>
      </c>
      <c r="J368" t="s">
        <v>1141</v>
      </c>
      <c r="K368" t="s">
        <v>1645</v>
      </c>
      <c r="L368" t="b">
        <f>Data_Completeness(MileageData[[#This Row],[MPG]:[Acceleration]])</f>
        <v>1</v>
      </c>
    </row>
    <row r="369" spans="1:12" x14ac:dyDescent="0.25">
      <c r="B369">
        <v>4</v>
      </c>
      <c r="C369">
        <v>121</v>
      </c>
      <c r="D369">
        <v>110</v>
      </c>
      <c r="E369">
        <v>2800</v>
      </c>
      <c r="F369">
        <v>15.4</v>
      </c>
      <c r="G369">
        <v>81</v>
      </c>
      <c r="H369">
        <v>2</v>
      </c>
      <c r="I369" t="s">
        <v>1646</v>
      </c>
      <c r="J369" t="s">
        <v>1146</v>
      </c>
      <c r="K369" t="s">
        <v>1647</v>
      </c>
      <c r="L369" t="b">
        <f>Data_Completeness(MileageData[[#This Row],[MPG]:[Acceleration]])</f>
        <v>0</v>
      </c>
    </row>
    <row r="370" spans="1:12" x14ac:dyDescent="0.25">
      <c r="A370">
        <v>30.7</v>
      </c>
      <c r="B370">
        <v>6</v>
      </c>
      <c r="C370">
        <v>145</v>
      </c>
      <c r="D370">
        <v>76</v>
      </c>
      <c r="E370">
        <v>3160</v>
      </c>
      <c r="F370">
        <v>19.600000000000001</v>
      </c>
      <c r="G370">
        <v>81</v>
      </c>
      <c r="H370">
        <v>2</v>
      </c>
      <c r="I370" t="s">
        <v>1648</v>
      </c>
      <c r="J370" t="s">
        <v>1240</v>
      </c>
      <c r="K370" t="s">
        <v>1649</v>
      </c>
      <c r="L370" t="b">
        <f>Data_Completeness(MileageData[[#This Row],[MPG]:[Acceleration]])</f>
        <v>1</v>
      </c>
    </row>
    <row r="371" spans="1:12" x14ac:dyDescent="0.25">
      <c r="A371">
        <v>25.4</v>
      </c>
      <c r="B371">
        <v>6</v>
      </c>
      <c r="C371">
        <v>168</v>
      </c>
      <c r="D371">
        <v>116</v>
      </c>
      <c r="E371">
        <v>2900</v>
      </c>
      <c r="F371">
        <v>12.6</v>
      </c>
      <c r="G371">
        <v>81</v>
      </c>
      <c r="H371">
        <v>3</v>
      </c>
      <c r="I371" t="s">
        <v>1650</v>
      </c>
      <c r="J371" t="s">
        <v>1126</v>
      </c>
      <c r="K371" t="s">
        <v>1651</v>
      </c>
      <c r="L371" t="b">
        <f>Data_Completeness(MileageData[[#This Row],[MPG]:[Acceleration]])</f>
        <v>1</v>
      </c>
    </row>
    <row r="372" spans="1:12" x14ac:dyDescent="0.25">
      <c r="A372">
        <v>24.2</v>
      </c>
      <c r="B372">
        <v>6</v>
      </c>
      <c r="C372">
        <v>146</v>
      </c>
      <c r="D372">
        <v>120</v>
      </c>
      <c r="E372">
        <v>2930</v>
      </c>
      <c r="F372">
        <v>13.8</v>
      </c>
      <c r="G372">
        <v>81</v>
      </c>
      <c r="H372">
        <v>3</v>
      </c>
      <c r="I372" t="s">
        <v>1652</v>
      </c>
      <c r="J372" t="s">
        <v>1135</v>
      </c>
      <c r="K372" t="s">
        <v>1653</v>
      </c>
      <c r="L372" t="b">
        <f>Data_Completeness(MileageData[[#This Row],[MPG]:[Acceleration]])</f>
        <v>1</v>
      </c>
    </row>
    <row r="373" spans="1:12" x14ac:dyDescent="0.25">
      <c r="A373">
        <v>22.4</v>
      </c>
      <c r="B373">
        <v>6</v>
      </c>
      <c r="C373">
        <v>231</v>
      </c>
      <c r="D373">
        <v>110</v>
      </c>
      <c r="E373">
        <v>3415</v>
      </c>
      <c r="F373">
        <v>15.8</v>
      </c>
      <c r="G373">
        <v>81</v>
      </c>
      <c r="H373">
        <v>1</v>
      </c>
      <c r="I373" t="s">
        <v>1358</v>
      </c>
      <c r="J373" t="s">
        <v>1082</v>
      </c>
      <c r="K373" t="s">
        <v>1359</v>
      </c>
      <c r="L373" t="b">
        <f>Data_Completeness(MileageData[[#This Row],[MPG]:[Acceleration]])</f>
        <v>1</v>
      </c>
    </row>
    <row r="374" spans="1:12" x14ac:dyDescent="0.25">
      <c r="A374">
        <v>26.6</v>
      </c>
      <c r="B374">
        <v>8</v>
      </c>
      <c r="C374">
        <v>350</v>
      </c>
      <c r="D374">
        <v>105</v>
      </c>
      <c r="E374">
        <v>3725</v>
      </c>
      <c r="F374">
        <v>19</v>
      </c>
      <c r="G374">
        <v>81</v>
      </c>
      <c r="H374">
        <v>1</v>
      </c>
      <c r="I374" t="s">
        <v>1654</v>
      </c>
      <c r="J374" t="s">
        <v>1225</v>
      </c>
      <c r="K374" t="s">
        <v>1655</v>
      </c>
      <c r="L374" t="b">
        <f>Data_Completeness(MileageData[[#This Row],[MPG]:[Acceleration]])</f>
        <v>1</v>
      </c>
    </row>
    <row r="375" spans="1:12" x14ac:dyDescent="0.25">
      <c r="A375">
        <v>20.2</v>
      </c>
      <c r="B375">
        <v>6</v>
      </c>
      <c r="C375">
        <v>200</v>
      </c>
      <c r="D375">
        <v>88</v>
      </c>
      <c r="E375">
        <v>3060</v>
      </c>
      <c r="F375">
        <v>17.100000000000001</v>
      </c>
      <c r="G375">
        <v>81</v>
      </c>
      <c r="H375">
        <v>1</v>
      </c>
      <c r="I375" t="s">
        <v>1656</v>
      </c>
      <c r="J375" t="s">
        <v>1091</v>
      </c>
      <c r="K375" t="s">
        <v>1657</v>
      </c>
      <c r="L375" t="b">
        <f>Data_Completeness(MileageData[[#This Row],[MPG]:[Acceleration]])</f>
        <v>1</v>
      </c>
    </row>
    <row r="376" spans="1:12" x14ac:dyDescent="0.25">
      <c r="A376">
        <v>17.600000000000001</v>
      </c>
      <c r="B376">
        <v>6</v>
      </c>
      <c r="C376">
        <v>225</v>
      </c>
      <c r="D376">
        <v>85</v>
      </c>
      <c r="E376">
        <v>3465</v>
      </c>
      <c r="F376">
        <v>16.600000000000001</v>
      </c>
      <c r="G376">
        <v>81</v>
      </c>
      <c r="H376">
        <v>1</v>
      </c>
      <c r="I376" t="s">
        <v>1658</v>
      </c>
      <c r="J376" t="s">
        <v>1228</v>
      </c>
      <c r="K376" t="s">
        <v>1659</v>
      </c>
      <c r="L376" t="b">
        <f>Data_Completeness(MileageData[[#This Row],[MPG]:[Acceleration]])</f>
        <v>1</v>
      </c>
    </row>
    <row r="377" spans="1:12" x14ac:dyDescent="0.25">
      <c r="A377">
        <v>28</v>
      </c>
      <c r="B377">
        <v>4</v>
      </c>
      <c r="C377">
        <v>112</v>
      </c>
      <c r="D377">
        <v>88</v>
      </c>
      <c r="E377">
        <v>2605</v>
      </c>
      <c r="F377">
        <v>19.600000000000001</v>
      </c>
      <c r="G377">
        <v>82</v>
      </c>
      <c r="H377">
        <v>1</v>
      </c>
      <c r="I377" t="s">
        <v>1660</v>
      </c>
      <c r="J377" t="s">
        <v>1079</v>
      </c>
      <c r="K377" t="s">
        <v>1661</v>
      </c>
      <c r="L377" t="b">
        <f>Data_Completeness(MileageData[[#This Row],[MPG]:[Acceleration]])</f>
        <v>1</v>
      </c>
    </row>
    <row r="378" spans="1:12" x14ac:dyDescent="0.25">
      <c r="A378">
        <v>27</v>
      </c>
      <c r="B378">
        <v>4</v>
      </c>
      <c r="C378">
        <v>112</v>
      </c>
      <c r="D378">
        <v>88</v>
      </c>
      <c r="E378">
        <v>2640</v>
      </c>
      <c r="F378">
        <v>18.600000000000001</v>
      </c>
      <c r="G378">
        <v>82</v>
      </c>
      <c r="H378">
        <v>1</v>
      </c>
      <c r="I378" t="s">
        <v>1662</v>
      </c>
      <c r="J378" t="s">
        <v>1079</v>
      </c>
      <c r="K378" t="s">
        <v>1663</v>
      </c>
      <c r="L378" t="b">
        <f>Data_Completeness(MileageData[[#This Row],[MPG]:[Acceleration]])</f>
        <v>1</v>
      </c>
    </row>
    <row r="379" spans="1:12" x14ac:dyDescent="0.25">
      <c r="A379">
        <v>34</v>
      </c>
      <c r="B379">
        <v>4</v>
      </c>
      <c r="C379">
        <v>112</v>
      </c>
      <c r="D379">
        <v>88</v>
      </c>
      <c r="E379">
        <v>2395</v>
      </c>
      <c r="F379">
        <v>18</v>
      </c>
      <c r="G379">
        <v>82</v>
      </c>
      <c r="H379">
        <v>1</v>
      </c>
      <c r="I379" t="s">
        <v>1664</v>
      </c>
      <c r="J379" t="s">
        <v>1079</v>
      </c>
      <c r="K379" t="s">
        <v>1665</v>
      </c>
      <c r="L379" t="b">
        <f>Data_Completeness(MileageData[[#This Row],[MPG]:[Acceleration]])</f>
        <v>1</v>
      </c>
    </row>
    <row r="380" spans="1:12" x14ac:dyDescent="0.25">
      <c r="A380">
        <v>31</v>
      </c>
      <c r="B380">
        <v>4</v>
      </c>
      <c r="C380">
        <v>112</v>
      </c>
      <c r="D380">
        <v>85</v>
      </c>
      <c r="E380">
        <v>2575</v>
      </c>
      <c r="F380">
        <v>16.2</v>
      </c>
      <c r="G380">
        <v>82</v>
      </c>
      <c r="H380">
        <v>1</v>
      </c>
      <c r="I380" t="s">
        <v>1666</v>
      </c>
      <c r="J380" t="s">
        <v>1100</v>
      </c>
      <c r="K380" t="s">
        <v>1667</v>
      </c>
      <c r="L380" t="b">
        <f>Data_Completeness(MileageData[[#This Row],[MPG]:[Acceleration]])</f>
        <v>1</v>
      </c>
    </row>
    <row r="381" spans="1:12" x14ac:dyDescent="0.25">
      <c r="A381">
        <v>29</v>
      </c>
      <c r="B381">
        <v>4</v>
      </c>
      <c r="C381">
        <v>135</v>
      </c>
      <c r="D381">
        <v>84</v>
      </c>
      <c r="E381">
        <v>2525</v>
      </c>
      <c r="F381">
        <v>16</v>
      </c>
      <c r="G381">
        <v>82</v>
      </c>
      <c r="H381">
        <v>1</v>
      </c>
      <c r="I381" t="s">
        <v>1668</v>
      </c>
      <c r="J381" t="s">
        <v>1116</v>
      </c>
      <c r="K381" t="s">
        <v>1669</v>
      </c>
      <c r="L381" t="b">
        <f>Data_Completeness(MileageData[[#This Row],[MPG]:[Acceleration]])</f>
        <v>1</v>
      </c>
    </row>
    <row r="382" spans="1:12" x14ac:dyDescent="0.25">
      <c r="A382">
        <v>27</v>
      </c>
      <c r="B382">
        <v>4</v>
      </c>
      <c r="C382">
        <v>151</v>
      </c>
      <c r="D382">
        <v>90</v>
      </c>
      <c r="E382">
        <v>2735</v>
      </c>
      <c r="F382">
        <v>18</v>
      </c>
      <c r="G382">
        <v>82</v>
      </c>
      <c r="H382">
        <v>1</v>
      </c>
      <c r="I382" t="s">
        <v>1574</v>
      </c>
      <c r="J382" t="s">
        <v>1100</v>
      </c>
      <c r="K382" t="s">
        <v>1575</v>
      </c>
      <c r="L382" t="b">
        <f>Data_Completeness(MileageData[[#This Row],[MPG]:[Acceleration]])</f>
        <v>1</v>
      </c>
    </row>
    <row r="383" spans="1:12" x14ac:dyDescent="0.25">
      <c r="A383">
        <v>24</v>
      </c>
      <c r="B383">
        <v>4</v>
      </c>
      <c r="C383">
        <v>140</v>
      </c>
      <c r="D383">
        <v>92</v>
      </c>
      <c r="E383">
        <v>2865</v>
      </c>
      <c r="F383">
        <v>16.399999999999999</v>
      </c>
      <c r="G383">
        <v>82</v>
      </c>
      <c r="H383">
        <v>1</v>
      </c>
      <c r="I383" t="s">
        <v>1670</v>
      </c>
      <c r="J383" t="s">
        <v>1091</v>
      </c>
      <c r="K383" t="s">
        <v>1671</v>
      </c>
      <c r="L383" t="b">
        <f>Data_Completeness(MileageData[[#This Row],[MPG]:[Acceleration]])</f>
        <v>1</v>
      </c>
    </row>
    <row r="384" spans="1:12" x14ac:dyDescent="0.25">
      <c r="A384">
        <v>23</v>
      </c>
      <c r="B384">
        <v>4</v>
      </c>
      <c r="C384">
        <v>151</v>
      </c>
      <c r="E384">
        <v>3035</v>
      </c>
      <c r="F384">
        <v>20.5</v>
      </c>
      <c r="G384">
        <v>82</v>
      </c>
      <c r="H384">
        <v>1</v>
      </c>
      <c r="I384" t="s">
        <v>1672</v>
      </c>
      <c r="J384" t="s">
        <v>1088</v>
      </c>
      <c r="K384" t="s">
        <v>1673</v>
      </c>
      <c r="L384" t="b">
        <f>Data_Completeness(MileageData[[#This Row],[MPG]:[Acceleration]])</f>
        <v>0</v>
      </c>
    </row>
    <row r="385" spans="1:12" x14ac:dyDescent="0.25">
      <c r="A385">
        <v>36</v>
      </c>
      <c r="B385">
        <v>4</v>
      </c>
      <c r="C385">
        <v>105</v>
      </c>
      <c r="D385">
        <v>74</v>
      </c>
      <c r="E385">
        <v>1980</v>
      </c>
      <c r="F385">
        <v>15.3</v>
      </c>
      <c r="G385">
        <v>82</v>
      </c>
      <c r="H385">
        <v>2</v>
      </c>
      <c r="I385" t="s">
        <v>1674</v>
      </c>
      <c r="J385" t="s">
        <v>1138</v>
      </c>
      <c r="K385" t="s">
        <v>1675</v>
      </c>
      <c r="L385" t="b">
        <f>Data_Completeness(MileageData[[#This Row],[MPG]:[Acceleration]])</f>
        <v>1</v>
      </c>
    </row>
    <row r="386" spans="1:12" x14ac:dyDescent="0.25">
      <c r="A386">
        <v>37</v>
      </c>
      <c r="B386">
        <v>4</v>
      </c>
      <c r="C386">
        <v>91</v>
      </c>
      <c r="D386">
        <v>68</v>
      </c>
      <c r="E386">
        <v>2025</v>
      </c>
      <c r="F386">
        <v>18.2</v>
      </c>
      <c r="G386">
        <v>82</v>
      </c>
      <c r="H386">
        <v>3</v>
      </c>
      <c r="I386" t="s">
        <v>1676</v>
      </c>
      <c r="J386" t="s">
        <v>1231</v>
      </c>
      <c r="K386" t="s">
        <v>1677</v>
      </c>
      <c r="L386" t="b">
        <f>Data_Completeness(MileageData[[#This Row],[MPG]:[Acceleration]])</f>
        <v>1</v>
      </c>
    </row>
    <row r="387" spans="1:12" x14ac:dyDescent="0.25">
      <c r="A387">
        <v>31</v>
      </c>
      <c r="B387">
        <v>4</v>
      </c>
      <c r="C387">
        <v>91</v>
      </c>
      <c r="D387">
        <v>68</v>
      </c>
      <c r="E387">
        <v>1970</v>
      </c>
      <c r="F387">
        <v>17.600000000000001</v>
      </c>
      <c r="G387">
        <v>82</v>
      </c>
      <c r="H387">
        <v>3</v>
      </c>
      <c r="I387" t="s">
        <v>1678</v>
      </c>
      <c r="J387" t="s">
        <v>1231</v>
      </c>
      <c r="K387" t="s">
        <v>1679</v>
      </c>
      <c r="L387" t="b">
        <f>Data_Completeness(MileageData[[#This Row],[MPG]:[Acceleration]])</f>
        <v>1</v>
      </c>
    </row>
    <row r="388" spans="1:12" x14ac:dyDescent="0.25">
      <c r="A388">
        <v>38</v>
      </c>
      <c r="B388">
        <v>4</v>
      </c>
      <c r="C388">
        <v>105</v>
      </c>
      <c r="D388">
        <v>63</v>
      </c>
      <c r="E388">
        <v>2125</v>
      </c>
      <c r="F388">
        <v>14.7</v>
      </c>
      <c r="G388">
        <v>82</v>
      </c>
      <c r="H388">
        <v>1</v>
      </c>
      <c r="I388" t="s">
        <v>1680</v>
      </c>
      <c r="J388" t="s">
        <v>1085</v>
      </c>
      <c r="K388" t="s">
        <v>1681</v>
      </c>
      <c r="L388" t="b">
        <f>Data_Completeness(MileageData[[#This Row],[MPG]:[Acceleration]])</f>
        <v>1</v>
      </c>
    </row>
    <row r="389" spans="1:12" x14ac:dyDescent="0.25">
      <c r="A389">
        <v>36</v>
      </c>
      <c r="B389">
        <v>4</v>
      </c>
      <c r="C389">
        <v>98</v>
      </c>
      <c r="D389">
        <v>70</v>
      </c>
      <c r="E389">
        <v>2125</v>
      </c>
      <c r="F389">
        <v>17.3</v>
      </c>
      <c r="G389">
        <v>82</v>
      </c>
      <c r="H389">
        <v>1</v>
      </c>
      <c r="I389" t="s">
        <v>1682</v>
      </c>
      <c r="J389" t="s">
        <v>1193</v>
      </c>
      <c r="K389" t="s">
        <v>1683</v>
      </c>
      <c r="L389" t="b">
        <f>Data_Completeness(MileageData[[#This Row],[MPG]:[Acceleration]])</f>
        <v>1</v>
      </c>
    </row>
    <row r="390" spans="1:12" x14ac:dyDescent="0.25">
      <c r="A390">
        <v>36</v>
      </c>
      <c r="B390">
        <v>4</v>
      </c>
      <c r="C390">
        <v>120</v>
      </c>
      <c r="D390">
        <v>88</v>
      </c>
      <c r="E390">
        <v>2160</v>
      </c>
      <c r="F390">
        <v>14.5</v>
      </c>
      <c r="G390">
        <v>82</v>
      </c>
      <c r="H390">
        <v>3</v>
      </c>
      <c r="I390" t="s">
        <v>1684</v>
      </c>
      <c r="J390" t="s">
        <v>1685</v>
      </c>
      <c r="K390" t="s">
        <v>1686</v>
      </c>
      <c r="L390" t="b">
        <f>Data_Completeness(MileageData[[#This Row],[MPG]:[Acceleration]])</f>
        <v>1</v>
      </c>
    </row>
    <row r="391" spans="1:12" x14ac:dyDescent="0.25">
      <c r="A391">
        <v>36</v>
      </c>
      <c r="B391">
        <v>4</v>
      </c>
      <c r="C391">
        <v>107</v>
      </c>
      <c r="D391">
        <v>75</v>
      </c>
      <c r="E391">
        <v>2205</v>
      </c>
      <c r="F391">
        <v>14.5</v>
      </c>
      <c r="G391">
        <v>82</v>
      </c>
      <c r="H391">
        <v>3</v>
      </c>
      <c r="I391" t="s">
        <v>1612</v>
      </c>
      <c r="J391" t="s">
        <v>1345</v>
      </c>
      <c r="K391" t="s">
        <v>1613</v>
      </c>
      <c r="L391" t="b">
        <f>Data_Completeness(MileageData[[#This Row],[MPG]:[Acceleration]])</f>
        <v>1</v>
      </c>
    </row>
    <row r="392" spans="1:12" x14ac:dyDescent="0.25">
      <c r="A392">
        <v>34</v>
      </c>
      <c r="B392">
        <v>4</v>
      </c>
      <c r="C392">
        <v>108</v>
      </c>
      <c r="D392">
        <v>70</v>
      </c>
      <c r="E392">
        <v>2245</v>
      </c>
      <c r="F392">
        <v>16.899999999999999</v>
      </c>
      <c r="G392">
        <v>82</v>
      </c>
      <c r="H392">
        <v>3</v>
      </c>
      <c r="I392" t="s">
        <v>1370</v>
      </c>
      <c r="J392" t="s">
        <v>1126</v>
      </c>
      <c r="K392" t="s">
        <v>1371</v>
      </c>
      <c r="L392" t="b">
        <f>Data_Completeness(MileageData[[#This Row],[MPG]:[Acceleration]])</f>
        <v>1</v>
      </c>
    </row>
    <row r="393" spans="1:12" x14ac:dyDescent="0.25">
      <c r="A393">
        <v>38</v>
      </c>
      <c r="B393">
        <v>4</v>
      </c>
      <c r="C393">
        <v>91</v>
      </c>
      <c r="D393">
        <v>67</v>
      </c>
      <c r="E393">
        <v>1965</v>
      </c>
      <c r="F393">
        <v>15</v>
      </c>
      <c r="G393">
        <v>82</v>
      </c>
      <c r="H393">
        <v>3</v>
      </c>
      <c r="I393" t="s">
        <v>1344</v>
      </c>
      <c r="J393" t="s">
        <v>1345</v>
      </c>
      <c r="K393" t="s">
        <v>1346</v>
      </c>
      <c r="L393" t="b">
        <f>Data_Completeness(MileageData[[#This Row],[MPG]:[Acceleration]])</f>
        <v>1</v>
      </c>
    </row>
    <row r="394" spans="1:12" x14ac:dyDescent="0.25">
      <c r="A394">
        <v>32</v>
      </c>
      <c r="B394">
        <v>4</v>
      </c>
      <c r="C394">
        <v>91</v>
      </c>
      <c r="D394">
        <v>67</v>
      </c>
      <c r="E394">
        <v>1965</v>
      </c>
      <c r="F394">
        <v>15.7</v>
      </c>
      <c r="G394">
        <v>82</v>
      </c>
      <c r="H394">
        <v>3</v>
      </c>
      <c r="I394" t="s">
        <v>1687</v>
      </c>
      <c r="J394" t="s">
        <v>1345</v>
      </c>
      <c r="K394" t="s">
        <v>1688</v>
      </c>
      <c r="L394" t="b">
        <f>Data_Completeness(MileageData[[#This Row],[MPG]:[Acceleration]])</f>
        <v>1</v>
      </c>
    </row>
    <row r="395" spans="1:12" x14ac:dyDescent="0.25">
      <c r="A395">
        <v>38</v>
      </c>
      <c r="B395">
        <v>4</v>
      </c>
      <c r="C395">
        <v>91</v>
      </c>
      <c r="D395">
        <v>67</v>
      </c>
      <c r="E395">
        <v>1995</v>
      </c>
      <c r="F395">
        <v>16.2</v>
      </c>
      <c r="G395">
        <v>82</v>
      </c>
      <c r="H395">
        <v>3</v>
      </c>
      <c r="I395" t="s">
        <v>1689</v>
      </c>
      <c r="J395" t="s">
        <v>1135</v>
      </c>
      <c r="K395" t="s">
        <v>1690</v>
      </c>
      <c r="L395" t="b">
        <f>Data_Completeness(MileageData[[#This Row],[MPG]:[Acceleration]])</f>
        <v>1</v>
      </c>
    </row>
    <row r="396" spans="1:12" x14ac:dyDescent="0.25">
      <c r="A396">
        <v>25</v>
      </c>
      <c r="B396">
        <v>6</v>
      </c>
      <c r="C396">
        <v>181</v>
      </c>
      <c r="D396">
        <v>110</v>
      </c>
      <c r="E396">
        <v>2945</v>
      </c>
      <c r="F396">
        <v>16.399999999999999</v>
      </c>
      <c r="G396">
        <v>82</v>
      </c>
      <c r="H396">
        <v>1</v>
      </c>
      <c r="I396" t="s">
        <v>1691</v>
      </c>
      <c r="J396" t="s">
        <v>1082</v>
      </c>
      <c r="K396" t="s">
        <v>1692</v>
      </c>
      <c r="L396" t="b">
        <f>Data_Completeness(MileageData[[#This Row],[MPG]:[Acceleration]])</f>
        <v>1</v>
      </c>
    </row>
    <row r="397" spans="1:12" x14ac:dyDescent="0.25">
      <c r="A397">
        <v>38</v>
      </c>
      <c r="B397">
        <v>6</v>
      </c>
      <c r="C397">
        <v>262</v>
      </c>
      <c r="D397">
        <v>85</v>
      </c>
      <c r="E397">
        <v>3015</v>
      </c>
      <c r="F397">
        <v>17</v>
      </c>
      <c r="G397">
        <v>82</v>
      </c>
      <c r="H397">
        <v>1</v>
      </c>
      <c r="I397" t="s">
        <v>1693</v>
      </c>
      <c r="J397" t="s">
        <v>1225</v>
      </c>
      <c r="K397" t="s">
        <v>1694</v>
      </c>
      <c r="L397" t="b">
        <f>Data_Completeness(MileageData[[#This Row],[MPG]:[Acceleration]])</f>
        <v>1</v>
      </c>
    </row>
    <row r="398" spans="1:12" x14ac:dyDescent="0.25">
      <c r="A398">
        <v>26</v>
      </c>
      <c r="B398">
        <v>4</v>
      </c>
      <c r="C398">
        <v>156</v>
      </c>
      <c r="D398">
        <v>92</v>
      </c>
      <c r="E398">
        <v>2585</v>
      </c>
      <c r="F398">
        <v>14.5</v>
      </c>
      <c r="G398">
        <v>82</v>
      </c>
      <c r="H398">
        <v>1</v>
      </c>
      <c r="I398" t="s">
        <v>1695</v>
      </c>
      <c r="J398" t="s">
        <v>1228</v>
      </c>
      <c r="K398" t="s">
        <v>1696</v>
      </c>
      <c r="L398" t="b">
        <f>Data_Completeness(MileageData[[#This Row],[MPG]:[Acceleration]])</f>
        <v>1</v>
      </c>
    </row>
    <row r="399" spans="1:12" x14ac:dyDescent="0.25">
      <c r="A399">
        <v>22</v>
      </c>
      <c r="B399">
        <v>6</v>
      </c>
      <c r="C399">
        <v>232</v>
      </c>
      <c r="D399">
        <v>112</v>
      </c>
      <c r="E399">
        <v>2835</v>
      </c>
      <c r="F399">
        <v>14.7</v>
      </c>
      <c r="G399">
        <v>82</v>
      </c>
      <c r="H399">
        <v>1</v>
      </c>
      <c r="I399" t="s">
        <v>1697</v>
      </c>
      <c r="J399" t="s">
        <v>1091</v>
      </c>
      <c r="K399" t="s">
        <v>1698</v>
      </c>
      <c r="L399" t="b">
        <f>Data_Completeness(MileageData[[#This Row],[MPG]:[Acceleration]])</f>
        <v>1</v>
      </c>
    </row>
    <row r="400" spans="1:12" x14ac:dyDescent="0.25">
      <c r="A400">
        <v>32</v>
      </c>
      <c r="B400">
        <v>4</v>
      </c>
      <c r="C400">
        <v>144</v>
      </c>
      <c r="D400">
        <v>96</v>
      </c>
      <c r="E400">
        <v>2665</v>
      </c>
      <c r="F400">
        <v>13.9</v>
      </c>
      <c r="G400">
        <v>82</v>
      </c>
      <c r="H400">
        <v>3</v>
      </c>
      <c r="I400" t="s">
        <v>1699</v>
      </c>
      <c r="J400" t="s">
        <v>1126</v>
      </c>
      <c r="K400" t="s">
        <v>1700</v>
      </c>
      <c r="L400" t="b">
        <f>Data_Completeness(MileageData[[#This Row],[MPG]:[Acceleration]])</f>
        <v>1</v>
      </c>
    </row>
    <row r="401" spans="1:12" x14ac:dyDescent="0.25">
      <c r="A401">
        <v>36</v>
      </c>
      <c r="B401">
        <v>4</v>
      </c>
      <c r="C401">
        <v>135</v>
      </c>
      <c r="D401">
        <v>84</v>
      </c>
      <c r="E401">
        <v>2370</v>
      </c>
      <c r="F401">
        <v>13</v>
      </c>
      <c r="G401">
        <v>82</v>
      </c>
      <c r="H401">
        <v>1</v>
      </c>
      <c r="I401" t="s">
        <v>1701</v>
      </c>
      <c r="J401" t="s">
        <v>1116</v>
      </c>
      <c r="K401" t="s">
        <v>1702</v>
      </c>
      <c r="L401" t="b">
        <f>Data_Completeness(MileageData[[#This Row],[MPG]:[Acceleration]])</f>
        <v>1</v>
      </c>
    </row>
    <row r="402" spans="1:12" x14ac:dyDescent="0.25">
      <c r="A402">
        <v>27</v>
      </c>
      <c r="B402">
        <v>4</v>
      </c>
      <c r="C402">
        <v>151</v>
      </c>
      <c r="D402">
        <v>90</v>
      </c>
      <c r="E402">
        <v>2950</v>
      </c>
      <c r="F402">
        <v>17.3</v>
      </c>
      <c r="G402">
        <v>82</v>
      </c>
      <c r="H402">
        <v>1</v>
      </c>
      <c r="I402" t="s">
        <v>1703</v>
      </c>
      <c r="J402" t="s">
        <v>1079</v>
      </c>
      <c r="K402" t="s">
        <v>1704</v>
      </c>
      <c r="L402" t="b">
        <f>Data_Completeness(MileageData[[#This Row],[MPG]:[Acceleration]])</f>
        <v>1</v>
      </c>
    </row>
    <row r="403" spans="1:12" x14ac:dyDescent="0.25">
      <c r="A403">
        <v>27</v>
      </c>
      <c r="B403">
        <v>4</v>
      </c>
      <c r="C403">
        <v>140</v>
      </c>
      <c r="D403">
        <v>86</v>
      </c>
      <c r="E403">
        <v>2790</v>
      </c>
      <c r="F403">
        <v>15.6</v>
      </c>
      <c r="G403">
        <v>82</v>
      </c>
      <c r="H403">
        <v>1</v>
      </c>
      <c r="I403" t="s">
        <v>1705</v>
      </c>
      <c r="J403" t="s">
        <v>1091</v>
      </c>
      <c r="K403" t="s">
        <v>1706</v>
      </c>
      <c r="L403" t="b">
        <f>Data_Completeness(MileageData[[#This Row],[MPG]:[Acceleration]])</f>
        <v>1</v>
      </c>
    </row>
    <row r="404" spans="1:12" x14ac:dyDescent="0.25">
      <c r="A404">
        <v>44</v>
      </c>
      <c r="B404">
        <v>4</v>
      </c>
      <c r="C404">
        <v>97</v>
      </c>
      <c r="D404">
        <v>52</v>
      </c>
      <c r="E404">
        <v>2130</v>
      </c>
      <c r="F404">
        <v>24.6</v>
      </c>
      <c r="G404">
        <v>82</v>
      </c>
      <c r="H404">
        <v>2</v>
      </c>
      <c r="I404" t="s">
        <v>1707</v>
      </c>
      <c r="J404" t="s">
        <v>1395</v>
      </c>
      <c r="K404" t="s">
        <v>1708</v>
      </c>
      <c r="L404" t="b">
        <f>Data_Completeness(MileageData[[#This Row],[MPG]:[Acceleration]])</f>
        <v>1</v>
      </c>
    </row>
    <row r="405" spans="1:12" x14ac:dyDescent="0.25">
      <c r="A405">
        <v>32</v>
      </c>
      <c r="B405">
        <v>4</v>
      </c>
      <c r="C405">
        <v>135</v>
      </c>
      <c r="D405">
        <v>84</v>
      </c>
      <c r="E405">
        <v>2295</v>
      </c>
      <c r="F405">
        <v>11.6</v>
      </c>
      <c r="G405">
        <v>82</v>
      </c>
      <c r="H405">
        <v>1</v>
      </c>
      <c r="I405" t="s">
        <v>1709</v>
      </c>
      <c r="J405" t="s">
        <v>1116</v>
      </c>
      <c r="K405" t="s">
        <v>1710</v>
      </c>
      <c r="L405" t="b">
        <f>Data_Completeness(MileageData[[#This Row],[MPG]:[Acceleration]])</f>
        <v>1</v>
      </c>
    </row>
    <row r="406" spans="1:12" x14ac:dyDescent="0.25">
      <c r="A406">
        <v>28</v>
      </c>
      <c r="B406">
        <v>4</v>
      </c>
      <c r="C406">
        <v>120</v>
      </c>
      <c r="D406">
        <v>79</v>
      </c>
      <c r="E406">
        <v>2625</v>
      </c>
      <c r="F406">
        <v>18.600000000000001</v>
      </c>
      <c r="G406">
        <v>82</v>
      </c>
      <c r="H406">
        <v>1</v>
      </c>
      <c r="I406" t="s">
        <v>1711</v>
      </c>
      <c r="J406" t="s">
        <v>1091</v>
      </c>
      <c r="K406" t="s">
        <v>1712</v>
      </c>
      <c r="L406" t="b">
        <f>Data_Completeness(MileageData[[#This Row],[MPG]:[Acceleration]])</f>
        <v>1</v>
      </c>
    </row>
    <row r="407" spans="1:12" x14ac:dyDescent="0.25">
      <c r="A407">
        <v>31</v>
      </c>
      <c r="B407">
        <v>4</v>
      </c>
      <c r="C407">
        <v>119</v>
      </c>
      <c r="D407">
        <v>82</v>
      </c>
      <c r="E407">
        <v>2720</v>
      </c>
      <c r="F407">
        <v>19.399999999999999</v>
      </c>
      <c r="G407">
        <v>82</v>
      </c>
      <c r="H407">
        <v>1</v>
      </c>
      <c r="I407" t="s">
        <v>1713</v>
      </c>
      <c r="J407" t="s">
        <v>1155</v>
      </c>
      <c r="K407" t="s">
        <v>1714</v>
      </c>
      <c r="L407" t="b">
        <f>Data_Completeness(MileageData[[#This Row],[MPG]:[Acceleration]])</f>
        <v>1</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LAMBDA_functions</vt:lpstr>
      <vt:lpstr>Life Expectancy Data</vt:lpstr>
      <vt:lpstr>Regression Instructions</vt:lpstr>
      <vt:lpstr>Diagnostic Guide</vt:lpstr>
      <vt:lpstr>Version History</vt:lpstr>
      <vt:lpstr>Regression</vt:lpstr>
      <vt:lpstr>Univariate</vt:lpstr>
      <vt:lpstr>Mileage Data</vt:lpstr>
      <vt:lpstr>Regression!Allow_Intercept</vt:lpstr>
      <vt:lpstr>Regression!alpha</vt:lpstr>
      <vt:lpstr>Regression!Source_Table</vt:lpstr>
      <vt:lpstr>Regression!Spec_Base_Period_Delta</vt:lpstr>
      <vt:lpstr>Regression!Spec_Include</vt:lpstr>
      <vt:lpstr>Regression!Spec_Order</vt:lpstr>
      <vt:lpstr>Regression!Spec_Period_In_Use</vt:lpstr>
      <vt:lpstr>Regression!Spec_Reference</vt:lpstr>
      <vt:lpstr>Regression!Spec_Role</vt:lpstr>
      <vt:lpstr>Regression!Spec_Sequence</vt:lpstr>
      <vt:lpstr>Regression!Spec_Sequence_Period</vt:lpstr>
      <vt:lpstr>Regression!Spec_Transform</vt:lpstr>
      <vt:lpstr>Regression!Spec_Type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Stephen Colodner</cp:lastModifiedBy>
  <dcterms:created xsi:type="dcterms:W3CDTF">2026-06-22T19:13:42Z</dcterms:created>
  <dcterms:modified xsi:type="dcterms:W3CDTF">2026-07-25T14:43:04Z</dcterms:modified>
</cp:coreProperties>
</file>