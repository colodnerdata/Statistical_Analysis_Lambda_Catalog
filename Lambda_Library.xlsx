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13_ncr:1_{87C50777-2594-43FD-8981-5D9C6B22B50C}" xr6:coauthVersionLast="47" xr6:coauthVersionMax="47" xr10:uidLastSave="{00000000-0000-0000-0000-000000000000}"/>
  <bookViews>
    <workbookView xWindow="-120" yWindow="-120" windowWidth="29040" windowHeight="15720" activeTab="2" xr2:uid="{4718ABCC-A48C-431C-A3F1-425D88656749}"/>
  </bookViews>
  <sheets>
    <sheet name="LAMBDA_functions" sheetId="1" r:id="rId1"/>
    <sheet name="Life Expectancy Data" sheetId="2" r:id="rId2"/>
    <sheet name="MLR_Scalar_Test" sheetId="3" r:id="rId3"/>
    <sheet name="MLR_Vector_Outputs_Test" sheetId="4" r:id="rId4"/>
    <sheet name="Regression" sheetId="5" r:id="rId5"/>
    <sheet name="MLR_Observation_Test" sheetId="6" r:id="rId6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Allow_Intercept" localSheetId="4">Regression!$D$2</definedName>
    <definedName name="CI_Excludes_Zero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N]: confidence level (0–100); defau">_xlfn.LAMBDA(_xlpm.X_s,_xlpm.Y,_xlop.Allow_Intercept,_xlop.Filter,_xlop.N,_xlfn.LET(_xlpm.allow_arg,IF(_xlfn.ISOMITTED(_xlpm.Allow_Intercept),TRUE,_xlpm.Allow_Intercept),_xlpm.filt_arg,IF(_xlfn.ISOMITTED(_xlpm.Filter),TRUE,_xlpm.Filter),_xlpm.n_arg,IF(_xlfn.ISOMITTED(_xlpm.N),95,_xlpm.N),_xlpm.alpha_arg,(100-_xlpm.n_arg)/100,(CI_Lower(_xlpm.X_s,_xlpm.Y,_xlpm.allow_arg,_xlpm.filt_arg,_xlpm.n_arg)&gt;0)+(CI_Upper(_xlpm.X_s,_xlpm.Y,_xlpm.allow_arg,_xlpm.filt_arg,_xlpm.n_arg)&lt;0)&gt;0))</definedName>
    <definedName name="CI_Lower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Alpha]: significance level (0–1); d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-_xlfn.T.INV.2T(_xlpm.alpha_arg,DF_Residual(_xlpm.X_s,_xlpm.Y,_xlpm.allow_arg,_xlpm.filt_arg))*SE_Coefficients(_xlpm.X_s,_xlpm.Y,_xlpm.allow_arg,_xlpm.filt_arg)))</definedName>
    <definedName name="CI_Upper" comment="X_s: column range of predictors (single or multi-column)_x000a__x000a_Y: single-column outcome range_x000a__x000a_[Allow_Intercept]: TRUE/FALSE — fit intercept? Default TRUE_x000a__x000a_[Filter]: boolean array — TRUE includes the row, FALSE excludes it_x000a__x000a_[Alpha]: significance level (0–1); d">_xlfn.LAMBDA(_xlpm.X_s,_xlpm.Y,_xlop.Allow_Intercept,_xlop.Filter,_xlop.Alpha,_xlfn.LET(_xlpm.allow_arg,IF(_xlfn.ISOMITTED(_xlpm.Allow_Intercept),TRUE,_xlpm.Allow_Intercept),_xlpm.filt_arg,IF(_xlfn.ISOMITTED(_xlpm.Filter),TRUE,_xlpm.Filter),_xlpm.alpha_arg,IF(_xlfn.ISOMITTED(_xlpm.Alpha),0.05,_xlpm.Alpha),Coefficients(_xlpm.X_s,_xlpm.Y,_xlpm.allow_arg,_xlpm.filt_arg)+_xlfn.T.INV.2T(_xlpm.alpha_arg,DF_Residual(_xlpm.X_s,_xlpm.Y,_xlpm.allow_arg,_xlpm.filt_arg))*SE_Coefficients(_xlpm.X_s,_xlpm.Y,_xlpm.allow_arg,_xlpm.filt_arg)))</definedName>
    <definedName name="Coefficien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FALSE),_xlpm.k,COLUMNS(_xlpm.X_s),TRANSPOSE(IF(_xlpm.allow_arg,_xlfn.HSTACK(INDEX(_xlpm.ls,1,_xlpm.k+1),_xlfn.CHOOSECOLS(_xlpm.ls,_xlfn.SEQUENCE(1,_xlpm.k,_xlpm.k,-1))),_xlfn.CHOOSECOLS(_xlpm.ls,_xlfn.SEQUENCE(1,_xlpm.k,_xlpm.k,-1)))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5">LifeExpectancyData[Full_Data]</definedName>
    <definedName name="fil" localSheetId="2">LifeExpectancyData[Full_Data]</definedName>
    <definedName name="fil" localSheetId="3">LifeExpectancyData[Full_Data]</definedName>
    <definedName name="fil" localSheetId="4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P_Value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fn.T.DIST.2T(ABS(T_Stats(_xlpm.X_s,_xlpm.Y,_xlpm.allow_arg,_xlpm.filt_arg)),DF_Residual(_xlpm.X_s,_xlpm.Y,_xlpm.allow_arg,_xlpm.filt_arg))))</definedName>
    <definedName name="pred_input" localSheetId="4">Regression!$B$2:$B$20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Regression_Vector_Outputs" comment="X_s: column range of predictors (single or multi-column)_x000a__x000a_Y: single-column outcome range_x000a__x000a_Names: vertical array of coefficient/term labels (including &quot;Intercept&quot; when intercept is fitted)_x000a__x000a_[Allow_Intercept]: TRUE/FALSE — fit intercept? Default TRUE_x000a__x000a_[Filt">_xlfn.LAMBDA(_xlpm.X_s,_xlpm.Y,_xlpm.Names,_xlop.Allow_Intercept,_xlop.Filter,_xlop.N,_xlfn.LET(_xlpm.allow_arg,IF(_xlfn.ISOMITTED(_xlpm.Allow_Intercept),TRUE,_xlpm.Allow_Intercept),_xlpm.filt_arg,IF(_xlfn.ISOMITTED(_xlpm.Filter),TRUE,_xlpm.Filter),_xlpm.n_arg,IF(_xlfn.ISOMITTED(_xlpm.N),95,_xlpm.N),_xlfn.HSTACK(_xlfn.VSTACK("Term",_xlpm.Names),_xlfn.VSTACK("Coefficients",Coefficients(_xlpm.X_s,_xlpm.Y,_xlpm.allow_arg,_xlpm.filt_arg)),_xlfn.VSTACK("SE_Coefficients",SE_Coefficients(_xlpm.X_s,_xlpm.Y,_xlpm.allow_arg,_xlpm.filt_arg)),_xlfn.VSTACK("T_Stats",T_Stats(_xlpm.X_s,_xlpm.Y,_xlpm.allow_arg,_xlpm.filt_arg)),_xlfn.VSTACK("P_Values",P_Values(_xlpm.X_s,_xlpm.Y,_xlpm.allow_arg,_xlpm.filt_arg)),_xlfn.VSTACK("CI_Lower "&amp;_xlpm.n_arg&amp;"%",CI_Lower(_xlpm.X_s,_xlpm.Y,_xlpm.allow_arg,_xlpm.filt_arg,_xlpm.n_arg)),_xlfn.VSTACK("CI_Upper "&amp;_xlpm.n_arg&amp;"%",CI_Upper(_xlpm.X_s,_xlpm.Y,_xlpm.allow_arg,_xlpm.filt_arg,_xlpm.n_arg)),_xlfn.VSTACK("CI_Excludes_Zero",CI_Excludes_Zero(_xlpm.X_s,_xlpm.Y,_xlpm.allow_arg,_xlpm.filt_arg,_xlpm.n_arg)))))</definedName>
    <definedName name="SE_Coefficien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_xlpm.ls,LINEST(_xlfn._xlws.FILTER(_xlpm.Y,_xlpm.filt_arg),_xlfn._xlws.FILTER(_xlpm.X_s,_xlpm.filt_arg),_xlpm.allow_arg,TRUE),_xlpm.ses,INDEX(_xlpm.ls,2),_xlpm.k,COLUMNS(_xlpm.X_s),TRANSPOSE(IF(_xlpm.allow_arg,_xlfn.HSTACK(INDEX(_xlpm.ses,1,_xlpm.k+1),_xlfn.CHOOSECOLS(_xlpm.ses,_xlfn.SEQUENCE(1,_xlpm.k,_xlpm.k,-1))),_xlfn.CHOOSECOLS(_xlpm.ses,_xlfn.SEQUENCE(1,_xlpm.k,_xlpm.k,-1)))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T_Stats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Coefficients(_xlpm.X_s,_xlpm.Y,_xlpm.allow_arg,_xlpm.filt_arg)/SE_Coefficients(_xlpm.X_s,_xlpm.Y,_xlpm.allow_arg,_xlpm.filt_arg)))</definedName>
    <definedName name="x_s" localSheetId="4">LifeExpectancyData[[Adult Mortality]:[Schooling]]</definedName>
    <definedName name="y" localSheetId="5">LifeExpectancyData[Life expectancy]</definedName>
    <definedName name="y" localSheetId="2">LifeExpectancyData[Life expectancy]</definedName>
    <definedName name="y" localSheetId="3">LifeExpectancyData[Life expectancy]</definedName>
    <definedName name="y" localSheetId="4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6" l="1" a="1"/>
  <c r="Q3" i="6" a="1"/>
  <c r="Q3" i="6" s="1"/>
  <c r="G3" i="6" a="1"/>
  <c r="G3" i="6" s="1"/>
  <c r="P3" i="6" a="1"/>
  <c r="P3" i="6" s="1"/>
  <c r="F3" i="6" a="1"/>
  <c r="F3" i="6" s="1"/>
  <c r="O3" i="6" a="1"/>
  <c r="O3" i="6" s="1"/>
  <c r="E3" i="6" a="1"/>
  <c r="E3" i="6" s="1"/>
  <c r="N3" i="6" a="1"/>
  <c r="N3" i="6" s="1"/>
  <c r="M3" i="6" a="1"/>
  <c r="B3" i="6" a="1"/>
  <c r="B3" i="6" s="1"/>
  <c r="K3" i="6" a="1"/>
  <c r="K3" i="6" s="1"/>
  <c r="N71" i="4" a="1"/>
  <c r="M71" i="4" a="1"/>
  <c r="L71" i="4" a="1"/>
  <c r="K71" i="4" a="1"/>
  <c r="J71" i="4" a="1"/>
  <c r="I71" i="4" a="1"/>
  <c r="N50" i="4" a="1"/>
  <c r="M50" i="4" a="1"/>
  <c r="L50" i="4" a="1"/>
  <c r="K50" i="4" a="1"/>
  <c r="J50" i="4" a="1"/>
  <c r="I50" i="4" a="1"/>
  <c r="N38" i="4" a="1"/>
  <c r="M38" i="4" a="1"/>
  <c r="L38" i="4" a="1"/>
  <c r="K38" i="4" a="1"/>
  <c r="J38" i="4" a="1"/>
  <c r="I38" i="4" a="1"/>
  <c r="N25" i="4" a="1"/>
  <c r="M25" i="4" a="1"/>
  <c r="L25" i="4" a="1"/>
  <c r="K25" i="4" a="1"/>
  <c r="J25" i="4" a="1"/>
  <c r="I25" i="4" a="1"/>
  <c r="N18" i="4" a="1"/>
  <c r="M18" i="4" a="1"/>
  <c r="L18" i="4" a="1"/>
  <c r="K18" i="4" a="1"/>
  <c r="J18" i="4" a="1"/>
  <c r="I18" i="4" a="1"/>
  <c r="N10" i="4" a="1"/>
  <c r="M10" i="4" a="1"/>
  <c r="L10" i="4" a="1"/>
  <c r="K10" i="4" a="1"/>
  <c r="J10" i="4" a="1"/>
  <c r="I10" i="4" a="1"/>
  <c r="N7" i="4" a="1"/>
  <c r="M7" i="4" a="1"/>
  <c r="L7" i="4" a="1"/>
  <c r="K7" i="4" a="1"/>
  <c r="J7" i="4" a="1"/>
  <c r="I7" i="4" a="1"/>
  <c r="N3" i="4" a="1"/>
  <c r="M3" i="4" a="1"/>
  <c r="L3" i="4" a="1"/>
  <c r="K3" i="4" a="1"/>
  <c r="J3" i="4" a="1"/>
  <c r="I3" i="4" a="1"/>
  <c r="Z2" i="3"/>
  <c r="Z3" i="3"/>
  <c r="Z4" i="3"/>
  <c r="O4" i="3" s="1"/>
  <c r="Z5" i="3"/>
  <c r="O5" i="3" s="1"/>
  <c r="Z6" i="3"/>
  <c r="O6" i="3" s="1"/>
  <c r="Z7" i="3"/>
  <c r="O7" i="3" s="1"/>
  <c r="Z8" i="3"/>
  <c r="O8" i="3" s="1"/>
  <c r="Z9" i="3"/>
  <c r="O9" i="3" s="1"/>
  <c r="Y2" i="3"/>
  <c r="N2" i="3" s="1"/>
  <c r="Y3" i="3"/>
  <c r="Y4" i="3"/>
  <c r="N4" i="3" s="1"/>
  <c r="Y5" i="3"/>
  <c r="N5" i="3" s="1"/>
  <c r="Y6" i="3"/>
  <c r="N6" i="3" s="1"/>
  <c r="Y7" i="3"/>
  <c r="N7" i="3" s="1"/>
  <c r="Y8" i="3"/>
  <c r="N8" i="3" s="1"/>
  <c r="Y9" i="3"/>
  <c r="N9" i="3" s="1"/>
  <c r="X2" i="3"/>
  <c r="M2" i="3" s="1"/>
  <c r="X3" i="3"/>
  <c r="X4" i="3"/>
  <c r="M4" i="3" s="1"/>
  <c r="X5" i="3"/>
  <c r="M5" i="3" s="1"/>
  <c r="X6" i="3"/>
  <c r="M6" i="3" s="1"/>
  <c r="X7" i="3"/>
  <c r="M7" i="3" s="1"/>
  <c r="X8" i="3"/>
  <c r="M8" i="3" s="1"/>
  <c r="X9" i="3"/>
  <c r="M9" i="3" s="1"/>
  <c r="W2" i="3"/>
  <c r="W3" i="3"/>
  <c r="W4" i="3"/>
  <c r="W5" i="3"/>
  <c r="W6" i="3"/>
  <c r="W7" i="3"/>
  <c r="W8" i="3"/>
  <c r="W9" i="3"/>
  <c r="V2" i="3"/>
  <c r="K2" i="3" s="1"/>
  <c r="V3" i="3"/>
  <c r="K3" i="3" s="1"/>
  <c r="V4" i="3"/>
  <c r="K4" i="3" s="1"/>
  <c r="V5" i="3"/>
  <c r="K5" i="3" s="1"/>
  <c r="V6" i="3"/>
  <c r="K6" i="3" s="1"/>
  <c r="V7" i="3"/>
  <c r="K7" i="3" s="1"/>
  <c r="V8" i="3"/>
  <c r="K8" i="3" s="1"/>
  <c r="V9" i="3"/>
  <c r="K9" i="3" s="1"/>
  <c r="U2" i="3"/>
  <c r="J2" i="3" s="1"/>
  <c r="U3" i="3"/>
  <c r="J3" i="3" s="1"/>
  <c r="U4" i="3"/>
  <c r="J4" i="3" s="1"/>
  <c r="U5" i="3"/>
  <c r="J5" i="3" s="1"/>
  <c r="U6" i="3"/>
  <c r="J6" i="3" s="1"/>
  <c r="U7" i="3"/>
  <c r="J7" i="3" s="1"/>
  <c r="U8" i="3"/>
  <c r="J8" i="3" s="1"/>
  <c r="U9" i="3"/>
  <c r="J9" i="3" s="1"/>
  <c r="T2" i="3"/>
  <c r="T3" i="3"/>
  <c r="T4" i="3"/>
  <c r="T5" i="3"/>
  <c r="T6" i="3"/>
  <c r="T7" i="3"/>
  <c r="T8" i="3"/>
  <c r="T9" i="3"/>
  <c r="I9" i="3" s="1"/>
  <c r="S2" i="3"/>
  <c r="H2" i="3" s="1"/>
  <c r="S3" i="3"/>
  <c r="H3" i="3" s="1"/>
  <c r="S4" i="3"/>
  <c r="H4" i="3" s="1"/>
  <c r="S5" i="3"/>
  <c r="H5" i="3" s="1"/>
  <c r="S6" i="3"/>
  <c r="H6" i="3" s="1"/>
  <c r="S7" i="3"/>
  <c r="H7" i="3" s="1"/>
  <c r="S8" i="3"/>
  <c r="H8" i="3" s="1"/>
  <c r="S9" i="3"/>
  <c r="H9" i="3" s="1"/>
  <c r="R2" i="3"/>
  <c r="G2" i="3" s="1"/>
  <c r="R3" i="3"/>
  <c r="G3" i="3" s="1"/>
  <c r="R4" i="3"/>
  <c r="G4" i="3" s="1"/>
  <c r="R5" i="3"/>
  <c r="G5" i="3" s="1"/>
  <c r="R6" i="3"/>
  <c r="G6" i="3" s="1"/>
  <c r="R7" i="3"/>
  <c r="G7" i="3" s="1"/>
  <c r="R8" i="3"/>
  <c r="G8" i="3" s="1"/>
  <c r="R9" i="3"/>
  <c r="G9" i="3" s="1"/>
  <c r="Q2" i="3"/>
  <c r="Q3" i="3"/>
  <c r="Q4" i="3"/>
  <c r="Q5" i="3"/>
  <c r="Q6" i="3"/>
  <c r="Q7" i="3"/>
  <c r="Q8" i="3"/>
  <c r="Q9" i="3"/>
  <c r="F9" i="3" s="1"/>
  <c r="P2" i="3"/>
  <c r="E2" i="3" s="1"/>
  <c r="P3" i="3"/>
  <c r="E3" i="3" s="1"/>
  <c r="P4" i="3"/>
  <c r="E4" i="3" s="1"/>
  <c r="P5" i="3"/>
  <c r="E5" i="3" s="1"/>
  <c r="P6" i="3"/>
  <c r="E6" i="3" s="1"/>
  <c r="P7" i="3"/>
  <c r="E7" i="3" s="1"/>
  <c r="P8" i="3"/>
  <c r="E8" i="3" s="1"/>
  <c r="P9" i="3"/>
  <c r="E9" i="3" s="1"/>
  <c r="O2" i="3"/>
  <c r="O3" i="3"/>
  <c r="N3" i="3"/>
  <c r="M3" i="3"/>
  <c r="L2" i="3"/>
  <c r="L3" i="3"/>
  <c r="L4" i="3"/>
  <c r="L5" i="3"/>
  <c r="L6" i="3"/>
  <c r="L7" i="3"/>
  <c r="L8" i="3"/>
  <c r="L9" i="3"/>
  <c r="I2" i="3"/>
  <c r="I3" i="3"/>
  <c r="I4" i="3"/>
  <c r="I5" i="3"/>
  <c r="I6" i="3"/>
  <c r="I7" i="3"/>
  <c r="I8" i="3"/>
  <c r="F2" i="3"/>
  <c r="F3" i="3"/>
  <c r="F4" i="3"/>
  <c r="F5" i="3"/>
  <c r="F6" i="3"/>
  <c r="F7" i="3"/>
  <c r="F8" i="3"/>
  <c r="A2" i="3"/>
  <c r="A3" i="3"/>
  <c r="A4" i="3"/>
  <c r="A5" i="3"/>
  <c r="A6" i="3"/>
  <c r="A7" i="3"/>
  <c r="A8" i="3"/>
  <c r="A9" i="3"/>
  <c r="N3" i="5"/>
  <c r="M3" i="5"/>
  <c r="L3" i="5"/>
  <c r="I20" i="5"/>
  <c r="H20" i="5"/>
  <c r="G20" i="5"/>
  <c r="F20" i="5"/>
  <c r="E20" i="5"/>
  <c r="D20" i="5"/>
  <c r="J9" i="5"/>
  <c r="J8" i="5"/>
  <c r="J7" i="5"/>
  <c r="J6" i="5"/>
  <c r="J5" i="5"/>
  <c r="J4" i="5"/>
  <c r="E14" i="5"/>
  <c r="D14" i="5"/>
  <c r="F13" i="5"/>
  <c r="E13" i="5"/>
  <c r="D13" i="5"/>
  <c r="G12" i="5"/>
  <c r="H12" i="5" s="1"/>
  <c r="F12" i="5"/>
  <c r="E12" i="5"/>
  <c r="D12" i="5"/>
  <c r="G6" i="5"/>
  <c r="G5" i="5"/>
  <c r="G4" i="5"/>
  <c r="D8" i="5"/>
  <c r="D7" i="5"/>
  <c r="D6" i="5"/>
  <c r="D5" i="5"/>
  <c r="D4" i="5"/>
  <c r="A3" i="5"/>
  <c r="B2" i="5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L3" i="6" l="1"/>
  <c r="C3" i="6" a="1"/>
  <c r="C3" i="6" s="1"/>
  <c r="M3" i="6"/>
  <c r="D3" i="6" a="1"/>
  <c r="D3" i="6" s="1"/>
  <c r="N71" i="4"/>
  <c r="G71" i="4" s="1" a="1"/>
  <c r="G71" i="4" s="1"/>
  <c r="M71" i="4"/>
  <c r="F71" i="4" s="1" a="1"/>
  <c r="F71" i="4" s="1"/>
  <c r="L71" i="4"/>
  <c r="E71" i="4" a="1"/>
  <c r="E71" i="4" s="1"/>
  <c r="K71" i="4"/>
  <c r="D71" i="4" s="1" a="1"/>
  <c r="D71" i="4" s="1"/>
  <c r="J71" i="4"/>
  <c r="C71" i="4" s="1" a="1"/>
  <c r="C71" i="4" s="1"/>
  <c r="I71" i="4"/>
  <c r="B71" i="4" a="1"/>
  <c r="B71" i="4" s="1"/>
  <c r="N50" i="4"/>
  <c r="G50" i="4" s="1" a="1"/>
  <c r="G50" i="4" s="1"/>
  <c r="M50" i="4"/>
  <c r="F50" i="4" a="1"/>
  <c r="F50" i="4" s="1"/>
  <c r="L50" i="4"/>
  <c r="E50" i="4" s="1" a="1"/>
  <c r="E50" i="4" s="1"/>
  <c r="K50" i="4"/>
  <c r="D50" i="4" s="1" a="1"/>
  <c r="D50" i="4" s="1"/>
  <c r="J50" i="4"/>
  <c r="C50" i="4" s="1" a="1"/>
  <c r="C50" i="4" s="1"/>
  <c r="I50" i="4"/>
  <c r="B50" i="4" s="1" a="1"/>
  <c r="B50" i="4" s="1"/>
  <c r="N38" i="4"/>
  <c r="G38" i="4" s="1" a="1"/>
  <c r="G38" i="4" s="1"/>
  <c r="M38" i="4"/>
  <c r="F38" i="4" s="1" a="1"/>
  <c r="F38" i="4" s="1"/>
  <c r="L38" i="4"/>
  <c r="E38" i="4" s="1" a="1"/>
  <c r="E38" i="4" s="1"/>
  <c r="K38" i="4"/>
  <c r="D38" i="4" a="1"/>
  <c r="D38" i="4" s="1"/>
  <c r="J38" i="4"/>
  <c r="C38" i="4" s="1" a="1"/>
  <c r="C38" i="4" s="1"/>
  <c r="I38" i="4"/>
  <c r="B38" i="4" s="1" a="1"/>
  <c r="B38" i="4" s="1"/>
  <c r="N25" i="4"/>
  <c r="G25" i="4" s="1" a="1"/>
  <c r="G25" i="4" s="1"/>
  <c r="M25" i="4"/>
  <c r="F25" i="4" s="1" a="1"/>
  <c r="F25" i="4" s="1"/>
  <c r="L25" i="4"/>
  <c r="E25" i="4" s="1" a="1"/>
  <c r="E25" i="4" s="1"/>
  <c r="K25" i="4"/>
  <c r="D25" i="4" s="1" a="1"/>
  <c r="D25" i="4" s="1"/>
  <c r="J25" i="4"/>
  <c r="C25" i="4" s="1" a="1"/>
  <c r="C25" i="4" s="1"/>
  <c r="I25" i="4"/>
  <c r="B25" i="4" s="1" a="1"/>
  <c r="B25" i="4" s="1"/>
  <c r="N18" i="4"/>
  <c r="G18" i="4" s="1" a="1"/>
  <c r="G18" i="4" s="1"/>
  <c r="M18" i="4"/>
  <c r="F18" i="4" s="1" a="1"/>
  <c r="F18" i="4" s="1"/>
  <c r="L18" i="4"/>
  <c r="E18" i="4" s="1" a="1"/>
  <c r="E18" i="4" s="1"/>
  <c r="K18" i="4"/>
  <c r="D18" i="4" s="1" a="1"/>
  <c r="D18" i="4" s="1"/>
  <c r="J18" i="4"/>
  <c r="C18" i="4" s="1" a="1"/>
  <c r="C18" i="4" s="1"/>
  <c r="I18" i="4"/>
  <c r="B18" i="4" s="1" a="1"/>
  <c r="B18" i="4" s="1"/>
  <c r="N10" i="4"/>
  <c r="G10" i="4" s="1" a="1"/>
  <c r="G10" i="4" s="1"/>
  <c r="M10" i="4"/>
  <c r="F10" i="4" s="1" a="1"/>
  <c r="F10" i="4" s="1"/>
  <c r="L10" i="4"/>
  <c r="E10" i="4" s="1" a="1"/>
  <c r="E10" i="4" s="1"/>
  <c r="K10" i="4"/>
  <c r="D10" i="4" s="1" a="1"/>
  <c r="D10" i="4" s="1"/>
  <c r="J10" i="4"/>
  <c r="C10" i="4" s="1" a="1"/>
  <c r="C10" i="4" s="1"/>
  <c r="I10" i="4"/>
  <c r="B10" i="4" s="1" a="1"/>
  <c r="B10" i="4" s="1"/>
  <c r="N7" i="4"/>
  <c r="G7" i="4" s="1" a="1"/>
  <c r="G7" i="4" s="1"/>
  <c r="M7" i="4"/>
  <c r="F7" i="4" s="1" a="1"/>
  <c r="F7" i="4" s="1"/>
  <c r="L7" i="4"/>
  <c r="E7" i="4" s="1" a="1"/>
  <c r="E7" i="4" s="1"/>
  <c r="K7" i="4"/>
  <c r="D7" i="4" s="1" a="1"/>
  <c r="D7" i="4" s="1"/>
  <c r="J7" i="4"/>
  <c r="C7" i="4" s="1" a="1"/>
  <c r="C7" i="4" s="1"/>
  <c r="I7" i="4"/>
  <c r="B7" i="4" s="1" a="1"/>
  <c r="B7" i="4" s="1"/>
  <c r="N3" i="4"/>
  <c r="G3" i="4" s="1" a="1"/>
  <c r="G3" i="4" s="1"/>
  <c r="M3" i="4"/>
  <c r="F3" i="4" s="1" a="1"/>
  <c r="F3" i="4" s="1"/>
  <c r="L3" i="4"/>
  <c r="E3" i="4" s="1" a="1"/>
  <c r="E3" i="4" s="1"/>
  <c r="K3" i="4"/>
  <c r="D3" i="4" s="1" a="1"/>
  <c r="D3" i="4" s="1"/>
  <c r="J3" i="4"/>
  <c r="C3" i="4" s="1" a="1"/>
  <c r="C3" i="4" s="1"/>
  <c r="I3" i="4"/>
  <c r="B3" i="4" s="1" a="1"/>
  <c r="B3" i="4" s="1"/>
  <c r="D2" i="3"/>
  <c r="D3" i="3"/>
  <c r="D4" i="3"/>
  <c r="D5" i="3"/>
  <c r="D6" i="3"/>
  <c r="D7" i="3"/>
  <c r="D8" i="3"/>
  <c r="D9" i="3"/>
  <c r="A71" i="4" l="1"/>
  <c r="A50" i="4"/>
  <c r="A38" i="4"/>
  <c r="A25" i="4"/>
  <c r="A18" i="4"/>
  <c r="A10" i="4"/>
  <c r="A7" i="4"/>
  <c r="A3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<sst xmlns="http://schemas.openxmlformats.org/spreadsheetml/2006/main" count="6258" uniqueCount="434">
  <si>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</si>
  <si>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</si>
  <si>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</si>
  <si>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</si>
  <si>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</si>
  <si>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</si>
  <si>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</si>
  <si>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</si>
  <si>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</si>
  <si>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</si>
  <si>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</si>
  <si>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</si>
  <si>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</si>
  <si>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</si>
  <si>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</si>
  <si>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</si>
  <si>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</si>
  <si>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</si>
  <si>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</si>
  <si>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</si>
  <si>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</si>
  <si>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</si>
  <si>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</si>
  <si>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</si>
  <si>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</si>
  <si>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</si>
  <si>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</si>
  <si>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</si>
  <si>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</si>
  <si>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</si>
  <si>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</si>
  <si>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</si>
  <si>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</si>
  <si>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</si>
  <si>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</si>
  <si>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</si>
  <si>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</si>
  <si>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</si>
  <si>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</si>
  <si>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</si>
  <si>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</si>
  <si>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</si>
  <si>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</si>
  <si>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</si>
  <si>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</si>
  <si>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</si>
  <si>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</si>
  <si>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</si>
  <si>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</si>
  <si>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</si>
  <si>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</si>
  <si>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</si>
  <si>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</si>
  <si>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</si>
  <si>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FALSE),
    k,         COLUMNS(X_s),
    TRANSPOSE(IF(allow_arg,
      HSTACK(INDEX(ls, 1, k + 1), CHOOSECOLS(ls, SEQUENCE(1, k, k, -1))),
      CHOOSECOLS(ls, SEQUENCE(1, k, k, -1))
    ))
  ))</t>
  </si>
  <si>
    <t>vertical array of fitted OLS coefficients — intercept first (when included), then predictors in input order</t>
  </si>
  <si>
    <t>Returns a vertical spill array of the fitted OLS regression coefficients. When Allow_Intercept is TRUE the intercept is the first element, followed by the coefficients for each column of X_s in input order. When Allow_Intercept is FALSE the output contains only the k predictor coefficients.
Uses LINEST with stats=FALSE (row 1 only), then reverses and optionally prepends the intercept to match X_s column order.</t>
  </si>
  <si>
    <t>SE_Coefficients</t>
  </si>
  <si>
    <t>=LAMBDA(X_s, Y, [Allow_Intercept], [Filter],
  LET(
    allow_arg, IF(ISOMITTED(Allow_Intercept), TRUE, Allow_Intercept),
    filt_arg,  IF(ISOMITTED(Filter),          TRUE, Filter),
    ls,        LINEST(FILTER(Y, filt_arg), FILTER(X_s, filt_arg), allow_arg, TRUE),
    ses,       INDEX(ls, 2),
    k,         COLUMNS(X_s),
    TRANSPOSE(IF(allow_arg,
      HSTACK(INDEX(ses, 1, k + 1), CHOOSECOLS(ses, SEQUENCE(1, k, k, -1))),
      CHOOSECOLS(ses, SEQUENCE(1, k, k, -1))
    ))
  ))</t>
  </si>
  <si>
    <t>vertical array of standard errors of the OLS coefficients — same order as Coefficients</t>
  </si>
  <si>
    <t>Returns a vertical spill array of the standard errors of the fitted OLS coefficients, in the same order as Coefficients (intercept first when included).
Uses LINEST with stats=TRUE and extracts row 2 (the standard error row), then applies the same reversal as Coefficients.</t>
  </si>
  <si>
    <t>T_Stats</t>
  </si>
  <si>
    <t>=LAMBDA(X_s, Y, [Allow_Intercept], [Filter],
  LET(
    allow_arg, IF(ISOMITTED(Allow_Intercept), TRUE, Allow_Intercept),
    filt_arg,  IF(ISOMITTED(Filter),          TRUE, Filter),
    Coefficients(X_s, Y, allow_arg, filt_arg) / SE_Coefficients(X_s, Y, allow_arg, filt_arg)
  ))</t>
  </si>
  <si>
    <t>vertical array of t-statistics for each coefficient (coefficient / standard error)</t>
  </si>
  <si>
    <t>Returns a vertical spill array of t-statistics for each OLS coefficient. Each element equals the corresponding Coefficients value divided by its SE_Coefficients value.
Computed as Coefficients(...) / SE_Coefficients(...).</t>
  </si>
  <si>
    <t>P_Values</t>
  </si>
  <si>
    <t>=LAMBDA(X_s, Y, [Allow_Intercept], [Filter],
  LET(
    allow_arg, IF(ISOMITTED(Allow_Intercept), TRUE, Allow_Intercept),
    filt_arg,  IF(ISOMITTED(Filter),          TRUE, Filter),
    T.DIST.2T(ABS(T_Stats(X_s, Y, allow_arg, filt_arg)), DF_Residual(X_s, Y, allow_arg, filt_arg))
  ))</t>
  </si>
  <si>
    <t>vertical array of two-tailed p-values for each coefficient</t>
  </si>
  <si>
    <t>Returns a vertical spill array of two-tailed p-values for each OLS coefficient, testing the null hypothesis that the true coefficient equals zero.
Computed as T.DIST.2T(ABS(T_Stats(...)), DF_Residual(...)).</t>
  </si>
  <si>
    <t>CI_Lower</t>
  </si>
  <si>
    <t>vertical array of lower confidence interval bounds for each coefficient</t>
  </si>
  <si>
    <t>CI_Upper</t>
  </si>
  <si>
    <t>vertical array of upper confidence interval bounds for each coefficient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</si>
  <si>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</si>
  <si>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</si>
  <si>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</si>
  <si>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</si>
  <si>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</si>
  <si>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</si>
  <si>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</si>
  <si>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</si>
  <si>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</si>
  <si>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</si>
  <si>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</si>
  <si>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</si>
  <si>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</si>
  <si>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</si>
  <si>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</si>
  <si>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</si>
  <si>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</si>
  <si>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</si>
  <si>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</si>
  <si>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</si>
  <si>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</si>
  <si>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</si>
  <si>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</si>
  <si>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</si>
  <si>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</si>
  <si>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</si>
  <si>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</si>
  <si>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</si>
  <si>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</si>
  <si>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</si>
  <si>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</si>
  <si>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</si>
  <si>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</si>
  <si>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</si>
  <si>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</si>
  <si>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</si>
  <si>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</si>
  <si>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</si>
  <si>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</si>
  <si>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</si>
  <si>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</si>
  <si>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</si>
  <si>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</si>
  <si>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</si>
  <si>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</si>
  <si>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</si>
  <si>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</si>
  <si>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</si>
  <si>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</si>
  <si>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</si>
  <si>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</si>
  <si>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</si>
  <si>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</si>
  <si>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</si>
  <si>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</si>
  <si>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</si>
  <si>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</si>
  <si>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</si>
  <si>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</si>
  <si>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</si>
  <si>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</si>
  <si>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</si>
  <si>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</si>
  <si>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</si>
  <si>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</si>
  <si>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</si>
  <si>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</si>
  <si>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</si>
  <si>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</si>
  <si>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</si>
  <si>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</si>
  <si>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</si>
  <si>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</si>
  <si>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</si>
  <si>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</si>
  <si>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</si>
  <si>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</si>
  <si>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</si>
  <si>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</si>
  <si>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</si>
  <si>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</si>
  <si>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</si>
  <si>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</si>
  <si>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</si>
  <si>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</si>
  <si>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</si>
  <si>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</si>
  <si>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</si>
  <si>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</si>
  <si>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</si>
  <si>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</si>
  <si>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</si>
  <si>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</si>
  <si>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</si>
  <si>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</si>
  <si>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</si>
  <si>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</si>
  <si>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</si>
  <si>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</si>
  <si>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</si>
  <si>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</si>
  <si>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</si>
  <si>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</si>
  <si>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</si>
  <si>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</si>
  <si>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</si>
  <si>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</si>
  <si>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</si>
  <si>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</si>
  <si>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</si>
  <si>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</si>
  <si>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</si>
  <si>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</si>
  <si>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</si>
  <si>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</si>
  <si>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</si>
  <si>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</si>
  <si>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</si>
  <si>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</si>
  <si>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</si>
  <si>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</si>
  <si>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</si>
  <si>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</si>
  <si>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</si>
  <si>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</si>
  <si>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</si>
  <si>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</si>
  <si>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</si>
  <si>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</si>
  <si>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</si>
  <si>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</si>
  <si>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</si>
  <si>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</si>
  <si>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</si>
  <si>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</si>
  <si>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</si>
  <si>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</si>
  <si>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</si>
  <si>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</si>
  <si>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</si>
  <si>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</si>
  <si>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</si>
  <si>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</si>
  <si>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</si>
  <si>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</si>
  <si>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</si>
  <si>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</si>
  <si>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</si>
  <si>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</si>
  <si>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</si>
  <si>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</si>
  <si>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</si>
  <si>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</si>
  <si>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</si>
  <si>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</si>
  <si>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</si>
  <si>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</si>
  <si>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</si>
  <si>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</si>
  <si>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</si>
  <si>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</si>
  <si>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</si>
  <si>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</si>
  <si>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</si>
  <si>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</si>
  <si>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</si>
  <si>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</si>
  <si>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</si>
  <si>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</si>
  <si>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</si>
  <si>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</si>
  <si>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</si>
  <si>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</si>
  <si>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</si>
  <si>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</si>
  <si>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</si>
  <si>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</si>
  <si>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</si>
  <si>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</si>
  <si>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</si>
  <si>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</si>
  <si>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</si>
  <si>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</si>
  <si>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</si>
  <si>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</si>
  <si>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</si>
  <si>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</si>
  <si>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</si>
  <si>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</si>
  <si>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</si>
  <si>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</si>
  <si>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</si>
  <si>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</si>
  <si>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</si>
  <si>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</si>
  <si>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</si>
  <si>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</si>
  <si>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</si>
  <si>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</si>
  <si>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</si>
  <si>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</si>
  <si>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</si>
  <si>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</si>
  <si>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</si>
  <si>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</si>
  <si>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</si>
  <si>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</si>
  <si>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</si>
  <si>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</si>
  <si>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</si>
  <si>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</si>
  <si>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</si>
  <si>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</si>
  <si>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</si>
  <si>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</si>
  <si>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</si>
  <si>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</si>
  <si>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</si>
  <si>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X_Variables</t>
  </si>
  <si>
    <t>ind_vars</t>
  </si>
  <si>
    <t>Allow_Intercept</t>
  </si>
  <si>
    <t>Smoke Test</t>
  </si>
  <si>
    <t>Observations
(Exp.)</t>
  </si>
  <si>
    <t>Observations
(Match)</t>
  </si>
  <si>
    <t>DF_Regression
(Exp.)</t>
  </si>
  <si>
    <t>DF_Regression
(Match)</t>
  </si>
  <si>
    <t>DF_Total
(Exp.)</t>
  </si>
  <si>
    <t>DF_Total
(Match)</t>
  </si>
  <si>
    <t>R_squared
(Exp.)</t>
  </si>
  <si>
    <t>R_squared
(Match)</t>
  </si>
  <si>
    <t>DF_Residual
(Exp.)</t>
  </si>
  <si>
    <t>DF_Residual
(Match)</t>
  </si>
  <si>
    <t>Multiple_R
(Exp.)</t>
  </si>
  <si>
    <t>Multiple_R
(Match)</t>
  </si>
  <si>
    <t>Adjusted_R2
(Exp.)</t>
  </si>
  <si>
    <t>Adjusted_R2
(Match)</t>
  </si>
  <si>
    <t>SS_Total
(Exp.)</t>
  </si>
  <si>
    <t>SS_Total
(Match)</t>
  </si>
  <si>
    <t>SS_Residual
(Exp.)</t>
  </si>
  <si>
    <t>SS_Residual
(Match)</t>
  </si>
  <si>
    <t>SS_Regression
(Exp.)</t>
  </si>
  <si>
    <t>SS_Regression
(Match)</t>
  </si>
  <si>
    <t>SE_Regression
(Exp.)</t>
  </si>
  <si>
    <t>SE_Regression
(Match)</t>
  </si>
  <si>
    <t>Coefficients
(Match)</t>
  </si>
  <si>
    <t>SE_Coefficients
(Match)</t>
  </si>
  <si>
    <t>T_Stats
(Match)</t>
  </si>
  <si>
    <t>P_Values
(Match)</t>
  </si>
  <si>
    <t>Term</t>
  </si>
  <si>
    <t>Coefficients
(Exp.)</t>
  </si>
  <si>
    <t>SE_Coefficients
(Exp.)</t>
  </si>
  <si>
    <t>T_Stats
(Exp.)</t>
  </si>
  <si>
    <t>P_Values
(Exp.)</t>
  </si>
  <si>
    <t>k=1 | Intercept=TRUE</t>
  </si>
  <si>
    <t>k=1 | Intercept=FALSE</t>
  </si>
  <si>
    <t>k=5 | Intercept=TRUE</t>
  </si>
  <si>
    <t>k=5 | Intercept=FALSE</t>
  </si>
  <si>
    <t>k=10 | Intercept=TRUE</t>
  </si>
  <si>
    <t>k=10 | Intercept=FALSE</t>
  </si>
  <si>
    <t>k=18 | Intercept=TRUE</t>
  </si>
  <si>
    <t>k=18 | Intercept=FALSE</t>
  </si>
  <si>
    <t>Intercept</t>
  </si>
  <si>
    <t>=LAMBDA(X_s, Y, [Allow_Intercept], [Filter], [Alpha],
  LET(
    allow_arg,   IF(ISOMITTED(Allow_Intercept), TRUE, Allow_Intercept),
    filt_arg,    IF(ISOMITTED(Filter),          TRUE, Filter),
    alpha_arg,   IF(ISOMITTED(Alpha),           0.05, Alpha),
    Coefficients(X_s, Y, allow_arg, filt_arg)
      - T.INV.2T(alpha_arg, DF_Residual(X_s, Y, allow_arg, filt_arg))
        * SE_Coefficients(X_s, Y, allow_arg, filt_arg)
  ))</t>
  </si>
  <si>
    <t>X_s: column range of predictors (single or multi-column)
Y: single-column outcome range
[Allow_Intercept]: TRUE/FALSE — fit intercept? Default TRUE
[Filter]: boolean array — TRUE includes the row, FALSE excludes it
[Alpha]: significance level (0–1); default 0.05 yields 95% CIs.</t>
  </si>
  <si>
    <t>Returns a vertical spill array of the lower bounds of the confidence intervals for each OLS coefficient. Uses a two-tailed t critical value at significance level Alpha (default 0.05, yielding 95% CIs).
Computed as Coefficients(...) - T.INV.2T(Alpha, DF_Residual(...)) * SE_Coefficients(...).</t>
  </si>
  <si>
    <t>=LAMBDA(X_s, Y, [Allow_Intercept], [Filter], [Alpha],
  LET(
    allow_arg,   IF(ISOMITTED(Allow_Intercept), TRUE, Allow_Intercept),
    filt_arg,    IF(ISOMITTED(Filter),          TRUE, Filter),
    alpha_arg,   IF(ISOMITTED(Alpha),           0.05, Alpha),
    Coefficients(X_s, Y, allow_arg, filt_arg)
      + T.INV.2T(alpha_arg, DF_Residual(X_s, Y, allow_arg, filt_arg))
        * SE_Coefficients(X_s, Y, allow_arg, filt_arg)
  ))</t>
  </si>
  <si>
    <t>Returns a vertical spill array of the upper bounds of the confidence intervals for each OLS coefficient. Uses a two-tailed t critical value at significance level Alpha (default 0.05, yielding 95% CIs).
Computed as Coefficients(...) + T.INV.2T(Alpha, DF_Residual(...)) * SE_Coefficients(...).</t>
  </si>
  <si>
    <t>CI_Lower
(Match)</t>
  </si>
  <si>
    <t>CI_Upper
(Match)</t>
  </si>
  <si>
    <t>CI_Lower
(Exp.)</t>
  </si>
  <si>
    <t>CI_Upper
(Exp.)</t>
  </si>
  <si>
    <t>Observation_Num</t>
  </si>
  <si>
    <t>=LAMBDA(Y, [Filter],
  LET(
    filt_arg, IF(ISOMITTED(Filter), TRUE, Filter),
    SEQUENCE(Observations(Y, filt_arg))
  ))</t>
  </si>
  <si>
    <t>1..n observation index as a spilled vector</t>
  </si>
  <si>
    <t>Spills 1..n, where n is the number of filtered observations.</t>
  </si>
  <si>
    <t>Percentile</t>
  </si>
  <si>
    <t>=LAMBDA(Y, [Filter],
  LET(
    filt_arg, IF(ISOMITTED(Filter), TRUE, Filter),
    obs_num, Observation_Num(Y, filt_arg),
    (obs_num - 0.5) / ROWS(obs_num)
  ))</t>
  </si>
  <si>
    <t>plotting-position percentiles as a spilled vector</t>
  </si>
  <si>
    <t>Uses plotting position (i - 0.5) / n for filtered observations.</t>
  </si>
  <si>
    <t>Y_Ranked</t>
  </si>
  <si>
    <t>=LAMBDA(Y, [Filter],
  LET(
    filt_arg, IF(ISOMITTED(Filter), TRUE, Filter),
    SORT(FILTER(Y, filt_arg), 1, 1)
  ))</t>
  </si>
  <si>
    <t>sorted filtered Y values as a spilled vector</t>
  </si>
  <si>
    <t>Useful for empirical distribution/probability plots of the response variable.</t>
  </si>
  <si>
    <t>Normal_Scores</t>
  </si>
  <si>
    <t>=LAMBDA(Y, [Filter],
  LET(
    filt_arg, IF(ISOMITTED(Filter), TRUE, Filter),
    NORM.S.INV(Percentile(Y, filt_arg))
  ))</t>
  </si>
  <si>
    <t>theoretical standard-normal scores as a spilled vector</t>
  </si>
  <si>
    <t>Intended for normal probability plot x-values.</t>
  </si>
  <si>
    <t>Design_Matrix</t>
  </si>
  <si>
    <t>=LAMBDA(X_s, [Allow_Intercept], [Filter],
  LET(
    allow_arg, IF(ISOMITTED(Allow_Intercept), TRUE, Allow_Intercept),
    filt_arg,  IF(ISOMITTED(Filter), TRUE, Filter),
    x_filt,    FILTER(X_s, filt_arg),
    IF(
      allow_arg,
      HSTACK(SEQUENCE(ROWS(x_filt), , 1, 0), x_filt),
      x_filt
    )
  ))</t>
  </si>
  <si>
    <t>X_s: column range of predictors (single or multi-column)
[Allow_Intercept]: TRUE/FALSE — fit intercept? Default TRUE
[Filter]: boolean array — TRUE includes the row, FALSE excludes it</t>
  </si>
  <si>
    <t>filtered numeric design matrix as spilled array</t>
  </si>
  <si>
    <t>Returns the matrix used for prediction: with intercept, a leading column of 1s followed by filtered X columns; without intercept, filtered X columns only. Factor encoding is intentionally deferred.</t>
  </si>
  <si>
    <t>Predictions</t>
  </si>
  <si>
    <t>=LAMBDA(X_s, Y, [Allow_Intercept], [Filter],
  LET(
    allow_arg, IF(ISOMITTED(Allow_Intercept), TRUE, Allow_Intercept),
    filt_arg,  IF(ISOMITTED(Filter), TRUE, Filter),
    MMULT(
      Design_Matrix(X_s, allow_arg, filt_arg),
      Coefficients(X_s, Y, allow_arg, filt_arg)
    )
  ))</t>
  </si>
  <si>
    <t>fitted Y values as a spilled vector</t>
  </si>
  <si>
    <t>Computes X_design * beta using MMULT.</t>
  </si>
  <si>
    <t>Residuals</t>
  </si>
  <si>
    <t>=LAMBDA(X_s, Y, [Allow_Intercept], [Filter],
  LET(
    allow_arg, IF(ISOMITTED(Allow_Intercept), TRUE, Allow_Intercept),
    filt_arg,  IF(ISOMITTED(Filter), TRUE, Filter),
    FILTER(Y, filt_arg) - Predictions(X_s, Y, allow_arg, filt_arg)
  ))</t>
  </si>
  <si>
    <t>raw residuals as a spilled vector</t>
  </si>
  <si>
    <t>Residuals are Y - fitted Y.</t>
  </si>
  <si>
    <t>Scaled_Residuals</t>
  </si>
  <si>
    <t>=LAMBDA(X_s, Y, [Allow_Intercept], [Filter],
  LET(
    allow_arg, IF(ISOMITTED(Allow_Intercept), TRUE, Allow_Intercept),
    filt_arg,  IF(ISOMITTED(Filter), TRUE, Filter),
    Residuals(X_s, Y, allow_arg, filt_arg)
      / SE_Regression(X_s, Y, allow_arg, filt_arg)
  ))</t>
  </si>
  <si>
    <t>residual divided by SE_Regression as a spilled vector</t>
  </si>
  <si>
    <t>Residual divided by SE_Regression. This is not Excel Analysis ToolPak 'Standard Residuals' and is not leverage-adjusted/studentized.</t>
  </si>
  <si>
    <t>Scaled_Residuals_Ranked</t>
  </si>
  <si>
    <t>=LAMBDA(X_s, Y, [Allow_Intercept], [Filter],
  LET(
    allow_arg, IF(ISOMITTED(Allow_Intercept), TRUE, Allow_Intercept),
    filt_arg,  IF(ISOMITTED(Filter), TRUE, Filter),
    SORT(Scaled_Residuals(X_s, Y, allow_arg, filt_arg), 1, 1)
  ))</t>
  </si>
  <si>
    <t>sorted scaled residuals as spilled vector</t>
  </si>
  <si>
    <t>Sorted Scaled_Residuals, intended for plotting against Normal_Scores.</t>
  </si>
  <si>
    <t>Allow Intercept</t>
  </si>
  <si>
    <t>PREDICTION INPUTS</t>
  </si>
  <si>
    <t>REGRESSION STATISTICS</t>
  </si>
  <si>
    <t>Multiple R</t>
  </si>
  <si>
    <t>R Square</t>
  </si>
  <si>
    <t>Adjusted R Square</t>
  </si>
  <si>
    <t>Standard Error</t>
  </si>
  <si>
    <t>DIAGNOSTICS</t>
  </si>
  <si>
    <t>PRESS</t>
  </si>
  <si>
    <t>PRESS R²</t>
  </si>
  <si>
    <t>Mean Leverage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</si>
  <si>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</si>
  <si>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</si>
  <si>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</si>
  <si>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</si>
  <si>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</si>
  <si>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</si>
  <si>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</si>
  <si>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</si>
  <si>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Total</t>
  </si>
  <si>
    <t>PREDICTION INTERVAL</t>
  </si>
  <si>
    <t>Point Estimate</t>
  </si>
  <si>
    <t>SE Prediction</t>
  </si>
  <si>
    <t>t Critical</t>
  </si>
  <si>
    <t>Lower 95%</t>
  </si>
  <si>
    <t>Upper 95%</t>
  </si>
  <si>
    <t>Confidence Level</t>
  </si>
  <si>
    <t>COEFFICIENTS</t>
  </si>
  <si>
    <t>Std Error</t>
  </si>
  <si>
    <t>t Stat</t>
  </si>
  <si>
    <t>P-value</t>
  </si>
  <si>
    <t>RESIDUAL OUTPUT</t>
  </si>
  <si>
    <t>Observation</t>
  </si>
  <si>
    <t>Predicted Y</t>
  </si>
  <si>
    <t>LOOCV Residuals</t>
  </si>
  <si>
    <t>(paste LOOCV formula here)</t>
  </si>
  <si>
    <t>Observation_Num Match</t>
  </si>
  <si>
    <t>Observation_Num (Exp.)</t>
  </si>
  <si>
    <t>Percentile Match</t>
  </si>
  <si>
    <t>Percentile (Exp.)</t>
  </si>
  <si>
    <t>Y_Ranked Match</t>
  </si>
  <si>
    <t>Y_Ranked (Exp.)</t>
  </si>
  <si>
    <t>Normal_Scores Match</t>
  </si>
  <si>
    <t>Normal_Scores (Exp.)</t>
  </si>
  <si>
    <t>Predictions Match</t>
  </si>
  <si>
    <t>Predictions (Exp.)</t>
  </si>
  <si>
    <t>Residuals Match</t>
  </si>
  <si>
    <t>Residuals (Exp.)</t>
  </si>
  <si>
    <t>Scaled_Residuals Match</t>
  </si>
  <si>
    <t>Scaled_Residuals (Exp.)</t>
  </si>
  <si>
    <t>Scaled_Residuals_Ranked Match</t>
  </si>
  <si>
    <t>Scaled_Residuals_Ranked (Exp.)</t>
  </si>
  <si>
    <t>k=1, Allow_Intercept=TRUE | Adult Mortality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</si>
</sst>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E+00"/>
    <numFmt numFmtId="166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1" fillId="0" borderId="0" xfId="0" applyFont="1"/>
    <xf numFmtId="166" fontId="0" fillId="0" borderId="0" xfId="0" applyNumberFormat="1"/>
  </cellXfs>
  <cellStyles count="1">
    <cellStyle name="Normal" xfId="0" builtinId="0"/>
  </cellStyles>
  <dxfs count="32">
    <dxf>
      <numFmt numFmtId="164" formatCode="0.000"/>
    </dxf>
    <dxf>
      <numFmt numFmtId="2" formatCode="0.00"/>
    </dxf>
    <dxf>
      <numFmt numFmtId="2" formatCode="0.00"/>
    </dxf>
    <dxf>
      <numFmt numFmtId="2" formatCode="0.00"/>
    </dxf>
    <dxf>
      <numFmt numFmtId="164" formatCode="0.000"/>
    </dxf>
    <dxf>
      <numFmt numFmtId="164" formatCode="0.000"/>
    </dxf>
    <dxf>
      <numFmt numFmtId="1" formatCode="0"/>
    </dxf>
    <dxf>
      <numFmt numFmtId="164" formatCode="0.00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0A8E4F-DC67-4E99-B376-4E495BE580A1}" name="LAMBDAFunctionsCatalog" displayName="LAMBDAFunctionsCatalog" ref="A1:E27" totalsRowShown="0" headerRowDxfId="31" dataDxfId="30">
  <autoFilter ref="A1:E27" xr:uid="{610A8E4F-DC67-4E99-B376-4E495BE580A1}"/>
  <tableColumns count="5">
    <tableColumn id="1" xr3:uid="{5052D26B-9DF2-4964-83F3-8101016E24A6}" name="Function Name" dataDxfId="29"/>
    <tableColumn id="2" xr3:uid="{8CEBCA77-415B-4B43-B457-2C89F9519997}" name="Definition" dataDxfId="28"/>
    <tableColumn id="3" xr3:uid="{85A8D9CA-B8E6-406C-9791-24F74F67F6B9}" name="Arguments" dataDxfId="27"/>
    <tableColumn id="4" xr3:uid="{563410A4-2C50-480A-B923-7D4CE034AB38}" name="Yields" dataDxfId="26"/>
    <tableColumn id="5" xr3:uid="{EA2CC49A-5359-4D89-9DE7-4D7D458287F6}" name="Description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EB1720-6233-447E-8BBC-2291AA7AF8DF}" name="LifeExpectancyData" displayName="LifeExpectancyData" ref="A1:W2939" totalsRowShown="0">
  <autoFilter ref="A1:W2939" xr:uid="{E4EB1720-6233-447E-8BBC-2291AA7AF8DF}"/>
  <tableColumns count="23">
    <tableColumn id="1" xr3:uid="{12E772A5-CB3E-4606-9387-B61C2B721F80}" name="Country"/>
    <tableColumn id="2" xr3:uid="{0D4EB764-CE03-488D-8228-DCCB95AB02DE}" name="Year"/>
    <tableColumn id="3" xr3:uid="{B03ECC02-57ED-4A90-9107-B2DD39ADE373}" name="Status"/>
    <tableColumn id="4" xr3:uid="{40FBB692-8645-4669-9596-4D77B2CAC66F}" name="Life expectancy"/>
    <tableColumn id="5" xr3:uid="{AA5B6F02-4D94-4C21-BF6D-3CD9577B9466}" name="Adult Mortality"/>
    <tableColumn id="6" xr3:uid="{A2B66557-7C9C-42ED-9E63-1CD7EB2F2BB6}" name="infant deaths"/>
    <tableColumn id="7" xr3:uid="{E4E0C9B1-BF0E-4CC2-8598-1FFD0866E5A0}" name="Alcohol"/>
    <tableColumn id="8" xr3:uid="{945050AA-B8D9-46E8-986D-D2410273ABCB}" name="percentage expenditure"/>
    <tableColumn id="9" xr3:uid="{574C96EA-928C-4898-8072-AF3C553757E5}" name="Hepatitis B"/>
    <tableColumn id="10" xr3:uid="{E5FDED39-CE0B-430E-891E-B80E58725B20}" name="Measles"/>
    <tableColumn id="11" xr3:uid="{69B2066C-9A8E-483A-B7FE-60AC02E201EC}" name="BMI"/>
    <tableColumn id="12" xr3:uid="{9B8D4881-C2A2-4D15-BBF0-82020C952360}" name="under-five deaths"/>
    <tableColumn id="13" xr3:uid="{60004C74-413D-4241-A655-8545274A6607}" name="Polio"/>
    <tableColumn id="14" xr3:uid="{A14AB3FC-CC61-4E67-B6CB-52ED17EF7E6E}" name="Total expenditure"/>
    <tableColumn id="15" xr3:uid="{74072B85-45EC-4B6A-988F-E81FC95C14B4}" name="Diphtheria"/>
    <tableColumn id="16" xr3:uid="{CFFE6AE6-A4FE-4305-9CD3-0B7C2A2E62A2}" name="HIV/AIDS"/>
    <tableColumn id="17" xr3:uid="{27FC80B6-7A61-4AB0-BD6E-A33D6E6268AB}" name="GDP"/>
    <tableColumn id="18" xr3:uid="{4588B44B-24E0-403C-8377-3D38982C40E0}" name="Population"/>
    <tableColumn id="19" xr3:uid="{F4C97BB0-42F8-48F5-BA54-63B39E3354A8}" name="thinness 1-19 years"/>
    <tableColumn id="20" xr3:uid="{F10BBBD0-C6C5-4DB4-856C-697CDA48E564}" name="thinness 5-9 years"/>
    <tableColumn id="21" xr3:uid="{BCE2FC86-44BD-4322-A332-6C4DA0C278B1}" name="Income composition of resources"/>
    <tableColumn id="22" xr3:uid="{CA6719C4-8FD9-4317-8283-FC003D005D84}" name="Schooling"/>
    <tableColumn id="23" xr3:uid="{DEC075EE-A683-4806-A8FB-5AC8F67BEC02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976DD4E-20DC-434F-9789-3C7313AE5AC8}" name="MLR_Scalar_Test" displayName="MLR_Scalar_Test" ref="A1:AK9" totalsRowShown="0" headerRowDxfId="24">
  <autoFilter ref="A1:AK9" xr:uid="{A976DD4E-20DC-434F-9789-3C7313AE5AC8}"/>
  <tableColumns count="37">
    <tableColumn id="1" xr3:uid="{9E14ACC6-C2DB-407B-AE55-200704207A4F}" name="X_Variables" dataDxfId="23">
      <calculatedColumnFormula>_xlfn.TEXTJOIN(", ",TRUE,OFFSET(y,-1,1,1,MLR_Scalar_Test[[#This Row],[ind_vars]]))</calculatedColumnFormula>
    </tableColumn>
    <tableColumn id="2" xr3:uid="{76695F2E-9744-4C38-8C66-F4387ED4192F}" name="ind_vars"/>
    <tableColumn id="3" xr3:uid="{59AB4761-6B23-4583-A1A3-6FEEC7193868}" name="Allow_Intercept"/>
    <tableColumn id="4" xr3:uid="{818C03D4-0774-43D2-B0F1-514E75E74130}" name="Smoke Test" dataDxfId="22">
      <calculatedColumnFormula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calculatedColumnFormula>
    </tableColumn>
    <tableColumn id="5" xr3:uid="{C599FCEA-3A6F-45FB-91C3-B3D490BFF3DC}" name="Observations_x000a_(Match)" dataDxfId="21">
      <calculatedColumnFormula>MLR_Scalar_Test[[#This Row],[Observations
(Exp.)]]=MLR_Scalar_Test[[#This Row],[Observations]]</calculatedColumnFormula>
    </tableColumn>
    <tableColumn id="6" xr3:uid="{05081D3E-5AA3-4F7F-95B1-95BC34A50247}" name="DF_Regression_x000a_(Match)" dataDxfId="20">
      <calculatedColumnFormula>MLR_Scalar_Test[[#This Row],[DF_Regression
(Exp.)]]=MLR_Scalar_Test[[#This Row],[DF_Regression]]</calculatedColumnFormula>
    </tableColumn>
    <tableColumn id="7" xr3:uid="{D2B90C6B-C398-4B09-A2AE-BE7ABB557412}" name="DF_Total_x000a_(Match)" dataDxfId="19">
      <calculatedColumnFormula>MLR_Scalar_Test[[#This Row],[DF_Total
(Exp.)]]=MLR_Scalar_Test[[#This Row],[DF_Total]]</calculatedColumnFormula>
    </tableColumn>
    <tableColumn id="8" xr3:uid="{A50224F9-8EFF-4A22-A125-8D94224B4322}" name="R_squared_x000a_(Match)" dataDxfId="18">
      <calculatedColumnFormula>ROUND(MLR_Scalar_Test[[#This Row],[R_squared
(Exp.)]],6)=ROUND(MLR_Scalar_Test[[#This Row],[R_squared]],6)</calculatedColumnFormula>
    </tableColumn>
    <tableColumn id="9" xr3:uid="{F4B98B73-E00F-4DE1-8435-F9737636CF4B}" name="DF_Residual_x000a_(Match)" dataDxfId="17">
      <calculatedColumnFormula>MLR_Scalar_Test[[#This Row],[DF_Residual
(Exp.)]]=MLR_Scalar_Test[[#This Row],[DF_Residual]]</calculatedColumnFormula>
    </tableColumn>
    <tableColumn id="10" xr3:uid="{50936AF9-AF40-4F7D-ADE0-869BE894D8AD}" name="Multiple_R_x000a_(Match)" dataDxfId="16">
      <calculatedColumnFormula>ROUND(MLR_Scalar_Test[[#This Row],[Multiple_R
(Exp.)]],6)=ROUND(MLR_Scalar_Test[[#This Row],[Multiple_R]],6)</calculatedColumnFormula>
    </tableColumn>
    <tableColumn id="11" xr3:uid="{BF571E14-9A39-4E9B-B0CC-77AB47608080}" name="Adjusted_R2_x000a_(Match)" dataDxfId="15">
      <calculatedColumnFormula>ROUND(MLR_Scalar_Test[[#This Row],[Adjusted_R2
(Exp.)]],6)=ROUND(MLR_Scalar_Test[[#This Row],[Adjusted_R2]],6)</calculatedColumnFormula>
    </tableColumn>
    <tableColumn id="12" xr3:uid="{2762F075-DC67-4D4F-B9AE-04E7C9FCD3F2}" name="SS_Total_x000a_(Match)" dataDxfId="14">
      <calculatedColumnFormula>ROUND(MLR_Scalar_Test[[#This Row],[SS_Total
(Exp.)]],4)=ROUND(MLR_Scalar_Test[[#This Row],[SS_Total]],4)</calculatedColumnFormula>
    </tableColumn>
    <tableColumn id="13" xr3:uid="{8D59217D-FC81-4A94-A737-D857093BD2EA}" name="SS_Residual_x000a_(Match)" dataDxfId="13">
      <calculatedColumnFormula>ROUND(MLR_Scalar_Test[[#This Row],[SS_Residual
(Exp.)]],4)=ROUND(MLR_Scalar_Test[[#This Row],[SS_Residual]],4)</calculatedColumnFormula>
    </tableColumn>
    <tableColumn id="14" xr3:uid="{6CF01E97-B18F-47B7-AFC9-283494D174F1}" name="SS_Regression_x000a_(Match)" dataDxfId="12">
      <calculatedColumnFormula>ROUND(MLR_Scalar_Test[[#This Row],[SS_Regression
(Exp.)]],4)=ROUND(MLR_Scalar_Test[[#This Row],[SS_Regression]],4)</calculatedColumnFormula>
    </tableColumn>
    <tableColumn id="15" xr3:uid="{DDC3C82C-8197-4F50-81FC-2B8D278F9B81}" name="SE_Regression_x000a_(Match)" dataDxfId="11">
      <calculatedColumnFormula>ROUND(MLR_Scalar_Test[[#This Row],[SE_Regression
(Exp.)]],6)=ROUND(MLR_Scalar_Test[[#This Row],[SE_Regression]],6)</calculatedColumnFormula>
    </tableColumn>
    <tableColumn id="16" xr3:uid="{C05FF89A-C915-4FDA-A0B2-A26A469B17AC}" name="Observations" dataDxfId="10">
      <calculatedColumnFormula>Observations(y, fil)</calculatedColumnFormula>
    </tableColumn>
    <tableColumn id="17" xr3:uid="{11DECC8B-8E1D-4469-B0EA-06A97F421574}" name="DF_Regression" dataDxfId="9">
      <calculatedColumnFormula>_xlfn.LET(_xlpm.x_s, OFFSET(y,0,1,ROWS(y),MLR_Scalar_Test[[#This Row],[ind_vars]]), DF_Regression(_xlpm.x_s))</calculatedColumnFormula>
    </tableColumn>
    <tableColumn id="18" xr3:uid="{4342F72F-3058-4D94-9FF3-60A5A7856355}" name="DF_Total" dataDxfId="8">
      <calculatedColumnFormula>DF_Total(y, MLR_Scalar_Test[[#This Row],[Allow_Intercept]], fil)</calculatedColumnFormula>
    </tableColumn>
    <tableColumn id="19" xr3:uid="{AE05C35B-CE78-4BF3-ACEC-D327413DAA10}" name="R_squared" dataDxfId="7">
      <calculatedColumnFormula>_xlfn.LET(_xlpm.x_s, OFFSET(y,0,1,ROWS(y),MLR_Scalar_Test[[#This Row],[ind_vars]]), R_squared(_xlpm.x_s, y, MLR_Scalar_Test[[#This Row],[Allow_Intercept]], fil))</calculatedColumnFormula>
    </tableColumn>
    <tableColumn id="20" xr3:uid="{36CD0D77-9497-4420-83CE-27D7E86EE7A2}" name="DF_Residual" dataDxfId="6">
      <calculatedColumnFormula>_xlfn.LET(_xlpm.x_s, OFFSET(y,0,1,ROWS(y),MLR_Scalar_Test[[#This Row],[ind_vars]]), DF_Residual(_xlpm.x_s, y, MLR_Scalar_Test[[#This Row],[Allow_Intercept]], fil))</calculatedColumnFormula>
    </tableColumn>
    <tableColumn id="21" xr3:uid="{14233798-7D69-4874-96C8-2E241AF08717}" name="Multiple_R" dataDxfId="5">
      <calculatedColumnFormula>_xlfn.LET(_xlpm.x_s, OFFSET(y,0,1,ROWS(y),MLR_Scalar_Test[[#This Row],[ind_vars]]), Multiple_R(_xlpm.x_s, y, MLR_Scalar_Test[[#This Row],[Allow_Intercept]], fil))</calculatedColumnFormula>
    </tableColumn>
    <tableColumn id="22" xr3:uid="{29677BAE-A6EA-4B15-920A-DD3C06317D21}" name="Adjusted_R2" dataDxfId="4">
      <calculatedColumnFormula>_xlfn.LET(_xlpm.x_s, OFFSET(y,0,1,ROWS(y),MLR_Scalar_Test[[#This Row],[ind_vars]]), Adjusted_R2(_xlpm.x_s, y, MLR_Scalar_Test[[#This Row],[Allow_Intercept]], fil))</calculatedColumnFormula>
    </tableColumn>
    <tableColumn id="23" xr3:uid="{FAA6A3FB-A9A6-4165-8A90-F32A79F02343}" name="SS_Total" dataDxfId="3">
      <calculatedColumnFormula>SS_Total(y, MLR_Scalar_Test[[#This Row],[Allow_Intercept]], fil)</calculatedColumnFormula>
    </tableColumn>
    <tableColumn id="24" xr3:uid="{793F0897-4C0A-44F4-BA73-D4A411B16D92}" name="SS_Residual" dataDxfId="2">
      <calculatedColumnFormula>_xlfn.LET(_xlpm.x_s, OFFSET(y,0,1,ROWS(y),MLR_Scalar_Test[[#This Row],[ind_vars]]), SS_Residual(_xlpm.x_s, y, MLR_Scalar_Test[[#This Row],[Allow_Intercept]], fil))</calculatedColumnFormula>
    </tableColumn>
    <tableColumn id="25" xr3:uid="{02BD1657-714B-41E1-AA22-203745182674}" name="SS_Regression" dataDxfId="1">
      <calculatedColumnFormula>_xlfn.LET(_xlpm.x_s, OFFSET(y,0,1,ROWS(y),MLR_Scalar_Test[[#This Row],[ind_vars]]), SS_Regression(_xlpm.x_s, y, MLR_Scalar_Test[[#This Row],[Allow_Intercept]], fil))</calculatedColumnFormula>
    </tableColumn>
    <tableColumn id="26" xr3:uid="{87FEC634-FFC8-48E3-ABD2-C1C1ACD5B8E9}" name="SE_Regression" dataDxfId="0">
      <calculatedColumnFormula>_xlfn.LET(_xlpm.x_s, OFFSET(y,0,1,ROWS(y),MLR_Scalar_Test[[#This Row],[ind_vars]]), SE_Regression(_xlpm.x_s, y, MLR_Scalar_Test[[#This Row],[Allow_Intercept]], fil))</calculatedColumnFormula>
    </tableColumn>
    <tableColumn id="27" xr3:uid="{156339A0-D795-4940-A245-685578A6496A}" name="Observations_x000a_(Exp.)"/>
    <tableColumn id="28" xr3:uid="{5DDFF588-DB9E-4B82-8256-7DD94A9ED7AA}" name="DF_Regression_x000a_(Exp.)"/>
    <tableColumn id="29" xr3:uid="{3A56E72E-2F62-43AD-8ABA-A7CBCD1B222E}" name="DF_Total_x000a_(Exp.)"/>
    <tableColumn id="30" xr3:uid="{391870F7-CFAF-4BA3-A3CE-01E1A86EDBFC}" name="R_squared_x000a_(Exp.)"/>
    <tableColumn id="31" xr3:uid="{EBC295DB-B00D-4AFD-8EC2-A74B0F7F0CEC}" name="DF_Residual_x000a_(Exp.)"/>
    <tableColumn id="32" xr3:uid="{45A185FB-5B5E-4EA5-BF6F-026247B6F94D}" name="Multiple_R_x000a_(Exp.)"/>
    <tableColumn id="33" xr3:uid="{CED812E2-8139-40B2-81E1-9D783333B122}" name="Adjusted_R2_x000a_(Exp.)"/>
    <tableColumn id="34" xr3:uid="{D6CD1DC3-CC64-41B1-894E-621C8227A83D}" name="SS_Total_x000a_(Exp.)"/>
    <tableColumn id="35" xr3:uid="{89BA7E28-109D-40DA-B0B3-77816580CB68}" name="SS_Residual_x000a_(Exp.)"/>
    <tableColumn id="36" xr3:uid="{44C14BEC-A786-4507-898A-46EBCE1ABA5E}" name="SS_Regression_x000a_(Exp.)"/>
    <tableColumn id="37" xr3:uid="{CC670938-DB73-4FD8-B511-A5ECBE2862B4}" name="SE_Regression_x000a_(Exp.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F4692-8F48-4BE9-8E5F-2E5399A33BC0}">
  <dimension ref="A1:E27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37</v>
      </c>
      <c r="B9" s="1" t="s">
        <v>38</v>
      </c>
      <c r="C9" s="2" t="s">
        <v>17</v>
      </c>
      <c r="D9" s="2" t="s">
        <v>39</v>
      </c>
      <c r="E9" s="2" t="s">
        <v>40</v>
      </c>
    </row>
    <row r="10" spans="1:5" ht="120" x14ac:dyDescent="0.25">
      <c r="A10" s="2" t="s">
        <v>41</v>
      </c>
      <c r="B10" s="1" t="s">
        <v>42</v>
      </c>
      <c r="C10" s="2" t="s">
        <v>22</v>
      </c>
      <c r="D10" s="2" t="s">
        <v>43</v>
      </c>
      <c r="E10" s="2" t="s">
        <v>44</v>
      </c>
    </row>
    <row r="11" spans="1:5" ht="120" x14ac:dyDescent="0.25">
      <c r="A11" s="2" t="s">
        <v>45</v>
      </c>
      <c r="B11" s="1" t="s">
        <v>46</v>
      </c>
      <c r="C11" s="2" t="s">
        <v>22</v>
      </c>
      <c r="D11" s="2" t="s">
        <v>47</v>
      </c>
      <c r="E11" s="2" t="s">
        <v>48</v>
      </c>
    </row>
    <row r="12" spans="1:5" ht="120" x14ac:dyDescent="0.25">
      <c r="A12" s="2" t="s">
        <v>49</v>
      </c>
      <c r="B12" s="1" t="s">
        <v>50</v>
      </c>
      <c r="C12" s="2" t="s">
        <v>22</v>
      </c>
      <c r="D12" s="2" t="s">
        <v>51</v>
      </c>
      <c r="E12" s="2" t="s">
        <v>52</v>
      </c>
    </row>
    <row r="13" spans="1:5" ht="165" x14ac:dyDescent="0.25">
      <c r="A13" s="2" t="s">
        <v>53</v>
      </c>
      <c r="B13" s="1" t="s">
        <v>54</v>
      </c>
      <c r="C13" s="2" t="s">
        <v>22</v>
      </c>
      <c r="D13" s="2" t="s">
        <v>55</v>
      </c>
      <c r="E13" s="2" t="s">
        <v>56</v>
      </c>
    </row>
    <row r="14" spans="1:5" ht="180" x14ac:dyDescent="0.25">
      <c r="A14" s="2" t="s">
        <v>57</v>
      </c>
      <c r="B14" s="1" t="s">
        <v>58</v>
      </c>
      <c r="C14" s="2" t="s">
        <v>22</v>
      </c>
      <c r="D14" s="2" t="s">
        <v>59</v>
      </c>
      <c r="E14" s="2" t="s">
        <v>60</v>
      </c>
    </row>
    <row r="15" spans="1:5" ht="120" x14ac:dyDescent="0.25">
      <c r="A15" s="2" t="s">
        <v>61</v>
      </c>
      <c r="B15" s="1" t="s">
        <v>62</v>
      </c>
      <c r="C15" s="2" t="s">
        <v>22</v>
      </c>
      <c r="D15" s="2" t="s">
        <v>63</v>
      </c>
      <c r="E15" s="2" t="s">
        <v>64</v>
      </c>
    </row>
    <row r="16" spans="1:5" ht="120" x14ac:dyDescent="0.25">
      <c r="A16" s="2" t="s">
        <v>65</v>
      </c>
      <c r="B16" s="1" t="s">
        <v>66</v>
      </c>
      <c r="C16" s="2" t="s">
        <v>22</v>
      </c>
      <c r="D16" s="2" t="s">
        <v>67</v>
      </c>
      <c r="E16" s="2" t="s">
        <v>68</v>
      </c>
    </row>
    <row r="17" spans="1:5" ht="150" x14ac:dyDescent="0.25">
      <c r="A17" s="2" t="s">
        <v>69</v>
      </c>
      <c r="B17" s="1" t="s">
        <v>335</v>
      </c>
      <c r="C17" s="2" t="s">
        <v>336</v>
      </c>
      <c r="D17" s="2" t="s">
        <v>70</v>
      </c>
      <c r="E17" s="2" t="s">
        <v>337</v>
      </c>
    </row>
    <row r="18" spans="1:5" ht="150" x14ac:dyDescent="0.25">
      <c r="A18" s="2" t="s">
        <v>71</v>
      </c>
      <c r="B18" s="1" t="s">
        <v>338</v>
      </c>
      <c r="C18" s="2" t="s">
        <v>336</v>
      </c>
      <c r="D18" s="2" t="s">
        <v>72</v>
      </c>
      <c r="E18" s="2" t="s">
        <v>339</v>
      </c>
    </row>
    <row r="19" spans="1:5" ht="75" x14ac:dyDescent="0.25">
      <c r="A19" s="2" t="s">
        <v>344</v>
      </c>
      <c r="B19" s="1" t="s">
        <v>345</v>
      </c>
      <c r="C19" s="2" t="s">
        <v>7</v>
      </c>
      <c r="D19" s="2" t="s">
        <v>346</v>
      </c>
      <c r="E19" s="2" t="s">
        <v>347</v>
      </c>
    </row>
    <row r="20" spans="1:5" ht="90" x14ac:dyDescent="0.25">
      <c r="A20" s="2" t="s">
        <v>348</v>
      </c>
      <c r="B20" s="1" t="s">
        <v>349</v>
      </c>
      <c r="C20" s="2" t="s">
        <v>7</v>
      </c>
      <c r="D20" s="2" t="s">
        <v>350</v>
      </c>
      <c r="E20" s="2" t="s">
        <v>351</v>
      </c>
    </row>
    <row r="21" spans="1:5" ht="75" x14ac:dyDescent="0.25">
      <c r="A21" s="2" t="s">
        <v>352</v>
      </c>
      <c r="B21" s="1" t="s">
        <v>353</v>
      </c>
      <c r="C21" s="2" t="s">
        <v>7</v>
      </c>
      <c r="D21" s="2" t="s">
        <v>354</v>
      </c>
      <c r="E21" s="2" t="s">
        <v>355</v>
      </c>
    </row>
    <row r="22" spans="1:5" ht="75" x14ac:dyDescent="0.25">
      <c r="A22" s="2" t="s">
        <v>356</v>
      </c>
      <c r="B22" s="1" t="s">
        <v>357</v>
      </c>
      <c r="C22" s="2" t="s">
        <v>7</v>
      </c>
      <c r="D22" s="2" t="s">
        <v>358</v>
      </c>
      <c r="E22" s="2" t="s">
        <v>359</v>
      </c>
    </row>
    <row r="23" spans="1:5" ht="165" x14ac:dyDescent="0.25">
      <c r="A23" s="2" t="s">
        <v>360</v>
      </c>
      <c r="B23" s="1" t="s">
        <v>361</v>
      </c>
      <c r="C23" s="2" t="s">
        <v>362</v>
      </c>
      <c r="D23" s="2" t="s">
        <v>363</v>
      </c>
      <c r="E23" s="2" t="s">
        <v>364</v>
      </c>
    </row>
    <row r="24" spans="1:5" ht="135" x14ac:dyDescent="0.25">
      <c r="A24" s="2" t="s">
        <v>365</v>
      </c>
      <c r="B24" s="1" t="s">
        <v>366</v>
      </c>
      <c r="C24" s="2" t="s">
        <v>22</v>
      </c>
      <c r="D24" s="2" t="s">
        <v>367</v>
      </c>
      <c r="E24" s="2" t="s">
        <v>368</v>
      </c>
    </row>
    <row r="25" spans="1:5" ht="120" x14ac:dyDescent="0.25">
      <c r="A25" s="2" t="s">
        <v>369</v>
      </c>
      <c r="B25" s="1" t="s">
        <v>370</v>
      </c>
      <c r="C25" s="2" t="s">
        <v>22</v>
      </c>
      <c r="D25" s="2" t="s">
        <v>371</v>
      </c>
      <c r="E25" s="2" t="s">
        <v>372</v>
      </c>
    </row>
    <row r="26" spans="1:5" ht="120" x14ac:dyDescent="0.25">
      <c r="A26" s="2" t="s">
        <v>373</v>
      </c>
      <c r="B26" s="1" t="s">
        <v>374</v>
      </c>
      <c r="C26" s="2" t="s">
        <v>22</v>
      </c>
      <c r="D26" s="2" t="s">
        <v>375</v>
      </c>
      <c r="E26" s="2" t="s">
        <v>376</v>
      </c>
    </row>
    <row r="27" spans="1:5" ht="120" x14ac:dyDescent="0.25">
      <c r="A27" s="2" t="s">
        <v>377</v>
      </c>
      <c r="B27" s="1" t="s">
        <v>378</v>
      </c>
      <c r="C27" s="2" t="s">
        <v>22</v>
      </c>
      <c r="D27" s="2" t="s">
        <v>379</v>
      </c>
      <c r="E27" s="2" t="s">
        <v>380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435A-8B56-4F28-A863-8ECA59BC9D4B}">
  <dimension ref="A1:W2939"/>
  <sheetViews>
    <sheetView topLeftCell="G1" workbookViewId="0">
      <pane ySplit="1" topLeftCell="A2" activePane="bottomLeft" state="frozenSplit"/>
      <selection activeCell="G1" sqref="G1"/>
      <selection pane="bottomLeft" activeCell="W1" sqref="W1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  <c r="M1" t="s">
        <v>85</v>
      </c>
      <c r="N1" t="s">
        <v>86</v>
      </c>
      <c r="O1" t="s">
        <v>87</v>
      </c>
      <c r="P1" t="s">
        <v>88</v>
      </c>
      <c r="Q1" t="s">
        <v>89</v>
      </c>
      <c r="R1" t="s">
        <v>90</v>
      </c>
      <c r="S1" t="s">
        <v>91</v>
      </c>
      <c r="T1" t="s">
        <v>92</v>
      </c>
      <c r="U1" t="s">
        <v>93</v>
      </c>
      <c r="V1" t="s">
        <v>94</v>
      </c>
      <c r="W1" t="s">
        <v>95</v>
      </c>
    </row>
    <row r="2" spans="1:23" x14ac:dyDescent="0.25">
      <c r="A2" t="s">
        <v>96</v>
      </c>
      <c r="B2">
        <v>2015</v>
      </c>
      <c r="C2" t="s">
        <v>97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96</v>
      </c>
      <c r="B3">
        <v>2014</v>
      </c>
      <c r="C3" t="s">
        <v>97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96</v>
      </c>
      <c r="B4">
        <v>2013</v>
      </c>
      <c r="C4" t="s">
        <v>97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96</v>
      </c>
      <c r="B5">
        <v>2012</v>
      </c>
      <c r="C5" t="s">
        <v>97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96</v>
      </c>
      <c r="B6">
        <v>2011</v>
      </c>
      <c r="C6" t="s">
        <v>97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96</v>
      </c>
      <c r="B7">
        <v>2010</v>
      </c>
      <c r="C7" t="s">
        <v>97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96</v>
      </c>
      <c r="B8">
        <v>2009</v>
      </c>
      <c r="C8" t="s">
        <v>97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96</v>
      </c>
      <c r="B9">
        <v>2008</v>
      </c>
      <c r="C9" t="s">
        <v>97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96</v>
      </c>
      <c r="B10">
        <v>2007</v>
      </c>
      <c r="C10" t="s">
        <v>97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96</v>
      </c>
      <c r="B11">
        <v>2006</v>
      </c>
      <c r="C11" t="s">
        <v>97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96</v>
      </c>
      <c r="B12">
        <v>2005</v>
      </c>
      <c r="C12" t="s">
        <v>97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96</v>
      </c>
      <c r="B13">
        <v>2004</v>
      </c>
      <c r="C13" t="s">
        <v>97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96</v>
      </c>
      <c r="B14">
        <v>2003</v>
      </c>
      <c r="C14" t="s">
        <v>97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96</v>
      </c>
      <c r="B15">
        <v>2002</v>
      </c>
      <c r="C15" t="s">
        <v>97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96</v>
      </c>
      <c r="B16">
        <v>2001</v>
      </c>
      <c r="C16" t="s">
        <v>97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96</v>
      </c>
      <c r="B17">
        <v>2000</v>
      </c>
      <c r="C17" t="s">
        <v>97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98</v>
      </c>
      <c r="B18">
        <v>2015</v>
      </c>
      <c r="C18" t="s">
        <v>97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98</v>
      </c>
      <c r="B19">
        <v>2014</v>
      </c>
      <c r="C19" t="s">
        <v>97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98</v>
      </c>
      <c r="B20">
        <v>2013</v>
      </c>
      <c r="C20" t="s">
        <v>97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98</v>
      </c>
      <c r="B21">
        <v>2012</v>
      </c>
      <c r="C21" t="s">
        <v>97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98</v>
      </c>
      <c r="B22">
        <v>2011</v>
      </c>
      <c r="C22" t="s">
        <v>97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98</v>
      </c>
      <c r="B23">
        <v>2010</v>
      </c>
      <c r="C23" t="s">
        <v>97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98</v>
      </c>
      <c r="B24">
        <v>2009</v>
      </c>
      <c r="C24" t="s">
        <v>97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98</v>
      </c>
      <c r="B25">
        <v>2008</v>
      </c>
      <c r="C25" t="s">
        <v>97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98</v>
      </c>
      <c r="B26">
        <v>2007</v>
      </c>
      <c r="C26" t="s">
        <v>97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98</v>
      </c>
      <c r="B27">
        <v>2006</v>
      </c>
      <c r="C27" t="s">
        <v>97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98</v>
      </c>
      <c r="B28">
        <v>2005</v>
      </c>
      <c r="C28" t="s">
        <v>97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98</v>
      </c>
      <c r="B29">
        <v>2004</v>
      </c>
      <c r="C29" t="s">
        <v>97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98</v>
      </c>
      <c r="B30">
        <v>2003</v>
      </c>
      <c r="C30" t="s">
        <v>97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98</v>
      </c>
      <c r="B31">
        <v>2002</v>
      </c>
      <c r="C31" t="s">
        <v>97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98</v>
      </c>
      <c r="B32">
        <v>2001</v>
      </c>
      <c r="C32" t="s">
        <v>97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98</v>
      </c>
      <c r="B33">
        <v>2000</v>
      </c>
      <c r="C33" t="s">
        <v>97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99</v>
      </c>
      <c r="B34">
        <v>2015</v>
      </c>
      <c r="C34" t="s">
        <v>97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99</v>
      </c>
      <c r="B35">
        <v>2014</v>
      </c>
      <c r="C35" t="s">
        <v>97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99</v>
      </c>
      <c r="B36">
        <v>2013</v>
      </c>
      <c r="C36" t="s">
        <v>97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99</v>
      </c>
      <c r="B37">
        <v>2012</v>
      </c>
      <c r="C37" t="s">
        <v>97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99</v>
      </c>
      <c r="B38">
        <v>2011</v>
      </c>
      <c r="C38" t="s">
        <v>97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99</v>
      </c>
      <c r="B39">
        <v>2010</v>
      </c>
      <c r="C39" t="s">
        <v>97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99</v>
      </c>
      <c r="B40">
        <v>2009</v>
      </c>
      <c r="C40" t="s">
        <v>97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99</v>
      </c>
      <c r="B41">
        <v>2008</v>
      </c>
      <c r="C41" t="s">
        <v>97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99</v>
      </c>
      <c r="B42">
        <v>2007</v>
      </c>
      <c r="C42" t="s">
        <v>97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99</v>
      </c>
      <c r="B43">
        <v>2006</v>
      </c>
      <c r="C43" t="s">
        <v>97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99</v>
      </c>
      <c r="B44">
        <v>2005</v>
      </c>
      <c r="C44" t="s">
        <v>97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99</v>
      </c>
      <c r="B45">
        <v>2004</v>
      </c>
      <c r="C45" t="s">
        <v>97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99</v>
      </c>
      <c r="B46">
        <v>2003</v>
      </c>
      <c r="C46" t="s">
        <v>97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99</v>
      </c>
      <c r="B47">
        <v>2002</v>
      </c>
      <c r="C47" t="s">
        <v>97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99</v>
      </c>
      <c r="B48">
        <v>2001</v>
      </c>
      <c r="C48" t="s">
        <v>97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99</v>
      </c>
      <c r="B49">
        <v>2000</v>
      </c>
      <c r="C49" t="s">
        <v>97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100</v>
      </c>
      <c r="B50">
        <v>2015</v>
      </c>
      <c r="C50" t="s">
        <v>97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100</v>
      </c>
      <c r="B51">
        <v>2014</v>
      </c>
      <c r="C51" t="s">
        <v>97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100</v>
      </c>
      <c r="B52">
        <v>2013</v>
      </c>
      <c r="C52" t="s">
        <v>97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100</v>
      </c>
      <c r="B53">
        <v>2012</v>
      </c>
      <c r="C53" t="s">
        <v>97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100</v>
      </c>
      <c r="B54">
        <v>2011</v>
      </c>
      <c r="C54" t="s">
        <v>97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100</v>
      </c>
      <c r="B55">
        <v>2010</v>
      </c>
      <c r="C55" t="s">
        <v>97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100</v>
      </c>
      <c r="B56">
        <v>2009</v>
      </c>
      <c r="C56" t="s">
        <v>97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100</v>
      </c>
      <c r="B57">
        <v>2008</v>
      </c>
      <c r="C57" t="s">
        <v>97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100</v>
      </c>
      <c r="B58">
        <v>2007</v>
      </c>
      <c r="C58" t="s">
        <v>97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100</v>
      </c>
      <c r="B59">
        <v>2006</v>
      </c>
      <c r="C59" t="s">
        <v>97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100</v>
      </c>
      <c r="B60">
        <v>2005</v>
      </c>
      <c r="C60" t="s">
        <v>97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100</v>
      </c>
      <c r="B61">
        <v>2004</v>
      </c>
      <c r="C61" t="s">
        <v>97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100</v>
      </c>
      <c r="B62">
        <v>2003</v>
      </c>
      <c r="C62" t="s">
        <v>97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100</v>
      </c>
      <c r="B63">
        <v>2002</v>
      </c>
      <c r="C63" t="s">
        <v>97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100</v>
      </c>
      <c r="B64">
        <v>2001</v>
      </c>
      <c r="C64" t="s">
        <v>97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100</v>
      </c>
      <c r="B65">
        <v>2000</v>
      </c>
      <c r="C65" t="s">
        <v>97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101</v>
      </c>
      <c r="B66">
        <v>2015</v>
      </c>
      <c r="C66" t="s">
        <v>97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101</v>
      </c>
      <c r="B67">
        <v>2014</v>
      </c>
      <c r="C67" t="s">
        <v>97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101</v>
      </c>
      <c r="B68">
        <v>2013</v>
      </c>
      <c r="C68" t="s">
        <v>97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101</v>
      </c>
      <c r="B69">
        <v>2012</v>
      </c>
      <c r="C69" t="s">
        <v>97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101</v>
      </c>
      <c r="B70">
        <v>2011</v>
      </c>
      <c r="C70" t="s">
        <v>97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101</v>
      </c>
      <c r="B71">
        <v>2010</v>
      </c>
      <c r="C71" t="s">
        <v>97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101</v>
      </c>
      <c r="B72">
        <v>2009</v>
      </c>
      <c r="C72" t="s">
        <v>97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101</v>
      </c>
      <c r="B73">
        <v>2008</v>
      </c>
      <c r="C73" t="s">
        <v>97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101</v>
      </c>
      <c r="B74">
        <v>2007</v>
      </c>
      <c r="C74" t="s">
        <v>97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101</v>
      </c>
      <c r="B75">
        <v>2006</v>
      </c>
      <c r="C75" t="s">
        <v>97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101</v>
      </c>
      <c r="B76">
        <v>2005</v>
      </c>
      <c r="C76" t="s">
        <v>97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101</v>
      </c>
      <c r="B77">
        <v>2004</v>
      </c>
      <c r="C77" t="s">
        <v>97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101</v>
      </c>
      <c r="B78">
        <v>2003</v>
      </c>
      <c r="C78" t="s">
        <v>97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101</v>
      </c>
      <c r="B79">
        <v>2002</v>
      </c>
      <c r="C79" t="s">
        <v>97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101</v>
      </c>
      <c r="B80">
        <v>2001</v>
      </c>
      <c r="C80" t="s">
        <v>97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101</v>
      </c>
      <c r="B81">
        <v>2000</v>
      </c>
      <c r="C81" t="s">
        <v>97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102</v>
      </c>
      <c r="B82">
        <v>2015</v>
      </c>
      <c r="C82" t="s">
        <v>97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102</v>
      </c>
      <c r="B83">
        <v>2014</v>
      </c>
      <c r="C83" t="s">
        <v>97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102</v>
      </c>
      <c r="B84">
        <v>2013</v>
      </c>
      <c r="C84" t="s">
        <v>97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102</v>
      </c>
      <c r="B85">
        <v>2012</v>
      </c>
      <c r="C85" t="s">
        <v>97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102</v>
      </c>
      <c r="B86">
        <v>2011</v>
      </c>
      <c r="C86" t="s">
        <v>97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102</v>
      </c>
      <c r="B87">
        <v>2010</v>
      </c>
      <c r="C87" t="s">
        <v>97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102</v>
      </c>
      <c r="B88">
        <v>2009</v>
      </c>
      <c r="C88" t="s">
        <v>97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102</v>
      </c>
      <c r="B89">
        <v>2008</v>
      </c>
      <c r="C89" t="s">
        <v>97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102</v>
      </c>
      <c r="B90">
        <v>2007</v>
      </c>
      <c r="C90" t="s">
        <v>97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102</v>
      </c>
      <c r="B91">
        <v>2006</v>
      </c>
      <c r="C91" t="s">
        <v>97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102</v>
      </c>
      <c r="B92">
        <v>2005</v>
      </c>
      <c r="C92" t="s">
        <v>97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102</v>
      </c>
      <c r="B93">
        <v>2004</v>
      </c>
      <c r="C93" t="s">
        <v>97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102</v>
      </c>
      <c r="B94">
        <v>2003</v>
      </c>
      <c r="C94" t="s">
        <v>97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102</v>
      </c>
      <c r="B95">
        <v>2002</v>
      </c>
      <c r="C95" t="s">
        <v>97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102</v>
      </c>
      <c r="B96">
        <v>2001</v>
      </c>
      <c r="C96" t="s">
        <v>97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102</v>
      </c>
      <c r="B97">
        <v>2000</v>
      </c>
      <c r="C97" t="s">
        <v>97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103</v>
      </c>
      <c r="B98">
        <v>2015</v>
      </c>
      <c r="C98" t="s">
        <v>97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103</v>
      </c>
      <c r="B99">
        <v>2014</v>
      </c>
      <c r="C99" t="s">
        <v>97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103</v>
      </c>
      <c r="B100">
        <v>2013</v>
      </c>
      <c r="C100" t="s">
        <v>97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103</v>
      </c>
      <c r="B101">
        <v>2012</v>
      </c>
      <c r="C101" t="s">
        <v>97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103</v>
      </c>
      <c r="B102">
        <v>2011</v>
      </c>
      <c r="C102" t="s">
        <v>97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103</v>
      </c>
      <c r="B103">
        <v>2010</v>
      </c>
      <c r="C103" t="s">
        <v>97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103</v>
      </c>
      <c r="B104">
        <v>2009</v>
      </c>
      <c r="C104" t="s">
        <v>97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103</v>
      </c>
      <c r="B105">
        <v>2008</v>
      </c>
      <c r="C105" t="s">
        <v>97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103</v>
      </c>
      <c r="B106">
        <v>2007</v>
      </c>
      <c r="C106" t="s">
        <v>97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103</v>
      </c>
      <c r="B107">
        <v>2006</v>
      </c>
      <c r="C107" t="s">
        <v>97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103</v>
      </c>
      <c r="B108">
        <v>2005</v>
      </c>
      <c r="C108" t="s">
        <v>97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103</v>
      </c>
      <c r="B109">
        <v>2004</v>
      </c>
      <c r="C109" t="s">
        <v>97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103</v>
      </c>
      <c r="B110">
        <v>2003</v>
      </c>
      <c r="C110" t="s">
        <v>97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103</v>
      </c>
      <c r="B111">
        <v>2002</v>
      </c>
      <c r="C111" t="s">
        <v>97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103</v>
      </c>
      <c r="B112">
        <v>2001</v>
      </c>
      <c r="C112" t="s">
        <v>97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103</v>
      </c>
      <c r="B113">
        <v>2000</v>
      </c>
      <c r="C113" t="s">
        <v>97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104</v>
      </c>
      <c r="B114">
        <v>2015</v>
      </c>
      <c r="C114" t="s">
        <v>105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104</v>
      </c>
      <c r="B115">
        <v>2014</v>
      </c>
      <c r="C115" t="s">
        <v>105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104</v>
      </c>
      <c r="B116">
        <v>2013</v>
      </c>
      <c r="C116" t="s">
        <v>105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104</v>
      </c>
      <c r="B117">
        <v>2012</v>
      </c>
      <c r="C117" t="s">
        <v>105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104</v>
      </c>
      <c r="B118">
        <v>2011</v>
      </c>
      <c r="C118" t="s">
        <v>105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104</v>
      </c>
      <c r="B119">
        <v>2010</v>
      </c>
      <c r="C119" t="s">
        <v>105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104</v>
      </c>
      <c r="B120">
        <v>2009</v>
      </c>
      <c r="C120" t="s">
        <v>105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104</v>
      </c>
      <c r="B121">
        <v>2008</v>
      </c>
      <c r="C121" t="s">
        <v>105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104</v>
      </c>
      <c r="B122">
        <v>2007</v>
      </c>
      <c r="C122" t="s">
        <v>105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104</v>
      </c>
      <c r="B123">
        <v>2006</v>
      </c>
      <c r="C123" t="s">
        <v>105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104</v>
      </c>
      <c r="B124">
        <v>2005</v>
      </c>
      <c r="C124" t="s">
        <v>105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104</v>
      </c>
      <c r="B125">
        <v>2004</v>
      </c>
      <c r="C125" t="s">
        <v>105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104</v>
      </c>
      <c r="B126">
        <v>2003</v>
      </c>
      <c r="C126" t="s">
        <v>105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104</v>
      </c>
      <c r="B127">
        <v>2002</v>
      </c>
      <c r="C127" t="s">
        <v>105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104</v>
      </c>
      <c r="B128">
        <v>2001</v>
      </c>
      <c r="C128" t="s">
        <v>105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104</v>
      </c>
      <c r="B129">
        <v>2000</v>
      </c>
      <c r="C129" t="s">
        <v>105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106</v>
      </c>
      <c r="B130">
        <v>2015</v>
      </c>
      <c r="C130" t="s">
        <v>105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106</v>
      </c>
      <c r="B131">
        <v>2014</v>
      </c>
      <c r="C131" t="s">
        <v>105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106</v>
      </c>
      <c r="B132">
        <v>2013</v>
      </c>
      <c r="C132" t="s">
        <v>105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106</v>
      </c>
      <c r="B133">
        <v>2012</v>
      </c>
      <c r="C133" t="s">
        <v>105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106</v>
      </c>
      <c r="B134">
        <v>2011</v>
      </c>
      <c r="C134" t="s">
        <v>105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106</v>
      </c>
      <c r="B135">
        <v>2010</v>
      </c>
      <c r="C135" t="s">
        <v>105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106</v>
      </c>
      <c r="B136">
        <v>2009</v>
      </c>
      <c r="C136" t="s">
        <v>105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106</v>
      </c>
      <c r="B137">
        <v>2008</v>
      </c>
      <c r="C137" t="s">
        <v>105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106</v>
      </c>
      <c r="B138">
        <v>2007</v>
      </c>
      <c r="C138" t="s">
        <v>105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106</v>
      </c>
      <c r="B139">
        <v>2006</v>
      </c>
      <c r="C139" t="s">
        <v>105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106</v>
      </c>
      <c r="B140">
        <v>2005</v>
      </c>
      <c r="C140" t="s">
        <v>105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106</v>
      </c>
      <c r="B141">
        <v>2004</v>
      </c>
      <c r="C141" t="s">
        <v>105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106</v>
      </c>
      <c r="B142">
        <v>2003</v>
      </c>
      <c r="C142" t="s">
        <v>105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106</v>
      </c>
      <c r="B143">
        <v>2002</v>
      </c>
      <c r="C143" t="s">
        <v>105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106</v>
      </c>
      <c r="B144">
        <v>2001</v>
      </c>
      <c r="C144" t="s">
        <v>105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106</v>
      </c>
      <c r="B145">
        <v>2000</v>
      </c>
      <c r="C145" t="s">
        <v>105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107</v>
      </c>
      <c r="B146">
        <v>2015</v>
      </c>
      <c r="C146" t="s">
        <v>97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107</v>
      </c>
      <c r="B147">
        <v>2014</v>
      </c>
      <c r="C147" t="s">
        <v>97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107</v>
      </c>
      <c r="B148">
        <v>2013</v>
      </c>
      <c r="C148" t="s">
        <v>97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107</v>
      </c>
      <c r="B149">
        <v>2012</v>
      </c>
      <c r="C149" t="s">
        <v>97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107</v>
      </c>
      <c r="B150">
        <v>2011</v>
      </c>
      <c r="C150" t="s">
        <v>97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107</v>
      </c>
      <c r="B151">
        <v>2010</v>
      </c>
      <c r="C151" t="s">
        <v>97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107</v>
      </c>
      <c r="B152">
        <v>2009</v>
      </c>
      <c r="C152" t="s">
        <v>97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107</v>
      </c>
      <c r="B153">
        <v>2008</v>
      </c>
      <c r="C153" t="s">
        <v>97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107</v>
      </c>
      <c r="B154">
        <v>2007</v>
      </c>
      <c r="C154" t="s">
        <v>97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107</v>
      </c>
      <c r="B155">
        <v>2006</v>
      </c>
      <c r="C155" t="s">
        <v>97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107</v>
      </c>
      <c r="B156">
        <v>2005</v>
      </c>
      <c r="C156" t="s">
        <v>97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107</v>
      </c>
      <c r="B157">
        <v>2004</v>
      </c>
      <c r="C157" t="s">
        <v>97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107</v>
      </c>
      <c r="B158">
        <v>2003</v>
      </c>
      <c r="C158" t="s">
        <v>97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107</v>
      </c>
      <c r="B159">
        <v>2002</v>
      </c>
      <c r="C159" t="s">
        <v>97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107</v>
      </c>
      <c r="B160">
        <v>2001</v>
      </c>
      <c r="C160" t="s">
        <v>97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107</v>
      </c>
      <c r="B161">
        <v>2000</v>
      </c>
      <c r="C161" t="s">
        <v>97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108</v>
      </c>
      <c r="B162">
        <v>2015</v>
      </c>
      <c r="C162" t="s">
        <v>97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108</v>
      </c>
      <c r="B163">
        <v>2014</v>
      </c>
      <c r="C163" t="s">
        <v>97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108</v>
      </c>
      <c r="B164">
        <v>2013</v>
      </c>
      <c r="C164" t="s">
        <v>97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108</v>
      </c>
      <c r="B165">
        <v>2012</v>
      </c>
      <c r="C165" t="s">
        <v>97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108</v>
      </c>
      <c r="B166">
        <v>2011</v>
      </c>
      <c r="C166" t="s">
        <v>97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108</v>
      </c>
      <c r="B167">
        <v>2010</v>
      </c>
      <c r="C167" t="s">
        <v>97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108</v>
      </c>
      <c r="B168">
        <v>2009</v>
      </c>
      <c r="C168" t="s">
        <v>97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108</v>
      </c>
      <c r="B169">
        <v>2008</v>
      </c>
      <c r="C169" t="s">
        <v>97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108</v>
      </c>
      <c r="B170">
        <v>2007</v>
      </c>
      <c r="C170" t="s">
        <v>97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108</v>
      </c>
      <c r="B171">
        <v>2006</v>
      </c>
      <c r="C171" t="s">
        <v>97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108</v>
      </c>
      <c r="B172">
        <v>2005</v>
      </c>
      <c r="C172" t="s">
        <v>97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108</v>
      </c>
      <c r="B173">
        <v>2004</v>
      </c>
      <c r="C173" t="s">
        <v>97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108</v>
      </c>
      <c r="B174">
        <v>2003</v>
      </c>
      <c r="C174" t="s">
        <v>97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108</v>
      </c>
      <c r="B175">
        <v>2002</v>
      </c>
      <c r="C175" t="s">
        <v>97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108</v>
      </c>
      <c r="B176">
        <v>2001</v>
      </c>
      <c r="C176" t="s">
        <v>97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108</v>
      </c>
      <c r="B177">
        <v>2000</v>
      </c>
      <c r="C177" t="s">
        <v>97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109</v>
      </c>
      <c r="B178">
        <v>2015</v>
      </c>
      <c r="C178" t="s">
        <v>97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109</v>
      </c>
      <c r="B179">
        <v>2014</v>
      </c>
      <c r="C179" t="s">
        <v>97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109</v>
      </c>
      <c r="B180">
        <v>2013</v>
      </c>
      <c r="C180" t="s">
        <v>97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109</v>
      </c>
      <c r="B181">
        <v>2012</v>
      </c>
      <c r="C181" t="s">
        <v>97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109</v>
      </c>
      <c r="B182">
        <v>2011</v>
      </c>
      <c r="C182" t="s">
        <v>97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109</v>
      </c>
      <c r="B183">
        <v>2010</v>
      </c>
      <c r="C183" t="s">
        <v>97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109</v>
      </c>
      <c r="B184">
        <v>2009</v>
      </c>
      <c r="C184" t="s">
        <v>97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109</v>
      </c>
      <c r="B185">
        <v>2008</v>
      </c>
      <c r="C185" t="s">
        <v>97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109</v>
      </c>
      <c r="B186">
        <v>2007</v>
      </c>
      <c r="C186" t="s">
        <v>97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109</v>
      </c>
      <c r="B187">
        <v>2006</v>
      </c>
      <c r="C187" t="s">
        <v>97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109</v>
      </c>
      <c r="B188">
        <v>2005</v>
      </c>
      <c r="C188" t="s">
        <v>97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109</v>
      </c>
      <c r="B189">
        <v>2004</v>
      </c>
      <c r="C189" t="s">
        <v>97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109</v>
      </c>
      <c r="B190">
        <v>2003</v>
      </c>
      <c r="C190" t="s">
        <v>97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109</v>
      </c>
      <c r="B191">
        <v>2002</v>
      </c>
      <c r="C191" t="s">
        <v>97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109</v>
      </c>
      <c r="B192">
        <v>2001</v>
      </c>
      <c r="C192" t="s">
        <v>97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109</v>
      </c>
      <c r="B193">
        <v>2000</v>
      </c>
      <c r="C193" t="s">
        <v>97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110</v>
      </c>
      <c r="B194">
        <v>2015</v>
      </c>
      <c r="C194" t="s">
        <v>97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110</v>
      </c>
      <c r="B195">
        <v>2014</v>
      </c>
      <c r="C195" t="s">
        <v>97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110</v>
      </c>
      <c r="B196">
        <v>2013</v>
      </c>
      <c r="C196" t="s">
        <v>97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110</v>
      </c>
      <c r="B197">
        <v>2012</v>
      </c>
      <c r="C197" t="s">
        <v>97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110</v>
      </c>
      <c r="B198">
        <v>2011</v>
      </c>
      <c r="C198" t="s">
        <v>97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110</v>
      </c>
      <c r="B199">
        <v>2010</v>
      </c>
      <c r="C199" t="s">
        <v>97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110</v>
      </c>
      <c r="B200">
        <v>2009</v>
      </c>
      <c r="C200" t="s">
        <v>97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110</v>
      </c>
      <c r="B201">
        <v>2008</v>
      </c>
      <c r="C201" t="s">
        <v>97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110</v>
      </c>
      <c r="B202">
        <v>2007</v>
      </c>
      <c r="C202" t="s">
        <v>97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110</v>
      </c>
      <c r="B203">
        <v>2006</v>
      </c>
      <c r="C203" t="s">
        <v>97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110</v>
      </c>
      <c r="B204">
        <v>2005</v>
      </c>
      <c r="C204" t="s">
        <v>97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110</v>
      </c>
      <c r="B205">
        <v>2004</v>
      </c>
      <c r="C205" t="s">
        <v>97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110</v>
      </c>
      <c r="B206">
        <v>2003</v>
      </c>
      <c r="C206" t="s">
        <v>97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110</v>
      </c>
      <c r="B207">
        <v>2002</v>
      </c>
      <c r="C207" t="s">
        <v>97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110</v>
      </c>
      <c r="B208">
        <v>2001</v>
      </c>
      <c r="C208" t="s">
        <v>97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110</v>
      </c>
      <c r="B209">
        <v>2000</v>
      </c>
      <c r="C209" t="s">
        <v>97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111</v>
      </c>
      <c r="B210">
        <v>2015</v>
      </c>
      <c r="C210" t="s">
        <v>97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111</v>
      </c>
      <c r="B211">
        <v>2014</v>
      </c>
      <c r="C211" t="s">
        <v>97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111</v>
      </c>
      <c r="B212">
        <v>2013</v>
      </c>
      <c r="C212" t="s">
        <v>97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111</v>
      </c>
      <c r="B213">
        <v>2012</v>
      </c>
      <c r="C213" t="s">
        <v>97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111</v>
      </c>
      <c r="B214">
        <v>2011</v>
      </c>
      <c r="C214" t="s">
        <v>97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111</v>
      </c>
      <c r="B215">
        <v>2010</v>
      </c>
      <c r="C215" t="s">
        <v>97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111</v>
      </c>
      <c r="B216">
        <v>2009</v>
      </c>
      <c r="C216" t="s">
        <v>97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111</v>
      </c>
      <c r="B217">
        <v>2008</v>
      </c>
      <c r="C217" t="s">
        <v>97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111</v>
      </c>
      <c r="B218">
        <v>2007</v>
      </c>
      <c r="C218" t="s">
        <v>97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111</v>
      </c>
      <c r="B219">
        <v>2006</v>
      </c>
      <c r="C219" t="s">
        <v>97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111</v>
      </c>
      <c r="B220">
        <v>2005</v>
      </c>
      <c r="C220" t="s">
        <v>97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111</v>
      </c>
      <c r="B221">
        <v>2004</v>
      </c>
      <c r="C221" t="s">
        <v>97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111</v>
      </c>
      <c r="B222">
        <v>2003</v>
      </c>
      <c r="C222" t="s">
        <v>97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111</v>
      </c>
      <c r="B223">
        <v>2002</v>
      </c>
      <c r="C223" t="s">
        <v>97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111</v>
      </c>
      <c r="B224">
        <v>2001</v>
      </c>
      <c r="C224" t="s">
        <v>97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111</v>
      </c>
      <c r="B225">
        <v>2000</v>
      </c>
      <c r="C225" t="s">
        <v>97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112</v>
      </c>
      <c r="B226">
        <v>2015</v>
      </c>
      <c r="C226" t="s">
        <v>97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112</v>
      </c>
      <c r="B227">
        <v>2014</v>
      </c>
      <c r="C227" t="s">
        <v>97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112</v>
      </c>
      <c r="B228">
        <v>2013</v>
      </c>
      <c r="C228" t="s">
        <v>97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112</v>
      </c>
      <c r="B229">
        <v>2012</v>
      </c>
      <c r="C229" t="s">
        <v>97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112</v>
      </c>
      <c r="B230">
        <v>2011</v>
      </c>
      <c r="C230" t="s">
        <v>97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112</v>
      </c>
      <c r="B231">
        <v>2010</v>
      </c>
      <c r="C231" t="s">
        <v>97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112</v>
      </c>
      <c r="B232">
        <v>2009</v>
      </c>
      <c r="C232" t="s">
        <v>97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112</v>
      </c>
      <c r="B233">
        <v>2008</v>
      </c>
      <c r="C233" t="s">
        <v>97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112</v>
      </c>
      <c r="B234">
        <v>2007</v>
      </c>
      <c r="C234" t="s">
        <v>97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112</v>
      </c>
      <c r="B235">
        <v>2006</v>
      </c>
      <c r="C235" t="s">
        <v>97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112</v>
      </c>
      <c r="B236">
        <v>2005</v>
      </c>
      <c r="C236" t="s">
        <v>97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112</v>
      </c>
      <c r="B237">
        <v>2004</v>
      </c>
      <c r="C237" t="s">
        <v>97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112</v>
      </c>
      <c r="B238">
        <v>2003</v>
      </c>
      <c r="C238" t="s">
        <v>97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112</v>
      </c>
      <c r="B239">
        <v>2002</v>
      </c>
      <c r="C239" t="s">
        <v>97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112</v>
      </c>
      <c r="B240">
        <v>2001</v>
      </c>
      <c r="C240" t="s">
        <v>97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112</v>
      </c>
      <c r="B241">
        <v>2000</v>
      </c>
      <c r="C241" t="s">
        <v>97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113</v>
      </c>
      <c r="B242">
        <v>2015</v>
      </c>
      <c r="C242" t="s">
        <v>105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113</v>
      </c>
      <c r="B243">
        <v>2014</v>
      </c>
      <c r="C243" t="s">
        <v>105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113</v>
      </c>
      <c r="B244">
        <v>2013</v>
      </c>
      <c r="C244" t="s">
        <v>105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113</v>
      </c>
      <c r="B245">
        <v>2012</v>
      </c>
      <c r="C245" t="s">
        <v>105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113</v>
      </c>
      <c r="B246">
        <v>2011</v>
      </c>
      <c r="C246" t="s">
        <v>105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113</v>
      </c>
      <c r="B247">
        <v>2010</v>
      </c>
      <c r="C247" t="s">
        <v>105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113</v>
      </c>
      <c r="B248">
        <v>2009</v>
      </c>
      <c r="C248" t="s">
        <v>105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113</v>
      </c>
      <c r="B249">
        <v>2008</v>
      </c>
      <c r="C249" t="s">
        <v>105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113</v>
      </c>
      <c r="B250">
        <v>2007</v>
      </c>
      <c r="C250" t="s">
        <v>105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113</v>
      </c>
      <c r="B251">
        <v>2006</v>
      </c>
      <c r="C251" t="s">
        <v>105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113</v>
      </c>
      <c r="B252">
        <v>2005</v>
      </c>
      <c r="C252" t="s">
        <v>105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113</v>
      </c>
      <c r="B253">
        <v>2004</v>
      </c>
      <c r="C253" t="s">
        <v>105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113</v>
      </c>
      <c r="B254">
        <v>2003</v>
      </c>
      <c r="C254" t="s">
        <v>105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113</v>
      </c>
      <c r="B255">
        <v>2002</v>
      </c>
      <c r="C255" t="s">
        <v>105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113</v>
      </c>
      <c r="B256">
        <v>2001</v>
      </c>
      <c r="C256" t="s">
        <v>105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113</v>
      </c>
      <c r="B257">
        <v>2000</v>
      </c>
      <c r="C257" t="s">
        <v>105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114</v>
      </c>
      <c r="B258">
        <v>2015</v>
      </c>
      <c r="C258" t="s">
        <v>97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114</v>
      </c>
      <c r="B259">
        <v>2014</v>
      </c>
      <c r="C259" t="s">
        <v>97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114</v>
      </c>
      <c r="B260">
        <v>2013</v>
      </c>
      <c r="C260" t="s">
        <v>97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114</v>
      </c>
      <c r="B261">
        <v>2012</v>
      </c>
      <c r="C261" t="s">
        <v>97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114</v>
      </c>
      <c r="B262">
        <v>2011</v>
      </c>
      <c r="C262" t="s">
        <v>97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114</v>
      </c>
      <c r="B263">
        <v>2010</v>
      </c>
      <c r="C263" t="s">
        <v>97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114</v>
      </c>
      <c r="B264">
        <v>2009</v>
      </c>
      <c r="C264" t="s">
        <v>97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114</v>
      </c>
      <c r="B265">
        <v>2008</v>
      </c>
      <c r="C265" t="s">
        <v>97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114</v>
      </c>
      <c r="B266">
        <v>2007</v>
      </c>
      <c r="C266" t="s">
        <v>97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114</v>
      </c>
      <c r="B267">
        <v>2006</v>
      </c>
      <c r="C267" t="s">
        <v>97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114</v>
      </c>
      <c r="B268">
        <v>2005</v>
      </c>
      <c r="C268" t="s">
        <v>97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114</v>
      </c>
      <c r="B269">
        <v>2004</v>
      </c>
      <c r="C269" t="s">
        <v>97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114</v>
      </c>
      <c r="B270">
        <v>2003</v>
      </c>
      <c r="C270" t="s">
        <v>97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114</v>
      </c>
      <c r="B271">
        <v>2002</v>
      </c>
      <c r="C271" t="s">
        <v>97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114</v>
      </c>
      <c r="B272">
        <v>2001</v>
      </c>
      <c r="C272" t="s">
        <v>97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114</v>
      </c>
      <c r="B273">
        <v>2000</v>
      </c>
      <c r="C273" t="s">
        <v>97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115</v>
      </c>
      <c r="B274">
        <v>2015</v>
      </c>
      <c r="C274" t="s">
        <v>97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115</v>
      </c>
      <c r="B275">
        <v>2014</v>
      </c>
      <c r="C275" t="s">
        <v>97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115</v>
      </c>
      <c r="B276">
        <v>2013</v>
      </c>
      <c r="C276" t="s">
        <v>97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115</v>
      </c>
      <c r="B277">
        <v>2012</v>
      </c>
      <c r="C277" t="s">
        <v>97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115</v>
      </c>
      <c r="B278">
        <v>2011</v>
      </c>
      <c r="C278" t="s">
        <v>97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115</v>
      </c>
      <c r="B279">
        <v>2010</v>
      </c>
      <c r="C279" t="s">
        <v>97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115</v>
      </c>
      <c r="B280">
        <v>2009</v>
      </c>
      <c r="C280" t="s">
        <v>97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115</v>
      </c>
      <c r="B281">
        <v>2008</v>
      </c>
      <c r="C281" t="s">
        <v>97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115</v>
      </c>
      <c r="B282">
        <v>2007</v>
      </c>
      <c r="C282" t="s">
        <v>97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115</v>
      </c>
      <c r="B283">
        <v>2006</v>
      </c>
      <c r="C283" t="s">
        <v>97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115</v>
      </c>
      <c r="B284">
        <v>2005</v>
      </c>
      <c r="C284" t="s">
        <v>97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115</v>
      </c>
      <c r="B285">
        <v>2004</v>
      </c>
      <c r="C285" t="s">
        <v>97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115</v>
      </c>
      <c r="B286">
        <v>2003</v>
      </c>
      <c r="C286" t="s">
        <v>97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115</v>
      </c>
      <c r="B287">
        <v>2002</v>
      </c>
      <c r="C287" t="s">
        <v>97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115</v>
      </c>
      <c r="B288">
        <v>2001</v>
      </c>
      <c r="C288" t="s">
        <v>97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115</v>
      </c>
      <c r="B289">
        <v>2000</v>
      </c>
      <c r="C289" t="s">
        <v>97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116</v>
      </c>
      <c r="B290">
        <v>2015</v>
      </c>
      <c r="C290" t="s">
        <v>97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116</v>
      </c>
      <c r="B291">
        <v>2014</v>
      </c>
      <c r="C291" t="s">
        <v>97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116</v>
      </c>
      <c r="B292">
        <v>2013</v>
      </c>
      <c r="C292" t="s">
        <v>97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116</v>
      </c>
      <c r="B293">
        <v>2012</v>
      </c>
      <c r="C293" t="s">
        <v>97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116</v>
      </c>
      <c r="B294">
        <v>2011</v>
      </c>
      <c r="C294" t="s">
        <v>97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116</v>
      </c>
      <c r="B295">
        <v>2010</v>
      </c>
      <c r="C295" t="s">
        <v>97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116</v>
      </c>
      <c r="B296">
        <v>2009</v>
      </c>
      <c r="C296" t="s">
        <v>97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116</v>
      </c>
      <c r="B297">
        <v>2008</v>
      </c>
      <c r="C297" t="s">
        <v>97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116</v>
      </c>
      <c r="B298">
        <v>2007</v>
      </c>
      <c r="C298" t="s">
        <v>97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116</v>
      </c>
      <c r="B299">
        <v>2006</v>
      </c>
      <c r="C299" t="s">
        <v>97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116</v>
      </c>
      <c r="B300">
        <v>2005</v>
      </c>
      <c r="C300" t="s">
        <v>97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116</v>
      </c>
      <c r="B301">
        <v>2004</v>
      </c>
      <c r="C301" t="s">
        <v>97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116</v>
      </c>
      <c r="B302">
        <v>2003</v>
      </c>
      <c r="C302" t="s">
        <v>97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116</v>
      </c>
      <c r="B303">
        <v>2002</v>
      </c>
      <c r="C303" t="s">
        <v>97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116</v>
      </c>
      <c r="B304">
        <v>2001</v>
      </c>
      <c r="C304" t="s">
        <v>97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116</v>
      </c>
      <c r="B305">
        <v>2000</v>
      </c>
      <c r="C305" t="s">
        <v>97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117</v>
      </c>
      <c r="B306">
        <v>2015</v>
      </c>
      <c r="C306" t="s">
        <v>97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117</v>
      </c>
      <c r="B307">
        <v>2014</v>
      </c>
      <c r="C307" t="s">
        <v>97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117</v>
      </c>
      <c r="B308">
        <v>2013</v>
      </c>
      <c r="C308" t="s">
        <v>97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117</v>
      </c>
      <c r="B309">
        <v>2012</v>
      </c>
      <c r="C309" t="s">
        <v>97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117</v>
      </c>
      <c r="B310">
        <v>2011</v>
      </c>
      <c r="C310" t="s">
        <v>97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117</v>
      </c>
      <c r="B311">
        <v>2010</v>
      </c>
      <c r="C311" t="s">
        <v>97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117</v>
      </c>
      <c r="B312">
        <v>2009</v>
      </c>
      <c r="C312" t="s">
        <v>97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117</v>
      </c>
      <c r="B313">
        <v>2008</v>
      </c>
      <c r="C313" t="s">
        <v>97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117</v>
      </c>
      <c r="B314">
        <v>2007</v>
      </c>
      <c r="C314" t="s">
        <v>97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117</v>
      </c>
      <c r="B315">
        <v>2006</v>
      </c>
      <c r="C315" t="s">
        <v>97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117</v>
      </c>
      <c r="B316">
        <v>2005</v>
      </c>
      <c r="C316" t="s">
        <v>97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117</v>
      </c>
      <c r="B317">
        <v>2004</v>
      </c>
      <c r="C317" t="s">
        <v>97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117</v>
      </c>
      <c r="B318">
        <v>2003</v>
      </c>
      <c r="C318" t="s">
        <v>97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117</v>
      </c>
      <c r="B319">
        <v>2002</v>
      </c>
      <c r="C319" t="s">
        <v>97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117</v>
      </c>
      <c r="B320">
        <v>2001</v>
      </c>
      <c r="C320" t="s">
        <v>97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117</v>
      </c>
      <c r="B321">
        <v>2000</v>
      </c>
      <c r="C321" t="s">
        <v>97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118</v>
      </c>
      <c r="B322">
        <v>2015</v>
      </c>
      <c r="C322" t="s">
        <v>97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118</v>
      </c>
      <c r="B323">
        <v>2014</v>
      </c>
      <c r="C323" t="s">
        <v>97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118</v>
      </c>
      <c r="B324">
        <v>2013</v>
      </c>
      <c r="C324" t="s">
        <v>97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118</v>
      </c>
      <c r="B325">
        <v>2012</v>
      </c>
      <c r="C325" t="s">
        <v>97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118</v>
      </c>
      <c r="B326">
        <v>2011</v>
      </c>
      <c r="C326" t="s">
        <v>97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118</v>
      </c>
      <c r="B327">
        <v>2010</v>
      </c>
      <c r="C327" t="s">
        <v>97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118</v>
      </c>
      <c r="B328">
        <v>2009</v>
      </c>
      <c r="C328" t="s">
        <v>97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118</v>
      </c>
      <c r="B329">
        <v>2008</v>
      </c>
      <c r="C329" t="s">
        <v>97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118</v>
      </c>
      <c r="B330">
        <v>2007</v>
      </c>
      <c r="C330" t="s">
        <v>97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118</v>
      </c>
      <c r="B331">
        <v>2006</v>
      </c>
      <c r="C331" t="s">
        <v>97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118</v>
      </c>
      <c r="B332">
        <v>2005</v>
      </c>
      <c r="C332" t="s">
        <v>97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118</v>
      </c>
      <c r="B333">
        <v>2004</v>
      </c>
      <c r="C333" t="s">
        <v>97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118</v>
      </c>
      <c r="B334">
        <v>2003</v>
      </c>
      <c r="C334" t="s">
        <v>97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118</v>
      </c>
      <c r="B335">
        <v>2002</v>
      </c>
      <c r="C335" t="s">
        <v>97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118</v>
      </c>
      <c r="B336">
        <v>2001</v>
      </c>
      <c r="C336" t="s">
        <v>97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118</v>
      </c>
      <c r="B337">
        <v>2000</v>
      </c>
      <c r="C337" t="s">
        <v>97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119</v>
      </c>
      <c r="B338">
        <v>2015</v>
      </c>
      <c r="C338" t="s">
        <v>97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119</v>
      </c>
      <c r="B339">
        <v>2014</v>
      </c>
      <c r="C339" t="s">
        <v>97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119</v>
      </c>
      <c r="B340">
        <v>2013</v>
      </c>
      <c r="C340" t="s">
        <v>97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119</v>
      </c>
      <c r="B341">
        <v>2012</v>
      </c>
      <c r="C341" t="s">
        <v>97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119</v>
      </c>
      <c r="B342">
        <v>2011</v>
      </c>
      <c r="C342" t="s">
        <v>97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119</v>
      </c>
      <c r="B343">
        <v>2010</v>
      </c>
      <c r="C343" t="s">
        <v>97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119</v>
      </c>
      <c r="B344">
        <v>2009</v>
      </c>
      <c r="C344" t="s">
        <v>97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119</v>
      </c>
      <c r="B345">
        <v>2008</v>
      </c>
      <c r="C345" t="s">
        <v>97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119</v>
      </c>
      <c r="B346">
        <v>2007</v>
      </c>
      <c r="C346" t="s">
        <v>97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119</v>
      </c>
      <c r="B347">
        <v>2006</v>
      </c>
      <c r="C347" t="s">
        <v>97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119</v>
      </c>
      <c r="B348">
        <v>2005</v>
      </c>
      <c r="C348" t="s">
        <v>97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119</v>
      </c>
      <c r="B349">
        <v>2004</v>
      </c>
      <c r="C349" t="s">
        <v>97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119</v>
      </c>
      <c r="B350">
        <v>2003</v>
      </c>
      <c r="C350" t="s">
        <v>97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119</v>
      </c>
      <c r="B351">
        <v>2002</v>
      </c>
      <c r="C351" t="s">
        <v>97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119</v>
      </c>
      <c r="B352">
        <v>2001</v>
      </c>
      <c r="C352" t="s">
        <v>97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119</v>
      </c>
      <c r="B353">
        <v>2000</v>
      </c>
      <c r="C353" t="s">
        <v>97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120</v>
      </c>
      <c r="B354">
        <v>2015</v>
      </c>
      <c r="C354" t="s">
        <v>97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120</v>
      </c>
      <c r="B355">
        <v>2014</v>
      </c>
      <c r="C355" t="s">
        <v>97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120</v>
      </c>
      <c r="B356">
        <v>2013</v>
      </c>
      <c r="C356" t="s">
        <v>97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120</v>
      </c>
      <c r="B357">
        <v>2012</v>
      </c>
      <c r="C357" t="s">
        <v>97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120</v>
      </c>
      <c r="B358">
        <v>2011</v>
      </c>
      <c r="C358" t="s">
        <v>97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120</v>
      </c>
      <c r="B359">
        <v>2010</v>
      </c>
      <c r="C359" t="s">
        <v>97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120</v>
      </c>
      <c r="B360">
        <v>2009</v>
      </c>
      <c r="C360" t="s">
        <v>97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120</v>
      </c>
      <c r="B361">
        <v>2008</v>
      </c>
      <c r="C361" t="s">
        <v>97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120</v>
      </c>
      <c r="B362">
        <v>2007</v>
      </c>
      <c r="C362" t="s">
        <v>97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120</v>
      </c>
      <c r="B363">
        <v>2006</v>
      </c>
      <c r="C363" t="s">
        <v>97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120</v>
      </c>
      <c r="B364">
        <v>2005</v>
      </c>
      <c r="C364" t="s">
        <v>97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120</v>
      </c>
      <c r="B365">
        <v>2004</v>
      </c>
      <c r="C365" t="s">
        <v>97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120</v>
      </c>
      <c r="B366">
        <v>2003</v>
      </c>
      <c r="C366" t="s">
        <v>97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120</v>
      </c>
      <c r="B367">
        <v>2002</v>
      </c>
      <c r="C367" t="s">
        <v>97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120</v>
      </c>
      <c r="B368">
        <v>2001</v>
      </c>
      <c r="C368" t="s">
        <v>97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120</v>
      </c>
      <c r="B369">
        <v>2000</v>
      </c>
      <c r="C369" t="s">
        <v>97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121</v>
      </c>
      <c r="B370">
        <v>2015</v>
      </c>
      <c r="C370" t="s">
        <v>97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121</v>
      </c>
      <c r="B371">
        <v>2014</v>
      </c>
      <c r="C371" t="s">
        <v>97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121</v>
      </c>
      <c r="B372">
        <v>2013</v>
      </c>
      <c r="C372" t="s">
        <v>97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121</v>
      </c>
      <c r="B373">
        <v>2012</v>
      </c>
      <c r="C373" t="s">
        <v>97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121</v>
      </c>
      <c r="B374">
        <v>2011</v>
      </c>
      <c r="C374" t="s">
        <v>97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121</v>
      </c>
      <c r="B375">
        <v>2010</v>
      </c>
      <c r="C375" t="s">
        <v>97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121</v>
      </c>
      <c r="B376">
        <v>2009</v>
      </c>
      <c r="C376" t="s">
        <v>97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121</v>
      </c>
      <c r="B377">
        <v>2008</v>
      </c>
      <c r="C377" t="s">
        <v>97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121</v>
      </c>
      <c r="B378">
        <v>2007</v>
      </c>
      <c r="C378" t="s">
        <v>97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121</v>
      </c>
      <c r="B379">
        <v>2006</v>
      </c>
      <c r="C379" t="s">
        <v>97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121</v>
      </c>
      <c r="B380">
        <v>2005</v>
      </c>
      <c r="C380" t="s">
        <v>97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121</v>
      </c>
      <c r="B381">
        <v>2004</v>
      </c>
      <c r="C381" t="s">
        <v>97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121</v>
      </c>
      <c r="B382">
        <v>2003</v>
      </c>
      <c r="C382" t="s">
        <v>97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121</v>
      </c>
      <c r="B383">
        <v>2002</v>
      </c>
      <c r="C383" t="s">
        <v>97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121</v>
      </c>
      <c r="B384">
        <v>2001</v>
      </c>
      <c r="C384" t="s">
        <v>97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121</v>
      </c>
      <c r="B385">
        <v>2000</v>
      </c>
      <c r="C385" t="s">
        <v>97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122</v>
      </c>
      <c r="B386">
        <v>2015</v>
      </c>
      <c r="C386" t="s">
        <v>105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122</v>
      </c>
      <c r="B387">
        <v>2014</v>
      </c>
      <c r="C387" t="s">
        <v>105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122</v>
      </c>
      <c r="B388">
        <v>2013</v>
      </c>
      <c r="C388" t="s">
        <v>105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122</v>
      </c>
      <c r="B389">
        <v>2012</v>
      </c>
      <c r="C389" t="s">
        <v>105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122</v>
      </c>
      <c r="B390">
        <v>2011</v>
      </c>
      <c r="C390" t="s">
        <v>105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122</v>
      </c>
      <c r="B391">
        <v>2010</v>
      </c>
      <c r="C391" t="s">
        <v>105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122</v>
      </c>
      <c r="B392">
        <v>2009</v>
      </c>
      <c r="C392" t="s">
        <v>105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122</v>
      </c>
      <c r="B393">
        <v>2008</v>
      </c>
      <c r="C393" t="s">
        <v>105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122</v>
      </c>
      <c r="B394">
        <v>2007</v>
      </c>
      <c r="C394" t="s">
        <v>105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122</v>
      </c>
      <c r="B395">
        <v>2006</v>
      </c>
      <c r="C395" t="s">
        <v>105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122</v>
      </c>
      <c r="B396">
        <v>2005</v>
      </c>
      <c r="C396" t="s">
        <v>105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122</v>
      </c>
      <c r="B397">
        <v>2004</v>
      </c>
      <c r="C397" t="s">
        <v>105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122</v>
      </c>
      <c r="B398">
        <v>2003</v>
      </c>
      <c r="C398" t="s">
        <v>105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122</v>
      </c>
      <c r="B399">
        <v>2002</v>
      </c>
      <c r="C399" t="s">
        <v>105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122</v>
      </c>
      <c r="B400">
        <v>2001</v>
      </c>
      <c r="C400" t="s">
        <v>105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122</v>
      </c>
      <c r="B401">
        <v>2000</v>
      </c>
      <c r="C401" t="s">
        <v>105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123</v>
      </c>
      <c r="B402">
        <v>2015</v>
      </c>
      <c r="C402" t="s">
        <v>97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123</v>
      </c>
      <c r="B403">
        <v>2014</v>
      </c>
      <c r="C403" t="s">
        <v>97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123</v>
      </c>
      <c r="B404">
        <v>2013</v>
      </c>
      <c r="C404" t="s">
        <v>97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123</v>
      </c>
      <c r="B405">
        <v>2012</v>
      </c>
      <c r="C405" t="s">
        <v>97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123</v>
      </c>
      <c r="B406">
        <v>2011</v>
      </c>
      <c r="C406" t="s">
        <v>97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123</v>
      </c>
      <c r="B407">
        <v>2010</v>
      </c>
      <c r="C407" t="s">
        <v>97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123</v>
      </c>
      <c r="B408">
        <v>2009</v>
      </c>
      <c r="C408" t="s">
        <v>97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123</v>
      </c>
      <c r="B409">
        <v>2008</v>
      </c>
      <c r="C409" t="s">
        <v>97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123</v>
      </c>
      <c r="B410">
        <v>2007</v>
      </c>
      <c r="C410" t="s">
        <v>97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123</v>
      </c>
      <c r="B411">
        <v>2006</v>
      </c>
      <c r="C411" t="s">
        <v>97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123</v>
      </c>
      <c r="B412">
        <v>2005</v>
      </c>
      <c r="C412" t="s">
        <v>97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123</v>
      </c>
      <c r="B413">
        <v>2004</v>
      </c>
      <c r="C413" t="s">
        <v>97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123</v>
      </c>
      <c r="B414">
        <v>2003</v>
      </c>
      <c r="C414" t="s">
        <v>97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123</v>
      </c>
      <c r="B415">
        <v>2002</v>
      </c>
      <c r="C415" t="s">
        <v>97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123</v>
      </c>
      <c r="B416">
        <v>2001</v>
      </c>
      <c r="C416" t="s">
        <v>97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123</v>
      </c>
      <c r="B417">
        <v>2000</v>
      </c>
      <c r="C417" t="s">
        <v>97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124</v>
      </c>
      <c r="B418">
        <v>2015</v>
      </c>
      <c r="C418" t="s">
        <v>97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124</v>
      </c>
      <c r="B419">
        <v>2014</v>
      </c>
      <c r="C419" t="s">
        <v>97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124</v>
      </c>
      <c r="B420">
        <v>2013</v>
      </c>
      <c r="C420" t="s">
        <v>97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124</v>
      </c>
      <c r="B421">
        <v>2012</v>
      </c>
      <c r="C421" t="s">
        <v>97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124</v>
      </c>
      <c r="B422">
        <v>2011</v>
      </c>
      <c r="C422" t="s">
        <v>97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124</v>
      </c>
      <c r="B423">
        <v>2010</v>
      </c>
      <c r="C423" t="s">
        <v>97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124</v>
      </c>
      <c r="B424">
        <v>2009</v>
      </c>
      <c r="C424" t="s">
        <v>97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124</v>
      </c>
      <c r="B425">
        <v>2008</v>
      </c>
      <c r="C425" t="s">
        <v>97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124</v>
      </c>
      <c r="B426">
        <v>2007</v>
      </c>
      <c r="C426" t="s">
        <v>97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124</v>
      </c>
      <c r="B427">
        <v>2006</v>
      </c>
      <c r="C427" t="s">
        <v>97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124</v>
      </c>
      <c r="B428">
        <v>2005</v>
      </c>
      <c r="C428" t="s">
        <v>97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124</v>
      </c>
      <c r="B429">
        <v>2004</v>
      </c>
      <c r="C429" t="s">
        <v>97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124</v>
      </c>
      <c r="B430">
        <v>2003</v>
      </c>
      <c r="C430" t="s">
        <v>97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124</v>
      </c>
      <c r="B431">
        <v>2002</v>
      </c>
      <c r="C431" t="s">
        <v>97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124</v>
      </c>
      <c r="B432">
        <v>2001</v>
      </c>
      <c r="C432" t="s">
        <v>97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124</v>
      </c>
      <c r="B433">
        <v>2000</v>
      </c>
      <c r="C433" t="s">
        <v>97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125</v>
      </c>
      <c r="B434">
        <v>2015</v>
      </c>
      <c r="C434" t="s">
        <v>97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125</v>
      </c>
      <c r="B435">
        <v>2014</v>
      </c>
      <c r="C435" t="s">
        <v>97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125</v>
      </c>
      <c r="B436">
        <v>2013</v>
      </c>
      <c r="C436" t="s">
        <v>97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125</v>
      </c>
      <c r="B437">
        <v>2012</v>
      </c>
      <c r="C437" t="s">
        <v>97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125</v>
      </c>
      <c r="B438">
        <v>2011</v>
      </c>
      <c r="C438" t="s">
        <v>97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125</v>
      </c>
      <c r="B439">
        <v>2010</v>
      </c>
      <c r="C439" t="s">
        <v>97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125</v>
      </c>
      <c r="B440">
        <v>2009</v>
      </c>
      <c r="C440" t="s">
        <v>97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125</v>
      </c>
      <c r="B441">
        <v>2008</v>
      </c>
      <c r="C441" t="s">
        <v>97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125</v>
      </c>
      <c r="B442">
        <v>2007</v>
      </c>
      <c r="C442" t="s">
        <v>97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125</v>
      </c>
      <c r="B443">
        <v>2006</v>
      </c>
      <c r="C443" t="s">
        <v>97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125</v>
      </c>
      <c r="B444">
        <v>2005</v>
      </c>
      <c r="C444" t="s">
        <v>97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125</v>
      </c>
      <c r="B445">
        <v>2004</v>
      </c>
      <c r="C445" t="s">
        <v>97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125</v>
      </c>
      <c r="B446">
        <v>2003</v>
      </c>
      <c r="C446" t="s">
        <v>97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125</v>
      </c>
      <c r="B447">
        <v>2002</v>
      </c>
      <c r="C447" t="s">
        <v>97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125</v>
      </c>
      <c r="B448">
        <v>2001</v>
      </c>
      <c r="C448" t="s">
        <v>97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125</v>
      </c>
      <c r="B449">
        <v>2000</v>
      </c>
      <c r="C449" t="s">
        <v>97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126</v>
      </c>
      <c r="B450">
        <v>2015</v>
      </c>
      <c r="C450" t="s">
        <v>97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126</v>
      </c>
      <c r="B451">
        <v>2014</v>
      </c>
      <c r="C451" t="s">
        <v>97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126</v>
      </c>
      <c r="B452">
        <v>2013</v>
      </c>
      <c r="C452" t="s">
        <v>97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126</v>
      </c>
      <c r="B453">
        <v>2012</v>
      </c>
      <c r="C453" t="s">
        <v>97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126</v>
      </c>
      <c r="B454">
        <v>2011</v>
      </c>
      <c r="C454" t="s">
        <v>97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126</v>
      </c>
      <c r="B455">
        <v>2010</v>
      </c>
      <c r="C455" t="s">
        <v>97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126</v>
      </c>
      <c r="B456">
        <v>2009</v>
      </c>
      <c r="C456" t="s">
        <v>97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126</v>
      </c>
      <c r="B457">
        <v>2008</v>
      </c>
      <c r="C457" t="s">
        <v>97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126</v>
      </c>
      <c r="B458">
        <v>2007</v>
      </c>
      <c r="C458" t="s">
        <v>97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126</v>
      </c>
      <c r="B459">
        <v>2006</v>
      </c>
      <c r="C459" t="s">
        <v>97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126</v>
      </c>
      <c r="B460">
        <v>2005</v>
      </c>
      <c r="C460" t="s">
        <v>97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126</v>
      </c>
      <c r="B461">
        <v>2004</v>
      </c>
      <c r="C461" t="s">
        <v>97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126</v>
      </c>
      <c r="B462">
        <v>2003</v>
      </c>
      <c r="C462" t="s">
        <v>97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126</v>
      </c>
      <c r="B463">
        <v>2002</v>
      </c>
      <c r="C463" t="s">
        <v>97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126</v>
      </c>
      <c r="B464">
        <v>2001</v>
      </c>
      <c r="C464" t="s">
        <v>97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126</v>
      </c>
      <c r="B465">
        <v>2000</v>
      </c>
      <c r="C465" t="s">
        <v>97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127</v>
      </c>
      <c r="B466">
        <v>2015</v>
      </c>
      <c r="C466" t="s">
        <v>97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127</v>
      </c>
      <c r="B467">
        <v>2014</v>
      </c>
      <c r="C467" t="s">
        <v>97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127</v>
      </c>
      <c r="B468">
        <v>2013</v>
      </c>
      <c r="C468" t="s">
        <v>97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127</v>
      </c>
      <c r="B469">
        <v>2012</v>
      </c>
      <c r="C469" t="s">
        <v>97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127</v>
      </c>
      <c r="B470">
        <v>2011</v>
      </c>
      <c r="C470" t="s">
        <v>97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127</v>
      </c>
      <c r="B471">
        <v>2010</v>
      </c>
      <c r="C471" t="s">
        <v>97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127</v>
      </c>
      <c r="B472">
        <v>2009</v>
      </c>
      <c r="C472" t="s">
        <v>97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127</v>
      </c>
      <c r="B473">
        <v>2008</v>
      </c>
      <c r="C473" t="s">
        <v>97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127</v>
      </c>
      <c r="B474">
        <v>2007</v>
      </c>
      <c r="C474" t="s">
        <v>97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127</v>
      </c>
      <c r="B475">
        <v>2006</v>
      </c>
      <c r="C475" t="s">
        <v>97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127</v>
      </c>
      <c r="B476">
        <v>2005</v>
      </c>
      <c r="C476" t="s">
        <v>97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127</v>
      </c>
      <c r="B477">
        <v>2004</v>
      </c>
      <c r="C477" t="s">
        <v>97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127</v>
      </c>
      <c r="B478">
        <v>2003</v>
      </c>
      <c r="C478" t="s">
        <v>97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127</v>
      </c>
      <c r="B479">
        <v>2002</v>
      </c>
      <c r="C479" t="s">
        <v>97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127</v>
      </c>
      <c r="B480">
        <v>2001</v>
      </c>
      <c r="C480" t="s">
        <v>97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127</v>
      </c>
      <c r="B481">
        <v>2000</v>
      </c>
      <c r="C481" t="s">
        <v>97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128</v>
      </c>
      <c r="B482">
        <v>2015</v>
      </c>
      <c r="C482" t="s">
        <v>97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128</v>
      </c>
      <c r="B483">
        <v>2014</v>
      </c>
      <c r="C483" t="s">
        <v>97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128</v>
      </c>
      <c r="B484">
        <v>2013</v>
      </c>
      <c r="C484" t="s">
        <v>97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128</v>
      </c>
      <c r="B485">
        <v>2012</v>
      </c>
      <c r="C485" t="s">
        <v>97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128</v>
      </c>
      <c r="B486">
        <v>2011</v>
      </c>
      <c r="C486" t="s">
        <v>97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128</v>
      </c>
      <c r="B487">
        <v>2010</v>
      </c>
      <c r="C487" t="s">
        <v>97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128</v>
      </c>
      <c r="B488">
        <v>2009</v>
      </c>
      <c r="C488" t="s">
        <v>97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128</v>
      </c>
      <c r="B489">
        <v>2008</v>
      </c>
      <c r="C489" t="s">
        <v>97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128</v>
      </c>
      <c r="B490">
        <v>2007</v>
      </c>
      <c r="C490" t="s">
        <v>97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128</v>
      </c>
      <c r="B491">
        <v>2006</v>
      </c>
      <c r="C491" t="s">
        <v>97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128</v>
      </c>
      <c r="B492">
        <v>2005</v>
      </c>
      <c r="C492" t="s">
        <v>97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128</v>
      </c>
      <c r="B493">
        <v>2004</v>
      </c>
      <c r="C493" t="s">
        <v>97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128</v>
      </c>
      <c r="B494">
        <v>2003</v>
      </c>
      <c r="C494" t="s">
        <v>97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128</v>
      </c>
      <c r="B495">
        <v>2002</v>
      </c>
      <c r="C495" t="s">
        <v>97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128</v>
      </c>
      <c r="B496">
        <v>2001</v>
      </c>
      <c r="C496" t="s">
        <v>97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128</v>
      </c>
      <c r="B497">
        <v>2000</v>
      </c>
      <c r="C497" t="s">
        <v>97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129</v>
      </c>
      <c r="B498">
        <v>2015</v>
      </c>
      <c r="C498" t="s">
        <v>97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129</v>
      </c>
      <c r="B499">
        <v>2014</v>
      </c>
      <c r="C499" t="s">
        <v>97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129</v>
      </c>
      <c r="B500">
        <v>2013</v>
      </c>
      <c r="C500" t="s">
        <v>97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129</v>
      </c>
      <c r="B501">
        <v>2012</v>
      </c>
      <c r="C501" t="s">
        <v>97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129</v>
      </c>
      <c r="B502">
        <v>2011</v>
      </c>
      <c r="C502" t="s">
        <v>97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129</v>
      </c>
      <c r="B503">
        <v>2010</v>
      </c>
      <c r="C503" t="s">
        <v>97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129</v>
      </c>
      <c r="B504">
        <v>2009</v>
      </c>
      <c r="C504" t="s">
        <v>97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129</v>
      </c>
      <c r="B505">
        <v>2008</v>
      </c>
      <c r="C505" t="s">
        <v>97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129</v>
      </c>
      <c r="B506">
        <v>2007</v>
      </c>
      <c r="C506" t="s">
        <v>97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129</v>
      </c>
      <c r="B507">
        <v>2006</v>
      </c>
      <c r="C507" t="s">
        <v>97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129</v>
      </c>
      <c r="B508">
        <v>2005</v>
      </c>
      <c r="C508" t="s">
        <v>97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129</v>
      </c>
      <c r="B509">
        <v>2004</v>
      </c>
      <c r="C509" t="s">
        <v>97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129</v>
      </c>
      <c r="B510">
        <v>2003</v>
      </c>
      <c r="C510" t="s">
        <v>97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129</v>
      </c>
      <c r="B511">
        <v>2002</v>
      </c>
      <c r="C511" t="s">
        <v>97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129</v>
      </c>
      <c r="B512">
        <v>2001</v>
      </c>
      <c r="C512" t="s">
        <v>97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129</v>
      </c>
      <c r="B513">
        <v>2000</v>
      </c>
      <c r="C513" t="s">
        <v>97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130</v>
      </c>
      <c r="B514">
        <v>2015</v>
      </c>
      <c r="C514" t="s">
        <v>97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130</v>
      </c>
      <c r="B515">
        <v>2014</v>
      </c>
      <c r="C515" t="s">
        <v>97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130</v>
      </c>
      <c r="B516">
        <v>2013</v>
      </c>
      <c r="C516" t="s">
        <v>97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130</v>
      </c>
      <c r="B517">
        <v>2012</v>
      </c>
      <c r="C517" t="s">
        <v>97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130</v>
      </c>
      <c r="B518">
        <v>2011</v>
      </c>
      <c r="C518" t="s">
        <v>97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130</v>
      </c>
      <c r="B519">
        <v>2010</v>
      </c>
      <c r="C519" t="s">
        <v>97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130</v>
      </c>
      <c r="B520">
        <v>2009</v>
      </c>
      <c r="C520" t="s">
        <v>97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130</v>
      </c>
      <c r="B521">
        <v>2008</v>
      </c>
      <c r="C521" t="s">
        <v>97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130</v>
      </c>
      <c r="B522">
        <v>2007</v>
      </c>
      <c r="C522" t="s">
        <v>97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130</v>
      </c>
      <c r="B523">
        <v>2006</v>
      </c>
      <c r="C523" t="s">
        <v>97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130</v>
      </c>
      <c r="B524">
        <v>2005</v>
      </c>
      <c r="C524" t="s">
        <v>97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130</v>
      </c>
      <c r="B525">
        <v>2004</v>
      </c>
      <c r="C525" t="s">
        <v>97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130</v>
      </c>
      <c r="B526">
        <v>2003</v>
      </c>
      <c r="C526" t="s">
        <v>97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130</v>
      </c>
      <c r="B527">
        <v>2002</v>
      </c>
      <c r="C527" t="s">
        <v>97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130</v>
      </c>
      <c r="B528">
        <v>2001</v>
      </c>
      <c r="C528" t="s">
        <v>97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130</v>
      </c>
      <c r="B529">
        <v>2000</v>
      </c>
      <c r="C529" t="s">
        <v>97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131</v>
      </c>
      <c r="B530">
        <v>2015</v>
      </c>
      <c r="C530" t="s">
        <v>97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131</v>
      </c>
      <c r="B531">
        <v>2014</v>
      </c>
      <c r="C531" t="s">
        <v>97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131</v>
      </c>
      <c r="B532">
        <v>2013</v>
      </c>
      <c r="C532" t="s">
        <v>97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131</v>
      </c>
      <c r="B533">
        <v>2012</v>
      </c>
      <c r="C533" t="s">
        <v>97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131</v>
      </c>
      <c r="B534">
        <v>2011</v>
      </c>
      <c r="C534" t="s">
        <v>97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131</v>
      </c>
      <c r="B535">
        <v>2010</v>
      </c>
      <c r="C535" t="s">
        <v>97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131</v>
      </c>
      <c r="B536">
        <v>2009</v>
      </c>
      <c r="C536" t="s">
        <v>97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131</v>
      </c>
      <c r="B537">
        <v>2008</v>
      </c>
      <c r="C537" t="s">
        <v>97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131</v>
      </c>
      <c r="B538">
        <v>2007</v>
      </c>
      <c r="C538" t="s">
        <v>97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131</v>
      </c>
      <c r="B539">
        <v>2006</v>
      </c>
      <c r="C539" t="s">
        <v>97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131</v>
      </c>
      <c r="B540">
        <v>2005</v>
      </c>
      <c r="C540" t="s">
        <v>97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131</v>
      </c>
      <c r="B541">
        <v>2004</v>
      </c>
      <c r="C541" t="s">
        <v>97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131</v>
      </c>
      <c r="B542">
        <v>2003</v>
      </c>
      <c r="C542" t="s">
        <v>97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131</v>
      </c>
      <c r="B543">
        <v>2002</v>
      </c>
      <c r="C543" t="s">
        <v>97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131</v>
      </c>
      <c r="B544">
        <v>2001</v>
      </c>
      <c r="C544" t="s">
        <v>97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131</v>
      </c>
      <c r="B545">
        <v>2000</v>
      </c>
      <c r="C545" t="s">
        <v>97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132</v>
      </c>
      <c r="B546">
        <v>2015</v>
      </c>
      <c r="C546" t="s">
        <v>97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132</v>
      </c>
      <c r="B547">
        <v>2014</v>
      </c>
      <c r="C547" t="s">
        <v>97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132</v>
      </c>
      <c r="B548">
        <v>2013</v>
      </c>
      <c r="C548" t="s">
        <v>97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132</v>
      </c>
      <c r="B549">
        <v>2012</v>
      </c>
      <c r="C549" t="s">
        <v>97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132</v>
      </c>
      <c r="B550">
        <v>2011</v>
      </c>
      <c r="C550" t="s">
        <v>97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132</v>
      </c>
      <c r="B551">
        <v>2010</v>
      </c>
      <c r="C551" t="s">
        <v>97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132</v>
      </c>
      <c r="B552">
        <v>2009</v>
      </c>
      <c r="C552" t="s">
        <v>97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132</v>
      </c>
      <c r="B553">
        <v>2008</v>
      </c>
      <c r="C553" t="s">
        <v>97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132</v>
      </c>
      <c r="B554">
        <v>2007</v>
      </c>
      <c r="C554" t="s">
        <v>97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132</v>
      </c>
      <c r="B555">
        <v>2006</v>
      </c>
      <c r="C555" t="s">
        <v>97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132</v>
      </c>
      <c r="B556">
        <v>2005</v>
      </c>
      <c r="C556" t="s">
        <v>97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132</v>
      </c>
      <c r="B557">
        <v>2004</v>
      </c>
      <c r="C557" t="s">
        <v>97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132</v>
      </c>
      <c r="B558">
        <v>2003</v>
      </c>
      <c r="C558" t="s">
        <v>97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132</v>
      </c>
      <c r="B559">
        <v>2002</v>
      </c>
      <c r="C559" t="s">
        <v>97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132</v>
      </c>
      <c r="B560">
        <v>2001</v>
      </c>
      <c r="C560" t="s">
        <v>97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132</v>
      </c>
      <c r="B561">
        <v>2000</v>
      </c>
      <c r="C561" t="s">
        <v>97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133</v>
      </c>
      <c r="B562">
        <v>2015</v>
      </c>
      <c r="C562" t="s">
        <v>97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133</v>
      </c>
      <c r="B563">
        <v>2014</v>
      </c>
      <c r="C563" t="s">
        <v>97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133</v>
      </c>
      <c r="B564">
        <v>2013</v>
      </c>
      <c r="C564" t="s">
        <v>97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133</v>
      </c>
      <c r="B565">
        <v>2012</v>
      </c>
      <c r="C565" t="s">
        <v>97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133</v>
      </c>
      <c r="B566">
        <v>2011</v>
      </c>
      <c r="C566" t="s">
        <v>97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133</v>
      </c>
      <c r="B567">
        <v>2010</v>
      </c>
      <c r="C567" t="s">
        <v>97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133</v>
      </c>
      <c r="B568">
        <v>2009</v>
      </c>
      <c r="C568" t="s">
        <v>97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133</v>
      </c>
      <c r="B569">
        <v>2008</v>
      </c>
      <c r="C569" t="s">
        <v>97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133</v>
      </c>
      <c r="B570">
        <v>2007</v>
      </c>
      <c r="C570" t="s">
        <v>97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133</v>
      </c>
      <c r="B571">
        <v>2006</v>
      </c>
      <c r="C571" t="s">
        <v>97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133</v>
      </c>
      <c r="B572">
        <v>2005</v>
      </c>
      <c r="C572" t="s">
        <v>97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133</v>
      </c>
      <c r="B573">
        <v>2004</v>
      </c>
      <c r="C573" t="s">
        <v>97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133</v>
      </c>
      <c r="B574">
        <v>2003</v>
      </c>
      <c r="C574" t="s">
        <v>97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133</v>
      </c>
      <c r="B575">
        <v>2002</v>
      </c>
      <c r="C575" t="s">
        <v>97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133</v>
      </c>
      <c r="B576">
        <v>2001</v>
      </c>
      <c r="C576" t="s">
        <v>97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133</v>
      </c>
      <c r="B577">
        <v>2000</v>
      </c>
      <c r="C577" t="s">
        <v>97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134</v>
      </c>
      <c r="B578">
        <v>2015</v>
      </c>
      <c r="C578" t="s">
        <v>97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134</v>
      </c>
      <c r="B579">
        <v>2014</v>
      </c>
      <c r="C579" t="s">
        <v>97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134</v>
      </c>
      <c r="B580">
        <v>2013</v>
      </c>
      <c r="C580" t="s">
        <v>97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134</v>
      </c>
      <c r="B581">
        <v>2012</v>
      </c>
      <c r="C581" t="s">
        <v>97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134</v>
      </c>
      <c r="B582">
        <v>2011</v>
      </c>
      <c r="C582" t="s">
        <v>97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134</v>
      </c>
      <c r="B583">
        <v>2010</v>
      </c>
      <c r="C583" t="s">
        <v>97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134</v>
      </c>
      <c r="B584">
        <v>2009</v>
      </c>
      <c r="C584" t="s">
        <v>97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134</v>
      </c>
      <c r="B585">
        <v>2008</v>
      </c>
      <c r="C585" t="s">
        <v>97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134</v>
      </c>
      <c r="B586">
        <v>2007</v>
      </c>
      <c r="C586" t="s">
        <v>97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134</v>
      </c>
      <c r="B587">
        <v>2006</v>
      </c>
      <c r="C587" t="s">
        <v>97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134</v>
      </c>
      <c r="B588">
        <v>2005</v>
      </c>
      <c r="C588" t="s">
        <v>97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134</v>
      </c>
      <c r="B589">
        <v>2004</v>
      </c>
      <c r="C589" t="s">
        <v>97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134</v>
      </c>
      <c r="B590">
        <v>2003</v>
      </c>
      <c r="C590" t="s">
        <v>97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134</v>
      </c>
      <c r="B591">
        <v>2002</v>
      </c>
      <c r="C591" t="s">
        <v>97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134</v>
      </c>
      <c r="B592">
        <v>2001</v>
      </c>
      <c r="C592" t="s">
        <v>97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134</v>
      </c>
      <c r="B593">
        <v>2000</v>
      </c>
      <c r="C593" t="s">
        <v>97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135</v>
      </c>
      <c r="B594">
        <v>2015</v>
      </c>
      <c r="C594" t="s">
        <v>97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135</v>
      </c>
      <c r="B595">
        <v>2014</v>
      </c>
      <c r="C595" t="s">
        <v>97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135</v>
      </c>
      <c r="B596">
        <v>2013</v>
      </c>
      <c r="C596" t="s">
        <v>97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135</v>
      </c>
      <c r="B597">
        <v>2012</v>
      </c>
      <c r="C597" t="s">
        <v>97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135</v>
      </c>
      <c r="B598">
        <v>2011</v>
      </c>
      <c r="C598" t="s">
        <v>97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135</v>
      </c>
      <c r="B599">
        <v>2010</v>
      </c>
      <c r="C599" t="s">
        <v>97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135</v>
      </c>
      <c r="B600">
        <v>2009</v>
      </c>
      <c r="C600" t="s">
        <v>97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135</v>
      </c>
      <c r="B601">
        <v>2008</v>
      </c>
      <c r="C601" t="s">
        <v>97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135</v>
      </c>
      <c r="B602">
        <v>2007</v>
      </c>
      <c r="C602" t="s">
        <v>97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135</v>
      </c>
      <c r="B603">
        <v>2006</v>
      </c>
      <c r="C603" t="s">
        <v>97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135</v>
      </c>
      <c r="B604">
        <v>2005</v>
      </c>
      <c r="C604" t="s">
        <v>97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135</v>
      </c>
      <c r="B605">
        <v>2004</v>
      </c>
      <c r="C605" t="s">
        <v>97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135</v>
      </c>
      <c r="B606">
        <v>2003</v>
      </c>
      <c r="C606" t="s">
        <v>97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135</v>
      </c>
      <c r="B607">
        <v>2002</v>
      </c>
      <c r="C607" t="s">
        <v>97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135</v>
      </c>
      <c r="B608">
        <v>2001</v>
      </c>
      <c r="C608" t="s">
        <v>97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135</v>
      </c>
      <c r="B609">
        <v>2000</v>
      </c>
      <c r="C609" t="s">
        <v>97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136</v>
      </c>
      <c r="B610">
        <v>2015</v>
      </c>
      <c r="C610" t="s">
        <v>97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136</v>
      </c>
      <c r="B611">
        <v>2014</v>
      </c>
      <c r="C611" t="s">
        <v>97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136</v>
      </c>
      <c r="B612">
        <v>2013</v>
      </c>
      <c r="C612" t="s">
        <v>97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136</v>
      </c>
      <c r="B613">
        <v>2012</v>
      </c>
      <c r="C613" t="s">
        <v>97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136</v>
      </c>
      <c r="B614">
        <v>2011</v>
      </c>
      <c r="C614" t="s">
        <v>97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136</v>
      </c>
      <c r="B615">
        <v>2010</v>
      </c>
      <c r="C615" t="s">
        <v>97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136</v>
      </c>
      <c r="B616">
        <v>2009</v>
      </c>
      <c r="C616" t="s">
        <v>97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136</v>
      </c>
      <c r="B617">
        <v>2008</v>
      </c>
      <c r="C617" t="s">
        <v>97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136</v>
      </c>
      <c r="B618">
        <v>2007</v>
      </c>
      <c r="C618" t="s">
        <v>97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136</v>
      </c>
      <c r="B619">
        <v>2006</v>
      </c>
      <c r="C619" t="s">
        <v>97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136</v>
      </c>
      <c r="B620">
        <v>2005</v>
      </c>
      <c r="C620" t="s">
        <v>97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136</v>
      </c>
      <c r="B621">
        <v>2004</v>
      </c>
      <c r="C621" t="s">
        <v>97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136</v>
      </c>
      <c r="B622">
        <v>2003</v>
      </c>
      <c r="C622" t="s">
        <v>97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136</v>
      </c>
      <c r="B623">
        <v>2002</v>
      </c>
      <c r="C623" t="s">
        <v>97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136</v>
      </c>
      <c r="B624">
        <v>2001</v>
      </c>
      <c r="C624" t="s">
        <v>97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136</v>
      </c>
      <c r="B625">
        <v>2000</v>
      </c>
      <c r="C625" t="s">
        <v>97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137</v>
      </c>
      <c r="B626">
        <v>2013</v>
      </c>
      <c r="C626" t="s">
        <v>97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138</v>
      </c>
      <c r="B627">
        <v>2015</v>
      </c>
      <c r="C627" t="s">
        <v>97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138</v>
      </c>
      <c r="B628">
        <v>2014</v>
      </c>
      <c r="C628" t="s">
        <v>97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138</v>
      </c>
      <c r="B629">
        <v>2013</v>
      </c>
      <c r="C629" t="s">
        <v>97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138</v>
      </c>
      <c r="B630">
        <v>2012</v>
      </c>
      <c r="C630" t="s">
        <v>97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138</v>
      </c>
      <c r="B631">
        <v>2011</v>
      </c>
      <c r="C631" t="s">
        <v>97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138</v>
      </c>
      <c r="B632">
        <v>2010</v>
      </c>
      <c r="C632" t="s">
        <v>97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138</v>
      </c>
      <c r="B633">
        <v>2009</v>
      </c>
      <c r="C633" t="s">
        <v>97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138</v>
      </c>
      <c r="B634">
        <v>2008</v>
      </c>
      <c r="C634" t="s">
        <v>97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138</v>
      </c>
      <c r="B635">
        <v>2007</v>
      </c>
      <c r="C635" t="s">
        <v>97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138</v>
      </c>
      <c r="B636">
        <v>2006</v>
      </c>
      <c r="C636" t="s">
        <v>97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138</v>
      </c>
      <c r="B637">
        <v>2005</v>
      </c>
      <c r="C637" t="s">
        <v>97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138</v>
      </c>
      <c r="B638">
        <v>2004</v>
      </c>
      <c r="C638" t="s">
        <v>97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138</v>
      </c>
      <c r="B639">
        <v>2003</v>
      </c>
      <c r="C639" t="s">
        <v>97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138</v>
      </c>
      <c r="B640">
        <v>2002</v>
      </c>
      <c r="C640" t="s">
        <v>97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138</v>
      </c>
      <c r="B641">
        <v>2001</v>
      </c>
      <c r="C641" t="s">
        <v>97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138</v>
      </c>
      <c r="B642">
        <v>2000</v>
      </c>
      <c r="C642" t="s">
        <v>97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139</v>
      </c>
      <c r="B643">
        <v>2015</v>
      </c>
      <c r="C643" t="s">
        <v>105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139</v>
      </c>
      <c r="B644">
        <v>2014</v>
      </c>
      <c r="C644" t="s">
        <v>105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139</v>
      </c>
      <c r="B645">
        <v>2013</v>
      </c>
      <c r="C645" t="s">
        <v>105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139</v>
      </c>
      <c r="B646">
        <v>2012</v>
      </c>
      <c r="C646" t="s">
        <v>105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139</v>
      </c>
      <c r="B647">
        <v>2011</v>
      </c>
      <c r="C647" t="s">
        <v>105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139</v>
      </c>
      <c r="B648">
        <v>2010</v>
      </c>
      <c r="C648" t="s">
        <v>105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139</v>
      </c>
      <c r="B649">
        <v>2009</v>
      </c>
      <c r="C649" t="s">
        <v>105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139</v>
      </c>
      <c r="B650">
        <v>2008</v>
      </c>
      <c r="C650" t="s">
        <v>105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139</v>
      </c>
      <c r="B651">
        <v>2007</v>
      </c>
      <c r="C651" t="s">
        <v>105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139</v>
      </c>
      <c r="B652">
        <v>2006</v>
      </c>
      <c r="C652" t="s">
        <v>105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139</v>
      </c>
      <c r="B653">
        <v>2005</v>
      </c>
      <c r="C653" t="s">
        <v>105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139</v>
      </c>
      <c r="B654">
        <v>2004</v>
      </c>
      <c r="C654" t="s">
        <v>105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139</v>
      </c>
      <c r="B655">
        <v>2003</v>
      </c>
      <c r="C655" t="s">
        <v>105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139</v>
      </c>
      <c r="B656">
        <v>2002</v>
      </c>
      <c r="C656" t="s">
        <v>105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139</v>
      </c>
      <c r="B657">
        <v>2001</v>
      </c>
      <c r="C657" t="s">
        <v>105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139</v>
      </c>
      <c r="B658">
        <v>2000</v>
      </c>
      <c r="C658" t="s">
        <v>105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140</v>
      </c>
      <c r="B659">
        <v>2015</v>
      </c>
      <c r="C659" t="s">
        <v>97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140</v>
      </c>
      <c r="B660">
        <v>2014</v>
      </c>
      <c r="C660" t="s">
        <v>97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140</v>
      </c>
      <c r="B661">
        <v>2013</v>
      </c>
      <c r="C661" t="s">
        <v>97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140</v>
      </c>
      <c r="B662">
        <v>2012</v>
      </c>
      <c r="C662" t="s">
        <v>97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140</v>
      </c>
      <c r="B663">
        <v>2011</v>
      </c>
      <c r="C663" t="s">
        <v>97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140</v>
      </c>
      <c r="B664">
        <v>2010</v>
      </c>
      <c r="C664" t="s">
        <v>97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140</v>
      </c>
      <c r="B665">
        <v>2009</v>
      </c>
      <c r="C665" t="s">
        <v>97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140</v>
      </c>
      <c r="B666">
        <v>2008</v>
      </c>
      <c r="C666" t="s">
        <v>97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140</v>
      </c>
      <c r="B667">
        <v>2007</v>
      </c>
      <c r="C667" t="s">
        <v>97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140</v>
      </c>
      <c r="B668">
        <v>2006</v>
      </c>
      <c r="C668" t="s">
        <v>97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140</v>
      </c>
      <c r="B669">
        <v>2005</v>
      </c>
      <c r="C669" t="s">
        <v>97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140</v>
      </c>
      <c r="B670">
        <v>2004</v>
      </c>
      <c r="C670" t="s">
        <v>97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140</v>
      </c>
      <c r="B671">
        <v>2003</v>
      </c>
      <c r="C671" t="s">
        <v>97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140</v>
      </c>
      <c r="B672">
        <v>2002</v>
      </c>
      <c r="C672" t="s">
        <v>97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140</v>
      </c>
      <c r="B673">
        <v>2001</v>
      </c>
      <c r="C673" t="s">
        <v>97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140</v>
      </c>
      <c r="B674">
        <v>2000</v>
      </c>
      <c r="C674" t="s">
        <v>97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141</v>
      </c>
      <c r="B675">
        <v>2015</v>
      </c>
      <c r="C675" t="s">
        <v>105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141</v>
      </c>
      <c r="B676">
        <v>2014</v>
      </c>
      <c r="C676" t="s">
        <v>105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141</v>
      </c>
      <c r="B677">
        <v>2013</v>
      </c>
      <c r="C677" t="s">
        <v>105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141</v>
      </c>
      <c r="B678">
        <v>2012</v>
      </c>
      <c r="C678" t="s">
        <v>105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141</v>
      </c>
      <c r="B679">
        <v>2011</v>
      </c>
      <c r="C679" t="s">
        <v>105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141</v>
      </c>
      <c r="B680">
        <v>2010</v>
      </c>
      <c r="C680" t="s">
        <v>105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141</v>
      </c>
      <c r="B681">
        <v>2009</v>
      </c>
      <c r="C681" t="s">
        <v>105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141</v>
      </c>
      <c r="B682">
        <v>2008</v>
      </c>
      <c r="C682" t="s">
        <v>105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141</v>
      </c>
      <c r="B683">
        <v>2007</v>
      </c>
      <c r="C683" t="s">
        <v>105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141</v>
      </c>
      <c r="B684">
        <v>2006</v>
      </c>
      <c r="C684" t="s">
        <v>105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141</v>
      </c>
      <c r="B685">
        <v>2005</v>
      </c>
      <c r="C685" t="s">
        <v>105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141</v>
      </c>
      <c r="B686">
        <v>2004</v>
      </c>
      <c r="C686" t="s">
        <v>105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141</v>
      </c>
      <c r="B687">
        <v>2003</v>
      </c>
      <c r="C687" t="s">
        <v>105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141</v>
      </c>
      <c r="B688">
        <v>2002</v>
      </c>
      <c r="C688" t="s">
        <v>105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141</v>
      </c>
      <c r="B689">
        <v>2001</v>
      </c>
      <c r="C689" t="s">
        <v>105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141</v>
      </c>
      <c r="B690">
        <v>2000</v>
      </c>
      <c r="C690" t="s">
        <v>105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142</v>
      </c>
      <c r="B691">
        <v>2015</v>
      </c>
      <c r="C691" t="s">
        <v>105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142</v>
      </c>
      <c r="B692">
        <v>2014</v>
      </c>
      <c r="C692" t="s">
        <v>105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142</v>
      </c>
      <c r="B693">
        <v>2013</v>
      </c>
      <c r="C693" t="s">
        <v>105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142</v>
      </c>
      <c r="B694">
        <v>2012</v>
      </c>
      <c r="C694" t="s">
        <v>105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142</v>
      </c>
      <c r="B695">
        <v>2011</v>
      </c>
      <c r="C695" t="s">
        <v>105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142</v>
      </c>
      <c r="B696">
        <v>2010</v>
      </c>
      <c r="C696" t="s">
        <v>105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142</v>
      </c>
      <c r="B697">
        <v>2009</v>
      </c>
      <c r="C697" t="s">
        <v>105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142</v>
      </c>
      <c r="B698">
        <v>2008</v>
      </c>
      <c r="C698" t="s">
        <v>105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142</v>
      </c>
      <c r="B699">
        <v>2007</v>
      </c>
      <c r="C699" t="s">
        <v>105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142</v>
      </c>
      <c r="B700">
        <v>2006</v>
      </c>
      <c r="C700" t="s">
        <v>105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142</v>
      </c>
      <c r="B701">
        <v>2005</v>
      </c>
      <c r="C701" t="s">
        <v>105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142</v>
      </c>
      <c r="B702">
        <v>2004</v>
      </c>
      <c r="C702" t="s">
        <v>105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142</v>
      </c>
      <c r="B703">
        <v>2003</v>
      </c>
      <c r="C703" t="s">
        <v>105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142</v>
      </c>
      <c r="B704">
        <v>2002</v>
      </c>
      <c r="C704" t="s">
        <v>105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142</v>
      </c>
      <c r="B705">
        <v>2001</v>
      </c>
      <c r="C705" t="s">
        <v>105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142</v>
      </c>
      <c r="B706">
        <v>2000</v>
      </c>
      <c r="C706" t="s">
        <v>105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143</v>
      </c>
      <c r="B707">
        <v>2015</v>
      </c>
      <c r="C707" t="s">
        <v>97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143</v>
      </c>
      <c r="B708">
        <v>2014</v>
      </c>
      <c r="C708" t="s">
        <v>97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143</v>
      </c>
      <c r="B709">
        <v>2013</v>
      </c>
      <c r="C709" t="s">
        <v>97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143</v>
      </c>
      <c r="B710">
        <v>2012</v>
      </c>
      <c r="C710" t="s">
        <v>97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143</v>
      </c>
      <c r="B711">
        <v>2011</v>
      </c>
      <c r="C711" t="s">
        <v>97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143</v>
      </c>
      <c r="B712">
        <v>2010</v>
      </c>
      <c r="C712" t="s">
        <v>97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143</v>
      </c>
      <c r="B713">
        <v>2009</v>
      </c>
      <c r="C713" t="s">
        <v>97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143</v>
      </c>
      <c r="B714">
        <v>2008</v>
      </c>
      <c r="C714" t="s">
        <v>97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143</v>
      </c>
      <c r="B715">
        <v>2007</v>
      </c>
      <c r="C715" t="s">
        <v>97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143</v>
      </c>
      <c r="B716">
        <v>2006</v>
      </c>
      <c r="C716" t="s">
        <v>97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143</v>
      </c>
      <c r="B717">
        <v>2005</v>
      </c>
      <c r="C717" t="s">
        <v>97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143</v>
      </c>
      <c r="B718">
        <v>2004</v>
      </c>
      <c r="C718" t="s">
        <v>97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143</v>
      </c>
      <c r="B719">
        <v>2003</v>
      </c>
      <c r="C719" t="s">
        <v>97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143</v>
      </c>
      <c r="B720">
        <v>2002</v>
      </c>
      <c r="C720" t="s">
        <v>97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143</v>
      </c>
      <c r="B721">
        <v>2001</v>
      </c>
      <c r="C721" t="s">
        <v>97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143</v>
      </c>
      <c r="B722">
        <v>2000</v>
      </c>
      <c r="C722" t="s">
        <v>97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144</v>
      </c>
      <c r="B723">
        <v>2015</v>
      </c>
      <c r="C723" t="s">
        <v>97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144</v>
      </c>
      <c r="B724">
        <v>2014</v>
      </c>
      <c r="C724" t="s">
        <v>97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144</v>
      </c>
      <c r="B725">
        <v>2013</v>
      </c>
      <c r="C725" t="s">
        <v>97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144</v>
      </c>
      <c r="B726">
        <v>2012</v>
      </c>
      <c r="C726" t="s">
        <v>97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144</v>
      </c>
      <c r="B727">
        <v>2011</v>
      </c>
      <c r="C727" t="s">
        <v>97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144</v>
      </c>
      <c r="B728">
        <v>2010</v>
      </c>
      <c r="C728" t="s">
        <v>97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144</v>
      </c>
      <c r="B729">
        <v>2009</v>
      </c>
      <c r="C729" t="s">
        <v>97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144</v>
      </c>
      <c r="B730">
        <v>2008</v>
      </c>
      <c r="C730" t="s">
        <v>97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144</v>
      </c>
      <c r="B731">
        <v>2007</v>
      </c>
      <c r="C731" t="s">
        <v>97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144</v>
      </c>
      <c r="B732">
        <v>2006</v>
      </c>
      <c r="C732" t="s">
        <v>97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144</v>
      </c>
      <c r="B733">
        <v>2005</v>
      </c>
      <c r="C733" t="s">
        <v>97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144</v>
      </c>
      <c r="B734">
        <v>2004</v>
      </c>
      <c r="C734" t="s">
        <v>97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144</v>
      </c>
      <c r="B735">
        <v>2003</v>
      </c>
      <c r="C735" t="s">
        <v>97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144</v>
      </c>
      <c r="B736">
        <v>2002</v>
      </c>
      <c r="C736" t="s">
        <v>97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144</v>
      </c>
      <c r="B737">
        <v>2001</v>
      </c>
      <c r="C737" t="s">
        <v>97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144</v>
      </c>
      <c r="B738">
        <v>2000</v>
      </c>
      <c r="C738" t="s">
        <v>97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145</v>
      </c>
      <c r="B739">
        <v>2015</v>
      </c>
      <c r="C739" t="s">
        <v>105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145</v>
      </c>
      <c r="B740">
        <v>2014</v>
      </c>
      <c r="C740" t="s">
        <v>105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145</v>
      </c>
      <c r="B741">
        <v>2013</v>
      </c>
      <c r="C741" t="s">
        <v>105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145</v>
      </c>
      <c r="B742">
        <v>2012</v>
      </c>
      <c r="C742" t="s">
        <v>105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145</v>
      </c>
      <c r="B743">
        <v>2011</v>
      </c>
      <c r="C743" t="s">
        <v>105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145</v>
      </c>
      <c r="B744">
        <v>2010</v>
      </c>
      <c r="C744" t="s">
        <v>105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145</v>
      </c>
      <c r="B745">
        <v>2009</v>
      </c>
      <c r="C745" t="s">
        <v>105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145</v>
      </c>
      <c r="B746">
        <v>2008</v>
      </c>
      <c r="C746" t="s">
        <v>105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145</v>
      </c>
      <c r="B747">
        <v>2007</v>
      </c>
      <c r="C747" t="s">
        <v>105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145</v>
      </c>
      <c r="B748">
        <v>2006</v>
      </c>
      <c r="C748" t="s">
        <v>105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145</v>
      </c>
      <c r="B749">
        <v>2005</v>
      </c>
      <c r="C749" t="s">
        <v>105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145</v>
      </c>
      <c r="B750">
        <v>2004</v>
      </c>
      <c r="C750" t="s">
        <v>105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145</v>
      </c>
      <c r="B751">
        <v>2003</v>
      </c>
      <c r="C751" t="s">
        <v>105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145</v>
      </c>
      <c r="B752">
        <v>2002</v>
      </c>
      <c r="C752" t="s">
        <v>105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145</v>
      </c>
      <c r="B753">
        <v>2001</v>
      </c>
      <c r="C753" t="s">
        <v>105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145</v>
      </c>
      <c r="B754">
        <v>2000</v>
      </c>
      <c r="C754" t="s">
        <v>105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146</v>
      </c>
      <c r="B755">
        <v>2015</v>
      </c>
      <c r="C755" t="s">
        <v>97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146</v>
      </c>
      <c r="B756">
        <v>2014</v>
      </c>
      <c r="C756" t="s">
        <v>97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146</v>
      </c>
      <c r="B757">
        <v>2013</v>
      </c>
      <c r="C757" t="s">
        <v>97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146</v>
      </c>
      <c r="B758">
        <v>2012</v>
      </c>
      <c r="C758" t="s">
        <v>97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146</v>
      </c>
      <c r="B759">
        <v>2011</v>
      </c>
      <c r="C759" t="s">
        <v>97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146</v>
      </c>
      <c r="B760">
        <v>2010</v>
      </c>
      <c r="C760" t="s">
        <v>97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146</v>
      </c>
      <c r="B761">
        <v>2009</v>
      </c>
      <c r="C761" t="s">
        <v>97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146</v>
      </c>
      <c r="B762">
        <v>2008</v>
      </c>
      <c r="C762" t="s">
        <v>97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146</v>
      </c>
      <c r="B763">
        <v>2007</v>
      </c>
      <c r="C763" t="s">
        <v>97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146</v>
      </c>
      <c r="B764">
        <v>2006</v>
      </c>
      <c r="C764" t="s">
        <v>97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146</v>
      </c>
      <c r="B765">
        <v>2005</v>
      </c>
      <c r="C765" t="s">
        <v>97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146</v>
      </c>
      <c r="B766">
        <v>2004</v>
      </c>
      <c r="C766" t="s">
        <v>97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146</v>
      </c>
      <c r="B767">
        <v>2003</v>
      </c>
      <c r="C767" t="s">
        <v>97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146</v>
      </c>
      <c r="B768">
        <v>2002</v>
      </c>
      <c r="C768" t="s">
        <v>97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146</v>
      </c>
      <c r="B769">
        <v>2001</v>
      </c>
      <c r="C769" t="s">
        <v>97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146</v>
      </c>
      <c r="B770">
        <v>2000</v>
      </c>
      <c r="C770" t="s">
        <v>97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147</v>
      </c>
      <c r="B771">
        <v>2013</v>
      </c>
      <c r="C771" t="s">
        <v>97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148</v>
      </c>
      <c r="B772">
        <v>2015</v>
      </c>
      <c r="C772" t="s">
        <v>97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148</v>
      </c>
      <c r="B773">
        <v>2014</v>
      </c>
      <c r="C773" t="s">
        <v>97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148</v>
      </c>
      <c r="B774">
        <v>2013</v>
      </c>
      <c r="C774" t="s">
        <v>97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148</v>
      </c>
      <c r="B775">
        <v>2012</v>
      </c>
      <c r="C775" t="s">
        <v>97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148</v>
      </c>
      <c r="B776">
        <v>2011</v>
      </c>
      <c r="C776" t="s">
        <v>97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148</v>
      </c>
      <c r="B777">
        <v>2010</v>
      </c>
      <c r="C777" t="s">
        <v>97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148</v>
      </c>
      <c r="B778">
        <v>2009</v>
      </c>
      <c r="C778" t="s">
        <v>97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148</v>
      </c>
      <c r="B779">
        <v>2008</v>
      </c>
      <c r="C779" t="s">
        <v>97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148</v>
      </c>
      <c r="B780">
        <v>2007</v>
      </c>
      <c r="C780" t="s">
        <v>97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148</v>
      </c>
      <c r="B781">
        <v>2006</v>
      </c>
      <c r="C781" t="s">
        <v>97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148</v>
      </c>
      <c r="B782">
        <v>2005</v>
      </c>
      <c r="C782" t="s">
        <v>97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148</v>
      </c>
      <c r="B783">
        <v>2004</v>
      </c>
      <c r="C783" t="s">
        <v>97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148</v>
      </c>
      <c r="B784">
        <v>2003</v>
      </c>
      <c r="C784" t="s">
        <v>97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148</v>
      </c>
      <c r="B785">
        <v>2002</v>
      </c>
      <c r="C785" t="s">
        <v>97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148</v>
      </c>
      <c r="B786">
        <v>2001</v>
      </c>
      <c r="C786" t="s">
        <v>97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148</v>
      </c>
      <c r="B787">
        <v>2000</v>
      </c>
      <c r="C787" t="s">
        <v>97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149</v>
      </c>
      <c r="B788">
        <v>2015</v>
      </c>
      <c r="C788" t="s">
        <v>97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149</v>
      </c>
      <c r="B789">
        <v>2014</v>
      </c>
      <c r="C789" t="s">
        <v>97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149</v>
      </c>
      <c r="B790">
        <v>2013</v>
      </c>
      <c r="C790" t="s">
        <v>97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149</v>
      </c>
      <c r="B791">
        <v>2012</v>
      </c>
      <c r="C791" t="s">
        <v>97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149</v>
      </c>
      <c r="B792">
        <v>2011</v>
      </c>
      <c r="C792" t="s">
        <v>97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149</v>
      </c>
      <c r="B793">
        <v>2010</v>
      </c>
      <c r="C793" t="s">
        <v>97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149</v>
      </c>
      <c r="B794">
        <v>2009</v>
      </c>
      <c r="C794" t="s">
        <v>97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149</v>
      </c>
      <c r="B795">
        <v>2008</v>
      </c>
      <c r="C795" t="s">
        <v>97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149</v>
      </c>
      <c r="B796">
        <v>2007</v>
      </c>
      <c r="C796" t="s">
        <v>97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149</v>
      </c>
      <c r="B797">
        <v>2006</v>
      </c>
      <c r="C797" t="s">
        <v>97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149</v>
      </c>
      <c r="B798">
        <v>2005</v>
      </c>
      <c r="C798" t="s">
        <v>97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149</v>
      </c>
      <c r="B799">
        <v>2004</v>
      </c>
      <c r="C799" t="s">
        <v>97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149</v>
      </c>
      <c r="B800">
        <v>2003</v>
      </c>
      <c r="C800" t="s">
        <v>97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149</v>
      </c>
      <c r="B801">
        <v>2002</v>
      </c>
      <c r="C801" t="s">
        <v>97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149</v>
      </c>
      <c r="B802">
        <v>2001</v>
      </c>
      <c r="C802" t="s">
        <v>97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149</v>
      </c>
      <c r="B803">
        <v>2000</v>
      </c>
      <c r="C803" t="s">
        <v>97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150</v>
      </c>
      <c r="B804">
        <v>2015</v>
      </c>
      <c r="C804" t="s">
        <v>97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150</v>
      </c>
      <c r="B805">
        <v>2014</v>
      </c>
      <c r="C805" t="s">
        <v>97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150</v>
      </c>
      <c r="B806">
        <v>2013</v>
      </c>
      <c r="C806" t="s">
        <v>97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150</v>
      </c>
      <c r="B807">
        <v>2012</v>
      </c>
      <c r="C807" t="s">
        <v>97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150</v>
      </c>
      <c r="B808">
        <v>2011</v>
      </c>
      <c r="C808" t="s">
        <v>97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150</v>
      </c>
      <c r="B809">
        <v>2010</v>
      </c>
      <c r="C809" t="s">
        <v>97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150</v>
      </c>
      <c r="B810">
        <v>2009</v>
      </c>
      <c r="C810" t="s">
        <v>97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150</v>
      </c>
      <c r="B811">
        <v>2008</v>
      </c>
      <c r="C811" t="s">
        <v>97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150</v>
      </c>
      <c r="B812">
        <v>2007</v>
      </c>
      <c r="C812" t="s">
        <v>97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150</v>
      </c>
      <c r="B813">
        <v>2006</v>
      </c>
      <c r="C813" t="s">
        <v>97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150</v>
      </c>
      <c r="B814">
        <v>2005</v>
      </c>
      <c r="C814" t="s">
        <v>97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150</v>
      </c>
      <c r="B815">
        <v>2004</v>
      </c>
      <c r="C815" t="s">
        <v>97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150</v>
      </c>
      <c r="B816">
        <v>2003</v>
      </c>
      <c r="C816" t="s">
        <v>97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150</v>
      </c>
      <c r="B817">
        <v>2002</v>
      </c>
      <c r="C817" t="s">
        <v>97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150</v>
      </c>
      <c r="B818">
        <v>2001</v>
      </c>
      <c r="C818" t="s">
        <v>97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150</v>
      </c>
      <c r="B819">
        <v>2000</v>
      </c>
      <c r="C819" t="s">
        <v>97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151</v>
      </c>
      <c r="B820">
        <v>2015</v>
      </c>
      <c r="C820" t="s">
        <v>97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151</v>
      </c>
      <c r="B821">
        <v>2014</v>
      </c>
      <c r="C821" t="s">
        <v>97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151</v>
      </c>
      <c r="B822">
        <v>2013</v>
      </c>
      <c r="C822" t="s">
        <v>97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151</v>
      </c>
      <c r="B823">
        <v>2012</v>
      </c>
      <c r="C823" t="s">
        <v>97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151</v>
      </c>
      <c r="B824">
        <v>2011</v>
      </c>
      <c r="C824" t="s">
        <v>97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151</v>
      </c>
      <c r="B825">
        <v>2010</v>
      </c>
      <c r="C825" t="s">
        <v>97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151</v>
      </c>
      <c r="B826">
        <v>2009</v>
      </c>
      <c r="C826" t="s">
        <v>97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151</v>
      </c>
      <c r="B827">
        <v>2008</v>
      </c>
      <c r="C827" t="s">
        <v>97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151</v>
      </c>
      <c r="B828">
        <v>2007</v>
      </c>
      <c r="C828" t="s">
        <v>97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151</v>
      </c>
      <c r="B829">
        <v>2006</v>
      </c>
      <c r="C829" t="s">
        <v>97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151</v>
      </c>
      <c r="B830">
        <v>2005</v>
      </c>
      <c r="C830" t="s">
        <v>97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151</v>
      </c>
      <c r="B831">
        <v>2004</v>
      </c>
      <c r="C831" t="s">
        <v>97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151</v>
      </c>
      <c r="B832">
        <v>2003</v>
      </c>
      <c r="C832" t="s">
        <v>97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151</v>
      </c>
      <c r="B833">
        <v>2002</v>
      </c>
      <c r="C833" t="s">
        <v>97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151</v>
      </c>
      <c r="B834">
        <v>2001</v>
      </c>
      <c r="C834" t="s">
        <v>97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151</v>
      </c>
      <c r="B835">
        <v>2000</v>
      </c>
      <c r="C835" t="s">
        <v>97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152</v>
      </c>
      <c r="B836">
        <v>2015</v>
      </c>
      <c r="C836" t="s">
        <v>97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152</v>
      </c>
      <c r="B837">
        <v>2014</v>
      </c>
      <c r="C837" t="s">
        <v>97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152</v>
      </c>
      <c r="B838">
        <v>2013</v>
      </c>
      <c r="C838" t="s">
        <v>97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152</v>
      </c>
      <c r="B839">
        <v>2012</v>
      </c>
      <c r="C839" t="s">
        <v>97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152</v>
      </c>
      <c r="B840">
        <v>2011</v>
      </c>
      <c r="C840" t="s">
        <v>97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152</v>
      </c>
      <c r="B841">
        <v>2010</v>
      </c>
      <c r="C841" t="s">
        <v>97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152</v>
      </c>
      <c r="B842">
        <v>2009</v>
      </c>
      <c r="C842" t="s">
        <v>97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152</v>
      </c>
      <c r="B843">
        <v>2008</v>
      </c>
      <c r="C843" t="s">
        <v>97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152</v>
      </c>
      <c r="B844">
        <v>2007</v>
      </c>
      <c r="C844" t="s">
        <v>97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152</v>
      </c>
      <c r="B845">
        <v>2006</v>
      </c>
      <c r="C845" t="s">
        <v>97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152</v>
      </c>
      <c r="B846">
        <v>2005</v>
      </c>
      <c r="C846" t="s">
        <v>97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152</v>
      </c>
      <c r="B847">
        <v>2004</v>
      </c>
      <c r="C847" t="s">
        <v>97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152</v>
      </c>
      <c r="B848">
        <v>2003</v>
      </c>
      <c r="C848" t="s">
        <v>97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152</v>
      </c>
      <c r="B849">
        <v>2002</v>
      </c>
      <c r="C849" t="s">
        <v>97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152</v>
      </c>
      <c r="B850">
        <v>2001</v>
      </c>
      <c r="C850" t="s">
        <v>97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152</v>
      </c>
      <c r="B851">
        <v>2000</v>
      </c>
      <c r="C851" t="s">
        <v>97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153</v>
      </c>
      <c r="B852">
        <v>2015</v>
      </c>
      <c r="C852" t="s">
        <v>97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153</v>
      </c>
      <c r="B853">
        <v>2014</v>
      </c>
      <c r="C853" t="s">
        <v>97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153</v>
      </c>
      <c r="B854">
        <v>2013</v>
      </c>
      <c r="C854" t="s">
        <v>97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153</v>
      </c>
      <c r="B855">
        <v>2012</v>
      </c>
      <c r="C855" t="s">
        <v>97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153</v>
      </c>
      <c r="B856">
        <v>2011</v>
      </c>
      <c r="C856" t="s">
        <v>97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153</v>
      </c>
      <c r="B857">
        <v>2010</v>
      </c>
      <c r="C857" t="s">
        <v>97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153</v>
      </c>
      <c r="B858">
        <v>2009</v>
      </c>
      <c r="C858" t="s">
        <v>97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153</v>
      </c>
      <c r="B859">
        <v>2008</v>
      </c>
      <c r="C859" t="s">
        <v>97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153</v>
      </c>
      <c r="B860">
        <v>2007</v>
      </c>
      <c r="C860" t="s">
        <v>97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153</v>
      </c>
      <c r="B861">
        <v>2006</v>
      </c>
      <c r="C861" t="s">
        <v>97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153</v>
      </c>
      <c r="B862">
        <v>2005</v>
      </c>
      <c r="C862" t="s">
        <v>97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153</v>
      </c>
      <c r="B863">
        <v>2004</v>
      </c>
      <c r="C863" t="s">
        <v>97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153</v>
      </c>
      <c r="B864">
        <v>2003</v>
      </c>
      <c r="C864" t="s">
        <v>97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153</v>
      </c>
      <c r="B865">
        <v>2002</v>
      </c>
      <c r="C865" t="s">
        <v>97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153</v>
      </c>
      <c r="B866">
        <v>2001</v>
      </c>
      <c r="C866" t="s">
        <v>97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153</v>
      </c>
      <c r="B867">
        <v>2000</v>
      </c>
      <c r="C867" t="s">
        <v>97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154</v>
      </c>
      <c r="B868">
        <v>2015</v>
      </c>
      <c r="C868" t="s">
        <v>97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154</v>
      </c>
      <c r="B869">
        <v>2014</v>
      </c>
      <c r="C869" t="s">
        <v>97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154</v>
      </c>
      <c r="B870">
        <v>2013</v>
      </c>
      <c r="C870" t="s">
        <v>97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154</v>
      </c>
      <c r="B871">
        <v>2012</v>
      </c>
      <c r="C871" t="s">
        <v>97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154</v>
      </c>
      <c r="B872">
        <v>2011</v>
      </c>
      <c r="C872" t="s">
        <v>97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154</v>
      </c>
      <c r="B873">
        <v>2010</v>
      </c>
      <c r="C873" t="s">
        <v>97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154</v>
      </c>
      <c r="B874">
        <v>2009</v>
      </c>
      <c r="C874" t="s">
        <v>97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154</v>
      </c>
      <c r="B875">
        <v>2008</v>
      </c>
      <c r="C875" t="s">
        <v>97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154</v>
      </c>
      <c r="B876">
        <v>2007</v>
      </c>
      <c r="C876" t="s">
        <v>97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154</v>
      </c>
      <c r="B877">
        <v>2006</v>
      </c>
      <c r="C877" t="s">
        <v>97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154</v>
      </c>
      <c r="B878">
        <v>2005</v>
      </c>
      <c r="C878" t="s">
        <v>97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154</v>
      </c>
      <c r="B879">
        <v>2004</v>
      </c>
      <c r="C879" t="s">
        <v>97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154</v>
      </c>
      <c r="B880">
        <v>2003</v>
      </c>
      <c r="C880" t="s">
        <v>97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154</v>
      </c>
      <c r="B881">
        <v>2002</v>
      </c>
      <c r="C881" t="s">
        <v>97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154</v>
      </c>
      <c r="B882">
        <v>2001</v>
      </c>
      <c r="C882" t="s">
        <v>97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154</v>
      </c>
      <c r="B883">
        <v>2000</v>
      </c>
      <c r="C883" t="s">
        <v>97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155</v>
      </c>
      <c r="B884">
        <v>2015</v>
      </c>
      <c r="C884" t="s">
        <v>97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155</v>
      </c>
      <c r="B885">
        <v>2014</v>
      </c>
      <c r="C885" t="s">
        <v>97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155</v>
      </c>
      <c r="B886">
        <v>2013</v>
      </c>
      <c r="C886" t="s">
        <v>97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155</v>
      </c>
      <c r="B887">
        <v>2012</v>
      </c>
      <c r="C887" t="s">
        <v>97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155</v>
      </c>
      <c r="B888">
        <v>2011</v>
      </c>
      <c r="C888" t="s">
        <v>97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155</v>
      </c>
      <c r="B889">
        <v>2010</v>
      </c>
      <c r="C889" t="s">
        <v>97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155</v>
      </c>
      <c r="B890">
        <v>2009</v>
      </c>
      <c r="C890" t="s">
        <v>97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155</v>
      </c>
      <c r="B891">
        <v>2008</v>
      </c>
      <c r="C891" t="s">
        <v>97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155</v>
      </c>
      <c r="B892">
        <v>2007</v>
      </c>
      <c r="C892" t="s">
        <v>97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155</v>
      </c>
      <c r="B893">
        <v>2006</v>
      </c>
      <c r="C893" t="s">
        <v>97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155</v>
      </c>
      <c r="B894">
        <v>2005</v>
      </c>
      <c r="C894" t="s">
        <v>97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155</v>
      </c>
      <c r="B895">
        <v>2004</v>
      </c>
      <c r="C895" t="s">
        <v>97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155</v>
      </c>
      <c r="B896">
        <v>2003</v>
      </c>
      <c r="C896" t="s">
        <v>97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155</v>
      </c>
      <c r="B897">
        <v>2002</v>
      </c>
      <c r="C897" t="s">
        <v>97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155</v>
      </c>
      <c r="B898">
        <v>2001</v>
      </c>
      <c r="C898" t="s">
        <v>97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155</v>
      </c>
      <c r="B899">
        <v>2000</v>
      </c>
      <c r="C899" t="s">
        <v>97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156</v>
      </c>
      <c r="B900">
        <v>2015</v>
      </c>
      <c r="C900" t="s">
        <v>97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156</v>
      </c>
      <c r="B901">
        <v>2014</v>
      </c>
      <c r="C901" t="s">
        <v>97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156</v>
      </c>
      <c r="B902">
        <v>2013</v>
      </c>
      <c r="C902" t="s">
        <v>97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156</v>
      </c>
      <c r="B903">
        <v>2012</v>
      </c>
      <c r="C903" t="s">
        <v>97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156</v>
      </c>
      <c r="B904">
        <v>2011</v>
      </c>
      <c r="C904" t="s">
        <v>97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156</v>
      </c>
      <c r="B905">
        <v>2010</v>
      </c>
      <c r="C905" t="s">
        <v>97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156</v>
      </c>
      <c r="B906">
        <v>2009</v>
      </c>
      <c r="C906" t="s">
        <v>97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156</v>
      </c>
      <c r="B907">
        <v>2008</v>
      </c>
      <c r="C907" t="s">
        <v>97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156</v>
      </c>
      <c r="B908">
        <v>2007</v>
      </c>
      <c r="C908" t="s">
        <v>97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156</v>
      </c>
      <c r="B909">
        <v>2006</v>
      </c>
      <c r="C909" t="s">
        <v>97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156</v>
      </c>
      <c r="B910">
        <v>2005</v>
      </c>
      <c r="C910" t="s">
        <v>97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156</v>
      </c>
      <c r="B911">
        <v>2004</v>
      </c>
      <c r="C911" t="s">
        <v>97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156</v>
      </c>
      <c r="B912">
        <v>2003</v>
      </c>
      <c r="C912" t="s">
        <v>97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156</v>
      </c>
      <c r="B913">
        <v>2002</v>
      </c>
      <c r="C913" t="s">
        <v>97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156</v>
      </c>
      <c r="B914">
        <v>2001</v>
      </c>
      <c r="C914" t="s">
        <v>97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156</v>
      </c>
      <c r="B915">
        <v>2000</v>
      </c>
      <c r="C915" t="s">
        <v>97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157</v>
      </c>
      <c r="B916">
        <v>2015</v>
      </c>
      <c r="C916" t="s">
        <v>97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157</v>
      </c>
      <c r="B917">
        <v>2014</v>
      </c>
      <c r="C917" t="s">
        <v>97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157</v>
      </c>
      <c r="B918">
        <v>2013</v>
      </c>
      <c r="C918" t="s">
        <v>97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157</v>
      </c>
      <c r="B919">
        <v>2012</v>
      </c>
      <c r="C919" t="s">
        <v>97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157</v>
      </c>
      <c r="B920">
        <v>2011</v>
      </c>
      <c r="C920" t="s">
        <v>97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157</v>
      </c>
      <c r="B921">
        <v>2010</v>
      </c>
      <c r="C921" t="s">
        <v>97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157</v>
      </c>
      <c r="B922">
        <v>2009</v>
      </c>
      <c r="C922" t="s">
        <v>97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157</v>
      </c>
      <c r="B923">
        <v>2008</v>
      </c>
      <c r="C923" t="s">
        <v>97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157</v>
      </c>
      <c r="B924">
        <v>2007</v>
      </c>
      <c r="C924" t="s">
        <v>97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157</v>
      </c>
      <c r="B925">
        <v>2006</v>
      </c>
      <c r="C925" t="s">
        <v>97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157</v>
      </c>
      <c r="B926">
        <v>2005</v>
      </c>
      <c r="C926" t="s">
        <v>97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157</v>
      </c>
      <c r="B927">
        <v>2004</v>
      </c>
      <c r="C927" t="s">
        <v>97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157</v>
      </c>
      <c r="B928">
        <v>2003</v>
      </c>
      <c r="C928" t="s">
        <v>97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157</v>
      </c>
      <c r="B929">
        <v>2002</v>
      </c>
      <c r="C929" t="s">
        <v>97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157</v>
      </c>
      <c r="B930">
        <v>2001</v>
      </c>
      <c r="C930" t="s">
        <v>97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157</v>
      </c>
      <c r="B931">
        <v>2000</v>
      </c>
      <c r="C931" t="s">
        <v>97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158</v>
      </c>
      <c r="B932">
        <v>2015</v>
      </c>
      <c r="C932" t="s">
        <v>97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158</v>
      </c>
      <c r="B933">
        <v>2014</v>
      </c>
      <c r="C933" t="s">
        <v>97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158</v>
      </c>
      <c r="B934">
        <v>2013</v>
      </c>
      <c r="C934" t="s">
        <v>97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158</v>
      </c>
      <c r="B935">
        <v>2012</v>
      </c>
      <c r="C935" t="s">
        <v>97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158</v>
      </c>
      <c r="B936">
        <v>2011</v>
      </c>
      <c r="C936" t="s">
        <v>97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158</v>
      </c>
      <c r="B937">
        <v>2010</v>
      </c>
      <c r="C937" t="s">
        <v>97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158</v>
      </c>
      <c r="B938">
        <v>2009</v>
      </c>
      <c r="C938" t="s">
        <v>97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158</v>
      </c>
      <c r="B939">
        <v>2008</v>
      </c>
      <c r="C939" t="s">
        <v>97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158</v>
      </c>
      <c r="B940">
        <v>2007</v>
      </c>
      <c r="C940" t="s">
        <v>97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158</v>
      </c>
      <c r="B941">
        <v>2006</v>
      </c>
      <c r="C941" t="s">
        <v>97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158</v>
      </c>
      <c r="B942">
        <v>2005</v>
      </c>
      <c r="C942" t="s">
        <v>97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158</v>
      </c>
      <c r="B943">
        <v>2004</v>
      </c>
      <c r="C943" t="s">
        <v>97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158</v>
      </c>
      <c r="B944">
        <v>2003</v>
      </c>
      <c r="C944" t="s">
        <v>97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158</v>
      </c>
      <c r="B945">
        <v>2002</v>
      </c>
      <c r="C945" t="s">
        <v>97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158</v>
      </c>
      <c r="B946">
        <v>2001</v>
      </c>
      <c r="C946" t="s">
        <v>97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158</v>
      </c>
      <c r="B947">
        <v>2000</v>
      </c>
      <c r="C947" t="s">
        <v>97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159</v>
      </c>
      <c r="B948">
        <v>2015</v>
      </c>
      <c r="C948" t="s">
        <v>97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159</v>
      </c>
      <c r="B949">
        <v>2014</v>
      </c>
      <c r="C949" t="s">
        <v>97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159</v>
      </c>
      <c r="B950">
        <v>2013</v>
      </c>
      <c r="C950" t="s">
        <v>97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159</v>
      </c>
      <c r="B951">
        <v>2012</v>
      </c>
      <c r="C951" t="s">
        <v>97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159</v>
      </c>
      <c r="B952">
        <v>2011</v>
      </c>
      <c r="C952" t="s">
        <v>97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159</v>
      </c>
      <c r="B953">
        <v>2010</v>
      </c>
      <c r="C953" t="s">
        <v>97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159</v>
      </c>
      <c r="B954">
        <v>2009</v>
      </c>
      <c r="C954" t="s">
        <v>97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159</v>
      </c>
      <c r="B955">
        <v>2008</v>
      </c>
      <c r="C955" t="s">
        <v>97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159</v>
      </c>
      <c r="B956">
        <v>2007</v>
      </c>
      <c r="C956" t="s">
        <v>97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159</v>
      </c>
      <c r="B957">
        <v>2006</v>
      </c>
      <c r="C957" t="s">
        <v>97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159</v>
      </c>
      <c r="B958">
        <v>2005</v>
      </c>
      <c r="C958" t="s">
        <v>97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159</v>
      </c>
      <c r="B959">
        <v>2004</v>
      </c>
      <c r="C959" t="s">
        <v>97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159</v>
      </c>
      <c r="B960">
        <v>2003</v>
      </c>
      <c r="C960" t="s">
        <v>97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159</v>
      </c>
      <c r="B961">
        <v>2002</v>
      </c>
      <c r="C961" t="s">
        <v>97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159</v>
      </c>
      <c r="B962">
        <v>2001</v>
      </c>
      <c r="C962" t="s">
        <v>97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159</v>
      </c>
      <c r="B963">
        <v>2000</v>
      </c>
      <c r="C963" t="s">
        <v>97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160</v>
      </c>
      <c r="B964">
        <v>2015</v>
      </c>
      <c r="C964" t="s">
        <v>97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160</v>
      </c>
      <c r="B965">
        <v>2014</v>
      </c>
      <c r="C965" t="s">
        <v>97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160</v>
      </c>
      <c r="B966">
        <v>2013</v>
      </c>
      <c r="C966" t="s">
        <v>97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160</v>
      </c>
      <c r="B967">
        <v>2012</v>
      </c>
      <c r="C967" t="s">
        <v>97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160</v>
      </c>
      <c r="B968">
        <v>2011</v>
      </c>
      <c r="C968" t="s">
        <v>97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160</v>
      </c>
      <c r="B969">
        <v>2010</v>
      </c>
      <c r="C969" t="s">
        <v>97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160</v>
      </c>
      <c r="B970">
        <v>2009</v>
      </c>
      <c r="C970" t="s">
        <v>97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160</v>
      </c>
      <c r="B971">
        <v>2008</v>
      </c>
      <c r="C971" t="s">
        <v>97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160</v>
      </c>
      <c r="B972">
        <v>2007</v>
      </c>
      <c r="C972" t="s">
        <v>97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160</v>
      </c>
      <c r="B973">
        <v>2006</v>
      </c>
      <c r="C973" t="s">
        <v>97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160</v>
      </c>
      <c r="B974">
        <v>2005</v>
      </c>
      <c r="C974" t="s">
        <v>97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160</v>
      </c>
      <c r="B975">
        <v>2004</v>
      </c>
      <c r="C975" t="s">
        <v>97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160</v>
      </c>
      <c r="B976">
        <v>2003</v>
      </c>
      <c r="C976" t="s">
        <v>97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160</v>
      </c>
      <c r="B977">
        <v>2002</v>
      </c>
      <c r="C977" t="s">
        <v>97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160</v>
      </c>
      <c r="B978">
        <v>2001</v>
      </c>
      <c r="C978" t="s">
        <v>97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160</v>
      </c>
      <c r="B979">
        <v>2000</v>
      </c>
      <c r="C979" t="s">
        <v>97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161</v>
      </c>
      <c r="B980">
        <v>2015</v>
      </c>
      <c r="C980" t="s">
        <v>97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161</v>
      </c>
      <c r="B981">
        <v>2014</v>
      </c>
      <c r="C981" t="s">
        <v>97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161</v>
      </c>
      <c r="B982">
        <v>2013</v>
      </c>
      <c r="C982" t="s">
        <v>97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161</v>
      </c>
      <c r="B983">
        <v>2012</v>
      </c>
      <c r="C983" t="s">
        <v>97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161</v>
      </c>
      <c r="B984">
        <v>2011</v>
      </c>
      <c r="C984" t="s">
        <v>97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161</v>
      </c>
      <c r="B985">
        <v>2010</v>
      </c>
      <c r="C985" t="s">
        <v>97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161</v>
      </c>
      <c r="B986">
        <v>2009</v>
      </c>
      <c r="C986" t="s">
        <v>97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161</v>
      </c>
      <c r="B987">
        <v>2008</v>
      </c>
      <c r="C987" t="s">
        <v>97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161</v>
      </c>
      <c r="B988">
        <v>2007</v>
      </c>
      <c r="C988" t="s">
        <v>97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161</v>
      </c>
      <c r="B989">
        <v>2006</v>
      </c>
      <c r="C989" t="s">
        <v>97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161</v>
      </c>
      <c r="B990">
        <v>2005</v>
      </c>
      <c r="C990" t="s">
        <v>97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161</v>
      </c>
      <c r="B991">
        <v>2004</v>
      </c>
      <c r="C991" t="s">
        <v>97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161</v>
      </c>
      <c r="B992">
        <v>2003</v>
      </c>
      <c r="C992" t="s">
        <v>97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161</v>
      </c>
      <c r="B993">
        <v>2002</v>
      </c>
      <c r="C993" t="s">
        <v>97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161</v>
      </c>
      <c r="B994">
        <v>2001</v>
      </c>
      <c r="C994" t="s">
        <v>97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161</v>
      </c>
      <c r="B995">
        <v>2000</v>
      </c>
      <c r="C995" t="s">
        <v>97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162</v>
      </c>
      <c r="B996">
        <v>2015</v>
      </c>
      <c r="C996" t="s">
        <v>105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162</v>
      </c>
      <c r="B997">
        <v>2014</v>
      </c>
      <c r="C997" t="s">
        <v>105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162</v>
      </c>
      <c r="B998">
        <v>2013</v>
      </c>
      <c r="C998" t="s">
        <v>105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162</v>
      </c>
      <c r="B999">
        <v>2012</v>
      </c>
      <c r="C999" t="s">
        <v>105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162</v>
      </c>
      <c r="B1000">
        <v>2011</v>
      </c>
      <c r="C1000" t="s">
        <v>105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162</v>
      </c>
      <c r="B1001">
        <v>2010</v>
      </c>
      <c r="C1001" t="s">
        <v>105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162</v>
      </c>
      <c r="B1002">
        <v>2009</v>
      </c>
      <c r="C1002" t="s">
        <v>105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162</v>
      </c>
      <c r="B1003">
        <v>2008</v>
      </c>
      <c r="C1003" t="s">
        <v>105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162</v>
      </c>
      <c r="B1004">
        <v>2007</v>
      </c>
      <c r="C1004" t="s">
        <v>105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162</v>
      </c>
      <c r="B1005">
        <v>2006</v>
      </c>
      <c r="C1005" t="s">
        <v>105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162</v>
      </c>
      <c r="B1006">
        <v>2005</v>
      </c>
      <c r="C1006" t="s">
        <v>105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162</v>
      </c>
      <c r="B1007">
        <v>2004</v>
      </c>
      <c r="C1007" t="s">
        <v>105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162</v>
      </c>
      <c r="B1008">
        <v>2003</v>
      </c>
      <c r="C1008" t="s">
        <v>105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162</v>
      </c>
      <c r="B1009">
        <v>2002</v>
      </c>
      <c r="C1009" t="s">
        <v>105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162</v>
      </c>
      <c r="B1010">
        <v>2001</v>
      </c>
      <c r="C1010" t="s">
        <v>105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162</v>
      </c>
      <c r="B1011">
        <v>2000</v>
      </c>
      <c r="C1011" t="s">
        <v>105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163</v>
      </c>
      <c r="B1012">
        <v>2015</v>
      </c>
      <c r="C1012" t="s">
        <v>97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163</v>
      </c>
      <c r="B1013">
        <v>2014</v>
      </c>
      <c r="C1013" t="s">
        <v>97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163</v>
      </c>
      <c r="B1014">
        <v>2013</v>
      </c>
      <c r="C1014" t="s">
        <v>97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163</v>
      </c>
      <c r="B1015">
        <v>2012</v>
      </c>
      <c r="C1015" t="s">
        <v>97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163</v>
      </c>
      <c r="B1016">
        <v>2011</v>
      </c>
      <c r="C1016" t="s">
        <v>97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163</v>
      </c>
      <c r="B1017">
        <v>2010</v>
      </c>
      <c r="C1017" t="s">
        <v>97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163</v>
      </c>
      <c r="B1018">
        <v>2009</v>
      </c>
      <c r="C1018" t="s">
        <v>97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163</v>
      </c>
      <c r="B1019">
        <v>2008</v>
      </c>
      <c r="C1019" t="s">
        <v>97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163</v>
      </c>
      <c r="B1020">
        <v>2007</v>
      </c>
      <c r="C1020" t="s">
        <v>97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163</v>
      </c>
      <c r="B1021">
        <v>2006</v>
      </c>
      <c r="C1021" t="s">
        <v>97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163</v>
      </c>
      <c r="B1022">
        <v>2005</v>
      </c>
      <c r="C1022" t="s">
        <v>97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163</v>
      </c>
      <c r="B1023">
        <v>2004</v>
      </c>
      <c r="C1023" t="s">
        <v>97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163</v>
      </c>
      <c r="B1024">
        <v>2003</v>
      </c>
      <c r="C1024" t="s">
        <v>97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163</v>
      </c>
      <c r="B1025">
        <v>2002</v>
      </c>
      <c r="C1025" t="s">
        <v>97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163</v>
      </c>
      <c r="B1026">
        <v>2001</v>
      </c>
      <c r="C1026" t="s">
        <v>97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163</v>
      </c>
      <c r="B1027">
        <v>2000</v>
      </c>
      <c r="C1027" t="s">
        <v>97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164</v>
      </c>
      <c r="B1028">
        <v>2015</v>
      </c>
      <c r="C1028" t="s">
        <v>97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164</v>
      </c>
      <c r="B1029">
        <v>2014</v>
      </c>
      <c r="C1029" t="s">
        <v>97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164</v>
      </c>
      <c r="B1030">
        <v>2013</v>
      </c>
      <c r="C1030" t="s">
        <v>97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164</v>
      </c>
      <c r="B1031">
        <v>2012</v>
      </c>
      <c r="C1031" t="s">
        <v>97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164</v>
      </c>
      <c r="B1032">
        <v>2011</v>
      </c>
      <c r="C1032" t="s">
        <v>97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164</v>
      </c>
      <c r="B1033">
        <v>2010</v>
      </c>
      <c r="C1033" t="s">
        <v>97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164</v>
      </c>
      <c r="B1034">
        <v>2009</v>
      </c>
      <c r="C1034" t="s">
        <v>97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164</v>
      </c>
      <c r="B1035">
        <v>2008</v>
      </c>
      <c r="C1035" t="s">
        <v>97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164</v>
      </c>
      <c r="B1036">
        <v>2007</v>
      </c>
      <c r="C1036" t="s">
        <v>97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164</v>
      </c>
      <c r="B1037">
        <v>2006</v>
      </c>
      <c r="C1037" t="s">
        <v>97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164</v>
      </c>
      <c r="B1038">
        <v>2005</v>
      </c>
      <c r="C1038" t="s">
        <v>97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164</v>
      </c>
      <c r="B1039">
        <v>2004</v>
      </c>
      <c r="C1039" t="s">
        <v>97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164</v>
      </c>
      <c r="B1040">
        <v>2003</v>
      </c>
      <c r="C1040" t="s">
        <v>97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164</v>
      </c>
      <c r="B1041">
        <v>2002</v>
      </c>
      <c r="C1041" t="s">
        <v>97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164</v>
      </c>
      <c r="B1042">
        <v>2001</v>
      </c>
      <c r="C1042" t="s">
        <v>97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164</v>
      </c>
      <c r="B1043">
        <v>2000</v>
      </c>
      <c r="C1043" t="s">
        <v>97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165</v>
      </c>
      <c r="B1044">
        <v>2015</v>
      </c>
      <c r="C1044" t="s">
        <v>97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165</v>
      </c>
      <c r="B1045">
        <v>2014</v>
      </c>
      <c r="C1045" t="s">
        <v>97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165</v>
      </c>
      <c r="B1046">
        <v>2013</v>
      </c>
      <c r="C1046" t="s">
        <v>97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165</v>
      </c>
      <c r="B1047">
        <v>2012</v>
      </c>
      <c r="C1047" t="s">
        <v>97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165</v>
      </c>
      <c r="B1048">
        <v>2011</v>
      </c>
      <c r="C1048" t="s">
        <v>97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165</v>
      </c>
      <c r="B1049">
        <v>2010</v>
      </c>
      <c r="C1049" t="s">
        <v>97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165</v>
      </c>
      <c r="B1050">
        <v>2009</v>
      </c>
      <c r="C1050" t="s">
        <v>97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165</v>
      </c>
      <c r="B1051">
        <v>2008</v>
      </c>
      <c r="C1051" t="s">
        <v>97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165</v>
      </c>
      <c r="B1052">
        <v>2007</v>
      </c>
      <c r="C1052" t="s">
        <v>97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165</v>
      </c>
      <c r="B1053">
        <v>2006</v>
      </c>
      <c r="C1053" t="s">
        <v>97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165</v>
      </c>
      <c r="B1054">
        <v>2005</v>
      </c>
      <c r="C1054" t="s">
        <v>97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165</v>
      </c>
      <c r="B1055">
        <v>2004</v>
      </c>
      <c r="C1055" t="s">
        <v>97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165</v>
      </c>
      <c r="B1056">
        <v>2003</v>
      </c>
      <c r="C1056" t="s">
        <v>97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165</v>
      </c>
      <c r="B1057">
        <v>2002</v>
      </c>
      <c r="C1057" t="s">
        <v>97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165</v>
      </c>
      <c r="B1058">
        <v>2001</v>
      </c>
      <c r="C1058" t="s">
        <v>97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165</v>
      </c>
      <c r="B1059">
        <v>2000</v>
      </c>
      <c r="C1059" t="s">
        <v>97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166</v>
      </c>
      <c r="B1060">
        <v>2015</v>
      </c>
      <c r="C1060" t="s">
        <v>97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166</v>
      </c>
      <c r="B1061">
        <v>2014</v>
      </c>
      <c r="C1061" t="s">
        <v>97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166</v>
      </c>
      <c r="B1062">
        <v>2013</v>
      </c>
      <c r="C1062" t="s">
        <v>97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166</v>
      </c>
      <c r="B1063">
        <v>2012</v>
      </c>
      <c r="C1063" t="s">
        <v>97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166</v>
      </c>
      <c r="B1064">
        <v>2011</v>
      </c>
      <c r="C1064" t="s">
        <v>97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166</v>
      </c>
      <c r="B1065">
        <v>2010</v>
      </c>
      <c r="C1065" t="s">
        <v>97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166</v>
      </c>
      <c r="B1066">
        <v>2009</v>
      </c>
      <c r="C1066" t="s">
        <v>97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166</v>
      </c>
      <c r="B1067">
        <v>2008</v>
      </c>
      <c r="C1067" t="s">
        <v>97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166</v>
      </c>
      <c r="B1068">
        <v>2007</v>
      </c>
      <c r="C1068" t="s">
        <v>97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166</v>
      </c>
      <c r="B1069">
        <v>2006</v>
      </c>
      <c r="C1069" t="s">
        <v>97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166</v>
      </c>
      <c r="B1070">
        <v>2005</v>
      </c>
      <c r="C1070" t="s">
        <v>97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166</v>
      </c>
      <c r="B1071">
        <v>2004</v>
      </c>
      <c r="C1071" t="s">
        <v>97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166</v>
      </c>
      <c r="B1072">
        <v>2003</v>
      </c>
      <c r="C1072" t="s">
        <v>97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166</v>
      </c>
      <c r="B1073">
        <v>2002</v>
      </c>
      <c r="C1073" t="s">
        <v>97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166</v>
      </c>
      <c r="B1074">
        <v>2001</v>
      </c>
      <c r="C1074" t="s">
        <v>97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166</v>
      </c>
      <c r="B1075">
        <v>2000</v>
      </c>
      <c r="C1075" t="s">
        <v>97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167</v>
      </c>
      <c r="B1076">
        <v>2015</v>
      </c>
      <c r="C1076" t="s">
        <v>97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167</v>
      </c>
      <c r="B1077">
        <v>2014</v>
      </c>
      <c r="C1077" t="s">
        <v>97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167</v>
      </c>
      <c r="B1078">
        <v>2013</v>
      </c>
      <c r="C1078" t="s">
        <v>97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167</v>
      </c>
      <c r="B1079">
        <v>2012</v>
      </c>
      <c r="C1079" t="s">
        <v>97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167</v>
      </c>
      <c r="B1080">
        <v>2011</v>
      </c>
      <c r="C1080" t="s">
        <v>97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167</v>
      </c>
      <c r="B1081">
        <v>2010</v>
      </c>
      <c r="C1081" t="s">
        <v>97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167</v>
      </c>
      <c r="B1082">
        <v>2009</v>
      </c>
      <c r="C1082" t="s">
        <v>97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167</v>
      </c>
      <c r="B1083">
        <v>2008</v>
      </c>
      <c r="C1083" t="s">
        <v>97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167</v>
      </c>
      <c r="B1084">
        <v>2007</v>
      </c>
      <c r="C1084" t="s">
        <v>97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167</v>
      </c>
      <c r="B1085">
        <v>2006</v>
      </c>
      <c r="C1085" t="s">
        <v>97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167</v>
      </c>
      <c r="B1086">
        <v>2005</v>
      </c>
      <c r="C1086" t="s">
        <v>97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167</v>
      </c>
      <c r="B1087">
        <v>2004</v>
      </c>
      <c r="C1087" t="s">
        <v>97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167</v>
      </c>
      <c r="B1088">
        <v>2003</v>
      </c>
      <c r="C1088" t="s">
        <v>97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167</v>
      </c>
      <c r="B1089">
        <v>2002</v>
      </c>
      <c r="C1089" t="s">
        <v>97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167</v>
      </c>
      <c r="B1090">
        <v>2001</v>
      </c>
      <c r="C1090" t="s">
        <v>97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167</v>
      </c>
      <c r="B1091">
        <v>2000</v>
      </c>
      <c r="C1091" t="s">
        <v>97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168</v>
      </c>
      <c r="B1092">
        <v>2015</v>
      </c>
      <c r="C1092" t="s">
        <v>97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168</v>
      </c>
      <c r="B1093">
        <v>2014</v>
      </c>
      <c r="C1093" t="s">
        <v>97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168</v>
      </c>
      <c r="B1094">
        <v>2013</v>
      </c>
      <c r="C1094" t="s">
        <v>97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168</v>
      </c>
      <c r="B1095">
        <v>2012</v>
      </c>
      <c r="C1095" t="s">
        <v>97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168</v>
      </c>
      <c r="B1096">
        <v>2011</v>
      </c>
      <c r="C1096" t="s">
        <v>97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168</v>
      </c>
      <c r="B1097">
        <v>2010</v>
      </c>
      <c r="C1097" t="s">
        <v>97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168</v>
      </c>
      <c r="B1098">
        <v>2009</v>
      </c>
      <c r="C1098" t="s">
        <v>97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168</v>
      </c>
      <c r="B1099">
        <v>2008</v>
      </c>
      <c r="C1099" t="s">
        <v>97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168</v>
      </c>
      <c r="B1100">
        <v>2007</v>
      </c>
      <c r="C1100" t="s">
        <v>97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168</v>
      </c>
      <c r="B1101">
        <v>2006</v>
      </c>
      <c r="C1101" t="s">
        <v>97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168</v>
      </c>
      <c r="B1102">
        <v>2005</v>
      </c>
      <c r="C1102" t="s">
        <v>97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168</v>
      </c>
      <c r="B1103">
        <v>2004</v>
      </c>
      <c r="C1103" t="s">
        <v>97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168</v>
      </c>
      <c r="B1104">
        <v>2003</v>
      </c>
      <c r="C1104" t="s">
        <v>97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168</v>
      </c>
      <c r="B1105">
        <v>2002</v>
      </c>
      <c r="C1105" t="s">
        <v>97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168</v>
      </c>
      <c r="B1106">
        <v>2001</v>
      </c>
      <c r="C1106" t="s">
        <v>97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168</v>
      </c>
      <c r="B1107">
        <v>2000</v>
      </c>
      <c r="C1107" t="s">
        <v>97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169</v>
      </c>
      <c r="B1108">
        <v>2015</v>
      </c>
      <c r="C1108" t="s">
        <v>97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169</v>
      </c>
      <c r="B1109">
        <v>2014</v>
      </c>
      <c r="C1109" t="s">
        <v>97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169</v>
      </c>
      <c r="B1110">
        <v>2013</v>
      </c>
      <c r="C1110" t="s">
        <v>97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169</v>
      </c>
      <c r="B1111">
        <v>2012</v>
      </c>
      <c r="C1111" t="s">
        <v>97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169</v>
      </c>
      <c r="B1112">
        <v>2011</v>
      </c>
      <c r="C1112" t="s">
        <v>97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169</v>
      </c>
      <c r="B1113">
        <v>2010</v>
      </c>
      <c r="C1113" t="s">
        <v>97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169</v>
      </c>
      <c r="B1114">
        <v>2009</v>
      </c>
      <c r="C1114" t="s">
        <v>97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169</v>
      </c>
      <c r="B1115">
        <v>2008</v>
      </c>
      <c r="C1115" t="s">
        <v>97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169</v>
      </c>
      <c r="B1116">
        <v>2007</v>
      </c>
      <c r="C1116" t="s">
        <v>97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169</v>
      </c>
      <c r="B1117">
        <v>2006</v>
      </c>
      <c r="C1117" t="s">
        <v>97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169</v>
      </c>
      <c r="B1118">
        <v>2005</v>
      </c>
      <c r="C1118" t="s">
        <v>97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169</v>
      </c>
      <c r="B1119">
        <v>2004</v>
      </c>
      <c r="C1119" t="s">
        <v>97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169</v>
      </c>
      <c r="B1120">
        <v>2003</v>
      </c>
      <c r="C1120" t="s">
        <v>97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169</v>
      </c>
      <c r="B1121">
        <v>2002</v>
      </c>
      <c r="C1121" t="s">
        <v>97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169</v>
      </c>
      <c r="B1122">
        <v>2001</v>
      </c>
      <c r="C1122" t="s">
        <v>97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169</v>
      </c>
      <c r="B1123">
        <v>2000</v>
      </c>
      <c r="C1123" t="s">
        <v>97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170</v>
      </c>
      <c r="B1124">
        <v>2015</v>
      </c>
      <c r="C1124" t="s">
        <v>97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170</v>
      </c>
      <c r="B1125">
        <v>2014</v>
      </c>
      <c r="C1125" t="s">
        <v>97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170</v>
      </c>
      <c r="B1126">
        <v>2013</v>
      </c>
      <c r="C1126" t="s">
        <v>97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170</v>
      </c>
      <c r="B1127">
        <v>2012</v>
      </c>
      <c r="C1127" t="s">
        <v>97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170</v>
      </c>
      <c r="B1128">
        <v>2011</v>
      </c>
      <c r="C1128" t="s">
        <v>97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170</v>
      </c>
      <c r="B1129">
        <v>2010</v>
      </c>
      <c r="C1129" t="s">
        <v>97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170</v>
      </c>
      <c r="B1130">
        <v>2009</v>
      </c>
      <c r="C1130" t="s">
        <v>97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170</v>
      </c>
      <c r="B1131">
        <v>2008</v>
      </c>
      <c r="C1131" t="s">
        <v>97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170</v>
      </c>
      <c r="B1132">
        <v>2007</v>
      </c>
      <c r="C1132" t="s">
        <v>97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170</v>
      </c>
      <c r="B1133">
        <v>2006</v>
      </c>
      <c r="C1133" t="s">
        <v>97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170</v>
      </c>
      <c r="B1134">
        <v>2005</v>
      </c>
      <c r="C1134" t="s">
        <v>97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170</v>
      </c>
      <c r="B1135">
        <v>2004</v>
      </c>
      <c r="C1135" t="s">
        <v>97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170</v>
      </c>
      <c r="B1136">
        <v>2003</v>
      </c>
      <c r="C1136" t="s">
        <v>97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170</v>
      </c>
      <c r="B1137">
        <v>2002</v>
      </c>
      <c r="C1137" t="s">
        <v>97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170</v>
      </c>
      <c r="B1138">
        <v>2001</v>
      </c>
      <c r="C1138" t="s">
        <v>97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170</v>
      </c>
      <c r="B1139">
        <v>2000</v>
      </c>
      <c r="C1139" t="s">
        <v>97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171</v>
      </c>
      <c r="B1140">
        <v>2015</v>
      </c>
      <c r="C1140" t="s">
        <v>97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171</v>
      </c>
      <c r="B1141">
        <v>2014</v>
      </c>
      <c r="C1141" t="s">
        <v>97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171</v>
      </c>
      <c r="B1142">
        <v>2013</v>
      </c>
      <c r="C1142" t="s">
        <v>97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171</v>
      </c>
      <c r="B1143">
        <v>2012</v>
      </c>
      <c r="C1143" t="s">
        <v>97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171</v>
      </c>
      <c r="B1144">
        <v>2011</v>
      </c>
      <c r="C1144" t="s">
        <v>97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171</v>
      </c>
      <c r="B1145">
        <v>2010</v>
      </c>
      <c r="C1145" t="s">
        <v>97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171</v>
      </c>
      <c r="B1146">
        <v>2009</v>
      </c>
      <c r="C1146" t="s">
        <v>97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171</v>
      </c>
      <c r="B1147">
        <v>2008</v>
      </c>
      <c r="C1147" t="s">
        <v>97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171</v>
      </c>
      <c r="B1148">
        <v>2007</v>
      </c>
      <c r="C1148" t="s">
        <v>97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171</v>
      </c>
      <c r="B1149">
        <v>2006</v>
      </c>
      <c r="C1149" t="s">
        <v>97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171</v>
      </c>
      <c r="B1150">
        <v>2005</v>
      </c>
      <c r="C1150" t="s">
        <v>97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171</v>
      </c>
      <c r="B1151">
        <v>2004</v>
      </c>
      <c r="C1151" t="s">
        <v>97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171</v>
      </c>
      <c r="B1152">
        <v>2003</v>
      </c>
      <c r="C1152" t="s">
        <v>97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171</v>
      </c>
      <c r="B1153">
        <v>2002</v>
      </c>
      <c r="C1153" t="s">
        <v>97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171</v>
      </c>
      <c r="B1154">
        <v>2001</v>
      </c>
      <c r="C1154" t="s">
        <v>97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171</v>
      </c>
      <c r="B1155">
        <v>2000</v>
      </c>
      <c r="C1155" t="s">
        <v>97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172</v>
      </c>
      <c r="B1156">
        <v>2015</v>
      </c>
      <c r="C1156" t="s">
        <v>105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172</v>
      </c>
      <c r="B1157">
        <v>2014</v>
      </c>
      <c r="C1157" t="s">
        <v>105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172</v>
      </c>
      <c r="B1158">
        <v>2013</v>
      </c>
      <c r="C1158" t="s">
        <v>105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172</v>
      </c>
      <c r="B1159">
        <v>2012</v>
      </c>
      <c r="C1159" t="s">
        <v>105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172</v>
      </c>
      <c r="B1160">
        <v>2011</v>
      </c>
      <c r="C1160" t="s">
        <v>105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172</v>
      </c>
      <c r="B1161">
        <v>2010</v>
      </c>
      <c r="C1161" t="s">
        <v>105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172</v>
      </c>
      <c r="B1162">
        <v>2009</v>
      </c>
      <c r="C1162" t="s">
        <v>105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172</v>
      </c>
      <c r="B1163">
        <v>2008</v>
      </c>
      <c r="C1163" t="s">
        <v>105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172</v>
      </c>
      <c r="B1164">
        <v>2007</v>
      </c>
      <c r="C1164" t="s">
        <v>105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172</v>
      </c>
      <c r="B1165">
        <v>2006</v>
      </c>
      <c r="C1165" t="s">
        <v>105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172</v>
      </c>
      <c r="B1166">
        <v>2005</v>
      </c>
      <c r="C1166" t="s">
        <v>105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172</v>
      </c>
      <c r="B1167">
        <v>2004</v>
      </c>
      <c r="C1167" t="s">
        <v>105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172</v>
      </c>
      <c r="B1168">
        <v>2003</v>
      </c>
      <c r="C1168" t="s">
        <v>105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172</v>
      </c>
      <c r="B1169">
        <v>2002</v>
      </c>
      <c r="C1169" t="s">
        <v>105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172</v>
      </c>
      <c r="B1170">
        <v>2001</v>
      </c>
      <c r="C1170" t="s">
        <v>105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172</v>
      </c>
      <c r="B1171">
        <v>2000</v>
      </c>
      <c r="C1171" t="s">
        <v>105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173</v>
      </c>
      <c r="B1172">
        <v>2015</v>
      </c>
      <c r="C1172" t="s">
        <v>105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173</v>
      </c>
      <c r="B1173">
        <v>2014</v>
      </c>
      <c r="C1173" t="s">
        <v>105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173</v>
      </c>
      <c r="B1174">
        <v>2013</v>
      </c>
      <c r="C1174" t="s">
        <v>105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173</v>
      </c>
      <c r="B1175">
        <v>2012</v>
      </c>
      <c r="C1175" t="s">
        <v>105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173</v>
      </c>
      <c r="B1176">
        <v>2011</v>
      </c>
      <c r="C1176" t="s">
        <v>105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173</v>
      </c>
      <c r="B1177">
        <v>2010</v>
      </c>
      <c r="C1177" t="s">
        <v>105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173</v>
      </c>
      <c r="B1178">
        <v>2009</v>
      </c>
      <c r="C1178" t="s">
        <v>105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173</v>
      </c>
      <c r="B1179">
        <v>2008</v>
      </c>
      <c r="C1179" t="s">
        <v>105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173</v>
      </c>
      <c r="B1180">
        <v>2007</v>
      </c>
      <c r="C1180" t="s">
        <v>105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173</v>
      </c>
      <c r="B1181">
        <v>2006</v>
      </c>
      <c r="C1181" t="s">
        <v>105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173</v>
      </c>
      <c r="B1182">
        <v>2005</v>
      </c>
      <c r="C1182" t="s">
        <v>105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173</v>
      </c>
      <c r="B1183">
        <v>2004</v>
      </c>
      <c r="C1183" t="s">
        <v>105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173</v>
      </c>
      <c r="B1184">
        <v>2003</v>
      </c>
      <c r="C1184" t="s">
        <v>105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173</v>
      </c>
      <c r="B1185">
        <v>2002</v>
      </c>
      <c r="C1185" t="s">
        <v>105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173</v>
      </c>
      <c r="B1186">
        <v>2001</v>
      </c>
      <c r="C1186" t="s">
        <v>105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173</v>
      </c>
      <c r="B1187">
        <v>2000</v>
      </c>
      <c r="C1187" t="s">
        <v>105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174</v>
      </c>
      <c r="B1188">
        <v>2015</v>
      </c>
      <c r="C1188" t="s">
        <v>97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174</v>
      </c>
      <c r="B1189">
        <v>2014</v>
      </c>
      <c r="C1189" t="s">
        <v>97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174</v>
      </c>
      <c r="B1190">
        <v>2013</v>
      </c>
      <c r="C1190" t="s">
        <v>97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174</v>
      </c>
      <c r="B1191">
        <v>2012</v>
      </c>
      <c r="C1191" t="s">
        <v>97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174</v>
      </c>
      <c r="B1192">
        <v>2011</v>
      </c>
      <c r="C1192" t="s">
        <v>97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174</v>
      </c>
      <c r="B1193">
        <v>2010</v>
      </c>
      <c r="C1193" t="s">
        <v>97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174</v>
      </c>
      <c r="B1194">
        <v>2009</v>
      </c>
      <c r="C1194" t="s">
        <v>97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174</v>
      </c>
      <c r="B1195">
        <v>2008</v>
      </c>
      <c r="C1195" t="s">
        <v>97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174</v>
      </c>
      <c r="B1196">
        <v>2007</v>
      </c>
      <c r="C1196" t="s">
        <v>97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174</v>
      </c>
      <c r="B1197">
        <v>2006</v>
      </c>
      <c r="C1197" t="s">
        <v>97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174</v>
      </c>
      <c r="B1198">
        <v>2005</v>
      </c>
      <c r="C1198" t="s">
        <v>97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174</v>
      </c>
      <c r="B1199">
        <v>2004</v>
      </c>
      <c r="C1199" t="s">
        <v>97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174</v>
      </c>
      <c r="B1200">
        <v>2003</v>
      </c>
      <c r="C1200" t="s">
        <v>97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174</v>
      </c>
      <c r="B1201">
        <v>2002</v>
      </c>
      <c r="C1201" t="s">
        <v>97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174</v>
      </c>
      <c r="B1202">
        <v>2001</v>
      </c>
      <c r="C1202" t="s">
        <v>97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174</v>
      </c>
      <c r="B1203">
        <v>2000</v>
      </c>
      <c r="C1203" t="s">
        <v>97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175</v>
      </c>
      <c r="B1204">
        <v>2015</v>
      </c>
      <c r="C1204" t="s">
        <v>97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175</v>
      </c>
      <c r="B1205">
        <v>2014</v>
      </c>
      <c r="C1205" t="s">
        <v>97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175</v>
      </c>
      <c r="B1206">
        <v>2013</v>
      </c>
      <c r="C1206" t="s">
        <v>97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175</v>
      </c>
      <c r="B1207">
        <v>2012</v>
      </c>
      <c r="C1207" t="s">
        <v>97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175</v>
      </c>
      <c r="B1208">
        <v>2011</v>
      </c>
      <c r="C1208" t="s">
        <v>97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175</v>
      </c>
      <c r="B1209">
        <v>2010</v>
      </c>
      <c r="C1209" t="s">
        <v>97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175</v>
      </c>
      <c r="B1210">
        <v>2009</v>
      </c>
      <c r="C1210" t="s">
        <v>97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175</v>
      </c>
      <c r="B1211">
        <v>2008</v>
      </c>
      <c r="C1211" t="s">
        <v>97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175</v>
      </c>
      <c r="B1212">
        <v>2007</v>
      </c>
      <c r="C1212" t="s">
        <v>97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175</v>
      </c>
      <c r="B1213">
        <v>2006</v>
      </c>
      <c r="C1213" t="s">
        <v>97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175</v>
      </c>
      <c r="B1214">
        <v>2005</v>
      </c>
      <c r="C1214" t="s">
        <v>97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175</v>
      </c>
      <c r="B1215">
        <v>2004</v>
      </c>
      <c r="C1215" t="s">
        <v>97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175</v>
      </c>
      <c r="B1216">
        <v>2003</v>
      </c>
      <c r="C1216" t="s">
        <v>97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175</v>
      </c>
      <c r="B1217">
        <v>2002</v>
      </c>
      <c r="C1217" t="s">
        <v>97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175</v>
      </c>
      <c r="B1218">
        <v>2001</v>
      </c>
      <c r="C1218" t="s">
        <v>97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175</v>
      </c>
      <c r="B1219">
        <v>2000</v>
      </c>
      <c r="C1219" t="s">
        <v>97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176</v>
      </c>
      <c r="B1220">
        <v>2015</v>
      </c>
      <c r="C1220" t="s">
        <v>97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176</v>
      </c>
      <c r="B1221">
        <v>2014</v>
      </c>
      <c r="C1221" t="s">
        <v>97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176</v>
      </c>
      <c r="B1222">
        <v>2013</v>
      </c>
      <c r="C1222" t="s">
        <v>97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176</v>
      </c>
      <c r="B1223">
        <v>2012</v>
      </c>
      <c r="C1223" t="s">
        <v>97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176</v>
      </c>
      <c r="B1224">
        <v>2011</v>
      </c>
      <c r="C1224" t="s">
        <v>97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176</v>
      </c>
      <c r="B1225">
        <v>2010</v>
      </c>
      <c r="C1225" t="s">
        <v>97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176</v>
      </c>
      <c r="B1226">
        <v>2009</v>
      </c>
      <c r="C1226" t="s">
        <v>97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176</v>
      </c>
      <c r="B1227">
        <v>2008</v>
      </c>
      <c r="C1227" t="s">
        <v>97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176</v>
      </c>
      <c r="B1228">
        <v>2007</v>
      </c>
      <c r="C1228" t="s">
        <v>97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176</v>
      </c>
      <c r="B1229">
        <v>2006</v>
      </c>
      <c r="C1229" t="s">
        <v>97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176</v>
      </c>
      <c r="B1230">
        <v>2005</v>
      </c>
      <c r="C1230" t="s">
        <v>97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176</v>
      </c>
      <c r="B1231">
        <v>2004</v>
      </c>
      <c r="C1231" t="s">
        <v>97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176</v>
      </c>
      <c r="B1232">
        <v>2003</v>
      </c>
      <c r="C1232" t="s">
        <v>97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176</v>
      </c>
      <c r="B1233">
        <v>2002</v>
      </c>
      <c r="C1233" t="s">
        <v>97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176</v>
      </c>
      <c r="B1234">
        <v>2001</v>
      </c>
      <c r="C1234" t="s">
        <v>97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176</v>
      </c>
      <c r="B1235">
        <v>2000</v>
      </c>
      <c r="C1235" t="s">
        <v>97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177</v>
      </c>
      <c r="B1236">
        <v>2015</v>
      </c>
      <c r="C1236" t="s">
        <v>97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177</v>
      </c>
      <c r="B1237">
        <v>2014</v>
      </c>
      <c r="C1237" t="s">
        <v>97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177</v>
      </c>
      <c r="B1238">
        <v>2013</v>
      </c>
      <c r="C1238" t="s">
        <v>97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177</v>
      </c>
      <c r="B1239">
        <v>2012</v>
      </c>
      <c r="C1239" t="s">
        <v>97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177</v>
      </c>
      <c r="B1240">
        <v>2011</v>
      </c>
      <c r="C1240" t="s">
        <v>97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177</v>
      </c>
      <c r="B1241">
        <v>2010</v>
      </c>
      <c r="C1241" t="s">
        <v>97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177</v>
      </c>
      <c r="B1242">
        <v>2009</v>
      </c>
      <c r="C1242" t="s">
        <v>97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177</v>
      </c>
      <c r="B1243">
        <v>2008</v>
      </c>
      <c r="C1243" t="s">
        <v>97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177</v>
      </c>
      <c r="B1244">
        <v>2007</v>
      </c>
      <c r="C1244" t="s">
        <v>97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177</v>
      </c>
      <c r="B1245">
        <v>2006</v>
      </c>
      <c r="C1245" t="s">
        <v>97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177</v>
      </c>
      <c r="B1246">
        <v>2005</v>
      </c>
      <c r="C1246" t="s">
        <v>97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177</v>
      </c>
      <c r="B1247">
        <v>2004</v>
      </c>
      <c r="C1247" t="s">
        <v>97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177</v>
      </c>
      <c r="B1248">
        <v>2003</v>
      </c>
      <c r="C1248" t="s">
        <v>97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177</v>
      </c>
      <c r="B1249">
        <v>2002</v>
      </c>
      <c r="C1249" t="s">
        <v>97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177</v>
      </c>
      <c r="B1250">
        <v>2001</v>
      </c>
      <c r="C1250" t="s">
        <v>97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177</v>
      </c>
      <c r="B1251">
        <v>2000</v>
      </c>
      <c r="C1251" t="s">
        <v>97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178</v>
      </c>
      <c r="B1252">
        <v>2015</v>
      </c>
      <c r="C1252" t="s">
        <v>105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178</v>
      </c>
      <c r="B1253">
        <v>2014</v>
      </c>
      <c r="C1253" t="s">
        <v>105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178</v>
      </c>
      <c r="B1254">
        <v>2013</v>
      </c>
      <c r="C1254" t="s">
        <v>105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178</v>
      </c>
      <c r="B1255">
        <v>2012</v>
      </c>
      <c r="C1255" t="s">
        <v>105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178</v>
      </c>
      <c r="B1256">
        <v>2011</v>
      </c>
      <c r="C1256" t="s">
        <v>105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178</v>
      </c>
      <c r="B1257">
        <v>2010</v>
      </c>
      <c r="C1257" t="s">
        <v>105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178</v>
      </c>
      <c r="B1258">
        <v>2009</v>
      </c>
      <c r="C1258" t="s">
        <v>105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178</v>
      </c>
      <c r="B1259">
        <v>2008</v>
      </c>
      <c r="C1259" t="s">
        <v>105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178</v>
      </c>
      <c r="B1260">
        <v>2007</v>
      </c>
      <c r="C1260" t="s">
        <v>105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178</v>
      </c>
      <c r="B1261">
        <v>2006</v>
      </c>
      <c r="C1261" t="s">
        <v>105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178</v>
      </c>
      <c r="B1262">
        <v>2005</v>
      </c>
      <c r="C1262" t="s">
        <v>105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178</v>
      </c>
      <c r="B1263">
        <v>2004</v>
      </c>
      <c r="C1263" t="s">
        <v>105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178</v>
      </c>
      <c r="B1264">
        <v>2003</v>
      </c>
      <c r="C1264" t="s">
        <v>105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178</v>
      </c>
      <c r="B1265">
        <v>2002</v>
      </c>
      <c r="C1265" t="s">
        <v>105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178</v>
      </c>
      <c r="B1266">
        <v>2001</v>
      </c>
      <c r="C1266" t="s">
        <v>105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178</v>
      </c>
      <c r="B1267">
        <v>2000</v>
      </c>
      <c r="C1267" t="s">
        <v>105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179</v>
      </c>
      <c r="B1268">
        <v>2015</v>
      </c>
      <c r="C1268" t="s">
        <v>97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179</v>
      </c>
      <c r="B1269">
        <v>2014</v>
      </c>
      <c r="C1269" t="s">
        <v>97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179</v>
      </c>
      <c r="B1270">
        <v>2013</v>
      </c>
      <c r="C1270" t="s">
        <v>97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179</v>
      </c>
      <c r="B1271">
        <v>2012</v>
      </c>
      <c r="C1271" t="s">
        <v>97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179</v>
      </c>
      <c r="B1272">
        <v>2011</v>
      </c>
      <c r="C1272" t="s">
        <v>97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179</v>
      </c>
      <c r="B1273">
        <v>2010</v>
      </c>
      <c r="C1273" t="s">
        <v>97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179</v>
      </c>
      <c r="B1274">
        <v>2009</v>
      </c>
      <c r="C1274" t="s">
        <v>97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179</v>
      </c>
      <c r="B1275">
        <v>2008</v>
      </c>
      <c r="C1275" t="s">
        <v>97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179</v>
      </c>
      <c r="B1276">
        <v>2007</v>
      </c>
      <c r="C1276" t="s">
        <v>97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179</v>
      </c>
      <c r="B1277">
        <v>2006</v>
      </c>
      <c r="C1277" t="s">
        <v>97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179</v>
      </c>
      <c r="B1278">
        <v>2005</v>
      </c>
      <c r="C1278" t="s">
        <v>97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179</v>
      </c>
      <c r="B1279">
        <v>2004</v>
      </c>
      <c r="C1279" t="s">
        <v>97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179</v>
      </c>
      <c r="B1280">
        <v>2003</v>
      </c>
      <c r="C1280" t="s">
        <v>97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179</v>
      </c>
      <c r="B1281">
        <v>2002</v>
      </c>
      <c r="C1281" t="s">
        <v>97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179</v>
      </c>
      <c r="B1282">
        <v>2001</v>
      </c>
      <c r="C1282" t="s">
        <v>97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179</v>
      </c>
      <c r="B1283">
        <v>2000</v>
      </c>
      <c r="C1283" t="s">
        <v>97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180</v>
      </c>
      <c r="B1284">
        <v>2015</v>
      </c>
      <c r="C1284" t="s">
        <v>105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180</v>
      </c>
      <c r="B1285">
        <v>2014</v>
      </c>
      <c r="C1285" t="s">
        <v>105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180</v>
      </c>
      <c r="B1286">
        <v>2013</v>
      </c>
      <c r="C1286" t="s">
        <v>105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180</v>
      </c>
      <c r="B1287">
        <v>2012</v>
      </c>
      <c r="C1287" t="s">
        <v>105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180</v>
      </c>
      <c r="B1288">
        <v>2011</v>
      </c>
      <c r="C1288" t="s">
        <v>105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180</v>
      </c>
      <c r="B1289">
        <v>2010</v>
      </c>
      <c r="C1289" t="s">
        <v>105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180</v>
      </c>
      <c r="B1290">
        <v>2009</v>
      </c>
      <c r="C1290" t="s">
        <v>105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180</v>
      </c>
      <c r="B1291">
        <v>2008</v>
      </c>
      <c r="C1291" t="s">
        <v>105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180</v>
      </c>
      <c r="B1292">
        <v>2007</v>
      </c>
      <c r="C1292" t="s">
        <v>105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180</v>
      </c>
      <c r="B1293">
        <v>2006</v>
      </c>
      <c r="C1293" t="s">
        <v>105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180</v>
      </c>
      <c r="B1294">
        <v>2005</v>
      </c>
      <c r="C1294" t="s">
        <v>105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180</v>
      </c>
      <c r="B1295">
        <v>2004</v>
      </c>
      <c r="C1295" t="s">
        <v>105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180</v>
      </c>
      <c r="B1296">
        <v>2003</v>
      </c>
      <c r="C1296" t="s">
        <v>105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180</v>
      </c>
      <c r="B1297">
        <v>2002</v>
      </c>
      <c r="C1297" t="s">
        <v>105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180</v>
      </c>
      <c r="B1298">
        <v>2001</v>
      </c>
      <c r="C1298" t="s">
        <v>105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180</v>
      </c>
      <c r="B1299">
        <v>2000</v>
      </c>
      <c r="C1299" t="s">
        <v>105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181</v>
      </c>
      <c r="B1300">
        <v>2015</v>
      </c>
      <c r="C1300" t="s">
        <v>97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181</v>
      </c>
      <c r="B1301">
        <v>2014</v>
      </c>
      <c r="C1301" t="s">
        <v>97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181</v>
      </c>
      <c r="B1302">
        <v>2013</v>
      </c>
      <c r="C1302" t="s">
        <v>97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181</v>
      </c>
      <c r="B1303">
        <v>2012</v>
      </c>
      <c r="C1303" t="s">
        <v>97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181</v>
      </c>
      <c r="B1304">
        <v>2011</v>
      </c>
      <c r="C1304" t="s">
        <v>97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181</v>
      </c>
      <c r="B1305">
        <v>2010</v>
      </c>
      <c r="C1305" t="s">
        <v>97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181</v>
      </c>
      <c r="B1306">
        <v>2009</v>
      </c>
      <c r="C1306" t="s">
        <v>97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181</v>
      </c>
      <c r="B1307">
        <v>2008</v>
      </c>
      <c r="C1307" t="s">
        <v>97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181</v>
      </c>
      <c r="B1308">
        <v>2007</v>
      </c>
      <c r="C1308" t="s">
        <v>97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181</v>
      </c>
      <c r="B1309">
        <v>2006</v>
      </c>
      <c r="C1309" t="s">
        <v>97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181</v>
      </c>
      <c r="B1310">
        <v>2005</v>
      </c>
      <c r="C1310" t="s">
        <v>97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181</v>
      </c>
      <c r="B1311">
        <v>2004</v>
      </c>
      <c r="C1311" t="s">
        <v>97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181</v>
      </c>
      <c r="B1312">
        <v>2003</v>
      </c>
      <c r="C1312" t="s">
        <v>97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181</v>
      </c>
      <c r="B1313">
        <v>2002</v>
      </c>
      <c r="C1313" t="s">
        <v>97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181</v>
      </c>
      <c r="B1314">
        <v>2001</v>
      </c>
      <c r="C1314" t="s">
        <v>97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181</v>
      </c>
      <c r="B1315">
        <v>2000</v>
      </c>
      <c r="C1315" t="s">
        <v>97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182</v>
      </c>
      <c r="B1316">
        <v>2015</v>
      </c>
      <c r="C1316" t="s">
        <v>105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182</v>
      </c>
      <c r="B1317">
        <v>2014</v>
      </c>
      <c r="C1317" t="s">
        <v>105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182</v>
      </c>
      <c r="B1318">
        <v>2013</v>
      </c>
      <c r="C1318" t="s">
        <v>105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182</v>
      </c>
      <c r="B1319">
        <v>2012</v>
      </c>
      <c r="C1319" t="s">
        <v>105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182</v>
      </c>
      <c r="B1320">
        <v>2011</v>
      </c>
      <c r="C1320" t="s">
        <v>105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182</v>
      </c>
      <c r="B1321">
        <v>2010</v>
      </c>
      <c r="C1321" t="s">
        <v>105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182</v>
      </c>
      <c r="B1322">
        <v>2009</v>
      </c>
      <c r="C1322" t="s">
        <v>105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182</v>
      </c>
      <c r="B1323">
        <v>2008</v>
      </c>
      <c r="C1323" t="s">
        <v>105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182</v>
      </c>
      <c r="B1324">
        <v>2007</v>
      </c>
      <c r="C1324" t="s">
        <v>105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182</v>
      </c>
      <c r="B1325">
        <v>2006</v>
      </c>
      <c r="C1325" t="s">
        <v>105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182</v>
      </c>
      <c r="B1326">
        <v>2005</v>
      </c>
      <c r="C1326" t="s">
        <v>105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182</v>
      </c>
      <c r="B1327">
        <v>2004</v>
      </c>
      <c r="C1327" t="s">
        <v>105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182</v>
      </c>
      <c r="B1328">
        <v>2003</v>
      </c>
      <c r="C1328" t="s">
        <v>105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182</v>
      </c>
      <c r="B1329">
        <v>2002</v>
      </c>
      <c r="C1329" t="s">
        <v>105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182</v>
      </c>
      <c r="B1330">
        <v>2001</v>
      </c>
      <c r="C1330" t="s">
        <v>105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182</v>
      </c>
      <c r="B1331">
        <v>2000</v>
      </c>
      <c r="C1331" t="s">
        <v>105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183</v>
      </c>
      <c r="B1332">
        <v>2015</v>
      </c>
      <c r="C1332" t="s">
        <v>97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183</v>
      </c>
      <c r="B1333">
        <v>2014</v>
      </c>
      <c r="C1333" t="s">
        <v>97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183</v>
      </c>
      <c r="B1334">
        <v>2013</v>
      </c>
      <c r="C1334" t="s">
        <v>97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183</v>
      </c>
      <c r="B1335">
        <v>2012</v>
      </c>
      <c r="C1335" t="s">
        <v>97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183</v>
      </c>
      <c r="B1336">
        <v>2011</v>
      </c>
      <c r="C1336" t="s">
        <v>97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183</v>
      </c>
      <c r="B1337">
        <v>2010</v>
      </c>
      <c r="C1337" t="s">
        <v>97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183</v>
      </c>
      <c r="B1338">
        <v>2009</v>
      </c>
      <c r="C1338" t="s">
        <v>97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183</v>
      </c>
      <c r="B1339">
        <v>2008</v>
      </c>
      <c r="C1339" t="s">
        <v>97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183</v>
      </c>
      <c r="B1340">
        <v>2007</v>
      </c>
      <c r="C1340" t="s">
        <v>97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183</v>
      </c>
      <c r="B1341">
        <v>2006</v>
      </c>
      <c r="C1341" t="s">
        <v>97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183</v>
      </c>
      <c r="B1342">
        <v>2005</v>
      </c>
      <c r="C1342" t="s">
        <v>97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183</v>
      </c>
      <c r="B1343">
        <v>2004</v>
      </c>
      <c r="C1343" t="s">
        <v>97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183</v>
      </c>
      <c r="B1344">
        <v>2003</v>
      </c>
      <c r="C1344" t="s">
        <v>97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183</v>
      </c>
      <c r="B1345">
        <v>2002</v>
      </c>
      <c r="C1345" t="s">
        <v>97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183</v>
      </c>
      <c r="B1346">
        <v>2001</v>
      </c>
      <c r="C1346" t="s">
        <v>97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183</v>
      </c>
      <c r="B1347">
        <v>2000</v>
      </c>
      <c r="C1347" t="s">
        <v>97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184</v>
      </c>
      <c r="B1348">
        <v>2015</v>
      </c>
      <c r="C1348" t="s">
        <v>97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184</v>
      </c>
      <c r="B1349">
        <v>2014</v>
      </c>
      <c r="C1349" t="s">
        <v>97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184</v>
      </c>
      <c r="B1350">
        <v>2013</v>
      </c>
      <c r="C1350" t="s">
        <v>97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184</v>
      </c>
      <c r="B1351">
        <v>2012</v>
      </c>
      <c r="C1351" t="s">
        <v>97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184</v>
      </c>
      <c r="B1352">
        <v>2011</v>
      </c>
      <c r="C1352" t="s">
        <v>97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184</v>
      </c>
      <c r="B1353">
        <v>2010</v>
      </c>
      <c r="C1353" t="s">
        <v>97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184</v>
      </c>
      <c r="B1354">
        <v>2009</v>
      </c>
      <c r="C1354" t="s">
        <v>97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184</v>
      </c>
      <c r="B1355">
        <v>2008</v>
      </c>
      <c r="C1355" t="s">
        <v>97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184</v>
      </c>
      <c r="B1356">
        <v>2007</v>
      </c>
      <c r="C1356" t="s">
        <v>97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184</v>
      </c>
      <c r="B1357">
        <v>2006</v>
      </c>
      <c r="C1357" t="s">
        <v>97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184</v>
      </c>
      <c r="B1358">
        <v>2005</v>
      </c>
      <c r="C1358" t="s">
        <v>97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184</v>
      </c>
      <c r="B1359">
        <v>2004</v>
      </c>
      <c r="C1359" t="s">
        <v>97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184</v>
      </c>
      <c r="B1360">
        <v>2003</v>
      </c>
      <c r="C1360" t="s">
        <v>97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184</v>
      </c>
      <c r="B1361">
        <v>2002</v>
      </c>
      <c r="C1361" t="s">
        <v>97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184</v>
      </c>
      <c r="B1362">
        <v>2001</v>
      </c>
      <c r="C1362" t="s">
        <v>97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184</v>
      </c>
      <c r="B1363">
        <v>2000</v>
      </c>
      <c r="C1363" t="s">
        <v>97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185</v>
      </c>
      <c r="B1364">
        <v>2015</v>
      </c>
      <c r="C1364" t="s">
        <v>97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185</v>
      </c>
      <c r="B1365">
        <v>2014</v>
      </c>
      <c r="C1365" t="s">
        <v>97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185</v>
      </c>
      <c r="B1366">
        <v>2013</v>
      </c>
      <c r="C1366" t="s">
        <v>97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185</v>
      </c>
      <c r="B1367">
        <v>2012</v>
      </c>
      <c r="C1367" t="s">
        <v>97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185</v>
      </c>
      <c r="B1368">
        <v>2011</v>
      </c>
      <c r="C1368" t="s">
        <v>97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185</v>
      </c>
      <c r="B1369">
        <v>2010</v>
      </c>
      <c r="C1369" t="s">
        <v>97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185</v>
      </c>
      <c r="B1370">
        <v>2009</v>
      </c>
      <c r="C1370" t="s">
        <v>97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185</v>
      </c>
      <c r="B1371">
        <v>2008</v>
      </c>
      <c r="C1371" t="s">
        <v>97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185</v>
      </c>
      <c r="B1372">
        <v>2007</v>
      </c>
      <c r="C1372" t="s">
        <v>97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185</v>
      </c>
      <c r="B1373">
        <v>2006</v>
      </c>
      <c r="C1373" t="s">
        <v>97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185</v>
      </c>
      <c r="B1374">
        <v>2005</v>
      </c>
      <c r="C1374" t="s">
        <v>97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185</v>
      </c>
      <c r="B1375">
        <v>2004</v>
      </c>
      <c r="C1375" t="s">
        <v>97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185</v>
      </c>
      <c r="B1376">
        <v>2003</v>
      </c>
      <c r="C1376" t="s">
        <v>97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185</v>
      </c>
      <c r="B1377">
        <v>2002</v>
      </c>
      <c r="C1377" t="s">
        <v>97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185</v>
      </c>
      <c r="B1378">
        <v>2001</v>
      </c>
      <c r="C1378" t="s">
        <v>97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185</v>
      </c>
      <c r="B1379">
        <v>2000</v>
      </c>
      <c r="C1379" t="s">
        <v>97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186</v>
      </c>
      <c r="B1380">
        <v>2015</v>
      </c>
      <c r="C1380" t="s">
        <v>97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186</v>
      </c>
      <c r="B1381">
        <v>2014</v>
      </c>
      <c r="C1381" t="s">
        <v>97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186</v>
      </c>
      <c r="B1382">
        <v>2013</v>
      </c>
      <c r="C1382" t="s">
        <v>97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186</v>
      </c>
      <c r="B1383">
        <v>2012</v>
      </c>
      <c r="C1383" t="s">
        <v>97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186</v>
      </c>
      <c r="B1384">
        <v>2011</v>
      </c>
      <c r="C1384" t="s">
        <v>97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186</v>
      </c>
      <c r="B1385">
        <v>2010</v>
      </c>
      <c r="C1385" t="s">
        <v>97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186</v>
      </c>
      <c r="B1386">
        <v>2009</v>
      </c>
      <c r="C1386" t="s">
        <v>97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186</v>
      </c>
      <c r="B1387">
        <v>2008</v>
      </c>
      <c r="C1387" t="s">
        <v>97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186</v>
      </c>
      <c r="B1388">
        <v>2007</v>
      </c>
      <c r="C1388" t="s">
        <v>97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186</v>
      </c>
      <c r="B1389">
        <v>2006</v>
      </c>
      <c r="C1389" t="s">
        <v>97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186</v>
      </c>
      <c r="B1390">
        <v>2005</v>
      </c>
      <c r="C1390" t="s">
        <v>97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186</v>
      </c>
      <c r="B1391">
        <v>2004</v>
      </c>
      <c r="C1391" t="s">
        <v>97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186</v>
      </c>
      <c r="B1392">
        <v>2003</v>
      </c>
      <c r="C1392" t="s">
        <v>97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186</v>
      </c>
      <c r="B1393">
        <v>2002</v>
      </c>
      <c r="C1393" t="s">
        <v>97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186</v>
      </c>
      <c r="B1394">
        <v>2001</v>
      </c>
      <c r="C1394" t="s">
        <v>97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186</v>
      </c>
      <c r="B1395">
        <v>2000</v>
      </c>
      <c r="C1395" t="s">
        <v>97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187</v>
      </c>
      <c r="B1396">
        <v>2015</v>
      </c>
      <c r="C1396" t="s">
        <v>97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187</v>
      </c>
      <c r="B1397">
        <v>2014</v>
      </c>
      <c r="C1397" t="s">
        <v>97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187</v>
      </c>
      <c r="B1398">
        <v>2013</v>
      </c>
      <c r="C1398" t="s">
        <v>97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187</v>
      </c>
      <c r="B1399">
        <v>2012</v>
      </c>
      <c r="C1399" t="s">
        <v>97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187</v>
      </c>
      <c r="B1400">
        <v>2011</v>
      </c>
      <c r="C1400" t="s">
        <v>97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187</v>
      </c>
      <c r="B1401">
        <v>2010</v>
      </c>
      <c r="C1401" t="s">
        <v>97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187</v>
      </c>
      <c r="B1402">
        <v>2009</v>
      </c>
      <c r="C1402" t="s">
        <v>97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187</v>
      </c>
      <c r="B1403">
        <v>2008</v>
      </c>
      <c r="C1403" t="s">
        <v>97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187</v>
      </c>
      <c r="B1404">
        <v>2007</v>
      </c>
      <c r="C1404" t="s">
        <v>97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187</v>
      </c>
      <c r="B1405">
        <v>2006</v>
      </c>
      <c r="C1405" t="s">
        <v>97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187</v>
      </c>
      <c r="B1406">
        <v>2005</v>
      </c>
      <c r="C1406" t="s">
        <v>97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187</v>
      </c>
      <c r="B1407">
        <v>2004</v>
      </c>
      <c r="C1407" t="s">
        <v>97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187</v>
      </c>
      <c r="B1408">
        <v>2003</v>
      </c>
      <c r="C1408" t="s">
        <v>97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187</v>
      </c>
      <c r="B1409">
        <v>2002</v>
      </c>
      <c r="C1409" t="s">
        <v>97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187</v>
      </c>
      <c r="B1410">
        <v>2001</v>
      </c>
      <c r="C1410" t="s">
        <v>97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187</v>
      </c>
      <c r="B1411">
        <v>2000</v>
      </c>
      <c r="C1411" t="s">
        <v>97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188</v>
      </c>
      <c r="B1412">
        <v>2015</v>
      </c>
      <c r="C1412" t="s">
        <v>97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188</v>
      </c>
      <c r="B1413">
        <v>2014</v>
      </c>
      <c r="C1413" t="s">
        <v>97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188</v>
      </c>
      <c r="B1414">
        <v>2013</v>
      </c>
      <c r="C1414" t="s">
        <v>97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188</v>
      </c>
      <c r="B1415">
        <v>2012</v>
      </c>
      <c r="C1415" t="s">
        <v>97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188</v>
      </c>
      <c r="B1416">
        <v>2011</v>
      </c>
      <c r="C1416" t="s">
        <v>97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188</v>
      </c>
      <c r="B1417">
        <v>2010</v>
      </c>
      <c r="C1417" t="s">
        <v>97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188</v>
      </c>
      <c r="B1418">
        <v>2009</v>
      </c>
      <c r="C1418" t="s">
        <v>97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188</v>
      </c>
      <c r="B1419">
        <v>2008</v>
      </c>
      <c r="C1419" t="s">
        <v>97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188</v>
      </c>
      <c r="B1420">
        <v>2007</v>
      </c>
      <c r="C1420" t="s">
        <v>97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188</v>
      </c>
      <c r="B1421">
        <v>2006</v>
      </c>
      <c r="C1421" t="s">
        <v>97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188</v>
      </c>
      <c r="B1422">
        <v>2005</v>
      </c>
      <c r="C1422" t="s">
        <v>97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188</v>
      </c>
      <c r="B1423">
        <v>2004</v>
      </c>
      <c r="C1423" t="s">
        <v>97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188</v>
      </c>
      <c r="B1424">
        <v>2003</v>
      </c>
      <c r="C1424" t="s">
        <v>97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188</v>
      </c>
      <c r="B1425">
        <v>2002</v>
      </c>
      <c r="C1425" t="s">
        <v>97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188</v>
      </c>
      <c r="B1426">
        <v>2001</v>
      </c>
      <c r="C1426" t="s">
        <v>97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188</v>
      </c>
      <c r="B1427">
        <v>2000</v>
      </c>
      <c r="C1427" t="s">
        <v>97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189</v>
      </c>
      <c r="B1428">
        <v>2015</v>
      </c>
      <c r="C1428" t="s">
        <v>97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189</v>
      </c>
      <c r="B1429">
        <v>2014</v>
      </c>
      <c r="C1429" t="s">
        <v>97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189</v>
      </c>
      <c r="B1430">
        <v>2013</v>
      </c>
      <c r="C1430" t="s">
        <v>97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189</v>
      </c>
      <c r="B1431">
        <v>2012</v>
      </c>
      <c r="C1431" t="s">
        <v>97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189</v>
      </c>
      <c r="B1432">
        <v>2011</v>
      </c>
      <c r="C1432" t="s">
        <v>97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189</v>
      </c>
      <c r="B1433">
        <v>2010</v>
      </c>
      <c r="C1433" t="s">
        <v>97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189</v>
      </c>
      <c r="B1434">
        <v>2009</v>
      </c>
      <c r="C1434" t="s">
        <v>97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189</v>
      </c>
      <c r="B1435">
        <v>2008</v>
      </c>
      <c r="C1435" t="s">
        <v>97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189</v>
      </c>
      <c r="B1436">
        <v>2007</v>
      </c>
      <c r="C1436" t="s">
        <v>97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189</v>
      </c>
      <c r="B1437">
        <v>2006</v>
      </c>
      <c r="C1437" t="s">
        <v>97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189</v>
      </c>
      <c r="B1438">
        <v>2005</v>
      </c>
      <c r="C1438" t="s">
        <v>97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189</v>
      </c>
      <c r="B1439">
        <v>2004</v>
      </c>
      <c r="C1439" t="s">
        <v>97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189</v>
      </c>
      <c r="B1440">
        <v>2003</v>
      </c>
      <c r="C1440" t="s">
        <v>97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189</v>
      </c>
      <c r="B1441">
        <v>2002</v>
      </c>
      <c r="C1441" t="s">
        <v>97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189</v>
      </c>
      <c r="B1442">
        <v>2001</v>
      </c>
      <c r="C1442" t="s">
        <v>97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189</v>
      </c>
      <c r="B1443">
        <v>2000</v>
      </c>
      <c r="C1443" t="s">
        <v>97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190</v>
      </c>
      <c r="B1444">
        <v>2015</v>
      </c>
      <c r="C1444" t="s">
        <v>105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190</v>
      </c>
      <c r="B1445">
        <v>2014</v>
      </c>
      <c r="C1445" t="s">
        <v>105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190</v>
      </c>
      <c r="B1446">
        <v>2013</v>
      </c>
      <c r="C1446" t="s">
        <v>105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190</v>
      </c>
      <c r="B1447">
        <v>2012</v>
      </c>
      <c r="C1447" t="s">
        <v>105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190</v>
      </c>
      <c r="B1448">
        <v>2011</v>
      </c>
      <c r="C1448" t="s">
        <v>105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190</v>
      </c>
      <c r="B1449">
        <v>2010</v>
      </c>
      <c r="C1449" t="s">
        <v>105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190</v>
      </c>
      <c r="B1450">
        <v>2009</v>
      </c>
      <c r="C1450" t="s">
        <v>105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190</v>
      </c>
      <c r="B1451">
        <v>2008</v>
      </c>
      <c r="C1451" t="s">
        <v>105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190</v>
      </c>
      <c r="B1452">
        <v>2007</v>
      </c>
      <c r="C1452" t="s">
        <v>105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190</v>
      </c>
      <c r="B1453">
        <v>2006</v>
      </c>
      <c r="C1453" t="s">
        <v>105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190</v>
      </c>
      <c r="B1454">
        <v>2005</v>
      </c>
      <c r="C1454" t="s">
        <v>105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190</v>
      </c>
      <c r="B1455">
        <v>2004</v>
      </c>
      <c r="C1455" t="s">
        <v>105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190</v>
      </c>
      <c r="B1456">
        <v>2003</v>
      </c>
      <c r="C1456" t="s">
        <v>105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190</v>
      </c>
      <c r="B1457">
        <v>2002</v>
      </c>
      <c r="C1457" t="s">
        <v>105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190</v>
      </c>
      <c r="B1458">
        <v>2001</v>
      </c>
      <c r="C1458" t="s">
        <v>105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190</v>
      </c>
      <c r="B1459">
        <v>2000</v>
      </c>
      <c r="C1459" t="s">
        <v>105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191</v>
      </c>
      <c r="B1460">
        <v>2015</v>
      </c>
      <c r="C1460" t="s">
        <v>97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191</v>
      </c>
      <c r="B1461">
        <v>2014</v>
      </c>
      <c r="C1461" t="s">
        <v>97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191</v>
      </c>
      <c r="B1462">
        <v>2013</v>
      </c>
      <c r="C1462" t="s">
        <v>97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191</v>
      </c>
      <c r="B1463">
        <v>2012</v>
      </c>
      <c r="C1463" t="s">
        <v>97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191</v>
      </c>
      <c r="B1464">
        <v>2011</v>
      </c>
      <c r="C1464" t="s">
        <v>97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191</v>
      </c>
      <c r="B1465">
        <v>2010</v>
      </c>
      <c r="C1465" t="s">
        <v>97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191</v>
      </c>
      <c r="B1466">
        <v>2009</v>
      </c>
      <c r="C1466" t="s">
        <v>97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191</v>
      </c>
      <c r="B1467">
        <v>2008</v>
      </c>
      <c r="C1467" t="s">
        <v>97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191</v>
      </c>
      <c r="B1468">
        <v>2007</v>
      </c>
      <c r="C1468" t="s">
        <v>97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191</v>
      </c>
      <c r="B1469">
        <v>2006</v>
      </c>
      <c r="C1469" t="s">
        <v>97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191</v>
      </c>
      <c r="B1470">
        <v>2005</v>
      </c>
      <c r="C1470" t="s">
        <v>97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191</v>
      </c>
      <c r="B1471">
        <v>2004</v>
      </c>
      <c r="C1471" t="s">
        <v>97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191</v>
      </c>
      <c r="B1472">
        <v>2003</v>
      </c>
      <c r="C1472" t="s">
        <v>97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191</v>
      </c>
      <c r="B1473">
        <v>2002</v>
      </c>
      <c r="C1473" t="s">
        <v>97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191</v>
      </c>
      <c r="B1474">
        <v>2001</v>
      </c>
      <c r="C1474" t="s">
        <v>97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191</v>
      </c>
      <c r="B1475">
        <v>2000</v>
      </c>
      <c r="C1475" t="s">
        <v>97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192</v>
      </c>
      <c r="B1476">
        <v>2015</v>
      </c>
      <c r="C1476" t="s">
        <v>97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192</v>
      </c>
      <c r="B1477">
        <v>2014</v>
      </c>
      <c r="C1477" t="s">
        <v>97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192</v>
      </c>
      <c r="B1478">
        <v>2013</v>
      </c>
      <c r="C1478" t="s">
        <v>97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192</v>
      </c>
      <c r="B1479">
        <v>2012</v>
      </c>
      <c r="C1479" t="s">
        <v>97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192</v>
      </c>
      <c r="B1480">
        <v>2011</v>
      </c>
      <c r="C1480" t="s">
        <v>97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192</v>
      </c>
      <c r="B1481">
        <v>2010</v>
      </c>
      <c r="C1481" t="s">
        <v>97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192</v>
      </c>
      <c r="B1482">
        <v>2009</v>
      </c>
      <c r="C1482" t="s">
        <v>97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192</v>
      </c>
      <c r="B1483">
        <v>2008</v>
      </c>
      <c r="C1483" t="s">
        <v>97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192</v>
      </c>
      <c r="B1484">
        <v>2007</v>
      </c>
      <c r="C1484" t="s">
        <v>97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192</v>
      </c>
      <c r="B1485">
        <v>2006</v>
      </c>
      <c r="C1485" t="s">
        <v>97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192</v>
      </c>
      <c r="B1486">
        <v>2005</v>
      </c>
      <c r="C1486" t="s">
        <v>97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192</v>
      </c>
      <c r="B1487">
        <v>2004</v>
      </c>
      <c r="C1487" t="s">
        <v>97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192</v>
      </c>
      <c r="B1488">
        <v>2003</v>
      </c>
      <c r="C1488" t="s">
        <v>97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192</v>
      </c>
      <c r="B1489">
        <v>2002</v>
      </c>
      <c r="C1489" t="s">
        <v>97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192</v>
      </c>
      <c r="B1490">
        <v>2001</v>
      </c>
      <c r="C1490" t="s">
        <v>97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192</v>
      </c>
      <c r="B1491">
        <v>2000</v>
      </c>
      <c r="C1491" t="s">
        <v>97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193</v>
      </c>
      <c r="B1492">
        <v>2015</v>
      </c>
      <c r="C1492" t="s">
        <v>97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193</v>
      </c>
      <c r="B1493">
        <v>2014</v>
      </c>
      <c r="C1493" t="s">
        <v>97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193</v>
      </c>
      <c r="B1494">
        <v>2013</v>
      </c>
      <c r="C1494" t="s">
        <v>97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193</v>
      </c>
      <c r="B1495">
        <v>2012</v>
      </c>
      <c r="C1495" t="s">
        <v>97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193</v>
      </c>
      <c r="B1496">
        <v>2011</v>
      </c>
      <c r="C1496" t="s">
        <v>97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193</v>
      </c>
      <c r="B1497">
        <v>2010</v>
      </c>
      <c r="C1497" t="s">
        <v>97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193</v>
      </c>
      <c r="B1498">
        <v>2009</v>
      </c>
      <c r="C1498" t="s">
        <v>97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193</v>
      </c>
      <c r="B1499">
        <v>2008</v>
      </c>
      <c r="C1499" t="s">
        <v>97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193</v>
      </c>
      <c r="B1500">
        <v>2007</v>
      </c>
      <c r="C1500" t="s">
        <v>97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193</v>
      </c>
      <c r="B1501">
        <v>2006</v>
      </c>
      <c r="C1501" t="s">
        <v>97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193</v>
      </c>
      <c r="B1502">
        <v>2005</v>
      </c>
      <c r="C1502" t="s">
        <v>97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193</v>
      </c>
      <c r="B1503">
        <v>2004</v>
      </c>
      <c r="C1503" t="s">
        <v>97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193</v>
      </c>
      <c r="B1504">
        <v>2003</v>
      </c>
      <c r="C1504" t="s">
        <v>97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193</v>
      </c>
      <c r="B1505">
        <v>2002</v>
      </c>
      <c r="C1505" t="s">
        <v>97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193</v>
      </c>
      <c r="B1506">
        <v>2001</v>
      </c>
      <c r="C1506" t="s">
        <v>97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193</v>
      </c>
      <c r="B1507">
        <v>2000</v>
      </c>
      <c r="C1507" t="s">
        <v>97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194</v>
      </c>
      <c r="B1508">
        <v>2015</v>
      </c>
      <c r="C1508" t="s">
        <v>97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194</v>
      </c>
      <c r="B1509">
        <v>2014</v>
      </c>
      <c r="C1509" t="s">
        <v>97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194</v>
      </c>
      <c r="B1510">
        <v>2013</v>
      </c>
      <c r="C1510" t="s">
        <v>97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194</v>
      </c>
      <c r="B1511">
        <v>2012</v>
      </c>
      <c r="C1511" t="s">
        <v>97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194</v>
      </c>
      <c r="B1512">
        <v>2011</v>
      </c>
      <c r="C1512" t="s">
        <v>97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194</v>
      </c>
      <c r="B1513">
        <v>2010</v>
      </c>
      <c r="C1513" t="s">
        <v>97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194</v>
      </c>
      <c r="B1514">
        <v>2009</v>
      </c>
      <c r="C1514" t="s">
        <v>97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194</v>
      </c>
      <c r="B1515">
        <v>2008</v>
      </c>
      <c r="C1515" t="s">
        <v>97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194</v>
      </c>
      <c r="B1516">
        <v>2007</v>
      </c>
      <c r="C1516" t="s">
        <v>97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194</v>
      </c>
      <c r="B1517">
        <v>2006</v>
      </c>
      <c r="C1517" t="s">
        <v>97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194</v>
      </c>
      <c r="B1518">
        <v>2005</v>
      </c>
      <c r="C1518" t="s">
        <v>97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194</v>
      </c>
      <c r="B1519">
        <v>2004</v>
      </c>
      <c r="C1519" t="s">
        <v>97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194</v>
      </c>
      <c r="B1520">
        <v>2003</v>
      </c>
      <c r="C1520" t="s">
        <v>97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194</v>
      </c>
      <c r="B1521">
        <v>2002</v>
      </c>
      <c r="C1521" t="s">
        <v>97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194</v>
      </c>
      <c r="B1522">
        <v>2001</v>
      </c>
      <c r="C1522" t="s">
        <v>97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194</v>
      </c>
      <c r="B1523">
        <v>2000</v>
      </c>
      <c r="C1523" t="s">
        <v>97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195</v>
      </c>
      <c r="B1524">
        <v>2015</v>
      </c>
      <c r="C1524" t="s">
        <v>105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195</v>
      </c>
      <c r="B1525">
        <v>2014</v>
      </c>
      <c r="C1525" t="s">
        <v>105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195</v>
      </c>
      <c r="B1526">
        <v>2013</v>
      </c>
      <c r="C1526" t="s">
        <v>105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195</v>
      </c>
      <c r="B1527">
        <v>2012</v>
      </c>
      <c r="C1527" t="s">
        <v>105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195</v>
      </c>
      <c r="B1528">
        <v>2011</v>
      </c>
      <c r="C1528" t="s">
        <v>105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195</v>
      </c>
      <c r="B1529">
        <v>2010</v>
      </c>
      <c r="C1529" t="s">
        <v>105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195</v>
      </c>
      <c r="B1530">
        <v>2009</v>
      </c>
      <c r="C1530" t="s">
        <v>105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195</v>
      </c>
      <c r="B1531">
        <v>2008</v>
      </c>
      <c r="C1531" t="s">
        <v>105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195</v>
      </c>
      <c r="B1532">
        <v>2007</v>
      </c>
      <c r="C1532" t="s">
        <v>105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195</v>
      </c>
      <c r="B1533">
        <v>2006</v>
      </c>
      <c r="C1533" t="s">
        <v>105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195</v>
      </c>
      <c r="B1534">
        <v>2005</v>
      </c>
      <c r="C1534" t="s">
        <v>105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195</v>
      </c>
      <c r="B1535">
        <v>2004</v>
      </c>
      <c r="C1535" t="s">
        <v>105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195</v>
      </c>
      <c r="B1536">
        <v>2003</v>
      </c>
      <c r="C1536" t="s">
        <v>105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195</v>
      </c>
      <c r="B1537">
        <v>2002</v>
      </c>
      <c r="C1537" t="s">
        <v>105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195</v>
      </c>
      <c r="B1538">
        <v>2001</v>
      </c>
      <c r="C1538" t="s">
        <v>105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195</v>
      </c>
      <c r="B1539">
        <v>2000</v>
      </c>
      <c r="C1539" t="s">
        <v>105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196</v>
      </c>
      <c r="B1540">
        <v>2015</v>
      </c>
      <c r="C1540" t="s">
        <v>105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196</v>
      </c>
      <c r="B1541">
        <v>2014</v>
      </c>
      <c r="C1541" t="s">
        <v>105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196</v>
      </c>
      <c r="B1542">
        <v>2013</v>
      </c>
      <c r="C1542" t="s">
        <v>105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196</v>
      </c>
      <c r="B1543">
        <v>2012</v>
      </c>
      <c r="C1543" t="s">
        <v>105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196</v>
      </c>
      <c r="B1544">
        <v>2011</v>
      </c>
      <c r="C1544" t="s">
        <v>105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196</v>
      </c>
      <c r="B1545">
        <v>2010</v>
      </c>
      <c r="C1545" t="s">
        <v>105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196</v>
      </c>
      <c r="B1546">
        <v>2009</v>
      </c>
      <c r="C1546" t="s">
        <v>105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196</v>
      </c>
      <c r="B1547">
        <v>2008</v>
      </c>
      <c r="C1547" t="s">
        <v>105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196</v>
      </c>
      <c r="B1548">
        <v>2007</v>
      </c>
      <c r="C1548" t="s">
        <v>105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196</v>
      </c>
      <c r="B1549">
        <v>2006</v>
      </c>
      <c r="C1549" t="s">
        <v>105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196</v>
      </c>
      <c r="B1550">
        <v>2005</v>
      </c>
      <c r="C1550" t="s">
        <v>105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196</v>
      </c>
      <c r="B1551">
        <v>2004</v>
      </c>
      <c r="C1551" t="s">
        <v>105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196</v>
      </c>
      <c r="B1552">
        <v>2003</v>
      </c>
      <c r="C1552" t="s">
        <v>105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196</v>
      </c>
      <c r="B1553">
        <v>2002</v>
      </c>
      <c r="C1553" t="s">
        <v>105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196</v>
      </c>
      <c r="B1554">
        <v>2001</v>
      </c>
      <c r="C1554" t="s">
        <v>105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196</v>
      </c>
      <c r="B1555">
        <v>2000</v>
      </c>
      <c r="C1555" t="s">
        <v>105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197</v>
      </c>
      <c r="B1556">
        <v>2015</v>
      </c>
      <c r="C1556" t="s">
        <v>97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197</v>
      </c>
      <c r="B1557">
        <v>2014</v>
      </c>
      <c r="C1557" t="s">
        <v>97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197</v>
      </c>
      <c r="B1558">
        <v>2013</v>
      </c>
      <c r="C1558" t="s">
        <v>97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197</v>
      </c>
      <c r="B1559">
        <v>2012</v>
      </c>
      <c r="C1559" t="s">
        <v>97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197</v>
      </c>
      <c r="B1560">
        <v>2011</v>
      </c>
      <c r="C1560" t="s">
        <v>97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197</v>
      </c>
      <c r="B1561">
        <v>2010</v>
      </c>
      <c r="C1561" t="s">
        <v>97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197</v>
      </c>
      <c r="B1562">
        <v>2009</v>
      </c>
      <c r="C1562" t="s">
        <v>97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197</v>
      </c>
      <c r="B1563">
        <v>2008</v>
      </c>
      <c r="C1563" t="s">
        <v>97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197</v>
      </c>
      <c r="B1564">
        <v>2007</v>
      </c>
      <c r="C1564" t="s">
        <v>97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197</v>
      </c>
      <c r="B1565">
        <v>2006</v>
      </c>
      <c r="C1565" t="s">
        <v>97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197</v>
      </c>
      <c r="B1566">
        <v>2005</v>
      </c>
      <c r="C1566" t="s">
        <v>97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197</v>
      </c>
      <c r="B1567">
        <v>2004</v>
      </c>
      <c r="C1567" t="s">
        <v>97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197</v>
      </c>
      <c r="B1568">
        <v>2003</v>
      </c>
      <c r="C1568" t="s">
        <v>97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197</v>
      </c>
      <c r="B1569">
        <v>2002</v>
      </c>
      <c r="C1569" t="s">
        <v>97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197</v>
      </c>
      <c r="B1570">
        <v>2001</v>
      </c>
      <c r="C1570" t="s">
        <v>97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197</v>
      </c>
      <c r="B1571">
        <v>2000</v>
      </c>
      <c r="C1571" t="s">
        <v>97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198</v>
      </c>
      <c r="B1572">
        <v>2015</v>
      </c>
      <c r="C1572" t="s">
        <v>97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198</v>
      </c>
      <c r="B1573">
        <v>2014</v>
      </c>
      <c r="C1573" t="s">
        <v>97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198</v>
      </c>
      <c r="B1574">
        <v>2013</v>
      </c>
      <c r="C1574" t="s">
        <v>97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198</v>
      </c>
      <c r="B1575">
        <v>2012</v>
      </c>
      <c r="C1575" t="s">
        <v>97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198</v>
      </c>
      <c r="B1576">
        <v>2011</v>
      </c>
      <c r="C1576" t="s">
        <v>97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198</v>
      </c>
      <c r="B1577">
        <v>2010</v>
      </c>
      <c r="C1577" t="s">
        <v>97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198</v>
      </c>
      <c r="B1578">
        <v>2009</v>
      </c>
      <c r="C1578" t="s">
        <v>97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198</v>
      </c>
      <c r="B1579">
        <v>2008</v>
      </c>
      <c r="C1579" t="s">
        <v>97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198</v>
      </c>
      <c r="B1580">
        <v>2007</v>
      </c>
      <c r="C1580" t="s">
        <v>97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198</v>
      </c>
      <c r="B1581">
        <v>2006</v>
      </c>
      <c r="C1581" t="s">
        <v>97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198</v>
      </c>
      <c r="B1582">
        <v>2005</v>
      </c>
      <c r="C1582" t="s">
        <v>97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198</v>
      </c>
      <c r="B1583">
        <v>2004</v>
      </c>
      <c r="C1583" t="s">
        <v>97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198</v>
      </c>
      <c r="B1584">
        <v>2003</v>
      </c>
      <c r="C1584" t="s">
        <v>97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198</v>
      </c>
      <c r="B1585">
        <v>2002</v>
      </c>
      <c r="C1585" t="s">
        <v>97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198</v>
      </c>
      <c r="B1586">
        <v>2001</v>
      </c>
      <c r="C1586" t="s">
        <v>97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198</v>
      </c>
      <c r="B1587">
        <v>2000</v>
      </c>
      <c r="C1587" t="s">
        <v>97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199</v>
      </c>
      <c r="B1588">
        <v>2015</v>
      </c>
      <c r="C1588" t="s">
        <v>97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199</v>
      </c>
      <c r="B1589">
        <v>2014</v>
      </c>
      <c r="C1589" t="s">
        <v>97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199</v>
      </c>
      <c r="B1590">
        <v>2013</v>
      </c>
      <c r="C1590" t="s">
        <v>97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199</v>
      </c>
      <c r="B1591">
        <v>2012</v>
      </c>
      <c r="C1591" t="s">
        <v>97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199</v>
      </c>
      <c r="B1592">
        <v>2011</v>
      </c>
      <c r="C1592" t="s">
        <v>97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199</v>
      </c>
      <c r="B1593">
        <v>2010</v>
      </c>
      <c r="C1593" t="s">
        <v>97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199</v>
      </c>
      <c r="B1594">
        <v>2009</v>
      </c>
      <c r="C1594" t="s">
        <v>97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199</v>
      </c>
      <c r="B1595">
        <v>2008</v>
      </c>
      <c r="C1595" t="s">
        <v>97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199</v>
      </c>
      <c r="B1596">
        <v>2007</v>
      </c>
      <c r="C1596" t="s">
        <v>97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199</v>
      </c>
      <c r="B1597">
        <v>2006</v>
      </c>
      <c r="C1597" t="s">
        <v>97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199</v>
      </c>
      <c r="B1598">
        <v>2005</v>
      </c>
      <c r="C1598" t="s">
        <v>97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199</v>
      </c>
      <c r="B1599">
        <v>2004</v>
      </c>
      <c r="C1599" t="s">
        <v>97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199</v>
      </c>
      <c r="B1600">
        <v>2003</v>
      </c>
      <c r="C1600" t="s">
        <v>97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199</v>
      </c>
      <c r="B1601">
        <v>2002</v>
      </c>
      <c r="C1601" t="s">
        <v>97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199</v>
      </c>
      <c r="B1602">
        <v>2001</v>
      </c>
      <c r="C1602" t="s">
        <v>97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199</v>
      </c>
      <c r="B1603">
        <v>2000</v>
      </c>
      <c r="C1603" t="s">
        <v>97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200</v>
      </c>
      <c r="B1604">
        <v>2015</v>
      </c>
      <c r="C1604" t="s">
        <v>97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200</v>
      </c>
      <c r="B1605">
        <v>2014</v>
      </c>
      <c r="C1605" t="s">
        <v>97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200</v>
      </c>
      <c r="B1606">
        <v>2013</v>
      </c>
      <c r="C1606" t="s">
        <v>97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200</v>
      </c>
      <c r="B1607">
        <v>2012</v>
      </c>
      <c r="C1607" t="s">
        <v>97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200</v>
      </c>
      <c r="B1608">
        <v>2011</v>
      </c>
      <c r="C1608" t="s">
        <v>97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200</v>
      </c>
      <c r="B1609">
        <v>2010</v>
      </c>
      <c r="C1609" t="s">
        <v>97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200</v>
      </c>
      <c r="B1610">
        <v>2009</v>
      </c>
      <c r="C1610" t="s">
        <v>97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200</v>
      </c>
      <c r="B1611">
        <v>2008</v>
      </c>
      <c r="C1611" t="s">
        <v>97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200</v>
      </c>
      <c r="B1612">
        <v>2007</v>
      </c>
      <c r="C1612" t="s">
        <v>97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200</v>
      </c>
      <c r="B1613">
        <v>2006</v>
      </c>
      <c r="C1613" t="s">
        <v>97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200</v>
      </c>
      <c r="B1614">
        <v>2005</v>
      </c>
      <c r="C1614" t="s">
        <v>97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200</v>
      </c>
      <c r="B1615">
        <v>2004</v>
      </c>
      <c r="C1615" t="s">
        <v>97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200</v>
      </c>
      <c r="B1616">
        <v>2003</v>
      </c>
      <c r="C1616" t="s">
        <v>97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200</v>
      </c>
      <c r="B1617">
        <v>2002</v>
      </c>
      <c r="C1617" t="s">
        <v>97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200</v>
      </c>
      <c r="B1618">
        <v>2001</v>
      </c>
      <c r="C1618" t="s">
        <v>97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200</v>
      </c>
      <c r="B1619">
        <v>2000</v>
      </c>
      <c r="C1619" t="s">
        <v>97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201</v>
      </c>
      <c r="B1620">
        <v>2015</v>
      </c>
      <c r="C1620" t="s">
        <v>97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201</v>
      </c>
      <c r="B1621">
        <v>2014</v>
      </c>
      <c r="C1621" t="s">
        <v>97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201</v>
      </c>
      <c r="B1622">
        <v>2013</v>
      </c>
      <c r="C1622" t="s">
        <v>97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201</v>
      </c>
      <c r="B1623">
        <v>2012</v>
      </c>
      <c r="C1623" t="s">
        <v>97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201</v>
      </c>
      <c r="B1624">
        <v>2011</v>
      </c>
      <c r="C1624" t="s">
        <v>97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201</v>
      </c>
      <c r="B1625">
        <v>2010</v>
      </c>
      <c r="C1625" t="s">
        <v>97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201</v>
      </c>
      <c r="B1626">
        <v>2009</v>
      </c>
      <c r="C1626" t="s">
        <v>97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201</v>
      </c>
      <c r="B1627">
        <v>2008</v>
      </c>
      <c r="C1627" t="s">
        <v>97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201</v>
      </c>
      <c r="B1628">
        <v>2007</v>
      </c>
      <c r="C1628" t="s">
        <v>97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201</v>
      </c>
      <c r="B1629">
        <v>2006</v>
      </c>
      <c r="C1629" t="s">
        <v>97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201</v>
      </c>
      <c r="B1630">
        <v>2005</v>
      </c>
      <c r="C1630" t="s">
        <v>97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201</v>
      </c>
      <c r="B1631">
        <v>2004</v>
      </c>
      <c r="C1631" t="s">
        <v>97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201</v>
      </c>
      <c r="B1632">
        <v>2003</v>
      </c>
      <c r="C1632" t="s">
        <v>97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201</v>
      </c>
      <c r="B1633">
        <v>2002</v>
      </c>
      <c r="C1633" t="s">
        <v>97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201</v>
      </c>
      <c r="B1634">
        <v>2001</v>
      </c>
      <c r="C1634" t="s">
        <v>97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201</v>
      </c>
      <c r="B1635">
        <v>2000</v>
      </c>
      <c r="C1635" t="s">
        <v>97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202</v>
      </c>
      <c r="B1636">
        <v>2015</v>
      </c>
      <c r="C1636" t="s">
        <v>105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202</v>
      </c>
      <c r="B1637">
        <v>2014</v>
      </c>
      <c r="C1637" t="s">
        <v>105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202</v>
      </c>
      <c r="B1638">
        <v>2013</v>
      </c>
      <c r="C1638" t="s">
        <v>105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202</v>
      </c>
      <c r="B1639">
        <v>2012</v>
      </c>
      <c r="C1639" t="s">
        <v>105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202</v>
      </c>
      <c r="B1640">
        <v>2011</v>
      </c>
      <c r="C1640" t="s">
        <v>105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202</v>
      </c>
      <c r="B1641">
        <v>2010</v>
      </c>
      <c r="C1641" t="s">
        <v>105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202</v>
      </c>
      <c r="B1642">
        <v>2009</v>
      </c>
      <c r="C1642" t="s">
        <v>105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202</v>
      </c>
      <c r="B1643">
        <v>2008</v>
      </c>
      <c r="C1643" t="s">
        <v>105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202</v>
      </c>
      <c r="B1644">
        <v>2007</v>
      </c>
      <c r="C1644" t="s">
        <v>105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202</v>
      </c>
      <c r="B1645">
        <v>2006</v>
      </c>
      <c r="C1645" t="s">
        <v>105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202</v>
      </c>
      <c r="B1646">
        <v>2005</v>
      </c>
      <c r="C1646" t="s">
        <v>105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202</v>
      </c>
      <c r="B1647">
        <v>2004</v>
      </c>
      <c r="C1647" t="s">
        <v>105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202</v>
      </c>
      <c r="B1648">
        <v>2003</v>
      </c>
      <c r="C1648" t="s">
        <v>105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202</v>
      </c>
      <c r="B1649">
        <v>2002</v>
      </c>
      <c r="C1649" t="s">
        <v>105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202</v>
      </c>
      <c r="B1650">
        <v>2001</v>
      </c>
      <c r="C1650" t="s">
        <v>105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202</v>
      </c>
      <c r="B1651">
        <v>2000</v>
      </c>
      <c r="C1651" t="s">
        <v>105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203</v>
      </c>
      <c r="B1652">
        <v>2013</v>
      </c>
      <c r="C1652" t="s">
        <v>97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204</v>
      </c>
      <c r="B1653">
        <v>2015</v>
      </c>
      <c r="C1653" t="s">
        <v>97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204</v>
      </c>
      <c r="B1654">
        <v>2014</v>
      </c>
      <c r="C1654" t="s">
        <v>97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204</v>
      </c>
      <c r="B1655">
        <v>2013</v>
      </c>
      <c r="C1655" t="s">
        <v>97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204</v>
      </c>
      <c r="B1656">
        <v>2012</v>
      </c>
      <c r="C1656" t="s">
        <v>97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204</v>
      </c>
      <c r="B1657">
        <v>2011</v>
      </c>
      <c r="C1657" t="s">
        <v>97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204</v>
      </c>
      <c r="B1658">
        <v>2010</v>
      </c>
      <c r="C1658" t="s">
        <v>97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204</v>
      </c>
      <c r="B1659">
        <v>2009</v>
      </c>
      <c r="C1659" t="s">
        <v>97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204</v>
      </c>
      <c r="B1660">
        <v>2008</v>
      </c>
      <c r="C1660" t="s">
        <v>97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204</v>
      </c>
      <c r="B1661">
        <v>2007</v>
      </c>
      <c r="C1661" t="s">
        <v>97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204</v>
      </c>
      <c r="B1662">
        <v>2006</v>
      </c>
      <c r="C1662" t="s">
        <v>97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204</v>
      </c>
      <c r="B1663">
        <v>2005</v>
      </c>
      <c r="C1663" t="s">
        <v>97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204</v>
      </c>
      <c r="B1664">
        <v>2004</v>
      </c>
      <c r="C1664" t="s">
        <v>97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204</v>
      </c>
      <c r="B1665">
        <v>2003</v>
      </c>
      <c r="C1665" t="s">
        <v>97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204</v>
      </c>
      <c r="B1666">
        <v>2002</v>
      </c>
      <c r="C1666" t="s">
        <v>97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204</v>
      </c>
      <c r="B1667">
        <v>2001</v>
      </c>
      <c r="C1667" t="s">
        <v>97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204</v>
      </c>
      <c r="B1668">
        <v>2000</v>
      </c>
      <c r="C1668" t="s">
        <v>97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205</v>
      </c>
      <c r="B1669">
        <v>2015</v>
      </c>
      <c r="C1669" t="s">
        <v>97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205</v>
      </c>
      <c r="B1670">
        <v>2014</v>
      </c>
      <c r="C1670" t="s">
        <v>97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205</v>
      </c>
      <c r="B1671">
        <v>2013</v>
      </c>
      <c r="C1671" t="s">
        <v>97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205</v>
      </c>
      <c r="B1672">
        <v>2012</v>
      </c>
      <c r="C1672" t="s">
        <v>97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205</v>
      </c>
      <c r="B1673">
        <v>2011</v>
      </c>
      <c r="C1673" t="s">
        <v>97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205</v>
      </c>
      <c r="B1674">
        <v>2010</v>
      </c>
      <c r="C1674" t="s">
        <v>97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205</v>
      </c>
      <c r="B1675">
        <v>2009</v>
      </c>
      <c r="C1675" t="s">
        <v>97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205</v>
      </c>
      <c r="B1676">
        <v>2008</v>
      </c>
      <c r="C1676" t="s">
        <v>97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205</v>
      </c>
      <c r="B1677">
        <v>2007</v>
      </c>
      <c r="C1677" t="s">
        <v>97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205</v>
      </c>
      <c r="B1678">
        <v>2006</v>
      </c>
      <c r="C1678" t="s">
        <v>97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205</v>
      </c>
      <c r="B1679">
        <v>2005</v>
      </c>
      <c r="C1679" t="s">
        <v>97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205</v>
      </c>
      <c r="B1680">
        <v>2004</v>
      </c>
      <c r="C1680" t="s">
        <v>97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205</v>
      </c>
      <c r="B1681">
        <v>2003</v>
      </c>
      <c r="C1681" t="s">
        <v>97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205</v>
      </c>
      <c r="B1682">
        <v>2002</v>
      </c>
      <c r="C1682" t="s">
        <v>97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205</v>
      </c>
      <c r="B1683">
        <v>2001</v>
      </c>
      <c r="C1683" t="s">
        <v>97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205</v>
      </c>
      <c r="B1684">
        <v>2000</v>
      </c>
      <c r="C1684" t="s">
        <v>97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206</v>
      </c>
      <c r="B1685">
        <v>2015</v>
      </c>
      <c r="C1685" t="s">
        <v>97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206</v>
      </c>
      <c r="B1686">
        <v>2014</v>
      </c>
      <c r="C1686" t="s">
        <v>97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206</v>
      </c>
      <c r="B1687">
        <v>2013</v>
      </c>
      <c r="C1687" t="s">
        <v>97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206</v>
      </c>
      <c r="B1688">
        <v>2012</v>
      </c>
      <c r="C1688" t="s">
        <v>97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206</v>
      </c>
      <c r="B1689">
        <v>2011</v>
      </c>
      <c r="C1689" t="s">
        <v>97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206</v>
      </c>
      <c r="B1690">
        <v>2010</v>
      </c>
      <c r="C1690" t="s">
        <v>97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206</v>
      </c>
      <c r="B1691">
        <v>2009</v>
      </c>
      <c r="C1691" t="s">
        <v>97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206</v>
      </c>
      <c r="B1692">
        <v>2008</v>
      </c>
      <c r="C1692" t="s">
        <v>97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206</v>
      </c>
      <c r="B1693">
        <v>2007</v>
      </c>
      <c r="C1693" t="s">
        <v>97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206</v>
      </c>
      <c r="B1694">
        <v>2006</v>
      </c>
      <c r="C1694" t="s">
        <v>97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206</v>
      </c>
      <c r="B1695">
        <v>2005</v>
      </c>
      <c r="C1695" t="s">
        <v>97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206</v>
      </c>
      <c r="B1696">
        <v>2004</v>
      </c>
      <c r="C1696" t="s">
        <v>97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206</v>
      </c>
      <c r="B1697">
        <v>2003</v>
      </c>
      <c r="C1697" t="s">
        <v>97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206</v>
      </c>
      <c r="B1698">
        <v>2002</v>
      </c>
      <c r="C1698" t="s">
        <v>97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206</v>
      </c>
      <c r="B1699">
        <v>2001</v>
      </c>
      <c r="C1699" t="s">
        <v>97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206</v>
      </c>
      <c r="B1700">
        <v>2000</v>
      </c>
      <c r="C1700" t="s">
        <v>97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207</v>
      </c>
      <c r="B1701">
        <v>2015</v>
      </c>
      <c r="C1701" t="s">
        <v>97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207</v>
      </c>
      <c r="B1702">
        <v>2014</v>
      </c>
      <c r="C1702" t="s">
        <v>97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207</v>
      </c>
      <c r="B1703">
        <v>2013</v>
      </c>
      <c r="C1703" t="s">
        <v>97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207</v>
      </c>
      <c r="B1704">
        <v>2012</v>
      </c>
      <c r="C1704" t="s">
        <v>97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207</v>
      </c>
      <c r="B1705">
        <v>2011</v>
      </c>
      <c r="C1705" t="s">
        <v>97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207</v>
      </c>
      <c r="B1706">
        <v>2010</v>
      </c>
      <c r="C1706" t="s">
        <v>97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207</v>
      </c>
      <c r="B1707">
        <v>2009</v>
      </c>
      <c r="C1707" t="s">
        <v>97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207</v>
      </c>
      <c r="B1708">
        <v>2008</v>
      </c>
      <c r="C1708" t="s">
        <v>97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207</v>
      </c>
      <c r="B1709">
        <v>2007</v>
      </c>
      <c r="C1709" t="s">
        <v>97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207</v>
      </c>
      <c r="B1710">
        <v>2006</v>
      </c>
      <c r="C1710" t="s">
        <v>97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207</v>
      </c>
      <c r="B1711">
        <v>2005</v>
      </c>
      <c r="C1711" t="s">
        <v>97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207</v>
      </c>
      <c r="B1712">
        <v>2004</v>
      </c>
      <c r="C1712" t="s">
        <v>97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207</v>
      </c>
      <c r="B1713">
        <v>2003</v>
      </c>
      <c r="C1713" t="s">
        <v>97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207</v>
      </c>
      <c r="B1714">
        <v>2002</v>
      </c>
      <c r="C1714" t="s">
        <v>97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207</v>
      </c>
      <c r="B1715">
        <v>2001</v>
      </c>
      <c r="C1715" t="s">
        <v>97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207</v>
      </c>
      <c r="B1716">
        <v>2000</v>
      </c>
      <c r="C1716" t="s">
        <v>97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208</v>
      </c>
      <c r="B1717">
        <v>2013</v>
      </c>
      <c r="C1717" t="s">
        <v>97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209</v>
      </c>
      <c r="B1718">
        <v>2015</v>
      </c>
      <c r="C1718" t="s">
        <v>97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209</v>
      </c>
      <c r="B1719">
        <v>2014</v>
      </c>
      <c r="C1719" t="s">
        <v>97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209</v>
      </c>
      <c r="B1720">
        <v>2013</v>
      </c>
      <c r="C1720" t="s">
        <v>97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209</v>
      </c>
      <c r="B1721">
        <v>2012</v>
      </c>
      <c r="C1721" t="s">
        <v>97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209</v>
      </c>
      <c r="B1722">
        <v>2011</v>
      </c>
      <c r="C1722" t="s">
        <v>97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209</v>
      </c>
      <c r="B1723">
        <v>2010</v>
      </c>
      <c r="C1723" t="s">
        <v>97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209</v>
      </c>
      <c r="B1724">
        <v>2009</v>
      </c>
      <c r="C1724" t="s">
        <v>97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209</v>
      </c>
      <c r="B1725">
        <v>2008</v>
      </c>
      <c r="C1725" t="s">
        <v>97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209</v>
      </c>
      <c r="B1726">
        <v>2007</v>
      </c>
      <c r="C1726" t="s">
        <v>97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209</v>
      </c>
      <c r="B1727">
        <v>2006</v>
      </c>
      <c r="C1727" t="s">
        <v>97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209</v>
      </c>
      <c r="B1728">
        <v>2005</v>
      </c>
      <c r="C1728" t="s">
        <v>97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209</v>
      </c>
      <c r="B1729">
        <v>2004</v>
      </c>
      <c r="C1729" t="s">
        <v>97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209</v>
      </c>
      <c r="B1730">
        <v>2003</v>
      </c>
      <c r="C1730" t="s">
        <v>97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209</v>
      </c>
      <c r="B1731">
        <v>2002</v>
      </c>
      <c r="C1731" t="s">
        <v>97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209</v>
      </c>
      <c r="B1732">
        <v>2001</v>
      </c>
      <c r="C1732" t="s">
        <v>97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209</v>
      </c>
      <c r="B1733">
        <v>2000</v>
      </c>
      <c r="C1733" t="s">
        <v>97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210</v>
      </c>
      <c r="B1734">
        <v>2015</v>
      </c>
      <c r="C1734" t="s">
        <v>97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210</v>
      </c>
      <c r="B1735">
        <v>2014</v>
      </c>
      <c r="C1735" t="s">
        <v>97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210</v>
      </c>
      <c r="B1736">
        <v>2013</v>
      </c>
      <c r="C1736" t="s">
        <v>97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210</v>
      </c>
      <c r="B1737">
        <v>2012</v>
      </c>
      <c r="C1737" t="s">
        <v>97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210</v>
      </c>
      <c r="B1738">
        <v>2011</v>
      </c>
      <c r="C1738" t="s">
        <v>97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210</v>
      </c>
      <c r="B1739">
        <v>2010</v>
      </c>
      <c r="C1739" t="s">
        <v>97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210</v>
      </c>
      <c r="B1740">
        <v>2009</v>
      </c>
      <c r="C1740" t="s">
        <v>97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210</v>
      </c>
      <c r="B1741">
        <v>2008</v>
      </c>
      <c r="C1741" t="s">
        <v>97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210</v>
      </c>
      <c r="B1742">
        <v>2007</v>
      </c>
      <c r="C1742" t="s">
        <v>97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210</v>
      </c>
      <c r="B1743">
        <v>2006</v>
      </c>
      <c r="C1743" t="s">
        <v>97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210</v>
      </c>
      <c r="B1744">
        <v>2005</v>
      </c>
      <c r="C1744" t="s">
        <v>97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210</v>
      </c>
      <c r="B1745">
        <v>2004</v>
      </c>
      <c r="C1745" t="s">
        <v>97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210</v>
      </c>
      <c r="B1746">
        <v>2003</v>
      </c>
      <c r="C1746" t="s">
        <v>97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210</v>
      </c>
      <c r="B1747">
        <v>2002</v>
      </c>
      <c r="C1747" t="s">
        <v>97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210</v>
      </c>
      <c r="B1748">
        <v>2001</v>
      </c>
      <c r="C1748" t="s">
        <v>97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210</v>
      </c>
      <c r="B1749">
        <v>2000</v>
      </c>
      <c r="C1749" t="s">
        <v>97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211</v>
      </c>
      <c r="B1750">
        <v>2015</v>
      </c>
      <c r="C1750" t="s">
        <v>97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211</v>
      </c>
      <c r="B1751">
        <v>2014</v>
      </c>
      <c r="C1751" t="s">
        <v>97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211</v>
      </c>
      <c r="B1752">
        <v>2013</v>
      </c>
      <c r="C1752" t="s">
        <v>97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211</v>
      </c>
      <c r="B1753">
        <v>2012</v>
      </c>
      <c r="C1753" t="s">
        <v>97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211</v>
      </c>
      <c r="B1754">
        <v>2011</v>
      </c>
      <c r="C1754" t="s">
        <v>97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211</v>
      </c>
      <c r="B1755">
        <v>2010</v>
      </c>
      <c r="C1755" t="s">
        <v>97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211</v>
      </c>
      <c r="B1756">
        <v>2009</v>
      </c>
      <c r="C1756" t="s">
        <v>97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211</v>
      </c>
      <c r="B1757">
        <v>2008</v>
      </c>
      <c r="C1757" t="s">
        <v>97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211</v>
      </c>
      <c r="B1758">
        <v>2007</v>
      </c>
      <c r="C1758" t="s">
        <v>97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211</v>
      </c>
      <c r="B1759">
        <v>2006</v>
      </c>
      <c r="C1759" t="s">
        <v>97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211</v>
      </c>
      <c r="B1760">
        <v>2005</v>
      </c>
      <c r="C1760" t="s">
        <v>97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211</v>
      </c>
      <c r="B1761">
        <v>2004</v>
      </c>
      <c r="C1761" t="s">
        <v>97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211</v>
      </c>
      <c r="B1762">
        <v>2003</v>
      </c>
      <c r="C1762" t="s">
        <v>97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211</v>
      </c>
      <c r="B1763">
        <v>2002</v>
      </c>
      <c r="C1763" t="s">
        <v>97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211</v>
      </c>
      <c r="B1764">
        <v>2001</v>
      </c>
      <c r="C1764" t="s">
        <v>97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211</v>
      </c>
      <c r="B1765">
        <v>2000</v>
      </c>
      <c r="C1765" t="s">
        <v>97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212</v>
      </c>
      <c r="B1766">
        <v>2015</v>
      </c>
      <c r="C1766" t="s">
        <v>97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212</v>
      </c>
      <c r="B1767">
        <v>2014</v>
      </c>
      <c r="C1767" t="s">
        <v>97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212</v>
      </c>
      <c r="B1768">
        <v>2013</v>
      </c>
      <c r="C1768" t="s">
        <v>97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212</v>
      </c>
      <c r="B1769">
        <v>2012</v>
      </c>
      <c r="C1769" t="s">
        <v>97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212</v>
      </c>
      <c r="B1770">
        <v>2011</v>
      </c>
      <c r="C1770" t="s">
        <v>97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212</v>
      </c>
      <c r="B1771">
        <v>2010</v>
      </c>
      <c r="C1771" t="s">
        <v>97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212</v>
      </c>
      <c r="B1772">
        <v>2009</v>
      </c>
      <c r="C1772" t="s">
        <v>97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212</v>
      </c>
      <c r="B1773">
        <v>2008</v>
      </c>
      <c r="C1773" t="s">
        <v>97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212</v>
      </c>
      <c r="B1774">
        <v>2007</v>
      </c>
      <c r="C1774" t="s">
        <v>97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212</v>
      </c>
      <c r="B1775">
        <v>2006</v>
      </c>
      <c r="C1775" t="s">
        <v>97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212</v>
      </c>
      <c r="B1776">
        <v>2005</v>
      </c>
      <c r="C1776" t="s">
        <v>97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212</v>
      </c>
      <c r="B1777">
        <v>2004</v>
      </c>
      <c r="C1777" t="s">
        <v>97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212</v>
      </c>
      <c r="B1778">
        <v>2003</v>
      </c>
      <c r="C1778" t="s">
        <v>97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212</v>
      </c>
      <c r="B1779">
        <v>2002</v>
      </c>
      <c r="C1779" t="s">
        <v>97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212</v>
      </c>
      <c r="B1780">
        <v>2001</v>
      </c>
      <c r="C1780" t="s">
        <v>97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212</v>
      </c>
      <c r="B1781">
        <v>2000</v>
      </c>
      <c r="C1781" t="s">
        <v>97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213</v>
      </c>
      <c r="B1782">
        <v>2015</v>
      </c>
      <c r="C1782" t="s">
        <v>97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213</v>
      </c>
      <c r="B1783">
        <v>2014</v>
      </c>
      <c r="C1783" t="s">
        <v>97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213</v>
      </c>
      <c r="B1784">
        <v>2013</v>
      </c>
      <c r="C1784" t="s">
        <v>97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213</v>
      </c>
      <c r="B1785">
        <v>2012</v>
      </c>
      <c r="C1785" t="s">
        <v>97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213</v>
      </c>
      <c r="B1786">
        <v>2011</v>
      </c>
      <c r="C1786" t="s">
        <v>97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213</v>
      </c>
      <c r="B1787">
        <v>2010</v>
      </c>
      <c r="C1787" t="s">
        <v>97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213</v>
      </c>
      <c r="B1788">
        <v>2009</v>
      </c>
      <c r="C1788" t="s">
        <v>97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213</v>
      </c>
      <c r="B1789">
        <v>2008</v>
      </c>
      <c r="C1789" t="s">
        <v>97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213</v>
      </c>
      <c r="B1790">
        <v>2007</v>
      </c>
      <c r="C1790" t="s">
        <v>97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213</v>
      </c>
      <c r="B1791">
        <v>2006</v>
      </c>
      <c r="C1791" t="s">
        <v>97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213</v>
      </c>
      <c r="B1792">
        <v>2005</v>
      </c>
      <c r="C1792" t="s">
        <v>97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213</v>
      </c>
      <c r="B1793">
        <v>2004</v>
      </c>
      <c r="C1793" t="s">
        <v>97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213</v>
      </c>
      <c r="B1794">
        <v>2003</v>
      </c>
      <c r="C1794" t="s">
        <v>97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213</v>
      </c>
      <c r="B1795">
        <v>2002</v>
      </c>
      <c r="C1795" t="s">
        <v>97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213</v>
      </c>
      <c r="B1796">
        <v>2001</v>
      </c>
      <c r="C1796" t="s">
        <v>97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213</v>
      </c>
      <c r="B1797">
        <v>2000</v>
      </c>
      <c r="C1797" t="s">
        <v>97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214</v>
      </c>
      <c r="B1798">
        <v>2015</v>
      </c>
      <c r="C1798" t="s">
        <v>97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214</v>
      </c>
      <c r="B1799">
        <v>2014</v>
      </c>
      <c r="C1799" t="s">
        <v>97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214</v>
      </c>
      <c r="B1800">
        <v>2013</v>
      </c>
      <c r="C1800" t="s">
        <v>97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214</v>
      </c>
      <c r="B1801">
        <v>2012</v>
      </c>
      <c r="C1801" t="s">
        <v>97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214</v>
      </c>
      <c r="B1802">
        <v>2011</v>
      </c>
      <c r="C1802" t="s">
        <v>97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214</v>
      </c>
      <c r="B1803">
        <v>2010</v>
      </c>
      <c r="C1803" t="s">
        <v>97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214</v>
      </c>
      <c r="B1804">
        <v>2009</v>
      </c>
      <c r="C1804" t="s">
        <v>97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214</v>
      </c>
      <c r="B1805">
        <v>2008</v>
      </c>
      <c r="C1805" t="s">
        <v>97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214</v>
      </c>
      <c r="B1806">
        <v>2007</v>
      </c>
      <c r="C1806" t="s">
        <v>97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214</v>
      </c>
      <c r="B1807">
        <v>2006</v>
      </c>
      <c r="C1807" t="s">
        <v>97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214</v>
      </c>
      <c r="B1808">
        <v>2005</v>
      </c>
      <c r="C1808" t="s">
        <v>97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214</v>
      </c>
      <c r="B1809">
        <v>2004</v>
      </c>
      <c r="C1809" t="s">
        <v>97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214</v>
      </c>
      <c r="B1810">
        <v>2003</v>
      </c>
      <c r="C1810" t="s">
        <v>97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214</v>
      </c>
      <c r="B1811">
        <v>2002</v>
      </c>
      <c r="C1811" t="s">
        <v>97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214</v>
      </c>
      <c r="B1812">
        <v>2001</v>
      </c>
      <c r="C1812" t="s">
        <v>97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214</v>
      </c>
      <c r="B1813">
        <v>2000</v>
      </c>
      <c r="C1813" t="s">
        <v>97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215</v>
      </c>
      <c r="B1814">
        <v>2013</v>
      </c>
      <c r="C1814" t="s">
        <v>97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216</v>
      </c>
      <c r="B1815">
        <v>2015</v>
      </c>
      <c r="C1815" t="s">
        <v>97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216</v>
      </c>
      <c r="B1816">
        <v>2014</v>
      </c>
      <c r="C1816" t="s">
        <v>97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216</v>
      </c>
      <c r="B1817">
        <v>2013</v>
      </c>
      <c r="C1817" t="s">
        <v>97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216</v>
      </c>
      <c r="B1818">
        <v>2012</v>
      </c>
      <c r="C1818" t="s">
        <v>97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216</v>
      </c>
      <c r="B1819">
        <v>2011</v>
      </c>
      <c r="C1819" t="s">
        <v>97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216</v>
      </c>
      <c r="B1820">
        <v>2010</v>
      </c>
      <c r="C1820" t="s">
        <v>97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216</v>
      </c>
      <c r="B1821">
        <v>2009</v>
      </c>
      <c r="C1821" t="s">
        <v>97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216</v>
      </c>
      <c r="B1822">
        <v>2008</v>
      </c>
      <c r="C1822" t="s">
        <v>97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216</v>
      </c>
      <c r="B1823">
        <v>2007</v>
      </c>
      <c r="C1823" t="s">
        <v>97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216</v>
      </c>
      <c r="B1824">
        <v>2006</v>
      </c>
      <c r="C1824" t="s">
        <v>97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216</v>
      </c>
      <c r="B1825">
        <v>2005</v>
      </c>
      <c r="C1825" t="s">
        <v>97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216</v>
      </c>
      <c r="B1826">
        <v>2004</v>
      </c>
      <c r="C1826" t="s">
        <v>97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216</v>
      </c>
      <c r="B1827">
        <v>2003</v>
      </c>
      <c r="C1827" t="s">
        <v>97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216</v>
      </c>
      <c r="B1828">
        <v>2002</v>
      </c>
      <c r="C1828" t="s">
        <v>97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216</v>
      </c>
      <c r="B1829">
        <v>2001</v>
      </c>
      <c r="C1829" t="s">
        <v>97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216</v>
      </c>
      <c r="B1830">
        <v>2000</v>
      </c>
      <c r="C1830" t="s">
        <v>97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217</v>
      </c>
      <c r="B1831">
        <v>2015</v>
      </c>
      <c r="C1831" t="s">
        <v>105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217</v>
      </c>
      <c r="B1832">
        <v>2014</v>
      </c>
      <c r="C1832" t="s">
        <v>105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217</v>
      </c>
      <c r="B1833">
        <v>2013</v>
      </c>
      <c r="C1833" t="s">
        <v>105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217</v>
      </c>
      <c r="B1834">
        <v>2012</v>
      </c>
      <c r="C1834" t="s">
        <v>105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217</v>
      </c>
      <c r="B1835">
        <v>2011</v>
      </c>
      <c r="C1835" t="s">
        <v>105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217</v>
      </c>
      <c r="B1836">
        <v>2010</v>
      </c>
      <c r="C1836" t="s">
        <v>105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217</v>
      </c>
      <c r="B1837">
        <v>2009</v>
      </c>
      <c r="C1837" t="s">
        <v>105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217</v>
      </c>
      <c r="B1838">
        <v>2008</v>
      </c>
      <c r="C1838" t="s">
        <v>105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217</v>
      </c>
      <c r="B1839">
        <v>2007</v>
      </c>
      <c r="C1839" t="s">
        <v>105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217</v>
      </c>
      <c r="B1840">
        <v>2006</v>
      </c>
      <c r="C1840" t="s">
        <v>105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217</v>
      </c>
      <c r="B1841">
        <v>2005</v>
      </c>
      <c r="C1841" t="s">
        <v>105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217</v>
      </c>
      <c r="B1842">
        <v>2004</v>
      </c>
      <c r="C1842" t="s">
        <v>105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217</v>
      </c>
      <c r="B1843">
        <v>2003</v>
      </c>
      <c r="C1843" t="s">
        <v>105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217</v>
      </c>
      <c r="B1844">
        <v>2002</v>
      </c>
      <c r="C1844" t="s">
        <v>105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217</v>
      </c>
      <c r="B1845">
        <v>2001</v>
      </c>
      <c r="C1845" t="s">
        <v>105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217</v>
      </c>
      <c r="B1846">
        <v>2000</v>
      </c>
      <c r="C1846" t="s">
        <v>105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218</v>
      </c>
      <c r="B1847">
        <v>2015</v>
      </c>
      <c r="C1847" t="s">
        <v>105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218</v>
      </c>
      <c r="B1848">
        <v>2014</v>
      </c>
      <c r="C1848" t="s">
        <v>105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218</v>
      </c>
      <c r="B1849">
        <v>2013</v>
      </c>
      <c r="C1849" t="s">
        <v>105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218</v>
      </c>
      <c r="B1850">
        <v>2012</v>
      </c>
      <c r="C1850" t="s">
        <v>105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218</v>
      </c>
      <c r="B1851">
        <v>2011</v>
      </c>
      <c r="C1851" t="s">
        <v>105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218</v>
      </c>
      <c r="B1852">
        <v>2010</v>
      </c>
      <c r="C1852" t="s">
        <v>105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218</v>
      </c>
      <c r="B1853">
        <v>2009</v>
      </c>
      <c r="C1853" t="s">
        <v>105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218</v>
      </c>
      <c r="B1854">
        <v>2008</v>
      </c>
      <c r="C1854" t="s">
        <v>105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218</v>
      </c>
      <c r="B1855">
        <v>2007</v>
      </c>
      <c r="C1855" t="s">
        <v>105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218</v>
      </c>
      <c r="B1856">
        <v>2006</v>
      </c>
      <c r="C1856" t="s">
        <v>105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218</v>
      </c>
      <c r="B1857">
        <v>2005</v>
      </c>
      <c r="C1857" t="s">
        <v>105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218</v>
      </c>
      <c r="B1858">
        <v>2004</v>
      </c>
      <c r="C1858" t="s">
        <v>105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218</v>
      </c>
      <c r="B1859">
        <v>2003</v>
      </c>
      <c r="C1859" t="s">
        <v>105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218</v>
      </c>
      <c r="B1860">
        <v>2002</v>
      </c>
      <c r="C1860" t="s">
        <v>105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218</v>
      </c>
      <c r="B1861">
        <v>2001</v>
      </c>
      <c r="C1861" t="s">
        <v>105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218</v>
      </c>
      <c r="B1862">
        <v>2000</v>
      </c>
      <c r="C1862" t="s">
        <v>105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219</v>
      </c>
      <c r="B1863">
        <v>2015</v>
      </c>
      <c r="C1863" t="s">
        <v>97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219</v>
      </c>
      <c r="B1864">
        <v>2014</v>
      </c>
      <c r="C1864" t="s">
        <v>97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219</v>
      </c>
      <c r="B1865">
        <v>2013</v>
      </c>
      <c r="C1865" t="s">
        <v>97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219</v>
      </c>
      <c r="B1866">
        <v>2012</v>
      </c>
      <c r="C1866" t="s">
        <v>97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219</v>
      </c>
      <c r="B1867">
        <v>2011</v>
      </c>
      <c r="C1867" t="s">
        <v>97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219</v>
      </c>
      <c r="B1868">
        <v>2010</v>
      </c>
      <c r="C1868" t="s">
        <v>97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219</v>
      </c>
      <c r="B1869">
        <v>2009</v>
      </c>
      <c r="C1869" t="s">
        <v>97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219</v>
      </c>
      <c r="B1870">
        <v>2008</v>
      </c>
      <c r="C1870" t="s">
        <v>97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219</v>
      </c>
      <c r="B1871">
        <v>2007</v>
      </c>
      <c r="C1871" t="s">
        <v>97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219</v>
      </c>
      <c r="B1872">
        <v>2006</v>
      </c>
      <c r="C1872" t="s">
        <v>97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219</v>
      </c>
      <c r="B1873">
        <v>2005</v>
      </c>
      <c r="C1873" t="s">
        <v>97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219</v>
      </c>
      <c r="B1874">
        <v>2004</v>
      </c>
      <c r="C1874" t="s">
        <v>97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219</v>
      </c>
      <c r="B1875">
        <v>2003</v>
      </c>
      <c r="C1875" t="s">
        <v>97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219</v>
      </c>
      <c r="B1876">
        <v>2002</v>
      </c>
      <c r="C1876" t="s">
        <v>97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219</v>
      </c>
      <c r="B1877">
        <v>2001</v>
      </c>
      <c r="C1877" t="s">
        <v>97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219</v>
      </c>
      <c r="B1878">
        <v>2000</v>
      </c>
      <c r="C1878" t="s">
        <v>97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220</v>
      </c>
      <c r="B1879">
        <v>2015</v>
      </c>
      <c r="C1879" t="s">
        <v>97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220</v>
      </c>
      <c r="B1880">
        <v>2014</v>
      </c>
      <c r="C1880" t="s">
        <v>97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220</v>
      </c>
      <c r="B1881">
        <v>2013</v>
      </c>
      <c r="C1881" t="s">
        <v>97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220</v>
      </c>
      <c r="B1882">
        <v>2012</v>
      </c>
      <c r="C1882" t="s">
        <v>97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220</v>
      </c>
      <c r="B1883">
        <v>2011</v>
      </c>
      <c r="C1883" t="s">
        <v>97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220</v>
      </c>
      <c r="B1884">
        <v>2010</v>
      </c>
      <c r="C1884" t="s">
        <v>97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220</v>
      </c>
      <c r="B1885">
        <v>2009</v>
      </c>
      <c r="C1885" t="s">
        <v>97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220</v>
      </c>
      <c r="B1886">
        <v>2008</v>
      </c>
      <c r="C1886" t="s">
        <v>97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220</v>
      </c>
      <c r="B1887">
        <v>2007</v>
      </c>
      <c r="C1887" t="s">
        <v>97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220</v>
      </c>
      <c r="B1888">
        <v>2006</v>
      </c>
      <c r="C1888" t="s">
        <v>97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220</v>
      </c>
      <c r="B1889">
        <v>2005</v>
      </c>
      <c r="C1889" t="s">
        <v>97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220</v>
      </c>
      <c r="B1890">
        <v>2004</v>
      </c>
      <c r="C1890" t="s">
        <v>97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220</v>
      </c>
      <c r="B1891">
        <v>2003</v>
      </c>
      <c r="C1891" t="s">
        <v>97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220</v>
      </c>
      <c r="B1892">
        <v>2002</v>
      </c>
      <c r="C1892" t="s">
        <v>97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220</v>
      </c>
      <c r="B1893">
        <v>2001</v>
      </c>
      <c r="C1893" t="s">
        <v>97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220</v>
      </c>
      <c r="B1894">
        <v>2000</v>
      </c>
      <c r="C1894" t="s">
        <v>97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221</v>
      </c>
      <c r="B1895">
        <v>2015</v>
      </c>
      <c r="C1895" t="s">
        <v>97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221</v>
      </c>
      <c r="B1896">
        <v>2014</v>
      </c>
      <c r="C1896" t="s">
        <v>97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221</v>
      </c>
      <c r="B1897">
        <v>2013</v>
      </c>
      <c r="C1897" t="s">
        <v>97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221</v>
      </c>
      <c r="B1898">
        <v>2012</v>
      </c>
      <c r="C1898" t="s">
        <v>97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221</v>
      </c>
      <c r="B1899">
        <v>2011</v>
      </c>
      <c r="C1899" t="s">
        <v>97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221</v>
      </c>
      <c r="B1900">
        <v>2010</v>
      </c>
      <c r="C1900" t="s">
        <v>97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221</v>
      </c>
      <c r="B1901">
        <v>2009</v>
      </c>
      <c r="C1901" t="s">
        <v>97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221</v>
      </c>
      <c r="B1902">
        <v>2008</v>
      </c>
      <c r="C1902" t="s">
        <v>97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221</v>
      </c>
      <c r="B1903">
        <v>2007</v>
      </c>
      <c r="C1903" t="s">
        <v>97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221</v>
      </c>
      <c r="B1904">
        <v>2006</v>
      </c>
      <c r="C1904" t="s">
        <v>97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221</v>
      </c>
      <c r="B1905">
        <v>2005</v>
      </c>
      <c r="C1905" t="s">
        <v>97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221</v>
      </c>
      <c r="B1906">
        <v>2004</v>
      </c>
      <c r="C1906" t="s">
        <v>97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221</v>
      </c>
      <c r="B1907">
        <v>2003</v>
      </c>
      <c r="C1907" t="s">
        <v>97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221</v>
      </c>
      <c r="B1908">
        <v>2002</v>
      </c>
      <c r="C1908" t="s">
        <v>97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221</v>
      </c>
      <c r="B1909">
        <v>2001</v>
      </c>
      <c r="C1909" t="s">
        <v>97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221</v>
      </c>
      <c r="B1910">
        <v>2000</v>
      </c>
      <c r="C1910" t="s">
        <v>97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222</v>
      </c>
      <c r="B1911">
        <v>2013</v>
      </c>
      <c r="C1911" t="s">
        <v>97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223</v>
      </c>
      <c r="B1912">
        <v>2015</v>
      </c>
      <c r="C1912" t="s">
        <v>105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223</v>
      </c>
      <c r="B1913">
        <v>2014</v>
      </c>
      <c r="C1913" t="s">
        <v>105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223</v>
      </c>
      <c r="B1914">
        <v>2013</v>
      </c>
      <c r="C1914" t="s">
        <v>105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223</v>
      </c>
      <c r="B1915">
        <v>2012</v>
      </c>
      <c r="C1915" t="s">
        <v>105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223</v>
      </c>
      <c r="B1916">
        <v>2011</v>
      </c>
      <c r="C1916" t="s">
        <v>105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223</v>
      </c>
      <c r="B1917">
        <v>2010</v>
      </c>
      <c r="C1917" t="s">
        <v>105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223</v>
      </c>
      <c r="B1918">
        <v>2009</v>
      </c>
      <c r="C1918" t="s">
        <v>105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223</v>
      </c>
      <c r="B1919">
        <v>2008</v>
      </c>
      <c r="C1919" t="s">
        <v>105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223</v>
      </c>
      <c r="B1920">
        <v>2007</v>
      </c>
      <c r="C1920" t="s">
        <v>105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223</v>
      </c>
      <c r="B1921">
        <v>2006</v>
      </c>
      <c r="C1921" t="s">
        <v>105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223</v>
      </c>
      <c r="B1922">
        <v>2005</v>
      </c>
      <c r="C1922" t="s">
        <v>105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223</v>
      </c>
      <c r="B1923">
        <v>2004</v>
      </c>
      <c r="C1923" t="s">
        <v>105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223</v>
      </c>
      <c r="B1924">
        <v>2003</v>
      </c>
      <c r="C1924" t="s">
        <v>105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223</v>
      </c>
      <c r="B1925">
        <v>2002</v>
      </c>
      <c r="C1925" t="s">
        <v>105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223</v>
      </c>
      <c r="B1926">
        <v>2001</v>
      </c>
      <c r="C1926" t="s">
        <v>105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223</v>
      </c>
      <c r="B1927">
        <v>2000</v>
      </c>
      <c r="C1927" t="s">
        <v>105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224</v>
      </c>
      <c r="B1928">
        <v>2015</v>
      </c>
      <c r="C1928" t="s">
        <v>97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224</v>
      </c>
      <c r="B1929">
        <v>2014</v>
      </c>
      <c r="C1929" t="s">
        <v>97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224</v>
      </c>
      <c r="B1930">
        <v>2013</v>
      </c>
      <c r="C1930" t="s">
        <v>97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224</v>
      </c>
      <c r="B1931">
        <v>2012</v>
      </c>
      <c r="C1931" t="s">
        <v>97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224</v>
      </c>
      <c r="B1932">
        <v>2011</v>
      </c>
      <c r="C1932" t="s">
        <v>97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224</v>
      </c>
      <c r="B1933">
        <v>2010</v>
      </c>
      <c r="C1933" t="s">
        <v>97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224</v>
      </c>
      <c r="B1934">
        <v>2009</v>
      </c>
      <c r="C1934" t="s">
        <v>97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224</v>
      </c>
      <c r="B1935">
        <v>2008</v>
      </c>
      <c r="C1935" t="s">
        <v>97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224</v>
      </c>
      <c r="B1936">
        <v>2007</v>
      </c>
      <c r="C1936" t="s">
        <v>97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224</v>
      </c>
      <c r="B1937">
        <v>2006</v>
      </c>
      <c r="C1937" t="s">
        <v>97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224</v>
      </c>
      <c r="B1938">
        <v>2005</v>
      </c>
      <c r="C1938" t="s">
        <v>97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224</v>
      </c>
      <c r="B1939">
        <v>2004</v>
      </c>
      <c r="C1939" t="s">
        <v>97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224</v>
      </c>
      <c r="B1940">
        <v>2003</v>
      </c>
      <c r="C1940" t="s">
        <v>97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224</v>
      </c>
      <c r="B1941">
        <v>2002</v>
      </c>
      <c r="C1941" t="s">
        <v>97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224</v>
      </c>
      <c r="B1942">
        <v>2001</v>
      </c>
      <c r="C1942" t="s">
        <v>97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224</v>
      </c>
      <c r="B1943">
        <v>2000</v>
      </c>
      <c r="C1943" t="s">
        <v>97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225</v>
      </c>
      <c r="B1944">
        <v>2015</v>
      </c>
      <c r="C1944" t="s">
        <v>97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225</v>
      </c>
      <c r="B1945">
        <v>2014</v>
      </c>
      <c r="C1945" t="s">
        <v>97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225</v>
      </c>
      <c r="B1946">
        <v>2013</v>
      </c>
      <c r="C1946" t="s">
        <v>97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225</v>
      </c>
      <c r="B1947">
        <v>2012</v>
      </c>
      <c r="C1947" t="s">
        <v>97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225</v>
      </c>
      <c r="B1948">
        <v>2011</v>
      </c>
      <c r="C1948" t="s">
        <v>97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225</v>
      </c>
      <c r="B1949">
        <v>2010</v>
      </c>
      <c r="C1949" t="s">
        <v>97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225</v>
      </c>
      <c r="B1950">
        <v>2009</v>
      </c>
      <c r="C1950" t="s">
        <v>97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225</v>
      </c>
      <c r="B1951">
        <v>2008</v>
      </c>
      <c r="C1951" t="s">
        <v>97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225</v>
      </c>
      <c r="B1952">
        <v>2007</v>
      </c>
      <c r="C1952" t="s">
        <v>97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225</v>
      </c>
      <c r="B1953">
        <v>2006</v>
      </c>
      <c r="C1953" t="s">
        <v>97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225</v>
      </c>
      <c r="B1954">
        <v>2005</v>
      </c>
      <c r="C1954" t="s">
        <v>97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225</v>
      </c>
      <c r="B1955">
        <v>2004</v>
      </c>
      <c r="C1955" t="s">
        <v>97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225</v>
      </c>
      <c r="B1956">
        <v>2003</v>
      </c>
      <c r="C1956" t="s">
        <v>97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225</v>
      </c>
      <c r="B1957">
        <v>2002</v>
      </c>
      <c r="C1957" t="s">
        <v>97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225</v>
      </c>
      <c r="B1958">
        <v>2001</v>
      </c>
      <c r="C1958" t="s">
        <v>97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225</v>
      </c>
      <c r="B1959">
        <v>2000</v>
      </c>
      <c r="C1959" t="s">
        <v>97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226</v>
      </c>
      <c r="B1960">
        <v>2013</v>
      </c>
      <c r="C1960" t="s">
        <v>97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227</v>
      </c>
      <c r="B1961">
        <v>2015</v>
      </c>
      <c r="C1961" t="s">
        <v>97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227</v>
      </c>
      <c r="B1962">
        <v>2014</v>
      </c>
      <c r="C1962" t="s">
        <v>97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227</v>
      </c>
      <c r="B1963">
        <v>2013</v>
      </c>
      <c r="C1963" t="s">
        <v>97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227</v>
      </c>
      <c r="B1964">
        <v>2012</v>
      </c>
      <c r="C1964" t="s">
        <v>97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227</v>
      </c>
      <c r="B1965">
        <v>2011</v>
      </c>
      <c r="C1965" t="s">
        <v>97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227</v>
      </c>
      <c r="B1966">
        <v>2010</v>
      </c>
      <c r="C1966" t="s">
        <v>97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227</v>
      </c>
      <c r="B1967">
        <v>2009</v>
      </c>
      <c r="C1967" t="s">
        <v>97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227</v>
      </c>
      <c r="B1968">
        <v>2008</v>
      </c>
      <c r="C1968" t="s">
        <v>97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227</v>
      </c>
      <c r="B1969">
        <v>2007</v>
      </c>
      <c r="C1969" t="s">
        <v>97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227</v>
      </c>
      <c r="B1970">
        <v>2006</v>
      </c>
      <c r="C1970" t="s">
        <v>97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227</v>
      </c>
      <c r="B1971">
        <v>2005</v>
      </c>
      <c r="C1971" t="s">
        <v>97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227</v>
      </c>
      <c r="B1972">
        <v>2004</v>
      </c>
      <c r="C1972" t="s">
        <v>97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227</v>
      </c>
      <c r="B1973">
        <v>2003</v>
      </c>
      <c r="C1973" t="s">
        <v>97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227</v>
      </c>
      <c r="B1974">
        <v>2002</v>
      </c>
      <c r="C1974" t="s">
        <v>97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227</v>
      </c>
      <c r="B1975">
        <v>2001</v>
      </c>
      <c r="C1975" t="s">
        <v>97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227</v>
      </c>
      <c r="B1976">
        <v>2000</v>
      </c>
      <c r="C1976" t="s">
        <v>97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228</v>
      </c>
      <c r="B1977">
        <v>2015</v>
      </c>
      <c r="C1977" t="s">
        <v>97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228</v>
      </c>
      <c r="B1978">
        <v>2014</v>
      </c>
      <c r="C1978" t="s">
        <v>97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228</v>
      </c>
      <c r="B1979">
        <v>2013</v>
      </c>
      <c r="C1979" t="s">
        <v>97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228</v>
      </c>
      <c r="B1980">
        <v>2012</v>
      </c>
      <c r="C1980" t="s">
        <v>97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228</v>
      </c>
      <c r="B1981">
        <v>2011</v>
      </c>
      <c r="C1981" t="s">
        <v>97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228</v>
      </c>
      <c r="B1982">
        <v>2010</v>
      </c>
      <c r="C1982" t="s">
        <v>97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228</v>
      </c>
      <c r="B1983">
        <v>2009</v>
      </c>
      <c r="C1983" t="s">
        <v>97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228</v>
      </c>
      <c r="B1984">
        <v>2008</v>
      </c>
      <c r="C1984" t="s">
        <v>97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228</v>
      </c>
      <c r="B1985">
        <v>2007</v>
      </c>
      <c r="C1985" t="s">
        <v>97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228</v>
      </c>
      <c r="B1986">
        <v>2006</v>
      </c>
      <c r="C1986" t="s">
        <v>97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228</v>
      </c>
      <c r="B1987">
        <v>2005</v>
      </c>
      <c r="C1987" t="s">
        <v>97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228</v>
      </c>
      <c r="B1988">
        <v>2004</v>
      </c>
      <c r="C1988" t="s">
        <v>97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228</v>
      </c>
      <c r="B1989">
        <v>2003</v>
      </c>
      <c r="C1989" t="s">
        <v>97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228</v>
      </c>
      <c r="B1990">
        <v>2002</v>
      </c>
      <c r="C1990" t="s">
        <v>97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228</v>
      </c>
      <c r="B1991">
        <v>2001</v>
      </c>
      <c r="C1991" t="s">
        <v>97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228</v>
      </c>
      <c r="B1992">
        <v>2000</v>
      </c>
      <c r="C1992" t="s">
        <v>97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229</v>
      </c>
      <c r="B1993">
        <v>2015</v>
      </c>
      <c r="C1993" t="s">
        <v>97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229</v>
      </c>
      <c r="B1994">
        <v>2014</v>
      </c>
      <c r="C1994" t="s">
        <v>97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229</v>
      </c>
      <c r="B1995">
        <v>2013</v>
      </c>
      <c r="C1995" t="s">
        <v>97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229</v>
      </c>
      <c r="B1996">
        <v>2012</v>
      </c>
      <c r="C1996" t="s">
        <v>97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229</v>
      </c>
      <c r="B1997">
        <v>2011</v>
      </c>
      <c r="C1997" t="s">
        <v>97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229</v>
      </c>
      <c r="B1998">
        <v>2010</v>
      </c>
      <c r="C1998" t="s">
        <v>97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229</v>
      </c>
      <c r="B1999">
        <v>2009</v>
      </c>
      <c r="C1999" t="s">
        <v>97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229</v>
      </c>
      <c r="B2000">
        <v>2008</v>
      </c>
      <c r="C2000" t="s">
        <v>97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229</v>
      </c>
      <c r="B2001">
        <v>2007</v>
      </c>
      <c r="C2001" t="s">
        <v>97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229</v>
      </c>
      <c r="B2002">
        <v>2006</v>
      </c>
      <c r="C2002" t="s">
        <v>97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229</v>
      </c>
      <c r="B2003">
        <v>2005</v>
      </c>
      <c r="C2003" t="s">
        <v>97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229</v>
      </c>
      <c r="B2004">
        <v>2004</v>
      </c>
      <c r="C2004" t="s">
        <v>97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229</v>
      </c>
      <c r="B2005">
        <v>2003</v>
      </c>
      <c r="C2005" t="s">
        <v>97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229</v>
      </c>
      <c r="B2006">
        <v>2002</v>
      </c>
      <c r="C2006" t="s">
        <v>97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229</v>
      </c>
      <c r="B2007">
        <v>2001</v>
      </c>
      <c r="C2007" t="s">
        <v>97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229</v>
      </c>
      <c r="B2008">
        <v>2000</v>
      </c>
      <c r="C2008" t="s">
        <v>97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230</v>
      </c>
      <c r="B2009">
        <v>2015</v>
      </c>
      <c r="C2009" t="s">
        <v>97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230</v>
      </c>
      <c r="B2010">
        <v>2014</v>
      </c>
      <c r="C2010" t="s">
        <v>97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230</v>
      </c>
      <c r="B2011">
        <v>2013</v>
      </c>
      <c r="C2011" t="s">
        <v>97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230</v>
      </c>
      <c r="B2012">
        <v>2012</v>
      </c>
      <c r="C2012" t="s">
        <v>97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230</v>
      </c>
      <c r="B2013">
        <v>2011</v>
      </c>
      <c r="C2013" t="s">
        <v>97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230</v>
      </c>
      <c r="B2014">
        <v>2010</v>
      </c>
      <c r="C2014" t="s">
        <v>97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230</v>
      </c>
      <c r="B2015">
        <v>2009</v>
      </c>
      <c r="C2015" t="s">
        <v>97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230</v>
      </c>
      <c r="B2016">
        <v>2008</v>
      </c>
      <c r="C2016" t="s">
        <v>97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230</v>
      </c>
      <c r="B2017">
        <v>2007</v>
      </c>
      <c r="C2017" t="s">
        <v>97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230</v>
      </c>
      <c r="B2018">
        <v>2006</v>
      </c>
      <c r="C2018" t="s">
        <v>97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230</v>
      </c>
      <c r="B2019">
        <v>2005</v>
      </c>
      <c r="C2019" t="s">
        <v>97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230</v>
      </c>
      <c r="B2020">
        <v>2004</v>
      </c>
      <c r="C2020" t="s">
        <v>97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230</v>
      </c>
      <c r="B2021">
        <v>2003</v>
      </c>
      <c r="C2021" t="s">
        <v>97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230</v>
      </c>
      <c r="B2022">
        <v>2002</v>
      </c>
      <c r="C2022" t="s">
        <v>97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230</v>
      </c>
      <c r="B2023">
        <v>2001</v>
      </c>
      <c r="C2023" t="s">
        <v>97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230</v>
      </c>
      <c r="B2024">
        <v>2000</v>
      </c>
      <c r="C2024" t="s">
        <v>97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231</v>
      </c>
      <c r="B2025">
        <v>2015</v>
      </c>
      <c r="C2025" t="s">
        <v>97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231</v>
      </c>
      <c r="B2026">
        <v>2014</v>
      </c>
      <c r="C2026" t="s">
        <v>97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231</v>
      </c>
      <c r="B2027">
        <v>2013</v>
      </c>
      <c r="C2027" t="s">
        <v>97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231</v>
      </c>
      <c r="B2028">
        <v>2012</v>
      </c>
      <c r="C2028" t="s">
        <v>97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231</v>
      </c>
      <c r="B2029">
        <v>2011</v>
      </c>
      <c r="C2029" t="s">
        <v>97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231</v>
      </c>
      <c r="B2030">
        <v>2010</v>
      </c>
      <c r="C2030" t="s">
        <v>97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231</v>
      </c>
      <c r="B2031">
        <v>2009</v>
      </c>
      <c r="C2031" t="s">
        <v>97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231</v>
      </c>
      <c r="B2032">
        <v>2008</v>
      </c>
      <c r="C2032" t="s">
        <v>97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231</v>
      </c>
      <c r="B2033">
        <v>2007</v>
      </c>
      <c r="C2033" t="s">
        <v>97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231</v>
      </c>
      <c r="B2034">
        <v>2006</v>
      </c>
      <c r="C2034" t="s">
        <v>97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231</v>
      </c>
      <c r="B2035">
        <v>2005</v>
      </c>
      <c r="C2035" t="s">
        <v>97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231</v>
      </c>
      <c r="B2036">
        <v>2004</v>
      </c>
      <c r="C2036" t="s">
        <v>97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231</v>
      </c>
      <c r="B2037">
        <v>2003</v>
      </c>
      <c r="C2037" t="s">
        <v>97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231</v>
      </c>
      <c r="B2038">
        <v>2002</v>
      </c>
      <c r="C2038" t="s">
        <v>97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231</v>
      </c>
      <c r="B2039">
        <v>2001</v>
      </c>
      <c r="C2039" t="s">
        <v>97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231</v>
      </c>
      <c r="B2040">
        <v>2000</v>
      </c>
      <c r="C2040" t="s">
        <v>97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232</v>
      </c>
      <c r="B2041">
        <v>2015</v>
      </c>
      <c r="C2041" t="s">
        <v>105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232</v>
      </c>
      <c r="B2042">
        <v>2014</v>
      </c>
      <c r="C2042" t="s">
        <v>105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232</v>
      </c>
      <c r="B2043">
        <v>2013</v>
      </c>
      <c r="C2043" t="s">
        <v>105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232</v>
      </c>
      <c r="B2044">
        <v>2012</v>
      </c>
      <c r="C2044" t="s">
        <v>105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232</v>
      </c>
      <c r="B2045">
        <v>2011</v>
      </c>
      <c r="C2045" t="s">
        <v>105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232</v>
      </c>
      <c r="B2046">
        <v>2010</v>
      </c>
      <c r="C2046" t="s">
        <v>105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232</v>
      </c>
      <c r="B2047">
        <v>2009</v>
      </c>
      <c r="C2047" t="s">
        <v>105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232</v>
      </c>
      <c r="B2048">
        <v>2008</v>
      </c>
      <c r="C2048" t="s">
        <v>105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232</v>
      </c>
      <c r="B2049">
        <v>2007</v>
      </c>
      <c r="C2049" t="s">
        <v>105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232</v>
      </c>
      <c r="B2050">
        <v>2006</v>
      </c>
      <c r="C2050" t="s">
        <v>105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232</v>
      </c>
      <c r="B2051">
        <v>2005</v>
      </c>
      <c r="C2051" t="s">
        <v>105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232</v>
      </c>
      <c r="B2052">
        <v>2004</v>
      </c>
      <c r="C2052" t="s">
        <v>105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232</v>
      </c>
      <c r="B2053">
        <v>2003</v>
      </c>
      <c r="C2053" t="s">
        <v>105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232</v>
      </c>
      <c r="B2054">
        <v>2002</v>
      </c>
      <c r="C2054" t="s">
        <v>105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232</v>
      </c>
      <c r="B2055">
        <v>2001</v>
      </c>
      <c r="C2055" t="s">
        <v>105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232</v>
      </c>
      <c r="B2056">
        <v>2000</v>
      </c>
      <c r="C2056" t="s">
        <v>105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233</v>
      </c>
      <c r="B2057">
        <v>2015</v>
      </c>
      <c r="C2057" t="s">
        <v>105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233</v>
      </c>
      <c r="B2058">
        <v>2014</v>
      </c>
      <c r="C2058" t="s">
        <v>105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233</v>
      </c>
      <c r="B2059">
        <v>2013</v>
      </c>
      <c r="C2059" t="s">
        <v>105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233</v>
      </c>
      <c r="B2060">
        <v>2012</v>
      </c>
      <c r="C2060" t="s">
        <v>105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233</v>
      </c>
      <c r="B2061">
        <v>2011</v>
      </c>
      <c r="C2061" t="s">
        <v>105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233</v>
      </c>
      <c r="B2062">
        <v>2010</v>
      </c>
      <c r="C2062" t="s">
        <v>105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233</v>
      </c>
      <c r="B2063">
        <v>2009</v>
      </c>
      <c r="C2063" t="s">
        <v>105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233</v>
      </c>
      <c r="B2064">
        <v>2008</v>
      </c>
      <c r="C2064" t="s">
        <v>105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233</v>
      </c>
      <c r="B2065">
        <v>2007</v>
      </c>
      <c r="C2065" t="s">
        <v>105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233</v>
      </c>
      <c r="B2066">
        <v>2006</v>
      </c>
      <c r="C2066" t="s">
        <v>105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233</v>
      </c>
      <c r="B2067">
        <v>2005</v>
      </c>
      <c r="C2067" t="s">
        <v>105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233</v>
      </c>
      <c r="B2068">
        <v>2004</v>
      </c>
      <c r="C2068" t="s">
        <v>105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233</v>
      </c>
      <c r="B2069">
        <v>2003</v>
      </c>
      <c r="C2069" t="s">
        <v>105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233</v>
      </c>
      <c r="B2070">
        <v>2002</v>
      </c>
      <c r="C2070" t="s">
        <v>105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233</v>
      </c>
      <c r="B2071">
        <v>2001</v>
      </c>
      <c r="C2071" t="s">
        <v>105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233</v>
      </c>
      <c r="B2072">
        <v>2000</v>
      </c>
      <c r="C2072" t="s">
        <v>105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234</v>
      </c>
      <c r="B2073">
        <v>2015</v>
      </c>
      <c r="C2073" t="s">
        <v>97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234</v>
      </c>
      <c r="B2074">
        <v>2014</v>
      </c>
      <c r="C2074" t="s">
        <v>97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234</v>
      </c>
      <c r="B2075">
        <v>2013</v>
      </c>
      <c r="C2075" t="s">
        <v>97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234</v>
      </c>
      <c r="B2076">
        <v>2012</v>
      </c>
      <c r="C2076" t="s">
        <v>97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234</v>
      </c>
      <c r="B2077">
        <v>2011</v>
      </c>
      <c r="C2077" t="s">
        <v>97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234</v>
      </c>
      <c r="B2078">
        <v>2010</v>
      </c>
      <c r="C2078" t="s">
        <v>97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234</v>
      </c>
      <c r="B2079">
        <v>2009</v>
      </c>
      <c r="C2079" t="s">
        <v>97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234</v>
      </c>
      <c r="B2080">
        <v>2008</v>
      </c>
      <c r="C2080" t="s">
        <v>97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234</v>
      </c>
      <c r="B2081">
        <v>2007</v>
      </c>
      <c r="C2081" t="s">
        <v>97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234</v>
      </c>
      <c r="B2082">
        <v>2006</v>
      </c>
      <c r="C2082" t="s">
        <v>97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234</v>
      </c>
      <c r="B2083">
        <v>2005</v>
      </c>
      <c r="C2083" t="s">
        <v>97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234</v>
      </c>
      <c r="B2084">
        <v>2004</v>
      </c>
      <c r="C2084" t="s">
        <v>97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234</v>
      </c>
      <c r="B2085">
        <v>2003</v>
      </c>
      <c r="C2085" t="s">
        <v>97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234</v>
      </c>
      <c r="B2086">
        <v>2002</v>
      </c>
      <c r="C2086" t="s">
        <v>97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234</v>
      </c>
      <c r="B2087">
        <v>2001</v>
      </c>
      <c r="C2087" t="s">
        <v>97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234</v>
      </c>
      <c r="B2088">
        <v>2000</v>
      </c>
      <c r="C2088" t="s">
        <v>97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235</v>
      </c>
      <c r="B2089">
        <v>2015</v>
      </c>
      <c r="C2089" t="s">
        <v>97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235</v>
      </c>
      <c r="B2090">
        <v>2014</v>
      </c>
      <c r="C2090" t="s">
        <v>97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235</v>
      </c>
      <c r="B2091">
        <v>2013</v>
      </c>
      <c r="C2091" t="s">
        <v>97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235</v>
      </c>
      <c r="B2092">
        <v>2012</v>
      </c>
      <c r="C2092" t="s">
        <v>97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235</v>
      </c>
      <c r="B2093">
        <v>2011</v>
      </c>
      <c r="C2093" t="s">
        <v>97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235</v>
      </c>
      <c r="B2094">
        <v>2010</v>
      </c>
      <c r="C2094" t="s">
        <v>97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235</v>
      </c>
      <c r="B2095">
        <v>2009</v>
      </c>
      <c r="C2095" t="s">
        <v>97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235</v>
      </c>
      <c r="B2096">
        <v>2008</v>
      </c>
      <c r="C2096" t="s">
        <v>97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235</v>
      </c>
      <c r="B2097">
        <v>2007</v>
      </c>
      <c r="C2097" t="s">
        <v>97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235</v>
      </c>
      <c r="B2098">
        <v>2006</v>
      </c>
      <c r="C2098" t="s">
        <v>97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235</v>
      </c>
      <c r="B2099">
        <v>2005</v>
      </c>
      <c r="C2099" t="s">
        <v>97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235</v>
      </c>
      <c r="B2100">
        <v>2004</v>
      </c>
      <c r="C2100" t="s">
        <v>97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235</v>
      </c>
      <c r="B2101">
        <v>2003</v>
      </c>
      <c r="C2101" t="s">
        <v>97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235</v>
      </c>
      <c r="B2102">
        <v>2002</v>
      </c>
      <c r="C2102" t="s">
        <v>97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235</v>
      </c>
      <c r="B2103">
        <v>2001</v>
      </c>
      <c r="C2103" t="s">
        <v>97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235</v>
      </c>
      <c r="B2104">
        <v>2000</v>
      </c>
      <c r="C2104" t="s">
        <v>97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236</v>
      </c>
      <c r="B2105">
        <v>2015</v>
      </c>
      <c r="C2105" t="s">
        <v>97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236</v>
      </c>
      <c r="B2106">
        <v>2014</v>
      </c>
      <c r="C2106" t="s">
        <v>97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236</v>
      </c>
      <c r="B2107">
        <v>2013</v>
      </c>
      <c r="C2107" t="s">
        <v>97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236</v>
      </c>
      <c r="B2108">
        <v>2012</v>
      </c>
      <c r="C2108" t="s">
        <v>97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236</v>
      </c>
      <c r="B2109">
        <v>2011</v>
      </c>
      <c r="C2109" t="s">
        <v>97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236</v>
      </c>
      <c r="B2110">
        <v>2010</v>
      </c>
      <c r="C2110" t="s">
        <v>97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236</v>
      </c>
      <c r="B2111">
        <v>2009</v>
      </c>
      <c r="C2111" t="s">
        <v>97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236</v>
      </c>
      <c r="B2112">
        <v>2008</v>
      </c>
      <c r="C2112" t="s">
        <v>97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236</v>
      </c>
      <c r="B2113">
        <v>2007</v>
      </c>
      <c r="C2113" t="s">
        <v>97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236</v>
      </c>
      <c r="B2114">
        <v>2006</v>
      </c>
      <c r="C2114" t="s">
        <v>97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236</v>
      </c>
      <c r="B2115">
        <v>2005</v>
      </c>
      <c r="C2115" t="s">
        <v>97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236</v>
      </c>
      <c r="B2116">
        <v>2004</v>
      </c>
      <c r="C2116" t="s">
        <v>97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236</v>
      </c>
      <c r="B2117">
        <v>2003</v>
      </c>
      <c r="C2117" t="s">
        <v>97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236</v>
      </c>
      <c r="B2118">
        <v>2002</v>
      </c>
      <c r="C2118" t="s">
        <v>97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236</v>
      </c>
      <c r="B2119">
        <v>2001</v>
      </c>
      <c r="C2119" t="s">
        <v>97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236</v>
      </c>
      <c r="B2120">
        <v>2000</v>
      </c>
      <c r="C2120" t="s">
        <v>97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237</v>
      </c>
      <c r="B2121">
        <v>2015</v>
      </c>
      <c r="C2121" t="s">
        <v>105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237</v>
      </c>
      <c r="B2122">
        <v>2014</v>
      </c>
      <c r="C2122" t="s">
        <v>105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237</v>
      </c>
      <c r="B2123">
        <v>2013</v>
      </c>
      <c r="C2123" t="s">
        <v>105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237</v>
      </c>
      <c r="B2124">
        <v>2012</v>
      </c>
      <c r="C2124" t="s">
        <v>105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237</v>
      </c>
      <c r="B2125">
        <v>2011</v>
      </c>
      <c r="C2125" t="s">
        <v>105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237</v>
      </c>
      <c r="B2126">
        <v>2010</v>
      </c>
      <c r="C2126" t="s">
        <v>105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237</v>
      </c>
      <c r="B2127">
        <v>2009</v>
      </c>
      <c r="C2127" t="s">
        <v>105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237</v>
      </c>
      <c r="B2128">
        <v>2008</v>
      </c>
      <c r="C2128" t="s">
        <v>105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237</v>
      </c>
      <c r="B2129">
        <v>2007</v>
      </c>
      <c r="C2129" t="s">
        <v>105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237</v>
      </c>
      <c r="B2130">
        <v>2006</v>
      </c>
      <c r="C2130" t="s">
        <v>105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237</v>
      </c>
      <c r="B2131">
        <v>2005</v>
      </c>
      <c r="C2131" t="s">
        <v>105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237</v>
      </c>
      <c r="B2132">
        <v>2004</v>
      </c>
      <c r="C2132" t="s">
        <v>105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237</v>
      </c>
      <c r="B2133">
        <v>2003</v>
      </c>
      <c r="C2133" t="s">
        <v>105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237</v>
      </c>
      <c r="B2134">
        <v>2002</v>
      </c>
      <c r="C2134" t="s">
        <v>105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237</v>
      </c>
      <c r="B2135">
        <v>2001</v>
      </c>
      <c r="C2135" t="s">
        <v>105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237</v>
      </c>
      <c r="B2136">
        <v>2000</v>
      </c>
      <c r="C2136" t="s">
        <v>105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238</v>
      </c>
      <c r="B2137">
        <v>2015</v>
      </c>
      <c r="C2137" t="s">
        <v>97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238</v>
      </c>
      <c r="B2138">
        <v>2014</v>
      </c>
      <c r="C2138" t="s">
        <v>97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238</v>
      </c>
      <c r="B2139">
        <v>2013</v>
      </c>
      <c r="C2139" t="s">
        <v>97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238</v>
      </c>
      <c r="B2140">
        <v>2012</v>
      </c>
      <c r="C2140" t="s">
        <v>97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238</v>
      </c>
      <c r="B2141">
        <v>2011</v>
      </c>
      <c r="C2141" t="s">
        <v>97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238</v>
      </c>
      <c r="B2142">
        <v>2010</v>
      </c>
      <c r="C2142" t="s">
        <v>97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238</v>
      </c>
      <c r="B2143">
        <v>2009</v>
      </c>
      <c r="C2143" t="s">
        <v>97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238</v>
      </c>
      <c r="B2144">
        <v>2008</v>
      </c>
      <c r="C2144" t="s">
        <v>97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238</v>
      </c>
      <c r="B2145">
        <v>2007</v>
      </c>
      <c r="C2145" t="s">
        <v>97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238</v>
      </c>
      <c r="B2146">
        <v>2006</v>
      </c>
      <c r="C2146" t="s">
        <v>97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238</v>
      </c>
      <c r="B2147">
        <v>2005</v>
      </c>
      <c r="C2147" t="s">
        <v>97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238</v>
      </c>
      <c r="B2148">
        <v>2004</v>
      </c>
      <c r="C2148" t="s">
        <v>97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238</v>
      </c>
      <c r="B2149">
        <v>2003</v>
      </c>
      <c r="C2149" t="s">
        <v>97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238</v>
      </c>
      <c r="B2150">
        <v>2002</v>
      </c>
      <c r="C2150" t="s">
        <v>97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238</v>
      </c>
      <c r="B2151">
        <v>2001</v>
      </c>
      <c r="C2151" t="s">
        <v>97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238</v>
      </c>
      <c r="B2152">
        <v>2000</v>
      </c>
      <c r="C2152" t="s">
        <v>97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239</v>
      </c>
      <c r="B2153">
        <v>2015</v>
      </c>
      <c r="C2153" t="s">
        <v>97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239</v>
      </c>
      <c r="B2154">
        <v>2014</v>
      </c>
      <c r="C2154" t="s">
        <v>97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239</v>
      </c>
      <c r="B2155">
        <v>2013</v>
      </c>
      <c r="C2155" t="s">
        <v>97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239</v>
      </c>
      <c r="B2156">
        <v>2012</v>
      </c>
      <c r="C2156" t="s">
        <v>97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239</v>
      </c>
      <c r="B2157">
        <v>2011</v>
      </c>
      <c r="C2157" t="s">
        <v>97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239</v>
      </c>
      <c r="B2158">
        <v>2010</v>
      </c>
      <c r="C2158" t="s">
        <v>97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239</v>
      </c>
      <c r="B2159">
        <v>2009</v>
      </c>
      <c r="C2159" t="s">
        <v>97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239</v>
      </c>
      <c r="B2160">
        <v>2008</v>
      </c>
      <c r="C2160" t="s">
        <v>97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239</v>
      </c>
      <c r="B2161">
        <v>2007</v>
      </c>
      <c r="C2161" t="s">
        <v>97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239</v>
      </c>
      <c r="B2162">
        <v>2006</v>
      </c>
      <c r="C2162" t="s">
        <v>97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239</v>
      </c>
      <c r="B2163">
        <v>2005</v>
      </c>
      <c r="C2163" t="s">
        <v>97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239</v>
      </c>
      <c r="B2164">
        <v>2004</v>
      </c>
      <c r="C2164" t="s">
        <v>97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239</v>
      </c>
      <c r="B2165">
        <v>2003</v>
      </c>
      <c r="C2165" t="s">
        <v>97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239</v>
      </c>
      <c r="B2166">
        <v>2002</v>
      </c>
      <c r="C2166" t="s">
        <v>97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239</v>
      </c>
      <c r="B2167">
        <v>2001</v>
      </c>
      <c r="C2167" t="s">
        <v>97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239</v>
      </c>
      <c r="B2168">
        <v>2000</v>
      </c>
      <c r="C2168" t="s">
        <v>97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240</v>
      </c>
      <c r="B2169">
        <v>2013</v>
      </c>
      <c r="C2169" t="s">
        <v>97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241</v>
      </c>
      <c r="B2170">
        <v>2015</v>
      </c>
      <c r="C2170" t="s">
        <v>97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241</v>
      </c>
      <c r="B2171">
        <v>2014</v>
      </c>
      <c r="C2171" t="s">
        <v>97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241</v>
      </c>
      <c r="B2172">
        <v>2013</v>
      </c>
      <c r="C2172" t="s">
        <v>97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241</v>
      </c>
      <c r="B2173">
        <v>2012</v>
      </c>
      <c r="C2173" t="s">
        <v>97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241</v>
      </c>
      <c r="B2174">
        <v>2011</v>
      </c>
      <c r="C2174" t="s">
        <v>97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241</v>
      </c>
      <c r="B2175">
        <v>2010</v>
      </c>
      <c r="C2175" t="s">
        <v>97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241</v>
      </c>
      <c r="B2176">
        <v>2009</v>
      </c>
      <c r="C2176" t="s">
        <v>97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241</v>
      </c>
      <c r="B2177">
        <v>2008</v>
      </c>
      <c r="C2177" t="s">
        <v>97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241</v>
      </c>
      <c r="B2178">
        <v>2007</v>
      </c>
      <c r="C2178" t="s">
        <v>97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241</v>
      </c>
      <c r="B2179">
        <v>2006</v>
      </c>
      <c r="C2179" t="s">
        <v>97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241</v>
      </c>
      <c r="B2180">
        <v>2005</v>
      </c>
      <c r="C2180" t="s">
        <v>97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241</v>
      </c>
      <c r="B2181">
        <v>2004</v>
      </c>
      <c r="C2181" t="s">
        <v>97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241</v>
      </c>
      <c r="B2182">
        <v>2003</v>
      </c>
      <c r="C2182" t="s">
        <v>97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241</v>
      </c>
      <c r="B2183">
        <v>2002</v>
      </c>
      <c r="C2183" t="s">
        <v>97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241</v>
      </c>
      <c r="B2184">
        <v>2001</v>
      </c>
      <c r="C2184" t="s">
        <v>97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241</v>
      </c>
      <c r="B2185">
        <v>2000</v>
      </c>
      <c r="C2185" t="s">
        <v>97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242</v>
      </c>
      <c r="B2186">
        <v>2015</v>
      </c>
      <c r="C2186" t="s">
        <v>97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242</v>
      </c>
      <c r="B2187">
        <v>2014</v>
      </c>
      <c r="C2187" t="s">
        <v>97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242</v>
      </c>
      <c r="B2188">
        <v>2013</v>
      </c>
      <c r="C2188" t="s">
        <v>97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242</v>
      </c>
      <c r="B2189">
        <v>2012</v>
      </c>
      <c r="C2189" t="s">
        <v>97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242</v>
      </c>
      <c r="B2190">
        <v>2011</v>
      </c>
      <c r="C2190" t="s">
        <v>97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242</v>
      </c>
      <c r="B2191">
        <v>2010</v>
      </c>
      <c r="C2191" t="s">
        <v>97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242</v>
      </c>
      <c r="B2192">
        <v>2009</v>
      </c>
      <c r="C2192" t="s">
        <v>97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242</v>
      </c>
      <c r="B2193">
        <v>2008</v>
      </c>
      <c r="C2193" t="s">
        <v>97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242</v>
      </c>
      <c r="B2194">
        <v>2007</v>
      </c>
      <c r="C2194" t="s">
        <v>97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242</v>
      </c>
      <c r="B2195">
        <v>2006</v>
      </c>
      <c r="C2195" t="s">
        <v>97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242</v>
      </c>
      <c r="B2196">
        <v>2005</v>
      </c>
      <c r="C2196" t="s">
        <v>97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242</v>
      </c>
      <c r="B2197">
        <v>2004</v>
      </c>
      <c r="C2197" t="s">
        <v>97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242</v>
      </c>
      <c r="B2198">
        <v>2003</v>
      </c>
      <c r="C2198" t="s">
        <v>97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242</v>
      </c>
      <c r="B2199">
        <v>2002</v>
      </c>
      <c r="C2199" t="s">
        <v>97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242</v>
      </c>
      <c r="B2200">
        <v>2001</v>
      </c>
      <c r="C2200" t="s">
        <v>97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242</v>
      </c>
      <c r="B2201">
        <v>2000</v>
      </c>
      <c r="C2201" t="s">
        <v>97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243</v>
      </c>
      <c r="B2202">
        <v>2015</v>
      </c>
      <c r="C2202" t="s">
        <v>97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243</v>
      </c>
      <c r="B2203">
        <v>2014</v>
      </c>
      <c r="C2203" t="s">
        <v>97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243</v>
      </c>
      <c r="B2204">
        <v>2013</v>
      </c>
      <c r="C2204" t="s">
        <v>97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243</v>
      </c>
      <c r="B2205">
        <v>2012</v>
      </c>
      <c r="C2205" t="s">
        <v>97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243</v>
      </c>
      <c r="B2206">
        <v>2011</v>
      </c>
      <c r="C2206" t="s">
        <v>97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243</v>
      </c>
      <c r="B2207">
        <v>2010</v>
      </c>
      <c r="C2207" t="s">
        <v>97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243</v>
      </c>
      <c r="B2208">
        <v>2009</v>
      </c>
      <c r="C2208" t="s">
        <v>97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243</v>
      </c>
      <c r="B2209">
        <v>2008</v>
      </c>
      <c r="C2209" t="s">
        <v>97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243</v>
      </c>
      <c r="B2210">
        <v>2007</v>
      </c>
      <c r="C2210" t="s">
        <v>97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243</v>
      </c>
      <c r="B2211">
        <v>2006</v>
      </c>
      <c r="C2211" t="s">
        <v>97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243</v>
      </c>
      <c r="B2212">
        <v>2005</v>
      </c>
      <c r="C2212" t="s">
        <v>97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243</v>
      </c>
      <c r="B2213">
        <v>2004</v>
      </c>
      <c r="C2213" t="s">
        <v>97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243</v>
      </c>
      <c r="B2214">
        <v>2003</v>
      </c>
      <c r="C2214" t="s">
        <v>97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243</v>
      </c>
      <c r="B2215">
        <v>2002</v>
      </c>
      <c r="C2215" t="s">
        <v>97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243</v>
      </c>
      <c r="B2216">
        <v>2001</v>
      </c>
      <c r="C2216" t="s">
        <v>97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243</v>
      </c>
      <c r="B2217">
        <v>2000</v>
      </c>
      <c r="C2217" t="s">
        <v>97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244</v>
      </c>
      <c r="B2218">
        <v>2013</v>
      </c>
      <c r="C2218" t="s">
        <v>97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245</v>
      </c>
      <c r="B2219">
        <v>2015</v>
      </c>
      <c r="C2219" t="s">
        <v>97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245</v>
      </c>
      <c r="B2220">
        <v>2014</v>
      </c>
      <c r="C2220" t="s">
        <v>97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245</v>
      </c>
      <c r="B2221">
        <v>2013</v>
      </c>
      <c r="C2221" t="s">
        <v>97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245</v>
      </c>
      <c r="B2222">
        <v>2012</v>
      </c>
      <c r="C2222" t="s">
        <v>97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245</v>
      </c>
      <c r="B2223">
        <v>2011</v>
      </c>
      <c r="C2223" t="s">
        <v>97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245</v>
      </c>
      <c r="B2224">
        <v>2010</v>
      </c>
      <c r="C2224" t="s">
        <v>97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245</v>
      </c>
      <c r="B2225">
        <v>2009</v>
      </c>
      <c r="C2225" t="s">
        <v>97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245</v>
      </c>
      <c r="B2226">
        <v>2008</v>
      </c>
      <c r="C2226" t="s">
        <v>97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245</v>
      </c>
      <c r="B2227">
        <v>2007</v>
      </c>
      <c r="C2227" t="s">
        <v>97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245</v>
      </c>
      <c r="B2228">
        <v>2006</v>
      </c>
      <c r="C2228" t="s">
        <v>97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245</v>
      </c>
      <c r="B2229">
        <v>2005</v>
      </c>
      <c r="C2229" t="s">
        <v>97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245</v>
      </c>
      <c r="B2230">
        <v>2004</v>
      </c>
      <c r="C2230" t="s">
        <v>97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245</v>
      </c>
      <c r="B2231">
        <v>2003</v>
      </c>
      <c r="C2231" t="s">
        <v>97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245</v>
      </c>
      <c r="B2232">
        <v>2002</v>
      </c>
      <c r="C2232" t="s">
        <v>97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245</v>
      </c>
      <c r="B2233">
        <v>2001</v>
      </c>
      <c r="C2233" t="s">
        <v>97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245</v>
      </c>
      <c r="B2234">
        <v>2000</v>
      </c>
      <c r="C2234" t="s">
        <v>97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246</v>
      </c>
      <c r="B2235">
        <v>2015</v>
      </c>
      <c r="C2235" t="s">
        <v>97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246</v>
      </c>
      <c r="B2236">
        <v>2014</v>
      </c>
      <c r="C2236" t="s">
        <v>97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246</v>
      </c>
      <c r="B2237">
        <v>2013</v>
      </c>
      <c r="C2237" t="s">
        <v>97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246</v>
      </c>
      <c r="B2238">
        <v>2012</v>
      </c>
      <c r="C2238" t="s">
        <v>97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246</v>
      </c>
      <c r="B2239">
        <v>2011</v>
      </c>
      <c r="C2239" t="s">
        <v>97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246</v>
      </c>
      <c r="B2240">
        <v>2010</v>
      </c>
      <c r="C2240" t="s">
        <v>97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246</v>
      </c>
      <c r="B2241">
        <v>2009</v>
      </c>
      <c r="C2241" t="s">
        <v>97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246</v>
      </c>
      <c r="B2242">
        <v>2008</v>
      </c>
      <c r="C2242" t="s">
        <v>97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246</v>
      </c>
      <c r="B2243">
        <v>2007</v>
      </c>
      <c r="C2243" t="s">
        <v>97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246</v>
      </c>
      <c r="B2244">
        <v>2006</v>
      </c>
      <c r="C2244" t="s">
        <v>97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246</v>
      </c>
      <c r="B2245">
        <v>2005</v>
      </c>
      <c r="C2245" t="s">
        <v>97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246</v>
      </c>
      <c r="B2246">
        <v>2004</v>
      </c>
      <c r="C2246" t="s">
        <v>97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246</v>
      </c>
      <c r="B2247">
        <v>2003</v>
      </c>
      <c r="C2247" t="s">
        <v>97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246</v>
      </c>
      <c r="B2248">
        <v>2002</v>
      </c>
      <c r="C2248" t="s">
        <v>97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246</v>
      </c>
      <c r="B2249">
        <v>2001</v>
      </c>
      <c r="C2249" t="s">
        <v>97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246</v>
      </c>
      <c r="B2250">
        <v>2000</v>
      </c>
      <c r="C2250" t="s">
        <v>97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247</v>
      </c>
      <c r="B2251">
        <v>2015</v>
      </c>
      <c r="C2251" t="s">
        <v>97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247</v>
      </c>
      <c r="B2252">
        <v>2014</v>
      </c>
      <c r="C2252" t="s">
        <v>97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247</v>
      </c>
      <c r="B2253">
        <v>2013</v>
      </c>
      <c r="C2253" t="s">
        <v>97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247</v>
      </c>
      <c r="B2254">
        <v>2012</v>
      </c>
      <c r="C2254" t="s">
        <v>97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247</v>
      </c>
      <c r="B2255">
        <v>2011</v>
      </c>
      <c r="C2255" t="s">
        <v>97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247</v>
      </c>
      <c r="B2256">
        <v>2010</v>
      </c>
      <c r="C2256" t="s">
        <v>97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247</v>
      </c>
      <c r="B2257">
        <v>2009</v>
      </c>
      <c r="C2257" t="s">
        <v>97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247</v>
      </c>
      <c r="B2258">
        <v>2008</v>
      </c>
      <c r="C2258" t="s">
        <v>97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247</v>
      </c>
      <c r="B2259">
        <v>2007</v>
      </c>
      <c r="C2259" t="s">
        <v>97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247</v>
      </c>
      <c r="B2260">
        <v>2006</v>
      </c>
      <c r="C2260" t="s">
        <v>97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247</v>
      </c>
      <c r="B2261">
        <v>2005</v>
      </c>
      <c r="C2261" t="s">
        <v>97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247</v>
      </c>
      <c r="B2262">
        <v>2004</v>
      </c>
      <c r="C2262" t="s">
        <v>97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247</v>
      </c>
      <c r="B2263">
        <v>2003</v>
      </c>
      <c r="C2263" t="s">
        <v>97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247</v>
      </c>
      <c r="B2264">
        <v>2002</v>
      </c>
      <c r="C2264" t="s">
        <v>97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247</v>
      </c>
      <c r="B2265">
        <v>2001</v>
      </c>
      <c r="C2265" t="s">
        <v>97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247</v>
      </c>
      <c r="B2266">
        <v>2000</v>
      </c>
      <c r="C2266" t="s">
        <v>97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248</v>
      </c>
      <c r="B2267">
        <v>2015</v>
      </c>
      <c r="C2267" t="s">
        <v>97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248</v>
      </c>
      <c r="B2268">
        <v>2014</v>
      </c>
      <c r="C2268" t="s">
        <v>97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248</v>
      </c>
      <c r="B2269">
        <v>2013</v>
      </c>
      <c r="C2269" t="s">
        <v>97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248</v>
      </c>
      <c r="B2270">
        <v>2012</v>
      </c>
      <c r="C2270" t="s">
        <v>97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248</v>
      </c>
      <c r="B2271">
        <v>2011</v>
      </c>
      <c r="C2271" t="s">
        <v>97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248</v>
      </c>
      <c r="B2272">
        <v>2010</v>
      </c>
      <c r="C2272" t="s">
        <v>97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248</v>
      </c>
      <c r="B2273">
        <v>2009</v>
      </c>
      <c r="C2273" t="s">
        <v>97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248</v>
      </c>
      <c r="B2274">
        <v>2008</v>
      </c>
      <c r="C2274" t="s">
        <v>97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248</v>
      </c>
      <c r="B2275">
        <v>2007</v>
      </c>
      <c r="C2275" t="s">
        <v>97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248</v>
      </c>
      <c r="B2276">
        <v>2006</v>
      </c>
      <c r="C2276" t="s">
        <v>97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248</v>
      </c>
      <c r="B2277">
        <v>2005</v>
      </c>
      <c r="C2277" t="s">
        <v>97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248</v>
      </c>
      <c r="B2278">
        <v>2004</v>
      </c>
      <c r="C2278" t="s">
        <v>97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248</v>
      </c>
      <c r="B2279">
        <v>2003</v>
      </c>
      <c r="C2279" t="s">
        <v>97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248</v>
      </c>
      <c r="B2280">
        <v>2002</v>
      </c>
      <c r="C2280" t="s">
        <v>97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248</v>
      </c>
      <c r="B2281">
        <v>2001</v>
      </c>
      <c r="C2281" t="s">
        <v>97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248</v>
      </c>
      <c r="B2282">
        <v>2000</v>
      </c>
      <c r="C2282" t="s">
        <v>97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249</v>
      </c>
      <c r="B2283">
        <v>2015</v>
      </c>
      <c r="C2283" t="s">
        <v>97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249</v>
      </c>
      <c r="B2284">
        <v>2014</v>
      </c>
      <c r="C2284" t="s">
        <v>97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249</v>
      </c>
      <c r="B2285">
        <v>2013</v>
      </c>
      <c r="C2285" t="s">
        <v>97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249</v>
      </c>
      <c r="B2286">
        <v>2012</v>
      </c>
      <c r="C2286" t="s">
        <v>97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249</v>
      </c>
      <c r="B2287">
        <v>2011</v>
      </c>
      <c r="C2287" t="s">
        <v>97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249</v>
      </c>
      <c r="B2288">
        <v>2010</v>
      </c>
      <c r="C2288" t="s">
        <v>97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249</v>
      </c>
      <c r="B2289">
        <v>2009</v>
      </c>
      <c r="C2289" t="s">
        <v>97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249</v>
      </c>
      <c r="B2290">
        <v>2008</v>
      </c>
      <c r="C2290" t="s">
        <v>97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249</v>
      </c>
      <c r="B2291">
        <v>2007</v>
      </c>
      <c r="C2291" t="s">
        <v>97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249</v>
      </c>
      <c r="B2292">
        <v>2006</v>
      </c>
      <c r="C2292" t="s">
        <v>97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249</v>
      </c>
      <c r="B2293">
        <v>2005</v>
      </c>
      <c r="C2293" t="s">
        <v>97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249</v>
      </c>
      <c r="B2294">
        <v>2004</v>
      </c>
      <c r="C2294" t="s">
        <v>97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249</v>
      </c>
      <c r="B2295">
        <v>2003</v>
      </c>
      <c r="C2295" t="s">
        <v>97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249</v>
      </c>
      <c r="B2296">
        <v>2002</v>
      </c>
      <c r="C2296" t="s">
        <v>97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249</v>
      </c>
      <c r="B2297">
        <v>2001</v>
      </c>
      <c r="C2297" t="s">
        <v>97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249</v>
      </c>
      <c r="B2298">
        <v>2000</v>
      </c>
      <c r="C2298" t="s">
        <v>97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250</v>
      </c>
      <c r="B2299">
        <v>2015</v>
      </c>
      <c r="C2299" t="s">
        <v>97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250</v>
      </c>
      <c r="B2300">
        <v>2014</v>
      </c>
      <c r="C2300" t="s">
        <v>97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250</v>
      </c>
      <c r="B2301">
        <v>2013</v>
      </c>
      <c r="C2301" t="s">
        <v>97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250</v>
      </c>
      <c r="B2302">
        <v>2012</v>
      </c>
      <c r="C2302" t="s">
        <v>97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250</v>
      </c>
      <c r="B2303">
        <v>2011</v>
      </c>
      <c r="C2303" t="s">
        <v>97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250</v>
      </c>
      <c r="B2304">
        <v>2010</v>
      </c>
      <c r="C2304" t="s">
        <v>97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250</v>
      </c>
      <c r="B2305">
        <v>2009</v>
      </c>
      <c r="C2305" t="s">
        <v>97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250</v>
      </c>
      <c r="B2306">
        <v>2008</v>
      </c>
      <c r="C2306" t="s">
        <v>97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250</v>
      </c>
      <c r="B2307">
        <v>2007</v>
      </c>
      <c r="C2307" t="s">
        <v>97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250</v>
      </c>
      <c r="B2308">
        <v>2006</v>
      </c>
      <c r="C2308" t="s">
        <v>97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250</v>
      </c>
      <c r="B2309">
        <v>2005</v>
      </c>
      <c r="C2309" t="s">
        <v>97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250</v>
      </c>
      <c r="B2310">
        <v>2004</v>
      </c>
      <c r="C2310" t="s">
        <v>97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250</v>
      </c>
      <c r="B2311">
        <v>2003</v>
      </c>
      <c r="C2311" t="s">
        <v>97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250</v>
      </c>
      <c r="B2312">
        <v>2002</v>
      </c>
      <c r="C2312" t="s">
        <v>97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250</v>
      </c>
      <c r="B2313">
        <v>2001</v>
      </c>
      <c r="C2313" t="s">
        <v>97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250</v>
      </c>
      <c r="B2314">
        <v>2000</v>
      </c>
      <c r="C2314" t="s">
        <v>97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251</v>
      </c>
      <c r="B2315">
        <v>2015</v>
      </c>
      <c r="C2315" t="s">
        <v>105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251</v>
      </c>
      <c r="B2316">
        <v>2014</v>
      </c>
      <c r="C2316" t="s">
        <v>105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251</v>
      </c>
      <c r="B2317">
        <v>2013</v>
      </c>
      <c r="C2317" t="s">
        <v>105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251</v>
      </c>
      <c r="B2318">
        <v>2012</v>
      </c>
      <c r="C2318" t="s">
        <v>105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251</v>
      </c>
      <c r="B2319">
        <v>2011</v>
      </c>
      <c r="C2319" t="s">
        <v>105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251</v>
      </c>
      <c r="B2320">
        <v>2010</v>
      </c>
      <c r="C2320" t="s">
        <v>105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251</v>
      </c>
      <c r="B2321">
        <v>2009</v>
      </c>
      <c r="C2321" t="s">
        <v>105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251</v>
      </c>
      <c r="B2322">
        <v>2008</v>
      </c>
      <c r="C2322" t="s">
        <v>105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251</v>
      </c>
      <c r="B2323">
        <v>2007</v>
      </c>
      <c r="C2323" t="s">
        <v>105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251</v>
      </c>
      <c r="B2324">
        <v>2006</v>
      </c>
      <c r="C2324" t="s">
        <v>105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251</v>
      </c>
      <c r="B2325">
        <v>2005</v>
      </c>
      <c r="C2325" t="s">
        <v>105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251</v>
      </c>
      <c r="B2326">
        <v>2004</v>
      </c>
      <c r="C2326" t="s">
        <v>105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251</v>
      </c>
      <c r="B2327">
        <v>2003</v>
      </c>
      <c r="C2327" t="s">
        <v>105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251</v>
      </c>
      <c r="B2328">
        <v>2002</v>
      </c>
      <c r="C2328" t="s">
        <v>105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251</v>
      </c>
      <c r="B2329">
        <v>2001</v>
      </c>
      <c r="C2329" t="s">
        <v>105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251</v>
      </c>
      <c r="B2330">
        <v>2000</v>
      </c>
      <c r="C2330" t="s">
        <v>105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252</v>
      </c>
      <c r="B2331">
        <v>2015</v>
      </c>
      <c r="C2331" t="s">
        <v>105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252</v>
      </c>
      <c r="B2332">
        <v>2014</v>
      </c>
      <c r="C2332" t="s">
        <v>105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252</v>
      </c>
      <c r="B2333">
        <v>2013</v>
      </c>
      <c r="C2333" t="s">
        <v>105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252</v>
      </c>
      <c r="B2334">
        <v>2012</v>
      </c>
      <c r="C2334" t="s">
        <v>105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252</v>
      </c>
      <c r="B2335">
        <v>2011</v>
      </c>
      <c r="C2335" t="s">
        <v>105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252</v>
      </c>
      <c r="B2336">
        <v>2010</v>
      </c>
      <c r="C2336" t="s">
        <v>105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252</v>
      </c>
      <c r="B2337">
        <v>2009</v>
      </c>
      <c r="C2337" t="s">
        <v>105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252</v>
      </c>
      <c r="B2338">
        <v>2008</v>
      </c>
      <c r="C2338" t="s">
        <v>105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252</v>
      </c>
      <c r="B2339">
        <v>2007</v>
      </c>
      <c r="C2339" t="s">
        <v>105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252</v>
      </c>
      <c r="B2340">
        <v>2006</v>
      </c>
      <c r="C2340" t="s">
        <v>105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252</v>
      </c>
      <c r="B2341">
        <v>2005</v>
      </c>
      <c r="C2341" t="s">
        <v>105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252</v>
      </c>
      <c r="B2342">
        <v>2004</v>
      </c>
      <c r="C2342" t="s">
        <v>105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252</v>
      </c>
      <c r="B2343">
        <v>2003</v>
      </c>
      <c r="C2343" t="s">
        <v>105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252</v>
      </c>
      <c r="B2344">
        <v>2002</v>
      </c>
      <c r="C2344" t="s">
        <v>105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252</v>
      </c>
      <c r="B2345">
        <v>2001</v>
      </c>
      <c r="C2345" t="s">
        <v>105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252</v>
      </c>
      <c r="B2346">
        <v>2000</v>
      </c>
      <c r="C2346" t="s">
        <v>105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253</v>
      </c>
      <c r="B2347">
        <v>2015</v>
      </c>
      <c r="C2347" t="s">
        <v>105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253</v>
      </c>
      <c r="B2348">
        <v>2014</v>
      </c>
      <c r="C2348" t="s">
        <v>105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253</v>
      </c>
      <c r="B2349">
        <v>2013</v>
      </c>
      <c r="C2349" t="s">
        <v>105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253</v>
      </c>
      <c r="B2350">
        <v>2012</v>
      </c>
      <c r="C2350" t="s">
        <v>105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253</v>
      </c>
      <c r="B2351">
        <v>2011</v>
      </c>
      <c r="C2351" t="s">
        <v>105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253</v>
      </c>
      <c r="B2352">
        <v>2010</v>
      </c>
      <c r="C2352" t="s">
        <v>105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253</v>
      </c>
      <c r="B2353">
        <v>2009</v>
      </c>
      <c r="C2353" t="s">
        <v>105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253</v>
      </c>
      <c r="B2354">
        <v>2008</v>
      </c>
      <c r="C2354" t="s">
        <v>105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253</v>
      </c>
      <c r="B2355">
        <v>2007</v>
      </c>
      <c r="C2355" t="s">
        <v>105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253</v>
      </c>
      <c r="B2356">
        <v>2006</v>
      </c>
      <c r="C2356" t="s">
        <v>105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253</v>
      </c>
      <c r="B2357">
        <v>2005</v>
      </c>
      <c r="C2357" t="s">
        <v>105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253</v>
      </c>
      <c r="B2358">
        <v>2004</v>
      </c>
      <c r="C2358" t="s">
        <v>105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253</v>
      </c>
      <c r="B2359">
        <v>2003</v>
      </c>
      <c r="C2359" t="s">
        <v>105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253</v>
      </c>
      <c r="B2360">
        <v>2002</v>
      </c>
      <c r="C2360" t="s">
        <v>105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253</v>
      </c>
      <c r="B2361">
        <v>2001</v>
      </c>
      <c r="C2361" t="s">
        <v>105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253</v>
      </c>
      <c r="B2362">
        <v>2000</v>
      </c>
      <c r="C2362" t="s">
        <v>105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254</v>
      </c>
      <c r="B2363">
        <v>2015</v>
      </c>
      <c r="C2363" t="s">
        <v>97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254</v>
      </c>
      <c r="B2364">
        <v>2014</v>
      </c>
      <c r="C2364" t="s">
        <v>97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254</v>
      </c>
      <c r="B2365">
        <v>2013</v>
      </c>
      <c r="C2365" t="s">
        <v>97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254</v>
      </c>
      <c r="B2366">
        <v>2012</v>
      </c>
      <c r="C2366" t="s">
        <v>97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254</v>
      </c>
      <c r="B2367">
        <v>2011</v>
      </c>
      <c r="C2367" t="s">
        <v>97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254</v>
      </c>
      <c r="B2368">
        <v>2010</v>
      </c>
      <c r="C2368" t="s">
        <v>97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254</v>
      </c>
      <c r="B2369">
        <v>2009</v>
      </c>
      <c r="C2369" t="s">
        <v>97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254</v>
      </c>
      <c r="B2370">
        <v>2008</v>
      </c>
      <c r="C2370" t="s">
        <v>97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254</v>
      </c>
      <c r="B2371">
        <v>2007</v>
      </c>
      <c r="C2371" t="s">
        <v>97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254</v>
      </c>
      <c r="B2372">
        <v>2006</v>
      </c>
      <c r="C2372" t="s">
        <v>97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254</v>
      </c>
      <c r="B2373">
        <v>2005</v>
      </c>
      <c r="C2373" t="s">
        <v>97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254</v>
      </c>
      <c r="B2374">
        <v>2004</v>
      </c>
      <c r="C2374" t="s">
        <v>97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254</v>
      </c>
      <c r="B2375">
        <v>2003</v>
      </c>
      <c r="C2375" t="s">
        <v>97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254</v>
      </c>
      <c r="B2376">
        <v>2002</v>
      </c>
      <c r="C2376" t="s">
        <v>97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254</v>
      </c>
      <c r="B2377">
        <v>2001</v>
      </c>
      <c r="C2377" t="s">
        <v>97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254</v>
      </c>
      <c r="B2378">
        <v>2000</v>
      </c>
      <c r="C2378" t="s">
        <v>97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255</v>
      </c>
      <c r="B2379">
        <v>2015</v>
      </c>
      <c r="C2379" t="s">
        <v>97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255</v>
      </c>
      <c r="B2380">
        <v>2014</v>
      </c>
      <c r="C2380" t="s">
        <v>97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255</v>
      </c>
      <c r="B2381">
        <v>2013</v>
      </c>
      <c r="C2381" t="s">
        <v>97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255</v>
      </c>
      <c r="B2382">
        <v>2012</v>
      </c>
      <c r="C2382" t="s">
        <v>97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255</v>
      </c>
      <c r="B2383">
        <v>2011</v>
      </c>
      <c r="C2383" t="s">
        <v>97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255</v>
      </c>
      <c r="B2384">
        <v>2010</v>
      </c>
      <c r="C2384" t="s">
        <v>97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255</v>
      </c>
      <c r="B2385">
        <v>2009</v>
      </c>
      <c r="C2385" t="s">
        <v>97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255</v>
      </c>
      <c r="B2386">
        <v>2008</v>
      </c>
      <c r="C2386" t="s">
        <v>97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255</v>
      </c>
      <c r="B2387">
        <v>2007</v>
      </c>
      <c r="C2387" t="s">
        <v>97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255</v>
      </c>
      <c r="B2388">
        <v>2006</v>
      </c>
      <c r="C2388" t="s">
        <v>97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255</v>
      </c>
      <c r="B2389">
        <v>2005</v>
      </c>
      <c r="C2389" t="s">
        <v>97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255</v>
      </c>
      <c r="B2390">
        <v>2004</v>
      </c>
      <c r="C2390" t="s">
        <v>97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255</v>
      </c>
      <c r="B2391">
        <v>2003</v>
      </c>
      <c r="C2391" t="s">
        <v>97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255</v>
      </c>
      <c r="B2392">
        <v>2002</v>
      </c>
      <c r="C2392" t="s">
        <v>97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255</v>
      </c>
      <c r="B2393">
        <v>2001</v>
      </c>
      <c r="C2393" t="s">
        <v>97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255</v>
      </c>
      <c r="B2394">
        <v>2000</v>
      </c>
      <c r="C2394" t="s">
        <v>97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256</v>
      </c>
      <c r="B2395">
        <v>2015</v>
      </c>
      <c r="C2395" t="s">
        <v>97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256</v>
      </c>
      <c r="B2396">
        <v>2014</v>
      </c>
      <c r="C2396" t="s">
        <v>97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256</v>
      </c>
      <c r="B2397">
        <v>2013</v>
      </c>
      <c r="C2397" t="s">
        <v>97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256</v>
      </c>
      <c r="B2398">
        <v>2012</v>
      </c>
      <c r="C2398" t="s">
        <v>97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256</v>
      </c>
      <c r="B2399">
        <v>2011</v>
      </c>
      <c r="C2399" t="s">
        <v>97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256</v>
      </c>
      <c r="B2400">
        <v>2010</v>
      </c>
      <c r="C2400" t="s">
        <v>97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256</v>
      </c>
      <c r="B2401">
        <v>2009</v>
      </c>
      <c r="C2401" t="s">
        <v>97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256</v>
      </c>
      <c r="B2402">
        <v>2008</v>
      </c>
      <c r="C2402" t="s">
        <v>97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256</v>
      </c>
      <c r="B2403">
        <v>2007</v>
      </c>
      <c r="C2403" t="s">
        <v>97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256</v>
      </c>
      <c r="B2404">
        <v>2006</v>
      </c>
      <c r="C2404" t="s">
        <v>97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256</v>
      </c>
      <c r="B2405">
        <v>2005</v>
      </c>
      <c r="C2405" t="s">
        <v>97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256</v>
      </c>
      <c r="B2406">
        <v>2004</v>
      </c>
      <c r="C2406" t="s">
        <v>97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256</v>
      </c>
      <c r="B2407">
        <v>2003</v>
      </c>
      <c r="C2407" t="s">
        <v>97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256</v>
      </c>
      <c r="B2408">
        <v>2002</v>
      </c>
      <c r="C2408" t="s">
        <v>97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256</v>
      </c>
      <c r="B2409">
        <v>2001</v>
      </c>
      <c r="C2409" t="s">
        <v>97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256</v>
      </c>
      <c r="B2410">
        <v>2000</v>
      </c>
      <c r="C2410" t="s">
        <v>97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257</v>
      </c>
      <c r="B2411">
        <v>2015</v>
      </c>
      <c r="C2411" t="s">
        <v>97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257</v>
      </c>
      <c r="B2412">
        <v>2014</v>
      </c>
      <c r="C2412" t="s">
        <v>97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257</v>
      </c>
      <c r="B2413">
        <v>2013</v>
      </c>
      <c r="C2413" t="s">
        <v>97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257</v>
      </c>
      <c r="B2414">
        <v>2012</v>
      </c>
      <c r="C2414" t="s">
        <v>97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257</v>
      </c>
      <c r="B2415">
        <v>2011</v>
      </c>
      <c r="C2415" t="s">
        <v>97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257</v>
      </c>
      <c r="B2416">
        <v>2010</v>
      </c>
      <c r="C2416" t="s">
        <v>97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257</v>
      </c>
      <c r="B2417">
        <v>2009</v>
      </c>
      <c r="C2417" t="s">
        <v>97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257</v>
      </c>
      <c r="B2418">
        <v>2008</v>
      </c>
      <c r="C2418" t="s">
        <v>97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257</v>
      </c>
      <c r="B2419">
        <v>2007</v>
      </c>
      <c r="C2419" t="s">
        <v>97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257</v>
      </c>
      <c r="B2420">
        <v>2006</v>
      </c>
      <c r="C2420" t="s">
        <v>97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257</v>
      </c>
      <c r="B2421">
        <v>2005</v>
      </c>
      <c r="C2421" t="s">
        <v>97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257</v>
      </c>
      <c r="B2422">
        <v>2004</v>
      </c>
      <c r="C2422" t="s">
        <v>97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257</v>
      </c>
      <c r="B2423">
        <v>2003</v>
      </c>
      <c r="C2423" t="s">
        <v>97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257</v>
      </c>
      <c r="B2424">
        <v>2002</v>
      </c>
      <c r="C2424" t="s">
        <v>97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257</v>
      </c>
      <c r="B2425">
        <v>2001</v>
      </c>
      <c r="C2425" t="s">
        <v>97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257</v>
      </c>
      <c r="B2426">
        <v>2000</v>
      </c>
      <c r="C2426" t="s">
        <v>97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258</v>
      </c>
      <c r="B2427">
        <v>2015</v>
      </c>
      <c r="C2427" t="s">
        <v>105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258</v>
      </c>
      <c r="B2428">
        <v>2014</v>
      </c>
      <c r="C2428" t="s">
        <v>105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258</v>
      </c>
      <c r="B2429">
        <v>2013</v>
      </c>
      <c r="C2429" t="s">
        <v>105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258</v>
      </c>
      <c r="B2430">
        <v>2012</v>
      </c>
      <c r="C2430" t="s">
        <v>105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258</v>
      </c>
      <c r="B2431">
        <v>2011</v>
      </c>
      <c r="C2431" t="s">
        <v>105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258</v>
      </c>
      <c r="B2432">
        <v>2010</v>
      </c>
      <c r="C2432" t="s">
        <v>105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258</v>
      </c>
      <c r="B2433">
        <v>2009</v>
      </c>
      <c r="C2433" t="s">
        <v>105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258</v>
      </c>
      <c r="B2434">
        <v>2008</v>
      </c>
      <c r="C2434" t="s">
        <v>105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258</v>
      </c>
      <c r="B2435">
        <v>2007</v>
      </c>
      <c r="C2435" t="s">
        <v>105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258</v>
      </c>
      <c r="B2436">
        <v>2006</v>
      </c>
      <c r="C2436" t="s">
        <v>105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258</v>
      </c>
      <c r="B2437">
        <v>2005</v>
      </c>
      <c r="C2437" t="s">
        <v>105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258</v>
      </c>
      <c r="B2438">
        <v>2004</v>
      </c>
      <c r="C2438" t="s">
        <v>105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258</v>
      </c>
      <c r="B2439">
        <v>2003</v>
      </c>
      <c r="C2439" t="s">
        <v>105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258</v>
      </c>
      <c r="B2440">
        <v>2002</v>
      </c>
      <c r="C2440" t="s">
        <v>105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258</v>
      </c>
      <c r="B2441">
        <v>2001</v>
      </c>
      <c r="C2441" t="s">
        <v>105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258</v>
      </c>
      <c r="B2442">
        <v>2000</v>
      </c>
      <c r="C2442" t="s">
        <v>105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259</v>
      </c>
      <c r="B2443">
        <v>2015</v>
      </c>
      <c r="C2443" t="s">
        <v>97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259</v>
      </c>
      <c r="B2444">
        <v>2014</v>
      </c>
      <c r="C2444" t="s">
        <v>97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259</v>
      </c>
      <c r="B2445">
        <v>2013</v>
      </c>
      <c r="C2445" t="s">
        <v>97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259</v>
      </c>
      <c r="B2446">
        <v>2012</v>
      </c>
      <c r="C2446" t="s">
        <v>97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259</v>
      </c>
      <c r="B2447">
        <v>2011</v>
      </c>
      <c r="C2447" t="s">
        <v>97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259</v>
      </c>
      <c r="B2448">
        <v>2010</v>
      </c>
      <c r="C2448" t="s">
        <v>97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259</v>
      </c>
      <c r="B2449">
        <v>2009</v>
      </c>
      <c r="C2449" t="s">
        <v>97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259</v>
      </c>
      <c r="B2450">
        <v>2008</v>
      </c>
      <c r="C2450" t="s">
        <v>97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259</v>
      </c>
      <c r="B2451">
        <v>2007</v>
      </c>
      <c r="C2451" t="s">
        <v>97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259</v>
      </c>
      <c r="B2452">
        <v>2006</v>
      </c>
      <c r="C2452" t="s">
        <v>97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259</v>
      </c>
      <c r="B2453">
        <v>2005</v>
      </c>
      <c r="C2453" t="s">
        <v>97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259</v>
      </c>
      <c r="B2454">
        <v>2004</v>
      </c>
      <c r="C2454" t="s">
        <v>97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259</v>
      </c>
      <c r="B2455">
        <v>2003</v>
      </c>
      <c r="C2455" t="s">
        <v>97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259</v>
      </c>
      <c r="B2456">
        <v>2002</v>
      </c>
      <c r="C2456" t="s">
        <v>97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259</v>
      </c>
      <c r="B2457">
        <v>2001</v>
      </c>
      <c r="C2457" t="s">
        <v>97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259</v>
      </c>
      <c r="B2458">
        <v>2000</v>
      </c>
      <c r="C2458" t="s">
        <v>97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260</v>
      </c>
      <c r="B2459">
        <v>2015</v>
      </c>
      <c r="C2459" t="s">
        <v>97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260</v>
      </c>
      <c r="B2460">
        <v>2014</v>
      </c>
      <c r="C2460" t="s">
        <v>97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260</v>
      </c>
      <c r="B2461">
        <v>2013</v>
      </c>
      <c r="C2461" t="s">
        <v>97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260</v>
      </c>
      <c r="B2462">
        <v>2012</v>
      </c>
      <c r="C2462" t="s">
        <v>97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260</v>
      </c>
      <c r="B2463">
        <v>2011</v>
      </c>
      <c r="C2463" t="s">
        <v>97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260</v>
      </c>
      <c r="B2464">
        <v>2010</v>
      </c>
      <c r="C2464" t="s">
        <v>97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260</v>
      </c>
      <c r="B2465">
        <v>2009</v>
      </c>
      <c r="C2465" t="s">
        <v>97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260</v>
      </c>
      <c r="B2466">
        <v>2008</v>
      </c>
      <c r="C2466" t="s">
        <v>97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260</v>
      </c>
      <c r="B2467">
        <v>2007</v>
      </c>
      <c r="C2467" t="s">
        <v>97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260</v>
      </c>
      <c r="B2468">
        <v>2006</v>
      </c>
      <c r="C2468" t="s">
        <v>97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260</v>
      </c>
      <c r="B2469">
        <v>2005</v>
      </c>
      <c r="C2469" t="s">
        <v>97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260</v>
      </c>
      <c r="B2470">
        <v>2004</v>
      </c>
      <c r="C2470" t="s">
        <v>97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260</v>
      </c>
      <c r="B2471">
        <v>2003</v>
      </c>
      <c r="C2471" t="s">
        <v>97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260</v>
      </c>
      <c r="B2472">
        <v>2002</v>
      </c>
      <c r="C2472" t="s">
        <v>97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260</v>
      </c>
      <c r="B2473">
        <v>2001</v>
      </c>
      <c r="C2473" t="s">
        <v>97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260</v>
      </c>
      <c r="B2474">
        <v>2000</v>
      </c>
      <c r="C2474" t="s">
        <v>97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261</v>
      </c>
      <c r="B2475">
        <v>2015</v>
      </c>
      <c r="C2475" t="s">
        <v>97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261</v>
      </c>
      <c r="B2476">
        <v>2014</v>
      </c>
      <c r="C2476" t="s">
        <v>97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261</v>
      </c>
      <c r="B2477">
        <v>2013</v>
      </c>
      <c r="C2477" t="s">
        <v>97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261</v>
      </c>
      <c r="B2478">
        <v>2012</v>
      </c>
      <c r="C2478" t="s">
        <v>97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261</v>
      </c>
      <c r="B2479">
        <v>2011</v>
      </c>
      <c r="C2479" t="s">
        <v>97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261</v>
      </c>
      <c r="B2480">
        <v>2010</v>
      </c>
      <c r="C2480" t="s">
        <v>97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261</v>
      </c>
      <c r="B2481">
        <v>2009</v>
      </c>
      <c r="C2481" t="s">
        <v>97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261</v>
      </c>
      <c r="B2482">
        <v>2008</v>
      </c>
      <c r="C2482" t="s">
        <v>97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261</v>
      </c>
      <c r="B2483">
        <v>2007</v>
      </c>
      <c r="C2483" t="s">
        <v>97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261</v>
      </c>
      <c r="B2484">
        <v>2006</v>
      </c>
      <c r="C2484" t="s">
        <v>97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261</v>
      </c>
      <c r="B2485">
        <v>2005</v>
      </c>
      <c r="C2485" t="s">
        <v>97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261</v>
      </c>
      <c r="B2486">
        <v>2004</v>
      </c>
      <c r="C2486" t="s">
        <v>97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261</v>
      </c>
      <c r="B2487">
        <v>2003</v>
      </c>
      <c r="C2487" t="s">
        <v>97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261</v>
      </c>
      <c r="B2488">
        <v>2002</v>
      </c>
      <c r="C2488" t="s">
        <v>97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261</v>
      </c>
      <c r="B2489">
        <v>2001</v>
      </c>
      <c r="C2489" t="s">
        <v>97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261</v>
      </c>
      <c r="B2490">
        <v>2000</v>
      </c>
      <c r="C2490" t="s">
        <v>97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262</v>
      </c>
      <c r="B2491">
        <v>2015</v>
      </c>
      <c r="C2491" t="s">
        <v>97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262</v>
      </c>
      <c r="B2492">
        <v>2014</v>
      </c>
      <c r="C2492" t="s">
        <v>97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262</v>
      </c>
      <c r="B2493">
        <v>2013</v>
      </c>
      <c r="C2493" t="s">
        <v>97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262</v>
      </c>
      <c r="B2494">
        <v>2012</v>
      </c>
      <c r="C2494" t="s">
        <v>97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262</v>
      </c>
      <c r="B2495">
        <v>2011</v>
      </c>
      <c r="C2495" t="s">
        <v>97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262</v>
      </c>
      <c r="B2496">
        <v>2010</v>
      </c>
      <c r="C2496" t="s">
        <v>97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262</v>
      </c>
      <c r="B2497">
        <v>2009</v>
      </c>
      <c r="C2497" t="s">
        <v>97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262</v>
      </c>
      <c r="B2498">
        <v>2008</v>
      </c>
      <c r="C2498" t="s">
        <v>97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262</v>
      </c>
      <c r="B2499">
        <v>2007</v>
      </c>
      <c r="C2499" t="s">
        <v>97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262</v>
      </c>
      <c r="B2500">
        <v>2006</v>
      </c>
      <c r="C2500" t="s">
        <v>97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262</v>
      </c>
      <c r="B2501">
        <v>2005</v>
      </c>
      <c r="C2501" t="s">
        <v>97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262</v>
      </c>
      <c r="B2502">
        <v>2004</v>
      </c>
      <c r="C2502" t="s">
        <v>97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262</v>
      </c>
      <c r="B2503">
        <v>2003</v>
      </c>
      <c r="C2503" t="s">
        <v>97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262</v>
      </c>
      <c r="B2504">
        <v>2002</v>
      </c>
      <c r="C2504" t="s">
        <v>97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262</v>
      </c>
      <c r="B2505">
        <v>2001</v>
      </c>
      <c r="C2505" t="s">
        <v>97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262</v>
      </c>
      <c r="B2506">
        <v>2000</v>
      </c>
      <c r="C2506" t="s">
        <v>97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263</v>
      </c>
      <c r="B2507">
        <v>2015</v>
      </c>
      <c r="C2507" t="s">
        <v>105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263</v>
      </c>
      <c r="B2508">
        <v>2014</v>
      </c>
      <c r="C2508" t="s">
        <v>105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263</v>
      </c>
      <c r="B2509">
        <v>2013</v>
      </c>
      <c r="C2509" t="s">
        <v>105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263</v>
      </c>
      <c r="B2510">
        <v>2012</v>
      </c>
      <c r="C2510" t="s">
        <v>105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263</v>
      </c>
      <c r="B2511">
        <v>2011</v>
      </c>
      <c r="C2511" t="s">
        <v>105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263</v>
      </c>
      <c r="B2512">
        <v>2010</v>
      </c>
      <c r="C2512" t="s">
        <v>105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263</v>
      </c>
      <c r="B2513">
        <v>2009</v>
      </c>
      <c r="C2513" t="s">
        <v>105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263</v>
      </c>
      <c r="B2514">
        <v>2008</v>
      </c>
      <c r="C2514" t="s">
        <v>105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263</v>
      </c>
      <c r="B2515">
        <v>2007</v>
      </c>
      <c r="C2515" t="s">
        <v>105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263</v>
      </c>
      <c r="B2516">
        <v>2006</v>
      </c>
      <c r="C2516" t="s">
        <v>105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263</v>
      </c>
      <c r="B2517">
        <v>2005</v>
      </c>
      <c r="C2517" t="s">
        <v>105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263</v>
      </c>
      <c r="B2518">
        <v>2004</v>
      </c>
      <c r="C2518" t="s">
        <v>105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263</v>
      </c>
      <c r="B2519">
        <v>2003</v>
      </c>
      <c r="C2519" t="s">
        <v>105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263</v>
      </c>
      <c r="B2520">
        <v>2002</v>
      </c>
      <c r="C2520" t="s">
        <v>105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263</v>
      </c>
      <c r="B2521">
        <v>2001</v>
      </c>
      <c r="C2521" t="s">
        <v>105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263</v>
      </c>
      <c r="B2522">
        <v>2000</v>
      </c>
      <c r="C2522" t="s">
        <v>105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264</v>
      </c>
      <c r="B2523">
        <v>2015</v>
      </c>
      <c r="C2523" t="s">
        <v>105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264</v>
      </c>
      <c r="B2524">
        <v>2014</v>
      </c>
      <c r="C2524" t="s">
        <v>105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264</v>
      </c>
      <c r="B2525">
        <v>2013</v>
      </c>
      <c r="C2525" t="s">
        <v>105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264</v>
      </c>
      <c r="B2526">
        <v>2012</v>
      </c>
      <c r="C2526" t="s">
        <v>105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264</v>
      </c>
      <c r="B2527">
        <v>2011</v>
      </c>
      <c r="C2527" t="s">
        <v>105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264</v>
      </c>
      <c r="B2528">
        <v>2010</v>
      </c>
      <c r="C2528" t="s">
        <v>105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264</v>
      </c>
      <c r="B2529">
        <v>2009</v>
      </c>
      <c r="C2529" t="s">
        <v>105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264</v>
      </c>
      <c r="B2530">
        <v>2008</v>
      </c>
      <c r="C2530" t="s">
        <v>105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264</v>
      </c>
      <c r="B2531">
        <v>2007</v>
      </c>
      <c r="C2531" t="s">
        <v>105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264</v>
      </c>
      <c r="B2532">
        <v>2006</v>
      </c>
      <c r="C2532" t="s">
        <v>105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264</v>
      </c>
      <c r="B2533">
        <v>2005</v>
      </c>
      <c r="C2533" t="s">
        <v>105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264</v>
      </c>
      <c r="B2534">
        <v>2004</v>
      </c>
      <c r="C2534" t="s">
        <v>105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264</v>
      </c>
      <c r="B2535">
        <v>2003</v>
      </c>
      <c r="C2535" t="s">
        <v>105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264</v>
      </c>
      <c r="B2536">
        <v>2002</v>
      </c>
      <c r="C2536" t="s">
        <v>105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264</v>
      </c>
      <c r="B2537">
        <v>2001</v>
      </c>
      <c r="C2537" t="s">
        <v>105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264</v>
      </c>
      <c r="B2538">
        <v>2000</v>
      </c>
      <c r="C2538" t="s">
        <v>105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265</v>
      </c>
      <c r="B2539">
        <v>2015</v>
      </c>
      <c r="C2539" t="s">
        <v>97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265</v>
      </c>
      <c r="B2540">
        <v>2014</v>
      </c>
      <c r="C2540" t="s">
        <v>97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265</v>
      </c>
      <c r="B2541">
        <v>2013</v>
      </c>
      <c r="C2541" t="s">
        <v>97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265</v>
      </c>
      <c r="B2542">
        <v>2012</v>
      </c>
      <c r="C2542" t="s">
        <v>97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265</v>
      </c>
      <c r="B2543">
        <v>2011</v>
      </c>
      <c r="C2543" t="s">
        <v>97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265</v>
      </c>
      <c r="B2544">
        <v>2010</v>
      </c>
      <c r="C2544" t="s">
        <v>97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265</v>
      </c>
      <c r="B2545">
        <v>2009</v>
      </c>
      <c r="C2545" t="s">
        <v>97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265</v>
      </c>
      <c r="B2546">
        <v>2008</v>
      </c>
      <c r="C2546" t="s">
        <v>97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265</v>
      </c>
      <c r="B2547">
        <v>2007</v>
      </c>
      <c r="C2547" t="s">
        <v>97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265</v>
      </c>
      <c r="B2548">
        <v>2006</v>
      </c>
      <c r="C2548" t="s">
        <v>97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265</v>
      </c>
      <c r="B2549">
        <v>2005</v>
      </c>
      <c r="C2549" t="s">
        <v>97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265</v>
      </c>
      <c r="B2550">
        <v>2004</v>
      </c>
      <c r="C2550" t="s">
        <v>97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265</v>
      </c>
      <c r="B2551">
        <v>2003</v>
      </c>
      <c r="C2551" t="s">
        <v>97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265</v>
      </c>
      <c r="B2552">
        <v>2002</v>
      </c>
      <c r="C2552" t="s">
        <v>97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265</v>
      </c>
      <c r="B2553">
        <v>2001</v>
      </c>
      <c r="C2553" t="s">
        <v>97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265</v>
      </c>
      <c r="B2554">
        <v>2000</v>
      </c>
      <c r="C2554" t="s">
        <v>97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266</v>
      </c>
      <c r="B2555">
        <v>2015</v>
      </c>
      <c r="C2555" t="s">
        <v>97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266</v>
      </c>
      <c r="B2556">
        <v>2014</v>
      </c>
      <c r="C2556" t="s">
        <v>97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266</v>
      </c>
      <c r="B2557">
        <v>2013</v>
      </c>
      <c r="C2557" t="s">
        <v>97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266</v>
      </c>
      <c r="B2558">
        <v>2012</v>
      </c>
      <c r="C2558" t="s">
        <v>97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266</v>
      </c>
      <c r="B2559">
        <v>2011</v>
      </c>
      <c r="C2559" t="s">
        <v>97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266</v>
      </c>
      <c r="B2560">
        <v>2010</v>
      </c>
      <c r="C2560" t="s">
        <v>97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266</v>
      </c>
      <c r="B2561">
        <v>2009</v>
      </c>
      <c r="C2561" t="s">
        <v>97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266</v>
      </c>
      <c r="B2562">
        <v>2008</v>
      </c>
      <c r="C2562" t="s">
        <v>97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266</v>
      </c>
      <c r="B2563">
        <v>2007</v>
      </c>
      <c r="C2563" t="s">
        <v>97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266</v>
      </c>
      <c r="B2564">
        <v>2006</v>
      </c>
      <c r="C2564" t="s">
        <v>97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266</v>
      </c>
      <c r="B2565">
        <v>2005</v>
      </c>
      <c r="C2565" t="s">
        <v>97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266</v>
      </c>
      <c r="B2566">
        <v>2004</v>
      </c>
      <c r="C2566" t="s">
        <v>97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266</v>
      </c>
      <c r="B2567">
        <v>2003</v>
      </c>
      <c r="C2567" t="s">
        <v>97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266</v>
      </c>
      <c r="B2568">
        <v>2002</v>
      </c>
      <c r="C2568" t="s">
        <v>97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266</v>
      </c>
      <c r="B2569">
        <v>2001</v>
      </c>
      <c r="C2569" t="s">
        <v>97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266</v>
      </c>
      <c r="B2570">
        <v>2000</v>
      </c>
      <c r="C2570" t="s">
        <v>97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267</v>
      </c>
      <c r="B2571">
        <v>2015</v>
      </c>
      <c r="C2571" t="s">
        <v>97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267</v>
      </c>
      <c r="B2572">
        <v>2014</v>
      </c>
      <c r="C2572" t="s">
        <v>97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267</v>
      </c>
      <c r="B2573">
        <v>2013</v>
      </c>
      <c r="C2573" t="s">
        <v>97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267</v>
      </c>
      <c r="B2574">
        <v>2012</v>
      </c>
      <c r="C2574" t="s">
        <v>97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267</v>
      </c>
      <c r="B2575">
        <v>2011</v>
      </c>
      <c r="C2575" t="s">
        <v>97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267</v>
      </c>
      <c r="B2576">
        <v>2010</v>
      </c>
      <c r="C2576" t="s">
        <v>97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267</v>
      </c>
      <c r="B2577">
        <v>2009</v>
      </c>
      <c r="C2577" t="s">
        <v>97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267</v>
      </c>
      <c r="B2578">
        <v>2008</v>
      </c>
      <c r="C2578" t="s">
        <v>97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267</v>
      </c>
      <c r="B2579">
        <v>2007</v>
      </c>
      <c r="C2579" t="s">
        <v>97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267</v>
      </c>
      <c r="B2580">
        <v>2006</v>
      </c>
      <c r="C2580" t="s">
        <v>97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267</v>
      </c>
      <c r="B2581">
        <v>2005</v>
      </c>
      <c r="C2581" t="s">
        <v>97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267</v>
      </c>
      <c r="B2582">
        <v>2004</v>
      </c>
      <c r="C2582" t="s">
        <v>97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267</v>
      </c>
      <c r="B2583">
        <v>2003</v>
      </c>
      <c r="C2583" t="s">
        <v>97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267</v>
      </c>
      <c r="B2584">
        <v>2002</v>
      </c>
      <c r="C2584" t="s">
        <v>97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267</v>
      </c>
      <c r="B2585">
        <v>2001</v>
      </c>
      <c r="C2585" t="s">
        <v>97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267</v>
      </c>
      <c r="B2586">
        <v>2000</v>
      </c>
      <c r="C2586" t="s">
        <v>97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268</v>
      </c>
      <c r="B2587">
        <v>2015</v>
      </c>
      <c r="C2587" t="s">
        <v>97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268</v>
      </c>
      <c r="B2588">
        <v>2014</v>
      </c>
      <c r="C2588" t="s">
        <v>97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268</v>
      </c>
      <c r="B2589">
        <v>2013</v>
      </c>
      <c r="C2589" t="s">
        <v>97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268</v>
      </c>
      <c r="B2590">
        <v>2012</v>
      </c>
      <c r="C2590" t="s">
        <v>97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268</v>
      </c>
      <c r="B2591">
        <v>2011</v>
      </c>
      <c r="C2591" t="s">
        <v>97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268</v>
      </c>
      <c r="B2592">
        <v>2010</v>
      </c>
      <c r="C2592" t="s">
        <v>97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268</v>
      </c>
      <c r="B2593">
        <v>2009</v>
      </c>
      <c r="C2593" t="s">
        <v>97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268</v>
      </c>
      <c r="B2594">
        <v>2008</v>
      </c>
      <c r="C2594" t="s">
        <v>97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268</v>
      </c>
      <c r="B2595">
        <v>2007</v>
      </c>
      <c r="C2595" t="s">
        <v>97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268</v>
      </c>
      <c r="B2596">
        <v>2006</v>
      </c>
      <c r="C2596" t="s">
        <v>97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268</v>
      </c>
      <c r="B2597">
        <v>2005</v>
      </c>
      <c r="C2597" t="s">
        <v>97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268</v>
      </c>
      <c r="B2598">
        <v>2004</v>
      </c>
      <c r="C2598" t="s">
        <v>97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268</v>
      </c>
      <c r="B2599">
        <v>2003</v>
      </c>
      <c r="C2599" t="s">
        <v>97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268</v>
      </c>
      <c r="B2600">
        <v>2002</v>
      </c>
      <c r="C2600" t="s">
        <v>97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268</v>
      </c>
      <c r="B2601">
        <v>2001</v>
      </c>
      <c r="C2601" t="s">
        <v>97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268</v>
      </c>
      <c r="B2602">
        <v>2000</v>
      </c>
      <c r="C2602" t="s">
        <v>97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269</v>
      </c>
      <c r="B2603">
        <v>2015</v>
      </c>
      <c r="C2603" t="s">
        <v>97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269</v>
      </c>
      <c r="B2604">
        <v>2014</v>
      </c>
      <c r="C2604" t="s">
        <v>97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269</v>
      </c>
      <c r="B2605">
        <v>2013</v>
      </c>
      <c r="C2605" t="s">
        <v>97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269</v>
      </c>
      <c r="B2606">
        <v>2012</v>
      </c>
      <c r="C2606" t="s">
        <v>97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269</v>
      </c>
      <c r="B2607">
        <v>2011</v>
      </c>
      <c r="C2607" t="s">
        <v>97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269</v>
      </c>
      <c r="B2608">
        <v>2010</v>
      </c>
      <c r="C2608" t="s">
        <v>97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269</v>
      </c>
      <c r="B2609">
        <v>2009</v>
      </c>
      <c r="C2609" t="s">
        <v>97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269</v>
      </c>
      <c r="B2610">
        <v>2008</v>
      </c>
      <c r="C2610" t="s">
        <v>97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269</v>
      </c>
      <c r="B2611">
        <v>2007</v>
      </c>
      <c r="C2611" t="s">
        <v>97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269</v>
      </c>
      <c r="B2612">
        <v>2006</v>
      </c>
      <c r="C2612" t="s">
        <v>97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269</v>
      </c>
      <c r="B2613">
        <v>2005</v>
      </c>
      <c r="C2613" t="s">
        <v>97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269</v>
      </c>
      <c r="B2614">
        <v>2004</v>
      </c>
      <c r="C2614" t="s">
        <v>97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269</v>
      </c>
      <c r="B2615">
        <v>2003</v>
      </c>
      <c r="C2615" t="s">
        <v>97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269</v>
      </c>
      <c r="B2616">
        <v>2002</v>
      </c>
      <c r="C2616" t="s">
        <v>97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269</v>
      </c>
      <c r="B2617">
        <v>2001</v>
      </c>
      <c r="C2617" t="s">
        <v>97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269</v>
      </c>
      <c r="B2618">
        <v>2000</v>
      </c>
      <c r="C2618" t="s">
        <v>97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270</v>
      </c>
      <c r="B2619">
        <v>2015</v>
      </c>
      <c r="C2619" t="s">
        <v>97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270</v>
      </c>
      <c r="B2620">
        <v>2014</v>
      </c>
      <c r="C2620" t="s">
        <v>97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270</v>
      </c>
      <c r="B2621">
        <v>2013</v>
      </c>
      <c r="C2621" t="s">
        <v>97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270</v>
      </c>
      <c r="B2622">
        <v>2012</v>
      </c>
      <c r="C2622" t="s">
        <v>97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270</v>
      </c>
      <c r="B2623">
        <v>2011</v>
      </c>
      <c r="C2623" t="s">
        <v>97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270</v>
      </c>
      <c r="B2624">
        <v>2010</v>
      </c>
      <c r="C2624" t="s">
        <v>97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270</v>
      </c>
      <c r="B2625">
        <v>2009</v>
      </c>
      <c r="C2625" t="s">
        <v>97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270</v>
      </c>
      <c r="B2626">
        <v>2008</v>
      </c>
      <c r="C2626" t="s">
        <v>97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270</v>
      </c>
      <c r="B2627">
        <v>2007</v>
      </c>
      <c r="C2627" t="s">
        <v>97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270</v>
      </c>
      <c r="B2628">
        <v>2006</v>
      </c>
      <c r="C2628" t="s">
        <v>97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270</v>
      </c>
      <c r="B2629">
        <v>2005</v>
      </c>
      <c r="C2629" t="s">
        <v>97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270</v>
      </c>
      <c r="B2630">
        <v>2004</v>
      </c>
      <c r="C2630" t="s">
        <v>97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270</v>
      </c>
      <c r="B2631">
        <v>2003</v>
      </c>
      <c r="C2631" t="s">
        <v>97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270</v>
      </c>
      <c r="B2632">
        <v>2002</v>
      </c>
      <c r="C2632" t="s">
        <v>97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270</v>
      </c>
      <c r="B2633">
        <v>2001</v>
      </c>
      <c r="C2633" t="s">
        <v>97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270</v>
      </c>
      <c r="B2634">
        <v>2000</v>
      </c>
      <c r="C2634" t="s">
        <v>97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271</v>
      </c>
      <c r="B2635">
        <v>2015</v>
      </c>
      <c r="C2635" t="s">
        <v>97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271</v>
      </c>
      <c r="B2636">
        <v>2014</v>
      </c>
      <c r="C2636" t="s">
        <v>97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271</v>
      </c>
      <c r="B2637">
        <v>2013</v>
      </c>
      <c r="C2637" t="s">
        <v>97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271</v>
      </c>
      <c r="B2638">
        <v>2012</v>
      </c>
      <c r="C2638" t="s">
        <v>97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271</v>
      </c>
      <c r="B2639">
        <v>2011</v>
      </c>
      <c r="C2639" t="s">
        <v>97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271</v>
      </c>
      <c r="B2640">
        <v>2010</v>
      </c>
      <c r="C2640" t="s">
        <v>97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271</v>
      </c>
      <c r="B2641">
        <v>2009</v>
      </c>
      <c r="C2641" t="s">
        <v>97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271</v>
      </c>
      <c r="B2642">
        <v>2008</v>
      </c>
      <c r="C2642" t="s">
        <v>97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271</v>
      </c>
      <c r="B2643">
        <v>2007</v>
      </c>
      <c r="C2643" t="s">
        <v>97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271</v>
      </c>
      <c r="B2644">
        <v>2006</v>
      </c>
      <c r="C2644" t="s">
        <v>97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271</v>
      </c>
      <c r="B2645">
        <v>2005</v>
      </c>
      <c r="C2645" t="s">
        <v>97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271</v>
      </c>
      <c r="B2646">
        <v>2004</v>
      </c>
      <c r="C2646" t="s">
        <v>97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271</v>
      </c>
      <c r="B2647">
        <v>2003</v>
      </c>
      <c r="C2647" t="s">
        <v>97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271</v>
      </c>
      <c r="B2648">
        <v>2002</v>
      </c>
      <c r="C2648" t="s">
        <v>97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271</v>
      </c>
      <c r="B2649">
        <v>2001</v>
      </c>
      <c r="C2649" t="s">
        <v>97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271</v>
      </c>
      <c r="B2650">
        <v>2000</v>
      </c>
      <c r="C2650" t="s">
        <v>97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272</v>
      </c>
      <c r="B2651">
        <v>2015</v>
      </c>
      <c r="C2651" t="s">
        <v>97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272</v>
      </c>
      <c r="B2652">
        <v>2014</v>
      </c>
      <c r="C2652" t="s">
        <v>97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272</v>
      </c>
      <c r="B2653">
        <v>2013</v>
      </c>
      <c r="C2653" t="s">
        <v>97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272</v>
      </c>
      <c r="B2654">
        <v>2012</v>
      </c>
      <c r="C2654" t="s">
        <v>97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272</v>
      </c>
      <c r="B2655">
        <v>2011</v>
      </c>
      <c r="C2655" t="s">
        <v>97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272</v>
      </c>
      <c r="B2656">
        <v>2010</v>
      </c>
      <c r="C2656" t="s">
        <v>97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272</v>
      </c>
      <c r="B2657">
        <v>2009</v>
      </c>
      <c r="C2657" t="s">
        <v>97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272</v>
      </c>
      <c r="B2658">
        <v>2008</v>
      </c>
      <c r="C2658" t="s">
        <v>97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272</v>
      </c>
      <c r="B2659">
        <v>2007</v>
      </c>
      <c r="C2659" t="s">
        <v>97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272</v>
      </c>
      <c r="B2660">
        <v>2006</v>
      </c>
      <c r="C2660" t="s">
        <v>97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272</v>
      </c>
      <c r="B2661">
        <v>2005</v>
      </c>
      <c r="C2661" t="s">
        <v>97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272</v>
      </c>
      <c r="B2662">
        <v>2004</v>
      </c>
      <c r="C2662" t="s">
        <v>97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272</v>
      </c>
      <c r="B2663">
        <v>2003</v>
      </c>
      <c r="C2663" t="s">
        <v>97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272</v>
      </c>
      <c r="B2664">
        <v>2002</v>
      </c>
      <c r="C2664" t="s">
        <v>97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272</v>
      </c>
      <c r="B2665">
        <v>2001</v>
      </c>
      <c r="C2665" t="s">
        <v>97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272</v>
      </c>
      <c r="B2666">
        <v>2000</v>
      </c>
      <c r="C2666" t="s">
        <v>97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273</v>
      </c>
      <c r="B2667">
        <v>2015</v>
      </c>
      <c r="C2667" t="s">
        <v>97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273</v>
      </c>
      <c r="B2668">
        <v>2014</v>
      </c>
      <c r="C2668" t="s">
        <v>97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273</v>
      </c>
      <c r="B2669">
        <v>2013</v>
      </c>
      <c r="C2669" t="s">
        <v>97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273</v>
      </c>
      <c r="B2670">
        <v>2012</v>
      </c>
      <c r="C2670" t="s">
        <v>97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273</v>
      </c>
      <c r="B2671">
        <v>2011</v>
      </c>
      <c r="C2671" t="s">
        <v>97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273</v>
      </c>
      <c r="B2672">
        <v>2010</v>
      </c>
      <c r="C2672" t="s">
        <v>97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273</v>
      </c>
      <c r="B2673">
        <v>2009</v>
      </c>
      <c r="C2673" t="s">
        <v>97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273</v>
      </c>
      <c r="B2674">
        <v>2008</v>
      </c>
      <c r="C2674" t="s">
        <v>97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273</v>
      </c>
      <c r="B2675">
        <v>2007</v>
      </c>
      <c r="C2675" t="s">
        <v>97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273</v>
      </c>
      <c r="B2676">
        <v>2006</v>
      </c>
      <c r="C2676" t="s">
        <v>97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273</v>
      </c>
      <c r="B2677">
        <v>2005</v>
      </c>
      <c r="C2677" t="s">
        <v>97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273</v>
      </c>
      <c r="B2678">
        <v>2004</v>
      </c>
      <c r="C2678" t="s">
        <v>97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273</v>
      </c>
      <c r="B2679">
        <v>2003</v>
      </c>
      <c r="C2679" t="s">
        <v>97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273</v>
      </c>
      <c r="B2680">
        <v>2002</v>
      </c>
      <c r="C2680" t="s">
        <v>97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273</v>
      </c>
      <c r="B2681">
        <v>2001</v>
      </c>
      <c r="C2681" t="s">
        <v>97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273</v>
      </c>
      <c r="B2682">
        <v>2000</v>
      </c>
      <c r="C2682" t="s">
        <v>97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274</v>
      </c>
      <c r="B2683">
        <v>2015</v>
      </c>
      <c r="C2683" t="s">
        <v>97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274</v>
      </c>
      <c r="B2684">
        <v>2014</v>
      </c>
      <c r="C2684" t="s">
        <v>97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274</v>
      </c>
      <c r="B2685">
        <v>2013</v>
      </c>
      <c r="C2685" t="s">
        <v>97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274</v>
      </c>
      <c r="B2686">
        <v>2012</v>
      </c>
      <c r="C2686" t="s">
        <v>97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274</v>
      </c>
      <c r="B2687">
        <v>2011</v>
      </c>
      <c r="C2687" t="s">
        <v>97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274</v>
      </c>
      <c r="B2688">
        <v>2010</v>
      </c>
      <c r="C2688" t="s">
        <v>97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274</v>
      </c>
      <c r="B2689">
        <v>2009</v>
      </c>
      <c r="C2689" t="s">
        <v>97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274</v>
      </c>
      <c r="B2690">
        <v>2008</v>
      </c>
      <c r="C2690" t="s">
        <v>97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274</v>
      </c>
      <c r="B2691">
        <v>2007</v>
      </c>
      <c r="C2691" t="s">
        <v>97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274</v>
      </c>
      <c r="B2692">
        <v>2006</v>
      </c>
      <c r="C2692" t="s">
        <v>97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274</v>
      </c>
      <c r="B2693">
        <v>2005</v>
      </c>
      <c r="C2693" t="s">
        <v>97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274</v>
      </c>
      <c r="B2694">
        <v>2004</v>
      </c>
      <c r="C2694" t="s">
        <v>97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274</v>
      </c>
      <c r="B2695">
        <v>2003</v>
      </c>
      <c r="C2695" t="s">
        <v>97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274</v>
      </c>
      <c r="B2696">
        <v>2002</v>
      </c>
      <c r="C2696" t="s">
        <v>97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274</v>
      </c>
      <c r="B2697">
        <v>2001</v>
      </c>
      <c r="C2697" t="s">
        <v>97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274</v>
      </c>
      <c r="B2698">
        <v>2000</v>
      </c>
      <c r="C2698" t="s">
        <v>97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275</v>
      </c>
      <c r="B2699">
        <v>2015</v>
      </c>
      <c r="C2699" t="s">
        <v>97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275</v>
      </c>
      <c r="B2700">
        <v>2014</v>
      </c>
      <c r="C2700" t="s">
        <v>97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275</v>
      </c>
      <c r="B2701">
        <v>2013</v>
      </c>
      <c r="C2701" t="s">
        <v>97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275</v>
      </c>
      <c r="B2702">
        <v>2012</v>
      </c>
      <c r="C2702" t="s">
        <v>97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275</v>
      </c>
      <c r="B2703">
        <v>2011</v>
      </c>
      <c r="C2703" t="s">
        <v>97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275</v>
      </c>
      <c r="B2704">
        <v>2010</v>
      </c>
      <c r="C2704" t="s">
        <v>97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275</v>
      </c>
      <c r="B2705">
        <v>2009</v>
      </c>
      <c r="C2705" t="s">
        <v>97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275</v>
      </c>
      <c r="B2706">
        <v>2008</v>
      </c>
      <c r="C2706" t="s">
        <v>97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275</v>
      </c>
      <c r="B2707">
        <v>2007</v>
      </c>
      <c r="C2707" t="s">
        <v>97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275</v>
      </c>
      <c r="B2708">
        <v>2006</v>
      </c>
      <c r="C2708" t="s">
        <v>97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275</v>
      </c>
      <c r="B2709">
        <v>2005</v>
      </c>
      <c r="C2709" t="s">
        <v>97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275</v>
      </c>
      <c r="B2710">
        <v>2004</v>
      </c>
      <c r="C2710" t="s">
        <v>97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275</v>
      </c>
      <c r="B2711">
        <v>2003</v>
      </c>
      <c r="C2711" t="s">
        <v>97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275</v>
      </c>
      <c r="B2712">
        <v>2002</v>
      </c>
      <c r="C2712" t="s">
        <v>97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275</v>
      </c>
      <c r="B2713">
        <v>2001</v>
      </c>
      <c r="C2713" t="s">
        <v>97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275</v>
      </c>
      <c r="B2714">
        <v>2000</v>
      </c>
      <c r="C2714" t="s">
        <v>97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276</v>
      </c>
      <c r="B2715">
        <v>2013</v>
      </c>
      <c r="C2715" t="s">
        <v>97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277</v>
      </c>
      <c r="B2716">
        <v>2015</v>
      </c>
      <c r="C2716" t="s">
        <v>97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277</v>
      </c>
      <c r="B2717">
        <v>2014</v>
      </c>
      <c r="C2717" t="s">
        <v>97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277</v>
      </c>
      <c r="B2718">
        <v>2013</v>
      </c>
      <c r="C2718" t="s">
        <v>97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277</v>
      </c>
      <c r="B2719">
        <v>2012</v>
      </c>
      <c r="C2719" t="s">
        <v>97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277</v>
      </c>
      <c r="B2720">
        <v>2011</v>
      </c>
      <c r="C2720" t="s">
        <v>97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277</v>
      </c>
      <c r="B2721">
        <v>2010</v>
      </c>
      <c r="C2721" t="s">
        <v>97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277</v>
      </c>
      <c r="B2722">
        <v>2009</v>
      </c>
      <c r="C2722" t="s">
        <v>97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277</v>
      </c>
      <c r="B2723">
        <v>2008</v>
      </c>
      <c r="C2723" t="s">
        <v>97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277</v>
      </c>
      <c r="B2724">
        <v>2007</v>
      </c>
      <c r="C2724" t="s">
        <v>97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277</v>
      </c>
      <c r="B2725">
        <v>2006</v>
      </c>
      <c r="C2725" t="s">
        <v>97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277</v>
      </c>
      <c r="B2726">
        <v>2005</v>
      </c>
      <c r="C2726" t="s">
        <v>97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277</v>
      </c>
      <c r="B2727">
        <v>2004</v>
      </c>
      <c r="C2727" t="s">
        <v>97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277</v>
      </c>
      <c r="B2728">
        <v>2003</v>
      </c>
      <c r="C2728" t="s">
        <v>97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277</v>
      </c>
      <c r="B2729">
        <v>2002</v>
      </c>
      <c r="C2729" t="s">
        <v>97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277</v>
      </c>
      <c r="B2730">
        <v>2001</v>
      </c>
      <c r="C2730" t="s">
        <v>97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277</v>
      </c>
      <c r="B2731">
        <v>2000</v>
      </c>
      <c r="C2731" t="s">
        <v>97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278</v>
      </c>
      <c r="B2732">
        <v>2015</v>
      </c>
      <c r="C2732" t="s">
        <v>97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278</v>
      </c>
      <c r="B2733">
        <v>2014</v>
      </c>
      <c r="C2733" t="s">
        <v>97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278</v>
      </c>
      <c r="B2734">
        <v>2013</v>
      </c>
      <c r="C2734" t="s">
        <v>97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278</v>
      </c>
      <c r="B2735">
        <v>2012</v>
      </c>
      <c r="C2735" t="s">
        <v>97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278</v>
      </c>
      <c r="B2736">
        <v>2011</v>
      </c>
      <c r="C2736" t="s">
        <v>97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278</v>
      </c>
      <c r="B2737">
        <v>2010</v>
      </c>
      <c r="C2737" t="s">
        <v>97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278</v>
      </c>
      <c r="B2738">
        <v>2009</v>
      </c>
      <c r="C2738" t="s">
        <v>97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278</v>
      </c>
      <c r="B2739">
        <v>2008</v>
      </c>
      <c r="C2739" t="s">
        <v>97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278</v>
      </c>
      <c r="B2740">
        <v>2007</v>
      </c>
      <c r="C2740" t="s">
        <v>97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278</v>
      </c>
      <c r="B2741">
        <v>2006</v>
      </c>
      <c r="C2741" t="s">
        <v>97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278</v>
      </c>
      <c r="B2742">
        <v>2005</v>
      </c>
      <c r="C2742" t="s">
        <v>97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278</v>
      </c>
      <c r="B2743">
        <v>2004</v>
      </c>
      <c r="C2743" t="s">
        <v>97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278</v>
      </c>
      <c r="B2744">
        <v>2003</v>
      </c>
      <c r="C2744" t="s">
        <v>97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278</v>
      </c>
      <c r="B2745">
        <v>2002</v>
      </c>
      <c r="C2745" t="s">
        <v>97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278</v>
      </c>
      <c r="B2746">
        <v>2001</v>
      </c>
      <c r="C2746" t="s">
        <v>97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278</v>
      </c>
      <c r="B2747">
        <v>2000</v>
      </c>
      <c r="C2747" t="s">
        <v>97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279</v>
      </c>
      <c r="B2748">
        <v>2015</v>
      </c>
      <c r="C2748" t="s">
        <v>97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279</v>
      </c>
      <c r="B2749">
        <v>2014</v>
      </c>
      <c r="C2749" t="s">
        <v>97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279</v>
      </c>
      <c r="B2750">
        <v>2013</v>
      </c>
      <c r="C2750" t="s">
        <v>97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279</v>
      </c>
      <c r="B2751">
        <v>2012</v>
      </c>
      <c r="C2751" t="s">
        <v>97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279</v>
      </c>
      <c r="B2752">
        <v>2011</v>
      </c>
      <c r="C2752" t="s">
        <v>97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279</v>
      </c>
      <c r="B2753">
        <v>2010</v>
      </c>
      <c r="C2753" t="s">
        <v>97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279</v>
      </c>
      <c r="B2754">
        <v>2009</v>
      </c>
      <c r="C2754" t="s">
        <v>97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279</v>
      </c>
      <c r="B2755">
        <v>2008</v>
      </c>
      <c r="C2755" t="s">
        <v>97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279</v>
      </c>
      <c r="B2756">
        <v>2007</v>
      </c>
      <c r="C2756" t="s">
        <v>97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279</v>
      </c>
      <c r="B2757">
        <v>2006</v>
      </c>
      <c r="C2757" t="s">
        <v>97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279</v>
      </c>
      <c r="B2758">
        <v>2005</v>
      </c>
      <c r="C2758" t="s">
        <v>97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279</v>
      </c>
      <c r="B2759">
        <v>2004</v>
      </c>
      <c r="C2759" t="s">
        <v>97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279</v>
      </c>
      <c r="B2760">
        <v>2003</v>
      </c>
      <c r="C2760" t="s">
        <v>97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279</v>
      </c>
      <c r="B2761">
        <v>2002</v>
      </c>
      <c r="C2761" t="s">
        <v>97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279</v>
      </c>
      <c r="B2762">
        <v>2001</v>
      </c>
      <c r="C2762" t="s">
        <v>97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279</v>
      </c>
      <c r="B2763">
        <v>2000</v>
      </c>
      <c r="C2763" t="s">
        <v>97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280</v>
      </c>
      <c r="B2764">
        <v>2015</v>
      </c>
      <c r="C2764" t="s">
        <v>105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280</v>
      </c>
      <c r="B2765">
        <v>2014</v>
      </c>
      <c r="C2765" t="s">
        <v>105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280</v>
      </c>
      <c r="B2766">
        <v>2013</v>
      </c>
      <c r="C2766" t="s">
        <v>105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280</v>
      </c>
      <c r="B2767">
        <v>2012</v>
      </c>
      <c r="C2767" t="s">
        <v>105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280</v>
      </c>
      <c r="B2768">
        <v>2011</v>
      </c>
      <c r="C2768" t="s">
        <v>105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280</v>
      </c>
      <c r="B2769">
        <v>2010</v>
      </c>
      <c r="C2769" t="s">
        <v>105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280</v>
      </c>
      <c r="B2770">
        <v>2009</v>
      </c>
      <c r="C2770" t="s">
        <v>105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280</v>
      </c>
      <c r="B2771">
        <v>2008</v>
      </c>
      <c r="C2771" t="s">
        <v>105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280</v>
      </c>
      <c r="B2772">
        <v>2007</v>
      </c>
      <c r="C2772" t="s">
        <v>105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280</v>
      </c>
      <c r="B2773">
        <v>2006</v>
      </c>
      <c r="C2773" t="s">
        <v>105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280</v>
      </c>
      <c r="B2774">
        <v>2005</v>
      </c>
      <c r="C2774" t="s">
        <v>105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280</v>
      </c>
      <c r="B2775">
        <v>2004</v>
      </c>
      <c r="C2775" t="s">
        <v>105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280</v>
      </c>
      <c r="B2776">
        <v>2003</v>
      </c>
      <c r="C2776" t="s">
        <v>105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280</v>
      </c>
      <c r="B2777">
        <v>2002</v>
      </c>
      <c r="C2777" t="s">
        <v>105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280</v>
      </c>
      <c r="B2778">
        <v>2001</v>
      </c>
      <c r="C2778" t="s">
        <v>105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280</v>
      </c>
      <c r="B2779">
        <v>2000</v>
      </c>
      <c r="C2779" t="s">
        <v>105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281</v>
      </c>
      <c r="B2780">
        <v>2015</v>
      </c>
      <c r="C2780" t="s">
        <v>97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281</v>
      </c>
      <c r="B2781">
        <v>2014</v>
      </c>
      <c r="C2781" t="s">
        <v>97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281</v>
      </c>
      <c r="B2782">
        <v>2013</v>
      </c>
      <c r="C2782" t="s">
        <v>97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281</v>
      </c>
      <c r="B2783">
        <v>2012</v>
      </c>
      <c r="C2783" t="s">
        <v>97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281</v>
      </c>
      <c r="B2784">
        <v>2011</v>
      </c>
      <c r="C2784" t="s">
        <v>97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281</v>
      </c>
      <c r="B2785">
        <v>2010</v>
      </c>
      <c r="C2785" t="s">
        <v>97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281</v>
      </c>
      <c r="B2786">
        <v>2009</v>
      </c>
      <c r="C2786" t="s">
        <v>97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281</v>
      </c>
      <c r="B2787">
        <v>2008</v>
      </c>
      <c r="C2787" t="s">
        <v>97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281</v>
      </c>
      <c r="B2788">
        <v>2007</v>
      </c>
      <c r="C2788" t="s">
        <v>97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281</v>
      </c>
      <c r="B2789">
        <v>2006</v>
      </c>
      <c r="C2789" t="s">
        <v>97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281</v>
      </c>
      <c r="B2790">
        <v>2005</v>
      </c>
      <c r="C2790" t="s">
        <v>97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281</v>
      </c>
      <c r="B2791">
        <v>2004</v>
      </c>
      <c r="C2791" t="s">
        <v>97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281</v>
      </c>
      <c r="B2792">
        <v>2003</v>
      </c>
      <c r="C2792" t="s">
        <v>97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281</v>
      </c>
      <c r="B2793">
        <v>2002</v>
      </c>
      <c r="C2793" t="s">
        <v>97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281</v>
      </c>
      <c r="B2794">
        <v>2001</v>
      </c>
      <c r="C2794" t="s">
        <v>97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281</v>
      </c>
      <c r="B2795">
        <v>2000</v>
      </c>
      <c r="C2795" t="s">
        <v>97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282</v>
      </c>
      <c r="B2796">
        <v>2015</v>
      </c>
      <c r="C2796" t="s">
        <v>105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282</v>
      </c>
      <c r="B2797">
        <v>2014</v>
      </c>
      <c r="C2797" t="s">
        <v>105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282</v>
      </c>
      <c r="B2798">
        <v>2013</v>
      </c>
      <c r="C2798" t="s">
        <v>105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282</v>
      </c>
      <c r="B2799">
        <v>2012</v>
      </c>
      <c r="C2799" t="s">
        <v>105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282</v>
      </c>
      <c r="B2800">
        <v>2011</v>
      </c>
      <c r="C2800" t="s">
        <v>105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282</v>
      </c>
      <c r="B2801">
        <v>2010</v>
      </c>
      <c r="C2801" t="s">
        <v>105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282</v>
      </c>
      <c r="B2802">
        <v>2009</v>
      </c>
      <c r="C2802" t="s">
        <v>105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282</v>
      </c>
      <c r="B2803">
        <v>2008</v>
      </c>
      <c r="C2803" t="s">
        <v>105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282</v>
      </c>
      <c r="B2804">
        <v>2007</v>
      </c>
      <c r="C2804" t="s">
        <v>105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282</v>
      </c>
      <c r="B2805">
        <v>2006</v>
      </c>
      <c r="C2805" t="s">
        <v>105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282</v>
      </c>
      <c r="B2806">
        <v>2005</v>
      </c>
      <c r="C2806" t="s">
        <v>105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282</v>
      </c>
      <c r="B2807">
        <v>2004</v>
      </c>
      <c r="C2807" t="s">
        <v>105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282</v>
      </c>
      <c r="B2808">
        <v>2003</v>
      </c>
      <c r="C2808" t="s">
        <v>105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282</v>
      </c>
      <c r="B2809">
        <v>2002</v>
      </c>
      <c r="C2809" t="s">
        <v>105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282</v>
      </c>
      <c r="B2810">
        <v>2001</v>
      </c>
      <c r="C2810" t="s">
        <v>105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282</v>
      </c>
      <c r="B2811">
        <v>2000</v>
      </c>
      <c r="C2811" t="s">
        <v>105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283</v>
      </c>
      <c r="B2812">
        <v>2015</v>
      </c>
      <c r="C2812" t="s">
        <v>97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283</v>
      </c>
      <c r="B2813">
        <v>2014</v>
      </c>
      <c r="C2813" t="s">
        <v>97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283</v>
      </c>
      <c r="B2814">
        <v>2013</v>
      </c>
      <c r="C2814" t="s">
        <v>97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283</v>
      </c>
      <c r="B2815">
        <v>2012</v>
      </c>
      <c r="C2815" t="s">
        <v>97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283</v>
      </c>
      <c r="B2816">
        <v>2011</v>
      </c>
      <c r="C2816" t="s">
        <v>97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283</v>
      </c>
      <c r="B2817">
        <v>2010</v>
      </c>
      <c r="C2817" t="s">
        <v>97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283</v>
      </c>
      <c r="B2818">
        <v>2009</v>
      </c>
      <c r="C2818" t="s">
        <v>97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283</v>
      </c>
      <c r="B2819">
        <v>2008</v>
      </c>
      <c r="C2819" t="s">
        <v>97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283</v>
      </c>
      <c r="B2820">
        <v>2007</v>
      </c>
      <c r="C2820" t="s">
        <v>97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283</v>
      </c>
      <c r="B2821">
        <v>2006</v>
      </c>
      <c r="C2821" t="s">
        <v>97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283</v>
      </c>
      <c r="B2822">
        <v>2005</v>
      </c>
      <c r="C2822" t="s">
        <v>97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283</v>
      </c>
      <c r="B2823">
        <v>2004</v>
      </c>
      <c r="C2823" t="s">
        <v>97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283</v>
      </c>
      <c r="B2824">
        <v>2003</v>
      </c>
      <c r="C2824" t="s">
        <v>97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283</v>
      </c>
      <c r="B2825">
        <v>2002</v>
      </c>
      <c r="C2825" t="s">
        <v>97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283</v>
      </c>
      <c r="B2826">
        <v>2001</v>
      </c>
      <c r="C2826" t="s">
        <v>97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283</v>
      </c>
      <c r="B2827">
        <v>2000</v>
      </c>
      <c r="C2827" t="s">
        <v>97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284</v>
      </c>
      <c r="B2828">
        <v>2015</v>
      </c>
      <c r="C2828" t="s">
        <v>97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284</v>
      </c>
      <c r="B2829">
        <v>2014</v>
      </c>
      <c r="C2829" t="s">
        <v>97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284</v>
      </c>
      <c r="B2830">
        <v>2013</v>
      </c>
      <c r="C2830" t="s">
        <v>97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284</v>
      </c>
      <c r="B2831">
        <v>2012</v>
      </c>
      <c r="C2831" t="s">
        <v>97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284</v>
      </c>
      <c r="B2832">
        <v>2011</v>
      </c>
      <c r="C2832" t="s">
        <v>97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284</v>
      </c>
      <c r="B2833">
        <v>2010</v>
      </c>
      <c r="C2833" t="s">
        <v>97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284</v>
      </c>
      <c r="B2834">
        <v>2009</v>
      </c>
      <c r="C2834" t="s">
        <v>97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284</v>
      </c>
      <c r="B2835">
        <v>2008</v>
      </c>
      <c r="C2835" t="s">
        <v>97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284</v>
      </c>
      <c r="B2836">
        <v>2007</v>
      </c>
      <c r="C2836" t="s">
        <v>97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284</v>
      </c>
      <c r="B2837">
        <v>2006</v>
      </c>
      <c r="C2837" t="s">
        <v>97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284</v>
      </c>
      <c r="B2838">
        <v>2005</v>
      </c>
      <c r="C2838" t="s">
        <v>97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284</v>
      </c>
      <c r="B2839">
        <v>2004</v>
      </c>
      <c r="C2839" t="s">
        <v>97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284</v>
      </c>
      <c r="B2840">
        <v>2003</v>
      </c>
      <c r="C2840" t="s">
        <v>97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284</v>
      </c>
      <c r="B2841">
        <v>2002</v>
      </c>
      <c r="C2841" t="s">
        <v>97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284</v>
      </c>
      <c r="B2842">
        <v>2001</v>
      </c>
      <c r="C2842" t="s">
        <v>97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284</v>
      </c>
      <c r="B2843">
        <v>2000</v>
      </c>
      <c r="C2843" t="s">
        <v>97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285</v>
      </c>
      <c r="B2844">
        <v>2015</v>
      </c>
      <c r="C2844" t="s">
        <v>97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285</v>
      </c>
      <c r="B2845">
        <v>2014</v>
      </c>
      <c r="C2845" t="s">
        <v>97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285</v>
      </c>
      <c r="B2846">
        <v>2013</v>
      </c>
      <c r="C2846" t="s">
        <v>97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285</v>
      </c>
      <c r="B2847">
        <v>2012</v>
      </c>
      <c r="C2847" t="s">
        <v>97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285</v>
      </c>
      <c r="B2848">
        <v>2011</v>
      </c>
      <c r="C2848" t="s">
        <v>97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285</v>
      </c>
      <c r="B2849">
        <v>2010</v>
      </c>
      <c r="C2849" t="s">
        <v>97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285</v>
      </c>
      <c r="B2850">
        <v>2009</v>
      </c>
      <c r="C2850" t="s">
        <v>97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285</v>
      </c>
      <c r="B2851">
        <v>2008</v>
      </c>
      <c r="C2851" t="s">
        <v>97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285</v>
      </c>
      <c r="B2852">
        <v>2007</v>
      </c>
      <c r="C2852" t="s">
        <v>97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285</v>
      </c>
      <c r="B2853">
        <v>2006</v>
      </c>
      <c r="C2853" t="s">
        <v>97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285</v>
      </c>
      <c r="B2854">
        <v>2005</v>
      </c>
      <c r="C2854" t="s">
        <v>97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285</v>
      </c>
      <c r="B2855">
        <v>2004</v>
      </c>
      <c r="C2855" t="s">
        <v>97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285</v>
      </c>
      <c r="B2856">
        <v>2003</v>
      </c>
      <c r="C2856" t="s">
        <v>97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285</v>
      </c>
      <c r="B2857">
        <v>2002</v>
      </c>
      <c r="C2857" t="s">
        <v>97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285</v>
      </c>
      <c r="B2858">
        <v>2001</v>
      </c>
      <c r="C2858" t="s">
        <v>97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285</v>
      </c>
      <c r="B2859">
        <v>2000</v>
      </c>
      <c r="C2859" t="s">
        <v>97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286</v>
      </c>
      <c r="B2860">
        <v>2015</v>
      </c>
      <c r="C2860" t="s">
        <v>97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286</v>
      </c>
      <c r="B2861">
        <v>2014</v>
      </c>
      <c r="C2861" t="s">
        <v>97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286</v>
      </c>
      <c r="B2862">
        <v>2013</v>
      </c>
      <c r="C2862" t="s">
        <v>97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286</v>
      </c>
      <c r="B2863">
        <v>2012</v>
      </c>
      <c r="C2863" t="s">
        <v>97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286</v>
      </c>
      <c r="B2864">
        <v>2011</v>
      </c>
      <c r="C2864" t="s">
        <v>97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286</v>
      </c>
      <c r="B2865">
        <v>2010</v>
      </c>
      <c r="C2865" t="s">
        <v>97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286</v>
      </c>
      <c r="B2866">
        <v>2009</v>
      </c>
      <c r="C2866" t="s">
        <v>97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286</v>
      </c>
      <c r="B2867">
        <v>2008</v>
      </c>
      <c r="C2867" t="s">
        <v>97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286</v>
      </c>
      <c r="B2868">
        <v>2007</v>
      </c>
      <c r="C2868" t="s">
        <v>97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286</v>
      </c>
      <c r="B2869">
        <v>2006</v>
      </c>
      <c r="C2869" t="s">
        <v>97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286</v>
      </c>
      <c r="B2870">
        <v>2005</v>
      </c>
      <c r="C2870" t="s">
        <v>97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286</v>
      </c>
      <c r="B2871">
        <v>2004</v>
      </c>
      <c r="C2871" t="s">
        <v>97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286</v>
      </c>
      <c r="B2872">
        <v>2003</v>
      </c>
      <c r="C2872" t="s">
        <v>97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286</v>
      </c>
      <c r="B2873">
        <v>2002</v>
      </c>
      <c r="C2873" t="s">
        <v>97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286</v>
      </c>
      <c r="B2874">
        <v>2001</v>
      </c>
      <c r="C2874" t="s">
        <v>97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286</v>
      </c>
      <c r="B2875">
        <v>2000</v>
      </c>
      <c r="C2875" t="s">
        <v>97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287</v>
      </c>
      <c r="B2876">
        <v>2015</v>
      </c>
      <c r="C2876" t="s">
        <v>97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287</v>
      </c>
      <c r="B2877">
        <v>2014</v>
      </c>
      <c r="C2877" t="s">
        <v>97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287</v>
      </c>
      <c r="B2878">
        <v>2013</v>
      </c>
      <c r="C2878" t="s">
        <v>97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287</v>
      </c>
      <c r="B2879">
        <v>2012</v>
      </c>
      <c r="C2879" t="s">
        <v>97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287</v>
      </c>
      <c r="B2880">
        <v>2011</v>
      </c>
      <c r="C2880" t="s">
        <v>97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287</v>
      </c>
      <c r="B2881">
        <v>2010</v>
      </c>
      <c r="C2881" t="s">
        <v>97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287</v>
      </c>
      <c r="B2882">
        <v>2009</v>
      </c>
      <c r="C2882" t="s">
        <v>97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287</v>
      </c>
      <c r="B2883">
        <v>2008</v>
      </c>
      <c r="C2883" t="s">
        <v>97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287</v>
      </c>
      <c r="B2884">
        <v>2007</v>
      </c>
      <c r="C2884" t="s">
        <v>97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287</v>
      </c>
      <c r="B2885">
        <v>2006</v>
      </c>
      <c r="C2885" t="s">
        <v>97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287</v>
      </c>
      <c r="B2886">
        <v>2005</v>
      </c>
      <c r="C2886" t="s">
        <v>97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287</v>
      </c>
      <c r="B2887">
        <v>2004</v>
      </c>
      <c r="C2887" t="s">
        <v>97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287</v>
      </c>
      <c r="B2888">
        <v>2003</v>
      </c>
      <c r="C2888" t="s">
        <v>97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287</v>
      </c>
      <c r="B2889">
        <v>2002</v>
      </c>
      <c r="C2889" t="s">
        <v>97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287</v>
      </c>
      <c r="B2890">
        <v>2001</v>
      </c>
      <c r="C2890" t="s">
        <v>97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287</v>
      </c>
      <c r="B2891">
        <v>2000</v>
      </c>
      <c r="C2891" t="s">
        <v>97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288</v>
      </c>
      <c r="B2892">
        <v>2015</v>
      </c>
      <c r="C2892" t="s">
        <v>97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288</v>
      </c>
      <c r="B2893">
        <v>2014</v>
      </c>
      <c r="C2893" t="s">
        <v>97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288</v>
      </c>
      <c r="B2894">
        <v>2013</v>
      </c>
      <c r="C2894" t="s">
        <v>97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288</v>
      </c>
      <c r="B2895">
        <v>2012</v>
      </c>
      <c r="C2895" t="s">
        <v>97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288</v>
      </c>
      <c r="B2896">
        <v>2011</v>
      </c>
      <c r="C2896" t="s">
        <v>97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288</v>
      </c>
      <c r="B2897">
        <v>2010</v>
      </c>
      <c r="C2897" t="s">
        <v>97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288</v>
      </c>
      <c r="B2898">
        <v>2009</v>
      </c>
      <c r="C2898" t="s">
        <v>97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288</v>
      </c>
      <c r="B2899">
        <v>2008</v>
      </c>
      <c r="C2899" t="s">
        <v>97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288</v>
      </c>
      <c r="B2900">
        <v>2007</v>
      </c>
      <c r="C2900" t="s">
        <v>97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288</v>
      </c>
      <c r="B2901">
        <v>2006</v>
      </c>
      <c r="C2901" t="s">
        <v>97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288</v>
      </c>
      <c r="B2902">
        <v>2005</v>
      </c>
      <c r="C2902" t="s">
        <v>97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288</v>
      </c>
      <c r="B2903">
        <v>2004</v>
      </c>
      <c r="C2903" t="s">
        <v>97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288</v>
      </c>
      <c r="B2904">
        <v>2003</v>
      </c>
      <c r="C2904" t="s">
        <v>97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288</v>
      </c>
      <c r="B2905">
        <v>2002</v>
      </c>
      <c r="C2905" t="s">
        <v>97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288</v>
      </c>
      <c r="B2906">
        <v>2001</v>
      </c>
      <c r="C2906" t="s">
        <v>97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288</v>
      </c>
      <c r="B2907">
        <v>2000</v>
      </c>
      <c r="C2907" t="s">
        <v>97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289</v>
      </c>
      <c r="B2908">
        <v>2015</v>
      </c>
      <c r="C2908" t="s">
        <v>97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289</v>
      </c>
      <c r="B2909">
        <v>2014</v>
      </c>
      <c r="C2909" t="s">
        <v>97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289</v>
      </c>
      <c r="B2910">
        <v>2013</v>
      </c>
      <c r="C2910" t="s">
        <v>97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289</v>
      </c>
      <c r="B2911">
        <v>2012</v>
      </c>
      <c r="C2911" t="s">
        <v>97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289</v>
      </c>
      <c r="B2912">
        <v>2011</v>
      </c>
      <c r="C2912" t="s">
        <v>97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289</v>
      </c>
      <c r="B2913">
        <v>2010</v>
      </c>
      <c r="C2913" t="s">
        <v>97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289</v>
      </c>
      <c r="B2914">
        <v>2009</v>
      </c>
      <c r="C2914" t="s">
        <v>97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289</v>
      </c>
      <c r="B2915">
        <v>2008</v>
      </c>
      <c r="C2915" t="s">
        <v>97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289</v>
      </c>
      <c r="B2916">
        <v>2007</v>
      </c>
      <c r="C2916" t="s">
        <v>97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289</v>
      </c>
      <c r="B2917">
        <v>2006</v>
      </c>
      <c r="C2917" t="s">
        <v>97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289</v>
      </c>
      <c r="B2918">
        <v>2005</v>
      </c>
      <c r="C2918" t="s">
        <v>97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289</v>
      </c>
      <c r="B2919">
        <v>2004</v>
      </c>
      <c r="C2919" t="s">
        <v>97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289</v>
      </c>
      <c r="B2920">
        <v>2003</v>
      </c>
      <c r="C2920" t="s">
        <v>97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289</v>
      </c>
      <c r="B2921">
        <v>2002</v>
      </c>
      <c r="C2921" t="s">
        <v>97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289</v>
      </c>
      <c r="B2922">
        <v>2001</v>
      </c>
      <c r="C2922" t="s">
        <v>97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289</v>
      </c>
      <c r="B2923">
        <v>2000</v>
      </c>
      <c r="C2923" t="s">
        <v>97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290</v>
      </c>
      <c r="B2924">
        <v>2015</v>
      </c>
      <c r="C2924" t="s">
        <v>97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290</v>
      </c>
      <c r="B2925">
        <v>2014</v>
      </c>
      <c r="C2925" t="s">
        <v>97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290</v>
      </c>
      <c r="B2926">
        <v>2013</v>
      </c>
      <c r="C2926" t="s">
        <v>97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290</v>
      </c>
      <c r="B2927">
        <v>2012</v>
      </c>
      <c r="C2927" t="s">
        <v>97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290</v>
      </c>
      <c r="B2928">
        <v>2011</v>
      </c>
      <c r="C2928" t="s">
        <v>97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290</v>
      </c>
      <c r="B2929">
        <v>2010</v>
      </c>
      <c r="C2929" t="s">
        <v>97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290</v>
      </c>
      <c r="B2930">
        <v>2009</v>
      </c>
      <c r="C2930" t="s">
        <v>97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290</v>
      </c>
      <c r="B2931">
        <v>2008</v>
      </c>
      <c r="C2931" t="s">
        <v>97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290</v>
      </c>
      <c r="B2932">
        <v>2007</v>
      </c>
      <c r="C2932" t="s">
        <v>97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290</v>
      </c>
      <c r="B2933">
        <v>2006</v>
      </c>
      <c r="C2933" t="s">
        <v>97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290</v>
      </c>
      <c r="B2934">
        <v>2005</v>
      </c>
      <c r="C2934" t="s">
        <v>97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290</v>
      </c>
      <c r="B2935">
        <v>2004</v>
      </c>
      <c r="C2935" t="s">
        <v>97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290</v>
      </c>
      <c r="B2936">
        <v>2003</v>
      </c>
      <c r="C2936" t="s">
        <v>97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290</v>
      </c>
      <c r="B2937">
        <v>2002</v>
      </c>
      <c r="C2937" t="s">
        <v>97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290</v>
      </c>
      <c r="B2938">
        <v>2001</v>
      </c>
      <c r="C2938" t="s">
        <v>97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290</v>
      </c>
      <c r="B2939">
        <v>2000</v>
      </c>
      <c r="C2939" t="s">
        <v>97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E5501-AE6B-450B-B1F1-CDE17C586FA9}">
  <dimension ref="A1:AL9"/>
  <sheetViews>
    <sheetView tabSelected="1" workbookViewId="0">
      <pane ySplit="1" topLeftCell="A2" activePane="bottomLeft" state="frozenSplit"/>
      <selection pane="bottomLeft" activeCell="A2" sqref="A2"/>
    </sheetView>
  </sheetViews>
  <sheetFormatPr defaultRowHeight="15" outlineLevelCol="1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5" width="15.42578125" customWidth="1" outlineLevel="1"/>
    <col min="6" max="6" width="16.85546875" customWidth="1" outlineLevel="1"/>
    <col min="7" max="7" width="11" customWidth="1" outlineLevel="1"/>
    <col min="8" max="8" width="12.7109375" customWidth="1" outlineLevel="1"/>
    <col min="9" max="9" width="14.42578125" customWidth="1" outlineLevel="1"/>
    <col min="10" max="10" width="12.85546875" customWidth="1" outlineLevel="1"/>
    <col min="11" max="11" width="14.42578125" customWidth="1" outlineLevel="1"/>
    <col min="12" max="12" width="10.85546875" customWidth="1" outlineLevel="1"/>
    <col min="13" max="13" width="14.28515625" customWidth="1" outlineLevel="1"/>
    <col min="14" max="15" width="16.7109375" customWidth="1" outlineLevel="1"/>
    <col min="16" max="16" width="15.42578125" bestFit="1" customWidth="1"/>
    <col min="17" max="17" width="16.85546875" bestFit="1" customWidth="1"/>
    <col min="18" max="18" width="11" bestFit="1" customWidth="1"/>
    <col min="19" max="19" width="12.7109375" bestFit="1" customWidth="1"/>
    <col min="20" max="20" width="14.42578125" bestFit="1" customWidth="1"/>
    <col min="21" max="21" width="12.85546875" bestFit="1" customWidth="1"/>
    <col min="22" max="22" width="14.42578125" bestFit="1" customWidth="1"/>
    <col min="23" max="23" width="10.85546875" bestFit="1" customWidth="1"/>
    <col min="24" max="24" width="14.28515625" bestFit="1" customWidth="1"/>
    <col min="25" max="26" width="16.7109375" bestFit="1" customWidth="1"/>
    <col min="27" max="27" width="15.42578125" hidden="1" customWidth="1" outlineLevel="1"/>
    <col min="28" max="28" width="16.85546875" hidden="1" customWidth="1" outlineLevel="1"/>
    <col min="29" max="29" width="11" hidden="1" customWidth="1" outlineLevel="1"/>
    <col min="30" max="30" width="12.7109375" hidden="1" customWidth="1" outlineLevel="1"/>
    <col min="31" max="31" width="14.42578125" hidden="1" customWidth="1" outlineLevel="1"/>
    <col min="32" max="32" width="12.85546875" hidden="1" customWidth="1" outlineLevel="1"/>
    <col min="33" max="33" width="14.42578125" hidden="1" customWidth="1" outlineLevel="1"/>
    <col min="34" max="34" width="10.85546875" hidden="1" customWidth="1" outlineLevel="1"/>
    <col min="35" max="35" width="14.28515625" hidden="1" customWidth="1" outlineLevel="1"/>
    <col min="36" max="37" width="16.7109375" hidden="1" customWidth="1" outlineLevel="1"/>
    <col min="38" max="38" width="9.140625" collapsed="1"/>
  </cols>
  <sheetData>
    <row r="1" spans="1:37" ht="30" x14ac:dyDescent="0.25">
      <c r="A1" s="2" t="s">
        <v>291</v>
      </c>
      <c r="B1" s="2" t="s">
        <v>292</v>
      </c>
      <c r="C1" s="2" t="s">
        <v>293</v>
      </c>
      <c r="D1" s="2" t="s">
        <v>294</v>
      </c>
      <c r="E1" s="2" t="s">
        <v>296</v>
      </c>
      <c r="F1" s="2" t="s">
        <v>298</v>
      </c>
      <c r="G1" s="2" t="s">
        <v>300</v>
      </c>
      <c r="H1" s="2" t="s">
        <v>302</v>
      </c>
      <c r="I1" s="2" t="s">
        <v>304</v>
      </c>
      <c r="J1" s="2" t="s">
        <v>306</v>
      </c>
      <c r="K1" s="2" t="s">
        <v>308</v>
      </c>
      <c r="L1" s="2" t="s">
        <v>310</v>
      </c>
      <c r="M1" s="2" t="s">
        <v>312</v>
      </c>
      <c r="N1" s="2" t="s">
        <v>314</v>
      </c>
      <c r="O1" s="2" t="s">
        <v>316</v>
      </c>
      <c r="P1" s="2" t="s">
        <v>5</v>
      </c>
      <c r="Q1" s="2" t="s">
        <v>10</v>
      </c>
      <c r="R1" s="2" t="s">
        <v>15</v>
      </c>
      <c r="S1" s="2" t="s">
        <v>20</v>
      </c>
      <c r="T1" s="2" t="s">
        <v>25</v>
      </c>
      <c r="U1" s="2" t="s">
        <v>29</v>
      </c>
      <c r="V1" s="2" t="s">
        <v>33</v>
      </c>
      <c r="W1" s="2" t="s">
        <v>37</v>
      </c>
      <c r="X1" s="2" t="s">
        <v>41</v>
      </c>
      <c r="Y1" s="2" t="s">
        <v>45</v>
      </c>
      <c r="Z1" s="2" t="s">
        <v>49</v>
      </c>
      <c r="AA1" s="2" t="s">
        <v>295</v>
      </c>
      <c r="AB1" s="2" t="s">
        <v>297</v>
      </c>
      <c r="AC1" s="2" t="s">
        <v>299</v>
      </c>
      <c r="AD1" s="2" t="s">
        <v>301</v>
      </c>
      <c r="AE1" s="2" t="s">
        <v>303</v>
      </c>
      <c r="AF1" s="2" t="s">
        <v>305</v>
      </c>
      <c r="AG1" s="2" t="s">
        <v>307</v>
      </c>
      <c r="AH1" s="2" t="s">
        <v>309</v>
      </c>
      <c r="AI1" s="2" t="s">
        <v>311</v>
      </c>
      <c r="AJ1" s="2" t="s">
        <v>313</v>
      </c>
      <c r="AK1" s="2" t="s">
        <v>315</v>
      </c>
    </row>
    <row r="2" spans="1:37" x14ac:dyDescent="0.25">
      <c r="A2" s="2" t="str">
        <f ca="1">_xlfn.TEXTJOIN(", ",TRUE,OFFSET(y,-1,1,1,MLR_Scalar_Test[[#This Row],[ind_vars]]))</f>
        <v>Adult Mortality</v>
      </c>
      <c r="B2" s="3">
        <v>1</v>
      </c>
      <c r="C2" t="b">
        <v>1</v>
      </c>
      <c r="D2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2" t="b">
        <f>MLR_Scalar_Test[[#This Row],[Observations
(Exp.)]]=MLR_Scalar_Test[[#This Row],[Observations]]</f>
        <v>1</v>
      </c>
      <c r="F2" t="b">
        <f ca="1">MLR_Scalar_Test[[#This Row],[DF_Regression
(Exp.)]]=MLR_Scalar_Test[[#This Row],[DF_Regression]]</f>
        <v>1</v>
      </c>
      <c r="G2" t="b">
        <f>MLR_Scalar_Test[[#This Row],[DF_Total
(Exp.)]]=MLR_Scalar_Test[[#This Row],[DF_Total]]</f>
        <v>1</v>
      </c>
      <c r="H2" t="b">
        <f ca="1">ROUND(MLR_Scalar_Test[[#This Row],[R_squared
(Exp.)]],6)=ROUND(MLR_Scalar_Test[[#This Row],[R_squared]],6)</f>
        <v>1</v>
      </c>
      <c r="I2" t="b">
        <f ca="1">MLR_Scalar_Test[[#This Row],[DF_Residual
(Exp.)]]=MLR_Scalar_Test[[#This Row],[DF_Residual]]</f>
        <v>1</v>
      </c>
      <c r="J2" t="b">
        <f ca="1">ROUND(MLR_Scalar_Test[[#This Row],[Multiple_R
(Exp.)]],6)=ROUND(MLR_Scalar_Test[[#This Row],[Multiple_R]],6)</f>
        <v>1</v>
      </c>
      <c r="K2" t="b">
        <f ca="1">ROUND(MLR_Scalar_Test[[#This Row],[Adjusted_R2
(Exp.)]],6)=ROUND(MLR_Scalar_Test[[#This Row],[Adjusted_R2]],6)</f>
        <v>1</v>
      </c>
      <c r="L2" t="b">
        <f>ROUND(MLR_Scalar_Test[[#This Row],[SS_Total
(Exp.)]],4)=ROUND(MLR_Scalar_Test[[#This Row],[SS_Total]],4)</f>
        <v>1</v>
      </c>
      <c r="M2" t="b">
        <f ca="1">ROUND(MLR_Scalar_Test[[#This Row],[SS_Residual
(Exp.)]],4)=ROUND(MLR_Scalar_Test[[#This Row],[SS_Residual]],4)</f>
        <v>1</v>
      </c>
      <c r="N2" t="b">
        <f ca="1">ROUND(MLR_Scalar_Test[[#This Row],[SS_Regression
(Exp.)]],4)=ROUND(MLR_Scalar_Test[[#This Row],[SS_Regression]],4)</f>
        <v>1</v>
      </c>
      <c r="O2" t="b">
        <f ca="1">ROUND(MLR_Scalar_Test[[#This Row],[SE_Regression
(Exp.)]],6)=ROUND(MLR_Scalar_Test[[#This Row],[SE_Regression]],6)</f>
        <v>1</v>
      </c>
      <c r="P2" s="3">
        <f>Observations(y, fil)</f>
        <v>1649</v>
      </c>
      <c r="Q2" s="3">
        <f ca="1">_xlfn.LET(_xlpm.x_s, OFFSET(y,0,1,ROWS(y),MLR_Scalar_Test[[#This Row],[ind_vars]]), DF_Regression(_xlpm.x_s))</f>
        <v>1</v>
      </c>
      <c r="R2" s="3">
        <f>DF_Total(y, MLR_Scalar_Test[[#This Row],[Allow_Intercept]], fil)</f>
        <v>1648</v>
      </c>
      <c r="S2" s="4">
        <f ca="1">_xlfn.LET(_xlpm.x_s, OFFSET(y,0,1,ROWS(y),MLR_Scalar_Test[[#This Row],[ind_vars]]), R_squared(_xlpm.x_s, y, MLR_Scalar_Test[[#This Row],[Allow_Intercept]], fil))</f>
        <v>0.49353865307316708</v>
      </c>
      <c r="T2" s="3">
        <f ca="1">_xlfn.LET(_xlpm.x_s, OFFSET(y,0,1,ROWS(y),MLR_Scalar_Test[[#This Row],[ind_vars]]), DF_Residual(_xlpm.x_s, y, MLR_Scalar_Test[[#This Row],[Allow_Intercept]], fil))</f>
        <v>1647</v>
      </c>
      <c r="U2" s="4">
        <f ca="1">_xlfn.LET(_xlpm.x_s, OFFSET(y,0,1,ROWS(y),MLR_Scalar_Test[[#This Row],[ind_vars]]), Multiple_R(_xlpm.x_s, y, MLR_Scalar_Test[[#This Row],[Allow_Intercept]], fil))</f>
        <v>0.70252306230697303</v>
      </c>
      <c r="V2" s="4">
        <f ca="1">_xlfn.LET(_xlpm.x_s, OFFSET(y,0,1,ROWS(y),MLR_Scalar_Test[[#This Row],[ind_vars]]), Adjusted_R2(_xlpm.x_s, y, MLR_Scalar_Test[[#This Row],[Allow_Intercept]], fil))</f>
        <v>0.4932311477016269</v>
      </c>
      <c r="W2" s="5">
        <f>SS_Total(y, MLR_Scalar_Test[[#This Row],[Allow_Intercept]], fil)</f>
        <v>127529.31124317752</v>
      </c>
      <c r="X2" s="5">
        <f ca="1">_xlfn.LET(_xlpm.x_s, OFFSET(y,0,1,ROWS(y),MLR_Scalar_Test[[#This Row],[ind_vars]]), SS_Residual(_xlpm.x_s, y, MLR_Scalar_Test[[#This Row],[Allow_Intercept]], fil))</f>
        <v>64588.666744870978</v>
      </c>
      <c r="Y2" s="5">
        <f ca="1">_xlfn.LET(_xlpm.x_s, OFFSET(y,0,1,ROWS(y),MLR_Scalar_Test[[#This Row],[ind_vars]]), SS_Regression(_xlpm.x_s, y, MLR_Scalar_Test[[#This Row],[Allow_Intercept]], fil))</f>
        <v>62940.644498306538</v>
      </c>
      <c r="Z2" s="4">
        <f ca="1">_xlfn.LET(_xlpm.x_s, OFFSET(y,0,1,ROWS(y),MLR_Scalar_Test[[#This Row],[ind_vars]]), SE_Regression(_xlpm.x_s, y, MLR_Scalar_Test[[#This Row],[Allow_Intercept]], fil))</f>
        <v>6.2622638267729238</v>
      </c>
      <c r="AA2" s="3">
        <v>1649</v>
      </c>
      <c r="AB2" s="3">
        <v>1</v>
      </c>
      <c r="AC2" s="3">
        <v>1648</v>
      </c>
      <c r="AD2" s="4">
        <v>0.49353865307316791</v>
      </c>
      <c r="AE2" s="3">
        <v>1647</v>
      </c>
      <c r="AF2" s="4">
        <v>0.70252306230697359</v>
      </c>
      <c r="AG2" s="4">
        <v>0.49323114770162757</v>
      </c>
      <c r="AH2" s="5">
        <v>127529.31124317768</v>
      </c>
      <c r="AI2" s="5">
        <v>64588.666744870963</v>
      </c>
      <c r="AJ2" s="5">
        <v>62940.644498306719</v>
      </c>
      <c r="AK2" s="4">
        <v>6.2622638267729238</v>
      </c>
    </row>
    <row r="3" spans="1:37" x14ac:dyDescent="0.25">
      <c r="A3" s="2" t="str">
        <f ca="1">_xlfn.TEXTJOIN(", ",TRUE,OFFSET(y,-1,1,1,MLR_Scalar_Test[[#This Row],[ind_vars]]))</f>
        <v>Adult Mortality</v>
      </c>
      <c r="B3" s="3">
        <v>1</v>
      </c>
      <c r="C3" t="b">
        <v>0</v>
      </c>
      <c r="D3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3" t="b">
        <f>MLR_Scalar_Test[[#This Row],[Observations
(Exp.)]]=MLR_Scalar_Test[[#This Row],[Observations]]</f>
        <v>1</v>
      </c>
      <c r="F3" t="b">
        <f ca="1">MLR_Scalar_Test[[#This Row],[DF_Regression
(Exp.)]]=MLR_Scalar_Test[[#This Row],[DF_Regression]]</f>
        <v>1</v>
      </c>
      <c r="G3" t="b">
        <f>MLR_Scalar_Test[[#This Row],[DF_Total
(Exp.)]]=MLR_Scalar_Test[[#This Row],[DF_Total]]</f>
        <v>1</v>
      </c>
      <c r="H3" t="b">
        <f ca="1">ROUND(MLR_Scalar_Test[[#This Row],[R_squared
(Exp.)]],6)=ROUND(MLR_Scalar_Test[[#This Row],[R_squared]],6)</f>
        <v>1</v>
      </c>
      <c r="I3" t="b">
        <f ca="1">MLR_Scalar_Test[[#This Row],[DF_Residual
(Exp.)]]=MLR_Scalar_Test[[#This Row],[DF_Residual]]</f>
        <v>1</v>
      </c>
      <c r="J3" t="b">
        <f ca="1">ROUND(MLR_Scalar_Test[[#This Row],[Multiple_R
(Exp.)]],6)=ROUND(MLR_Scalar_Test[[#This Row],[Multiple_R]],6)</f>
        <v>1</v>
      </c>
      <c r="K3" t="b">
        <f ca="1">ROUND(MLR_Scalar_Test[[#This Row],[Adjusted_R2
(Exp.)]],6)=ROUND(MLR_Scalar_Test[[#This Row],[Adjusted_R2]],6)</f>
        <v>1</v>
      </c>
      <c r="L3" t="b">
        <f>ROUND(MLR_Scalar_Test[[#This Row],[SS_Total
(Exp.)]],4)=ROUND(MLR_Scalar_Test[[#This Row],[SS_Total]],4)</f>
        <v>1</v>
      </c>
      <c r="M3" t="b">
        <f ca="1">ROUND(MLR_Scalar_Test[[#This Row],[SS_Residual
(Exp.)]],4)=ROUND(MLR_Scalar_Test[[#This Row],[SS_Residual]],4)</f>
        <v>1</v>
      </c>
      <c r="N3" t="b">
        <f ca="1">ROUND(MLR_Scalar_Test[[#This Row],[SS_Regression
(Exp.)]],4)=ROUND(MLR_Scalar_Test[[#This Row],[SS_Regression]],4)</f>
        <v>1</v>
      </c>
      <c r="O3" t="b">
        <f ca="1">ROUND(MLR_Scalar_Test[[#This Row],[SE_Regression
(Exp.)]],6)=ROUND(MLR_Scalar_Test[[#This Row],[SE_Regression]],6)</f>
        <v>1</v>
      </c>
      <c r="P3" s="3">
        <f>Observations(y, fil)</f>
        <v>1649</v>
      </c>
      <c r="Q3" s="3">
        <f ca="1">_xlfn.LET(_xlpm.x_s, OFFSET(y,0,1,ROWS(y),MLR_Scalar_Test[[#This Row],[ind_vars]]), DF_Regression(_xlpm.x_s))</f>
        <v>1</v>
      </c>
      <c r="R3" s="3">
        <f>DF_Total(y, MLR_Scalar_Test[[#This Row],[Allow_Intercept]], fil)</f>
        <v>1649</v>
      </c>
      <c r="S3" s="4">
        <f ca="1">_xlfn.LET(_xlpm.x_s, OFFSET(y,0,1,ROWS(y),MLR_Scalar_Test[[#This Row],[ind_vars]]), R_squared(_xlpm.x_s, y, MLR_Scalar_Test[[#This Row],[Allow_Intercept]], fil))</f>
        <v>0.55179208580397665</v>
      </c>
      <c r="T3" s="3">
        <f ca="1">_xlfn.LET(_xlpm.x_s, OFFSET(y,0,1,ROWS(y),MLR_Scalar_Test[[#This Row],[ind_vars]]), DF_Residual(_xlpm.x_s, y, MLR_Scalar_Test[[#This Row],[Allow_Intercept]], fil))</f>
        <v>1648</v>
      </c>
      <c r="U3" s="4">
        <f ca="1">_xlfn.LET(_xlpm.x_s, OFFSET(y,0,1,ROWS(y),MLR_Scalar_Test[[#This Row],[ind_vars]]), Multiple_R(_xlpm.x_s, y, MLR_Scalar_Test[[#This Row],[Allow_Intercept]], fil))</f>
        <v>0.74282709011180836</v>
      </c>
      <c r="V3" s="4">
        <f ca="1">_xlfn.LET(_xlpm.x_s, OFFSET(y,0,1,ROWS(y),MLR_Scalar_Test[[#This Row],[ind_vars]]), Adjusted_R2(_xlpm.x_s, y, MLR_Scalar_Test[[#This Row],[Allow_Intercept]], fil))</f>
        <v>0.55152011498225573</v>
      </c>
      <c r="W3" s="5">
        <f>SS_Total(y, MLR_Scalar_Test[[#This Row],[Allow_Intercept]], fil)</f>
        <v>8047362.0100000026</v>
      </c>
      <c r="X3" s="5">
        <f ca="1">_xlfn.LET(_xlpm.x_s, OFFSET(y,0,1,ROWS(y),MLR_Scalar_Test[[#This Row],[ind_vars]]), SS_Residual(_xlpm.x_s, y, MLR_Scalar_Test[[#This Row],[Allow_Intercept]], fil))</f>
        <v>3606891.3412824189</v>
      </c>
      <c r="Y3" s="5">
        <f ca="1">_xlfn.LET(_xlpm.x_s, OFFSET(y,0,1,ROWS(y),MLR_Scalar_Test[[#This Row],[ind_vars]]), SS_Regression(_xlpm.x_s, y, MLR_Scalar_Test[[#This Row],[Allow_Intercept]], fil))</f>
        <v>4440470.6687175836</v>
      </c>
      <c r="Z3" s="4">
        <f ca="1">_xlfn.LET(_xlpm.x_s, OFFSET(y,0,1,ROWS(y),MLR_Scalar_Test[[#This Row],[ind_vars]]), SE_Regression(_xlpm.x_s, y, MLR_Scalar_Test[[#This Row],[Allow_Intercept]], fil))</f>
        <v>46.78298471180689</v>
      </c>
      <c r="AA3" s="3">
        <v>1649</v>
      </c>
      <c r="AB3" s="3">
        <v>1</v>
      </c>
      <c r="AC3" s="3">
        <v>1649</v>
      </c>
      <c r="AD3" s="4">
        <v>0.55179208580397665</v>
      </c>
      <c r="AE3" s="3">
        <v>1648</v>
      </c>
      <c r="AF3" s="4">
        <v>0.74282709011180836</v>
      </c>
      <c r="AG3" s="4">
        <v>0.55152011498225573</v>
      </c>
      <c r="AH3" s="5">
        <v>8047362.0100000016</v>
      </c>
      <c r="AI3" s="5">
        <v>3606891.3412824194</v>
      </c>
      <c r="AJ3" s="5">
        <v>4440470.6687175818</v>
      </c>
      <c r="AK3" s="4">
        <v>46.78298471180689</v>
      </c>
    </row>
    <row r="4" spans="1:37" x14ac:dyDescent="0.25">
      <c r="A4" s="2" t="str">
        <f ca="1">_xlfn.TEXTJOIN(", ",TRUE,OFFSET(y,-1,1,1,MLR_Scalar_Test[[#This Row],[ind_vars]]))</f>
        <v>Adult Mortality, infant deaths, Alcohol, percentage expenditure, Hepatitis B</v>
      </c>
      <c r="B4" s="3">
        <v>5</v>
      </c>
      <c r="C4" t="b">
        <v>1</v>
      </c>
      <c r="D4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4" t="b">
        <f>MLR_Scalar_Test[[#This Row],[Observations
(Exp.)]]=MLR_Scalar_Test[[#This Row],[Observations]]</f>
        <v>1</v>
      </c>
      <c r="F4" t="b">
        <f ca="1">MLR_Scalar_Test[[#This Row],[DF_Regression
(Exp.)]]=MLR_Scalar_Test[[#This Row],[DF_Regression]]</f>
        <v>1</v>
      </c>
      <c r="G4" t="b">
        <f>MLR_Scalar_Test[[#This Row],[DF_Total
(Exp.)]]=MLR_Scalar_Test[[#This Row],[DF_Total]]</f>
        <v>1</v>
      </c>
      <c r="H4" t="b">
        <f ca="1">ROUND(MLR_Scalar_Test[[#This Row],[R_squared
(Exp.)]],6)=ROUND(MLR_Scalar_Test[[#This Row],[R_squared]],6)</f>
        <v>1</v>
      </c>
      <c r="I4" t="b">
        <f ca="1">MLR_Scalar_Test[[#This Row],[DF_Residual
(Exp.)]]=MLR_Scalar_Test[[#This Row],[DF_Residual]]</f>
        <v>1</v>
      </c>
      <c r="J4" t="b">
        <f ca="1">ROUND(MLR_Scalar_Test[[#This Row],[Multiple_R
(Exp.)]],6)=ROUND(MLR_Scalar_Test[[#This Row],[Multiple_R]],6)</f>
        <v>1</v>
      </c>
      <c r="K4" t="b">
        <f ca="1">ROUND(MLR_Scalar_Test[[#This Row],[Adjusted_R2
(Exp.)]],6)=ROUND(MLR_Scalar_Test[[#This Row],[Adjusted_R2]],6)</f>
        <v>1</v>
      </c>
      <c r="L4" t="b">
        <f>ROUND(MLR_Scalar_Test[[#This Row],[SS_Total
(Exp.)]],4)=ROUND(MLR_Scalar_Test[[#This Row],[SS_Total]],4)</f>
        <v>1</v>
      </c>
      <c r="M4" t="b">
        <f ca="1">ROUND(MLR_Scalar_Test[[#This Row],[SS_Residual
(Exp.)]],4)=ROUND(MLR_Scalar_Test[[#This Row],[SS_Residual]],4)</f>
        <v>1</v>
      </c>
      <c r="N4" t="b">
        <f ca="1">ROUND(MLR_Scalar_Test[[#This Row],[SS_Regression
(Exp.)]],4)=ROUND(MLR_Scalar_Test[[#This Row],[SS_Regression]],4)</f>
        <v>1</v>
      </c>
      <c r="O4" t="b">
        <f ca="1">ROUND(MLR_Scalar_Test[[#This Row],[SE_Regression
(Exp.)]],6)=ROUND(MLR_Scalar_Test[[#This Row],[SE_Regression]],6)</f>
        <v>1</v>
      </c>
      <c r="P4" s="3">
        <f>Observations(y, fil)</f>
        <v>1649</v>
      </c>
      <c r="Q4" s="3">
        <f ca="1">_xlfn.LET(_xlpm.x_s, OFFSET(y,0,1,ROWS(y),MLR_Scalar_Test[[#This Row],[ind_vars]]), DF_Regression(_xlpm.x_s))</f>
        <v>5</v>
      </c>
      <c r="R4" s="3">
        <f>DF_Total(y, MLR_Scalar_Test[[#This Row],[Allow_Intercept]], fil)</f>
        <v>1648</v>
      </c>
      <c r="S4" s="4">
        <f ca="1">_xlfn.LET(_xlpm.x_s, OFFSET(y,0,1,ROWS(y),MLR_Scalar_Test[[#This Row],[ind_vars]]), R_squared(_xlpm.x_s, y, MLR_Scalar_Test[[#This Row],[Allow_Intercept]], fil))</f>
        <v>0.61521427511204763</v>
      </c>
      <c r="T4" s="3">
        <f ca="1">_xlfn.LET(_xlpm.x_s, OFFSET(y,0,1,ROWS(y),MLR_Scalar_Test[[#This Row],[ind_vars]]), DF_Residual(_xlpm.x_s, y, MLR_Scalar_Test[[#This Row],[Allow_Intercept]], fil))</f>
        <v>1643</v>
      </c>
      <c r="U4" s="4">
        <f ca="1">_xlfn.LET(_xlpm.x_s, OFFSET(y,0,1,ROWS(y),MLR_Scalar_Test[[#This Row],[ind_vars]]), Multiple_R(_xlpm.x_s, y, MLR_Scalar_Test[[#This Row],[Allow_Intercept]], fil))</f>
        <v>0.78435596199177804</v>
      </c>
      <c r="V4" s="4">
        <f ca="1">_xlfn.LET(_xlpm.x_s, OFFSET(y,0,1,ROWS(y),MLR_Scalar_Test[[#This Row],[ind_vars]]), Adjusted_R2(_xlpm.x_s, y, MLR_Scalar_Test[[#This Row],[Allow_Intercept]], fil))</f>
        <v>0.61404328994805502</v>
      </c>
      <c r="W4" s="5">
        <f>SS_Total(y, MLR_Scalar_Test[[#This Row],[Allow_Intercept]], fil)</f>
        <v>127529.31124317752</v>
      </c>
      <c r="X4" s="5">
        <f ca="1">_xlfn.LET(_xlpm.x_s, OFFSET(y,0,1,ROWS(y),MLR_Scalar_Test[[#This Row],[ind_vars]]), SS_Residual(_xlpm.x_s, y, MLR_Scalar_Test[[#This Row],[Allow_Intercept]], fil))</f>
        <v>49071.45847116736</v>
      </c>
      <c r="Y4" s="5">
        <f ca="1">_xlfn.LET(_xlpm.x_s, OFFSET(y,0,1,ROWS(y),MLR_Scalar_Test[[#This Row],[ind_vars]]), SS_Regression(_xlpm.x_s, y, MLR_Scalar_Test[[#This Row],[Allow_Intercept]], fil))</f>
        <v>78457.85277201017</v>
      </c>
      <c r="Z4" s="4">
        <f ca="1">_xlfn.LET(_xlpm.x_s, OFFSET(y,0,1,ROWS(y),MLR_Scalar_Test[[#This Row],[ind_vars]]), SE_Regression(_xlpm.x_s, y, MLR_Scalar_Test[[#This Row],[Allow_Intercept]], fil))</f>
        <v>5.46506965079036</v>
      </c>
      <c r="AA4" s="3">
        <v>1649</v>
      </c>
      <c r="AB4" s="3">
        <v>5</v>
      </c>
      <c r="AC4" s="3">
        <v>1648</v>
      </c>
      <c r="AD4" s="4">
        <v>0.61521427511204863</v>
      </c>
      <c r="AE4" s="3">
        <v>1643</v>
      </c>
      <c r="AF4" s="4">
        <v>0.78435596199177871</v>
      </c>
      <c r="AG4" s="4">
        <v>0.61404328994805613</v>
      </c>
      <c r="AH4" s="5">
        <v>127529.31124317768</v>
      </c>
      <c r="AI4" s="5">
        <v>49071.458471167287</v>
      </c>
      <c r="AJ4" s="5">
        <v>78457.852772010403</v>
      </c>
      <c r="AK4" s="4">
        <v>5.4650696507903564</v>
      </c>
    </row>
    <row r="5" spans="1:37" x14ac:dyDescent="0.25">
      <c r="A5" s="2" t="str">
        <f ca="1">_xlfn.TEXTJOIN(", ",TRUE,OFFSET(y,-1,1,1,MLR_Scalar_Test[[#This Row],[ind_vars]]))</f>
        <v>Adult Mortality, infant deaths, Alcohol, percentage expenditure, Hepatitis B</v>
      </c>
      <c r="B5" s="3">
        <v>5</v>
      </c>
      <c r="C5" t="b">
        <v>0</v>
      </c>
      <c r="D5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5" t="b">
        <f>MLR_Scalar_Test[[#This Row],[Observations
(Exp.)]]=MLR_Scalar_Test[[#This Row],[Observations]]</f>
        <v>1</v>
      </c>
      <c r="F5" t="b">
        <f ca="1">MLR_Scalar_Test[[#This Row],[DF_Regression
(Exp.)]]=MLR_Scalar_Test[[#This Row],[DF_Regression]]</f>
        <v>1</v>
      </c>
      <c r="G5" t="b">
        <f>MLR_Scalar_Test[[#This Row],[DF_Total
(Exp.)]]=MLR_Scalar_Test[[#This Row],[DF_Total]]</f>
        <v>1</v>
      </c>
      <c r="H5" t="b">
        <f ca="1">ROUND(MLR_Scalar_Test[[#This Row],[R_squared
(Exp.)]],6)=ROUND(MLR_Scalar_Test[[#This Row],[R_squared]],6)</f>
        <v>1</v>
      </c>
      <c r="I5" t="b">
        <f ca="1">MLR_Scalar_Test[[#This Row],[DF_Residual
(Exp.)]]=MLR_Scalar_Test[[#This Row],[DF_Residual]]</f>
        <v>1</v>
      </c>
      <c r="J5" t="b">
        <f ca="1">ROUND(MLR_Scalar_Test[[#This Row],[Multiple_R
(Exp.)]],6)=ROUND(MLR_Scalar_Test[[#This Row],[Multiple_R]],6)</f>
        <v>1</v>
      </c>
      <c r="K5" t="b">
        <f ca="1">ROUND(MLR_Scalar_Test[[#This Row],[Adjusted_R2
(Exp.)]],6)=ROUND(MLR_Scalar_Test[[#This Row],[Adjusted_R2]],6)</f>
        <v>1</v>
      </c>
      <c r="L5" t="b">
        <f>ROUND(MLR_Scalar_Test[[#This Row],[SS_Total
(Exp.)]],4)=ROUND(MLR_Scalar_Test[[#This Row],[SS_Total]],4)</f>
        <v>1</v>
      </c>
      <c r="M5" t="b">
        <f ca="1">ROUND(MLR_Scalar_Test[[#This Row],[SS_Residual
(Exp.)]],4)=ROUND(MLR_Scalar_Test[[#This Row],[SS_Residual]],4)</f>
        <v>1</v>
      </c>
      <c r="N5" t="b">
        <f ca="1">ROUND(MLR_Scalar_Test[[#This Row],[SS_Regression
(Exp.)]],4)=ROUND(MLR_Scalar_Test[[#This Row],[SS_Regression]],4)</f>
        <v>1</v>
      </c>
      <c r="O5" t="b">
        <f ca="1">ROUND(MLR_Scalar_Test[[#This Row],[SE_Regression
(Exp.)]],6)=ROUND(MLR_Scalar_Test[[#This Row],[SE_Regression]],6)</f>
        <v>1</v>
      </c>
      <c r="P5" s="3">
        <f>Observations(y, fil)</f>
        <v>1649</v>
      </c>
      <c r="Q5" s="3">
        <f ca="1">_xlfn.LET(_xlpm.x_s, OFFSET(y,0,1,ROWS(y),MLR_Scalar_Test[[#This Row],[ind_vars]]), DF_Regression(_xlpm.x_s))</f>
        <v>5</v>
      </c>
      <c r="R5" s="3">
        <f>DF_Total(y, MLR_Scalar_Test[[#This Row],[Allow_Intercept]], fil)</f>
        <v>1649</v>
      </c>
      <c r="S5" s="4">
        <f ca="1">_xlfn.LET(_xlpm.x_s, OFFSET(y,0,1,ROWS(y),MLR_Scalar_Test[[#This Row],[ind_vars]]), R_squared(_xlpm.x_s, y, MLR_Scalar_Test[[#This Row],[Allow_Intercept]], fil))</f>
        <v>0.92776300985660642</v>
      </c>
      <c r="T5" s="3">
        <f ca="1">_xlfn.LET(_xlpm.x_s, OFFSET(y,0,1,ROWS(y),MLR_Scalar_Test[[#This Row],[ind_vars]]), DF_Residual(_xlpm.x_s, y, MLR_Scalar_Test[[#This Row],[Allow_Intercept]], fil))</f>
        <v>1644</v>
      </c>
      <c r="U5" s="4">
        <f ca="1">_xlfn.LET(_xlpm.x_s, OFFSET(y,0,1,ROWS(y),MLR_Scalar_Test[[#This Row],[ind_vars]]), Multiple_R(_xlpm.x_s, y, MLR_Scalar_Test[[#This Row],[Allow_Intercept]], fil))</f>
        <v>0.96320455244802827</v>
      </c>
      <c r="V5" s="4">
        <f ca="1">_xlfn.LET(_xlpm.x_s, OFFSET(y,0,1,ROWS(y),MLR_Scalar_Test[[#This Row],[ind_vars]]), Adjusted_R2(_xlpm.x_s, y, MLR_Scalar_Test[[#This Row],[Allow_Intercept]], fil))</f>
        <v>0.92754331098147447</v>
      </c>
      <c r="W5" s="5">
        <f>SS_Total(y, MLR_Scalar_Test[[#This Row],[Allow_Intercept]], fil)</f>
        <v>8047362.0100000026</v>
      </c>
      <c r="X5" s="5">
        <f ca="1">_xlfn.LET(_xlpm.x_s, OFFSET(y,0,1,ROWS(y),MLR_Scalar_Test[[#This Row],[ind_vars]]), SS_Residual(_xlpm.x_s, y, MLR_Scalar_Test[[#This Row],[Allow_Intercept]], fil))</f>
        <v>581317.21019669005</v>
      </c>
      <c r="Y5" s="5">
        <f ca="1">_xlfn.LET(_xlpm.x_s, OFFSET(y,0,1,ROWS(y),MLR_Scalar_Test[[#This Row],[ind_vars]]), SS_Regression(_xlpm.x_s, y, MLR_Scalar_Test[[#This Row],[Allow_Intercept]], fil))</f>
        <v>7466044.7998033129</v>
      </c>
      <c r="Z5" s="4">
        <f ca="1">_xlfn.LET(_xlpm.x_s, OFFSET(y,0,1,ROWS(y),MLR_Scalar_Test[[#This Row],[ind_vars]]), SE_Regression(_xlpm.x_s, y, MLR_Scalar_Test[[#This Row],[Allow_Intercept]], fil))</f>
        <v>18.804235594018678</v>
      </c>
      <c r="AA5" s="3">
        <v>1649</v>
      </c>
      <c r="AB5" s="3">
        <v>5</v>
      </c>
      <c r="AC5" s="3">
        <v>1649</v>
      </c>
      <c r="AD5" s="4">
        <v>0.92776300985660654</v>
      </c>
      <c r="AE5" s="3">
        <v>1644</v>
      </c>
      <c r="AF5" s="4">
        <v>0.96320455244802827</v>
      </c>
      <c r="AG5" s="4">
        <v>0.92754331098147458</v>
      </c>
      <c r="AH5" s="5">
        <v>8047362.0100000016</v>
      </c>
      <c r="AI5" s="5">
        <v>581317.21019668935</v>
      </c>
      <c r="AJ5" s="5">
        <v>7466044.7998033119</v>
      </c>
      <c r="AK5" s="4">
        <v>18.804235594018664</v>
      </c>
    </row>
    <row r="6" spans="1:37" ht="30" x14ac:dyDescent="0.25">
      <c r="A6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6" s="3">
        <v>10</v>
      </c>
      <c r="C6" t="b">
        <v>1</v>
      </c>
      <c r="D6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6" t="b">
        <f>MLR_Scalar_Test[[#This Row],[Observations
(Exp.)]]=MLR_Scalar_Test[[#This Row],[Observations]]</f>
        <v>1</v>
      </c>
      <c r="F6" t="b">
        <f ca="1">MLR_Scalar_Test[[#This Row],[DF_Regression
(Exp.)]]=MLR_Scalar_Test[[#This Row],[DF_Regression]]</f>
        <v>1</v>
      </c>
      <c r="G6" t="b">
        <f>MLR_Scalar_Test[[#This Row],[DF_Total
(Exp.)]]=MLR_Scalar_Test[[#This Row],[DF_Total]]</f>
        <v>1</v>
      </c>
      <c r="H6" t="b">
        <f ca="1">ROUND(MLR_Scalar_Test[[#This Row],[R_squared
(Exp.)]],6)=ROUND(MLR_Scalar_Test[[#This Row],[R_squared]],6)</f>
        <v>1</v>
      </c>
      <c r="I6" t="b">
        <f ca="1">MLR_Scalar_Test[[#This Row],[DF_Residual
(Exp.)]]=MLR_Scalar_Test[[#This Row],[DF_Residual]]</f>
        <v>1</v>
      </c>
      <c r="J6" t="b">
        <f ca="1">ROUND(MLR_Scalar_Test[[#This Row],[Multiple_R
(Exp.)]],6)=ROUND(MLR_Scalar_Test[[#This Row],[Multiple_R]],6)</f>
        <v>1</v>
      </c>
      <c r="K6" t="b">
        <f ca="1">ROUND(MLR_Scalar_Test[[#This Row],[Adjusted_R2
(Exp.)]],6)=ROUND(MLR_Scalar_Test[[#This Row],[Adjusted_R2]],6)</f>
        <v>1</v>
      </c>
      <c r="L6" t="b">
        <f>ROUND(MLR_Scalar_Test[[#This Row],[SS_Total
(Exp.)]],4)=ROUND(MLR_Scalar_Test[[#This Row],[SS_Total]],4)</f>
        <v>1</v>
      </c>
      <c r="M6" t="b">
        <f ca="1">ROUND(MLR_Scalar_Test[[#This Row],[SS_Residual
(Exp.)]],4)=ROUND(MLR_Scalar_Test[[#This Row],[SS_Residual]],4)</f>
        <v>1</v>
      </c>
      <c r="N6" t="b">
        <f ca="1">ROUND(MLR_Scalar_Test[[#This Row],[SS_Regression
(Exp.)]],4)=ROUND(MLR_Scalar_Test[[#This Row],[SS_Regression]],4)</f>
        <v>1</v>
      </c>
      <c r="O6" t="b">
        <f ca="1">ROUND(MLR_Scalar_Test[[#This Row],[SE_Regression
(Exp.)]],6)=ROUND(MLR_Scalar_Test[[#This Row],[SE_Regression]],6)</f>
        <v>1</v>
      </c>
      <c r="P6" s="3">
        <f>Observations(y, fil)</f>
        <v>1649</v>
      </c>
      <c r="Q6" s="3">
        <f ca="1">_xlfn.LET(_xlpm.x_s, OFFSET(y,0,1,ROWS(y),MLR_Scalar_Test[[#This Row],[ind_vars]]), DF_Regression(_xlpm.x_s))</f>
        <v>10</v>
      </c>
      <c r="R6" s="3">
        <f>DF_Total(y, MLR_Scalar_Test[[#This Row],[Allow_Intercept]], fil)</f>
        <v>1648</v>
      </c>
      <c r="S6" s="4">
        <f ca="1">_xlfn.LET(_xlpm.x_s, OFFSET(y,0,1,ROWS(y),MLR_Scalar_Test[[#This Row],[ind_vars]]), R_squared(_xlpm.x_s, y, MLR_Scalar_Test[[#This Row],[Allow_Intercept]], fil))</f>
        <v>0.68651084263037343</v>
      </c>
      <c r="T6" s="3">
        <f ca="1">_xlfn.LET(_xlpm.x_s, OFFSET(y,0,1,ROWS(y),MLR_Scalar_Test[[#This Row],[ind_vars]]), DF_Residual(_xlpm.x_s, y, MLR_Scalar_Test[[#This Row],[Allow_Intercept]], fil))</f>
        <v>1638</v>
      </c>
      <c r="U6" s="4">
        <f ca="1">_xlfn.LET(_xlpm.x_s, OFFSET(y,0,1,ROWS(y),MLR_Scalar_Test[[#This Row],[ind_vars]]), Multiple_R(_xlpm.x_s, y, MLR_Scalar_Test[[#This Row],[Allow_Intercept]], fil))</f>
        <v>0.82855949854574318</v>
      </c>
      <c r="V6" s="4">
        <f ca="1">_xlfn.LET(_xlpm.x_s, OFFSET(y,0,1,ROWS(y),MLR_Scalar_Test[[#This Row],[ind_vars]]), Adjusted_R2(_xlpm.x_s, y, MLR_Scalar_Test[[#This Row],[Allow_Intercept]], fil))</f>
        <v>0.68459698941077862</v>
      </c>
      <c r="W6" s="5">
        <f>SS_Total(y, MLR_Scalar_Test[[#This Row],[Allow_Intercept]], fil)</f>
        <v>127529.31124317752</v>
      </c>
      <c r="X6" s="5">
        <f ca="1">_xlfn.LET(_xlpm.x_s, OFFSET(y,0,1,ROWS(y),MLR_Scalar_Test[[#This Row],[ind_vars]]), SS_Residual(_xlpm.x_s, y, MLR_Scalar_Test[[#This Row],[Allow_Intercept]], fil))</f>
        <v>39979.056321552569</v>
      </c>
      <c r="Y6" s="5">
        <f ca="1">_xlfn.LET(_xlpm.x_s, OFFSET(y,0,1,ROWS(y),MLR_Scalar_Test[[#This Row],[ind_vars]]), SS_Regression(_xlpm.x_s, y, MLR_Scalar_Test[[#This Row],[Allow_Intercept]], fil))</f>
        <v>87550.254921624961</v>
      </c>
      <c r="Z6" s="4">
        <f ca="1">_xlfn.LET(_xlpm.x_s, OFFSET(y,0,1,ROWS(y),MLR_Scalar_Test[[#This Row],[ind_vars]]), SE_Regression(_xlpm.x_s, y, MLR_Scalar_Test[[#This Row],[Allow_Intercept]], fil))</f>
        <v>4.9403682344078499</v>
      </c>
      <c r="AA6" s="3">
        <v>1649</v>
      </c>
      <c r="AB6" s="3">
        <v>10</v>
      </c>
      <c r="AC6" s="3">
        <v>1648</v>
      </c>
      <c r="AD6" s="4">
        <v>0.68651084263037387</v>
      </c>
      <c r="AE6" s="3">
        <v>1638</v>
      </c>
      <c r="AF6" s="4">
        <v>0.82855949854574351</v>
      </c>
      <c r="AG6" s="4">
        <v>0.68459698941077907</v>
      </c>
      <c r="AH6" s="5">
        <v>127529.31124317768</v>
      </c>
      <c r="AI6" s="5">
        <v>39979.056321552554</v>
      </c>
      <c r="AJ6" s="5">
        <v>87550.254921625135</v>
      </c>
      <c r="AK6" s="4">
        <v>4.940368234407849</v>
      </c>
    </row>
    <row r="7" spans="1:37" ht="30" x14ac:dyDescent="0.25">
      <c r="A7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7" s="3">
        <v>10</v>
      </c>
      <c r="C7" t="b">
        <v>0</v>
      </c>
      <c r="D7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7" t="b">
        <f>MLR_Scalar_Test[[#This Row],[Observations
(Exp.)]]=MLR_Scalar_Test[[#This Row],[Observations]]</f>
        <v>1</v>
      </c>
      <c r="F7" t="b">
        <f ca="1">MLR_Scalar_Test[[#This Row],[DF_Regression
(Exp.)]]=MLR_Scalar_Test[[#This Row],[DF_Regression]]</f>
        <v>1</v>
      </c>
      <c r="G7" t="b">
        <f>MLR_Scalar_Test[[#This Row],[DF_Total
(Exp.)]]=MLR_Scalar_Test[[#This Row],[DF_Total]]</f>
        <v>1</v>
      </c>
      <c r="H7" t="b">
        <f ca="1">ROUND(MLR_Scalar_Test[[#This Row],[R_squared
(Exp.)]],6)=ROUND(MLR_Scalar_Test[[#This Row],[R_squared]],6)</f>
        <v>1</v>
      </c>
      <c r="I7" t="b">
        <f ca="1">MLR_Scalar_Test[[#This Row],[DF_Residual
(Exp.)]]=MLR_Scalar_Test[[#This Row],[DF_Residual]]</f>
        <v>1</v>
      </c>
      <c r="J7" t="b">
        <f ca="1">ROUND(MLR_Scalar_Test[[#This Row],[Multiple_R
(Exp.)]],6)=ROUND(MLR_Scalar_Test[[#This Row],[Multiple_R]],6)</f>
        <v>1</v>
      </c>
      <c r="K7" t="b">
        <f ca="1">ROUND(MLR_Scalar_Test[[#This Row],[Adjusted_R2
(Exp.)]],6)=ROUND(MLR_Scalar_Test[[#This Row],[Adjusted_R2]],6)</f>
        <v>1</v>
      </c>
      <c r="L7" t="b">
        <f>ROUND(MLR_Scalar_Test[[#This Row],[SS_Total
(Exp.)]],4)=ROUND(MLR_Scalar_Test[[#This Row],[SS_Total]],4)</f>
        <v>1</v>
      </c>
      <c r="M7" t="b">
        <f ca="1">ROUND(MLR_Scalar_Test[[#This Row],[SS_Residual
(Exp.)]],4)=ROUND(MLR_Scalar_Test[[#This Row],[SS_Residual]],4)</f>
        <v>1</v>
      </c>
      <c r="N7" t="b">
        <f ca="1">ROUND(MLR_Scalar_Test[[#This Row],[SS_Regression
(Exp.)]],4)=ROUND(MLR_Scalar_Test[[#This Row],[SS_Regression]],4)</f>
        <v>1</v>
      </c>
      <c r="O7" t="b">
        <f ca="1">ROUND(MLR_Scalar_Test[[#This Row],[SE_Regression
(Exp.)]],6)=ROUND(MLR_Scalar_Test[[#This Row],[SE_Regression]],6)</f>
        <v>1</v>
      </c>
      <c r="P7" s="3">
        <f>Observations(y, fil)</f>
        <v>1649</v>
      </c>
      <c r="Q7" s="3">
        <f ca="1">_xlfn.LET(_xlpm.x_s, OFFSET(y,0,1,ROWS(y),MLR_Scalar_Test[[#This Row],[ind_vars]]), DF_Regression(_xlpm.x_s))</f>
        <v>10</v>
      </c>
      <c r="R7" s="3">
        <f>DF_Total(y, MLR_Scalar_Test[[#This Row],[Allow_Intercept]], fil)</f>
        <v>1649</v>
      </c>
      <c r="S7" s="4">
        <f ca="1">_xlfn.LET(_xlpm.x_s, OFFSET(y,0,1,ROWS(y),MLR_Scalar_Test[[#This Row],[ind_vars]]), R_squared(_xlpm.x_s, y, MLR_Scalar_Test[[#This Row],[Allow_Intercept]], fil))</f>
        <v>0.96807706925095049</v>
      </c>
      <c r="T7" s="3">
        <f ca="1">_xlfn.LET(_xlpm.x_s, OFFSET(y,0,1,ROWS(y),MLR_Scalar_Test[[#This Row],[ind_vars]]), DF_Residual(_xlpm.x_s, y, MLR_Scalar_Test[[#This Row],[Allow_Intercept]], fil))</f>
        <v>1639</v>
      </c>
      <c r="U7" s="4">
        <f ca="1">_xlfn.LET(_xlpm.x_s, OFFSET(y,0,1,ROWS(y),MLR_Scalar_Test[[#This Row],[ind_vars]]), Multiple_R(_xlpm.x_s, y, MLR_Scalar_Test[[#This Row],[Allow_Intercept]], fil))</f>
        <v>0.98390907570311115</v>
      </c>
      <c r="V7" s="4">
        <f ca="1">_xlfn.LET(_xlpm.x_s, OFFSET(y,0,1,ROWS(y),MLR_Scalar_Test[[#This Row],[ind_vars]]), Adjusted_R2(_xlpm.x_s, y, MLR_Scalar_Test[[#This Row],[Allow_Intercept]], fil))</f>
        <v>0.96788229847151763</v>
      </c>
      <c r="W7" s="5">
        <f>SS_Total(y, MLR_Scalar_Test[[#This Row],[Allow_Intercept]], fil)</f>
        <v>8047362.0100000026</v>
      </c>
      <c r="X7" s="5">
        <f ca="1">_xlfn.LET(_xlpm.x_s, OFFSET(y,0,1,ROWS(y),MLR_Scalar_Test[[#This Row],[ind_vars]]), SS_Residual(_xlpm.x_s, y, MLR_Scalar_Test[[#This Row],[Allow_Intercept]], fil))</f>
        <v>256895.38015776192</v>
      </c>
      <c r="Y7" s="5">
        <f ca="1">_xlfn.LET(_xlpm.x_s, OFFSET(y,0,1,ROWS(y),MLR_Scalar_Test[[#This Row],[ind_vars]]), SS_Regression(_xlpm.x_s, y, MLR_Scalar_Test[[#This Row],[Allow_Intercept]], fil))</f>
        <v>7790466.6298422404</v>
      </c>
      <c r="Z7" s="4">
        <f ca="1">_xlfn.LET(_xlpm.x_s, OFFSET(y,0,1,ROWS(y),MLR_Scalar_Test[[#This Row],[ind_vars]]), SE_Regression(_xlpm.x_s, y, MLR_Scalar_Test[[#This Row],[Allow_Intercept]], fil))</f>
        <v>12.519548598357177</v>
      </c>
      <c r="AA7" s="3">
        <v>1649</v>
      </c>
      <c r="AB7" s="3">
        <v>10</v>
      </c>
      <c r="AC7" s="3">
        <v>1649</v>
      </c>
      <c r="AD7" s="4">
        <v>0.96807706925095049</v>
      </c>
      <c r="AE7" s="3">
        <v>1639</v>
      </c>
      <c r="AF7" s="4">
        <v>0.98390907570311115</v>
      </c>
      <c r="AG7" s="4">
        <v>0.96788229847151763</v>
      </c>
      <c r="AH7" s="5">
        <v>8047362.0100000016</v>
      </c>
      <c r="AI7" s="5">
        <v>256895.38015776157</v>
      </c>
      <c r="AJ7" s="5">
        <v>7790466.6298422404</v>
      </c>
      <c r="AK7" s="4">
        <v>12.519548598357169</v>
      </c>
    </row>
    <row r="8" spans="1:37" ht="45" x14ac:dyDescent="0.25">
      <c r="A8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8" s="3">
        <v>18</v>
      </c>
      <c r="C8" t="b">
        <v>1</v>
      </c>
      <c r="D8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8" t="b">
        <f>MLR_Scalar_Test[[#This Row],[Observations
(Exp.)]]=MLR_Scalar_Test[[#This Row],[Observations]]</f>
        <v>1</v>
      </c>
      <c r="F8" t="b">
        <f ca="1">MLR_Scalar_Test[[#This Row],[DF_Regression
(Exp.)]]=MLR_Scalar_Test[[#This Row],[DF_Regression]]</f>
        <v>1</v>
      </c>
      <c r="G8" t="b">
        <f>MLR_Scalar_Test[[#This Row],[DF_Total
(Exp.)]]=MLR_Scalar_Test[[#This Row],[DF_Total]]</f>
        <v>1</v>
      </c>
      <c r="H8" t="b">
        <f ca="1">ROUND(MLR_Scalar_Test[[#This Row],[R_squared
(Exp.)]],6)=ROUND(MLR_Scalar_Test[[#This Row],[R_squared]],6)</f>
        <v>1</v>
      </c>
      <c r="I8" t="b">
        <f ca="1">MLR_Scalar_Test[[#This Row],[DF_Residual
(Exp.)]]=MLR_Scalar_Test[[#This Row],[DF_Residual]]</f>
        <v>1</v>
      </c>
      <c r="J8" t="b">
        <f ca="1">ROUND(MLR_Scalar_Test[[#This Row],[Multiple_R
(Exp.)]],6)=ROUND(MLR_Scalar_Test[[#This Row],[Multiple_R]],6)</f>
        <v>1</v>
      </c>
      <c r="K8" t="b">
        <f ca="1">ROUND(MLR_Scalar_Test[[#This Row],[Adjusted_R2
(Exp.)]],6)=ROUND(MLR_Scalar_Test[[#This Row],[Adjusted_R2]],6)</f>
        <v>1</v>
      </c>
      <c r="L8" t="b">
        <f>ROUND(MLR_Scalar_Test[[#This Row],[SS_Total
(Exp.)]],4)=ROUND(MLR_Scalar_Test[[#This Row],[SS_Total]],4)</f>
        <v>1</v>
      </c>
      <c r="M8" t="b">
        <f ca="1">ROUND(MLR_Scalar_Test[[#This Row],[SS_Residual
(Exp.)]],4)=ROUND(MLR_Scalar_Test[[#This Row],[SS_Residual]],4)</f>
        <v>1</v>
      </c>
      <c r="N8" t="b">
        <f ca="1">ROUND(MLR_Scalar_Test[[#This Row],[SS_Regression
(Exp.)]],4)=ROUND(MLR_Scalar_Test[[#This Row],[SS_Regression]],4)</f>
        <v>1</v>
      </c>
      <c r="O8" t="b">
        <f ca="1">ROUND(MLR_Scalar_Test[[#This Row],[SE_Regression
(Exp.)]],6)=ROUND(MLR_Scalar_Test[[#This Row],[SE_Regression]],6)</f>
        <v>1</v>
      </c>
      <c r="P8" s="3">
        <f>Observations(y, fil)</f>
        <v>1649</v>
      </c>
      <c r="Q8" s="3">
        <f ca="1">_xlfn.LET(_xlpm.x_s, OFFSET(y,0,1,ROWS(y),MLR_Scalar_Test[[#This Row],[ind_vars]]), DF_Regression(_xlpm.x_s))</f>
        <v>18</v>
      </c>
      <c r="R8" s="3">
        <f>DF_Total(y, MLR_Scalar_Test[[#This Row],[Allow_Intercept]], fil)</f>
        <v>1648</v>
      </c>
      <c r="S8" s="4">
        <f ca="1">_xlfn.LET(_xlpm.x_s, OFFSET(y,0,1,ROWS(y),MLR_Scalar_Test[[#This Row],[ind_vars]]), R_squared(_xlpm.x_s, y, MLR_Scalar_Test[[#This Row],[Allow_Intercept]], fil))</f>
        <v>0.83473769465896452</v>
      </c>
      <c r="T8" s="3">
        <f ca="1">_xlfn.LET(_xlpm.x_s, OFFSET(y,0,1,ROWS(y),MLR_Scalar_Test[[#This Row],[ind_vars]]), DF_Residual(_xlpm.x_s, y, MLR_Scalar_Test[[#This Row],[Allow_Intercept]], fil))</f>
        <v>1630</v>
      </c>
      <c r="U8" s="4">
        <f ca="1">_xlfn.LET(_xlpm.x_s, OFFSET(y,0,1,ROWS(y),MLR_Scalar_Test[[#This Row],[ind_vars]]), Multiple_R(_xlpm.x_s, y, MLR_Scalar_Test[[#This Row],[Allow_Intercept]], fil))</f>
        <v>0.91363980575441461</v>
      </c>
      <c r="V8" s="4">
        <f ca="1">_xlfn.LET(_xlpm.x_s, OFFSET(y,0,1,ROWS(y),MLR_Scalar_Test[[#This Row],[ind_vars]]), Adjusted_R2(_xlpm.x_s, y, MLR_Scalar_Test[[#This Row],[Allow_Intercept]], fil))</f>
        <v>0.83291271214599605</v>
      </c>
      <c r="W8" s="5">
        <f>SS_Total(y, MLR_Scalar_Test[[#This Row],[Allow_Intercept]], fil)</f>
        <v>127529.31124317752</v>
      </c>
      <c r="X8" s="5">
        <f ca="1">_xlfn.LET(_xlpm.x_s, OFFSET(y,0,1,ROWS(y),MLR_Scalar_Test[[#This Row],[ind_vars]]), SS_Residual(_xlpm.x_s, y, MLR_Scalar_Test[[#This Row],[Allow_Intercept]], fil))</f>
        <v>21075.787974601953</v>
      </c>
      <c r="Y8" s="5">
        <f ca="1">_xlfn.LET(_xlpm.x_s, OFFSET(y,0,1,ROWS(y),MLR_Scalar_Test[[#This Row],[ind_vars]]), SS_Regression(_xlpm.x_s, y, MLR_Scalar_Test[[#This Row],[Allow_Intercept]], fil))</f>
        <v>106453.52326857558</v>
      </c>
      <c r="Z8" s="4">
        <f ca="1">_xlfn.LET(_xlpm.x_s, OFFSET(y,0,1,ROWS(y),MLR_Scalar_Test[[#This Row],[ind_vars]]), SE_Regression(_xlpm.x_s, y, MLR_Scalar_Test[[#This Row],[Allow_Intercept]], fil))</f>
        <v>3.5958213627434183</v>
      </c>
      <c r="AA8" s="3">
        <v>1649</v>
      </c>
      <c r="AB8" s="3">
        <v>18</v>
      </c>
      <c r="AC8" s="3">
        <v>1648</v>
      </c>
      <c r="AD8" s="4">
        <v>0.83473769465896497</v>
      </c>
      <c r="AE8" s="3">
        <v>1630</v>
      </c>
      <c r="AF8" s="4">
        <v>0.91363980575441484</v>
      </c>
      <c r="AG8" s="4">
        <v>0.83291271214599649</v>
      </c>
      <c r="AH8" s="5">
        <v>127529.31124317768</v>
      </c>
      <c r="AI8" s="5">
        <v>21075.787974601921</v>
      </c>
      <c r="AJ8" s="5">
        <v>106453.52326857577</v>
      </c>
      <c r="AK8" s="4">
        <v>3.5958213627434157</v>
      </c>
    </row>
    <row r="9" spans="1:37" ht="45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9" s="3">
        <v>18</v>
      </c>
      <c r="C9" t="b">
        <v>0</v>
      </c>
      <c r="D9" t="b">
        <f ca="1">AND(TRUE,MLR_Scalar_Test[[#This Row],[Observations
(Match)]],MLR_Scalar_Test[[#This Row],[DF_Regression
(Match)]],MLR_Scalar_Test[[#This Row],[DF_Total
(Match)]],MLR_Scalar_Test[[#This Row],[R_squared
(Match)]],MLR_Scalar_Test[[#This Row],[DF_Residual
(Match)]],MLR_Scalar_Test[[#This Row],[Multiple_R
(Match)]],MLR_Scalar_Test[[#This Row],[Adjusted_R2
(Match)]],MLR_Scalar_Test[[#This Row],[SS_Total
(Match)]],MLR_Scalar_Test[[#This Row],[SS_Residual
(Match)]],MLR_Scalar_Test[[#This Row],[SS_Regression
(Match)]],MLR_Scalar_Test[[#This Row],[SE_Regression
(Match)]])</f>
        <v>1</v>
      </c>
      <c r="E9" t="b">
        <f>MLR_Scalar_Test[[#This Row],[Observations
(Exp.)]]=MLR_Scalar_Test[[#This Row],[Observations]]</f>
        <v>1</v>
      </c>
      <c r="F9" t="b">
        <f ca="1">MLR_Scalar_Test[[#This Row],[DF_Regression
(Exp.)]]=MLR_Scalar_Test[[#This Row],[DF_Regression]]</f>
        <v>1</v>
      </c>
      <c r="G9" t="b">
        <f>MLR_Scalar_Test[[#This Row],[DF_Total
(Exp.)]]=MLR_Scalar_Test[[#This Row],[DF_Total]]</f>
        <v>1</v>
      </c>
      <c r="H9" t="b">
        <f ca="1">ROUND(MLR_Scalar_Test[[#This Row],[R_squared
(Exp.)]],6)=ROUND(MLR_Scalar_Test[[#This Row],[R_squared]],6)</f>
        <v>1</v>
      </c>
      <c r="I9" t="b">
        <f ca="1">MLR_Scalar_Test[[#This Row],[DF_Residual
(Exp.)]]=MLR_Scalar_Test[[#This Row],[DF_Residual]]</f>
        <v>1</v>
      </c>
      <c r="J9" t="b">
        <f ca="1">ROUND(MLR_Scalar_Test[[#This Row],[Multiple_R
(Exp.)]],6)=ROUND(MLR_Scalar_Test[[#This Row],[Multiple_R]],6)</f>
        <v>1</v>
      </c>
      <c r="K9" t="b">
        <f ca="1">ROUND(MLR_Scalar_Test[[#This Row],[Adjusted_R2
(Exp.)]],6)=ROUND(MLR_Scalar_Test[[#This Row],[Adjusted_R2]],6)</f>
        <v>1</v>
      </c>
      <c r="L9" t="b">
        <f>ROUND(MLR_Scalar_Test[[#This Row],[SS_Total
(Exp.)]],4)=ROUND(MLR_Scalar_Test[[#This Row],[SS_Total]],4)</f>
        <v>1</v>
      </c>
      <c r="M9" t="b">
        <f ca="1">ROUND(MLR_Scalar_Test[[#This Row],[SS_Residual
(Exp.)]],4)=ROUND(MLR_Scalar_Test[[#This Row],[SS_Residual]],4)</f>
        <v>1</v>
      </c>
      <c r="N9" t="b">
        <f ca="1">ROUND(MLR_Scalar_Test[[#This Row],[SS_Regression
(Exp.)]],4)=ROUND(MLR_Scalar_Test[[#This Row],[SS_Regression]],4)</f>
        <v>1</v>
      </c>
      <c r="O9" t="b">
        <f ca="1">ROUND(MLR_Scalar_Test[[#This Row],[SE_Regression
(Exp.)]],6)=ROUND(MLR_Scalar_Test[[#This Row],[SE_Regression]],6)</f>
        <v>1</v>
      </c>
      <c r="P9" s="3">
        <f>Observations(y, fil)</f>
        <v>1649</v>
      </c>
      <c r="Q9" s="3">
        <f ca="1">_xlfn.LET(_xlpm.x_s, OFFSET(y,0,1,ROWS(y),MLR_Scalar_Test[[#This Row],[ind_vars]]), DF_Regression(_xlpm.x_s))</f>
        <v>18</v>
      </c>
      <c r="R9" s="3">
        <f>DF_Total(y, MLR_Scalar_Test[[#This Row],[Allow_Intercept]], fil)</f>
        <v>1649</v>
      </c>
      <c r="S9" s="4">
        <f ca="1">_xlfn.LET(_xlpm.x_s, OFFSET(y,0,1,ROWS(y),MLR_Scalar_Test[[#This Row],[ind_vars]]), R_squared(_xlpm.x_s, y, MLR_Scalar_Test[[#This Row],[Allow_Intercept]], fil))</f>
        <v>0.9889561841779364</v>
      </c>
      <c r="T9" s="3">
        <f ca="1">_xlfn.LET(_xlpm.x_s, OFFSET(y,0,1,ROWS(y),MLR_Scalar_Test[[#This Row],[ind_vars]]), DF_Residual(_xlpm.x_s, y, MLR_Scalar_Test[[#This Row],[Allow_Intercept]], fil))</f>
        <v>1631</v>
      </c>
      <c r="U9" s="4">
        <f ca="1">_xlfn.LET(_xlpm.x_s, OFFSET(y,0,1,ROWS(y),MLR_Scalar_Test[[#This Row],[ind_vars]]), Multiple_R(_xlpm.x_s, y, MLR_Scalar_Test[[#This Row],[Allow_Intercept]], fil))</f>
        <v>0.99446276158433222</v>
      </c>
      <c r="V9" s="4">
        <f ca="1">_xlfn.LET(_xlpm.x_s, OFFSET(y,0,1,ROWS(y),MLR_Scalar_Test[[#This Row],[ind_vars]]), Adjusted_R2(_xlpm.x_s, y, MLR_Scalar_Test[[#This Row],[Allow_Intercept]], fil))</f>
        <v>0.98883430270350525</v>
      </c>
      <c r="W9" s="5">
        <f>SS_Total(y, MLR_Scalar_Test[[#This Row],[Allow_Intercept]], fil)</f>
        <v>8047362.0100000026</v>
      </c>
      <c r="X9" s="5">
        <f ca="1">_xlfn.LET(_xlpm.x_s, OFFSET(y,0,1,ROWS(y),MLR_Scalar_Test[[#This Row],[ind_vars]]), SS_Residual(_xlpm.x_s, y, MLR_Scalar_Test[[#This Row],[Allow_Intercept]], fil))</f>
        <v>88873.583891911534</v>
      </c>
      <c r="Y9" s="5">
        <f ca="1">_xlfn.LET(_xlpm.x_s, OFFSET(y,0,1,ROWS(y),MLR_Scalar_Test[[#This Row],[ind_vars]]), SS_Regression(_xlpm.x_s, y, MLR_Scalar_Test[[#This Row],[Allow_Intercept]], fil))</f>
        <v>7958488.4261080911</v>
      </c>
      <c r="Z9" s="4">
        <f ca="1">_xlfn.LET(_xlpm.x_s, OFFSET(y,0,1,ROWS(y),MLR_Scalar_Test[[#This Row],[ind_vars]]), SE_Regression(_xlpm.x_s, y, MLR_Scalar_Test[[#This Row],[Allow_Intercept]], fil))</f>
        <v>7.3817505717355365</v>
      </c>
      <c r="AA9" s="3">
        <v>1649</v>
      </c>
      <c r="AB9" s="3">
        <v>18</v>
      </c>
      <c r="AC9" s="3">
        <v>1649</v>
      </c>
      <c r="AD9" s="4">
        <v>0.98895618417793629</v>
      </c>
      <c r="AE9" s="3">
        <v>1631</v>
      </c>
      <c r="AF9" s="4">
        <v>0.99446276158433222</v>
      </c>
      <c r="AG9" s="4">
        <v>0.98883430270350514</v>
      </c>
      <c r="AH9" s="5">
        <v>8047362.0100000016</v>
      </c>
      <c r="AI9" s="5">
        <v>88873.583891912</v>
      </c>
      <c r="AJ9" s="5">
        <v>7958488.4261080893</v>
      </c>
      <c r="AK9" s="4">
        <v>7.381750571735556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BF611-4978-46EC-A227-1F800169D4EA}">
  <dimension ref="A1:U88"/>
  <sheetViews>
    <sheetView workbookViewId="0">
      <pane ySplit="1" topLeftCell="A2" activePane="bottomLeft" state="frozenSplit"/>
      <selection pane="bottomLeft" activeCell="X25" sqref="X25"/>
    </sheetView>
  </sheetViews>
  <sheetFormatPr defaultRowHeight="15" outlineLevelCol="1" x14ac:dyDescent="0.25"/>
  <cols>
    <col min="1" max="1" width="20.85546875" bestFit="1" customWidth="1"/>
    <col min="2" max="2" width="8.5703125" hidden="1" customWidth="1" outlineLevel="1"/>
    <col min="3" max="3" width="8.85546875" hidden="1" customWidth="1" outlineLevel="1"/>
    <col min="4" max="4" width="7.85546875" hidden="1" customWidth="1" outlineLevel="1"/>
    <col min="5" max="5" width="9" hidden="1" customWidth="1" outlineLevel="1"/>
    <col min="6" max="6" width="8.7109375" hidden="1" customWidth="1" outlineLevel="1"/>
    <col min="7" max="7" width="8.85546875" hidden="1" customWidth="1" outlineLevel="1"/>
    <col min="8" max="8" width="31.140625" bestFit="1" customWidth="1" collapsed="1"/>
    <col min="9" max="9" width="12.7109375" bestFit="1" customWidth="1"/>
    <col min="10" max="10" width="12.5703125" bestFit="1" customWidth="1"/>
    <col min="11" max="11" width="12.7109375" bestFit="1" customWidth="1"/>
    <col min="12" max="12" width="12" bestFit="1" customWidth="1"/>
    <col min="13" max="14" width="12.7109375" bestFit="1" customWidth="1"/>
    <col min="15" max="15" width="11.28515625" hidden="1" customWidth="1" outlineLevel="1"/>
    <col min="16" max="16" width="8.85546875" hidden="1" customWidth="1" outlineLevel="1"/>
    <col min="17" max="17" width="7.5703125" hidden="1" customWidth="1" outlineLevel="1"/>
    <col min="18" max="18" width="9.28515625" hidden="1" customWidth="1" outlineLevel="1"/>
    <col min="19" max="19" width="7" hidden="1" customWidth="1" outlineLevel="1"/>
    <col min="20" max="20" width="8.85546875" hidden="1" customWidth="1" outlineLevel="1"/>
    <col min="21" max="21" width="8.7109375" bestFit="1" customWidth="1" collapsed="1"/>
    <col min="22" max="23" width="8.85546875" bestFit="1" customWidth="1"/>
  </cols>
  <sheetData>
    <row r="1" spans="1:20" ht="45" x14ac:dyDescent="0.25">
      <c r="A1" s="2" t="s">
        <v>294</v>
      </c>
      <c r="B1" s="2" t="s">
        <v>317</v>
      </c>
      <c r="C1" s="2" t="s">
        <v>318</v>
      </c>
      <c r="D1" s="2" t="s">
        <v>319</v>
      </c>
      <c r="E1" s="2" t="s">
        <v>320</v>
      </c>
      <c r="F1" s="2" t="s">
        <v>340</v>
      </c>
      <c r="G1" s="2" t="s">
        <v>341</v>
      </c>
      <c r="H1" s="2" t="s">
        <v>321</v>
      </c>
      <c r="I1" s="2" t="s">
        <v>53</v>
      </c>
      <c r="J1" s="2" t="s">
        <v>57</v>
      </c>
      <c r="K1" s="2" t="s">
        <v>61</v>
      </c>
      <c r="L1" s="2" t="s">
        <v>65</v>
      </c>
      <c r="M1" s="2" t="s">
        <v>69</v>
      </c>
      <c r="N1" s="2" t="s">
        <v>71</v>
      </c>
      <c r="O1" s="2" t="s">
        <v>322</v>
      </c>
      <c r="P1" s="2" t="s">
        <v>323</v>
      </c>
      <c r="Q1" s="2" t="s">
        <v>324</v>
      </c>
      <c r="R1" s="2" t="s">
        <v>325</v>
      </c>
      <c r="S1" s="2" t="s">
        <v>342</v>
      </c>
      <c r="T1" s="2" t="s">
        <v>343</v>
      </c>
    </row>
    <row r="2" spans="1:20" x14ac:dyDescent="0.25">
      <c r="A2" t="s">
        <v>326</v>
      </c>
    </row>
    <row r="3" spans="1:20" x14ac:dyDescent="0.25">
      <c r="A3" t="b">
        <f ca="1">AND(B3,C3,D3,E3,F3,G3)</f>
        <v>1</v>
      </c>
      <c r="B3" t="b" cm="1">
        <f t="array" aca="1" ref="B3" ca="1">AND(ROUND(O3:O4,6)=ROUND(_xlfn.ANCHORARRAY(I3),6))</f>
        <v>1</v>
      </c>
      <c r="C3" t="b" cm="1">
        <f t="array" aca="1" ref="C3" ca="1">AND(ROUND(P3:P4,6)=ROUND(_xlfn.ANCHORARRAY(J3),6))</f>
        <v>1</v>
      </c>
      <c r="D3" t="b" cm="1">
        <f t="array" aca="1" ref="D3" ca="1">AND(ROUND(Q3:Q4,6)=ROUND(_xlfn.ANCHORARRAY(K3),6))</f>
        <v>1</v>
      </c>
      <c r="E3" t="b" cm="1">
        <f t="array" aca="1" ref="E3" ca="1">AND(ROUND(R3:R4,6)=ROUND(_xlfn.ANCHORARRAY(L3),6))</f>
        <v>1</v>
      </c>
      <c r="F3" t="b" cm="1">
        <f t="array" aca="1" ref="F3" ca="1">AND(ROUND(S3:S4,6)=ROUND(_xlfn.ANCHORARRAY(M3),6))</f>
        <v>1</v>
      </c>
      <c r="G3" t="b" cm="1">
        <f t="array" aca="1" ref="G3" ca="1">AND(ROUND(T3:T4,6)=ROUND(_xlfn.ANCHORARRAY(N3),6))</f>
        <v>1</v>
      </c>
      <c r="H3" t="s">
        <v>334</v>
      </c>
      <c r="I3" cm="1">
        <f t="array" aca="1" ref="I3:I4" ca="1">_xlfn.LET(_xlpm.x_s,OFFSET(y,0,1,ROWS(y),1),Coefficients(_xlpm.x_s,y,TRUE,fil))</f>
        <v>77.598237927790521</v>
      </c>
      <c r="J3" cm="1">
        <f t="array" aca="1" ref="J3:J4" ca="1">_xlfn.LET(_xlpm.x_s,OFFSET(y,0,1,ROWS(y),1),SE_Coefficients(_xlpm.x_s,y,TRUE,fil))</f>
        <v>0.25819057598929407</v>
      </c>
      <c r="K3" cm="1">
        <f t="array" aca="1" ref="K3:K4" ca="1">_xlfn.LET(_xlpm.x_s,OFFSET(y,0,1,ROWS(y),1),T_Stats(_xlpm.x_s,y,TRUE,fil))</f>
        <v>300.54636049538908</v>
      </c>
      <c r="L3" cm="1">
        <f t="array" aca="1" ref="L3:L4" ca="1">_xlfn.LET(_xlpm.x_s,OFFSET(y,0,1,ROWS(y),1),P_Values(_xlpm.x_s,y,TRUE,fil))</f>
        <v>0</v>
      </c>
      <c r="M3" cm="1">
        <f t="array" aca="1" ref="M3:M4" ca="1">_xlfn.LET(_xlpm.x_s,OFFSET(y,0,1,ROWS(y),1),CI_Lower(_xlpm.x_s,y,TRUE,fil,0.05))</f>
        <v>77.091821541792896</v>
      </c>
      <c r="N3" cm="1">
        <f t="array" aca="1" ref="N3:N4" ca="1">_xlfn.LET(_xlpm.x_s,OFFSET(y,0,1,ROWS(y),1),CI_Upper(_xlpm.x_s,y,TRUE,fil,0.05))</f>
        <v>78.104654313788146</v>
      </c>
      <c r="O3" s="4">
        <v>77.598237927790464</v>
      </c>
      <c r="P3" s="4">
        <v>0.2581905759892939</v>
      </c>
      <c r="Q3" s="4">
        <v>300.54636049538902</v>
      </c>
      <c r="R3" s="6">
        <v>0</v>
      </c>
      <c r="S3" s="4">
        <v>77.091821541792839</v>
      </c>
      <c r="T3" s="4">
        <v>78.104654313788089</v>
      </c>
    </row>
    <row r="4" spans="1:20" x14ac:dyDescent="0.25">
      <c r="H4" t="s">
        <v>77</v>
      </c>
      <c r="I4">
        <f ca="1"/>
        <v>-4.931735929559259E-2</v>
      </c>
      <c r="J4">
        <f ca="1"/>
        <v>1.2310213402846018E-3</v>
      </c>
      <c r="K4">
        <f ca="1"/>
        <v>-40.062148138058134</v>
      </c>
      <c r="L4">
        <f ca="1"/>
        <v>1.3819095404877546E-245</v>
      </c>
      <c r="M4">
        <f ca="1"/>
        <v>-5.1731891180980739E-2</v>
      </c>
      <c r="N4">
        <f ca="1"/>
        <v>-4.6902827410204441E-2</v>
      </c>
      <c r="O4" s="4">
        <v>-4.9317359295592743E-2</v>
      </c>
      <c r="P4" s="4">
        <v>1.2310213402846007E-3</v>
      </c>
      <c r="Q4" s="4">
        <v>-40.062148138058291</v>
      </c>
      <c r="R4" s="6">
        <v>1.3819095404831984E-245</v>
      </c>
      <c r="S4" s="4">
        <v>-5.1731891180980892E-2</v>
      </c>
      <c r="T4" s="4">
        <v>-4.6902827410204594E-2</v>
      </c>
    </row>
    <row r="6" spans="1:20" x14ac:dyDescent="0.25">
      <c r="A6" t="s">
        <v>327</v>
      </c>
    </row>
    <row r="7" spans="1:20" x14ac:dyDescent="0.25">
      <c r="A7" t="b">
        <f ca="1">AND(B7,C7,D7,E7,F7,G7)</f>
        <v>1</v>
      </c>
      <c r="B7" t="b" cm="1">
        <f t="array" aca="1" ref="B7" ca="1">AND(ROUND(O7:O7,6)=ROUND(_xlfn.ANCHORARRAY(I7),6))</f>
        <v>1</v>
      </c>
      <c r="C7" t="b" cm="1">
        <f t="array" aca="1" ref="C7" ca="1">AND(ROUND(P7:P7,6)=ROUND(_xlfn.ANCHORARRAY(J7),6))</f>
        <v>1</v>
      </c>
      <c r="D7" t="b" cm="1">
        <f t="array" aca="1" ref="D7" ca="1">AND(ROUND(Q7:Q7,6)=ROUND(_xlfn.ANCHORARRAY(K7),6))</f>
        <v>1</v>
      </c>
      <c r="E7" t="b" cm="1">
        <f t="array" aca="1" ref="E7" ca="1">AND(ROUND(R7:R7,6)=ROUND(_xlfn.ANCHORARRAY(L7),6))</f>
        <v>1</v>
      </c>
      <c r="F7" t="b" cm="1">
        <f t="array" aca="1" ref="F7" ca="1">AND(ROUND(S7:S7,6)=ROUND(_xlfn.ANCHORARRAY(M7),6))</f>
        <v>1</v>
      </c>
      <c r="G7" t="b" cm="1">
        <f t="array" aca="1" ref="G7" ca="1">AND(ROUND(T7:T7,6)=ROUND(_xlfn.ANCHORARRAY(N7),6))</f>
        <v>1</v>
      </c>
      <c r="H7" t="s">
        <v>77</v>
      </c>
      <c r="I7" cm="1">
        <f t="array" aca="1" ref="I7" ca="1">_xlfn.LET(_xlpm.x_s,OFFSET(y,0,1,ROWS(y),1),Coefficients(_xlpm.x_s,y,FALSE,fil))</f>
        <v>0.24741690524364063</v>
      </c>
      <c r="J7" cm="1">
        <f t="array" aca="1" ref="J7" ca="1">_xlfn.LET(_xlpm.x_s,OFFSET(y,0,1,ROWS(y),1),SE_Coefficients(_xlpm.x_s,y,FALSE,fil))</f>
        <v>5.4929139228274667E-3</v>
      </c>
      <c r="K7" cm="1">
        <f t="array" aca="1" ref="K7" ca="1">_xlfn.LET(_xlpm.x_s,OFFSET(y,0,1,ROWS(y),1),T_Stats(_xlpm.x_s,y,FALSE,fil))</f>
        <v>45.042924160057339</v>
      </c>
      <c r="L7" cm="1">
        <f t="array" aca="1" ref="L7" ca="1">_xlfn.LET(_xlpm.x_s,OFFSET(y,0,1,ROWS(y),1),P_Values(_xlpm.x_s,y,FALSE,fil))</f>
        <v>1.7434898953936028E-289</v>
      </c>
      <c r="M7" cm="1">
        <f t="array" aca="1" ref="M7" ca="1">_xlfn.LET(_xlpm.x_s,OFFSET(y,0,1,ROWS(y),1),CI_Lower(_xlpm.x_s,y,FALSE,fil,0.05))</f>
        <v>0.23664307910604815</v>
      </c>
      <c r="N7" cm="1">
        <f t="array" aca="1" ref="N7" ca="1">_xlfn.LET(_xlpm.x_s,OFFSET(y,0,1,ROWS(y),1),CI_Upper(_xlpm.x_s,y,FALSE,fil,0.05))</f>
        <v>0.25819073138123311</v>
      </c>
      <c r="O7" s="4">
        <v>0.24741690524364049</v>
      </c>
      <c r="P7" s="4">
        <v>5.4929139228274658E-3</v>
      </c>
      <c r="Q7" s="4">
        <v>45.042924160057318</v>
      </c>
      <c r="R7" s="6">
        <v>1.7434898953940606E-289</v>
      </c>
      <c r="S7" s="4">
        <v>0.2366430791060482</v>
      </c>
      <c r="T7" s="4">
        <v>0.25819073138123277</v>
      </c>
    </row>
    <row r="9" spans="1:20" x14ac:dyDescent="0.25">
      <c r="A9" t="s">
        <v>328</v>
      </c>
    </row>
    <row r="10" spans="1:20" x14ac:dyDescent="0.25">
      <c r="A10" t="b">
        <f ca="1">AND(B10,C10,D10,E10,F10,G10)</f>
        <v>1</v>
      </c>
      <c r="B10" t="b" cm="1">
        <f t="array" aca="1" ref="B10" ca="1">AND(ROUND(O10:O15,6)=ROUND(_xlfn.ANCHORARRAY(I10),6))</f>
        <v>1</v>
      </c>
      <c r="C10" t="b" cm="1">
        <f t="array" aca="1" ref="C10" ca="1">AND(ROUND(P10:P15,6)=ROUND(_xlfn.ANCHORARRAY(J10),6))</f>
        <v>1</v>
      </c>
      <c r="D10" t="b" cm="1">
        <f t="array" aca="1" ref="D10" ca="1">AND(ROUND(Q10:Q15,6)=ROUND(_xlfn.ANCHORARRAY(K10),6))</f>
        <v>1</v>
      </c>
      <c r="E10" t="b" cm="1">
        <f t="array" aca="1" ref="E10" ca="1">AND(ROUND(R10:R15,6)=ROUND(_xlfn.ANCHORARRAY(L10),6))</f>
        <v>1</v>
      </c>
      <c r="F10" t="b" cm="1">
        <f t="array" aca="1" ref="F10" ca="1">AND(ROUND(S10:S15,6)=ROUND(_xlfn.ANCHORARRAY(M10),6))</f>
        <v>1</v>
      </c>
      <c r="G10" t="b" cm="1">
        <f t="array" aca="1" ref="G10" ca="1">AND(ROUND(T10:T15,6)=ROUND(_xlfn.ANCHORARRAY(N10),6))</f>
        <v>1</v>
      </c>
      <c r="H10" t="s">
        <v>334</v>
      </c>
      <c r="I10" cm="1">
        <f t="array" aca="1" ref="I10:I15" ca="1">_xlfn.LET(_xlpm.x_s,OFFSET(y,0,1,ROWS(y),5),Coefficients(_xlpm.x_s,y,TRUE,fil))</f>
        <v>71.660708338063287</v>
      </c>
      <c r="J10" cm="1">
        <f t="array" aca="1" ref="J10:J15" ca="1">_xlfn.LET(_xlpm.x_s,OFFSET(y,0,1,ROWS(y),5),SE_Coefficients(_xlpm.x_s,y,TRUE,fil))</f>
        <v>0.53681012188459709</v>
      </c>
      <c r="K10" cm="1">
        <f t="array" aca="1" ref="K10:K15" ca="1">_xlfn.LET(_xlpm.x_s,OFFSET(y,0,1,ROWS(y),5),T_Stats(_xlpm.x_s,y,TRUE,fil))</f>
        <v>133.4935863103357</v>
      </c>
      <c r="L10" cm="1">
        <f t="array" aca="1" ref="L10:L15" ca="1">_xlfn.LET(_xlpm.x_s,OFFSET(y,0,1,ROWS(y),5),P_Values(_xlpm.x_s,y,TRUE,fil))</f>
        <v>0</v>
      </c>
      <c r="M10" cm="1">
        <f t="array" aca="1" ref="M10:M15" ca="1">_xlfn.LET(_xlpm.x_s,OFFSET(y,0,1,ROWS(y),5),CI_Lower(_xlpm.x_s,y,TRUE,fil,0.05))</f>
        <v>70.607804189358916</v>
      </c>
      <c r="N10" cm="1">
        <f t="array" aca="1" ref="N10:N15" ca="1">_xlfn.LET(_xlpm.x_s,OFFSET(y,0,1,ROWS(y),5),CI_Upper(_xlpm.x_s,y,TRUE,fil,0.05))</f>
        <v>72.713612486767659</v>
      </c>
      <c r="O10" s="4">
        <v>71.660708338063316</v>
      </c>
      <c r="P10" s="4">
        <v>0.53681012188459576</v>
      </c>
      <c r="Q10" s="4">
        <v>133.49358631033607</v>
      </c>
      <c r="R10" s="6">
        <v>0</v>
      </c>
      <c r="S10" s="4">
        <v>70.60780418935893</v>
      </c>
      <c r="T10" s="4">
        <v>72.713612486767701</v>
      </c>
    </row>
    <row r="11" spans="1:20" x14ac:dyDescent="0.25">
      <c r="H11" t="s">
        <v>77</v>
      </c>
      <c r="I11">
        <f ca="1"/>
        <v>-4.3044813893798495E-2</v>
      </c>
      <c r="J11">
        <f ca="1"/>
        <v>1.1152654872587432E-3</v>
      </c>
      <c r="K11">
        <f ca="1"/>
        <v>-38.596024341791576</v>
      </c>
      <c r="L11">
        <f ca="1"/>
        <v>1.619863129769023E-232</v>
      </c>
      <c r="M11">
        <f ca="1"/>
        <v>-4.5232305542277453E-2</v>
      </c>
      <c r="N11">
        <f ca="1"/>
        <v>-4.0857322245319537E-2</v>
      </c>
      <c r="O11" s="4">
        <v>-4.3044813893798613E-2</v>
      </c>
      <c r="P11" s="4">
        <v>1.1152654872587393E-3</v>
      </c>
      <c r="Q11" s="4">
        <v>-38.596024341791818</v>
      </c>
      <c r="R11" s="6">
        <v>1.6198631297612927E-232</v>
      </c>
      <c r="S11" s="4">
        <v>-4.5232305542277605E-2</v>
      </c>
      <c r="T11" s="4">
        <v>-4.085732224531962E-2</v>
      </c>
    </row>
    <row r="12" spans="1:20" x14ac:dyDescent="0.25">
      <c r="H12" t="s">
        <v>78</v>
      </c>
      <c r="I12">
        <f ca="1"/>
        <v>-6.1827929256924952E-3</v>
      </c>
      <c r="J12">
        <f ca="1"/>
        <v>1.151291493655014E-3</v>
      </c>
      <c r="K12">
        <f ca="1"/>
        <v>-5.3703106118363948</v>
      </c>
      <c r="L12">
        <f ca="1"/>
        <v>8.984331371015686E-8</v>
      </c>
      <c r="M12">
        <f ca="1"/>
        <v>-8.440946303616333E-3</v>
      </c>
      <c r="N12">
        <f ca="1"/>
        <v>-3.9246395477686574E-3</v>
      </c>
      <c r="O12" s="4">
        <v>-6.1827929256912193E-3</v>
      </c>
      <c r="P12" s="4">
        <v>1.1512914936550116E-3</v>
      </c>
      <c r="Q12" s="4">
        <v>-5.3703106118352979</v>
      </c>
      <c r="R12" s="6">
        <v>8.9843313710687685E-8</v>
      </c>
      <c r="S12" s="4">
        <v>-8.4409463036150961E-3</v>
      </c>
      <c r="T12" s="4">
        <v>-3.9246395477673425E-3</v>
      </c>
    </row>
    <row r="13" spans="1:20" x14ac:dyDescent="0.25">
      <c r="H13" t="s">
        <v>79</v>
      </c>
      <c r="I13">
        <f ca="1"/>
        <v>0.44907634325151147</v>
      </c>
      <c r="J13">
        <f ca="1"/>
        <v>3.7154737878608318E-2</v>
      </c>
      <c r="K13">
        <f ca="1"/>
        <v>12.086650825494459</v>
      </c>
      <c r="L13">
        <f ca="1"/>
        <v>2.7837689137596889E-32</v>
      </c>
      <c r="M13">
        <f ca="1"/>
        <v>0.37620070983560505</v>
      </c>
      <c r="N13">
        <f ca="1"/>
        <v>0.52195197666741788</v>
      </c>
      <c r="O13" s="4">
        <v>0.44907634325150769</v>
      </c>
      <c r="P13" s="4">
        <v>3.7154737878608277E-2</v>
      </c>
      <c r="Q13" s="4">
        <v>12.08665082549437</v>
      </c>
      <c r="R13" s="6">
        <v>2.7837689137626223E-32</v>
      </c>
      <c r="S13" s="4">
        <v>0.37620070983559994</v>
      </c>
      <c r="T13" s="4">
        <v>0.52195197666741544</v>
      </c>
    </row>
    <row r="14" spans="1:20" x14ac:dyDescent="0.25">
      <c r="H14" t="s">
        <v>80</v>
      </c>
      <c r="I14">
        <f ca="1"/>
        <v>8.4471913669313312E-4</v>
      </c>
      <c r="J14">
        <f ca="1"/>
        <v>8.5913774194836781E-5</v>
      </c>
      <c r="K14">
        <f ca="1"/>
        <v>9.8321735322378458</v>
      </c>
      <c r="L14">
        <f ca="1"/>
        <v>3.3086291550660216E-22</v>
      </c>
      <c r="M14">
        <f ca="1"/>
        <v>6.7620709567010537E-4</v>
      </c>
      <c r="N14">
        <f ca="1"/>
        <v>1.0132311777161609E-3</v>
      </c>
      <c r="O14" s="4">
        <v>8.4471913669313735E-4</v>
      </c>
      <c r="P14" s="4">
        <v>8.5913774194836944E-5</v>
      </c>
      <c r="Q14" s="4">
        <v>9.8321735322378778</v>
      </c>
      <c r="R14" s="6">
        <v>3.3086291550651701E-22</v>
      </c>
      <c r="S14" s="4">
        <v>6.7620709567010613E-4</v>
      </c>
      <c r="T14" s="4">
        <v>1.0132311777161685E-3</v>
      </c>
    </row>
    <row r="15" spans="1:20" x14ac:dyDescent="0.25">
      <c r="H15" t="s">
        <v>81</v>
      </c>
      <c r="I15">
        <f ca="1"/>
        <v>3.1021764500400926E-2</v>
      </c>
      <c r="J15">
        <f ca="1"/>
        <v>5.4558589899085319E-3</v>
      </c>
      <c r="K15">
        <f ca="1"/>
        <v>5.6859542297153487</v>
      </c>
      <c r="L15">
        <f ca="1"/>
        <v>1.5366748102362685E-8</v>
      </c>
      <c r="M15">
        <f ca="1"/>
        <v>2.0320594140473082E-2</v>
      </c>
      <c r="N15">
        <f ca="1"/>
        <v>4.172293486032877E-2</v>
      </c>
      <c r="O15" s="4">
        <v>3.102176450040002E-2</v>
      </c>
      <c r="P15" s="4">
        <v>5.4558589899085259E-3</v>
      </c>
      <c r="Q15" s="4">
        <v>5.6859542297151888</v>
      </c>
      <c r="R15" s="6">
        <v>1.5366748102376826E-8</v>
      </c>
      <c r="S15" s="4">
        <v>2.0320594140471986E-2</v>
      </c>
      <c r="T15" s="4">
        <v>4.1722934860328055E-2</v>
      </c>
    </row>
    <row r="17" spans="1:20" x14ac:dyDescent="0.25">
      <c r="A17" t="s">
        <v>329</v>
      </c>
    </row>
    <row r="18" spans="1:20" x14ac:dyDescent="0.25">
      <c r="A18" t="b">
        <f ca="1">AND(B18,C18,D18,E18,F18,G18)</f>
        <v>1</v>
      </c>
      <c r="B18" t="b" cm="1">
        <f t="array" aca="1" ref="B18" ca="1">AND(ROUND(O18:O22,6)=ROUND(_xlfn.ANCHORARRAY(I18),6))</f>
        <v>1</v>
      </c>
      <c r="C18" t="b" cm="1">
        <f t="array" aca="1" ref="C18" ca="1">AND(ROUND(P18:P22,6)=ROUND(_xlfn.ANCHORARRAY(J18),6))</f>
        <v>1</v>
      </c>
      <c r="D18" t="b" cm="1">
        <f t="array" aca="1" ref="D18" ca="1">AND(ROUND(Q18:Q22,6)=ROUND(_xlfn.ANCHORARRAY(K18),6))</f>
        <v>1</v>
      </c>
      <c r="E18" t="b" cm="1">
        <f t="array" aca="1" ref="E18" ca="1">AND(ROUND(R18:R22,6)=ROUND(_xlfn.ANCHORARRAY(L18),6))</f>
        <v>1</v>
      </c>
      <c r="F18" t="b" cm="1">
        <f t="array" aca="1" ref="F18" ca="1">AND(ROUND(S18:S22,6)=ROUND(_xlfn.ANCHORARRAY(M18),6))</f>
        <v>1</v>
      </c>
      <c r="G18" t="b" cm="1">
        <f t="array" aca="1" ref="G18" ca="1">AND(ROUND(T18:T22,6)=ROUND(_xlfn.ANCHORARRAY(N18),6))</f>
        <v>1</v>
      </c>
      <c r="H18" t="s">
        <v>77</v>
      </c>
      <c r="I18" cm="1">
        <f t="array" aca="1" ref="I18:I22" ca="1">_xlfn.LET(_xlpm.x_s,OFFSET(y,0,1,ROWS(y),5),Coefficients(_xlpm.x_s,y,FALSE,fil))</f>
        <v>2.7040277484893627E-2</v>
      </c>
      <c r="J18" cm="1">
        <f t="array" aca="1" ref="J18:J22" ca="1">_xlfn.LET(_xlpm.x_s,OFFSET(y,0,1,ROWS(y),5),SE_Coefficients(_xlpm.x_s,y,FALSE,fil))</f>
        <v>3.385626616978494E-3</v>
      </c>
      <c r="K18" cm="1">
        <f t="array" aca="1" ref="K18:K22" ca="1">_xlfn.LET(_xlpm.x_s,OFFSET(y,0,1,ROWS(y),5),T_Stats(_xlpm.x_s,y,FALSE,fil))</f>
        <v>7.9867866554716986</v>
      </c>
      <c r="L18" cm="1">
        <f t="array" aca="1" ref="L18:L22" ca="1">_xlfn.LET(_xlpm.x_s,OFFSET(y,0,1,ROWS(y),5),P_Values(_xlpm.x_s,y,FALSE,fil))</f>
        <v>2.5800824666580707E-15</v>
      </c>
      <c r="M18" cm="1">
        <f t="array" aca="1" ref="M18:M22" ca="1">_xlfn.LET(_xlpm.x_s,OFFSET(y,0,1,ROWS(y),5),CI_Lower(_xlpm.x_s,y,FALSE,fil,0.05))</f>
        <v>2.0399682296482518E-2</v>
      </c>
      <c r="N18" cm="1">
        <f t="array" aca="1" ref="N18:N22" ca="1">_xlfn.LET(_xlpm.x_s,OFFSET(y,0,1,ROWS(y),5),CI_Upper(_xlpm.x_s,y,FALSE,fil,0.05))</f>
        <v>3.3680872673304732E-2</v>
      </c>
      <c r="O18" s="4">
        <v>2.7040277484892933E-2</v>
      </c>
      <c r="P18" s="4">
        <v>3.3856266169784983E-3</v>
      </c>
      <c r="Q18" s="4">
        <v>7.9867866554714828</v>
      </c>
      <c r="R18" s="6">
        <v>2.5800824666623921E-15</v>
      </c>
      <c r="S18" s="4">
        <v>2.0399682296481952E-2</v>
      </c>
      <c r="T18" s="4">
        <v>3.3680872673303913E-2</v>
      </c>
    </row>
    <row r="19" spans="1:20" x14ac:dyDescent="0.25">
      <c r="H19" t="s">
        <v>78</v>
      </c>
      <c r="I19">
        <f ca="1"/>
        <v>3.6173917003360936E-2</v>
      </c>
      <c r="J19">
        <f ca="1"/>
        <v>3.8079564738379892E-3</v>
      </c>
      <c r="K19">
        <f ca="1"/>
        <v>9.4995615763700485</v>
      </c>
      <c r="L19">
        <f ca="1"/>
        <v>7.1495524275683788E-21</v>
      </c>
      <c r="M19">
        <f ca="1"/>
        <v>2.8704960647974356E-2</v>
      </c>
      <c r="N19">
        <f ca="1"/>
        <v>4.3642873358747516E-2</v>
      </c>
      <c r="O19" s="4">
        <v>3.6173917003361748E-2</v>
      </c>
      <c r="P19" s="4">
        <v>3.8079564738379887E-3</v>
      </c>
      <c r="Q19" s="4">
        <v>9.4995615763702617</v>
      </c>
      <c r="R19" s="6">
        <v>7.1495524275546941E-21</v>
      </c>
      <c r="S19" s="4">
        <v>2.8704960647975321E-2</v>
      </c>
      <c r="T19" s="4">
        <v>4.3642873358748176E-2</v>
      </c>
    </row>
    <row r="20" spans="1:20" x14ac:dyDescent="0.25">
      <c r="H20" t="s">
        <v>79</v>
      </c>
      <c r="I20">
        <f ca="1"/>
        <v>1.5752061020106869</v>
      </c>
      <c r="J20">
        <f ca="1"/>
        <v>0.12450346318650647</v>
      </c>
      <c r="K20">
        <f ca="1"/>
        <v>12.651905912456625</v>
      </c>
      <c r="L20">
        <f ca="1"/>
        <v>4.4472363864783553E-35</v>
      </c>
      <c r="M20">
        <f ca="1"/>
        <v>1.3310040111981174</v>
      </c>
      <c r="N20">
        <f ca="1"/>
        <v>1.8194081928232564</v>
      </c>
      <c r="O20" s="4">
        <v>1.5752061020106913</v>
      </c>
      <c r="P20" s="4">
        <v>0.12450346318650625</v>
      </c>
      <c r="Q20" s="4">
        <v>12.651905912456682</v>
      </c>
      <c r="R20" s="6">
        <v>4.4472363864751485E-35</v>
      </c>
      <c r="S20" s="4">
        <v>1.3310040111981274</v>
      </c>
      <c r="T20" s="4">
        <v>1.8194081928232553</v>
      </c>
    </row>
    <row r="21" spans="1:20" x14ac:dyDescent="0.25">
      <c r="H21" t="s">
        <v>80</v>
      </c>
      <c r="I21">
        <f ca="1"/>
        <v>2.0893723207529055E-3</v>
      </c>
      <c r="J21">
        <f ca="1"/>
        <v>2.9386655789315663E-4</v>
      </c>
      <c r="K21">
        <f ca="1"/>
        <v>7.1099356651278267</v>
      </c>
      <c r="L21">
        <f ca="1"/>
        <v>1.7247456145038208E-12</v>
      </c>
      <c r="M21">
        <f ca="1"/>
        <v>1.512980098233754E-3</v>
      </c>
      <c r="N21">
        <f ca="1"/>
        <v>2.6657645432720568E-3</v>
      </c>
      <c r="O21" s="4">
        <v>2.0893723207530144E-3</v>
      </c>
      <c r="P21" s="4">
        <v>2.9386655789315073E-4</v>
      </c>
      <c r="Q21" s="4">
        <v>7.1099356651283401</v>
      </c>
      <c r="R21" s="6">
        <v>1.724745614497481E-12</v>
      </c>
      <c r="S21" s="4">
        <v>1.512980098233886E-3</v>
      </c>
      <c r="T21" s="4">
        <v>2.6657645432721427E-3</v>
      </c>
    </row>
    <row r="22" spans="1:20" x14ac:dyDescent="0.25">
      <c r="H22" t="s">
        <v>81</v>
      </c>
      <c r="I22">
        <f ca="1"/>
        <v>0.63711621082701275</v>
      </c>
      <c r="J22">
        <f ca="1"/>
        <v>1.0409507669130173E-2</v>
      </c>
      <c r="K22">
        <f ca="1"/>
        <v>61.205220369490412</v>
      </c>
      <c r="L22">
        <f ca="1"/>
        <v>0</v>
      </c>
      <c r="M22">
        <f ca="1"/>
        <v>0.61669891903390728</v>
      </c>
      <c r="N22">
        <f ca="1"/>
        <v>0.65753350262011823</v>
      </c>
      <c r="O22" s="4">
        <v>0.63711621082701397</v>
      </c>
      <c r="P22" s="4">
        <v>1.040950766913017E-2</v>
      </c>
      <c r="Q22" s="4">
        <v>61.205220369490547</v>
      </c>
      <c r="R22" s="6">
        <v>0</v>
      </c>
      <c r="S22" s="4">
        <v>0.61669891903390894</v>
      </c>
      <c r="T22" s="4">
        <v>0.657533502620119</v>
      </c>
    </row>
    <row r="24" spans="1:20" x14ac:dyDescent="0.25">
      <c r="A24" t="s">
        <v>330</v>
      </c>
    </row>
    <row r="25" spans="1:20" x14ac:dyDescent="0.25">
      <c r="A25" t="b">
        <f ca="1">AND(B25,C25,D25,E25,F25,G25)</f>
        <v>1</v>
      </c>
      <c r="B25" t="b" cm="1">
        <f t="array" aca="1" ref="B25" ca="1">AND(ROUND(O25:O35,6)=ROUND(_xlfn.ANCHORARRAY(I25),6))</f>
        <v>1</v>
      </c>
      <c r="C25" t="b" cm="1">
        <f t="array" aca="1" ref="C25" ca="1">AND(ROUND(P25:P35,6)=ROUND(_xlfn.ANCHORARRAY(J25),6))</f>
        <v>1</v>
      </c>
      <c r="D25" t="b" cm="1">
        <f t="array" aca="1" ref="D25" ca="1">AND(ROUND(Q25:Q35,6)=ROUND(_xlfn.ANCHORARRAY(K25),6))</f>
        <v>1</v>
      </c>
      <c r="E25" t="b" cm="1">
        <f t="array" aca="1" ref="E25" ca="1">AND(ROUND(R25:R35,6)=ROUND(_xlfn.ANCHORARRAY(L25),6))</f>
        <v>1</v>
      </c>
      <c r="F25" t="b" cm="1">
        <f t="array" aca="1" ref="F25" ca="1">AND(ROUND(S25:S35,6)=ROUND(_xlfn.ANCHORARRAY(M25),6))</f>
        <v>1</v>
      </c>
      <c r="G25" t="b" cm="1">
        <f t="array" aca="1" ref="G25" ca="1">AND(ROUND(T25:T35,6)=ROUND(_xlfn.ANCHORARRAY(N25),6))</f>
        <v>1</v>
      </c>
      <c r="H25" t="s">
        <v>334</v>
      </c>
      <c r="I25" cm="1">
        <f t="array" aca="1" ref="I25:I35" ca="1">_xlfn.LET(_xlpm.x_s,OFFSET(y,0,1,ROWS(y),10),Coefficients(_xlpm.x_s,y,TRUE,fil))</f>
        <v>65.960459364120936</v>
      </c>
      <c r="J25" cm="1">
        <f t="array" aca="1" ref="J25:J35" ca="1">_xlfn.LET(_xlpm.x_s,OFFSET(y,0,1,ROWS(y),10),SE_Coefficients(_xlpm.x_s,y,TRUE,fil))</f>
        <v>0.69967583426421698</v>
      </c>
      <c r="K25" cm="1">
        <f t="array" aca="1" ref="K25:K35" ca="1">_xlfn.LET(_xlpm.x_s,OFFSET(y,0,1,ROWS(y),10),T_Stats(_xlpm.x_s,y,TRUE,fil))</f>
        <v>94.272884861723611</v>
      </c>
      <c r="L25" cm="1">
        <f t="array" aca="1" ref="L25:L35" ca="1">_xlfn.LET(_xlpm.x_s,OFFSET(y,0,1,ROWS(y),10),P_Values(_xlpm.x_s,y,TRUE,fil))</f>
        <v>0</v>
      </c>
      <c r="M25" cm="1">
        <f t="array" aca="1" ref="M25:M35" ca="1">_xlfn.LET(_xlpm.x_s,OFFSET(y,0,1,ROWS(y),10),CI_Lower(_xlpm.x_s,y,TRUE,fil,0.05))</f>
        <v>64.58810587001706</v>
      </c>
      <c r="N25" cm="1">
        <f t="array" aca="1" ref="N25:N35" ca="1">_xlfn.LET(_xlpm.x_s,OFFSET(y,0,1,ROWS(y),10),CI_Upper(_xlpm.x_s,y,TRUE,fil,0.05))</f>
        <v>67.332812858224813</v>
      </c>
      <c r="O25" s="4">
        <v>65.960459364121292</v>
      </c>
      <c r="P25" s="4">
        <v>0.69967583426421498</v>
      </c>
      <c r="Q25" s="4">
        <v>94.272884861724378</v>
      </c>
      <c r="R25" s="6">
        <v>0</v>
      </c>
      <c r="S25" s="4">
        <v>64.588105870017415</v>
      </c>
      <c r="T25" s="4">
        <v>67.332812858225168</v>
      </c>
    </row>
    <row r="26" spans="1:20" x14ac:dyDescent="0.25">
      <c r="H26" t="s">
        <v>77</v>
      </c>
      <c r="I26">
        <f ca="1"/>
        <v>-3.5396553212526778E-2</v>
      </c>
      <c r="J26">
        <f ca="1"/>
        <v>1.0837886718566788E-3</v>
      </c>
      <c r="K26">
        <f ca="1"/>
        <v>-32.660014015359309</v>
      </c>
      <c r="L26">
        <f ca="1"/>
        <v>1.3091188214492458E-180</v>
      </c>
      <c r="M26">
        <f ca="1"/>
        <v>-3.7522310738877268E-2</v>
      </c>
      <c r="N26">
        <f ca="1"/>
        <v>-3.3270795686176288E-2</v>
      </c>
      <c r="O26" s="4">
        <v>-3.5396553212526723E-2</v>
      </c>
      <c r="P26" s="4">
        <v>1.0837886718566758E-3</v>
      </c>
      <c r="Q26" s="4">
        <v>-32.660014015359344</v>
      </c>
      <c r="R26" s="6">
        <v>1.3091188214483883E-180</v>
      </c>
      <c r="S26" s="4">
        <v>-3.7522310738877199E-2</v>
      </c>
      <c r="T26" s="4">
        <v>-3.3270795686176247E-2</v>
      </c>
    </row>
    <row r="27" spans="1:20" x14ac:dyDescent="0.25">
      <c r="H27" t="s">
        <v>78</v>
      </c>
      <c r="I27">
        <f ca="1"/>
        <v>0.13812590385047097</v>
      </c>
      <c r="J27">
        <f ca="1"/>
        <v>1.3888383969399004E-2</v>
      </c>
      <c r="K27">
        <f ca="1"/>
        <v>9.9454266352954335</v>
      </c>
      <c r="L27">
        <f ca="1"/>
        <v>1.1424926628560296E-22</v>
      </c>
      <c r="M27">
        <f ca="1"/>
        <v>0.11088504267666124</v>
      </c>
      <c r="N27">
        <f ca="1"/>
        <v>0.16536676502428069</v>
      </c>
      <c r="O27" s="4">
        <v>0.13812590385047133</v>
      </c>
      <c r="P27" s="4">
        <v>1.3888383969399003E-2</v>
      </c>
      <c r="Q27" s="4">
        <v>9.9454266352954601</v>
      </c>
      <c r="R27" s="6">
        <v>1.1424926628557778E-22</v>
      </c>
      <c r="S27" s="4">
        <v>0.11088504267666166</v>
      </c>
      <c r="T27" s="4">
        <v>0.16536676502428099</v>
      </c>
    </row>
    <row r="28" spans="1:20" x14ac:dyDescent="0.25">
      <c r="H28" t="s">
        <v>79</v>
      </c>
      <c r="I28">
        <f ca="1"/>
        <v>0.33041458225546555</v>
      </c>
      <c r="J28">
        <f ca="1"/>
        <v>3.5824086907258336E-2</v>
      </c>
      <c r="K28">
        <f ca="1"/>
        <v>9.2232520290285489</v>
      </c>
      <c r="L28">
        <f ca="1"/>
        <v>8.5970787856521704E-20</v>
      </c>
      <c r="M28">
        <f ca="1"/>
        <v>0.26014874137222643</v>
      </c>
      <c r="N28">
        <f ca="1"/>
        <v>0.40068042313870467</v>
      </c>
      <c r="O28" s="4">
        <v>0.33041458225546355</v>
      </c>
      <c r="P28" s="4">
        <v>3.5824086907258183E-2</v>
      </c>
      <c r="Q28" s="4">
        <v>9.2232520290285329</v>
      </c>
      <c r="R28" s="6">
        <v>8.5970787856540385E-20</v>
      </c>
      <c r="S28" s="4">
        <v>0.26014874137222488</v>
      </c>
      <c r="T28" s="4">
        <v>0.40068042313870222</v>
      </c>
    </row>
    <row r="29" spans="1:20" x14ac:dyDescent="0.25">
      <c r="H29" t="s">
        <v>80</v>
      </c>
      <c r="I29">
        <f ca="1"/>
        <v>7.586427521752249E-4</v>
      </c>
      <c r="J29">
        <f ca="1"/>
        <v>7.816402563495952E-5</v>
      </c>
      <c r="K29">
        <f ca="1"/>
        <v>9.7057789182740812</v>
      </c>
      <c r="L29">
        <f ca="1"/>
        <v>1.0798132562488589E-21</v>
      </c>
      <c r="M29">
        <f ca="1"/>
        <v>6.0533079192127916E-4</v>
      </c>
      <c r="N29">
        <f ca="1"/>
        <v>9.1195471242917065E-4</v>
      </c>
      <c r="O29" s="4">
        <v>7.5864275217513025E-4</v>
      </c>
      <c r="P29" s="4">
        <v>7.8164025634960726E-5</v>
      </c>
      <c r="Q29" s="4">
        <v>9.7057789182727205</v>
      </c>
      <c r="R29" s="6">
        <v>1.0798132562625511E-21</v>
      </c>
      <c r="S29" s="4">
        <v>6.0533079192118245E-4</v>
      </c>
      <c r="T29" s="4">
        <v>9.1195471242907806E-4</v>
      </c>
    </row>
    <row r="30" spans="1:20" x14ac:dyDescent="0.25">
      <c r="H30" t="s">
        <v>81</v>
      </c>
      <c r="I30">
        <f ca="1"/>
        <v>9.7436966815469834E-3</v>
      </c>
      <c r="J30">
        <f ca="1"/>
        <v>5.4848268388114126E-3</v>
      </c>
      <c r="K30">
        <f ca="1"/>
        <v>1.7764820964992374</v>
      </c>
      <c r="L30">
        <f ca="1"/>
        <v>7.5839062796181675E-2</v>
      </c>
      <c r="M30">
        <f ca="1"/>
        <v>-1.0143156838695582E-3</v>
      </c>
      <c r="N30">
        <f ca="1"/>
        <v>2.0501709046963523E-2</v>
      </c>
      <c r="O30" s="4">
        <v>9.7436966815468498E-3</v>
      </c>
      <c r="P30" s="4">
        <v>5.4848268388114126E-3</v>
      </c>
      <c r="Q30" s="4">
        <v>1.7764820964992132</v>
      </c>
      <c r="R30" s="6">
        <v>7.5839062796185741E-2</v>
      </c>
      <c r="S30" s="4">
        <v>-1.014315683869671E-3</v>
      </c>
      <c r="T30" s="4">
        <v>2.0501709046963371E-2</v>
      </c>
    </row>
    <row r="31" spans="1:20" x14ac:dyDescent="0.25">
      <c r="H31" t="s">
        <v>82</v>
      </c>
      <c r="I31">
        <f ca="1"/>
        <v>-1.5105925908643106E-5</v>
      </c>
      <c r="J31">
        <f ca="1"/>
        <v>1.4621454809134933E-5</v>
      </c>
      <c r="K31">
        <f ca="1"/>
        <v>-1.0331342609769236</v>
      </c>
      <c r="L31">
        <f ca="1"/>
        <v>0.30169358149847847</v>
      </c>
      <c r="M31">
        <f ca="1"/>
        <v>-4.378464198478088E-5</v>
      </c>
      <c r="N31">
        <f ca="1"/>
        <v>1.3572790167494668E-5</v>
      </c>
      <c r="O31" s="4">
        <v>-1.5105925908633221E-5</v>
      </c>
      <c r="P31" s="4">
        <v>1.4621454809135219E-5</v>
      </c>
      <c r="Q31" s="4">
        <v>-1.0331342609762275</v>
      </c>
      <c r="R31" s="6">
        <v>0.30169358149880426</v>
      </c>
      <c r="S31" s="4">
        <v>-4.3784641984771495E-5</v>
      </c>
      <c r="T31" s="4">
        <v>1.3572790167505054E-5</v>
      </c>
    </row>
    <row r="32" spans="1:20" x14ac:dyDescent="0.25">
      <c r="H32" t="s">
        <v>83</v>
      </c>
      <c r="I32">
        <f ca="1"/>
        <v>0.10089688876768917</v>
      </c>
      <c r="J32">
        <f ca="1"/>
        <v>7.1731468837055393E-3</v>
      </c>
      <c r="K32">
        <f ca="1"/>
        <v>14.06591701013201</v>
      </c>
      <c r="L32">
        <f ca="1"/>
        <v>1.6470927380032541E-42</v>
      </c>
      <c r="M32">
        <f ca="1"/>
        <v>8.6827382994453819E-2</v>
      </c>
      <c r="N32">
        <f ca="1"/>
        <v>0.11496639454092451</v>
      </c>
      <c r="O32" s="4">
        <v>0.10089688876769998</v>
      </c>
      <c r="P32" s="4">
        <v>7.173146883705535E-3</v>
      </c>
      <c r="Q32" s="4">
        <v>14.065917010133527</v>
      </c>
      <c r="R32" s="6">
        <v>1.6470927379715863E-42</v>
      </c>
      <c r="S32" s="4">
        <v>8.6827382994464672E-2</v>
      </c>
      <c r="T32" s="4">
        <v>0.11496639454093528</v>
      </c>
    </row>
    <row r="33" spans="1:20" x14ac:dyDescent="0.25">
      <c r="H33" t="s">
        <v>84</v>
      </c>
      <c r="I33">
        <f ca="1"/>
        <v>-0.1046860700483363</v>
      </c>
      <c r="J33">
        <f ca="1"/>
        <v>1.0230150114739147E-2</v>
      </c>
      <c r="K33">
        <f ca="1"/>
        <v>-10.233092268852365</v>
      </c>
      <c r="L33">
        <f ca="1"/>
        <v>7.2396988577619134E-24</v>
      </c>
      <c r="M33">
        <f ca="1"/>
        <v>-0.12475162264803895</v>
      </c>
      <c r="N33">
        <f ca="1"/>
        <v>-8.462051744863365E-2</v>
      </c>
      <c r="O33" s="4">
        <v>-0.10468607004833638</v>
      </c>
      <c r="P33" s="4">
        <v>1.0230150114739132E-2</v>
      </c>
      <c r="Q33" s="4">
        <v>-10.233092268852388</v>
      </c>
      <c r="R33" s="6">
        <v>7.2396988577606086E-24</v>
      </c>
      <c r="S33" s="4">
        <v>-0.12475162264803896</v>
      </c>
      <c r="T33" s="4">
        <v>-8.4620517448633803E-2</v>
      </c>
    </row>
    <row r="34" spans="1:20" x14ac:dyDescent="0.25">
      <c r="H34" t="s">
        <v>85</v>
      </c>
      <c r="I34">
        <f ca="1"/>
        <v>3.0981050062949673E-2</v>
      </c>
      <c r="J34">
        <f ca="1"/>
        <v>6.4000830709795582E-3</v>
      </c>
      <c r="K34">
        <f ca="1"/>
        <v>4.8407262404811098</v>
      </c>
      <c r="L34">
        <f ca="1"/>
        <v>1.4154877608933812E-6</v>
      </c>
      <c r="M34">
        <f ca="1"/>
        <v>1.8427841941576831E-2</v>
      </c>
      <c r="N34">
        <f ca="1"/>
        <v>4.3534258184322515E-2</v>
      </c>
      <c r="O34" s="4">
        <v>3.0981050062942137E-2</v>
      </c>
      <c r="P34" s="4">
        <v>6.4000830709795582E-3</v>
      </c>
      <c r="Q34" s="4">
        <v>4.8407262404799321</v>
      </c>
      <c r="R34" s="6">
        <v>1.4154877609017275E-6</v>
      </c>
      <c r="S34" s="4">
        <v>1.8427841941569319E-2</v>
      </c>
      <c r="T34" s="4">
        <v>4.3534258184314958E-2</v>
      </c>
    </row>
    <row r="35" spans="1:20" x14ac:dyDescent="0.25">
      <c r="H35" t="s">
        <v>86</v>
      </c>
      <c r="I35">
        <f ca="1"/>
        <v>3.803665913885991E-2</v>
      </c>
      <c r="J35">
        <f ca="1"/>
        <v>5.5327119530526804E-2</v>
      </c>
      <c r="K35">
        <f ca="1"/>
        <v>0.68748670564483549</v>
      </c>
      <c r="L35">
        <f ca="1"/>
        <v>0.49187340511527644</v>
      </c>
      <c r="M35">
        <f ca="1"/>
        <v>-7.0482689519605873E-2</v>
      </c>
      <c r="N35">
        <f ca="1"/>
        <v>0.14655600779732569</v>
      </c>
      <c r="O35" s="4">
        <v>3.8036659138852923E-2</v>
      </c>
      <c r="P35" s="4">
        <v>5.5327119530526589E-2</v>
      </c>
      <c r="Q35" s="4">
        <v>0.68748670564471193</v>
      </c>
      <c r="R35" s="6">
        <v>0.4918734051153541</v>
      </c>
      <c r="S35" s="4">
        <v>-7.0482689519612229E-2</v>
      </c>
      <c r="T35" s="4">
        <v>0.14655600779731806</v>
      </c>
    </row>
    <row r="37" spans="1:20" x14ac:dyDescent="0.25">
      <c r="A37" t="s">
        <v>331</v>
      </c>
    </row>
    <row r="38" spans="1:20" x14ac:dyDescent="0.25">
      <c r="A38" t="b">
        <f ca="1">AND(B38,C38,D38,E38,F38,G38)</f>
        <v>1</v>
      </c>
      <c r="B38" t="b" cm="1">
        <f t="array" aca="1" ref="B38" ca="1">AND(ROUND(O38:O47,6)=ROUND(_xlfn.ANCHORARRAY(I38),6))</f>
        <v>1</v>
      </c>
      <c r="C38" t="b" cm="1">
        <f t="array" aca="1" ref="C38" ca="1">AND(ROUND(P38:P47,6)=ROUND(_xlfn.ANCHORARRAY(J38),6))</f>
        <v>1</v>
      </c>
      <c r="D38" t="b" cm="1">
        <f t="array" aca="1" ref="D38" ca="1">AND(ROUND(Q38:Q47,6)=ROUND(_xlfn.ANCHORARRAY(K38),6))</f>
        <v>1</v>
      </c>
      <c r="E38" t="b" cm="1">
        <f t="array" aca="1" ref="E38" ca="1">AND(ROUND(R38:R47,6)=ROUND(_xlfn.ANCHORARRAY(L38),6))</f>
        <v>1</v>
      </c>
      <c r="F38" t="b" cm="1">
        <f t="array" aca="1" ref="F38" ca="1">AND(ROUND(S38:S47,6)=ROUND(_xlfn.ANCHORARRAY(M38),6))</f>
        <v>1</v>
      </c>
      <c r="G38" t="b" cm="1">
        <f t="array" aca="1" ref="G38" ca="1">AND(ROUND(T38:T47,6)=ROUND(_xlfn.ANCHORARRAY(N38),6))</f>
        <v>1</v>
      </c>
      <c r="H38" t="s">
        <v>77</v>
      </c>
      <c r="I38" cm="1">
        <f t="array" aca="1" ref="I38:I47" ca="1">_xlfn.LET(_xlpm.x_s,OFFSET(y,0,1,ROWS(y),10),Coefficients(_xlpm.x_s,y,FALSE,fil))</f>
        <v>1.1374622575831037E-2</v>
      </c>
      <c r="J38" cm="1">
        <f t="array" aca="1" ref="J38:J47" ca="1">_xlfn.LET(_xlpm.x_s,OFFSET(y,0,1,ROWS(y),10),SE_Coefficients(_xlpm.x_s,y,FALSE,fil))</f>
        <v>2.4418014660513932E-3</v>
      </c>
      <c r="K38" cm="1">
        <f t="array" aca="1" ref="K38:K47" ca="1">_xlfn.LET(_xlpm.x_s,OFFSET(y,0,1,ROWS(y),10),T_Stats(_xlpm.x_s,y,FALSE,fil))</f>
        <v>4.6582913205571943</v>
      </c>
      <c r="L38" cm="1">
        <f t="array" aca="1" ref="L38:L47" ca="1">_xlfn.LET(_xlpm.x_s,OFFSET(y,0,1,ROWS(y),10),P_Values(_xlpm.x_s,y,FALSE,fil))</f>
        <v>3.4459365817872802E-6</v>
      </c>
      <c r="M38" cm="1">
        <f t="array" aca="1" ref="M38:M47" ca="1">_xlfn.LET(_xlpm.x_s,OFFSET(y,0,1,ROWS(y),10),CI_Lower(_xlpm.x_s,y,FALSE,fil,0.05))</f>
        <v>6.5852428404071326E-3</v>
      </c>
      <c r="N38" cm="1">
        <f t="array" aca="1" ref="N38:N47" ca="1">_xlfn.LET(_xlpm.x_s,OFFSET(y,0,1,ROWS(y),10),CI_Upper(_xlpm.x_s,y,FALSE,fil,0.05))</f>
        <v>1.6164002311254942E-2</v>
      </c>
      <c r="O38" s="4">
        <v>1.137462257583154E-2</v>
      </c>
      <c r="P38" s="4">
        <v>2.4418014660513936E-3</v>
      </c>
      <c r="Q38" s="4">
        <v>4.6582913205573995</v>
      </c>
      <c r="R38" s="6">
        <v>3.4459365817836037E-6</v>
      </c>
      <c r="S38" s="4">
        <v>6.5852428404076782E-3</v>
      </c>
      <c r="T38" s="4">
        <v>1.61640023112554E-2</v>
      </c>
    </row>
    <row r="39" spans="1:20" x14ac:dyDescent="0.25">
      <c r="H39" t="s">
        <v>78</v>
      </c>
      <c r="I39">
        <f ca="1"/>
        <v>5.1650970298876227E-2</v>
      </c>
      <c r="J39">
        <f ca="1"/>
        <v>3.5118160348354188E-2</v>
      </c>
      <c r="K39">
        <f ca="1"/>
        <v>1.4707766519238201</v>
      </c>
      <c r="L39">
        <f ca="1"/>
        <v>0.14154347782336923</v>
      </c>
      <c r="M39">
        <f ca="1"/>
        <v>-1.723022575911435E-2</v>
      </c>
      <c r="N39">
        <f ca="1"/>
        <v>0.12053216635686681</v>
      </c>
      <c r="O39" s="4">
        <v>5.1650970298876157E-2</v>
      </c>
      <c r="P39" s="4">
        <v>3.5118160348353952E-2</v>
      </c>
      <c r="Q39" s="4">
        <v>1.4707766519238279</v>
      </c>
      <c r="R39" s="6">
        <v>0.14154347782336707</v>
      </c>
      <c r="S39" s="4">
        <v>-1.7230225759113323E-2</v>
      </c>
      <c r="T39" s="4">
        <v>0.12053216635686564</v>
      </c>
    </row>
    <row r="40" spans="1:20" x14ac:dyDescent="0.25">
      <c r="H40" t="s">
        <v>79</v>
      </c>
      <c r="I40">
        <f ca="1"/>
        <v>7.6476024475301954E-2</v>
      </c>
      <c r="J40">
        <f ca="1"/>
        <v>9.052599533941022E-2</v>
      </c>
      <c r="K40">
        <f ca="1"/>
        <v>0.84479628407916929</v>
      </c>
      <c r="L40">
        <f ca="1"/>
        <v>0.3983478862401536</v>
      </c>
      <c r="M40">
        <f ca="1"/>
        <v>-0.10108278758846505</v>
      </c>
      <c r="N40">
        <f ca="1"/>
        <v>0.25403483653906894</v>
      </c>
      <c r="O40" s="4">
        <v>7.6476024475299248E-2</v>
      </c>
      <c r="P40" s="4">
        <v>9.0525995339407472E-2</v>
      </c>
      <c r="Q40" s="4">
        <v>0.84479628407916507</v>
      </c>
      <c r="R40" s="6">
        <v>0.39834788624015599</v>
      </c>
      <c r="S40" s="4">
        <v>-0.10108278758846076</v>
      </c>
      <c r="T40" s="4">
        <v>0.25403483653905923</v>
      </c>
    </row>
    <row r="41" spans="1:20" x14ac:dyDescent="0.25">
      <c r="H41" t="s">
        <v>80</v>
      </c>
      <c r="I41">
        <f ca="1"/>
        <v>8.4867670346031661E-4</v>
      </c>
      <c r="J41">
        <f ca="1"/>
        <v>1.9806322593328107E-4</v>
      </c>
      <c r="K41">
        <f ca="1"/>
        <v>4.2848777175132913</v>
      </c>
      <c r="L41">
        <f ca="1"/>
        <v>1.9346790726511125E-5</v>
      </c>
      <c r="M41">
        <f ca="1"/>
        <v>4.6019303113641063E-4</v>
      </c>
      <c r="N41">
        <f ca="1"/>
        <v>1.2371603757842225E-3</v>
      </c>
      <c r="O41" s="4">
        <v>8.4867670346013523E-4</v>
      </c>
      <c r="P41" s="4">
        <v>1.9806322593327199E-4</v>
      </c>
      <c r="Q41" s="4">
        <v>4.2848777175125718</v>
      </c>
      <c r="R41" s="6">
        <v>1.9346790726573111E-5</v>
      </c>
      <c r="S41" s="4">
        <v>4.601930311362506E-4</v>
      </c>
      <c r="T41" s="4">
        <v>1.23716037578402E-3</v>
      </c>
    </row>
    <row r="42" spans="1:20" x14ac:dyDescent="0.25">
      <c r="H42" t="s">
        <v>81</v>
      </c>
      <c r="I42">
        <f ca="1"/>
        <v>0.15653631359017206</v>
      </c>
      <c r="J42">
        <f ca="1"/>
        <v>1.3327407053250572E-2</v>
      </c>
      <c r="K42">
        <f ca="1"/>
        <v>11.74544402858864</v>
      </c>
      <c r="L42">
        <f ca="1"/>
        <v>1.2133633260490651E-30</v>
      </c>
      <c r="M42">
        <f ca="1"/>
        <v>0.13039577180001471</v>
      </c>
      <c r="N42">
        <f ca="1"/>
        <v>0.18267685538032941</v>
      </c>
      <c r="O42" s="4">
        <v>0.15653631359017234</v>
      </c>
      <c r="P42" s="4">
        <v>1.3327407053250544E-2</v>
      </c>
      <c r="Q42" s="4">
        <v>11.745444028588686</v>
      </c>
      <c r="R42" s="6">
        <v>1.213363326048505E-30</v>
      </c>
      <c r="S42" s="4">
        <v>0.1303957718000153</v>
      </c>
      <c r="T42" s="4">
        <v>0.18267685538032938</v>
      </c>
    </row>
    <row r="43" spans="1:20" x14ac:dyDescent="0.25">
      <c r="H43" t="s">
        <v>82</v>
      </c>
      <c r="I43">
        <f ca="1"/>
        <v>7.2308015094855568E-5</v>
      </c>
      <c r="J43">
        <f ca="1"/>
        <v>3.6978124498343584E-5</v>
      </c>
      <c r="K43">
        <f ca="1"/>
        <v>1.9554267847763498</v>
      </c>
      <c r="L43">
        <f ca="1"/>
        <v>5.0702430813398737E-2</v>
      </c>
      <c r="M43">
        <f ca="1"/>
        <v>-2.2133775738055958E-7</v>
      </c>
      <c r="N43">
        <f ca="1"/>
        <v>1.448373679470917E-4</v>
      </c>
      <c r="O43" s="4">
        <v>7.2308015094847342E-5</v>
      </c>
      <c r="P43" s="4">
        <v>3.6978124498343645E-5</v>
      </c>
      <c r="Q43" s="4">
        <v>1.9554267847761242</v>
      </c>
      <c r="R43" s="6">
        <v>5.0702430813425375E-2</v>
      </c>
      <c r="S43" s="4">
        <v>-2.2133775738825742E-7</v>
      </c>
      <c r="T43" s="4">
        <v>1.4483736794708294E-4</v>
      </c>
    </row>
    <row r="44" spans="1:20" x14ac:dyDescent="0.25">
      <c r="H44" t="s">
        <v>83</v>
      </c>
      <c r="I44">
        <f ca="1"/>
        <v>0.33911157418694166</v>
      </c>
      <c r="J44">
        <f ca="1"/>
        <v>1.7012506470353118E-2</v>
      </c>
      <c r="K44">
        <f ca="1"/>
        <v>19.933075398260403</v>
      </c>
      <c r="L44">
        <f ca="1"/>
        <v>2.4841195340568732E-79</v>
      </c>
      <c r="M44">
        <f ca="1"/>
        <v>0.30574303261192304</v>
      </c>
      <c r="N44">
        <f ca="1"/>
        <v>0.37248011576196027</v>
      </c>
      <c r="O44" s="4">
        <v>0.33911157418694171</v>
      </c>
      <c r="P44" s="4">
        <v>1.7012506470353125E-2</v>
      </c>
      <c r="Q44" s="4">
        <v>19.933075398260399</v>
      </c>
      <c r="R44" s="6">
        <v>2.4841195340572474E-79</v>
      </c>
      <c r="S44" s="4">
        <v>0.30574303261192343</v>
      </c>
      <c r="T44" s="4">
        <v>0.37248011576196</v>
      </c>
    </row>
    <row r="45" spans="1:20" x14ac:dyDescent="0.25">
      <c r="H45" t="s">
        <v>84</v>
      </c>
      <c r="I45">
        <f ca="1"/>
        <v>-1.9686751353331297E-2</v>
      </c>
      <c r="J45">
        <f ca="1"/>
        <v>2.5823674157540947E-2</v>
      </c>
      <c r="K45">
        <f ca="1"/>
        <v>-0.76235284077817544</v>
      </c>
      <c r="L45">
        <f ca="1"/>
        <v>0.44595913858703973</v>
      </c>
      <c r="M45">
        <f ca="1"/>
        <v>-7.033762671066203E-2</v>
      </c>
      <c r="N45">
        <f ca="1"/>
        <v>3.0964124003999435E-2</v>
      </c>
      <c r="O45" s="4">
        <v>-1.968675135333171E-2</v>
      </c>
      <c r="P45" s="4">
        <v>2.5823674157540985E-2</v>
      </c>
      <c r="Q45" s="4">
        <v>-0.76235284077819032</v>
      </c>
      <c r="R45" s="6">
        <v>0.44595913858703101</v>
      </c>
      <c r="S45" s="4">
        <v>-7.0337626710662057E-2</v>
      </c>
      <c r="T45" s="4">
        <v>3.0964124003998641E-2</v>
      </c>
    </row>
    <row r="46" spans="1:20" x14ac:dyDescent="0.25">
      <c r="H46" t="s">
        <v>85</v>
      </c>
      <c r="I46">
        <f ca="1"/>
        <v>0.31900985650489116</v>
      </c>
      <c r="J46">
        <f ca="1"/>
        <v>1.425129365258687E-2</v>
      </c>
      <c r="K46">
        <f ca="1"/>
        <v>22.384624461582479</v>
      </c>
      <c r="L46">
        <f ca="1"/>
        <v>4.6824810956970104E-97</v>
      </c>
      <c r="M46">
        <f ca="1"/>
        <v>0.29105719205930503</v>
      </c>
      <c r="N46">
        <f ca="1"/>
        <v>0.3469625209504773</v>
      </c>
      <c r="O46" s="4">
        <v>0.31900985650489116</v>
      </c>
      <c r="P46" s="4">
        <v>1.425129365258692E-2</v>
      </c>
      <c r="Q46" s="4">
        <v>22.384624461582401</v>
      </c>
      <c r="R46" s="6">
        <v>4.6824810957037133E-97</v>
      </c>
      <c r="S46" s="4">
        <v>0.29105719205930519</v>
      </c>
      <c r="T46" s="4">
        <v>0.34696252095047714</v>
      </c>
    </row>
    <row r="47" spans="1:20" x14ac:dyDescent="0.25">
      <c r="H47" t="s">
        <v>86</v>
      </c>
      <c r="I47">
        <f ca="1"/>
        <v>1.9299808350286032</v>
      </c>
      <c r="J47">
        <f ca="1"/>
        <v>0.1306574138957286</v>
      </c>
      <c r="K47">
        <f ca="1"/>
        <v>14.771307478723159</v>
      </c>
      <c r="L47">
        <f ca="1"/>
        <v>1.8924326925053587E-46</v>
      </c>
      <c r="M47">
        <f ca="1"/>
        <v>1.6737077599669283</v>
      </c>
      <c r="N47">
        <f ca="1"/>
        <v>2.186253910090278</v>
      </c>
      <c r="O47" s="4">
        <v>1.929980835028603</v>
      </c>
      <c r="P47" s="4">
        <v>0.13065741389572852</v>
      </c>
      <c r="Q47" s="4">
        <v>14.771307478723168</v>
      </c>
      <c r="R47" s="6">
        <v>1.8924326925050258E-46</v>
      </c>
      <c r="S47" s="4">
        <v>1.6737077599669306</v>
      </c>
      <c r="T47" s="4">
        <v>2.1862539100902754</v>
      </c>
    </row>
    <row r="49" spans="1:20" x14ac:dyDescent="0.25">
      <c r="A49" t="s">
        <v>332</v>
      </c>
    </row>
    <row r="50" spans="1:20" x14ac:dyDescent="0.25">
      <c r="A50" t="b">
        <f ca="1">AND(B50,C50,D50,E50,F50,G50)</f>
        <v>1</v>
      </c>
      <c r="B50" t="b" cm="1">
        <f t="array" aca="1" ref="B50" ca="1">AND(ROUND(O50:O68,6)=ROUND(_xlfn.ANCHORARRAY(I50),6))</f>
        <v>1</v>
      </c>
      <c r="C50" t="b" cm="1">
        <f t="array" aca="1" ref="C50" ca="1">AND(ROUND(P50:P68,6)=ROUND(_xlfn.ANCHORARRAY(J50),6))</f>
        <v>1</v>
      </c>
      <c r="D50" t="b" cm="1">
        <f t="array" aca="1" ref="D50" ca="1">AND(ROUND(Q50:Q68,6)=ROUND(_xlfn.ANCHORARRAY(K50),6))</f>
        <v>1</v>
      </c>
      <c r="E50" t="b" cm="1">
        <f t="array" aca="1" ref="E50" ca="1">AND(ROUND(R50:R68,6)=ROUND(_xlfn.ANCHORARRAY(L50),6))</f>
        <v>1</v>
      </c>
      <c r="F50" t="b" cm="1">
        <f t="array" aca="1" ref="F50" ca="1">AND(ROUND(S50:S68,6)=ROUND(_xlfn.ANCHORARRAY(M50),6))</f>
        <v>1</v>
      </c>
      <c r="G50" t="b" cm="1">
        <f t="array" aca="1" ref="G50" ca="1">AND(ROUND(T50:T68,6)=ROUND(_xlfn.ANCHORARRAY(N50),6))</f>
        <v>1</v>
      </c>
      <c r="H50" t="s">
        <v>334</v>
      </c>
      <c r="I50" cm="1">
        <f t="array" aca="1" ref="I50:I68" ca="1">_xlfn.LET(_xlpm.x_s,OFFSET(y,0,1,ROWS(y),18),Coefficients(_xlpm.x_s,y,TRUE,fil))</f>
        <v>53.281559019872098</v>
      </c>
      <c r="J50" cm="1">
        <f t="array" aca="1" ref="J50:J68" ca="1">_xlfn.LET(_xlpm.x_s,OFFSET(y,0,1,ROWS(y),18),SE_Coefficients(_xlpm.x_s,y,TRUE,fil))</f>
        <v>0.73581264064861296</v>
      </c>
      <c r="K50" cm="1">
        <f t="array" aca="1" ref="K50:K68" ca="1">_xlfn.LET(_xlpm.x_s,OFFSET(y,0,1,ROWS(y),18),T_Stats(_xlpm.x_s,y,TRUE,fil))</f>
        <v>72.411856057412706</v>
      </c>
      <c r="L50" cm="1">
        <f t="array" aca="1" ref="L50:L68" ca="1">_xlfn.LET(_xlpm.x_s,OFFSET(y,0,1,ROWS(y),18),P_Values(_xlpm.x_s,y,TRUE,fil))</f>
        <v>0</v>
      </c>
      <c r="M50" cm="1">
        <f t="array" aca="1" ref="M50:M68" ca="1">_xlfn.LET(_xlpm.x_s,OFFSET(y,0,1,ROWS(y),18),CI_Lower(_xlpm.x_s,y,TRUE,fil,0.05))</f>
        <v>51.838321074895731</v>
      </c>
      <c r="N50" cm="1">
        <f t="array" aca="1" ref="N50:N68" ca="1">_xlfn.LET(_xlpm.x_s,OFFSET(y,0,1,ROWS(y),18),CI_Upper(_xlpm.x_s,y,TRUE,fil,0.05))</f>
        <v>54.724796964848466</v>
      </c>
      <c r="O50" s="4">
        <v>53.281559019830823</v>
      </c>
      <c r="P50" s="4">
        <v>0.73581264064765473</v>
      </c>
      <c r="Q50" s="4">
        <v>72.411856057450905</v>
      </c>
      <c r="R50" s="6">
        <v>0</v>
      </c>
      <c r="S50" s="4">
        <v>51.838321074856324</v>
      </c>
      <c r="T50" s="4">
        <v>54.724796964805321</v>
      </c>
    </row>
    <row r="51" spans="1:20" x14ac:dyDescent="0.25">
      <c r="H51" t="s">
        <v>77</v>
      </c>
      <c r="I51">
        <f ca="1"/>
        <v>-1.6888530199683449E-2</v>
      </c>
      <c r="J51">
        <f ca="1"/>
        <v>9.4729127053766037E-4</v>
      </c>
      <c r="K51">
        <f ca="1"/>
        <v>-17.828233749159235</v>
      </c>
      <c r="L51">
        <f ca="1"/>
        <v>4.3051998381958088E-65</v>
      </c>
      <c r="M51">
        <f ca="1"/>
        <v>-1.8746566649532524E-2</v>
      </c>
      <c r="N51">
        <f ca="1"/>
        <v>-1.5030493749834374E-2</v>
      </c>
      <c r="O51" s="4">
        <v>-1.6888530199710212E-2</v>
      </c>
      <c r="P51" s="4">
        <v>9.4729127053922639E-4</v>
      </c>
      <c r="Q51" s="4">
        <v>-17.828233749158017</v>
      </c>
      <c r="R51" s="6">
        <v>4.305199838274182E-65</v>
      </c>
      <c r="S51" s="4">
        <v>-1.8746566649562379E-2</v>
      </c>
      <c r="T51" s="4">
        <v>-1.5030493749858046E-2</v>
      </c>
    </row>
    <row r="52" spans="1:20" x14ac:dyDescent="0.25">
      <c r="H52" t="s">
        <v>78</v>
      </c>
      <c r="I52">
        <f ca="1"/>
        <v>9.3693837832986432E-2</v>
      </c>
      <c r="J52">
        <f ca="1"/>
        <v>1.0676596104392339E-2</v>
      </c>
      <c r="K52">
        <f ca="1"/>
        <v>8.7756281980584525</v>
      </c>
      <c r="L52">
        <f ca="1"/>
        <v>4.2006946451565517E-18</v>
      </c>
      <c r="M52">
        <f ca="1"/>
        <v>7.2752544126122323E-2</v>
      </c>
      <c r="N52">
        <f ca="1"/>
        <v>0.11463513153985054</v>
      </c>
      <c r="O52" s="4">
        <v>9.3693837834545726E-2</v>
      </c>
      <c r="P52" s="4">
        <v>1.0676596104381672E-2</v>
      </c>
      <c r="Q52" s="4">
        <v>8.7756281982132673</v>
      </c>
      <c r="R52" s="6">
        <v>4.2006946396379913E-18</v>
      </c>
      <c r="S52" s="4">
        <v>7.2752544127702323E-2</v>
      </c>
      <c r="T52" s="4">
        <v>0.11463513154138913</v>
      </c>
    </row>
    <row r="53" spans="1:20" x14ac:dyDescent="0.25">
      <c r="H53" t="s">
        <v>79</v>
      </c>
      <c r="I53">
        <f ca="1"/>
        <v>-5.4348345042438746E-2</v>
      </c>
      <c r="J53">
        <f ca="1"/>
        <v>3.060704543923112E-2</v>
      </c>
      <c r="K53">
        <f ca="1"/>
        <v>-1.7756808689798198</v>
      </c>
      <c r="L53">
        <f ca="1"/>
        <v>7.5972069104877124E-2</v>
      </c>
      <c r="M53">
        <f ca="1"/>
        <v>-0.11438162922545544</v>
      </c>
      <c r="N53">
        <f ca="1"/>
        <v>5.684939140577959E-3</v>
      </c>
      <c r="O53" s="4">
        <v>-5.4348345042212171E-2</v>
      </c>
      <c r="P53" s="4">
        <v>3.060704543923325E-2</v>
      </c>
      <c r="Q53" s="4">
        <v>-1.7756808689722936</v>
      </c>
      <c r="R53" s="6">
        <v>7.5972069106118797E-2</v>
      </c>
      <c r="S53" s="4">
        <v>-0.11438162922523371</v>
      </c>
      <c r="T53" s="4">
        <v>5.6849391408093572E-3</v>
      </c>
    </row>
    <row r="54" spans="1:20" x14ac:dyDescent="0.25">
      <c r="H54" t="s">
        <v>80</v>
      </c>
      <c r="I54">
        <f ca="1"/>
        <v>3.7768262346544172E-4</v>
      </c>
      <c r="J54">
        <f ca="1"/>
        <v>1.8046911534510949E-4</v>
      </c>
      <c r="K54">
        <f ca="1"/>
        <v>2.0927825946461951</v>
      </c>
      <c r="L54">
        <f ca="1"/>
        <v>3.6522850199107303E-2</v>
      </c>
      <c r="M54">
        <f ca="1"/>
        <v>2.3706813899592165E-5</v>
      </c>
      <c r="N54">
        <f ca="1"/>
        <v>7.3165843303129121E-4</v>
      </c>
      <c r="O54" s="4">
        <v>3.7768262346106035E-4</v>
      </c>
      <c r="P54" s="4">
        <v>1.8046911534511681E-4</v>
      </c>
      <c r="Q54" s="4">
        <v>2.0927825946218328</v>
      </c>
      <c r="R54" s="6">
        <v>3.6522850201286157E-2</v>
      </c>
      <c r="S54" s="4">
        <v>2.3706813895192635E-5</v>
      </c>
      <c r="T54" s="4">
        <v>7.3165843302692806E-4</v>
      </c>
    </row>
    <row r="55" spans="1:20" x14ac:dyDescent="0.25">
      <c r="H55" t="s">
        <v>81</v>
      </c>
      <c r="I55">
        <f ca="1"/>
        <v>-5.582499705270378E-3</v>
      </c>
      <c r="J55">
        <f ca="1"/>
        <v>4.4461852137428646E-3</v>
      </c>
      <c r="K55">
        <f ca="1"/>
        <v>-1.2555706604428534</v>
      </c>
      <c r="L55">
        <f ca="1"/>
        <v>0.20945162853357524</v>
      </c>
      <c r="M55">
        <f ca="1"/>
        <v>-1.4303338212760683E-2</v>
      </c>
      <c r="N55">
        <f ca="1"/>
        <v>3.1383388022199268E-3</v>
      </c>
      <c r="O55" s="4">
        <v>-5.5824997053573562E-3</v>
      </c>
      <c r="P55" s="4">
        <v>4.4461852137427198E-3</v>
      </c>
      <c r="Q55" s="4">
        <v>-1.2555706604624568</v>
      </c>
      <c r="R55" s="6">
        <v>0.2094516285264659</v>
      </c>
      <c r="S55" s="4">
        <v>-1.4303338212847471E-2</v>
      </c>
      <c r="T55" s="4">
        <v>3.1383388021327579E-3</v>
      </c>
    </row>
    <row r="56" spans="1:20" x14ac:dyDescent="0.25">
      <c r="H56" t="s">
        <v>82</v>
      </c>
      <c r="I56">
        <f ca="1"/>
        <v>-8.6173382207203657E-6</v>
      </c>
      <c r="J56">
        <f ca="1"/>
        <v>1.0806583538963232E-5</v>
      </c>
      <c r="K56">
        <f ca="1"/>
        <v>-0.79741559297168041</v>
      </c>
      <c r="L56">
        <f ca="1"/>
        <v>0.42532584916473692</v>
      </c>
      <c r="M56">
        <f ca="1"/>
        <v>-2.9813591937210667E-5</v>
      </c>
      <c r="N56">
        <f ca="1"/>
        <v>1.2578915495769934E-5</v>
      </c>
      <c r="O56" s="4">
        <v>-8.6173382200084464E-6</v>
      </c>
      <c r="P56" s="4">
        <v>1.0806583538962908E-5</v>
      </c>
      <c r="Q56" s="4">
        <v>-0.79741559290582598</v>
      </c>
      <c r="R56" s="6">
        <v>0.42532584920295985</v>
      </c>
      <c r="S56" s="4">
        <v>-2.981359193649834E-5</v>
      </c>
      <c r="T56" s="4">
        <v>1.2578915496481447E-5</v>
      </c>
    </row>
    <row r="57" spans="1:20" x14ac:dyDescent="0.25">
      <c r="H57" t="s">
        <v>83</v>
      </c>
      <c r="I57">
        <f ca="1"/>
        <v>3.3498059904934437E-2</v>
      </c>
      <c r="J57">
        <f ca="1"/>
        <v>6.0106760258809705E-3</v>
      </c>
      <c r="K57">
        <f ca="1"/>
        <v>5.5730935689591927</v>
      </c>
      <c r="L57">
        <f ca="1"/>
        <v>2.9233529911097799E-8</v>
      </c>
      <c r="M57">
        <f ca="1"/>
        <v>2.1708597158189076E-2</v>
      </c>
      <c r="N57">
        <f ca="1"/>
        <v>4.5287522651679797E-2</v>
      </c>
      <c r="O57" s="4">
        <v>3.3498059903894331E-2</v>
      </c>
      <c r="P57" s="4">
        <v>6.0106760258856013E-3</v>
      </c>
      <c r="Q57" s="4">
        <v>5.5730935687818564</v>
      </c>
      <c r="R57" s="6">
        <v>2.9233529940309616E-8</v>
      </c>
      <c r="S57" s="4">
        <v>2.1708597157139763E-2</v>
      </c>
      <c r="T57" s="4">
        <v>4.52875226506489E-2</v>
      </c>
    </row>
    <row r="58" spans="1:20" x14ac:dyDescent="0.25">
      <c r="H58" t="s">
        <v>84</v>
      </c>
      <c r="I58">
        <f ca="1"/>
        <v>-7.0470196114536116E-2</v>
      </c>
      <c r="J58">
        <f ca="1"/>
        <v>7.7282061767825691E-3</v>
      </c>
      <c r="K58">
        <f ca="1"/>
        <v>-9.1185709209267607</v>
      </c>
      <c r="L58">
        <f ca="1"/>
        <v>2.1761040202951045E-19</v>
      </c>
      <c r="M58">
        <f ca="1"/>
        <v>-8.5628457585963783E-2</v>
      </c>
      <c r="N58">
        <f ca="1"/>
        <v>-5.5311934643108449E-2</v>
      </c>
      <c r="O58" s="4">
        <v>-7.047019611597681E-2</v>
      </c>
      <c r="P58" s="4">
        <v>7.7282061767731426E-3</v>
      </c>
      <c r="Q58" s="4">
        <v>-9.118570921124304</v>
      </c>
      <c r="R58" s="6">
        <v>2.1761040165216695E-19</v>
      </c>
      <c r="S58" s="4">
        <v>-8.5628457587386159E-2</v>
      </c>
      <c r="T58" s="4">
        <v>-5.5311934644567469E-2</v>
      </c>
    </row>
    <row r="59" spans="1:20" x14ac:dyDescent="0.25">
      <c r="H59" t="s">
        <v>85</v>
      </c>
      <c r="I59">
        <f ca="1"/>
        <v>7.8363788926499225E-3</v>
      </c>
      <c r="J59">
        <f ca="1"/>
        <v>5.1632463325136076E-3</v>
      </c>
      <c r="K59">
        <f ca="1"/>
        <v>1.5177232283695754</v>
      </c>
      <c r="L59">
        <f ca="1"/>
        <v>0.12927810089588262</v>
      </c>
      <c r="M59">
        <f ca="1"/>
        <v>-2.2909179417385083E-3</v>
      </c>
      <c r="N59">
        <f ca="1"/>
        <v>1.7963675727038352E-2</v>
      </c>
      <c r="O59" s="4">
        <v>7.8363788922909423E-3</v>
      </c>
      <c r="P59" s="4">
        <v>5.1632463325144446E-3</v>
      </c>
      <c r="Q59" s="4">
        <v>1.5177232282998032</v>
      </c>
      <c r="R59" s="6">
        <v>0.12927810091347833</v>
      </c>
      <c r="S59" s="4">
        <v>-2.2909179420992389E-3</v>
      </c>
      <c r="T59" s="4">
        <v>1.7963675726681123E-2</v>
      </c>
    </row>
    <row r="60" spans="1:20" x14ac:dyDescent="0.25">
      <c r="H60" t="s">
        <v>86</v>
      </c>
      <c r="I60">
        <f ca="1"/>
        <v>7.9752221077025925E-2</v>
      </c>
      <c r="J60">
        <f ca="1"/>
        <v>4.0741569617034977E-2</v>
      </c>
      <c r="K60">
        <f ca="1"/>
        <v>1.9575146914241544</v>
      </c>
      <c r="L60">
        <f ca="1"/>
        <v>5.0457411502454648E-2</v>
      </c>
      <c r="M60">
        <f ca="1"/>
        <v>-1.5912586228394865E-4</v>
      </c>
      <c r="N60">
        <f ca="1"/>
        <v>0.1596635680163358</v>
      </c>
      <c r="O60" s="4">
        <v>7.9752221076926672E-2</v>
      </c>
      <c r="P60" s="4">
        <v>4.074156961703515E-2</v>
      </c>
      <c r="Q60" s="4">
        <v>1.9575146914217099</v>
      </c>
      <c r="R60" s="6">
        <v>5.0457411502742015E-2</v>
      </c>
      <c r="S60" s="4">
        <v>-1.5912586238439608E-4</v>
      </c>
      <c r="T60" s="4">
        <v>0.15966356801623774</v>
      </c>
    </row>
    <row r="61" spans="1:20" x14ac:dyDescent="0.25">
      <c r="H61" t="s">
        <v>87</v>
      </c>
      <c r="I61">
        <f ca="1"/>
        <v>1.4388918695851512E-2</v>
      </c>
      <c r="J61">
        <f ca="1"/>
        <v>5.9383017026632574E-3</v>
      </c>
      <c r="K61">
        <f ca="1"/>
        <v>2.4230696613811746</v>
      </c>
      <c r="L61">
        <f ca="1"/>
        <v>1.5498293938616995E-2</v>
      </c>
      <c r="M61">
        <f ca="1"/>
        <v>2.7414124251701026E-3</v>
      </c>
      <c r="N61">
        <f ca="1"/>
        <v>2.6036424966532922E-2</v>
      </c>
      <c r="O61" s="4">
        <v>1.4388918695996664E-2</v>
      </c>
      <c r="P61" s="4">
        <v>5.9383017026632314E-3</v>
      </c>
      <c r="Q61" s="4">
        <v>2.4230696614056284</v>
      </c>
      <c r="R61" s="6">
        <v>1.5498293937577564E-2</v>
      </c>
      <c r="S61" s="4">
        <v>2.7414124253151793E-3</v>
      </c>
      <c r="T61" s="4">
        <v>2.603642496667815E-2</v>
      </c>
    </row>
    <row r="62" spans="1:20" x14ac:dyDescent="0.25">
      <c r="H62" t="s">
        <v>88</v>
      </c>
      <c r="I62">
        <f ca="1"/>
        <v>-0.43829804765003344</v>
      </c>
      <c r="J62">
        <f ca="1"/>
        <v>1.7875898457980013E-2</v>
      </c>
      <c r="K62">
        <f ca="1"/>
        <v>-24.518938093115651</v>
      </c>
      <c r="L62">
        <f ca="1"/>
        <v>2.8660520746977611E-113</v>
      </c>
      <c r="M62">
        <f ca="1"/>
        <v>-0.4733602000647561</v>
      </c>
      <c r="N62">
        <f ca="1"/>
        <v>-0.40323589523531078</v>
      </c>
      <c r="O62" s="4">
        <v>-0.43829804764981561</v>
      </c>
      <c r="P62" s="4">
        <v>1.7875898457985952E-2</v>
      </c>
      <c r="Q62" s="4">
        <v>-24.518938093095318</v>
      </c>
      <c r="R62" s="6">
        <v>2.8660520757431801E-113</v>
      </c>
      <c r="S62" s="4">
        <v>-0.47336020006455032</v>
      </c>
      <c r="T62" s="4">
        <v>-0.40323589523508091</v>
      </c>
    </row>
    <row r="63" spans="1:20" x14ac:dyDescent="0.25">
      <c r="H63" t="s">
        <v>89</v>
      </c>
      <c r="I63">
        <f ca="1"/>
        <v>1.3832740538209066E-5</v>
      </c>
      <c r="J63">
        <f ca="1"/>
        <v>2.8377287452573056E-5</v>
      </c>
      <c r="K63">
        <f ca="1"/>
        <v>0.48745816742800796</v>
      </c>
      <c r="L63">
        <f ca="1"/>
        <v>0.62599923177660277</v>
      </c>
      <c r="M63">
        <f ca="1"/>
        <v>-4.1827050778984734E-5</v>
      </c>
      <c r="N63">
        <f ca="1"/>
        <v>6.9492531855402863E-5</v>
      </c>
      <c r="O63" s="4">
        <v>1.3832740538360379E-5</v>
      </c>
      <c r="P63" s="4">
        <v>2.8377287452573019E-5</v>
      </c>
      <c r="Q63" s="4">
        <v>0.48745816743334075</v>
      </c>
      <c r="R63" s="6">
        <v>0.62599923177282524</v>
      </c>
      <c r="S63" s="4">
        <v>-4.1827050778833955E-5</v>
      </c>
      <c r="T63" s="4">
        <v>6.9492531855554706E-5</v>
      </c>
    </row>
    <row r="64" spans="1:20" x14ac:dyDescent="0.25">
      <c r="H64" t="s">
        <v>90</v>
      </c>
      <c r="I64">
        <f ca="1"/>
        <v>-6.9165245616436886E-10</v>
      </c>
      <c r="J64">
        <f ca="1"/>
        <v>1.752485697063701E-9</v>
      </c>
      <c r="K64">
        <f ca="1"/>
        <v>-0.39466938721567668</v>
      </c>
      <c r="L64">
        <f ca="1"/>
        <v>0.69313853171933548</v>
      </c>
      <c r="M64">
        <f ca="1"/>
        <v>-4.1290137031812319E-9</v>
      </c>
      <c r="N64">
        <f ca="1"/>
        <v>2.7457087908524946E-9</v>
      </c>
      <c r="O64" s="4">
        <v>-6.9165244727692405E-10</v>
      </c>
      <c r="P64" s="4">
        <v>1.7524856970732794E-9</v>
      </c>
      <c r="Q64" s="4">
        <v>-0.394669382142183</v>
      </c>
      <c r="R64" s="6">
        <v>0.69313853546335202</v>
      </c>
      <c r="S64" s="4">
        <v>-4.1290136943126117E-9</v>
      </c>
      <c r="T64" s="4">
        <v>2.7457087997587636E-9</v>
      </c>
    </row>
    <row r="65" spans="1:20" x14ac:dyDescent="0.25">
      <c r="H65" t="s">
        <v>91</v>
      </c>
      <c r="I65">
        <f ca="1"/>
        <v>-8.670228683905129E-3</v>
      </c>
      <c r="J65">
        <f ca="1"/>
        <v>5.3102443915796778E-2</v>
      </c>
      <c r="K65">
        <f ca="1"/>
        <v>-0.1632736281903201</v>
      </c>
      <c r="L65">
        <f ca="1"/>
        <v>0.87032323696639657</v>
      </c>
      <c r="M65">
        <f ca="1"/>
        <v>-0.11282644698792899</v>
      </c>
      <c r="N65">
        <f ca="1"/>
        <v>9.5485989620118727E-2</v>
      </c>
      <c r="O65" s="4">
        <v>-8.6702286839342602E-3</v>
      </c>
      <c r="P65" s="4">
        <v>5.3102443915796674E-2</v>
      </c>
      <c r="Q65" s="4">
        <v>-0.16327362819086902</v>
      </c>
      <c r="R65" s="6">
        <v>0.87032323696596448</v>
      </c>
      <c r="S65" s="4">
        <v>-0.11282644698795903</v>
      </c>
      <c r="T65" s="4">
        <v>9.5485989620090514E-2</v>
      </c>
    </row>
    <row r="66" spans="1:20" x14ac:dyDescent="0.25">
      <c r="H66" t="s">
        <v>92</v>
      </c>
      <c r="I66">
        <f ca="1"/>
        <v>-5.1227822387597412E-2</v>
      </c>
      <c r="J66">
        <f ca="1"/>
        <v>5.2417926575909844E-2</v>
      </c>
      <c r="K66">
        <f ca="1"/>
        <v>-0.97729585532939833</v>
      </c>
      <c r="L66">
        <f ca="1"/>
        <v>0.3285677233054739</v>
      </c>
      <c r="M66">
        <f ca="1"/>
        <v>-0.15404141439744909</v>
      </c>
      <c r="N66">
        <f ca="1"/>
        <v>5.1585769622254259E-2</v>
      </c>
      <c r="O66" s="4">
        <v>-5.1227822387568255E-2</v>
      </c>
      <c r="P66" s="4">
        <v>5.241792657590965E-2</v>
      </c>
      <c r="Q66" s="4">
        <v>-0.97729585532884566</v>
      </c>
      <c r="R66" s="6">
        <v>0.32856772330574768</v>
      </c>
      <c r="S66" s="4">
        <v>-0.15404141439742064</v>
      </c>
      <c r="T66" s="4">
        <v>5.1585769622284137E-2</v>
      </c>
    </row>
    <row r="67" spans="1:20" x14ac:dyDescent="0.25">
      <c r="H67" t="s">
        <v>93</v>
      </c>
      <c r="I67">
        <f ca="1"/>
        <v>9.8241467234536515</v>
      </c>
      <c r="J67">
        <f ca="1"/>
        <v>0.83395947812394966</v>
      </c>
      <c r="K67">
        <f ca="1"/>
        <v>11.780124791619082</v>
      </c>
      <c r="L67">
        <f ca="1"/>
        <v>8.4306727253031009E-31</v>
      </c>
      <c r="M67">
        <f ca="1"/>
        <v>8.1884015664525371</v>
      </c>
      <c r="N67">
        <f ca="1"/>
        <v>11.459891880454766</v>
      </c>
      <c r="O67" s="4">
        <v>9.8241467234536284</v>
      </c>
      <c r="P67" s="4">
        <v>0.83395947812394777</v>
      </c>
      <c r="Q67" s="4">
        <v>11.780124791619082</v>
      </c>
      <c r="R67" s="6">
        <v>8.4306727253031184E-31</v>
      </c>
      <c r="S67" s="4">
        <v>8.1884015664524998</v>
      </c>
      <c r="T67" s="4">
        <v>11.459891880454757</v>
      </c>
    </row>
    <row r="68" spans="1:20" x14ac:dyDescent="0.25">
      <c r="H68" t="s">
        <v>94</v>
      </c>
      <c r="I68">
        <f ca="1"/>
        <v>0.87833495505192805</v>
      </c>
      <c r="J68">
        <f ca="1"/>
        <v>5.9390382178830484E-2</v>
      </c>
      <c r="K68">
        <f ca="1"/>
        <v>14.789178362368038</v>
      </c>
      <c r="L68">
        <f ca="1"/>
        <v>1.5497721426886084E-46</v>
      </c>
      <c r="M68">
        <f ca="1"/>
        <v>0.76184544618513339</v>
      </c>
      <c r="N68">
        <f ca="1"/>
        <v>0.9948244639187227</v>
      </c>
      <c r="O68" s="4">
        <v>0.87833495505192505</v>
      </c>
      <c r="P68" s="4">
        <v>5.9390382178830477E-2</v>
      </c>
      <c r="Q68" s="4">
        <v>14.789178362367988</v>
      </c>
      <c r="R68" s="6">
        <v>1.5497721426896132E-46</v>
      </c>
      <c r="S68" s="4">
        <v>0.76184544618512917</v>
      </c>
      <c r="T68" s="4">
        <v>0.99482446391872092</v>
      </c>
    </row>
    <row r="70" spans="1:20" x14ac:dyDescent="0.25">
      <c r="A70" t="s">
        <v>333</v>
      </c>
    </row>
    <row r="71" spans="1:20" x14ac:dyDescent="0.25">
      <c r="A71" t="b">
        <f ca="1">AND(B71,C71,D71,E71,F71,G71)</f>
        <v>1</v>
      </c>
      <c r="B71" t="b" cm="1">
        <f t="array" aca="1" ref="B71" ca="1">AND(ROUND(O71:O88,6)=ROUND(_xlfn.ANCHORARRAY(I71),6))</f>
        <v>1</v>
      </c>
      <c r="C71" t="b" cm="1">
        <f t="array" aca="1" ref="C71" ca="1">AND(ROUND(P71:P88,6)=ROUND(_xlfn.ANCHORARRAY(J71),6))</f>
        <v>1</v>
      </c>
      <c r="D71" t="b" cm="1">
        <f t="array" aca="1" ref="D71" ca="1">AND(ROUND(Q71:Q88,6)=ROUND(_xlfn.ANCHORARRAY(K71),6))</f>
        <v>1</v>
      </c>
      <c r="E71" t="b" cm="1">
        <f t="array" aca="1" ref="E71" ca="1">AND(ROUND(R71:R88,6)=ROUND(_xlfn.ANCHORARRAY(L71),6))</f>
        <v>1</v>
      </c>
      <c r="F71" t="b" cm="1">
        <f t="array" aca="1" ref="F71" ca="1">AND(ROUND(S71:S88,6)=ROUND(_xlfn.ANCHORARRAY(M71),6))</f>
        <v>1</v>
      </c>
      <c r="G71" t="b" cm="1">
        <f t="array" aca="1" ref="G71" ca="1">AND(ROUND(T71:T88,6)=ROUND(_xlfn.ANCHORARRAY(N71),6))</f>
        <v>1</v>
      </c>
      <c r="H71" t="s">
        <v>77</v>
      </c>
      <c r="I71" cm="1">
        <f t="array" aca="1" ref="I71:I88" ca="1">_xlfn.LET(_xlpm.x_s,OFFSET(y,0,1,ROWS(y),18),Coefficients(_xlpm.x_s,y,FALSE,fil))</f>
        <v>1.1694913550978301E-2</v>
      </c>
      <c r="J71" cm="1">
        <f t="array" aca="1" ref="J71:J88" ca="1">_xlfn.LET(_xlpm.x_s,OFFSET(y,0,1,ROWS(y),18),SE_Coefficients(_xlpm.x_s,y,FALSE,fil))</f>
        <v>1.7677880064828426E-3</v>
      </c>
      <c r="K71" cm="1">
        <f t="array" aca="1" ref="K71:K88" ca="1">_xlfn.LET(_xlpm.x_s,OFFSET(y,0,1,ROWS(y),18),T_Stats(_xlpm.x_s,y,FALSE,fil))</f>
        <v>6.6155633526704811</v>
      </c>
      <c r="L71" cm="1">
        <f t="array" aca="1" ref="L71:L88" ca="1">_xlfn.LET(_xlpm.x_s,OFFSET(y,0,1,ROWS(y),18),P_Values(_xlpm.x_s,y,FALSE,fil))</f>
        <v>5.0041597531470924E-11</v>
      </c>
      <c r="M71" cm="1">
        <f t="array" aca="1" ref="M71:M88" ca="1">_xlfn.LET(_xlpm.x_s,OFFSET(y,0,1,ROWS(y),18),CI_Lower(_xlpm.x_s,y,FALSE,fil,0.05))</f>
        <v>8.227539621406748E-3</v>
      </c>
      <c r="N71" cm="1">
        <f t="array" aca="1" ref="N71:N88" ca="1">_xlfn.LET(_xlpm.x_s,OFFSET(y,0,1,ROWS(y),18),CI_Upper(_xlpm.x_s,y,FALSE,fil,0.05))</f>
        <v>1.5162287480549853E-2</v>
      </c>
      <c r="O71" s="4">
        <v>1.1694913551124867E-2</v>
      </c>
      <c r="P71" s="4">
        <v>1.7677880064579431E-3</v>
      </c>
      <c r="Q71" s="4">
        <v>6.6155633528465723</v>
      </c>
      <c r="R71" s="6">
        <v>5.0041597473455494E-11</v>
      </c>
      <c r="S71" s="4">
        <v>8.2275396216020917E-3</v>
      </c>
      <c r="T71" s="4">
        <v>1.5162287480647643E-2</v>
      </c>
    </row>
    <row r="72" spans="1:20" x14ac:dyDescent="0.25">
      <c r="H72" t="s">
        <v>78</v>
      </c>
      <c r="I72">
        <f ca="1"/>
        <v>-2.659738101708722E-2</v>
      </c>
      <c r="J72">
        <f ca="1"/>
        <v>2.1650722881030926E-2</v>
      </c>
      <c r="K72">
        <f ca="1"/>
        <v>-1.2284754261203104</v>
      </c>
      <c r="L72">
        <f ca="1"/>
        <v>0.21944577976748644</v>
      </c>
      <c r="M72">
        <f ca="1"/>
        <v>-6.9063531821801097E-2</v>
      </c>
      <c r="N72">
        <f ca="1"/>
        <v>1.5868769787626653E-2</v>
      </c>
      <c r="O72" s="4">
        <v>-2.6597381016835817E-2</v>
      </c>
      <c r="P72" s="4">
        <v>2.1650722880829164E-2</v>
      </c>
      <c r="Q72" s="4">
        <v>-1.2284754261201467</v>
      </c>
      <c r="R72" s="6">
        <v>0.21944577976754798</v>
      </c>
      <c r="S72" s="4">
        <v>-6.9063531821154725E-2</v>
      </c>
      <c r="T72" s="4">
        <v>1.5868769787483094E-2</v>
      </c>
    </row>
    <row r="73" spans="1:20" x14ac:dyDescent="0.25">
      <c r="H73" t="s">
        <v>79</v>
      </c>
      <c r="I73">
        <f ca="1"/>
        <v>-0.65561401174294509</v>
      </c>
      <c r="J73">
        <f ca="1"/>
        <v>6.0475883921003504E-2</v>
      </c>
      <c r="K73">
        <f ca="1"/>
        <v>-10.840916564350502</v>
      </c>
      <c r="L73">
        <f ca="1"/>
        <v>1.7199666215804826E-26</v>
      </c>
      <c r="M73">
        <f ca="1"/>
        <v>-0.77423259185916793</v>
      </c>
      <c r="N73">
        <f ca="1"/>
        <v>-0.53699543162672225</v>
      </c>
      <c r="O73" s="4">
        <v>-0.65561401174195533</v>
      </c>
      <c r="P73" s="4">
        <v>6.0475883920895861E-2</v>
      </c>
      <c r="Q73" s="4">
        <v>-10.840916564353432</v>
      </c>
      <c r="R73" s="6">
        <v>1.7199666215290935E-26</v>
      </c>
      <c r="S73" s="4">
        <v>-0.77423259185796922</v>
      </c>
      <c r="T73" s="4">
        <v>-0.53699543162594143</v>
      </c>
    </row>
    <row r="74" spans="1:20" x14ac:dyDescent="0.25">
      <c r="H74" t="s">
        <v>80</v>
      </c>
      <c r="I74">
        <f ca="1"/>
        <v>1.1415767872093941E-3</v>
      </c>
      <c r="J74">
        <f ca="1"/>
        <v>3.698459703878289E-4</v>
      </c>
      <c r="K74">
        <f ca="1"/>
        <v>3.0866276196339539</v>
      </c>
      <c r="L74">
        <f ca="1"/>
        <v>2.0584834135213216E-3</v>
      </c>
      <c r="M74">
        <f ca="1"/>
        <v>4.1615367596695662E-4</v>
      </c>
      <c r="N74">
        <f ca="1"/>
        <v>1.8669998984518314E-3</v>
      </c>
      <c r="O74" s="4">
        <v>1.1415767872052646E-3</v>
      </c>
      <c r="P74" s="4">
        <v>3.6984597038789482E-4</v>
      </c>
      <c r="Q74" s="4">
        <v>3.086627619622238</v>
      </c>
      <c r="R74" s="6">
        <v>2.0584834136019715E-3</v>
      </c>
      <c r="S74" s="4">
        <v>4.1615367596268453E-4</v>
      </c>
      <c r="T74" s="4">
        <v>1.8669998984478446E-3</v>
      </c>
    </row>
    <row r="75" spans="1:20" x14ac:dyDescent="0.25">
      <c r="H75" t="s">
        <v>81</v>
      </c>
      <c r="I75">
        <f ca="1"/>
        <v>1.5686452510347944E-2</v>
      </c>
      <c r="J75">
        <f ca="1"/>
        <v>9.1074978079920092E-3</v>
      </c>
      <c r="K75">
        <f ca="1"/>
        <v>1.7223668718956784</v>
      </c>
      <c r="L75">
        <f ca="1"/>
        <v>8.5192656977017694E-2</v>
      </c>
      <c r="M75">
        <f ca="1"/>
        <v>-2.1771716047917014E-3</v>
      </c>
      <c r="N75">
        <f ca="1"/>
        <v>3.355007662548759E-2</v>
      </c>
      <c r="O75" s="4">
        <v>1.5686452510427322E-2</v>
      </c>
      <c r="P75" s="4">
        <v>9.1074978079900334E-3</v>
      </c>
      <c r="Q75" s="4">
        <v>1.7223668719047676</v>
      </c>
      <c r="R75" s="6">
        <v>8.5192656975371886E-2</v>
      </c>
      <c r="S75" s="4">
        <v>-2.1771716047087712E-3</v>
      </c>
      <c r="T75" s="4">
        <v>3.3550076625563419E-2</v>
      </c>
    </row>
    <row r="76" spans="1:20" x14ac:dyDescent="0.25">
      <c r="H76" t="s">
        <v>82</v>
      </c>
      <c r="I76">
        <f ca="1"/>
        <v>7.1740751306677544E-5</v>
      </c>
      <c r="J76">
        <f ca="1"/>
        <v>2.2067219218583282E-5</v>
      </c>
      <c r="K76">
        <f ca="1"/>
        <v>3.2510100432710209</v>
      </c>
      <c r="L76">
        <f ca="1"/>
        <v>1.1734157034034877E-3</v>
      </c>
      <c r="M76">
        <f ca="1"/>
        <v>2.8457676449251982E-5</v>
      </c>
      <c r="N76">
        <f ca="1"/>
        <v>1.150238261641031E-4</v>
      </c>
      <c r="O76" s="4">
        <v>7.1740751307372422E-5</v>
      </c>
      <c r="P76" s="4">
        <v>2.2067219218695995E-5</v>
      </c>
      <c r="Q76" s="4">
        <v>3.251010043285905</v>
      </c>
      <c r="R76" s="6">
        <v>1.1734157033424575E-3</v>
      </c>
      <c r="S76" s="4">
        <v>2.8457676449724992E-5</v>
      </c>
      <c r="T76" s="4">
        <v>1.1502382616501985E-4</v>
      </c>
    </row>
    <row r="77" spans="1:20" x14ac:dyDescent="0.25">
      <c r="H77" t="s">
        <v>83</v>
      </c>
      <c r="I77">
        <f ca="1"/>
        <v>0.10158241469525493</v>
      </c>
      <c r="J77">
        <f ca="1"/>
        <v>1.2187228667517534E-2</v>
      </c>
      <c r="K77">
        <f ca="1"/>
        <v>8.3351529266043283</v>
      </c>
      <c r="L77">
        <f ca="1"/>
        <v>1.6225438346515406E-16</v>
      </c>
      <c r="M77">
        <f ca="1"/>
        <v>7.7678146309843488E-2</v>
      </c>
      <c r="N77">
        <f ca="1"/>
        <v>0.12548668308066638</v>
      </c>
      <c r="O77" s="4">
        <v>0.10158241469508797</v>
      </c>
      <c r="P77" s="4">
        <v>1.2187228667515168E-2</v>
      </c>
      <c r="Q77" s="4">
        <v>8.3351529265922455</v>
      </c>
      <c r="R77" s="6">
        <v>1.6225438348105296E-16</v>
      </c>
      <c r="S77" s="4">
        <v>7.7678146309680729E-2</v>
      </c>
      <c r="T77" s="4">
        <v>0.12548668308049521</v>
      </c>
    </row>
    <row r="78" spans="1:20" x14ac:dyDescent="0.25">
      <c r="H78" t="s">
        <v>84</v>
      </c>
      <c r="I78">
        <f ca="1"/>
        <v>2.2849053851415821E-2</v>
      </c>
      <c r="J78">
        <f ca="1"/>
        <v>1.5642855632048151E-2</v>
      </c>
      <c r="K78">
        <f ca="1"/>
        <v>1.4606702502965021</v>
      </c>
      <c r="L78">
        <f ca="1"/>
        <v>0.144298559518488</v>
      </c>
      <c r="M78">
        <f ca="1"/>
        <v>-7.8331487677372573E-3</v>
      </c>
      <c r="N78">
        <f ca="1"/>
        <v>5.3531256470568903E-2</v>
      </c>
      <c r="O78" s="4">
        <v>2.284905385093336E-2</v>
      </c>
      <c r="P78" s="4">
        <v>1.5642855631658854E-2</v>
      </c>
      <c r="Q78" s="4">
        <v>1.4606702503020108</v>
      </c>
      <c r="R78" s="6">
        <v>0.14429855951697576</v>
      </c>
      <c r="S78" s="4">
        <v>-7.8331487674567039E-3</v>
      </c>
      <c r="T78" s="4">
        <v>5.3531256469323427E-2</v>
      </c>
    </row>
    <row r="79" spans="1:20" x14ac:dyDescent="0.25">
      <c r="H79" t="s">
        <v>85</v>
      </c>
      <c r="I79">
        <f ca="1"/>
        <v>6.3337454517096367E-2</v>
      </c>
      <c r="J79">
        <f ca="1"/>
        <v>1.0482032001796791E-2</v>
      </c>
      <c r="K79">
        <f ca="1"/>
        <v>6.0424786440491021</v>
      </c>
      <c r="L79">
        <f ca="1"/>
        <v>1.8765612130493428E-9</v>
      </c>
      <c r="M79">
        <f ca="1"/>
        <v>4.2777792182766776E-2</v>
      </c>
      <c r="N79">
        <f ca="1"/>
        <v>8.3897116851425951E-2</v>
      </c>
      <c r="O79" s="4">
        <v>6.3337454517035097E-2</v>
      </c>
      <c r="P79" s="4">
        <v>1.0482032001795372E-2</v>
      </c>
      <c r="Q79" s="4">
        <v>6.042478644044075</v>
      </c>
      <c r="R79" s="6">
        <v>1.8765612131066118E-9</v>
      </c>
      <c r="S79" s="4">
        <v>4.2777792182707913E-2</v>
      </c>
      <c r="T79" s="4">
        <v>8.389711685136228E-2</v>
      </c>
    </row>
    <row r="80" spans="1:20" x14ac:dyDescent="0.25">
      <c r="H80" t="s">
        <v>86</v>
      </c>
      <c r="I80">
        <f ca="1"/>
        <v>0.78195921051006623</v>
      </c>
      <c r="J80">
        <f ca="1"/>
        <v>8.1233352226015215E-2</v>
      </c>
      <c r="K80">
        <f ca="1"/>
        <v>9.6260857034980454</v>
      </c>
      <c r="L80">
        <f ca="1"/>
        <v>2.2670993466795489E-21</v>
      </c>
      <c r="M80">
        <f ca="1"/>
        <v>0.62262652656422002</v>
      </c>
      <c r="N80">
        <f ca="1"/>
        <v>0.94129189445591244</v>
      </c>
      <c r="O80" s="4">
        <v>0.78195921051091644</v>
      </c>
      <c r="P80" s="4">
        <v>8.1233352225975927E-2</v>
      </c>
      <c r="Q80" s="4">
        <v>9.6260857035131675</v>
      </c>
      <c r="R80" s="6">
        <v>2.2670993463640372E-21</v>
      </c>
      <c r="S80" s="4">
        <v>0.62262652656514439</v>
      </c>
      <c r="T80" s="4">
        <v>0.94129189445668848</v>
      </c>
    </row>
    <row r="81" spans="8:20" x14ac:dyDescent="0.25">
      <c r="H81" t="s">
        <v>87</v>
      </c>
      <c r="I81">
        <f ca="1"/>
        <v>8.2129769121988272E-2</v>
      </c>
      <c r="J81">
        <f ca="1"/>
        <v>1.2038336375633132E-2</v>
      </c>
      <c r="K81">
        <f ca="1"/>
        <v>6.822352072519557</v>
      </c>
      <c r="L81">
        <f ca="1"/>
        <v>1.2580671939662868E-11</v>
      </c>
      <c r="M81">
        <f ca="1"/>
        <v>5.8517540986482861E-2</v>
      </c>
      <c r="N81">
        <f ca="1"/>
        <v>0.10574199725749368</v>
      </c>
      <c r="O81" s="4">
        <v>8.2129769121937354E-2</v>
      </c>
      <c r="P81" s="4">
        <v>1.2038336375629882E-2</v>
      </c>
      <c r="Q81" s="4">
        <v>6.8223520725171696</v>
      </c>
      <c r="R81" s="6">
        <v>1.2580671939865797E-11</v>
      </c>
      <c r="S81" s="4">
        <v>5.8517540986437883E-2</v>
      </c>
      <c r="T81" s="4">
        <v>0.10574199725743683</v>
      </c>
    </row>
    <row r="82" spans="8:20" x14ac:dyDescent="0.25">
      <c r="H82" t="s">
        <v>88</v>
      </c>
      <c r="I82">
        <f ca="1"/>
        <v>-0.53841223383207071</v>
      </c>
      <c r="J82">
        <f ca="1"/>
        <v>3.6586957214359929E-2</v>
      </c>
      <c r="K82">
        <f ca="1"/>
        <v>-14.715960955090043</v>
      </c>
      <c r="L82">
        <f ca="1"/>
        <v>4.0212216223103381E-46</v>
      </c>
      <c r="M82">
        <f ca="1"/>
        <v>-0.61017460643681587</v>
      </c>
      <c r="N82">
        <f ca="1"/>
        <v>-0.46664986122732555</v>
      </c>
      <c r="O82" s="4">
        <v>-0.53841223383182935</v>
      </c>
      <c r="P82" s="4">
        <v>3.6586957214359804E-2</v>
      </c>
      <c r="Q82" s="4">
        <v>-14.715960955083498</v>
      </c>
      <c r="R82" s="6">
        <v>4.0212216226542359E-46</v>
      </c>
      <c r="S82" s="4">
        <v>-0.61017460643657562</v>
      </c>
      <c r="T82" s="4">
        <v>-0.46664986122708313</v>
      </c>
    </row>
    <row r="83" spans="8:20" x14ac:dyDescent="0.25">
      <c r="H83" t="s">
        <v>89</v>
      </c>
      <c r="I83">
        <f ca="1"/>
        <v>-1.7715285139888778E-4</v>
      </c>
      <c r="J83">
        <f ca="1"/>
        <v>5.8002692539489708E-5</v>
      </c>
      <c r="K83">
        <f ca="1"/>
        <v>-3.054217720639048</v>
      </c>
      <c r="L83">
        <f ca="1"/>
        <v>2.2930128936129476E-3</v>
      </c>
      <c r="M83">
        <f ca="1"/>
        <v>-2.909204656257314E-4</v>
      </c>
      <c r="N83">
        <f ca="1"/>
        <v>-6.3385237172044174E-5</v>
      </c>
      <c r="O83" s="4">
        <v>-1.771528513990323E-4</v>
      </c>
      <c r="P83" s="4">
        <v>5.8002692539488909E-5</v>
      </c>
      <c r="Q83" s="4">
        <v>-3.0542177206415819</v>
      </c>
      <c r="R83" s="6">
        <v>2.2930128935936905E-3</v>
      </c>
      <c r="S83" s="4">
        <v>-2.9092046562587641E-4</v>
      </c>
      <c r="T83" s="4">
        <v>-6.3385237172188183E-5</v>
      </c>
    </row>
    <row r="84" spans="8:20" x14ac:dyDescent="0.25">
      <c r="H84" t="s">
        <v>90</v>
      </c>
      <c r="I84">
        <f ca="1"/>
        <v>-1.1084626388126037E-8</v>
      </c>
      <c r="J84">
        <f ca="1"/>
        <v>3.5855381680195885E-9</v>
      </c>
      <c r="K84">
        <f ca="1"/>
        <v>-3.0914819111376084</v>
      </c>
      <c r="L84">
        <f ca="1"/>
        <v>2.0253169785142519E-3</v>
      </c>
      <c r="M84">
        <f ca="1"/>
        <v>-1.8117370994200232E-8</v>
      </c>
      <c r="N84">
        <f ca="1"/>
        <v>-4.0518817820518434E-9</v>
      </c>
      <c r="O84" s="4">
        <v>-1.1084626401486074E-8</v>
      </c>
      <c r="P84" s="4">
        <v>3.5855381675094774E-9</v>
      </c>
      <c r="Q84" s="4">
        <v>-3.0914819153035205</v>
      </c>
      <c r="R84" s="6">
        <v>2.0253169502629171E-3</v>
      </c>
      <c r="S84" s="4">
        <v>-1.8117371006559855E-8</v>
      </c>
      <c r="T84" s="4">
        <v>-4.0518817964122944E-9</v>
      </c>
    </row>
    <row r="85" spans="8:20" x14ac:dyDescent="0.25">
      <c r="H85" t="s">
        <v>91</v>
      </c>
      <c r="I85">
        <f ca="1"/>
        <v>0.49121851679145984</v>
      </c>
      <c r="J85">
        <f ca="1"/>
        <v>0.10808726184796649</v>
      </c>
      <c r="K85">
        <f ca="1"/>
        <v>4.5446476152055597</v>
      </c>
      <c r="L85">
        <f ca="1"/>
        <v>5.9077480295214926E-6</v>
      </c>
      <c r="M85">
        <f ca="1"/>
        <v>0.27921404992324872</v>
      </c>
      <c r="N85">
        <f ca="1"/>
        <v>0.70322298365967095</v>
      </c>
      <c r="O85" s="4">
        <v>0.49121851679144479</v>
      </c>
      <c r="P85" s="4">
        <v>0.10808726184796648</v>
      </c>
      <c r="Q85" s="4">
        <v>4.5446476152054212</v>
      </c>
      <c r="R85" s="6">
        <v>5.9077480295256795E-6</v>
      </c>
      <c r="S85" s="4">
        <v>0.27921404992322985</v>
      </c>
      <c r="T85" s="4">
        <v>0.70322298365965974</v>
      </c>
    </row>
    <row r="86" spans="8:20" x14ac:dyDescent="0.25">
      <c r="H86" t="s">
        <v>92</v>
      </c>
      <c r="I86">
        <f ca="1"/>
        <v>0.20107036536345524</v>
      </c>
      <c r="J86">
        <f ca="1"/>
        <v>0.10736916165459325</v>
      </c>
      <c r="K86">
        <f ca="1"/>
        <v>1.8727012697584331</v>
      </c>
      <c r="L86">
        <f ca="1"/>
        <v>6.1288420741517635E-2</v>
      </c>
      <c r="M86">
        <f ca="1"/>
        <v>-9.5256057574198971E-3</v>
      </c>
      <c r="N86">
        <f ca="1"/>
        <v>0.41166633648433038</v>
      </c>
      <c r="O86" s="4">
        <v>0.20107036536346515</v>
      </c>
      <c r="P86" s="4">
        <v>0.1073691616545934</v>
      </c>
      <c r="Q86" s="4">
        <v>1.8727012697585228</v>
      </c>
      <c r="R86" s="6">
        <v>6.1288420741505284E-2</v>
      </c>
      <c r="S86" s="4">
        <v>-9.525605757414124E-3</v>
      </c>
      <c r="T86" s="4">
        <v>0.41166633648434442</v>
      </c>
    </row>
    <row r="87" spans="8:20" x14ac:dyDescent="0.25">
      <c r="H87" t="s">
        <v>93</v>
      </c>
      <c r="I87">
        <f ca="1"/>
        <v>19.408956085829281</v>
      </c>
      <c r="J87">
        <f ca="1"/>
        <v>1.690307868981314</v>
      </c>
      <c r="K87">
        <f ca="1"/>
        <v>11.482497621883722</v>
      </c>
      <c r="L87">
        <f ca="1"/>
        <v>2.1062919312465837E-29</v>
      </c>
      <c r="M87">
        <f ca="1"/>
        <v>16.093553211524092</v>
      </c>
      <c r="N87">
        <f ca="1"/>
        <v>22.72435896013447</v>
      </c>
      <c r="O87" s="4">
        <v>19.408956085829338</v>
      </c>
      <c r="P87" s="4">
        <v>1.6903078689813171</v>
      </c>
      <c r="Q87" s="4">
        <v>11.482497621883736</v>
      </c>
      <c r="R87" s="6">
        <v>2.1062919312463182E-29</v>
      </c>
      <c r="S87" s="4">
        <v>16.093553211524085</v>
      </c>
      <c r="T87" s="4">
        <v>22.724358960134591</v>
      </c>
    </row>
    <row r="88" spans="8:20" x14ac:dyDescent="0.25">
      <c r="H88" t="s">
        <v>94</v>
      </c>
      <c r="I88">
        <f ca="1"/>
        <v>2.7265195128408788</v>
      </c>
      <c r="J88">
        <f ca="1"/>
        <v>0.11008781457267841</v>
      </c>
      <c r="K88">
        <f ca="1"/>
        <v>24.766769359753884</v>
      </c>
      <c r="L88">
        <f ca="1"/>
        <v>3.2485641459355288E-115</v>
      </c>
      <c r="M88">
        <f ca="1"/>
        <v>2.5105911227777136</v>
      </c>
      <c r="N88">
        <f ca="1"/>
        <v>2.942447902904044</v>
      </c>
      <c r="O88" s="4">
        <v>2.726519512840873</v>
      </c>
      <c r="P88" s="4">
        <v>0.11008781457267856</v>
      </c>
      <c r="Q88" s="4">
        <v>24.766769359753798</v>
      </c>
      <c r="R88" s="6">
        <v>3.2485641459400308E-115</v>
      </c>
      <c r="S88" s="4">
        <v>2.5105911227777038</v>
      </c>
      <c r="T88" s="4">
        <v>2.9424479029040422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A046E-74D3-4833-A469-7958D3D11F86}">
  <dimension ref="A1:O38"/>
  <sheetViews>
    <sheetView workbookViewId="0">
      <pane ySplit="2" topLeftCell="A3" activePane="bottomLeft" state="frozenSplit"/>
      <selection pane="bottomLeft" activeCell="F16" sqref="F16"/>
    </sheetView>
  </sheetViews>
  <sheetFormatPr defaultRowHeight="15" x14ac:dyDescent="0.25"/>
  <cols>
    <col min="1" max="1" width="30.7109375" customWidth="1"/>
    <col min="2" max="2" width="12.7109375" customWidth="1"/>
    <col min="3" max="3" width="24.7109375" customWidth="1"/>
    <col min="4" max="5" width="14.7109375" customWidth="1"/>
    <col min="6" max="6" width="16.7109375" customWidth="1"/>
    <col min="7" max="7" width="14.7109375" customWidth="1"/>
    <col min="8" max="8" width="16.7109375" customWidth="1"/>
    <col min="9" max="9" width="22.7109375" customWidth="1"/>
    <col min="10" max="10" width="14.7109375" customWidth="1"/>
    <col min="11" max="11" width="3.7109375" customWidth="1"/>
    <col min="12" max="13" width="14.7109375" customWidth="1"/>
    <col min="14" max="14" width="12.7109375" customWidth="1"/>
    <col min="15" max="15" width="16.7109375" customWidth="1"/>
  </cols>
  <sheetData>
    <row r="1" spans="1:15" x14ac:dyDescent="0.25">
      <c r="A1" s="7" t="s">
        <v>382</v>
      </c>
      <c r="L1" s="7" t="s">
        <v>412</v>
      </c>
    </row>
    <row r="2" spans="1:15" x14ac:dyDescent="0.25">
      <c r="A2" t="s">
        <v>334</v>
      </c>
      <c r="B2">
        <f>IF(Allow_Intercept,1,0)</f>
        <v>1</v>
      </c>
      <c r="C2" t="s">
        <v>381</v>
      </c>
      <c r="D2" t="b">
        <v>1</v>
      </c>
      <c r="L2" s="7" t="s">
        <v>413</v>
      </c>
      <c r="M2" s="7" t="s">
        <v>414</v>
      </c>
      <c r="N2" s="7" t="s">
        <v>369</v>
      </c>
      <c r="O2" s="7" t="s">
        <v>415</v>
      </c>
    </row>
    <row r="3" spans="1:15" x14ac:dyDescent="0.25">
      <c r="A3" t="e">
        <f ca="1">TRANSPOSE(OFFSET(x_s,-1,0,1,COLUMNS(x_s)))</f>
        <v>#VALUE!</v>
      </c>
      <c r="B3">
        <v>0</v>
      </c>
      <c r="C3" s="7" t="s">
        <v>383</v>
      </c>
      <c r="F3" s="7" t="s">
        <v>388</v>
      </c>
      <c r="I3" s="7" t="s">
        <v>401</v>
      </c>
      <c r="L3">
        <f>_xlfn.SEQUENCE(Observations(y,fil))</f>
        <v>1</v>
      </c>
      <c r="M3" t="e">
        <f ca="1">Fitted_Values(x_s,y,Allow_Intercept,fil)</f>
        <v>#NAME?</v>
      </c>
      <c r="N3" t="e">
        <f ca="1">Residuals(x_s,y,Allow_Intercept,fil)</f>
        <v>#NAME?</v>
      </c>
      <c r="O3" t="s">
        <v>416</v>
      </c>
    </row>
    <row r="4" spans="1:15" x14ac:dyDescent="0.25">
      <c r="B4">
        <v>0</v>
      </c>
      <c r="C4" t="s">
        <v>384</v>
      </c>
      <c r="D4">
        <f>Multiple_R(x_s,y,Allow_Intercept,fil)</f>
        <v>0.91363980575441461</v>
      </c>
      <c r="F4" t="s">
        <v>389</v>
      </c>
      <c r="G4" t="e">
        <f ca="1">PRESS(x_s,y,Allow_Intercept,fil)</f>
        <v>#NAME?</v>
      </c>
      <c r="I4" t="s">
        <v>402</v>
      </c>
      <c r="J4" t="e">
        <f ca="1">INDEX(Prediction_Interval(x_s,y,pred_input,Allow_Intercept,fil,0.95),1)</f>
        <v>#NAME?</v>
      </c>
    </row>
    <row r="5" spans="1:15" x14ac:dyDescent="0.25">
      <c r="B5">
        <v>0</v>
      </c>
      <c r="C5" t="s">
        <v>385</v>
      </c>
      <c r="D5">
        <f>R_squared(x_s,y,Allow_Intercept,fil)</f>
        <v>0.83473769465896452</v>
      </c>
      <c r="F5" t="s">
        <v>390</v>
      </c>
      <c r="G5" t="e">
        <f ca="1">1-PRESS(x_s,y,Allow_Intercept,fil)/SS_Total(y,Allow_Intercept,fil)</f>
        <v>#NAME?</v>
      </c>
      <c r="I5" t="s">
        <v>403</v>
      </c>
      <c r="J5" t="e">
        <f ca="1">INDEX(Prediction_Interval(x_s,y,pred_input,Allow_Intercept,fil,0.95),2)</f>
        <v>#NAME?</v>
      </c>
    </row>
    <row r="6" spans="1:15" x14ac:dyDescent="0.25">
      <c r="B6">
        <v>0</v>
      </c>
      <c r="C6" t="s">
        <v>386</v>
      </c>
      <c r="D6">
        <f>Adjusted_R2(x_s,y,Allow_Intercept,fil)</f>
        <v>0.83291271214599605</v>
      </c>
      <c r="F6" t="s">
        <v>391</v>
      </c>
      <c r="G6">
        <f>(DF_Regression(x_s)+IF(Allow_Intercept,1,0))/Observations(y,fil)</f>
        <v>1.1522134627046696E-2</v>
      </c>
      <c r="I6" t="s">
        <v>404</v>
      </c>
      <c r="J6" t="e">
        <f ca="1">INDEX(Prediction_Interval(x_s,y,pred_input,Allow_Intercept,fil,0.95),3)</f>
        <v>#NAME?</v>
      </c>
    </row>
    <row r="7" spans="1:15" x14ac:dyDescent="0.25">
      <c r="B7">
        <v>0</v>
      </c>
      <c r="C7" t="s">
        <v>387</v>
      </c>
      <c r="D7">
        <f>SE_Regression(x_s,y,Allow_Intercept,fil)</f>
        <v>3.5958213627434183</v>
      </c>
      <c r="I7" t="s">
        <v>405</v>
      </c>
      <c r="J7" t="e">
        <f ca="1">INDEX(Prediction_Interval(x_s,y,pred_input,Allow_Intercept,fil,0.95),4)</f>
        <v>#NAME?</v>
      </c>
    </row>
    <row r="8" spans="1:15" x14ac:dyDescent="0.25">
      <c r="B8">
        <v>0</v>
      </c>
      <c r="C8" t="s">
        <v>5</v>
      </c>
      <c r="D8">
        <f>Observations(y,fil)</f>
        <v>1649</v>
      </c>
      <c r="I8" t="s">
        <v>406</v>
      </c>
      <c r="J8" t="e">
        <f ca="1">INDEX(Prediction_Interval(x_s,y,pred_input,Allow_Intercept,fil,0.95),5)</f>
        <v>#NAME?</v>
      </c>
    </row>
    <row r="9" spans="1:15" x14ac:dyDescent="0.25">
      <c r="B9">
        <v>0</v>
      </c>
      <c r="I9" t="s">
        <v>407</v>
      </c>
      <c r="J9" t="e">
        <f ca="1">INDEX(Prediction_Interval(x_s,y,pred_input,Allow_Intercept,fil,0.95),6)</f>
        <v>#NAME?</v>
      </c>
    </row>
    <row r="10" spans="1:15" x14ac:dyDescent="0.25">
      <c r="B10">
        <v>0</v>
      </c>
      <c r="C10" s="7" t="s">
        <v>392</v>
      </c>
    </row>
    <row r="11" spans="1:15" x14ac:dyDescent="0.25">
      <c r="B11">
        <v>0</v>
      </c>
      <c r="C11" s="7"/>
      <c r="D11" s="7" t="s">
        <v>393</v>
      </c>
      <c r="E11" s="7" t="s">
        <v>394</v>
      </c>
      <c r="F11" s="7" t="s">
        <v>395</v>
      </c>
      <c r="G11" s="7" t="s">
        <v>396</v>
      </c>
      <c r="H11" s="7" t="s">
        <v>397</v>
      </c>
    </row>
    <row r="12" spans="1:15" x14ac:dyDescent="0.25">
      <c r="B12">
        <v>0</v>
      </c>
      <c r="C12" t="s">
        <v>398</v>
      </c>
      <c r="D12">
        <f>DF_Regression(x_s)</f>
        <v>18</v>
      </c>
      <c r="E12">
        <f>SS_Regression(x_s,y,Allow_Intercept,fil)</f>
        <v>106453.52326857558</v>
      </c>
      <c r="F12">
        <f>E12/D12</f>
        <v>5914.0846260319768</v>
      </c>
      <c r="G12">
        <f>F12/F13</f>
        <v>457.3949003495888</v>
      </c>
      <c r="H12">
        <f>_xlfn.F.DIST.RT(G12,D12,D13)</f>
        <v>0</v>
      </c>
    </row>
    <row r="13" spans="1:15" x14ac:dyDescent="0.25">
      <c r="B13">
        <v>0</v>
      </c>
      <c r="C13" t="s">
        <v>399</v>
      </c>
      <c r="D13">
        <f>DF_Residual(x_s,y,Allow_Intercept,fil)</f>
        <v>1630</v>
      </c>
      <c r="E13">
        <f>SS_Residual(x_s,y,Allow_Intercept,fil)</f>
        <v>21075.787974601953</v>
      </c>
      <c r="F13">
        <f>E13/D13</f>
        <v>12.929931272761934</v>
      </c>
    </row>
    <row r="14" spans="1:15" x14ac:dyDescent="0.25">
      <c r="B14">
        <v>0</v>
      </c>
      <c r="C14" t="s">
        <v>400</v>
      </c>
      <c r="D14">
        <f>DF_Total(y,Allow_Intercept,fil)</f>
        <v>1648</v>
      </c>
      <c r="E14">
        <f>SS_Total(y,Allow_Intercept,fil)</f>
        <v>127529.31124317752</v>
      </c>
    </row>
    <row r="15" spans="1:15" x14ac:dyDescent="0.25">
      <c r="B15">
        <v>0</v>
      </c>
    </row>
    <row r="16" spans="1:15" x14ac:dyDescent="0.25">
      <c r="B16">
        <v>0</v>
      </c>
    </row>
    <row r="17" spans="2:9" x14ac:dyDescent="0.25">
      <c r="B17">
        <v>0</v>
      </c>
    </row>
    <row r="18" spans="2:9" x14ac:dyDescent="0.25">
      <c r="B18">
        <v>0</v>
      </c>
      <c r="C18" s="7" t="s">
        <v>408</v>
      </c>
    </row>
    <row r="19" spans="2:9" x14ac:dyDescent="0.25">
      <c r="B19">
        <v>0</v>
      </c>
      <c r="C19" s="7"/>
      <c r="D19" s="7" t="s">
        <v>53</v>
      </c>
      <c r="E19" s="7" t="s">
        <v>409</v>
      </c>
      <c r="F19" s="7" t="s">
        <v>410</v>
      </c>
      <c r="G19" s="7" t="s">
        <v>411</v>
      </c>
      <c r="H19" s="7" t="s">
        <v>405</v>
      </c>
      <c r="I19" s="7" t="s">
        <v>406</v>
      </c>
    </row>
    <row r="20" spans="2:9" x14ac:dyDescent="0.25">
      <c r="B20">
        <v>0</v>
      </c>
      <c r="C20" t="s">
        <v>334</v>
      </c>
      <c r="D20">
        <f>IF(Allow_Intercept,Coefficients(x_s,y,Allow_Intercept,fil),_xlfn.VSTACK("",Coefficients(x_s,y,Allow_Intercept,fil)))</f>
        <v>53.281559019872098</v>
      </c>
      <c r="E20" t="e">
        <f ca="1">IF(Allow_Intercept,Standard_Errors(x_s,y,Allow_Intercept,fil),_xlfn.VSTACK("",Standard_Errors(x_s,y,Allow_Intercept,fil)))</f>
        <v>#NAME?</v>
      </c>
      <c r="F20">
        <f>IF(Allow_Intercept,T_Stats(x_s,y,Allow_Intercept,fil),_xlfn.VSTACK("",T_Stats(x_s,y,Allow_Intercept,fil)))</f>
        <v>72.411856057412706</v>
      </c>
      <c r="G20">
        <f>IF(Allow_Intercept,P_Values(x_s,y,Allow_Intercept,fil),_xlfn.VSTACK("",P_Values(x_s,y,Allow_Intercept,fil)))</f>
        <v>0</v>
      </c>
      <c r="H20">
        <f>IF(Allow_Intercept,CI_Lower(x_s,y,Allow_Intercept,fil),_xlfn.VSTACK("",CI_Lower(x_s,y,Allow_Intercept,fil)))</f>
        <v>51.838321074895731</v>
      </c>
      <c r="I20">
        <f>IF(Allow_Intercept,CI_Upper(x_s,y,Allow_Intercept,fil),_xlfn.VSTACK("",CI_Upper(x_s,y,Allow_Intercept,fil)))</f>
        <v>54.724796964848466</v>
      </c>
    </row>
    <row r="21" spans="2:9" x14ac:dyDescent="0.25">
      <c r="C21" t="s">
        <v>77</v>
      </c>
    </row>
    <row r="22" spans="2:9" x14ac:dyDescent="0.25">
      <c r="C22" t="s">
        <v>78</v>
      </c>
    </row>
    <row r="23" spans="2:9" x14ac:dyDescent="0.25">
      <c r="C23" t="s">
        <v>79</v>
      </c>
    </row>
    <row r="24" spans="2:9" x14ac:dyDescent="0.25">
      <c r="C24" t="s">
        <v>80</v>
      </c>
    </row>
    <row r="25" spans="2:9" x14ac:dyDescent="0.25">
      <c r="C25" t="s">
        <v>81</v>
      </c>
    </row>
    <row r="26" spans="2:9" x14ac:dyDescent="0.25">
      <c r="C26" t="s">
        <v>82</v>
      </c>
    </row>
    <row r="27" spans="2:9" x14ac:dyDescent="0.25">
      <c r="C27" t="s">
        <v>83</v>
      </c>
    </row>
    <row r="28" spans="2:9" x14ac:dyDescent="0.25">
      <c r="C28" t="s">
        <v>84</v>
      </c>
    </row>
    <row r="29" spans="2:9" x14ac:dyDescent="0.25">
      <c r="C29" t="s">
        <v>85</v>
      </c>
    </row>
    <row r="30" spans="2:9" x14ac:dyDescent="0.25">
      <c r="C30" t="s">
        <v>86</v>
      </c>
    </row>
    <row r="31" spans="2:9" x14ac:dyDescent="0.25">
      <c r="C31" t="s">
        <v>87</v>
      </c>
    </row>
    <row r="32" spans="2:9" x14ac:dyDescent="0.25">
      <c r="C32" t="s">
        <v>88</v>
      </c>
    </row>
    <row r="33" spans="3:3" x14ac:dyDescent="0.25">
      <c r="C33" t="s">
        <v>89</v>
      </c>
    </row>
    <row r="34" spans="3:3" x14ac:dyDescent="0.25">
      <c r="C34" t="s">
        <v>90</v>
      </c>
    </row>
    <row r="35" spans="3:3" x14ac:dyDescent="0.25">
      <c r="C35" t="s">
        <v>91</v>
      </c>
    </row>
    <row r="36" spans="3:3" x14ac:dyDescent="0.25">
      <c r="C36" t="s">
        <v>92</v>
      </c>
    </row>
    <row r="37" spans="3:3" x14ac:dyDescent="0.25">
      <c r="C37" t="s">
        <v>93</v>
      </c>
    </row>
    <row r="38" spans="3:3" x14ac:dyDescent="0.25">
      <c r="C38" t="s">
        <v>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9F8E9-6BEB-4B0C-A0C2-E87D00C483B7}">
  <dimension ref="A1:Z2940"/>
  <sheetViews>
    <sheetView workbookViewId="0">
      <selection activeCell="L3" sqref="L3"/>
    </sheetView>
  </sheetViews>
  <sheetFormatPr defaultRowHeight="15" x14ac:dyDescent="0.25"/>
  <sheetData>
    <row r="1" spans="1:26" s="2" customFormat="1" ht="60" x14ac:dyDescent="0.25">
      <c r="A1" s="2" t="s">
        <v>294</v>
      </c>
      <c r="B1" s="2" t="s">
        <v>417</v>
      </c>
      <c r="C1" s="2" t="s">
        <v>419</v>
      </c>
      <c r="D1" s="2" t="s">
        <v>421</v>
      </c>
      <c r="E1" s="2" t="s">
        <v>423</v>
      </c>
      <c r="F1" s="2" t="s">
        <v>425</v>
      </c>
      <c r="G1" s="2" t="s">
        <v>427</v>
      </c>
      <c r="H1" s="2" t="s">
        <v>429</v>
      </c>
      <c r="I1" s="2" t="s">
        <v>431</v>
      </c>
      <c r="K1" s="2" t="s">
        <v>344</v>
      </c>
      <c r="L1" s="2" t="s">
        <v>348</v>
      </c>
      <c r="M1" s="2" t="s">
        <v>352</v>
      </c>
      <c r="N1" s="2" t="s">
        <v>356</v>
      </c>
      <c r="O1" s="2" t="s">
        <v>365</v>
      </c>
      <c r="P1" s="2" t="s">
        <v>369</v>
      </c>
      <c r="Q1" s="2" t="s">
        <v>373</v>
      </c>
      <c r="R1" s="2" t="s">
        <v>377</v>
      </c>
      <c r="S1" s="2" t="s">
        <v>418</v>
      </c>
      <c r="T1" s="2" t="s">
        <v>420</v>
      </c>
      <c r="U1" s="2" t="s">
        <v>422</v>
      </c>
      <c r="V1" s="2" t="s">
        <v>424</v>
      </c>
      <c r="W1" s="2" t="s">
        <v>426</v>
      </c>
      <c r="X1" s="2" t="s">
        <v>428</v>
      </c>
      <c r="Y1" s="2" t="s">
        <v>430</v>
      </c>
      <c r="Z1" s="2" t="s">
        <v>432</v>
      </c>
    </row>
    <row r="2" spans="1:26" x14ac:dyDescent="0.25">
      <c r="A2" t="s">
        <v>433</v>
      </c>
    </row>
    <row r="3" spans="1:26" x14ac:dyDescent="0.25">
      <c r="B3" t="e" cm="1">
        <f t="array" aca="1" ref="B3" ca="1">AND(ROUND(S3:S1651,0)=ROUND(_xlfn.ANCHORARRAY(K3),0))</f>
        <v>#NAME?</v>
      </c>
      <c r="C3" t="e" cm="1">
        <f t="array" ref="C3">AND(ROUND(T3:T1651,8)=ROUND(_xlfn.ANCHORARRAY(L3),8))</f>
        <v>#N/A</v>
      </c>
      <c r="D3" t="e" cm="1">
        <f t="array" aca="1" ref="D3" ca="1">AND(ROUND(U3:U1651,6)=ROUND(_xlfn.ANCHORARRAY(M3),6))</f>
        <v>#NAME?</v>
      </c>
      <c r="E3" t="e" cm="1">
        <f t="array" aca="1" ref="E3" ca="1">AND(ROUND(V3:V1651,6)=ROUND(_xlfn.ANCHORARRAY(N3),6))</f>
        <v>#NAME?</v>
      </c>
      <c r="F3" t="e" cm="1">
        <f t="array" aca="1" ref="F3" ca="1">AND(ROUND(W3:W1651,6)=ROUND(_xlfn.ANCHORARRAY(O3),6))</f>
        <v>#NAME?</v>
      </c>
      <c r="G3" t="e" cm="1">
        <f t="array" aca="1" ref="G3" ca="1">AND(ROUND(X3:X1651,6)=ROUND(_xlfn.ANCHORARRAY(P3),6))</f>
        <v>#NAME?</v>
      </c>
      <c r="K3" s="3" t="e" cm="1">
        <f t="array" aca="1" ref="K3" ca="1">Observation_Num(y,fil)</f>
        <v>#NAME?</v>
      </c>
      <c r="L3" s="8" cm="1">
        <f t="array" ref="L3:L2940">PERCENTILE(y,fil)</f>
        <v>89</v>
      </c>
      <c r="M3" s="4" t="e" cm="1">
        <f t="array" aca="1" ref="M3" ca="1">Y_Ranked(y,fil)</f>
        <v>#NAME?</v>
      </c>
      <c r="N3" s="4" t="e" cm="1">
        <f t="array" aca="1" ref="N3" ca="1">Normal_Scores(y,fil)</f>
        <v>#NAME?</v>
      </c>
      <c r="O3" s="4" t="e" cm="1">
        <f t="array" aca="1" ref="O3" ca="1">_xlfn.LET(_xlpm.x_s,OFFSET(y,0,1,ROWS(y),1),Predictions(_xlpm.x_s,y,TRUE,fil))</f>
        <v>#NAME?</v>
      </c>
      <c r="P3" s="4" t="e" cm="1">
        <f t="array" aca="1" ref="P3" ca="1">_xlfn.LET(_xlpm.x_s,OFFSET(y,0,1,ROWS(y),1),Residuals(_xlpm.x_s,y,TRUE,fil))</f>
        <v>#NAME?</v>
      </c>
      <c r="Q3" t="e" cm="1">
        <f t="array" aca="1" ref="Q3" ca="1">_xlfn.LET(_xlpm.x_s,OFFSET(y,0,1,ROWS(y),1),Scaled_Residuals(_xlpm.x_s,y,TRUE,fil))</f>
        <v>#NAME?</v>
      </c>
      <c r="S3" s="3">
        <v>1</v>
      </c>
      <c r="T3" s="8">
        <v>3.0321406913280777E-4</v>
      </c>
      <c r="U3" s="4">
        <v>44</v>
      </c>
      <c r="V3" s="4">
        <v>-3.4287229888501014</v>
      </c>
      <c r="W3" s="4">
        <v>64.627772433049572</v>
      </c>
      <c r="X3" s="4">
        <v>0.37222756695042847</v>
      </c>
      <c r="Y3" s="4">
        <v>5.9439777251008151E-2</v>
      </c>
    </row>
    <row r="4" spans="1:26" x14ac:dyDescent="0.25">
      <c r="K4" s="3"/>
      <c r="L4" s="8">
        <v>89</v>
      </c>
      <c r="M4" s="4"/>
      <c r="N4" s="4"/>
      <c r="O4" s="4"/>
      <c r="P4" s="4"/>
      <c r="S4" s="3">
        <v>2</v>
      </c>
      <c r="T4" s="8">
        <v>9.0964220739842331E-4</v>
      </c>
      <c r="U4" s="4">
        <v>44.3</v>
      </c>
      <c r="V4" s="4">
        <v>-3.118249953252767</v>
      </c>
      <c r="W4" s="4">
        <v>64.23323355868483</v>
      </c>
      <c r="X4" s="4">
        <v>-4.3332335586848316</v>
      </c>
      <c r="Y4" s="4">
        <v>-0.69195959776703275</v>
      </c>
    </row>
    <row r="5" spans="1:26" x14ac:dyDescent="0.25">
      <c r="K5" s="3"/>
      <c r="L5" s="8">
        <v>89</v>
      </c>
      <c r="M5" s="4"/>
      <c r="N5" s="4"/>
      <c r="O5" s="4"/>
      <c r="P5" s="4"/>
      <c r="S5" s="3">
        <v>3</v>
      </c>
      <c r="T5" s="8">
        <v>1.5160703456640388E-3</v>
      </c>
      <c r="U5" s="4">
        <v>44.5</v>
      </c>
      <c r="V5" s="4">
        <v>-2.9644605992605717</v>
      </c>
      <c r="W5" s="4">
        <v>64.381185636571615</v>
      </c>
      <c r="X5" s="4">
        <v>-4.4811856365716167</v>
      </c>
      <c r="Y5" s="4">
        <v>-0.71558557105392118</v>
      </c>
    </row>
    <row r="6" spans="1:26" x14ac:dyDescent="0.25">
      <c r="K6" s="3"/>
      <c r="L6" s="8">
        <v>89</v>
      </c>
      <c r="M6" s="4"/>
      <c r="N6" s="4"/>
      <c r="O6" s="4"/>
      <c r="P6" s="4"/>
      <c r="S6" s="3">
        <v>4</v>
      </c>
      <c r="T6" s="8">
        <v>2.1224984839296542E-3</v>
      </c>
      <c r="U6" s="4">
        <v>44.5</v>
      </c>
      <c r="V6" s="4">
        <v>-2.8593577939488091</v>
      </c>
      <c r="W6" s="4">
        <v>64.183916199389245</v>
      </c>
      <c r="X6" s="4">
        <v>-4.6839161993892446</v>
      </c>
      <c r="Y6" s="4">
        <v>-0.74795893768707045</v>
      </c>
    </row>
    <row r="7" spans="1:26" x14ac:dyDescent="0.25">
      <c r="K7" s="3"/>
      <c r="L7" s="8">
        <v>89</v>
      </c>
      <c r="M7" s="4"/>
      <c r="N7" s="4"/>
      <c r="O7" s="4"/>
      <c r="P7" s="4"/>
      <c r="S7" s="3">
        <v>5</v>
      </c>
      <c r="T7" s="8">
        <v>2.7289266221952697E-3</v>
      </c>
      <c r="U7" s="4">
        <v>44.6</v>
      </c>
      <c r="V7" s="4">
        <v>-2.7786903070508315</v>
      </c>
      <c r="W7" s="4">
        <v>64.03596412150246</v>
      </c>
      <c r="X7" s="4">
        <v>-4.8359641215024567</v>
      </c>
      <c r="Y7" s="4">
        <v>-0.77223896266193093</v>
      </c>
    </row>
    <row r="8" spans="1:26" x14ac:dyDescent="0.25">
      <c r="K8" s="3"/>
      <c r="L8" s="8">
        <v>89</v>
      </c>
      <c r="M8" s="4"/>
      <c r="N8" s="4"/>
      <c r="O8" s="4"/>
      <c r="P8" s="4"/>
      <c r="S8" s="3">
        <v>6</v>
      </c>
      <c r="T8" s="8">
        <v>3.3353547604608852E-3</v>
      </c>
      <c r="U8" s="4">
        <v>44.6</v>
      </c>
      <c r="V8" s="4">
        <v>-2.7128509909300056</v>
      </c>
      <c r="W8" s="4">
        <v>63.838694684320089</v>
      </c>
      <c r="X8" s="4">
        <v>-5.0386946843200917</v>
      </c>
      <c r="Y8" s="4">
        <v>-0.80461232929508131</v>
      </c>
    </row>
    <row r="9" spans="1:26" x14ac:dyDescent="0.25">
      <c r="K9" s="3"/>
      <c r="L9" s="8">
        <v>89</v>
      </c>
      <c r="M9" s="4"/>
      <c r="N9" s="4"/>
      <c r="O9" s="4"/>
      <c r="P9" s="4"/>
      <c r="S9" s="3">
        <v>7</v>
      </c>
      <c r="T9" s="8">
        <v>3.9417828987265008E-3</v>
      </c>
      <c r="U9" s="4">
        <v>44.8</v>
      </c>
      <c r="V9" s="4">
        <v>-2.6570161854420777</v>
      </c>
      <c r="W9" s="4">
        <v>63.740059965728904</v>
      </c>
      <c r="X9" s="4">
        <v>-5.1400599657289021</v>
      </c>
      <c r="Y9" s="4">
        <v>-0.82079901261165533</v>
      </c>
    </row>
    <row r="10" spans="1:26" x14ac:dyDescent="0.25">
      <c r="K10" s="3"/>
      <c r="L10" s="8">
        <v>89</v>
      </c>
      <c r="M10" s="4"/>
      <c r="N10" s="4"/>
      <c r="O10" s="4"/>
      <c r="P10" s="4"/>
      <c r="S10" s="3">
        <v>8</v>
      </c>
      <c r="T10" s="8">
        <v>4.5482110369921168E-3</v>
      </c>
      <c r="U10" s="4">
        <v>44.8</v>
      </c>
      <c r="V10" s="4">
        <v>-2.6084089008518823</v>
      </c>
      <c r="W10" s="4">
        <v>63.444155809955348</v>
      </c>
      <c r="X10" s="4">
        <v>-5.3441558099553461</v>
      </c>
      <c r="Y10" s="4">
        <v>-0.85339039647412973</v>
      </c>
    </row>
    <row r="11" spans="1:26" x14ac:dyDescent="0.25">
      <c r="K11" s="3"/>
      <c r="L11" s="8">
        <v>89</v>
      </c>
      <c r="M11" s="4"/>
      <c r="N11" s="4"/>
      <c r="O11" s="4"/>
      <c r="P11" s="4"/>
      <c r="S11" s="3">
        <v>9</v>
      </c>
      <c r="T11" s="8">
        <v>5.1546391752577319E-3</v>
      </c>
      <c r="U11" s="4">
        <v>45.1</v>
      </c>
      <c r="V11" s="4">
        <v>-2.5652792972685243</v>
      </c>
      <c r="W11" s="4">
        <v>63.049616935590606</v>
      </c>
      <c r="X11" s="4">
        <v>-5.5496169355906062</v>
      </c>
      <c r="Y11" s="4">
        <v>-0.88619979756592915</v>
      </c>
    </row>
    <row r="12" spans="1:26" x14ac:dyDescent="0.25">
      <c r="K12" s="3"/>
      <c r="L12" s="8">
        <v>89</v>
      </c>
      <c r="M12" s="4"/>
      <c r="N12" s="4"/>
      <c r="O12" s="4"/>
      <c r="P12" s="4"/>
      <c r="S12" s="3">
        <v>10</v>
      </c>
      <c r="T12" s="8">
        <v>5.7610673135233478E-3</v>
      </c>
      <c r="U12" s="4">
        <v>45.3</v>
      </c>
      <c r="V12" s="4">
        <v>-2.5264513477970261</v>
      </c>
      <c r="W12" s="4">
        <v>63.049616935590606</v>
      </c>
      <c r="X12" s="4">
        <v>-5.749616935590609</v>
      </c>
      <c r="Y12" s="4">
        <v>-0.91813712974042927</v>
      </c>
    </row>
    <row r="13" spans="1:26" x14ac:dyDescent="0.25">
      <c r="K13" s="3"/>
      <c r="L13" s="8">
        <v>89</v>
      </c>
      <c r="M13" s="4"/>
      <c r="N13" s="4"/>
      <c r="O13" s="4"/>
      <c r="P13" s="4"/>
      <c r="S13" s="3">
        <v>11</v>
      </c>
      <c r="T13" s="8">
        <v>6.3674954517889629E-3</v>
      </c>
      <c r="U13" s="4">
        <v>45.3</v>
      </c>
      <c r="V13" s="4">
        <v>-2.4910954312637572</v>
      </c>
      <c r="W13" s="4">
        <v>63.246886372772977</v>
      </c>
      <c r="X13" s="4">
        <v>-5.9468863727729797</v>
      </c>
      <c r="Y13" s="4">
        <v>-0.94963842745627902</v>
      </c>
    </row>
    <row r="14" spans="1:26" x14ac:dyDescent="0.25">
      <c r="K14" s="3"/>
      <c r="L14" s="8">
        <v>89</v>
      </c>
      <c r="M14" s="4"/>
      <c r="N14" s="4"/>
      <c r="O14" s="4"/>
      <c r="P14" s="4"/>
      <c r="S14" s="3">
        <v>12</v>
      </c>
      <c r="T14" s="8">
        <v>6.9739235900545789E-3</v>
      </c>
      <c r="U14" s="4">
        <v>45.3</v>
      </c>
      <c r="V14" s="4">
        <v>-2.4586037427301952</v>
      </c>
      <c r="W14" s="4">
        <v>63.148251654181792</v>
      </c>
      <c r="X14" s="4">
        <v>-6.1482516541817915</v>
      </c>
      <c r="Y14" s="4">
        <v>-0.98179377686010316</v>
      </c>
    </row>
    <row r="15" spans="1:26" x14ac:dyDescent="0.25">
      <c r="K15" s="3"/>
      <c r="L15" s="8">
        <v>89</v>
      </c>
      <c r="M15" s="4"/>
      <c r="N15" s="4"/>
      <c r="O15" s="4"/>
      <c r="P15" s="4"/>
      <c r="S15" s="3">
        <v>13</v>
      </c>
      <c r="T15" s="8">
        <v>7.580351728320194E-3</v>
      </c>
      <c r="U15" s="4">
        <v>45.4</v>
      </c>
      <c r="V15" s="4">
        <v>-2.4285172603656537</v>
      </c>
      <c r="W15" s="4">
        <v>63.049616935590606</v>
      </c>
      <c r="X15" s="4">
        <v>-6.3496169355906034</v>
      </c>
      <c r="Y15" s="4">
        <v>-1.0139491262639273</v>
      </c>
    </row>
    <row r="16" spans="1:26" x14ac:dyDescent="0.25">
      <c r="K16" s="3"/>
      <c r="L16" s="8">
        <v>89</v>
      </c>
      <c r="M16" s="4"/>
      <c r="N16" s="4"/>
      <c r="O16" s="4"/>
      <c r="P16" s="4"/>
      <c r="S16" s="3">
        <v>14</v>
      </c>
      <c r="T16" s="8">
        <v>8.18677986658581E-3</v>
      </c>
      <c r="U16" s="4">
        <v>45.5</v>
      </c>
      <c r="V16" s="4">
        <v>-2.4004805754973497</v>
      </c>
      <c r="W16" s="4">
        <v>77.450285849903679</v>
      </c>
      <c r="X16" s="4">
        <v>-21.250285849903676</v>
      </c>
      <c r="Y16" s="4">
        <v>-3.3933871899572132</v>
      </c>
    </row>
    <row r="17" spans="11:25" x14ac:dyDescent="0.25">
      <c r="K17" s="3"/>
      <c r="L17" s="8">
        <v>89</v>
      </c>
      <c r="M17" s="4"/>
      <c r="N17" s="4"/>
      <c r="O17" s="4"/>
      <c r="P17" s="4"/>
      <c r="S17" s="3">
        <v>15</v>
      </c>
      <c r="T17" s="8">
        <v>8.7932080048514251E-3</v>
      </c>
      <c r="U17" s="4">
        <v>45.6</v>
      </c>
      <c r="V17" s="4">
        <v>-2.3742127090260081</v>
      </c>
      <c r="W17" s="4">
        <v>62.013952390383153</v>
      </c>
      <c r="X17" s="4">
        <v>-6.7139523903831559</v>
      </c>
      <c r="Y17" s="4">
        <v>-1.0721286384772128</v>
      </c>
    </row>
    <row r="18" spans="11:25" x14ac:dyDescent="0.25">
      <c r="K18" s="3"/>
      <c r="L18" s="8">
        <v>89</v>
      </c>
      <c r="M18" s="4"/>
      <c r="N18" s="4"/>
      <c r="O18" s="4"/>
      <c r="P18" s="4"/>
      <c r="S18" s="3">
        <v>16</v>
      </c>
      <c r="T18" s="8">
        <v>9.3996361431170402E-3</v>
      </c>
      <c r="U18" s="4">
        <v>45.9</v>
      </c>
      <c r="V18" s="4">
        <v>-2.3494875599978426</v>
      </c>
      <c r="W18" s="4">
        <v>61.767365593905197</v>
      </c>
      <c r="X18" s="4">
        <v>-6.9673655939051997</v>
      </c>
      <c r="Y18" s="4">
        <v>-1.1125953467686509</v>
      </c>
    </row>
    <row r="19" spans="11:25" x14ac:dyDescent="0.25">
      <c r="K19" s="3"/>
      <c r="L19" s="8">
        <v>89</v>
      </c>
      <c r="M19" s="4"/>
      <c r="N19" s="4"/>
      <c r="O19" s="4"/>
      <c r="P19" s="4"/>
      <c r="S19" s="3">
        <v>17</v>
      </c>
      <c r="T19" s="8">
        <v>1.0006064281382655E-2</v>
      </c>
      <c r="U19" s="4">
        <v>46</v>
      </c>
      <c r="V19" s="4">
        <v>-2.3261203997549518</v>
      </c>
      <c r="W19" s="4">
        <v>73.948753339916607</v>
      </c>
      <c r="X19" s="4">
        <v>3.8512466600833903</v>
      </c>
      <c r="Y19" s="4">
        <v>0.61499271934507727</v>
      </c>
    </row>
    <row r="20" spans="11:25" x14ac:dyDescent="0.25">
      <c r="K20" s="3"/>
      <c r="L20" s="8">
        <v>89</v>
      </c>
      <c r="M20" s="4"/>
      <c r="N20" s="4"/>
      <c r="O20" s="4"/>
      <c r="P20" s="4"/>
      <c r="S20" s="3">
        <v>18</v>
      </c>
      <c r="T20" s="8">
        <v>1.0612492419648272E-2</v>
      </c>
      <c r="U20" s="4">
        <v>46</v>
      </c>
      <c r="V20" s="4">
        <v>-2.3039582943245951</v>
      </c>
      <c r="W20" s="4">
        <v>77.203699053425723</v>
      </c>
      <c r="X20" s="4">
        <v>0.29630094657427719</v>
      </c>
      <c r="Y20" s="4">
        <v>4.7315308771806779E-2</v>
      </c>
    </row>
    <row r="21" spans="11:25" x14ac:dyDescent="0.25">
      <c r="K21" s="3"/>
      <c r="L21" s="8">
        <v>89</v>
      </c>
      <c r="M21" s="4"/>
      <c r="N21" s="4"/>
      <c r="O21" s="4"/>
      <c r="P21" s="4"/>
      <c r="S21" s="3">
        <v>19</v>
      </c>
      <c r="T21" s="8">
        <v>1.1218920557913887E-2</v>
      </c>
      <c r="U21" s="4">
        <v>46</v>
      </c>
      <c r="V21" s="4">
        <v>-2.2828731564000058</v>
      </c>
      <c r="W21" s="4">
        <v>73.45557974696068</v>
      </c>
      <c r="X21" s="4">
        <v>3.7444202530393227</v>
      </c>
      <c r="Y21" s="4">
        <v>0.59793396711120383</v>
      </c>
    </row>
    <row r="22" spans="11:25" x14ac:dyDescent="0.25">
      <c r="K22" s="3"/>
      <c r="L22" s="8">
        <v>89</v>
      </c>
      <c r="M22" s="4"/>
      <c r="N22" s="4"/>
      <c r="O22" s="4"/>
      <c r="P22" s="4"/>
      <c r="S22" s="3">
        <v>20</v>
      </c>
      <c r="T22" s="8">
        <v>1.1825348696179502E-2</v>
      </c>
      <c r="U22" s="4">
        <v>46</v>
      </c>
      <c r="V22" s="4">
        <v>-2.2627566037307933</v>
      </c>
      <c r="W22" s="4">
        <v>73.356945028369495</v>
      </c>
      <c r="X22" s="4">
        <v>3.5430549716305109</v>
      </c>
      <c r="Y22" s="4">
        <v>0.56577861770737969</v>
      </c>
    </row>
    <row r="23" spans="11:25" x14ac:dyDescent="0.25">
      <c r="K23" s="3"/>
      <c r="L23" s="8">
        <v>89</v>
      </c>
      <c r="M23" s="4"/>
      <c r="N23" s="4"/>
      <c r="O23" s="4"/>
      <c r="P23" s="4"/>
      <c r="S23" s="3">
        <v>21</v>
      </c>
      <c r="T23" s="8">
        <v>1.2431776834445117E-2</v>
      </c>
      <c r="U23" s="4">
        <v>46.2</v>
      </c>
      <c r="V23" s="4">
        <v>-2.2435160869312201</v>
      </c>
      <c r="W23" s="4">
        <v>73.258310309778295</v>
      </c>
      <c r="X23" s="4">
        <v>3.341689690221699</v>
      </c>
      <c r="Y23" s="4">
        <v>0.53362326830355566</v>
      </c>
    </row>
    <row r="24" spans="11:25" x14ac:dyDescent="0.25">
      <c r="K24" s="3"/>
      <c r="L24" s="8">
        <v>89</v>
      </c>
      <c r="M24" s="4"/>
      <c r="N24" s="4"/>
      <c r="O24" s="4"/>
      <c r="P24" s="4"/>
      <c r="S24" s="3">
        <v>22</v>
      </c>
      <c r="T24" s="8">
        <v>1.3038204972710734E-2</v>
      </c>
      <c r="U24" s="4">
        <v>46.2</v>
      </c>
      <c r="V24" s="4">
        <v>-2.2250719274478676</v>
      </c>
      <c r="W24" s="4">
        <v>73.110358231891524</v>
      </c>
      <c r="X24" s="4">
        <v>3.0896417681084785</v>
      </c>
      <c r="Y24" s="4">
        <v>0.49337457724144396</v>
      </c>
    </row>
    <row r="25" spans="11:25" x14ac:dyDescent="0.25">
      <c r="K25" s="3"/>
      <c r="L25" s="8">
        <v>89</v>
      </c>
      <c r="M25" s="4"/>
      <c r="N25" s="4"/>
      <c r="O25" s="4"/>
      <c r="P25" s="4"/>
      <c r="S25" s="3">
        <v>23</v>
      </c>
      <c r="T25" s="8">
        <v>1.3644633110976349E-2</v>
      </c>
      <c r="U25" s="4">
        <v>46.4</v>
      </c>
      <c r="V25" s="4">
        <v>-2.2073550198913567</v>
      </c>
      <c r="W25" s="4">
        <v>73.110358231891524</v>
      </c>
      <c r="X25" s="4">
        <v>2.9896417681084699</v>
      </c>
      <c r="Y25" s="4">
        <v>0.47740591115419279</v>
      </c>
    </row>
    <row r="26" spans="11:25" x14ac:dyDescent="0.25">
      <c r="K26" s="3"/>
      <c r="L26" s="8">
        <v>89</v>
      </c>
      <c r="M26" s="4"/>
      <c r="N26" s="4"/>
      <c r="O26" s="4"/>
      <c r="P26" s="4"/>
      <c r="S26" s="3">
        <v>24</v>
      </c>
      <c r="T26" s="8">
        <v>1.4251061249241965E-2</v>
      </c>
      <c r="U26" s="4">
        <v>46.4</v>
      </c>
      <c r="V26" s="4">
        <v>-2.1903050271673261</v>
      </c>
      <c r="W26" s="4">
        <v>77.548920568494864</v>
      </c>
      <c r="X26" s="4">
        <v>-2.2489205684948672</v>
      </c>
      <c r="Y26" s="4">
        <v>-0.35912261615042546</v>
      </c>
    </row>
    <row r="27" spans="11:25" x14ac:dyDescent="0.25">
      <c r="K27" s="3"/>
      <c r="L27" s="8">
        <v>89</v>
      </c>
      <c r="M27" s="4"/>
      <c r="N27" s="4"/>
      <c r="O27" s="4"/>
      <c r="P27" s="4"/>
      <c r="S27" s="3">
        <v>25</v>
      </c>
      <c r="T27" s="8">
        <v>1.485748938750758E-2</v>
      </c>
      <c r="U27" s="4">
        <v>46.6</v>
      </c>
      <c r="V27" s="4">
        <v>-2.1738689464820578</v>
      </c>
      <c r="W27" s="4">
        <v>77.154381694130123</v>
      </c>
      <c r="X27" s="4">
        <v>-1.2543816941301174</v>
      </c>
      <c r="Y27" s="4">
        <v>-0.20030802419522567</v>
      </c>
    </row>
    <row r="28" spans="11:25" x14ac:dyDescent="0.25">
      <c r="K28" s="3"/>
      <c r="L28" s="8">
        <v>89</v>
      </c>
      <c r="M28" s="4"/>
      <c r="N28" s="4"/>
      <c r="O28" s="4"/>
      <c r="P28" s="4"/>
      <c r="S28" s="3">
        <v>26</v>
      </c>
      <c r="T28" s="8">
        <v>1.5463917525773196E-2</v>
      </c>
      <c r="U28" s="4">
        <v>46.7</v>
      </c>
      <c r="V28" s="4">
        <v>-2.1579999581558846</v>
      </c>
      <c r="W28" s="4">
        <v>72.715819357526783</v>
      </c>
      <c r="X28" s="4">
        <v>1.4841806424732198</v>
      </c>
      <c r="Y28" s="4">
        <v>0.23700385092814738</v>
      </c>
    </row>
    <row r="29" spans="11:25" x14ac:dyDescent="0.25">
      <c r="K29" s="3"/>
      <c r="L29" s="8">
        <v>89</v>
      </c>
      <c r="M29" s="4"/>
      <c r="N29" s="4"/>
      <c r="O29" s="4"/>
      <c r="P29" s="4"/>
      <c r="S29" s="3">
        <v>27</v>
      </c>
      <c r="T29" s="8">
        <v>1.607034566403881E-2</v>
      </c>
      <c r="U29" s="4">
        <v>47.1</v>
      </c>
      <c r="V29" s="4">
        <v>-2.1426564926871321</v>
      </c>
      <c r="W29" s="4">
        <v>76.858477538356567</v>
      </c>
      <c r="X29" s="4">
        <v>-3.358477538356567</v>
      </c>
      <c r="Y29" s="4">
        <v>-0.53630406371544737</v>
      </c>
    </row>
    <row r="30" spans="11:25" x14ac:dyDescent="0.25">
      <c r="K30" s="3"/>
      <c r="L30" s="8">
        <v>89</v>
      </c>
      <c r="M30" s="4"/>
      <c r="N30" s="4"/>
      <c r="O30" s="4"/>
      <c r="P30" s="4"/>
      <c r="S30" s="3">
        <v>28</v>
      </c>
      <c r="T30" s="8">
        <v>1.6676773802304427E-2</v>
      </c>
      <c r="U30" s="4">
        <v>47.1</v>
      </c>
      <c r="V30" s="4">
        <v>-2.1278014681013553</v>
      </c>
      <c r="W30" s="4">
        <v>76.759842819765382</v>
      </c>
      <c r="X30" s="4">
        <v>-3.7598428197653817</v>
      </c>
      <c r="Y30" s="4">
        <v>-0.60039674529377141</v>
      </c>
    </row>
    <row r="31" spans="11:25" x14ac:dyDescent="0.25">
      <c r="K31" s="3"/>
      <c r="L31" s="8">
        <v>89</v>
      </c>
      <c r="M31" s="4"/>
      <c r="N31" s="4"/>
      <c r="O31" s="4"/>
      <c r="P31" s="4"/>
      <c r="S31" s="3">
        <v>29</v>
      </c>
      <c r="T31" s="8">
        <v>1.7283201940570043E-2</v>
      </c>
      <c r="U31" s="4">
        <v>47.1</v>
      </c>
      <c r="V31" s="4">
        <v>-2.1134016615055318</v>
      </c>
      <c r="W31" s="4">
        <v>76.710525460469796</v>
      </c>
      <c r="X31" s="4">
        <v>-3.910525460469799</v>
      </c>
      <c r="Y31" s="4">
        <v>-0.6244587530393102</v>
      </c>
    </row>
    <row r="32" spans="11:25" x14ac:dyDescent="0.25">
      <c r="K32" s="3"/>
      <c r="L32" s="8">
        <v>89</v>
      </c>
      <c r="M32" s="4"/>
      <c r="N32" s="4"/>
      <c r="O32" s="4"/>
      <c r="P32" s="4"/>
      <c r="S32" s="3">
        <v>30</v>
      </c>
      <c r="T32" s="8">
        <v>1.7889630078835657E-2</v>
      </c>
      <c r="U32" s="4">
        <v>47.8</v>
      </c>
      <c r="V32" s="4">
        <v>-2.0994271873972417</v>
      </c>
      <c r="W32" s="4">
        <v>76.858477538356567</v>
      </c>
      <c r="X32" s="4">
        <v>-3.5584775383565699</v>
      </c>
      <c r="Y32" s="4">
        <v>-0.56824139588994738</v>
      </c>
    </row>
    <row r="33" spans="11:25" x14ac:dyDescent="0.25">
      <c r="K33" s="3"/>
      <c r="L33" s="8">
        <v>89</v>
      </c>
      <c r="M33" s="4"/>
      <c r="N33" s="4"/>
      <c r="O33" s="4"/>
      <c r="P33" s="4"/>
      <c r="S33" s="3">
        <v>31</v>
      </c>
      <c r="T33" s="8">
        <v>1.8496058217101274E-2</v>
      </c>
      <c r="U33" s="4">
        <v>47.8</v>
      </c>
      <c r="V33" s="4">
        <v>-2.085851061624818</v>
      </c>
      <c r="W33" s="4">
        <v>76.907794897652167</v>
      </c>
      <c r="X33" s="4">
        <v>-3.3077948976521725</v>
      </c>
      <c r="Y33" s="4">
        <v>-0.52821072205716202</v>
      </c>
    </row>
    <row r="34" spans="11:25" x14ac:dyDescent="0.25">
      <c r="K34" s="3"/>
      <c r="L34" s="8">
        <v>89</v>
      </c>
      <c r="M34" s="4"/>
      <c r="N34" s="4"/>
      <c r="O34" s="4"/>
      <c r="P34" s="4"/>
      <c r="S34" s="3">
        <v>32</v>
      </c>
      <c r="T34" s="8">
        <v>1.9102486355366891E-2</v>
      </c>
      <c r="U34" s="4">
        <v>47.8</v>
      </c>
      <c r="V34" s="4">
        <v>-2.0726488346152605</v>
      </c>
      <c r="W34" s="4">
        <v>77.055746975538938</v>
      </c>
      <c r="X34" s="4">
        <v>-4.4557469755389434</v>
      </c>
      <c r="Y34" s="4">
        <v>-0.71152335621654628</v>
      </c>
    </row>
    <row r="35" spans="11:25" x14ac:dyDescent="0.25">
      <c r="K35" s="3"/>
      <c r="L35" s="8">
        <v>36.299999999999997</v>
      </c>
      <c r="M35" s="4"/>
      <c r="N35" s="4"/>
      <c r="O35" s="4"/>
      <c r="P35" s="4"/>
      <c r="S35" s="3">
        <v>33</v>
      </c>
      <c r="T35" s="8">
        <v>1.9708914493632504E-2</v>
      </c>
      <c r="U35" s="4">
        <v>48.1</v>
      </c>
      <c r="V35" s="4">
        <v>-2.0597982810364517</v>
      </c>
      <c r="W35" s="4">
        <v>77.055746975538938</v>
      </c>
      <c r="X35" s="4">
        <v>-1.655746975538932</v>
      </c>
      <c r="Y35" s="4">
        <v>-0.26440070577354985</v>
      </c>
    </row>
    <row r="36" spans="11:25" x14ac:dyDescent="0.25">
      <c r="K36" s="3"/>
      <c r="L36" s="8">
        <v>89</v>
      </c>
      <c r="M36" s="4"/>
      <c r="N36" s="4"/>
      <c r="O36" s="4"/>
      <c r="P36" s="4"/>
      <c r="S36" s="3">
        <v>34</v>
      </c>
      <c r="T36" s="8">
        <v>2.0315342631898121E-2</v>
      </c>
      <c r="U36" s="4">
        <v>48.1</v>
      </c>
      <c r="V36" s="4">
        <v>-2.0472791357561895</v>
      </c>
      <c r="W36" s="4">
        <v>72.074693686684071</v>
      </c>
      <c r="X36" s="4">
        <v>3.2253063133159259</v>
      </c>
      <c r="Y36" s="4">
        <v>0.51503839546440733</v>
      </c>
    </row>
    <row r="37" spans="11:25" x14ac:dyDescent="0.25">
      <c r="K37" s="3"/>
      <c r="L37" s="8">
        <v>89</v>
      </c>
      <c r="M37" s="4"/>
      <c r="N37" s="4"/>
      <c r="O37" s="4"/>
      <c r="P37" s="4"/>
      <c r="S37" s="3">
        <v>35</v>
      </c>
      <c r="T37" s="8">
        <v>2.0921770770163734E-2</v>
      </c>
      <c r="U37" s="4">
        <v>48.1</v>
      </c>
      <c r="V37" s="4">
        <v>-2.0350728680272772</v>
      </c>
      <c r="W37" s="4">
        <v>72.025376327388486</v>
      </c>
      <c r="X37" s="4">
        <v>3.0746236726115086</v>
      </c>
      <c r="Y37" s="4">
        <v>0.49097638771886853</v>
      </c>
    </row>
    <row r="38" spans="11:25" x14ac:dyDescent="0.25">
      <c r="K38" s="3"/>
      <c r="L38" s="8">
        <v>89</v>
      </c>
      <c r="M38" s="4"/>
      <c r="N38" s="4"/>
      <c r="O38" s="4"/>
      <c r="P38" s="4"/>
      <c r="S38" s="3">
        <v>36</v>
      </c>
      <c r="T38" s="8">
        <v>2.1528198908429351E-2</v>
      </c>
      <c r="U38" s="4">
        <v>48.2</v>
      </c>
      <c r="V38" s="4">
        <v>-2.0231624874260845</v>
      </c>
      <c r="W38" s="4">
        <v>71.877424249501701</v>
      </c>
      <c r="X38" s="4">
        <v>3.0225757504983051</v>
      </c>
      <c r="Y38" s="4">
        <v>0.48266502883125922</v>
      </c>
    </row>
    <row r="39" spans="11:25" x14ac:dyDescent="0.25">
      <c r="K39" s="3"/>
      <c r="L39" s="8">
        <v>89</v>
      </c>
      <c r="M39" s="4"/>
      <c r="N39" s="4"/>
      <c r="O39" s="4"/>
      <c r="P39" s="4"/>
      <c r="S39" s="3">
        <v>37</v>
      </c>
      <c r="T39" s="8">
        <v>2.2134627046694968E-2</v>
      </c>
      <c r="U39" s="4">
        <v>48.2</v>
      </c>
      <c r="V39" s="4">
        <v>-2.0115323763179549</v>
      </c>
      <c r="W39" s="4">
        <v>71.72947217161493</v>
      </c>
      <c r="X39" s="4">
        <v>2.9705278283850731</v>
      </c>
      <c r="Y39" s="4">
        <v>0.47435366994364536</v>
      </c>
    </row>
    <row r="40" spans="11:25" x14ac:dyDescent="0.25">
      <c r="K40" s="3"/>
      <c r="L40" s="8">
        <v>89</v>
      </c>
      <c r="M40" s="4"/>
      <c r="N40" s="4"/>
      <c r="O40" s="4"/>
      <c r="P40" s="4"/>
      <c r="S40" s="3">
        <v>38</v>
      </c>
      <c r="T40" s="8">
        <v>2.2741055184960581E-2</v>
      </c>
      <c r="U40" s="4">
        <v>48.4</v>
      </c>
      <c r="V40" s="4">
        <v>-2.0001681446016244</v>
      </c>
      <c r="W40" s="4">
        <v>71.532202734432559</v>
      </c>
      <c r="X40" s="4">
        <v>2.8677972655674466</v>
      </c>
      <c r="Y40" s="4">
        <v>0.45794896939774621</v>
      </c>
    </row>
    <row r="41" spans="11:25" x14ac:dyDescent="0.25">
      <c r="K41" s="3"/>
      <c r="L41" s="8">
        <v>89</v>
      </c>
      <c r="M41" s="4"/>
      <c r="N41" s="4"/>
      <c r="O41" s="4"/>
      <c r="P41" s="4"/>
      <c r="S41" s="3">
        <v>39</v>
      </c>
      <c r="T41" s="8">
        <v>2.3347483323226198E-2</v>
      </c>
      <c r="U41" s="4">
        <v>48.5</v>
      </c>
      <c r="V41" s="4">
        <v>-1.9890565032593337</v>
      </c>
      <c r="W41" s="4">
        <v>71.384250656545774</v>
      </c>
      <c r="X41" s="4">
        <v>2.7157493434542204</v>
      </c>
      <c r="Y41" s="4">
        <v>0.43366894442288345</v>
      </c>
    </row>
    <row r="42" spans="11:25" x14ac:dyDescent="0.25">
      <c r="K42" s="3"/>
      <c r="L42" s="8">
        <v>89</v>
      </c>
      <c r="M42" s="4"/>
      <c r="N42" s="4"/>
      <c r="O42" s="4"/>
      <c r="P42" s="4"/>
      <c r="S42" s="3">
        <v>40</v>
      </c>
      <c r="T42" s="8">
        <v>2.3953911461491815E-2</v>
      </c>
      <c r="U42" s="4">
        <v>48.6</v>
      </c>
      <c r="V42" s="4">
        <v>-1.9781851538562727</v>
      </c>
      <c r="W42" s="4">
        <v>71.236298578659003</v>
      </c>
      <c r="X42" s="4">
        <v>2.5637014213409941</v>
      </c>
      <c r="Y42" s="4">
        <v>0.40938891944802064</v>
      </c>
    </row>
    <row r="43" spans="11:25" x14ac:dyDescent="0.25">
      <c r="K43" s="3"/>
      <c r="L43" s="8">
        <v>89</v>
      </c>
      <c r="M43" s="4"/>
      <c r="N43" s="4"/>
      <c r="O43" s="4"/>
      <c r="P43" s="4"/>
      <c r="S43" s="3">
        <v>41</v>
      </c>
      <c r="T43" s="8">
        <v>2.4560339599757428E-2</v>
      </c>
      <c r="U43" s="4">
        <v>48.7</v>
      </c>
      <c r="V43" s="4">
        <v>-1.9675426916276542</v>
      </c>
      <c r="W43" s="4">
        <v>71.088346500772218</v>
      </c>
      <c r="X43" s="4">
        <v>2.3116534992277877</v>
      </c>
      <c r="Y43" s="4">
        <v>0.36914022838591126</v>
      </c>
    </row>
    <row r="44" spans="11:25" x14ac:dyDescent="0.25">
      <c r="K44" s="3"/>
      <c r="L44" s="8">
        <v>89</v>
      </c>
      <c r="M44" s="4"/>
      <c r="N44" s="4"/>
      <c r="O44" s="4"/>
      <c r="P44" s="4"/>
      <c r="S44" s="3">
        <v>42</v>
      </c>
      <c r="T44" s="8">
        <v>2.5166767738023045E-2</v>
      </c>
      <c r="U44" s="4">
        <v>48.8</v>
      </c>
      <c r="V44" s="4">
        <v>-1.957118520190694</v>
      </c>
      <c r="W44" s="4">
        <v>70.891077063589847</v>
      </c>
      <c r="X44" s="4">
        <v>2.0089229364101584</v>
      </c>
      <c r="Y44" s="4">
        <v>0.32079819566551199</v>
      </c>
    </row>
    <row r="45" spans="11:25" x14ac:dyDescent="0.25">
      <c r="K45" s="3"/>
      <c r="L45" s="8">
        <v>89</v>
      </c>
      <c r="M45" s="4"/>
      <c r="N45" s="4"/>
      <c r="O45" s="4"/>
      <c r="P45" s="4"/>
      <c r="S45" s="3">
        <v>43</v>
      </c>
      <c r="T45" s="8">
        <v>2.5773195876288658E-2</v>
      </c>
      <c r="U45" s="4">
        <v>48.9</v>
      </c>
      <c r="V45" s="4">
        <v>-1.94690277624242</v>
      </c>
      <c r="W45" s="4">
        <v>76.907794897652167</v>
      </c>
      <c r="X45" s="4">
        <v>-4.6077948976521697</v>
      </c>
      <c r="Y45" s="4">
        <v>-0.73580338119140909</v>
      </c>
    </row>
    <row r="46" spans="11:25" x14ac:dyDescent="0.25">
      <c r="K46" s="3"/>
      <c r="L46" s="8">
        <v>89</v>
      </c>
      <c r="M46" s="4"/>
      <c r="N46" s="4"/>
      <c r="O46" s="4"/>
      <c r="P46" s="4"/>
      <c r="S46" s="3">
        <v>44</v>
      </c>
      <c r="T46" s="8">
        <v>2.6379624014554275E-2</v>
      </c>
      <c r="U46" s="4">
        <v>49.1</v>
      </c>
      <c r="V46" s="4">
        <v>-1.9368862628682149</v>
      </c>
      <c r="W46" s="4">
        <v>60.435796892924188</v>
      </c>
      <c r="X46" s="4">
        <v>-8.7357968929241849</v>
      </c>
      <c r="Y46" s="4">
        <v>-1.3949902358914068</v>
      </c>
    </row>
    <row r="47" spans="11:25" x14ac:dyDescent="0.25">
      <c r="K47" s="3"/>
      <c r="L47" s="8">
        <v>36.299999999999997</v>
      </c>
      <c r="M47" s="4"/>
      <c r="N47" s="4"/>
      <c r="O47" s="4"/>
      <c r="P47" s="4"/>
      <c r="S47" s="3">
        <v>45</v>
      </c>
      <c r="T47" s="8">
        <v>2.6986052152819892E-2</v>
      </c>
      <c r="U47" s="4">
        <v>49.2</v>
      </c>
      <c r="V47" s="4">
        <v>-1.9270603903023944</v>
      </c>
      <c r="W47" s="4">
        <v>60.090575377855039</v>
      </c>
      <c r="X47" s="4">
        <v>-8.9905753778550377</v>
      </c>
      <c r="Y47" s="4">
        <v>-1.4356749614121687</v>
      </c>
    </row>
    <row r="48" spans="11:25" x14ac:dyDescent="0.25">
      <c r="K48" s="3"/>
      <c r="L48" s="8">
        <v>36.299999999999997</v>
      </c>
      <c r="M48" s="4"/>
      <c r="N48" s="4"/>
      <c r="O48" s="4"/>
      <c r="P48" s="4"/>
      <c r="S48" s="3">
        <v>46</v>
      </c>
      <c r="T48" s="8">
        <v>2.7592480291085505E-2</v>
      </c>
      <c r="U48" s="4">
        <v>49.2</v>
      </c>
      <c r="V48" s="4">
        <v>-1.917417123160428</v>
      </c>
      <c r="W48" s="4">
        <v>59.942623299968261</v>
      </c>
      <c r="X48" s="4">
        <v>-3.9426232999682611</v>
      </c>
      <c r="Y48" s="4">
        <v>-0.62958434985004097</v>
      </c>
    </row>
    <row r="49" spans="11:25" x14ac:dyDescent="0.25">
      <c r="K49" s="3"/>
      <c r="L49" s="8">
        <v>36.299999999999997</v>
      </c>
      <c r="M49" s="4"/>
      <c r="N49" s="4"/>
      <c r="O49" s="4"/>
      <c r="P49" s="4"/>
      <c r="S49" s="3">
        <v>47</v>
      </c>
      <c r="T49" s="8">
        <v>2.8198908429351122E-2</v>
      </c>
      <c r="U49" s="4">
        <v>49.3</v>
      </c>
      <c r="V49" s="4">
        <v>-1.907948933309944</v>
      </c>
      <c r="W49" s="4">
        <v>59.794671222081483</v>
      </c>
      <c r="X49" s="4">
        <v>-8.7946712220814831</v>
      </c>
      <c r="Y49" s="4">
        <v>-1.404391680925644</v>
      </c>
    </row>
    <row r="50" spans="11:25" x14ac:dyDescent="0.25">
      <c r="K50" s="3"/>
      <c r="L50" s="8">
        <v>36.299999999999997</v>
      </c>
      <c r="M50" s="4"/>
      <c r="N50" s="4"/>
      <c r="O50" s="4"/>
      <c r="P50" s="4"/>
      <c r="S50" s="3">
        <v>48</v>
      </c>
      <c r="T50" s="8">
        <v>2.8805336567616736E-2</v>
      </c>
      <c r="U50" s="4">
        <v>49.4</v>
      </c>
      <c r="V50" s="4">
        <v>-1.8986487576703672</v>
      </c>
      <c r="W50" s="4">
        <v>59.597401784899112</v>
      </c>
      <c r="X50" s="4">
        <v>-9.997401784899111</v>
      </c>
      <c r="Y50" s="4">
        <v>-1.5964517084312915</v>
      </c>
    </row>
    <row r="51" spans="11:25" x14ac:dyDescent="0.25">
      <c r="K51" s="3"/>
      <c r="L51" s="8">
        <v>36.299999999999997</v>
      </c>
      <c r="M51" s="4"/>
      <c r="N51" s="4"/>
      <c r="O51" s="4"/>
      <c r="P51" s="4"/>
      <c r="S51" s="3">
        <v>49</v>
      </c>
      <c r="T51" s="8">
        <v>2.9411764705882353E-2</v>
      </c>
      <c r="U51" s="4">
        <v>49.5</v>
      </c>
      <c r="V51" s="4">
        <v>-1.8895099603334302</v>
      </c>
      <c r="W51" s="4">
        <v>59.400132347716742</v>
      </c>
      <c r="X51" s="4">
        <v>-10.30013234771674</v>
      </c>
      <c r="Y51" s="4">
        <v>-1.6447937411516906</v>
      </c>
    </row>
    <row r="52" spans="11:25" x14ac:dyDescent="0.25">
      <c r="K52" s="3"/>
      <c r="L52" s="8">
        <v>89</v>
      </c>
      <c r="M52" s="4"/>
      <c r="N52" s="4"/>
      <c r="O52" s="4"/>
      <c r="P52" s="4"/>
      <c r="S52" s="3">
        <v>50</v>
      </c>
      <c r="T52" s="8">
        <v>3.0018192844147969E-2</v>
      </c>
      <c r="U52" s="4">
        <v>49.6</v>
      </c>
      <c r="V52" s="4">
        <v>-1.8805262984826756</v>
      </c>
      <c r="W52" s="4">
        <v>59.301497629125556</v>
      </c>
      <c r="X52" s="4">
        <v>-10.601497629125554</v>
      </c>
      <c r="Y52" s="4">
        <v>-1.6929177566427649</v>
      </c>
    </row>
    <row r="53" spans="11:25" x14ac:dyDescent="0.25">
      <c r="K53" s="3"/>
      <c r="L53" s="8">
        <v>89</v>
      </c>
      <c r="M53" s="4"/>
      <c r="N53" s="4"/>
      <c r="O53" s="4"/>
      <c r="P53" s="4"/>
      <c r="S53" s="3">
        <v>51</v>
      </c>
      <c r="T53" s="8">
        <v>3.0624620982413583E-2</v>
      </c>
      <c r="U53" s="4">
        <v>49.6</v>
      </c>
      <c r="V53" s="4">
        <v>-1.8716918916622953</v>
      </c>
      <c r="W53" s="4">
        <v>59.104228191943186</v>
      </c>
      <c r="X53" s="4">
        <v>-10.904228191943183</v>
      </c>
      <c r="Y53" s="4">
        <v>-1.7412597893631641</v>
      </c>
    </row>
    <row r="54" spans="11:25" x14ac:dyDescent="0.25">
      <c r="K54" s="3"/>
      <c r="L54" s="8">
        <v>89</v>
      </c>
      <c r="M54" s="4"/>
      <c r="N54" s="4"/>
      <c r="O54" s="4"/>
      <c r="P54" s="4"/>
      <c r="S54" s="3">
        <v>52</v>
      </c>
      <c r="T54" s="8">
        <v>3.12310491206792E-2</v>
      </c>
      <c r="U54" s="4">
        <v>49.7</v>
      </c>
      <c r="V54" s="4">
        <v>-1.8630011940066851</v>
      </c>
      <c r="W54" s="4">
        <v>71.778789530910515</v>
      </c>
      <c r="X54" s="4">
        <v>4.4212104690894876</v>
      </c>
      <c r="Y54" s="4">
        <v>0.70600833682343123</v>
      </c>
    </row>
    <row r="55" spans="11:25" x14ac:dyDescent="0.25">
      <c r="K55" s="3"/>
      <c r="L55" s="8">
        <v>89</v>
      </c>
      <c r="M55" s="4"/>
      <c r="N55" s="4"/>
      <c r="O55" s="4"/>
      <c r="P55" s="4"/>
      <c r="S55" s="3">
        <v>53</v>
      </c>
      <c r="T55" s="8">
        <v>3.1837477258944813E-2</v>
      </c>
      <c r="U55" s="4">
        <v>49.8</v>
      </c>
      <c r="V55" s="4">
        <v>-1.8544489690938102</v>
      </c>
      <c r="W55" s="4">
        <v>71.72947217161493</v>
      </c>
      <c r="X55" s="4">
        <v>4.2705278283850703</v>
      </c>
      <c r="Y55" s="4">
        <v>0.68194632907789243</v>
      </c>
    </row>
    <row r="56" spans="11:25" x14ac:dyDescent="0.25">
      <c r="K56" s="3"/>
      <c r="L56" s="8">
        <v>89</v>
      </c>
      <c r="M56" s="4"/>
      <c r="N56" s="4"/>
      <c r="O56" s="4"/>
      <c r="P56" s="4"/>
      <c r="S56" s="3">
        <v>54</v>
      </c>
      <c r="T56" s="8">
        <v>3.2443905397210433E-2</v>
      </c>
      <c r="U56" s="4">
        <v>49.8</v>
      </c>
      <c r="V56" s="4">
        <v>-1.8460302671294702</v>
      </c>
      <c r="W56" s="4">
        <v>77.006429616243352</v>
      </c>
      <c r="X56" s="4">
        <v>-1.1064296162433465</v>
      </c>
      <c r="Y56" s="4">
        <v>-0.17668205090833947</v>
      </c>
    </row>
    <row r="57" spans="11:25" x14ac:dyDescent="0.25">
      <c r="K57" s="3"/>
      <c r="L57" s="8">
        <v>89</v>
      </c>
      <c r="M57" s="4"/>
      <c r="N57" s="4"/>
      <c r="O57" s="4"/>
      <c r="P57" s="4"/>
      <c r="S57" s="3">
        <v>55</v>
      </c>
      <c r="T57" s="8">
        <v>3.3050333535476047E-2</v>
      </c>
      <c r="U57" s="4">
        <v>49.8</v>
      </c>
      <c r="V57" s="4">
        <v>-1.8377404042070804</v>
      </c>
      <c r="W57" s="4">
        <v>77.006429616243352</v>
      </c>
      <c r="X57" s="4">
        <v>-1.3064296162433493</v>
      </c>
      <c r="Y57" s="4">
        <v>-0.20861938308283953</v>
      </c>
    </row>
    <row r="58" spans="11:25" x14ac:dyDescent="0.25">
      <c r="K58" s="3"/>
      <c r="L58" s="8">
        <v>89</v>
      </c>
      <c r="M58" s="4"/>
      <c r="N58" s="4"/>
      <c r="O58" s="4"/>
      <c r="P58" s="4"/>
      <c r="S58" s="3">
        <v>56</v>
      </c>
      <c r="T58" s="8">
        <v>3.365676167374166E-2</v>
      </c>
      <c r="U58" s="4">
        <v>49.9</v>
      </c>
      <c r="V58" s="4">
        <v>-1.8295749434197282</v>
      </c>
      <c r="W58" s="4">
        <v>71.630837453023744</v>
      </c>
      <c r="X58" s="4">
        <v>3.8691625469762556</v>
      </c>
      <c r="Y58" s="4">
        <v>0.61785364749956828</v>
      </c>
    </row>
    <row r="59" spans="11:25" x14ac:dyDescent="0.25">
      <c r="K59" s="3"/>
      <c r="L59" s="8">
        <v>89</v>
      </c>
      <c r="M59" s="4"/>
      <c r="N59" s="4"/>
      <c r="O59" s="4"/>
      <c r="P59" s="4"/>
      <c r="S59" s="3">
        <v>57</v>
      </c>
      <c r="T59" s="8">
        <v>3.426318981200728E-2</v>
      </c>
      <c r="U59" s="4">
        <v>50</v>
      </c>
      <c r="V59" s="4">
        <v>-1.8215296776288319</v>
      </c>
      <c r="W59" s="4">
        <v>71.384250656545774</v>
      </c>
      <c r="X59" s="4">
        <v>4.2157493434542204</v>
      </c>
      <c r="Y59" s="4">
        <v>0.67319893573163059</v>
      </c>
    </row>
    <row r="60" spans="11:25" x14ac:dyDescent="0.25">
      <c r="K60" s="3"/>
      <c r="L60" s="8">
        <v>36.299999999999997</v>
      </c>
      <c r="M60" s="4"/>
      <c r="N60" s="4"/>
      <c r="O60" s="4"/>
      <c r="P60" s="4"/>
      <c r="S60" s="3">
        <v>58</v>
      </c>
      <c r="T60" s="8">
        <v>3.4869617950272894E-2</v>
      </c>
      <c r="U60" s="4">
        <v>50</v>
      </c>
      <c r="V60" s="4">
        <v>-1.8136006137174883</v>
      </c>
      <c r="W60" s="4">
        <v>71.384250656545774</v>
      </c>
      <c r="X60" s="4">
        <v>4.0157493434542317</v>
      </c>
      <c r="Y60" s="4">
        <v>0.6412616035571328</v>
      </c>
    </row>
    <row r="61" spans="11:25" x14ac:dyDescent="0.25">
      <c r="K61" s="3"/>
      <c r="L61" s="8">
        <v>36.299999999999997</v>
      </c>
      <c r="M61" s="4"/>
      <c r="N61" s="4"/>
      <c r="O61" s="4"/>
      <c r="P61" s="4"/>
      <c r="S61" s="3">
        <v>59</v>
      </c>
      <c r="T61" s="8">
        <v>3.5476046088538507E-2</v>
      </c>
      <c r="U61" s="4">
        <v>50</v>
      </c>
      <c r="V61" s="4">
        <v>-1.8057839581771002</v>
      </c>
      <c r="W61" s="4">
        <v>71.236298578659003</v>
      </c>
      <c r="X61" s="4">
        <v>3.5637014213409941</v>
      </c>
      <c r="Y61" s="4">
        <v>0.56907558032051875</v>
      </c>
    </row>
    <row r="62" spans="11:25" x14ac:dyDescent="0.25">
      <c r="K62" s="3"/>
      <c r="L62" s="8">
        <v>36.299999999999997</v>
      </c>
      <c r="M62" s="4"/>
      <c r="N62" s="4"/>
      <c r="O62" s="4"/>
      <c r="P62" s="4"/>
      <c r="S62" s="3">
        <v>60</v>
      </c>
      <c r="T62" s="8">
        <v>3.608247422680412E-2</v>
      </c>
      <c r="U62" s="4">
        <v>51</v>
      </c>
      <c r="V62" s="4">
        <v>-1.7980761038936304</v>
      </c>
      <c r="W62" s="4">
        <v>71.334933297250188</v>
      </c>
      <c r="X62" s="4">
        <v>3.8650667027498145</v>
      </c>
      <c r="Y62" s="4">
        <v>0.617199595811594</v>
      </c>
    </row>
    <row r="63" spans="11:25" x14ac:dyDescent="0.25">
      <c r="K63" s="3"/>
      <c r="L63" s="8">
        <v>36.299999999999997</v>
      </c>
      <c r="M63" s="4"/>
      <c r="N63" s="4"/>
      <c r="O63" s="4"/>
      <c r="P63" s="4"/>
      <c r="S63" s="3">
        <v>61</v>
      </c>
      <c r="T63" s="8">
        <v>3.6688902365069741E-2</v>
      </c>
      <c r="U63" s="4">
        <v>51</v>
      </c>
      <c r="V63" s="4">
        <v>-1.7904736180152263</v>
      </c>
      <c r="W63" s="4">
        <v>71.334933297250188</v>
      </c>
      <c r="X63" s="4">
        <v>3.5650667027498173</v>
      </c>
      <c r="Y63" s="4">
        <v>0.56929359754984499</v>
      </c>
    </row>
    <row r="64" spans="11:25" x14ac:dyDescent="0.25">
      <c r="K64" s="3"/>
      <c r="L64" s="8">
        <v>36.299999999999997</v>
      </c>
      <c r="M64" s="4"/>
      <c r="N64" s="4"/>
      <c r="O64" s="4"/>
      <c r="P64" s="4"/>
      <c r="S64" s="3">
        <v>62</v>
      </c>
      <c r="T64" s="8">
        <v>3.7295330503335354E-2</v>
      </c>
      <c r="U64" s="4">
        <v>51</v>
      </c>
      <c r="V64" s="4">
        <v>-1.782973230796389</v>
      </c>
      <c r="W64" s="4">
        <v>76.957112256947752</v>
      </c>
      <c r="X64" s="4">
        <v>-2.2571122569477495</v>
      </c>
      <c r="Y64" s="4">
        <v>-0.36043071952637407</v>
      </c>
    </row>
    <row r="65" spans="11:25" x14ac:dyDescent="0.25">
      <c r="K65" s="3"/>
      <c r="L65" s="8">
        <v>36.299999999999997</v>
      </c>
      <c r="M65" s="4"/>
      <c r="N65" s="4"/>
      <c r="O65" s="4"/>
      <c r="P65" s="4"/>
      <c r="S65" s="3">
        <v>63</v>
      </c>
      <c r="T65" s="8">
        <v>3.7901758641600967E-2</v>
      </c>
      <c r="U65" s="4">
        <v>51.1</v>
      </c>
      <c r="V65" s="4">
        <v>-1.7755718253255368</v>
      </c>
      <c r="W65" s="4">
        <v>70.841759704294262</v>
      </c>
      <c r="X65" s="4">
        <v>3.2582402957057326</v>
      </c>
      <c r="Y65" s="4">
        <v>0.52029751314146921</v>
      </c>
    </row>
    <row r="66" spans="11:25" x14ac:dyDescent="0.25">
      <c r="K66" s="3"/>
      <c r="L66" s="8">
        <v>36.299999999999997</v>
      </c>
      <c r="M66" s="4"/>
      <c r="N66" s="4"/>
      <c r="O66" s="4"/>
      <c r="P66" s="4"/>
      <c r="S66" s="3">
        <v>64</v>
      </c>
      <c r="T66" s="8">
        <v>3.8508186779866588E-2</v>
      </c>
      <c r="U66" s="4">
        <v>51.1</v>
      </c>
      <c r="V66" s="4">
        <v>-1.7682664280530507</v>
      </c>
      <c r="W66" s="4">
        <v>70.792442344998662</v>
      </c>
      <c r="X66" s="4">
        <v>3.3075576550013324</v>
      </c>
      <c r="Y66" s="4">
        <v>0.52817283757043276</v>
      </c>
    </row>
    <row r="67" spans="11:25" x14ac:dyDescent="0.25">
      <c r="K67" s="3"/>
      <c r="L67" s="8">
        <v>36.299999999999997</v>
      </c>
      <c r="M67" s="4"/>
      <c r="N67" s="4"/>
      <c r="O67" s="4"/>
      <c r="P67" s="4"/>
      <c r="S67" s="3">
        <v>65</v>
      </c>
      <c r="T67" s="8">
        <v>3.9114614918132201E-2</v>
      </c>
      <c r="U67" s="4">
        <v>51.2</v>
      </c>
      <c r="V67" s="4">
        <v>-1.7610542000458449</v>
      </c>
      <c r="W67" s="4">
        <v>77.006429616243352</v>
      </c>
      <c r="X67" s="4">
        <v>-2.4064296162433578</v>
      </c>
      <c r="Y67" s="4">
        <v>-0.38427471004258879</v>
      </c>
    </row>
    <row r="68" spans="11:25" x14ac:dyDescent="0.25">
      <c r="K68" s="3"/>
      <c r="L68" s="8">
        <v>36.299999999999997</v>
      </c>
      <c r="M68" s="4"/>
      <c r="N68" s="4"/>
      <c r="O68" s="4"/>
      <c r="P68" s="4"/>
      <c r="S68" s="3">
        <v>66</v>
      </c>
      <c r="T68" s="8">
        <v>3.9721043056397815E-2</v>
      </c>
      <c r="U68" s="4">
        <v>51.2</v>
      </c>
      <c r="V68" s="4">
        <v>-1.7539324289023783</v>
      </c>
      <c r="W68" s="4">
        <v>71.532202734432559</v>
      </c>
      <c r="X68" s="4">
        <v>2.8677972655674466</v>
      </c>
      <c r="Y68" s="4">
        <v>0.45794896939774621</v>
      </c>
    </row>
    <row r="69" spans="11:25" x14ac:dyDescent="0.25">
      <c r="K69" s="3"/>
      <c r="L69" s="8">
        <v>36.299999999999997</v>
      </c>
      <c r="M69" s="4"/>
      <c r="N69" s="4"/>
      <c r="O69" s="4"/>
      <c r="P69" s="4"/>
      <c r="S69" s="3">
        <v>67</v>
      </c>
      <c r="T69" s="8">
        <v>4.0327471194663435E-2</v>
      </c>
      <c r="U69" s="4">
        <v>51.3</v>
      </c>
      <c r="V69" s="4">
        <v>-1.7468985212689381</v>
      </c>
      <c r="W69" s="4">
        <v>71.630837453023744</v>
      </c>
      <c r="X69" s="4">
        <v>2.7691625469762613</v>
      </c>
      <c r="Y69" s="4">
        <v>0.44219832053982128</v>
      </c>
    </row>
    <row r="70" spans="11:25" x14ac:dyDescent="0.25">
      <c r="K70" s="3"/>
      <c r="L70" s="8">
        <v>36.299999999999997</v>
      </c>
      <c r="M70" s="4"/>
      <c r="N70" s="4"/>
      <c r="O70" s="4"/>
      <c r="P70" s="4"/>
      <c r="S70" s="3">
        <v>68</v>
      </c>
      <c r="T70" s="8">
        <v>4.0933899332929048E-2</v>
      </c>
      <c r="U70" s="4">
        <v>51.4</v>
      </c>
      <c r="V70" s="4">
        <v>-1.739949995904148</v>
      </c>
      <c r="W70" s="4">
        <v>71.285615937954589</v>
      </c>
      <c r="X70" s="4">
        <v>2.6143840620454171</v>
      </c>
      <c r="Y70" s="4">
        <v>0.41748226110631054</v>
      </c>
    </row>
    <row r="71" spans="11:25" x14ac:dyDescent="0.25">
      <c r="K71" s="3"/>
      <c r="L71" s="8">
        <v>36.299999999999997</v>
      </c>
      <c r="M71" s="4"/>
      <c r="N71" s="4"/>
      <c r="O71" s="4"/>
      <c r="P71" s="4"/>
      <c r="S71" s="3">
        <v>69</v>
      </c>
      <c r="T71" s="8">
        <v>4.1540327471194662E-2</v>
      </c>
      <c r="U71" s="4">
        <v>51.5</v>
      </c>
      <c r="V71" s="4">
        <v>-1.7330844772440359</v>
      </c>
      <c r="W71" s="4">
        <v>71.088346500772218</v>
      </c>
      <c r="X71" s="4">
        <v>2.411653499227782</v>
      </c>
      <c r="Y71" s="4">
        <v>0.38510889447316016</v>
      </c>
    </row>
    <row r="72" spans="11:25" x14ac:dyDescent="0.25">
      <c r="K72" s="3"/>
      <c r="L72" s="8">
        <v>36.299999999999997</v>
      </c>
      <c r="M72" s="4"/>
      <c r="N72" s="4"/>
      <c r="O72" s="4"/>
      <c r="P72" s="4"/>
      <c r="S72" s="3">
        <v>70</v>
      </c>
      <c r="T72" s="8">
        <v>4.2146755609460282E-2</v>
      </c>
      <c r="U72" s="4">
        <v>51.6</v>
      </c>
      <c r="V72" s="4">
        <v>-1.7262996894247766</v>
      </c>
      <c r="W72" s="4">
        <v>70.841759704294262</v>
      </c>
      <c r="X72" s="4">
        <v>2.4582402957057354</v>
      </c>
      <c r="Y72" s="4">
        <v>0.39254818444347117</v>
      </c>
    </row>
    <row r="73" spans="11:25" x14ac:dyDescent="0.25">
      <c r="K73" s="3"/>
      <c r="L73" s="8">
        <v>36.299999999999997</v>
      </c>
      <c r="M73" s="4"/>
      <c r="N73" s="4"/>
      <c r="O73" s="4"/>
      <c r="P73" s="4"/>
      <c r="S73" s="3">
        <v>71</v>
      </c>
      <c r="T73" s="8">
        <v>4.2753183747725895E-2</v>
      </c>
      <c r="U73" s="4">
        <v>51.6</v>
      </c>
      <c r="V73" s="4">
        <v>-1.7195934507244626</v>
      </c>
      <c r="W73" s="4">
        <v>76.907794897652167</v>
      </c>
      <c r="X73" s="4">
        <v>-3.707794897652164</v>
      </c>
      <c r="Y73" s="4">
        <v>-0.59208538640615982</v>
      </c>
    </row>
    <row r="74" spans="11:25" x14ac:dyDescent="0.25">
      <c r="K74" s="3"/>
      <c r="L74" s="8">
        <v>36.299999999999997</v>
      </c>
      <c r="M74" s="4"/>
      <c r="N74" s="4"/>
      <c r="O74" s="4"/>
      <c r="P74" s="4"/>
      <c r="S74" s="3">
        <v>72</v>
      </c>
      <c r="T74" s="8">
        <v>4.3359611885991509E-2</v>
      </c>
      <c r="U74" s="4">
        <v>51.7</v>
      </c>
      <c r="V74" s="4">
        <v>-1.7129636683890181</v>
      </c>
      <c r="W74" s="4">
        <v>71.088346500772218</v>
      </c>
      <c r="X74" s="4">
        <v>2.411653499227782</v>
      </c>
      <c r="Y74" s="4">
        <v>0.38510889447316016</v>
      </c>
    </row>
    <row r="75" spans="11:25" x14ac:dyDescent="0.25">
      <c r="K75" s="3"/>
      <c r="L75" s="8">
        <v>36.299999999999997</v>
      </c>
      <c r="M75" s="4"/>
      <c r="N75" s="4"/>
      <c r="O75" s="4"/>
      <c r="P75" s="4"/>
      <c r="S75" s="3">
        <v>73</v>
      </c>
      <c r="T75" s="8">
        <v>4.3966040024257129E-2</v>
      </c>
      <c r="U75" s="4">
        <v>51.7</v>
      </c>
      <c r="V75" s="4">
        <v>-1.7064083338107212</v>
      </c>
      <c r="W75" s="4">
        <v>70.644490267111891</v>
      </c>
      <c r="X75" s="4">
        <v>2.2555097328881146</v>
      </c>
      <c r="Y75" s="4">
        <v>0.36017481781032312</v>
      </c>
    </row>
    <row r="76" spans="11:25" x14ac:dyDescent="0.25">
      <c r="K76" s="3"/>
      <c r="L76" s="8">
        <v>36.299999999999997</v>
      </c>
      <c r="M76" s="4"/>
      <c r="N76" s="4"/>
      <c r="O76" s="4"/>
      <c r="P76" s="4"/>
      <c r="S76" s="3">
        <v>74</v>
      </c>
      <c r="T76" s="8">
        <v>4.4572468162522742E-2</v>
      </c>
      <c r="U76" s="4">
        <v>51.8</v>
      </c>
      <c r="V76" s="4">
        <v>-1.6999255180307868</v>
      </c>
      <c r="W76" s="4">
        <v>70.841759704294262</v>
      </c>
      <c r="X76" s="4">
        <v>2.1582402957057383</v>
      </c>
      <c r="Y76" s="4">
        <v>0.34464218618172221</v>
      </c>
    </row>
    <row r="77" spans="11:25" x14ac:dyDescent="0.25">
      <c r="K77" s="3"/>
      <c r="L77" s="8">
        <v>36.299999999999997</v>
      </c>
      <c r="M77" s="4"/>
      <c r="N77" s="4"/>
      <c r="O77" s="4"/>
      <c r="P77" s="4"/>
      <c r="S77" s="3">
        <v>75</v>
      </c>
      <c r="T77" s="8">
        <v>4.5178896300788356E-2</v>
      </c>
      <c r="U77" s="4">
        <v>52</v>
      </c>
      <c r="V77" s="4">
        <v>-1.6935133675401242</v>
      </c>
      <c r="W77" s="4">
        <v>71.088346500772218</v>
      </c>
      <c r="X77" s="4">
        <v>1.911653499227782</v>
      </c>
      <c r="Y77" s="4">
        <v>0.30526556403691113</v>
      </c>
    </row>
    <row r="78" spans="11:25" x14ac:dyDescent="0.25">
      <c r="K78" s="3"/>
      <c r="L78" s="8">
        <v>36.299999999999997</v>
      </c>
      <c r="M78" s="4"/>
      <c r="N78" s="4"/>
      <c r="O78" s="4"/>
      <c r="P78" s="4"/>
      <c r="S78" s="3">
        <v>76</v>
      </c>
      <c r="T78" s="8">
        <v>4.5785324439053969E-2</v>
      </c>
      <c r="U78" s="4">
        <v>52</v>
      </c>
      <c r="V78" s="4">
        <v>-1.6871701003547852</v>
      </c>
      <c r="W78" s="4">
        <v>70.989711782181033</v>
      </c>
      <c r="X78" s="4">
        <v>1.7102882178189702</v>
      </c>
      <c r="Y78" s="4">
        <v>0.27311021463308705</v>
      </c>
    </row>
    <row r="79" spans="11:25" x14ac:dyDescent="0.25">
      <c r="K79" s="3"/>
      <c r="L79" s="8">
        <v>36.299999999999997</v>
      </c>
      <c r="M79" s="4"/>
      <c r="N79" s="4"/>
      <c r="O79" s="4"/>
      <c r="P79" s="4"/>
      <c r="S79" s="3">
        <v>77</v>
      </c>
      <c r="T79" s="8">
        <v>4.6391752577319589E-2</v>
      </c>
      <c r="U79" s="4">
        <v>52</v>
      </c>
      <c r="V79" s="4">
        <v>-1.6808940023447279</v>
      </c>
      <c r="W79" s="4">
        <v>70.989711782181033</v>
      </c>
      <c r="X79" s="4">
        <v>1.6102882178189617</v>
      </c>
      <c r="Y79" s="4">
        <v>0.25714154854583587</v>
      </c>
    </row>
    <row r="80" spans="11:25" x14ac:dyDescent="0.25">
      <c r="K80" s="3"/>
      <c r="L80" s="8">
        <v>36.299999999999997</v>
      </c>
      <c r="M80" s="4"/>
      <c r="N80" s="4"/>
      <c r="O80" s="4"/>
      <c r="P80" s="4"/>
      <c r="S80" s="3">
        <v>78</v>
      </c>
      <c r="T80" s="8">
        <v>4.6998180715585203E-2</v>
      </c>
      <c r="U80" s="4">
        <v>52.1</v>
      </c>
      <c r="V80" s="4">
        <v>-1.6746834237964712</v>
      </c>
      <c r="W80" s="4">
        <v>70.644490267111891</v>
      </c>
      <c r="X80" s="4">
        <v>1.9555097328881033</v>
      </c>
      <c r="Y80" s="4">
        <v>0.31226881954857189</v>
      </c>
    </row>
    <row r="81" spans="11:25" x14ac:dyDescent="0.25">
      <c r="K81" s="3"/>
      <c r="L81" s="8">
        <v>36.299999999999997</v>
      </c>
      <c r="M81" s="4"/>
      <c r="N81" s="4"/>
      <c r="O81" s="4"/>
      <c r="P81" s="4"/>
      <c r="S81" s="3">
        <v>79</v>
      </c>
      <c r="T81" s="8">
        <v>4.7604608853850816E-2</v>
      </c>
      <c r="U81" s="4">
        <v>52.1</v>
      </c>
      <c r="V81" s="4">
        <v>-1.668536776191911</v>
      </c>
      <c r="W81" s="4">
        <v>70.595172907816291</v>
      </c>
      <c r="X81" s="4">
        <v>1.4048270921837087</v>
      </c>
      <c r="Y81" s="4">
        <v>0.22433214745403751</v>
      </c>
    </row>
    <row r="82" spans="11:25" x14ac:dyDescent="0.25">
      <c r="K82" s="3"/>
      <c r="L82" s="8">
        <v>36.299999999999997</v>
      </c>
      <c r="M82" s="4"/>
      <c r="N82" s="4"/>
      <c r="O82" s="4"/>
      <c r="P82" s="4"/>
      <c r="S82" s="3">
        <v>80</v>
      </c>
      <c r="T82" s="8">
        <v>4.8211036992116436E-2</v>
      </c>
      <c r="U82" s="4">
        <v>52.1</v>
      </c>
      <c r="V82" s="4">
        <v>-1.6624525291871324</v>
      </c>
      <c r="W82" s="4">
        <v>77.302333772016908</v>
      </c>
      <c r="X82" s="4">
        <v>5.3976662279830947</v>
      </c>
      <c r="Y82" s="4">
        <v>0.86193529645087241</v>
      </c>
    </row>
    <row r="83" spans="11:25" x14ac:dyDescent="0.25">
      <c r="K83" s="3"/>
      <c r="L83" s="8">
        <v>36.299999999999997</v>
      </c>
      <c r="M83" s="4"/>
      <c r="N83" s="4"/>
      <c r="O83" s="4"/>
      <c r="P83" s="4"/>
      <c r="S83" s="3">
        <v>81</v>
      </c>
      <c r="T83" s="8">
        <v>4.881746513038205E-2</v>
      </c>
      <c r="U83" s="4">
        <v>52.1</v>
      </c>
      <c r="V83" s="4">
        <v>-1.6564292077764513</v>
      </c>
      <c r="W83" s="4">
        <v>74.589879010759304</v>
      </c>
      <c r="X83" s="4">
        <v>7.9101209892406956</v>
      </c>
      <c r="Y83" s="4">
        <v>1.263140807869308</v>
      </c>
    </row>
    <row r="84" spans="11:25" x14ac:dyDescent="0.25">
      <c r="K84" s="3"/>
      <c r="L84" s="8">
        <v>89</v>
      </c>
      <c r="M84" s="4"/>
      <c r="N84" s="4"/>
      <c r="O84" s="4"/>
      <c r="P84" s="4"/>
      <c r="S84" s="3">
        <v>82</v>
      </c>
      <c r="T84" s="8">
        <v>4.9423893268647663E-2</v>
      </c>
      <c r="U84" s="4">
        <v>52.2</v>
      </c>
      <c r="V84" s="4">
        <v>-1.6504653896281696</v>
      </c>
      <c r="W84" s="4">
        <v>74.589879010759304</v>
      </c>
      <c r="X84" s="4">
        <v>7.7101209892406928</v>
      </c>
      <c r="Y84" s="4">
        <v>1.231203475694808</v>
      </c>
    </row>
    <row r="85" spans="11:25" x14ac:dyDescent="0.25">
      <c r="K85" s="3"/>
      <c r="L85" s="8">
        <v>89</v>
      </c>
      <c r="M85" s="4"/>
      <c r="N85" s="4"/>
      <c r="O85" s="4"/>
      <c r="P85" s="4"/>
      <c r="S85" s="3">
        <v>83</v>
      </c>
      <c r="T85" s="8">
        <v>5.0030321406913283E-2</v>
      </c>
      <c r="U85" s="4">
        <v>52.2</v>
      </c>
      <c r="V85" s="4">
        <v>-1.6445597025796699</v>
      </c>
      <c r="W85" s="4">
        <v>74.491244292168119</v>
      </c>
      <c r="X85" s="4">
        <v>7.508755707831881</v>
      </c>
      <c r="Y85" s="4">
        <v>1.199048126290984</v>
      </c>
    </row>
    <row r="86" spans="11:25" x14ac:dyDescent="0.25">
      <c r="K86" s="3"/>
      <c r="L86" s="8">
        <v>89</v>
      </c>
      <c r="M86" s="4"/>
      <c r="N86" s="4"/>
      <c r="O86" s="4"/>
      <c r="P86" s="4"/>
      <c r="S86" s="3">
        <v>84</v>
      </c>
      <c r="T86" s="8">
        <v>5.0636749545178897E-2</v>
      </c>
      <c r="U86" s="4">
        <v>52.3</v>
      </c>
      <c r="V86" s="4">
        <v>-1.6387108222805178</v>
      </c>
      <c r="W86" s="4">
        <v>74.441926932872533</v>
      </c>
      <c r="X86" s="4">
        <v>7.4580730671274722</v>
      </c>
      <c r="Y86" s="4">
        <v>1.1909547846326962</v>
      </c>
    </row>
    <row r="87" spans="11:25" x14ac:dyDescent="0.25">
      <c r="K87" s="3"/>
      <c r="L87" s="8">
        <v>89</v>
      </c>
      <c r="M87" s="4"/>
      <c r="N87" s="4"/>
      <c r="O87" s="4"/>
      <c r="P87" s="4"/>
      <c r="S87" s="3">
        <v>85</v>
      </c>
      <c r="T87" s="8">
        <v>5.124317768344451E-2</v>
      </c>
      <c r="U87" s="4">
        <v>52.3</v>
      </c>
      <c r="V87" s="4">
        <v>-1.6329174699731523</v>
      </c>
      <c r="W87" s="4">
        <v>74.343292214281348</v>
      </c>
      <c r="X87" s="4">
        <v>7.3567077857186547</v>
      </c>
      <c r="Y87" s="4">
        <v>1.1747681013161211</v>
      </c>
    </row>
    <row r="88" spans="11:25" x14ac:dyDescent="0.25">
      <c r="K88" s="3"/>
      <c r="L88" s="8">
        <v>89</v>
      </c>
      <c r="M88" s="4"/>
      <c r="N88" s="4"/>
      <c r="O88" s="4"/>
      <c r="P88" s="4"/>
      <c r="S88" s="3">
        <v>86</v>
      </c>
      <c r="T88" s="8">
        <v>5.184960582171013E-2</v>
      </c>
      <c r="U88" s="4">
        <v>52.4</v>
      </c>
      <c r="V88" s="4">
        <v>-1.6271784104016083</v>
      </c>
      <c r="W88" s="4">
        <v>74.343292214281348</v>
      </c>
      <c r="X88" s="4">
        <v>6.956707785718649</v>
      </c>
      <c r="Y88" s="4">
        <v>1.1108934369671211</v>
      </c>
    </row>
    <row r="89" spans="11:25" x14ac:dyDescent="0.25">
      <c r="K89" s="3"/>
      <c r="L89" s="8">
        <v>89</v>
      </c>
      <c r="M89" s="4"/>
      <c r="N89" s="4"/>
      <c r="O89" s="4"/>
      <c r="P89" s="4"/>
      <c r="S89" s="3">
        <v>87</v>
      </c>
      <c r="T89" s="8">
        <v>5.2456033959975744E-2</v>
      </c>
      <c r="U89" s="4">
        <v>52.4</v>
      </c>
      <c r="V89" s="4">
        <v>-1.6214924498394727</v>
      </c>
      <c r="W89" s="4">
        <v>74.343292214281348</v>
      </c>
      <c r="X89" s="4">
        <v>6.956707785718649</v>
      </c>
      <c r="Y89" s="4">
        <v>1.1108934369671211</v>
      </c>
    </row>
    <row r="90" spans="11:25" x14ac:dyDescent="0.25">
      <c r="K90" s="3"/>
      <c r="L90" s="8">
        <v>89</v>
      </c>
      <c r="M90" s="4"/>
      <c r="N90" s="4"/>
      <c r="O90" s="4"/>
      <c r="P90" s="4"/>
      <c r="S90" s="3">
        <v>88</v>
      </c>
      <c r="T90" s="8">
        <v>5.3062462098241357E-2</v>
      </c>
      <c r="U90" s="4">
        <v>52.6</v>
      </c>
      <c r="V90" s="4">
        <v>-1.6158584342289828</v>
      </c>
      <c r="W90" s="4">
        <v>74.343292214281348</v>
      </c>
      <c r="X90" s="4">
        <v>6.8567077857186547</v>
      </c>
      <c r="Y90" s="4">
        <v>1.0949247708798722</v>
      </c>
    </row>
    <row r="91" spans="11:25" x14ac:dyDescent="0.25">
      <c r="K91" s="3"/>
      <c r="L91" s="8">
        <v>89</v>
      </c>
      <c r="M91" s="4"/>
      <c r="N91" s="4"/>
      <c r="O91" s="4"/>
      <c r="P91" s="4"/>
      <c r="S91" s="3">
        <v>89</v>
      </c>
      <c r="T91" s="8">
        <v>5.3668890236506971E-2</v>
      </c>
      <c r="U91" s="4">
        <v>52.6</v>
      </c>
      <c r="V91" s="4">
        <v>-1.6102752474238053</v>
      </c>
      <c r="W91" s="4">
        <v>74.293974854985748</v>
      </c>
      <c r="X91" s="4">
        <v>6.7060251450142516</v>
      </c>
      <c r="Y91" s="4">
        <v>1.0708627631343357</v>
      </c>
    </row>
    <row r="92" spans="11:25" x14ac:dyDescent="0.25">
      <c r="K92" s="3"/>
      <c r="L92" s="8">
        <v>89</v>
      </c>
      <c r="M92" s="4"/>
      <c r="N92" s="4"/>
      <c r="O92" s="4"/>
      <c r="P92" s="4"/>
      <c r="S92" s="3">
        <v>90</v>
      </c>
      <c r="T92" s="8">
        <v>5.4275318374772591E-2</v>
      </c>
      <c r="U92" s="4">
        <v>52.6</v>
      </c>
      <c r="V92" s="4">
        <v>-1.6047418095286121</v>
      </c>
      <c r="W92" s="4">
        <v>74.195340136394563</v>
      </c>
      <c r="X92" s="4">
        <v>11.804659863605437</v>
      </c>
      <c r="Y92" s="4">
        <v>1.8850467163547509</v>
      </c>
    </row>
    <row r="93" spans="11:25" x14ac:dyDescent="0.25">
      <c r="K93" s="3"/>
      <c r="L93" s="8">
        <v>89</v>
      </c>
      <c r="M93" s="4"/>
      <c r="N93" s="4"/>
      <c r="O93" s="4"/>
      <c r="P93" s="4"/>
      <c r="S93" s="3">
        <v>91</v>
      </c>
      <c r="T93" s="8">
        <v>5.4881746513038204E-2</v>
      </c>
      <c r="U93" s="4">
        <v>52.6</v>
      </c>
      <c r="V93" s="4">
        <v>-1.5992570753291053</v>
      </c>
      <c r="W93" s="4">
        <v>74.096705417803378</v>
      </c>
      <c r="X93" s="4">
        <v>8.9032945821966223</v>
      </c>
      <c r="Y93" s="4">
        <v>1.4217373825951816</v>
      </c>
    </row>
    <row r="94" spans="11:25" x14ac:dyDescent="0.25">
      <c r="K94" s="3"/>
      <c r="L94" s="8">
        <v>89</v>
      </c>
      <c r="M94" s="4"/>
      <c r="N94" s="4"/>
      <c r="O94" s="4"/>
      <c r="P94" s="4"/>
      <c r="S94" s="3">
        <v>92</v>
      </c>
      <c r="T94" s="8">
        <v>5.5488174651303818E-2</v>
      </c>
      <c r="U94" s="4">
        <v>52.7</v>
      </c>
      <c r="V94" s="4">
        <v>-1.5938200328066188</v>
      </c>
      <c r="W94" s="4">
        <v>73.998070699212192</v>
      </c>
      <c r="X94" s="4">
        <v>5.9019293007878133</v>
      </c>
      <c r="Y94" s="4">
        <v>0.94245938274836327</v>
      </c>
    </row>
    <row r="95" spans="11:25" x14ac:dyDescent="0.25">
      <c r="K95" s="3"/>
      <c r="L95" s="8">
        <v>89</v>
      </c>
      <c r="M95" s="4"/>
      <c r="N95" s="4"/>
      <c r="O95" s="4"/>
      <c r="P95" s="4"/>
      <c r="S95" s="3">
        <v>93</v>
      </c>
      <c r="T95" s="8">
        <v>5.6094602789569438E-2</v>
      </c>
      <c r="U95" s="4">
        <v>52.8</v>
      </c>
      <c r="V95" s="4">
        <v>-1.5884297017318656</v>
      </c>
      <c r="W95" s="4">
        <v>73.899435980621007</v>
      </c>
      <c r="X95" s="4">
        <v>6.0005640193789986</v>
      </c>
      <c r="Y95" s="4">
        <v>0.95821003160628815</v>
      </c>
    </row>
    <row r="96" spans="11:25" x14ac:dyDescent="0.25">
      <c r="K96" s="3"/>
      <c r="L96" s="8">
        <v>89</v>
      </c>
      <c r="M96" s="4"/>
      <c r="N96" s="4"/>
      <c r="O96" s="4"/>
      <c r="P96" s="4"/>
      <c r="S96" s="3">
        <v>94</v>
      </c>
      <c r="T96" s="8">
        <v>5.6701030927835051E-2</v>
      </c>
      <c r="U96" s="4">
        <v>52.8</v>
      </c>
      <c r="V96" s="4">
        <v>-1.5830851323328083</v>
      </c>
      <c r="W96" s="4">
        <v>74.343292214281348</v>
      </c>
      <c r="X96" s="4">
        <v>7.0567077857186575</v>
      </c>
      <c r="Y96" s="4">
        <v>1.1268621030543722</v>
      </c>
    </row>
    <row r="97" spans="11:25" x14ac:dyDescent="0.25">
      <c r="K97" s="3"/>
      <c r="L97" s="8">
        <v>36.299999999999997</v>
      </c>
      <c r="M97" s="4"/>
      <c r="N97" s="4"/>
      <c r="O97" s="4"/>
      <c r="P97" s="4"/>
      <c r="S97" s="3">
        <v>95</v>
      </c>
      <c r="T97" s="8">
        <v>5.7307459066100665E-2</v>
      </c>
      <c r="U97" s="4">
        <v>52.9</v>
      </c>
      <c r="V97" s="4">
        <v>-1.5777854040319945</v>
      </c>
      <c r="W97" s="4">
        <v>74.244657495690163</v>
      </c>
      <c r="X97" s="4">
        <v>6.8553425043098315</v>
      </c>
      <c r="Y97" s="4">
        <v>1.0947067536505459</v>
      </c>
    </row>
    <row r="98" spans="11:25" x14ac:dyDescent="0.25">
      <c r="K98" s="3"/>
      <c r="L98" s="8">
        <v>36.299999999999997</v>
      </c>
      <c r="M98" s="4"/>
      <c r="N98" s="4"/>
      <c r="O98" s="4"/>
      <c r="P98" s="4"/>
      <c r="S98" s="3">
        <v>96</v>
      </c>
      <c r="T98" s="8">
        <v>5.7913887204366285E-2</v>
      </c>
      <c r="U98" s="4">
        <v>53</v>
      </c>
      <c r="V98" s="4">
        <v>-1.5725296242490356</v>
      </c>
      <c r="W98" s="4">
        <v>77.253016412721308</v>
      </c>
      <c r="X98" s="4">
        <v>10.746983587278692</v>
      </c>
      <c r="Y98" s="4">
        <v>1.7161499235040754</v>
      </c>
    </row>
    <row r="99" spans="11:25" x14ac:dyDescent="0.25">
      <c r="K99" s="3"/>
      <c r="L99" s="8">
        <v>36.299999999999997</v>
      </c>
      <c r="M99" s="4"/>
      <c r="N99" s="4"/>
      <c r="O99" s="4"/>
      <c r="P99" s="4"/>
      <c r="S99" s="3">
        <v>97</v>
      </c>
      <c r="T99" s="8">
        <v>5.8520315342631898E-2</v>
      </c>
      <c r="U99" s="4">
        <v>53</v>
      </c>
      <c r="V99" s="4">
        <v>-1.5673169272642296</v>
      </c>
      <c r="W99" s="4">
        <v>73.998070699212192</v>
      </c>
      <c r="X99" s="4">
        <v>14.001929300787808</v>
      </c>
      <c r="Y99" s="4">
        <v>2.2359213358155969</v>
      </c>
    </row>
    <row r="100" spans="11:25" x14ac:dyDescent="0.25">
      <c r="K100" s="3"/>
      <c r="L100" s="8">
        <v>89</v>
      </c>
      <c r="M100" s="4"/>
      <c r="N100" s="4"/>
      <c r="O100" s="4"/>
      <c r="P100" s="4"/>
      <c r="S100" s="3">
        <v>98</v>
      </c>
      <c r="T100" s="8">
        <v>5.9126743480897512E-2</v>
      </c>
      <c r="U100" s="4">
        <v>53.2</v>
      </c>
      <c r="V100" s="4">
        <v>-1.5621464731395975</v>
      </c>
      <c r="W100" s="4">
        <v>73.899435980621007</v>
      </c>
      <c r="X100" s="4">
        <v>10.100564019378993</v>
      </c>
      <c r="Y100" s="4">
        <v>1.6129253411835294</v>
      </c>
    </row>
    <row r="101" spans="11:25" x14ac:dyDescent="0.25">
      <c r="K101" s="3"/>
      <c r="L101" s="8">
        <v>89</v>
      </c>
      <c r="M101" s="4"/>
      <c r="N101" s="4"/>
      <c r="O101" s="4"/>
      <c r="P101" s="4"/>
      <c r="S101" s="3">
        <v>99</v>
      </c>
      <c r="T101" s="8">
        <v>5.9733171619163132E-2</v>
      </c>
      <c r="U101" s="4">
        <v>53.2</v>
      </c>
      <c r="V101" s="4">
        <v>-1.5570174466938811</v>
      </c>
      <c r="W101" s="4">
        <v>73.800801262029822</v>
      </c>
      <c r="X101" s="4">
        <v>8.1991987379701783</v>
      </c>
      <c r="Y101" s="4">
        <v>1.3093026682964581</v>
      </c>
    </row>
    <row r="102" spans="11:25" x14ac:dyDescent="0.25">
      <c r="K102" s="3"/>
      <c r="L102" s="8">
        <v>89</v>
      </c>
      <c r="M102" s="4"/>
      <c r="N102" s="4"/>
      <c r="O102" s="4"/>
      <c r="P102" s="4"/>
      <c r="S102" s="3">
        <v>100</v>
      </c>
      <c r="T102" s="8">
        <v>6.0339599757428745E-2</v>
      </c>
      <c r="U102" s="4">
        <v>53.2</v>
      </c>
      <c r="V102" s="4">
        <v>-1.5519290565282795</v>
      </c>
      <c r="W102" s="4">
        <v>73.850118621325421</v>
      </c>
      <c r="X102" s="4">
        <v>10.149881378674579</v>
      </c>
      <c r="Y102" s="4">
        <v>1.6208006656124907</v>
      </c>
    </row>
    <row r="103" spans="11:25" x14ac:dyDescent="0.25">
      <c r="K103" s="3"/>
      <c r="L103" s="8">
        <v>89</v>
      </c>
      <c r="M103" s="4"/>
      <c r="N103" s="4"/>
      <c r="O103" s="4"/>
      <c r="P103" s="4"/>
      <c r="S103" s="3">
        <v>101</v>
      </c>
      <c r="T103" s="8">
        <v>6.0946027895694359E-2</v>
      </c>
      <c r="U103" s="4">
        <v>53.3</v>
      </c>
      <c r="V103" s="4">
        <v>-1.5468805340999257</v>
      </c>
      <c r="W103" s="4">
        <v>77.203699053425723</v>
      </c>
      <c r="X103" s="4">
        <v>3.7963009465742772</v>
      </c>
      <c r="Y103" s="4">
        <v>0.60621862182555009</v>
      </c>
    </row>
    <row r="104" spans="11:25" x14ac:dyDescent="0.25">
      <c r="K104" s="3"/>
      <c r="L104" s="8">
        <v>89</v>
      </c>
      <c r="M104" s="4"/>
      <c r="N104" s="4"/>
      <c r="O104" s="4"/>
      <c r="P104" s="4"/>
      <c r="S104" s="3">
        <v>102</v>
      </c>
      <c r="T104" s="8">
        <v>6.1552456033959979E-2</v>
      </c>
      <c r="U104" s="4">
        <v>53.4</v>
      </c>
      <c r="V104" s="4">
        <v>-1.5418711328403236</v>
      </c>
      <c r="W104" s="4">
        <v>73.603531824847451</v>
      </c>
      <c r="X104" s="4">
        <v>6.1964681751525461</v>
      </c>
      <c r="Y104" s="4">
        <v>0.98949331209281166</v>
      </c>
    </row>
    <row r="105" spans="11:25" x14ac:dyDescent="0.25">
      <c r="K105" s="3"/>
      <c r="L105" s="8">
        <v>89</v>
      </c>
      <c r="M105" s="4"/>
      <c r="N105" s="4"/>
      <c r="O105" s="4"/>
      <c r="P105" s="4"/>
      <c r="S105" s="3">
        <v>103</v>
      </c>
      <c r="T105" s="8">
        <v>6.2158884172225592E-2</v>
      </c>
      <c r="U105" s="4">
        <v>53.4</v>
      </c>
      <c r="V105" s="4">
        <v>-1.5369001273161307</v>
      </c>
      <c r="W105" s="4">
        <v>73.40626238766508</v>
      </c>
      <c r="X105" s="4">
        <v>5.9937376123349253</v>
      </c>
      <c r="Y105" s="4">
        <v>0.95711994545966361</v>
      </c>
    </row>
    <row r="106" spans="11:25" x14ac:dyDescent="0.25">
      <c r="K106" s="3"/>
      <c r="L106" s="8">
        <v>89</v>
      </c>
      <c r="M106" s="4"/>
      <c r="N106" s="4"/>
      <c r="O106" s="4"/>
      <c r="P106" s="4"/>
      <c r="S106" s="3">
        <v>104</v>
      </c>
      <c r="T106" s="8">
        <v>6.2765312310491206E-2</v>
      </c>
      <c r="U106" s="4">
        <v>53.6</v>
      </c>
      <c r="V106" s="4">
        <v>-1.5319668124298669</v>
      </c>
      <c r="W106" s="4">
        <v>73.356945028369495</v>
      </c>
      <c r="X106" s="4">
        <v>5.9430549716305023</v>
      </c>
      <c r="Y106" s="4">
        <v>0.94902660380137382</v>
      </c>
    </row>
    <row r="107" spans="11:25" x14ac:dyDescent="0.25">
      <c r="K107" s="3"/>
      <c r="L107" s="8">
        <v>89</v>
      </c>
      <c r="M107" s="4"/>
      <c r="N107" s="4"/>
      <c r="O107" s="4"/>
      <c r="P107" s="4"/>
      <c r="S107" s="3">
        <v>105</v>
      </c>
      <c r="T107" s="8">
        <v>6.3371740448756819E-2</v>
      </c>
      <c r="U107" s="4">
        <v>53.6</v>
      </c>
      <c r="V107" s="4">
        <v>-1.5270705026582772</v>
      </c>
      <c r="W107" s="4">
        <v>73.258310309778295</v>
      </c>
      <c r="X107" s="4">
        <v>5.5416896902217019</v>
      </c>
      <c r="Y107" s="4">
        <v>0.88493392222305189</v>
      </c>
    </row>
    <row r="108" spans="11:25" x14ac:dyDescent="0.25">
      <c r="K108" s="3"/>
      <c r="L108" s="8">
        <v>89</v>
      </c>
      <c r="M108" s="4"/>
      <c r="N108" s="4"/>
      <c r="O108" s="4"/>
      <c r="P108" s="4"/>
      <c r="S108" s="3">
        <v>106</v>
      </c>
      <c r="T108" s="8">
        <v>6.3978168587022433E-2</v>
      </c>
      <c r="U108" s="4">
        <v>53.6</v>
      </c>
      <c r="V108" s="4">
        <v>-1.5222105313262395</v>
      </c>
      <c r="W108" s="4">
        <v>77.154381694130123</v>
      </c>
      <c r="X108" s="4">
        <v>1.5456183058698798</v>
      </c>
      <c r="Y108" s="4">
        <v>0.24681462624776851</v>
      </c>
    </row>
    <row r="109" spans="11:25" x14ac:dyDescent="0.25">
      <c r="K109" s="3"/>
      <c r="L109" s="8">
        <v>89</v>
      </c>
      <c r="M109" s="4"/>
      <c r="N109" s="4"/>
      <c r="O109" s="4"/>
      <c r="P109" s="4"/>
      <c r="S109" s="3">
        <v>107</v>
      </c>
      <c r="T109" s="8">
        <v>6.458459672528806E-2</v>
      </c>
      <c r="U109" s="4">
        <v>53.6</v>
      </c>
      <c r="V109" s="4">
        <v>-1.5173862499142299</v>
      </c>
      <c r="W109" s="4">
        <v>73.061040872595925</v>
      </c>
      <c r="X109" s="4">
        <v>5.5389591274040697</v>
      </c>
      <c r="Y109" s="4">
        <v>0.88449788776440164</v>
      </c>
    </row>
    <row r="110" spans="11:25" x14ac:dyDescent="0.25">
      <c r="K110" s="3"/>
      <c r="L110" s="8">
        <v>89</v>
      </c>
      <c r="M110" s="4"/>
      <c r="N110" s="4"/>
      <c r="O110" s="4"/>
      <c r="P110" s="4"/>
      <c r="S110" s="3">
        <v>108</v>
      </c>
      <c r="T110" s="8">
        <v>6.5191024863553673E-2</v>
      </c>
      <c r="U110" s="4">
        <v>53.7</v>
      </c>
      <c r="V110" s="4">
        <v>-1.5125970273974985</v>
      </c>
      <c r="W110" s="4">
        <v>72.863771435413554</v>
      </c>
      <c r="X110" s="4">
        <v>5.2362285645864404</v>
      </c>
      <c r="Y110" s="4">
        <v>0.83615585504400236</v>
      </c>
    </row>
    <row r="111" spans="11:25" x14ac:dyDescent="0.25">
      <c r="K111" s="3"/>
      <c r="L111" s="8">
        <v>89</v>
      </c>
      <c r="M111" s="4"/>
      <c r="N111" s="4"/>
      <c r="O111" s="4"/>
      <c r="P111" s="4"/>
      <c r="S111" s="3">
        <v>109</v>
      </c>
      <c r="T111" s="8">
        <v>6.5797453001819287E-2</v>
      </c>
      <c r="U111" s="4">
        <v>53.8</v>
      </c>
      <c r="V111" s="4">
        <v>-1.5078422496152202</v>
      </c>
      <c r="W111" s="4">
        <v>71.72947217161493</v>
      </c>
      <c r="X111" s="4">
        <v>0.77052782838507028</v>
      </c>
      <c r="Y111" s="4">
        <v>0.12304301602414912</v>
      </c>
    </row>
    <row r="112" spans="11:25" x14ac:dyDescent="0.25">
      <c r="K112" s="3"/>
      <c r="L112" s="8">
        <v>89</v>
      </c>
      <c r="M112" s="4"/>
      <c r="N112" s="4"/>
      <c r="O112" s="4"/>
      <c r="P112" s="4"/>
      <c r="S112" s="3">
        <v>110</v>
      </c>
      <c r="T112" s="8">
        <v>6.64038811400849E-2</v>
      </c>
      <c r="U112" s="4">
        <v>53.8</v>
      </c>
      <c r="V112" s="4">
        <v>-1.5031213186680006</v>
      </c>
      <c r="W112" s="4">
        <v>71.630837453023744</v>
      </c>
      <c r="X112" s="4">
        <v>0.56916254697625845</v>
      </c>
      <c r="Y112" s="4">
        <v>9.0887666620325047E-2</v>
      </c>
    </row>
    <row r="113" spans="11:25" x14ac:dyDescent="0.25">
      <c r="K113" s="3"/>
      <c r="L113" s="8">
        <v>89</v>
      </c>
      <c r="M113" s="4"/>
      <c r="N113" s="4"/>
      <c r="O113" s="4"/>
      <c r="P113" s="4"/>
      <c r="S113" s="3">
        <v>111</v>
      </c>
      <c r="T113" s="8">
        <v>6.7010309278350513E-2</v>
      </c>
      <c r="U113" s="4">
        <v>54</v>
      </c>
      <c r="V113" s="4">
        <v>-1.4984336523422108</v>
      </c>
      <c r="W113" s="4">
        <v>71.532202734432559</v>
      </c>
      <c r="X113" s="4">
        <v>0.36779726556744663</v>
      </c>
      <c r="Y113" s="4">
        <v>5.8732317216500969E-2</v>
      </c>
    </row>
    <row r="114" spans="11:25" x14ac:dyDescent="0.25">
      <c r="K114" s="3"/>
      <c r="L114" s="8">
        <v>89</v>
      </c>
      <c r="M114" s="4"/>
      <c r="N114" s="4"/>
      <c r="O114" s="4"/>
      <c r="P114" s="4"/>
      <c r="S114" s="3">
        <v>112</v>
      </c>
      <c r="T114" s="8">
        <v>6.7616737416616127E-2</v>
      </c>
      <c r="U114" s="4">
        <v>54</v>
      </c>
      <c r="V114" s="4">
        <v>-1.4937786835597284</v>
      </c>
      <c r="W114" s="4">
        <v>71.433568015841374</v>
      </c>
      <c r="X114" s="4">
        <v>0.16643198415862059</v>
      </c>
      <c r="Y114" s="4">
        <v>2.6576967812674622E-2</v>
      </c>
    </row>
    <row r="115" spans="11:25" x14ac:dyDescent="0.25">
      <c r="K115" s="3"/>
      <c r="L115" s="8">
        <v>36.299999999999997</v>
      </c>
      <c r="M115" s="4"/>
      <c r="N115" s="4"/>
      <c r="O115" s="4"/>
      <c r="P115" s="4"/>
      <c r="S115" s="3">
        <v>113</v>
      </c>
      <c r="T115" s="8">
        <v>6.822316555488174E-2</v>
      </c>
      <c r="U115" s="4">
        <v>54</v>
      </c>
      <c r="V115" s="4">
        <v>-1.489155859851746</v>
      </c>
      <c r="W115" s="4">
        <v>76.957112256947752</v>
      </c>
      <c r="X115" s="4">
        <v>-5.8571122569477581</v>
      </c>
      <c r="Y115" s="4">
        <v>-0.93530269866736848</v>
      </c>
    </row>
    <row r="116" spans="11:25" x14ac:dyDescent="0.25">
      <c r="K116" s="3"/>
      <c r="L116" s="8">
        <v>89</v>
      </c>
      <c r="M116" s="4"/>
      <c r="N116" s="4"/>
      <c r="O116" s="4"/>
      <c r="P116" s="4"/>
      <c r="S116" s="3">
        <v>114</v>
      </c>
      <c r="T116" s="8">
        <v>6.8829593693147367E-2</v>
      </c>
      <c r="U116" s="4">
        <v>54</v>
      </c>
      <c r="V116" s="4">
        <v>-1.4845646428553856</v>
      </c>
      <c r="W116" s="4">
        <v>71.088346500772218</v>
      </c>
      <c r="X116" s="4">
        <v>6.911653499227782</v>
      </c>
      <c r="Y116" s="4">
        <v>1.1036988683994016</v>
      </c>
    </row>
    <row r="117" spans="11:25" x14ac:dyDescent="0.25">
      <c r="K117" s="3"/>
      <c r="L117" s="8">
        <v>89</v>
      </c>
      <c r="M117" s="4"/>
      <c r="N117" s="4"/>
      <c r="O117" s="4"/>
      <c r="P117" s="4"/>
      <c r="S117" s="3">
        <v>115</v>
      </c>
      <c r="T117" s="8">
        <v>6.9436021831412981E-2</v>
      </c>
      <c r="U117" s="4">
        <v>54</v>
      </c>
      <c r="V117" s="4">
        <v>-1.4800045078319408</v>
      </c>
      <c r="W117" s="4">
        <v>70.644490267111891</v>
      </c>
      <c r="X117" s="4">
        <v>2.3555097328881089</v>
      </c>
      <c r="Y117" s="4">
        <v>0.37614348389757202</v>
      </c>
    </row>
    <row r="118" spans="11:25" x14ac:dyDescent="0.25">
      <c r="K118" s="3"/>
      <c r="L118" s="8">
        <v>89</v>
      </c>
      <c r="M118" s="4"/>
      <c r="N118" s="4"/>
      <c r="O118" s="4"/>
      <c r="P118" s="4"/>
      <c r="S118" s="3">
        <v>116</v>
      </c>
      <c r="T118" s="8">
        <v>7.0042449969678594E-2</v>
      </c>
      <c r="U118" s="4">
        <v>54.1</v>
      </c>
      <c r="V118" s="4">
        <v>-1.4754749432056431</v>
      </c>
      <c r="W118" s="4">
        <v>76.907794897652167</v>
      </c>
      <c r="X118" s="4">
        <v>-3.9077948976521668</v>
      </c>
      <c r="Y118" s="4">
        <v>-0.62402271858065994</v>
      </c>
    </row>
    <row r="119" spans="11:25" x14ac:dyDescent="0.25">
      <c r="K119" s="3"/>
      <c r="L119" s="8">
        <v>89</v>
      </c>
      <c r="M119" s="4"/>
      <c r="N119" s="4"/>
      <c r="O119" s="4"/>
      <c r="P119" s="4"/>
      <c r="S119" s="3">
        <v>117</v>
      </c>
      <c r="T119" s="8">
        <v>7.0648878107944207E-2</v>
      </c>
      <c r="U119" s="4">
        <v>54.1</v>
      </c>
      <c r="V119" s="4">
        <v>-1.4709754501218946</v>
      </c>
      <c r="W119" s="4">
        <v>70.003364596269179</v>
      </c>
      <c r="X119" s="4">
        <v>-0.80336459626917645</v>
      </c>
      <c r="Y119" s="4">
        <v>-0.12828660984140733</v>
      </c>
    </row>
    <row r="120" spans="11:25" x14ac:dyDescent="0.25">
      <c r="K120" s="3"/>
      <c r="L120" s="8">
        <v>89</v>
      </c>
      <c r="M120" s="4"/>
      <c r="N120" s="4"/>
      <c r="O120" s="4"/>
      <c r="P120" s="4"/>
      <c r="S120" s="3">
        <v>118</v>
      </c>
      <c r="T120" s="8">
        <v>7.1255306246209821E-2</v>
      </c>
      <c r="U120" s="4">
        <v>54.1</v>
      </c>
      <c r="V120" s="4">
        <v>-1.4665055420239981</v>
      </c>
      <c r="W120" s="4">
        <v>69.608825721904438</v>
      </c>
      <c r="X120" s="4">
        <v>-1.2088257219044323</v>
      </c>
      <c r="Y120" s="4">
        <v>-0.19303334310770576</v>
      </c>
    </row>
    <row r="121" spans="11:25" x14ac:dyDescent="0.25">
      <c r="K121" s="3"/>
      <c r="L121" s="8">
        <v>89</v>
      </c>
      <c r="M121" s="4"/>
      <c r="N121" s="4"/>
      <c r="O121" s="4"/>
      <c r="P121" s="4"/>
      <c r="S121" s="3">
        <v>119</v>
      </c>
      <c r="T121" s="8">
        <v>7.1861734384475434E-2</v>
      </c>
      <c r="U121" s="4">
        <v>54.2</v>
      </c>
      <c r="V121" s="4">
        <v>-1.462064744247453</v>
      </c>
      <c r="W121" s="4">
        <v>70.003364596269179</v>
      </c>
      <c r="X121" s="4">
        <v>-1.6033645962691736</v>
      </c>
      <c r="Y121" s="4">
        <v>-0.25603593853940532</v>
      </c>
    </row>
    <row r="122" spans="11:25" x14ac:dyDescent="0.25">
      <c r="K122" s="3"/>
      <c r="L122" s="8">
        <v>89</v>
      </c>
      <c r="M122" s="4"/>
      <c r="N122" s="4"/>
      <c r="O122" s="4"/>
      <c r="P122" s="4"/>
      <c r="S122" s="3">
        <v>120</v>
      </c>
      <c r="T122" s="8">
        <v>7.2468162522741061E-2</v>
      </c>
      <c r="U122" s="4">
        <v>54.3</v>
      </c>
      <c r="V122" s="4">
        <v>-1.4576525936309461</v>
      </c>
      <c r="W122" s="4">
        <v>70.003364596269179</v>
      </c>
      <c r="X122" s="4">
        <v>-2.2033645962691821</v>
      </c>
      <c r="Y122" s="4">
        <v>-0.35184793506290557</v>
      </c>
    </row>
    <row r="123" spans="11:25" x14ac:dyDescent="0.25">
      <c r="K123" s="3"/>
      <c r="L123" s="8">
        <v>89</v>
      </c>
      <c r="M123" s="4"/>
      <c r="N123" s="4"/>
      <c r="O123" s="4"/>
      <c r="P123" s="4"/>
      <c r="S123" s="3">
        <v>121</v>
      </c>
      <c r="T123" s="8">
        <v>7.3074590661006675E-2</v>
      </c>
      <c r="U123" s="4">
        <v>54.3</v>
      </c>
      <c r="V123" s="4">
        <v>-1.4532686381432205</v>
      </c>
      <c r="W123" s="4">
        <v>70.397903470633921</v>
      </c>
      <c r="X123" s="4">
        <v>-2.5979034706339235</v>
      </c>
      <c r="Y123" s="4">
        <v>-0.41485053049460513</v>
      </c>
    </row>
    <row r="124" spans="11:25" x14ac:dyDescent="0.25">
      <c r="K124" s="3"/>
      <c r="L124" s="8">
        <v>89</v>
      </c>
      <c r="M124" s="4"/>
      <c r="N124" s="4"/>
      <c r="O124" s="4"/>
      <c r="P124" s="4"/>
      <c r="S124" s="3">
        <v>122</v>
      </c>
      <c r="T124" s="8">
        <v>7.3681018799272288E-2</v>
      </c>
      <c r="U124" s="4">
        <v>54.3</v>
      </c>
      <c r="V124" s="4">
        <v>-1.448912436525041</v>
      </c>
      <c r="W124" s="4">
        <v>71.088346500772218</v>
      </c>
      <c r="X124" s="4">
        <v>0.31165349922778773</v>
      </c>
      <c r="Y124" s="4">
        <v>4.9766906640915085E-2</v>
      </c>
    </row>
    <row r="125" spans="11:25" x14ac:dyDescent="0.25">
      <c r="K125" s="3"/>
      <c r="L125" s="8">
        <v>89</v>
      </c>
      <c r="M125" s="4"/>
      <c r="N125" s="4"/>
      <c r="O125" s="4"/>
      <c r="P125" s="4"/>
      <c r="S125" s="3">
        <v>123</v>
      </c>
      <c r="T125" s="8">
        <v>7.4287446937537902E-2</v>
      </c>
      <c r="U125" s="4">
        <v>54.5</v>
      </c>
      <c r="V125" s="4">
        <v>-1.4445835579455348</v>
      </c>
      <c r="W125" s="4">
        <v>70.940394422885447</v>
      </c>
      <c r="X125" s="4">
        <v>5.9605577114552943E-2</v>
      </c>
      <c r="Y125" s="4">
        <v>9.5182155788011494E-3</v>
      </c>
    </row>
    <row r="126" spans="11:25" x14ac:dyDescent="0.25">
      <c r="K126" s="3"/>
      <c r="L126" s="8">
        <v>89</v>
      </c>
      <c r="M126" s="4"/>
      <c r="N126" s="4"/>
      <c r="O126" s="4"/>
      <c r="P126" s="4"/>
      <c r="S126" s="3">
        <v>124</v>
      </c>
      <c r="T126" s="8">
        <v>7.4893875075803515E-2</v>
      </c>
      <c r="U126" s="4">
        <v>54.8</v>
      </c>
      <c r="V126" s="4">
        <v>-1.4402815816722083</v>
      </c>
      <c r="W126" s="4">
        <v>70.841759704294262</v>
      </c>
      <c r="X126" s="4">
        <v>6.1582402957057383</v>
      </c>
      <c r="Y126" s="4">
        <v>0.98338882967171459</v>
      </c>
    </row>
    <row r="127" spans="11:25" x14ac:dyDescent="0.25">
      <c r="K127" s="3"/>
      <c r="L127" s="8">
        <v>89</v>
      </c>
      <c r="M127" s="4"/>
      <c r="N127" s="4"/>
      <c r="O127" s="4"/>
      <c r="P127" s="4"/>
      <c r="S127" s="3">
        <v>125</v>
      </c>
      <c r="T127" s="8">
        <v>7.5500303214069128E-2</v>
      </c>
      <c r="U127" s="4">
        <v>54.8</v>
      </c>
      <c r="V127" s="4">
        <v>-1.4360060967540007</v>
      </c>
      <c r="W127" s="4">
        <v>76.907794897652167</v>
      </c>
      <c r="X127" s="4">
        <v>-3.9077948976521668</v>
      </c>
      <c r="Y127" s="4">
        <v>-0.62402271858065994</v>
      </c>
    </row>
    <row r="128" spans="11:25" x14ac:dyDescent="0.25">
      <c r="K128" s="3"/>
      <c r="L128" s="8">
        <v>89</v>
      </c>
      <c r="M128" s="4"/>
      <c r="N128" s="4"/>
      <c r="O128" s="4"/>
      <c r="P128" s="4"/>
      <c r="S128" s="3">
        <v>126</v>
      </c>
      <c r="T128" s="8">
        <v>7.6106731352334742E-2</v>
      </c>
      <c r="U128" s="4">
        <v>54.8</v>
      </c>
      <c r="V128" s="4">
        <v>-1.4317567017167452</v>
      </c>
      <c r="W128" s="4">
        <v>70.595172907816291</v>
      </c>
      <c r="X128" s="4">
        <v>-0.6951729078162856</v>
      </c>
      <c r="Y128" s="4">
        <v>-0.11100984037820757</v>
      </c>
    </row>
    <row r="129" spans="11:25" x14ac:dyDescent="0.25">
      <c r="K129" s="3"/>
      <c r="L129" s="8">
        <v>89</v>
      </c>
      <c r="M129" s="4"/>
      <c r="N129" s="4"/>
      <c r="O129" s="4"/>
      <c r="P129" s="4"/>
      <c r="S129" s="3">
        <v>127</v>
      </c>
      <c r="T129" s="8">
        <v>7.6713159490600369E-2</v>
      </c>
      <c r="U129" s="4">
        <v>54.8</v>
      </c>
      <c r="V129" s="4">
        <v>-1.4275330042704695</v>
      </c>
      <c r="W129" s="4">
        <v>70.496538189225106</v>
      </c>
      <c r="X129" s="4">
        <v>-0.99653818922510595</v>
      </c>
      <c r="Y129" s="4">
        <v>-0.15913385586928283</v>
      </c>
    </row>
    <row r="130" spans="11:25" x14ac:dyDescent="0.25">
      <c r="K130" s="3"/>
      <c r="L130" s="8">
        <v>36.299999999999997</v>
      </c>
      <c r="M130" s="4"/>
      <c r="N130" s="4"/>
      <c r="O130" s="4"/>
      <c r="P130" s="4"/>
      <c r="S130" s="3">
        <v>128</v>
      </c>
      <c r="T130" s="8">
        <v>7.7319587628865982E-2</v>
      </c>
      <c r="U130" s="4">
        <v>54.8</v>
      </c>
      <c r="V130" s="4">
        <v>-1.4233346210279798</v>
      </c>
      <c r="W130" s="4">
        <v>70.348586111338335</v>
      </c>
      <c r="X130" s="4">
        <v>-1.2485861113383407</v>
      </c>
      <c r="Y130" s="4">
        <v>-0.19938254693139676</v>
      </c>
    </row>
    <row r="131" spans="11:25" x14ac:dyDescent="0.25">
      <c r="K131" s="3"/>
      <c r="L131" s="8">
        <v>36.299999999999997</v>
      </c>
      <c r="M131" s="4"/>
      <c r="N131" s="4"/>
      <c r="O131" s="4"/>
      <c r="P131" s="4"/>
      <c r="S131" s="3">
        <v>129</v>
      </c>
      <c r="T131" s="8">
        <v>7.7926015767131596E-2</v>
      </c>
      <c r="U131" s="4">
        <v>54.9</v>
      </c>
      <c r="V131" s="4">
        <v>-1.4191611772342043</v>
      </c>
      <c r="W131" s="4">
        <v>70.151316674155964</v>
      </c>
      <c r="X131" s="4">
        <v>-1.5513166741559701</v>
      </c>
      <c r="Y131" s="4">
        <v>-0.24772457965179601</v>
      </c>
    </row>
    <row r="132" spans="11:25" x14ac:dyDescent="0.25">
      <c r="K132" s="3"/>
      <c r="L132" s="8">
        <v>89</v>
      </c>
      <c r="M132" s="4"/>
      <c r="N132" s="4"/>
      <c r="O132" s="4"/>
      <c r="P132" s="4"/>
      <c r="S132" s="3">
        <v>130</v>
      </c>
      <c r="T132" s="8">
        <v>7.8532443905397209E-2</v>
      </c>
      <c r="U132" s="4">
        <v>54.9</v>
      </c>
      <c r="V132" s="4">
        <v>-1.4150123065058142</v>
      </c>
      <c r="W132" s="4">
        <v>70.101999314860365</v>
      </c>
      <c r="X132" s="4">
        <v>-1.9019993148603618</v>
      </c>
      <c r="Y132" s="4">
        <v>-0.30372391957183031</v>
      </c>
    </row>
    <row r="133" spans="11:25" x14ac:dyDescent="0.25">
      <c r="K133" s="3"/>
      <c r="L133" s="8">
        <v>89</v>
      </c>
      <c r="M133" s="4"/>
      <c r="N133" s="4"/>
      <c r="O133" s="4"/>
      <c r="P133" s="4"/>
      <c r="S133" s="3">
        <v>131</v>
      </c>
      <c r="T133" s="8">
        <v>7.9138872043662822E-2</v>
      </c>
      <c r="U133" s="4">
        <v>54.9</v>
      </c>
      <c r="V133" s="4">
        <v>-1.4108876505806462</v>
      </c>
      <c r="W133" s="4">
        <v>69.954047236973594</v>
      </c>
      <c r="X133" s="4">
        <v>-2.1540472369735966</v>
      </c>
      <c r="Y133" s="4">
        <v>-0.34397261063394424</v>
      </c>
    </row>
    <row r="134" spans="11:25" x14ac:dyDescent="0.25">
      <c r="K134" s="3"/>
      <c r="L134" s="8">
        <v>89</v>
      </c>
      <c r="M134" s="4"/>
      <c r="N134" s="4"/>
      <c r="O134" s="4"/>
      <c r="P134" s="4"/>
      <c r="S134" s="3">
        <v>132</v>
      </c>
      <c r="T134" s="8">
        <v>7.9745300181928436E-2</v>
      </c>
      <c r="U134" s="4">
        <v>55</v>
      </c>
      <c r="V134" s="4">
        <v>-1.4067868590764925</v>
      </c>
      <c r="W134" s="4">
        <v>69.806095159086809</v>
      </c>
      <c r="X134" s="4">
        <v>-2.5060951590868115</v>
      </c>
      <c r="Y134" s="4">
        <v>-0.40018996778330479</v>
      </c>
    </row>
    <row r="135" spans="11:25" x14ac:dyDescent="0.25">
      <c r="K135" s="3"/>
      <c r="L135" s="8">
        <v>89</v>
      </c>
      <c r="M135" s="4"/>
      <c r="N135" s="4"/>
      <c r="O135" s="4"/>
      <c r="P135" s="4"/>
      <c r="S135" s="3">
        <v>133</v>
      </c>
      <c r="T135" s="8">
        <v>8.0351728320194063E-2</v>
      </c>
      <c r="U135" s="4">
        <v>55</v>
      </c>
      <c r="V135" s="4">
        <v>-1.4027095892588299</v>
      </c>
      <c r="W135" s="4">
        <v>69.658143081200038</v>
      </c>
      <c r="X135" s="4">
        <v>-2.8581430812000406</v>
      </c>
      <c r="Y135" s="4">
        <v>-0.45640732493266767</v>
      </c>
    </row>
    <row r="136" spans="11:25" x14ac:dyDescent="0.25">
      <c r="K136" s="3"/>
      <c r="L136" s="8">
        <v>89</v>
      </c>
      <c r="M136" s="4"/>
      <c r="N136" s="4"/>
      <c r="O136" s="4"/>
      <c r="P136" s="4"/>
      <c r="S136" s="3">
        <v>134</v>
      </c>
      <c r="T136" s="8">
        <v>8.0958156458459676E-2</v>
      </c>
      <c r="U136" s="4">
        <v>55</v>
      </c>
      <c r="V136" s="4">
        <v>-1.3986555058171073</v>
      </c>
      <c r="W136" s="4">
        <v>67.784083427967502</v>
      </c>
      <c r="X136" s="4">
        <v>4.2159165720324978</v>
      </c>
      <c r="Y136" s="4">
        <v>0.67322563990489814</v>
      </c>
    </row>
    <row r="137" spans="11:25" x14ac:dyDescent="0.25">
      <c r="K137" s="3"/>
      <c r="L137" s="8">
        <v>89</v>
      </c>
      <c r="M137" s="4"/>
      <c r="N137" s="4"/>
      <c r="O137" s="4"/>
      <c r="P137" s="4"/>
      <c r="S137" s="3">
        <v>135</v>
      </c>
      <c r="T137" s="8">
        <v>8.156458459672529E-2</v>
      </c>
      <c r="U137" s="4">
        <v>55.3</v>
      </c>
      <c r="V137" s="4">
        <v>-1.3946242806491955</v>
      </c>
      <c r="W137" s="4">
        <v>76.463938663991826</v>
      </c>
      <c r="X137" s="4">
        <v>-4.7639386639918229</v>
      </c>
      <c r="Y137" s="4">
        <v>-0.76073745785424385</v>
      </c>
    </row>
    <row r="138" spans="11:25" x14ac:dyDescent="0.25">
      <c r="K138" s="3"/>
      <c r="L138" s="8">
        <v>89</v>
      </c>
      <c r="M138" s="4"/>
      <c r="N138" s="4"/>
      <c r="O138" s="4"/>
      <c r="P138" s="4"/>
      <c r="S138" s="3">
        <v>136</v>
      </c>
      <c r="T138" s="8">
        <v>8.2171012734990903E-2</v>
      </c>
      <c r="U138" s="4">
        <v>55.3</v>
      </c>
      <c r="V138" s="4">
        <v>-1.3906155926536612</v>
      </c>
      <c r="W138" s="4">
        <v>68.030670224445473</v>
      </c>
      <c r="X138" s="4">
        <v>3.8693297755545331</v>
      </c>
      <c r="Y138" s="4">
        <v>0.61788035167283584</v>
      </c>
    </row>
    <row r="139" spans="11:25" x14ac:dyDescent="0.25">
      <c r="K139" s="3"/>
      <c r="L139" s="8">
        <v>89</v>
      </c>
      <c r="M139" s="4"/>
      <c r="N139" s="4"/>
      <c r="O139" s="4"/>
      <c r="P139" s="4"/>
      <c r="S139" s="3">
        <v>137</v>
      </c>
      <c r="T139" s="8">
        <v>8.2777440873256516E-2</v>
      </c>
      <c r="U139" s="4">
        <v>55.3</v>
      </c>
      <c r="V139" s="4">
        <v>-1.3866291275295091</v>
      </c>
      <c r="W139" s="4">
        <v>66.156610571212951</v>
      </c>
      <c r="X139" s="4">
        <v>5.8433894287870487</v>
      </c>
      <c r="Y139" s="4">
        <v>0.93311134606065771</v>
      </c>
    </row>
    <row r="140" spans="11:25" x14ac:dyDescent="0.25">
      <c r="K140" s="3"/>
      <c r="L140" s="8">
        <v>89</v>
      </c>
      <c r="M140" s="4"/>
      <c r="N140" s="4"/>
      <c r="O140" s="4"/>
      <c r="P140" s="4"/>
      <c r="S140" s="3">
        <v>138</v>
      </c>
      <c r="T140" s="8">
        <v>8.338386901152213E-2</v>
      </c>
      <c r="U140" s="4">
        <v>55.3</v>
      </c>
      <c r="V140" s="4">
        <v>-1.3826645775830848</v>
      </c>
      <c r="W140" s="4">
        <v>66.649784164168878</v>
      </c>
      <c r="X140" s="4">
        <v>6.350215835831122</v>
      </c>
      <c r="Y140" s="4">
        <v>1.0140447626435314</v>
      </c>
    </row>
    <row r="141" spans="11:25" x14ac:dyDescent="0.25">
      <c r="K141" s="3"/>
      <c r="L141" s="8">
        <v>89</v>
      </c>
      <c r="M141" s="4"/>
      <c r="N141" s="4"/>
      <c r="O141" s="4"/>
      <c r="P141" s="4"/>
      <c r="S141" s="3">
        <v>139</v>
      </c>
      <c r="T141" s="8">
        <v>8.3990297149787757E-2</v>
      </c>
      <c r="U141" s="4">
        <v>55.3</v>
      </c>
      <c r="V141" s="4">
        <v>-1.3787216415418253</v>
      </c>
      <c r="W141" s="4">
        <v>66.452514726986507</v>
      </c>
      <c r="X141" s="4">
        <v>3.5474852730134927</v>
      </c>
      <c r="Y141" s="4">
        <v>0.56648607774188686</v>
      </c>
    </row>
    <row r="142" spans="11:25" x14ac:dyDescent="0.25">
      <c r="K142" s="3"/>
      <c r="L142" s="8">
        <v>89</v>
      </c>
      <c r="M142" s="4"/>
      <c r="N142" s="4"/>
      <c r="O142" s="4"/>
      <c r="P142" s="4"/>
      <c r="S142" s="3">
        <v>140</v>
      </c>
      <c r="T142" s="8">
        <v>8.459672528805337E-2</v>
      </c>
      <c r="U142" s="4">
        <v>55.3</v>
      </c>
      <c r="V142" s="4">
        <v>-1.3748000243745635</v>
      </c>
      <c r="W142" s="4">
        <v>66.551149445577693</v>
      </c>
      <c r="X142" s="4">
        <v>3.4488505544223074</v>
      </c>
      <c r="Y142" s="4">
        <v>0.55073542888396199</v>
      </c>
    </row>
    <row r="143" spans="11:25" x14ac:dyDescent="0.25">
      <c r="K143" s="3"/>
      <c r="L143" s="8">
        <v>89</v>
      </c>
      <c r="M143" s="4"/>
      <c r="N143" s="4"/>
      <c r="O143" s="4"/>
      <c r="P143" s="4"/>
      <c r="S143" s="3">
        <v>141</v>
      </c>
      <c r="T143" s="8">
        <v>8.5203153426318984E-2</v>
      </c>
      <c r="U143" s="4">
        <v>55.3</v>
      </c>
      <c r="V143" s="4">
        <v>-1.3708994371181191</v>
      </c>
      <c r="W143" s="4">
        <v>66.452514726986507</v>
      </c>
      <c r="X143" s="4">
        <v>3.3474852730134899</v>
      </c>
      <c r="Y143" s="4">
        <v>0.53454874556738685</v>
      </c>
    </row>
    <row r="144" spans="11:25" x14ac:dyDescent="0.25">
      <c r="K144" s="3"/>
      <c r="L144" s="8">
        <v>89</v>
      </c>
      <c r="M144" s="4"/>
      <c r="N144" s="4"/>
      <c r="O144" s="4"/>
      <c r="P144" s="4"/>
      <c r="S144" s="3">
        <v>142</v>
      </c>
      <c r="T144" s="8">
        <v>8.5809581564584597E-2</v>
      </c>
      <c r="U144" s="4">
        <v>55.3</v>
      </c>
      <c r="V144" s="4">
        <v>-1.3670195967099068</v>
      </c>
      <c r="W144" s="4">
        <v>65.614119618961425</v>
      </c>
      <c r="X144" s="4">
        <v>3.2858803810385808</v>
      </c>
      <c r="Y144" s="4">
        <v>0.52471126607450269</v>
      </c>
    </row>
    <row r="145" spans="11:25" x14ac:dyDescent="0.25">
      <c r="K145" s="3"/>
      <c r="L145" s="8">
        <v>89</v>
      </c>
      <c r="M145" s="4"/>
      <c r="N145" s="4"/>
      <c r="O145" s="4"/>
      <c r="P145" s="4"/>
      <c r="S145" s="3">
        <v>143</v>
      </c>
      <c r="T145" s="8">
        <v>8.6416009702850211E-2</v>
      </c>
      <c r="U145" s="4">
        <v>55.3</v>
      </c>
      <c r="V145" s="4">
        <v>-1.3631602258263122</v>
      </c>
      <c r="W145" s="4">
        <v>65.170263385301098</v>
      </c>
      <c r="X145" s="4">
        <v>2.9297366146988963</v>
      </c>
      <c r="Y145" s="4">
        <v>0.46783985723716326</v>
      </c>
    </row>
    <row r="146" spans="11:25" x14ac:dyDescent="0.25">
      <c r="K146" s="3"/>
      <c r="L146" s="8">
        <v>89</v>
      </c>
      <c r="M146" s="4"/>
      <c r="N146" s="4"/>
      <c r="O146" s="4"/>
      <c r="P146" s="4"/>
      <c r="S146" s="3">
        <v>144</v>
      </c>
      <c r="T146" s="8">
        <v>8.7022437841115824E-2</v>
      </c>
      <c r="U146" s="4">
        <v>55.5</v>
      </c>
      <c r="V146" s="4">
        <v>-1.3593210527266015</v>
      </c>
      <c r="W146" s="4">
        <v>65.416850181779054</v>
      </c>
      <c r="X146" s="4">
        <v>2.7831498182209486</v>
      </c>
      <c r="Y146" s="4">
        <v>0.44443190117960335</v>
      </c>
    </row>
    <row r="147" spans="11:25" x14ac:dyDescent="0.25">
      <c r="K147" s="3"/>
      <c r="L147" s="8">
        <v>36.299999999999997</v>
      </c>
      <c r="M147" s="4"/>
      <c r="N147" s="4"/>
      <c r="O147" s="4"/>
      <c r="P147" s="4"/>
      <c r="S147" s="3">
        <v>145</v>
      </c>
      <c r="T147" s="8">
        <v>8.7628865979381437E-2</v>
      </c>
      <c r="U147" s="4">
        <v>55.5</v>
      </c>
      <c r="V147" s="4">
        <v>-1.3555018111021335</v>
      </c>
      <c r="W147" s="4">
        <v>65.120946026005498</v>
      </c>
      <c r="X147" s="4">
        <v>2.5790539739945046</v>
      </c>
      <c r="Y147" s="4">
        <v>0.41184051731712895</v>
      </c>
    </row>
    <row r="148" spans="11:25" x14ac:dyDescent="0.25">
      <c r="K148" s="3"/>
      <c r="L148" s="8">
        <v>89</v>
      </c>
      <c r="M148" s="4"/>
      <c r="N148" s="4"/>
      <c r="O148" s="4"/>
      <c r="P148" s="4"/>
      <c r="S148" s="3">
        <v>146</v>
      </c>
      <c r="T148" s="8">
        <v>8.8235294117647065E-2</v>
      </c>
      <c r="U148" s="4">
        <v>55.6</v>
      </c>
      <c r="V148" s="4">
        <v>-1.3517022399306613</v>
      </c>
      <c r="W148" s="4">
        <v>64.677089792345171</v>
      </c>
      <c r="X148" s="4">
        <v>2.5229102076548315</v>
      </c>
      <c r="Y148" s="4">
        <v>0.40287510674154081</v>
      </c>
    </row>
    <row r="149" spans="11:25" x14ac:dyDescent="0.25">
      <c r="K149" s="3"/>
      <c r="L149" s="8">
        <v>89</v>
      </c>
      <c r="M149" s="4"/>
      <c r="N149" s="4"/>
      <c r="O149" s="4"/>
      <c r="P149" s="4"/>
      <c r="S149" s="3">
        <v>147</v>
      </c>
      <c r="T149" s="8">
        <v>8.8841722255912678E-2</v>
      </c>
      <c r="U149" s="4">
        <v>55.6</v>
      </c>
      <c r="V149" s="4">
        <v>-1.3479220833355179</v>
      </c>
      <c r="W149" s="4">
        <v>65.071628666709913</v>
      </c>
      <c r="X149" s="4">
        <v>2.6283713332900902</v>
      </c>
      <c r="Y149" s="4">
        <v>0.41971584174609028</v>
      </c>
    </row>
    <row r="150" spans="11:25" x14ac:dyDescent="0.25">
      <c r="K150" s="3"/>
      <c r="L150" s="8">
        <v>89</v>
      </c>
      <c r="M150" s="4"/>
      <c r="N150" s="4"/>
      <c r="O150" s="4"/>
      <c r="P150" s="4"/>
      <c r="S150" s="3">
        <v>148</v>
      </c>
      <c r="T150" s="8">
        <v>8.9448150394178291E-2</v>
      </c>
      <c r="U150" s="4">
        <v>55.7</v>
      </c>
      <c r="V150" s="4">
        <v>-1.3441610904494867</v>
      </c>
      <c r="W150" s="4">
        <v>65.416850181779054</v>
      </c>
      <c r="X150" s="4">
        <v>2.5831498182209458</v>
      </c>
      <c r="Y150" s="4">
        <v>0.41249456900510323</v>
      </c>
    </row>
    <row r="151" spans="11:25" x14ac:dyDescent="0.25">
      <c r="K151" s="3"/>
      <c r="L151" s="8">
        <v>89</v>
      </c>
      <c r="M151" s="4"/>
      <c r="N151" s="4"/>
      <c r="O151" s="4"/>
      <c r="P151" s="4"/>
      <c r="S151" s="3">
        <v>149</v>
      </c>
      <c r="T151" s="8">
        <v>9.0054578532443905E-2</v>
      </c>
      <c r="U151" s="4">
        <v>55.8</v>
      </c>
      <c r="V151" s="4">
        <v>-1.340419015283177</v>
      </c>
      <c r="W151" s="4">
        <v>73.850118621325421</v>
      </c>
      <c r="X151" s="4">
        <v>15.149881378674579</v>
      </c>
      <c r="Y151" s="4">
        <v>2.4192339699749814</v>
      </c>
    </row>
    <row r="152" spans="11:25" x14ac:dyDescent="0.25">
      <c r="K152" s="3"/>
      <c r="L152" s="8">
        <v>89</v>
      </c>
      <c r="M152" s="4"/>
      <c r="N152" s="4"/>
      <c r="O152" s="4"/>
      <c r="P152" s="4"/>
      <c r="S152" s="3">
        <v>150</v>
      </c>
      <c r="T152" s="8">
        <v>9.0661006670709518E-2</v>
      </c>
      <c r="U152" s="4">
        <v>55.9</v>
      </c>
      <c r="V152" s="4">
        <v>-1.3366956165977169</v>
      </c>
      <c r="W152" s="4">
        <v>73.800801262029822</v>
      </c>
      <c r="X152" s="4">
        <v>13.199198737970178</v>
      </c>
      <c r="Y152" s="4">
        <v>2.1077359726589484</v>
      </c>
    </row>
    <row r="153" spans="11:25" x14ac:dyDescent="0.25">
      <c r="K153" s="3"/>
      <c r="L153" s="8">
        <v>89</v>
      </c>
      <c r="M153" s="4"/>
      <c r="N153" s="4"/>
      <c r="O153" s="4"/>
      <c r="P153" s="4"/>
      <c r="S153" s="3">
        <v>151</v>
      </c>
      <c r="T153" s="8">
        <v>9.1267434808975131E-2</v>
      </c>
      <c r="U153" s="4">
        <v>56</v>
      </c>
      <c r="V153" s="4">
        <v>-1.3329906577816031</v>
      </c>
      <c r="W153" s="4">
        <v>73.751483902734236</v>
      </c>
      <c r="X153" s="4">
        <v>9.2485160972657638</v>
      </c>
      <c r="Y153" s="4">
        <v>1.4768646535979175</v>
      </c>
    </row>
    <row r="154" spans="11:25" x14ac:dyDescent="0.25">
      <c r="K154" s="3"/>
      <c r="L154" s="8">
        <v>89</v>
      </c>
      <c r="M154" s="4"/>
      <c r="N154" s="4"/>
      <c r="O154" s="4"/>
      <c r="P154" s="4"/>
      <c r="S154" s="3">
        <v>152</v>
      </c>
      <c r="T154" s="8">
        <v>9.1873862947240759E-2</v>
      </c>
      <c r="U154" s="4">
        <v>56</v>
      </c>
      <c r="V154" s="4">
        <v>-1.329303906731538</v>
      </c>
      <c r="W154" s="4">
        <v>77.203699053425723</v>
      </c>
      <c r="X154" s="4">
        <v>5.7963009465742772</v>
      </c>
      <c r="Y154" s="4">
        <v>0.9255919435705463</v>
      </c>
    </row>
    <row r="155" spans="11:25" x14ac:dyDescent="0.25">
      <c r="K155" s="3"/>
      <c r="L155" s="8">
        <v>89</v>
      </c>
      <c r="M155" s="4"/>
      <c r="N155" s="4"/>
      <c r="O155" s="4"/>
      <c r="P155" s="4"/>
      <c r="S155" s="3">
        <v>153</v>
      </c>
      <c r="T155" s="8">
        <v>9.2480291085506372E-2</v>
      </c>
      <c r="U155" s="4">
        <v>56</v>
      </c>
      <c r="V155" s="4">
        <v>-1.3256351357371041</v>
      </c>
      <c r="W155" s="4">
        <v>73.603531824847451</v>
      </c>
      <c r="X155" s="4">
        <v>6.396468175152549</v>
      </c>
      <c r="Y155" s="4">
        <v>1.0214306442673118</v>
      </c>
    </row>
    <row r="156" spans="11:25" x14ac:dyDescent="0.25">
      <c r="K156" s="3"/>
      <c r="L156" s="8">
        <v>89</v>
      </c>
      <c r="M156" s="4"/>
      <c r="N156" s="4"/>
      <c r="O156" s="4"/>
      <c r="P156" s="4"/>
      <c r="S156" s="3">
        <v>154</v>
      </c>
      <c r="T156" s="8">
        <v>9.3086719223771985E-2</v>
      </c>
      <c r="U156" s="4">
        <v>56.1</v>
      </c>
      <c r="V156" s="4">
        <v>-1.3219841213691252</v>
      </c>
      <c r="W156" s="4">
        <v>73.40626238766508</v>
      </c>
      <c r="X156" s="4">
        <v>6.3937376123349168</v>
      </c>
      <c r="Y156" s="4">
        <v>1.0209946098086615</v>
      </c>
    </row>
    <row r="157" spans="11:25" x14ac:dyDescent="0.25">
      <c r="K157" s="3"/>
      <c r="L157" s="8">
        <v>89</v>
      </c>
      <c r="M157" s="4"/>
      <c r="N157" s="4"/>
      <c r="O157" s="4"/>
      <c r="P157" s="4"/>
      <c r="S157" s="3">
        <v>155</v>
      </c>
      <c r="T157" s="8">
        <v>9.3693147362037599E-2</v>
      </c>
      <c r="U157" s="4">
        <v>56.1</v>
      </c>
      <c r="V157" s="4">
        <v>-1.3183506443715751</v>
      </c>
      <c r="W157" s="4">
        <v>73.307627669073895</v>
      </c>
      <c r="X157" s="4">
        <v>6.192372330926105</v>
      </c>
      <c r="Y157" s="4">
        <v>0.98883926040483738</v>
      </c>
    </row>
    <row r="158" spans="11:25" x14ac:dyDescent="0.25">
      <c r="K158" s="3"/>
      <c r="L158" s="8">
        <v>89</v>
      </c>
      <c r="M158" s="4"/>
      <c r="N158" s="4"/>
      <c r="O158" s="4"/>
      <c r="P158" s="4"/>
      <c r="S158" s="3">
        <v>156</v>
      </c>
      <c r="T158" s="8">
        <v>9.4299575500303212E-2</v>
      </c>
      <c r="U158" s="4">
        <v>56.2</v>
      </c>
      <c r="V158" s="4">
        <v>-1.3147344895568989</v>
      </c>
      <c r="W158" s="4">
        <v>73.356945028369495</v>
      </c>
      <c r="X158" s="4">
        <v>6.1430549716305052</v>
      </c>
      <c r="Y158" s="4">
        <v>0.98096393597587384</v>
      </c>
    </row>
    <row r="159" spans="11:25" x14ac:dyDescent="0.25">
      <c r="K159" s="3"/>
      <c r="L159" s="8">
        <v>89</v>
      </c>
      <c r="M159" s="4"/>
      <c r="N159" s="4"/>
      <c r="O159" s="4"/>
      <c r="P159" s="4"/>
      <c r="S159" s="3">
        <v>157</v>
      </c>
      <c r="T159" s="8">
        <v>9.4906003638568825E-2</v>
      </c>
      <c r="U159" s="4">
        <v>56.2</v>
      </c>
      <c r="V159" s="4">
        <v>-1.3111354457046123</v>
      </c>
      <c r="W159" s="4">
        <v>73.40626238766508</v>
      </c>
      <c r="X159" s="4">
        <v>5.9937376123349253</v>
      </c>
      <c r="Y159" s="4">
        <v>0.95711994545966361</v>
      </c>
    </row>
    <row r="160" spans="11:25" x14ac:dyDescent="0.25">
      <c r="K160" s="3"/>
      <c r="L160" s="8">
        <v>89</v>
      </c>
      <c r="M160" s="4"/>
      <c r="N160" s="4"/>
      <c r="O160" s="4"/>
      <c r="P160" s="4"/>
      <c r="S160" s="3">
        <v>158</v>
      </c>
      <c r="T160" s="8">
        <v>9.5512431776834439E-2</v>
      </c>
      <c r="U160" s="4">
        <v>56.2</v>
      </c>
      <c r="V160" s="4">
        <v>-1.3075533054630668</v>
      </c>
      <c r="W160" s="4">
        <v>73.20899295048271</v>
      </c>
      <c r="X160" s="4">
        <v>5.691007049517296</v>
      </c>
      <c r="Y160" s="4">
        <v>0.90877791273926434</v>
      </c>
    </row>
    <row r="161" spans="11:25" x14ac:dyDescent="0.25">
      <c r="K161" s="3"/>
      <c r="L161" s="8">
        <v>36.299999999999997</v>
      </c>
      <c r="M161" s="4"/>
      <c r="N161" s="4"/>
      <c r="O161" s="4"/>
      <c r="P161" s="4"/>
      <c r="S161" s="3">
        <v>159</v>
      </c>
      <c r="T161" s="8">
        <v>9.6118859915100066E-2</v>
      </c>
      <c r="U161" s="4">
        <v>56.3</v>
      </c>
      <c r="V161" s="4">
        <v>-1.3039878652542529</v>
      </c>
      <c r="W161" s="4">
        <v>73.110358231891524</v>
      </c>
      <c r="X161" s="4">
        <v>5.6896417681084728</v>
      </c>
      <c r="Y161" s="4">
        <v>0.9085598955099381</v>
      </c>
    </row>
    <row r="162" spans="11:25" x14ac:dyDescent="0.25">
      <c r="K162" s="3"/>
      <c r="L162" s="8">
        <v>36.299999999999997</v>
      </c>
      <c r="M162" s="4"/>
      <c r="N162" s="4"/>
      <c r="O162" s="4"/>
      <c r="P162" s="4"/>
      <c r="S162" s="3">
        <v>160</v>
      </c>
      <c r="T162" s="8">
        <v>9.6725288053365679E-2</v>
      </c>
      <c r="U162" s="4">
        <v>56.3</v>
      </c>
      <c r="V162" s="4">
        <v>-1.3004389251815309</v>
      </c>
      <c r="W162" s="4">
        <v>72.913088794709154</v>
      </c>
      <c r="X162" s="4">
        <v>5.3869112052908434</v>
      </c>
      <c r="Y162" s="4">
        <v>0.86021786278953882</v>
      </c>
    </row>
    <row r="163" spans="11:25" x14ac:dyDescent="0.25">
      <c r="K163" s="3"/>
      <c r="L163" s="8">
        <v>36.299999999999997</v>
      </c>
      <c r="M163" s="4"/>
      <c r="N163" s="4"/>
      <c r="O163" s="4"/>
      <c r="P163" s="4"/>
      <c r="S163" s="3">
        <v>161</v>
      </c>
      <c r="T163" s="8">
        <v>9.7331716191631293E-2</v>
      </c>
      <c r="U163" s="4">
        <v>56.4</v>
      </c>
      <c r="V163" s="4">
        <v>-1.2969062889401861</v>
      </c>
      <c r="W163" s="4">
        <v>72.715819357526783</v>
      </c>
      <c r="X163" s="4">
        <v>5.2841806424732169</v>
      </c>
      <c r="Y163" s="4">
        <v>0.84381316224363967</v>
      </c>
    </row>
    <row r="164" spans="11:25" x14ac:dyDescent="0.25">
      <c r="K164" s="3"/>
      <c r="L164" s="8">
        <v>36.299999999999997</v>
      </c>
      <c r="M164" s="4"/>
      <c r="N164" s="4"/>
      <c r="O164" s="4"/>
      <c r="P164" s="4"/>
      <c r="S164" s="3">
        <v>162</v>
      </c>
      <c r="T164" s="8">
        <v>9.7938144329896906E-2</v>
      </c>
      <c r="U164" s="4">
        <v>56.4</v>
      </c>
      <c r="V164" s="4">
        <v>-1.2933897637306986</v>
      </c>
      <c r="W164" s="4">
        <v>77.548920568494864</v>
      </c>
      <c r="X164" s="4">
        <v>0.45107943150513563</v>
      </c>
      <c r="Y164" s="4">
        <v>7.2031368205319829E-2</v>
      </c>
    </row>
    <row r="165" spans="11:25" x14ac:dyDescent="0.25">
      <c r="K165" s="3"/>
      <c r="L165" s="8">
        <v>36.299999999999997</v>
      </c>
      <c r="M165" s="4"/>
      <c r="N165" s="4"/>
      <c r="O165" s="4"/>
      <c r="P165" s="4"/>
      <c r="S165" s="3">
        <v>163</v>
      </c>
      <c r="T165" s="8">
        <v>9.854457246816252E-2</v>
      </c>
      <c r="U165" s="4">
        <v>56.5</v>
      </c>
      <c r="V165" s="4">
        <v>-1.2898891601746336</v>
      </c>
      <c r="W165" s="4">
        <v>77.055746975538938</v>
      </c>
      <c r="X165" s="4">
        <v>0.54425302446105661</v>
      </c>
      <c r="Y165" s="4">
        <v>8.690994814594416E-2</v>
      </c>
    </row>
    <row r="166" spans="11:25" x14ac:dyDescent="0.25">
      <c r="K166" s="3"/>
      <c r="L166" s="8">
        <v>36.299999999999997</v>
      </c>
      <c r="M166" s="4"/>
      <c r="N166" s="4"/>
      <c r="O166" s="4"/>
      <c r="P166" s="4"/>
      <c r="S166" s="3">
        <v>164</v>
      </c>
      <c r="T166" s="8">
        <v>9.9151000606428133E-2</v>
      </c>
      <c r="U166" s="4">
        <v>56.5</v>
      </c>
      <c r="V166" s="4">
        <v>-1.2864042922330534</v>
      </c>
      <c r="W166" s="4">
        <v>68.869065332470541</v>
      </c>
      <c r="X166" s="4">
        <v>1.1309346675294591</v>
      </c>
      <c r="Y166" s="4">
        <v>0.18059518072272812</v>
      </c>
    </row>
    <row r="167" spans="11:25" x14ac:dyDescent="0.25">
      <c r="K167" s="3"/>
      <c r="L167" s="8">
        <v>36.299999999999997</v>
      </c>
      <c r="M167" s="4"/>
      <c r="N167" s="4"/>
      <c r="O167" s="4"/>
      <c r="P167" s="4"/>
      <c r="S167" s="3">
        <v>165</v>
      </c>
      <c r="T167" s="8">
        <v>9.975742874469376E-2</v>
      </c>
      <c r="U167" s="4">
        <v>56.5</v>
      </c>
      <c r="V167" s="4">
        <v>-1.2829349771273673</v>
      </c>
      <c r="W167" s="4">
        <v>76.710525460469796</v>
      </c>
      <c r="X167" s="4">
        <v>-6.910525460469799</v>
      </c>
      <c r="Y167" s="4">
        <v>-1.1035187356568046</v>
      </c>
    </row>
    <row r="168" spans="11:25" x14ac:dyDescent="0.25">
      <c r="K168" s="3"/>
      <c r="L168" s="8">
        <v>36.299999999999997</v>
      </c>
      <c r="M168" s="4"/>
      <c r="N168" s="4"/>
      <c r="O168" s="4"/>
      <c r="P168" s="4"/>
      <c r="S168" s="3">
        <v>166</v>
      </c>
      <c r="T168" s="8">
        <v>0.10036385688295937</v>
      </c>
      <c r="U168" s="4">
        <v>56.5</v>
      </c>
      <c r="V168" s="4">
        <v>-1.2794810352625205</v>
      </c>
      <c r="W168" s="4">
        <v>68.277257020923429</v>
      </c>
      <c r="X168" s="4">
        <v>1.1227429790765768</v>
      </c>
      <c r="Y168" s="4">
        <v>0.17928707734677954</v>
      </c>
    </row>
    <row r="169" spans="11:25" x14ac:dyDescent="0.25">
      <c r="K169" s="3"/>
      <c r="L169" s="8">
        <v>36.299999999999997</v>
      </c>
      <c r="M169" s="4"/>
      <c r="N169" s="4"/>
      <c r="O169" s="4"/>
      <c r="P169" s="4"/>
      <c r="S169" s="3">
        <v>167</v>
      </c>
      <c r="T169" s="8">
        <v>0.10097028502122499</v>
      </c>
      <c r="U169" s="4">
        <v>56.6</v>
      </c>
      <c r="V169" s="4">
        <v>-1.2760422901524533</v>
      </c>
      <c r="W169" s="4">
        <v>68.326574380219029</v>
      </c>
      <c r="X169" s="4">
        <v>1.0734256197809771</v>
      </c>
      <c r="Y169" s="4">
        <v>0.17141175291781596</v>
      </c>
    </row>
    <row r="170" spans="11:25" x14ac:dyDescent="0.25">
      <c r="K170" s="3"/>
      <c r="L170" s="8">
        <v>36.299999999999997</v>
      </c>
      <c r="M170" s="4"/>
      <c r="N170" s="4"/>
      <c r="O170" s="4"/>
      <c r="P170" s="4"/>
      <c r="S170" s="3">
        <v>168</v>
      </c>
      <c r="T170" s="8">
        <v>0.1015767131594906</v>
      </c>
      <c r="U170" s="4">
        <v>56.7</v>
      </c>
      <c r="V170" s="4">
        <v>-1.27261856834774</v>
      </c>
      <c r="W170" s="4">
        <v>68.425209098810214</v>
      </c>
      <c r="X170" s="4">
        <v>1.074790901189786</v>
      </c>
      <c r="Y170" s="4">
        <v>0.17162977014713995</v>
      </c>
    </row>
    <row r="171" spans="11:25" x14ac:dyDescent="0.25">
      <c r="K171" s="3"/>
      <c r="L171" s="8">
        <v>36.299999999999997</v>
      </c>
      <c r="M171" s="4"/>
      <c r="N171" s="4"/>
      <c r="O171" s="4"/>
      <c r="P171" s="4"/>
      <c r="S171" s="3">
        <v>169</v>
      </c>
      <c r="T171" s="8">
        <v>0.10218314129775621</v>
      </c>
      <c r="U171" s="4">
        <v>56.7</v>
      </c>
      <c r="V171" s="4">
        <v>-1.2692096993653319</v>
      </c>
      <c r="W171" s="4">
        <v>68.523843817401399</v>
      </c>
      <c r="X171" s="4">
        <v>0.97615618259860071</v>
      </c>
      <c r="Y171" s="4">
        <v>0.15587912128921508</v>
      </c>
    </row>
    <row r="172" spans="11:25" x14ac:dyDescent="0.25">
      <c r="K172" s="3"/>
      <c r="L172" s="8">
        <v>36.299999999999997</v>
      </c>
      <c r="M172" s="4"/>
      <c r="N172" s="4"/>
      <c r="O172" s="4"/>
      <c r="P172" s="4"/>
      <c r="S172" s="3">
        <v>170</v>
      </c>
      <c r="T172" s="8">
        <v>0.10278956943602183</v>
      </c>
      <c r="U172" s="4">
        <v>56.7</v>
      </c>
      <c r="V172" s="4">
        <v>-1.2658155156203386</v>
      </c>
      <c r="W172" s="4">
        <v>68.67179589528817</v>
      </c>
      <c r="X172" s="4">
        <v>0.92820410471182413</v>
      </c>
      <c r="Y172" s="4">
        <v>0.14822181408957777</v>
      </c>
    </row>
    <row r="173" spans="11:25" x14ac:dyDescent="0.25">
      <c r="K173" s="3"/>
      <c r="L173" s="8">
        <v>36.299999999999997</v>
      </c>
      <c r="M173" s="4"/>
      <c r="N173" s="4"/>
      <c r="O173" s="4"/>
      <c r="P173" s="4"/>
      <c r="S173" s="3">
        <v>171</v>
      </c>
      <c r="T173" s="8">
        <v>0.10339599757428744</v>
      </c>
      <c r="U173" s="4">
        <v>56.7</v>
      </c>
      <c r="V173" s="4">
        <v>-1.262435852359769</v>
      </c>
      <c r="W173" s="4">
        <v>68.67179589528817</v>
      </c>
      <c r="X173" s="4">
        <v>0.92820410471182413</v>
      </c>
      <c r="Y173" s="4">
        <v>0.14822181408957777</v>
      </c>
    </row>
    <row r="174" spans="11:25" x14ac:dyDescent="0.25">
      <c r="K174" s="3"/>
      <c r="L174" s="8">
        <v>36.299999999999997</v>
      </c>
      <c r="M174" s="4"/>
      <c r="N174" s="4"/>
      <c r="O174" s="4"/>
      <c r="P174" s="4"/>
      <c r="S174" s="3">
        <v>172</v>
      </c>
      <c r="T174" s="8">
        <v>0.10400242571255307</v>
      </c>
      <c r="U174" s="4">
        <v>56.7</v>
      </c>
      <c r="V174" s="4">
        <v>-1.2590705475981661</v>
      </c>
      <c r="W174" s="4">
        <v>68.523843817401399</v>
      </c>
      <c r="X174" s="4">
        <v>0.87615618259860639</v>
      </c>
      <c r="Y174" s="4">
        <v>0.13991045520196618</v>
      </c>
    </row>
    <row r="175" spans="11:25" x14ac:dyDescent="0.25">
      <c r="K175" s="3"/>
      <c r="L175" s="8">
        <v>36.299999999999997</v>
      </c>
      <c r="M175" s="4"/>
      <c r="N175" s="4"/>
      <c r="O175" s="4"/>
      <c r="P175" s="4"/>
      <c r="S175" s="3">
        <v>173</v>
      </c>
      <c r="T175" s="8">
        <v>0.10460885385081868</v>
      </c>
      <c r="U175" s="4">
        <v>56.7</v>
      </c>
      <c r="V175" s="4">
        <v>-1.2557194420550746</v>
      </c>
      <c r="W175" s="4">
        <v>68.178622302332258</v>
      </c>
      <c r="X175" s="4">
        <v>0.82137769766774227</v>
      </c>
      <c r="Y175" s="4">
        <v>0.13116306185570203</v>
      </c>
    </row>
    <row r="176" spans="11:25" x14ac:dyDescent="0.25">
      <c r="K176" s="3"/>
      <c r="L176" s="8">
        <v>36.299999999999997</v>
      </c>
      <c r="M176" s="4"/>
      <c r="N176" s="4"/>
      <c r="O176" s="4"/>
      <c r="P176" s="4"/>
      <c r="S176" s="3">
        <v>174</v>
      </c>
      <c r="T176" s="8">
        <v>0.10521528198908429</v>
      </c>
      <c r="U176" s="4">
        <v>56.8</v>
      </c>
      <c r="V176" s="4">
        <v>-1.2523823790942721</v>
      </c>
      <c r="W176" s="4">
        <v>67.882718146558688</v>
      </c>
      <c r="X176" s="4">
        <v>0.81728185344131532</v>
      </c>
      <c r="Y176" s="4">
        <v>0.13050901016773001</v>
      </c>
    </row>
    <row r="177" spans="11:25" x14ac:dyDescent="0.25">
      <c r="K177" s="3"/>
      <c r="L177" s="8">
        <v>36.299999999999997</v>
      </c>
      <c r="M177" s="4"/>
      <c r="N177" s="4"/>
      <c r="O177" s="4"/>
      <c r="P177" s="4"/>
      <c r="S177" s="3">
        <v>175</v>
      </c>
      <c r="T177" s="8">
        <v>0.10582171012734991</v>
      </c>
      <c r="U177" s="4">
        <v>56.8</v>
      </c>
      <c r="V177" s="4">
        <v>-1.2490592046647142</v>
      </c>
      <c r="W177" s="4">
        <v>76.562573382583011</v>
      </c>
      <c r="X177" s="4">
        <v>-8.1625733825830054</v>
      </c>
      <c r="Y177" s="4">
        <v>-1.303454087591412</v>
      </c>
    </row>
    <row r="178" spans="11:25" x14ac:dyDescent="0.25">
      <c r="K178" s="3"/>
      <c r="L178" s="8">
        <v>36.299999999999997</v>
      </c>
      <c r="M178" s="4"/>
      <c r="N178" s="4"/>
      <c r="O178" s="4"/>
      <c r="P178" s="4"/>
      <c r="S178" s="3">
        <v>176</v>
      </c>
      <c r="T178" s="8">
        <v>0.10642813826561552</v>
      </c>
      <c r="U178" s="4">
        <v>56.8</v>
      </c>
      <c r="V178" s="4">
        <v>-1.2457497672431226</v>
      </c>
      <c r="W178" s="4">
        <v>67.784083427967502</v>
      </c>
      <c r="X178" s="4">
        <v>0.71591657203249781</v>
      </c>
      <c r="Y178" s="4">
        <v>0.11432232685115483</v>
      </c>
    </row>
    <row r="179" spans="11:25" x14ac:dyDescent="0.25">
      <c r="K179" s="3"/>
      <c r="L179" s="8">
        <v>36.299999999999997</v>
      </c>
      <c r="M179" s="4"/>
      <c r="N179" s="4"/>
      <c r="O179" s="4"/>
      <c r="P179" s="4"/>
      <c r="S179" s="3">
        <v>177</v>
      </c>
      <c r="T179" s="8">
        <v>0.10703456640388113</v>
      </c>
      <c r="U179" s="4">
        <v>56.8</v>
      </c>
      <c r="V179" s="4">
        <v>-1.2424539177781735</v>
      </c>
      <c r="W179" s="4">
        <v>76.562573382583011</v>
      </c>
      <c r="X179" s="4">
        <v>-8.3625733825830082</v>
      </c>
      <c r="Y179" s="4">
        <v>-1.335391419765912</v>
      </c>
    </row>
    <row r="180" spans="11:25" x14ac:dyDescent="0.25">
      <c r="K180" s="3"/>
      <c r="L180" s="8">
        <v>36.299999999999997</v>
      </c>
      <c r="M180" s="4"/>
      <c r="N180" s="4"/>
      <c r="O180" s="4"/>
      <c r="P180" s="4"/>
      <c r="S180" s="3">
        <v>178</v>
      </c>
      <c r="T180" s="8">
        <v>0.10764099454214676</v>
      </c>
      <c r="U180" s="4">
        <v>56.8</v>
      </c>
      <c r="V180" s="4">
        <v>-1.2391715096362257</v>
      </c>
      <c r="W180" s="4">
        <v>67.932035505854287</v>
      </c>
      <c r="X180" s="4">
        <v>0.36796449414570986</v>
      </c>
      <c r="Y180" s="4">
        <v>5.8759021389766276E-2</v>
      </c>
    </row>
    <row r="181" spans="11:25" x14ac:dyDescent="0.25">
      <c r="K181" s="3"/>
      <c r="L181" s="8">
        <v>36.299999999999997</v>
      </c>
      <c r="M181" s="4"/>
      <c r="N181" s="4"/>
      <c r="O181" s="4"/>
      <c r="P181" s="4"/>
      <c r="S181" s="3">
        <v>179</v>
      </c>
      <c r="T181" s="8">
        <v>0.10824742268041238</v>
      </c>
      <c r="U181" s="4">
        <v>56.9</v>
      </c>
      <c r="V181" s="4">
        <v>-1.23590239854854</v>
      </c>
      <c r="W181" s="4">
        <v>65.170263385301098</v>
      </c>
      <c r="X181" s="4">
        <v>-5.4702633853010951</v>
      </c>
      <c r="Y181" s="4">
        <v>-0.87352809409181931</v>
      </c>
    </row>
    <row r="182" spans="11:25" x14ac:dyDescent="0.25">
      <c r="K182" s="3"/>
      <c r="L182" s="8">
        <v>36.299999999999997</v>
      </c>
      <c r="M182" s="4"/>
      <c r="N182" s="4"/>
      <c r="O182" s="4"/>
      <c r="P182" s="4"/>
      <c r="S182" s="3">
        <v>180</v>
      </c>
      <c r="T182" s="8">
        <v>0.10885385081867799</v>
      </c>
      <c r="U182" s="4">
        <v>56.9</v>
      </c>
      <c r="V182" s="4">
        <v>-1.2326464425599393</v>
      </c>
      <c r="W182" s="4">
        <v>65.219580744596684</v>
      </c>
      <c r="X182" s="4">
        <v>-5.7195807445966835</v>
      </c>
      <c r="Y182" s="4">
        <v>-0.91334075069528076</v>
      </c>
    </row>
    <row r="183" spans="11:25" x14ac:dyDescent="0.25">
      <c r="K183" s="3"/>
      <c r="L183" s="8">
        <v>36.299999999999997</v>
      </c>
      <c r="M183" s="4"/>
      <c r="N183" s="4"/>
      <c r="O183" s="4"/>
      <c r="P183" s="4"/>
      <c r="S183" s="3">
        <v>181</v>
      </c>
      <c r="T183" s="8">
        <v>0.1094602789569436</v>
      </c>
      <c r="U183" s="4">
        <v>57</v>
      </c>
      <c r="V183" s="4">
        <v>-1.2294035019788649</v>
      </c>
      <c r="W183" s="4">
        <v>65.219580744596684</v>
      </c>
      <c r="X183" s="4">
        <v>-5.9195807445966864</v>
      </c>
      <c r="Y183" s="4">
        <v>-0.94527808286978077</v>
      </c>
    </row>
    <row r="184" spans="11:25" x14ac:dyDescent="0.25">
      <c r="K184" s="3"/>
      <c r="L184" s="8">
        <v>36.299999999999997</v>
      </c>
      <c r="M184" s="4"/>
      <c r="N184" s="4"/>
      <c r="O184" s="4"/>
      <c r="P184" s="4"/>
      <c r="S184" s="3">
        <v>182</v>
      </c>
      <c r="T184" s="8">
        <v>0.11006670709520922</v>
      </c>
      <c r="U184" s="4">
        <v>57</v>
      </c>
      <c r="V184" s="4">
        <v>-1.2261734393287815</v>
      </c>
      <c r="W184" s="4">
        <v>65.219580744596684</v>
      </c>
      <c r="X184" s="4">
        <v>-6.1195807445966821</v>
      </c>
      <c r="Y184" s="4">
        <v>-0.97721541504427967</v>
      </c>
    </row>
    <row r="185" spans="11:25" x14ac:dyDescent="0.25">
      <c r="K185" s="3"/>
      <c r="L185" s="8">
        <v>36.299999999999997</v>
      </c>
      <c r="M185" s="4"/>
      <c r="N185" s="4"/>
      <c r="O185" s="4"/>
      <c r="P185" s="4"/>
      <c r="S185" s="3">
        <v>183</v>
      </c>
      <c r="T185" s="8">
        <v>0.11067313523347483</v>
      </c>
      <c r="U185" s="4">
        <v>57</v>
      </c>
      <c r="V185" s="4">
        <v>-1.2229561193008849</v>
      </c>
      <c r="W185" s="4">
        <v>65.071628666709913</v>
      </c>
      <c r="X185" s="4">
        <v>-6.3716286667099098</v>
      </c>
      <c r="Y185" s="4">
        <v>-1.0174641061063925</v>
      </c>
    </row>
    <row r="186" spans="11:25" x14ac:dyDescent="0.25">
      <c r="K186" s="3"/>
      <c r="L186" s="8">
        <v>36.299999999999997</v>
      </c>
      <c r="M186" s="4"/>
      <c r="N186" s="4"/>
      <c r="O186" s="4"/>
      <c r="P186" s="4"/>
      <c r="S186" s="3">
        <v>184</v>
      </c>
      <c r="T186" s="8">
        <v>0.11127956337174044</v>
      </c>
      <c r="U186" s="4">
        <v>57.1</v>
      </c>
      <c r="V186" s="4">
        <v>-1.2197514087080785</v>
      </c>
      <c r="W186" s="4">
        <v>64.825041870231942</v>
      </c>
      <c r="X186" s="4">
        <v>-6.4250418702319436</v>
      </c>
      <c r="Y186" s="4">
        <v>-1.0259934822233292</v>
      </c>
    </row>
    <row r="187" spans="11:25" x14ac:dyDescent="0.25">
      <c r="K187" s="3"/>
      <c r="L187" s="8">
        <v>36.299999999999997</v>
      </c>
      <c r="M187" s="4"/>
      <c r="N187" s="4"/>
      <c r="O187" s="4"/>
      <c r="P187" s="4"/>
      <c r="S187" s="3">
        <v>185</v>
      </c>
      <c r="T187" s="8">
        <v>0.11188599151000607</v>
      </c>
      <c r="U187" s="4">
        <v>57.1</v>
      </c>
      <c r="V187" s="4">
        <v>-1.2165591764401671</v>
      </c>
      <c r="W187" s="4">
        <v>63.888012043615682</v>
      </c>
      <c r="X187" s="4">
        <v>-6.2880120436156801</v>
      </c>
      <c r="Y187" s="4">
        <v>-1.0041116467710407</v>
      </c>
    </row>
    <row r="188" spans="11:25" x14ac:dyDescent="0.25">
      <c r="K188" s="3"/>
      <c r="L188" s="8">
        <v>36.299999999999997</v>
      </c>
      <c r="M188" s="4"/>
      <c r="N188" s="4"/>
      <c r="O188" s="4"/>
      <c r="P188" s="4"/>
      <c r="S188" s="3">
        <v>186</v>
      </c>
      <c r="T188" s="8">
        <v>0.11249241964827168</v>
      </c>
      <c r="U188" s="4">
        <v>57.1</v>
      </c>
      <c r="V188" s="4">
        <v>-1.2133792934202379</v>
      </c>
      <c r="W188" s="4">
        <v>63.641425247137718</v>
      </c>
      <c r="X188" s="4">
        <v>-6.5414252471377168</v>
      </c>
      <c r="Y188" s="4">
        <v>-1.0445783550624776</v>
      </c>
    </row>
    <row r="189" spans="11:25" x14ac:dyDescent="0.25">
      <c r="K189" s="3"/>
      <c r="L189" s="8">
        <v>36.299999999999997</v>
      </c>
      <c r="M189" s="4"/>
      <c r="N189" s="4"/>
      <c r="O189" s="4"/>
      <c r="P189" s="4"/>
      <c r="S189" s="3">
        <v>187</v>
      </c>
      <c r="T189" s="8">
        <v>0.1130988477865373</v>
      </c>
      <c r="U189" s="4">
        <v>57.2</v>
      </c>
      <c r="V189" s="4">
        <v>-1.2102116325621872</v>
      </c>
      <c r="W189" s="4">
        <v>63.592107887842126</v>
      </c>
      <c r="X189" s="4">
        <v>-6.7921078878421284</v>
      </c>
      <c r="Y189" s="4">
        <v>-1.0846090288952652</v>
      </c>
    </row>
    <row r="190" spans="11:25" x14ac:dyDescent="0.25">
      <c r="K190" s="3"/>
      <c r="L190" s="8">
        <v>36.299999999999997</v>
      </c>
      <c r="M190" s="4"/>
      <c r="N190" s="4"/>
      <c r="O190" s="4"/>
      <c r="P190" s="4"/>
      <c r="S190" s="3">
        <v>188</v>
      </c>
      <c r="T190" s="8">
        <v>0.11370527592480291</v>
      </c>
      <c r="U190" s="4">
        <v>57.3</v>
      </c>
      <c r="V190" s="4">
        <v>-1.2070560687293586</v>
      </c>
      <c r="W190" s="4">
        <v>63.542790528546533</v>
      </c>
      <c r="X190" s="4">
        <v>-7.0427905285465329</v>
      </c>
      <c r="Y190" s="4">
        <v>-1.1246397027280517</v>
      </c>
    </row>
    <row r="191" spans="11:25" x14ac:dyDescent="0.25">
      <c r="K191" s="3"/>
      <c r="L191" s="8">
        <v>36.299999999999997</v>
      </c>
      <c r="M191" s="4"/>
      <c r="N191" s="4"/>
      <c r="O191" s="4"/>
      <c r="P191" s="4"/>
      <c r="S191" s="3">
        <v>189</v>
      </c>
      <c r="T191" s="8">
        <v>0.11431170406306852</v>
      </c>
      <c r="U191" s="4">
        <v>57.3</v>
      </c>
      <c r="V191" s="4">
        <v>-1.2039124786942534</v>
      </c>
      <c r="W191" s="4">
        <v>63.542790528546533</v>
      </c>
      <c r="X191" s="4">
        <v>-7.4427905285465314</v>
      </c>
      <c r="Y191" s="4">
        <v>-1.1885143670770508</v>
      </c>
    </row>
    <row r="192" spans="11:25" x14ac:dyDescent="0.25">
      <c r="K192" s="3"/>
      <c r="L192" s="8">
        <v>36.299999999999997</v>
      </c>
      <c r="M192" s="4"/>
      <c r="N192" s="4"/>
      <c r="O192" s="4"/>
      <c r="P192" s="4"/>
      <c r="S192" s="3">
        <v>190</v>
      </c>
      <c r="T192" s="8">
        <v>0.11491813220133414</v>
      </c>
      <c r="U192" s="4">
        <v>57.3</v>
      </c>
      <c r="V192" s="4">
        <v>-1.2007807410992868</v>
      </c>
      <c r="W192" s="4">
        <v>63.542790528546533</v>
      </c>
      <c r="X192" s="4">
        <v>-7.7427905285465357</v>
      </c>
      <c r="Y192" s="4">
        <v>-1.2364203653388008</v>
      </c>
    </row>
    <row r="193" spans="11:25" x14ac:dyDescent="0.25">
      <c r="K193" s="3"/>
      <c r="L193" s="8">
        <v>36.299999999999997</v>
      </c>
      <c r="M193" s="4"/>
      <c r="N193" s="4"/>
      <c r="O193" s="4"/>
      <c r="P193" s="4"/>
      <c r="S193" s="3">
        <v>191</v>
      </c>
      <c r="T193" s="8">
        <v>0.11552456033959976</v>
      </c>
      <c r="U193" s="4">
        <v>57.3</v>
      </c>
      <c r="V193" s="4">
        <v>-1.1976607364185514</v>
      </c>
      <c r="W193" s="4">
        <v>63.641425247137718</v>
      </c>
      <c r="X193" s="4">
        <v>-8.0414252471377168</v>
      </c>
      <c r="Y193" s="4">
        <v>-1.2841083463712246</v>
      </c>
    </row>
    <row r="194" spans="11:25" x14ac:dyDescent="0.25">
      <c r="K194" s="3"/>
      <c r="L194" s="8">
        <v>36.299999999999997</v>
      </c>
      <c r="M194" s="4"/>
      <c r="N194" s="4"/>
      <c r="O194" s="4"/>
      <c r="P194" s="4"/>
      <c r="S194" s="3">
        <v>192</v>
      </c>
      <c r="T194" s="8">
        <v>0.11613098847786538</v>
      </c>
      <c r="U194" s="4">
        <v>57.3</v>
      </c>
      <c r="V194" s="4">
        <v>-1.1945523469205603</v>
      </c>
      <c r="W194" s="4">
        <v>66.945688319942434</v>
      </c>
      <c r="X194" s="4">
        <v>2.4543116800575717</v>
      </c>
      <c r="Y194" s="4">
        <v>0.3919208369287645</v>
      </c>
    </row>
    <row r="195" spans="11:25" x14ac:dyDescent="0.25">
      <c r="K195" s="3"/>
      <c r="L195" s="8">
        <v>36.299999999999997</v>
      </c>
      <c r="M195" s="4"/>
      <c r="N195" s="4"/>
      <c r="O195" s="4"/>
      <c r="P195" s="4"/>
      <c r="S195" s="3">
        <v>193</v>
      </c>
      <c r="T195" s="8">
        <v>0.11673741661613099</v>
      </c>
      <c r="U195" s="4">
        <v>57.4</v>
      </c>
      <c r="V195" s="4">
        <v>-1.1914554566319384</v>
      </c>
      <c r="W195" s="4">
        <v>66.797736242055649</v>
      </c>
      <c r="X195" s="4">
        <v>2.3022637579443455</v>
      </c>
      <c r="Y195" s="4">
        <v>0.36764081195390175</v>
      </c>
    </row>
    <row r="196" spans="11:25" x14ac:dyDescent="0.25">
      <c r="K196" s="3"/>
      <c r="L196" s="8">
        <v>89</v>
      </c>
      <c r="M196" s="4"/>
      <c r="N196" s="4"/>
      <c r="O196" s="4"/>
      <c r="P196" s="4"/>
      <c r="S196" s="3">
        <v>194</v>
      </c>
      <c r="T196" s="8">
        <v>0.1173438447543966</v>
      </c>
      <c r="U196" s="4">
        <v>57.4</v>
      </c>
      <c r="V196" s="4">
        <v>-1.188369951302032</v>
      </c>
      <c r="W196" s="4">
        <v>66.600466804873278</v>
      </c>
      <c r="X196" s="4">
        <v>2.0995331951267246</v>
      </c>
      <c r="Y196" s="4">
        <v>0.33526744532075364</v>
      </c>
    </row>
    <row r="197" spans="11:25" x14ac:dyDescent="0.25">
      <c r="K197" s="3"/>
      <c r="L197" s="8">
        <v>89</v>
      </c>
      <c r="M197" s="4"/>
      <c r="N197" s="4"/>
      <c r="O197" s="4"/>
      <c r="P197" s="4"/>
      <c r="S197" s="3">
        <v>195</v>
      </c>
      <c r="T197" s="8">
        <v>0.11795027289266222</v>
      </c>
      <c r="U197" s="4">
        <v>57.4</v>
      </c>
      <c r="V197" s="4">
        <v>-1.1852957183684141</v>
      </c>
      <c r="W197" s="4">
        <v>66.501832086282093</v>
      </c>
      <c r="X197" s="4">
        <v>1.7981679137179043</v>
      </c>
      <c r="Y197" s="4">
        <v>0.28714342982967839</v>
      </c>
    </row>
    <row r="198" spans="11:25" x14ac:dyDescent="0.25">
      <c r="K198" s="3"/>
      <c r="L198" s="8">
        <v>89</v>
      </c>
      <c r="M198" s="4"/>
      <c r="N198" s="4"/>
      <c r="O198" s="4"/>
      <c r="P198" s="4"/>
      <c r="S198" s="3">
        <v>196</v>
      </c>
      <c r="T198" s="8">
        <v>0.11855670103092783</v>
      </c>
      <c r="U198" s="4">
        <v>57.5</v>
      </c>
      <c r="V198" s="4">
        <v>-1.1822326469232478</v>
      </c>
      <c r="W198" s="4">
        <v>66.353880008395322</v>
      </c>
      <c r="X198" s="4">
        <v>1.5461199916046837</v>
      </c>
      <c r="Y198" s="4">
        <v>0.24689473876756671</v>
      </c>
    </row>
    <row r="199" spans="11:25" x14ac:dyDescent="0.25">
      <c r="K199" s="3"/>
      <c r="L199" s="8">
        <v>89</v>
      </c>
      <c r="M199" s="4"/>
      <c r="N199" s="4"/>
      <c r="O199" s="4"/>
      <c r="P199" s="4"/>
      <c r="S199" s="3">
        <v>197</v>
      </c>
      <c r="T199" s="8">
        <v>0.11916312916919346</v>
      </c>
      <c r="U199" s="4">
        <v>57.5</v>
      </c>
      <c r="V199" s="4">
        <v>-1.1791806276804957</v>
      </c>
      <c r="W199" s="4">
        <v>66.156610571212951</v>
      </c>
      <c r="X199" s="4">
        <v>1.2433894287870544</v>
      </c>
      <c r="Y199" s="4">
        <v>0.19855270604716746</v>
      </c>
    </row>
    <row r="200" spans="11:25" x14ac:dyDescent="0.25">
      <c r="K200" s="3"/>
      <c r="L200" s="8">
        <v>89</v>
      </c>
      <c r="M200" s="4"/>
      <c r="N200" s="4"/>
      <c r="O200" s="4"/>
      <c r="P200" s="4"/>
      <c r="S200" s="3">
        <v>198</v>
      </c>
      <c r="T200" s="8">
        <v>0.11976955730745907</v>
      </c>
      <c r="U200" s="4">
        <v>57.5</v>
      </c>
      <c r="V200" s="4">
        <v>-1.1761395529439369</v>
      </c>
      <c r="W200" s="4">
        <v>66.057975852621766</v>
      </c>
      <c r="X200" s="4">
        <v>0.94202414737823403</v>
      </c>
      <c r="Y200" s="4">
        <v>0.1504286905560922</v>
      </c>
    </row>
    <row r="201" spans="11:25" x14ac:dyDescent="0.25">
      <c r="K201" s="3"/>
      <c r="L201" s="8">
        <v>89</v>
      </c>
      <c r="M201" s="4"/>
      <c r="N201" s="4"/>
      <c r="O201" s="4"/>
      <c r="P201" s="4"/>
      <c r="S201" s="3">
        <v>199</v>
      </c>
      <c r="T201" s="8">
        <v>0.12037598544572468</v>
      </c>
      <c r="U201" s="4">
        <v>57.5</v>
      </c>
      <c r="V201" s="4">
        <v>-1.1731093165759769</v>
      </c>
      <c r="W201" s="4">
        <v>65.860706415439395</v>
      </c>
      <c r="X201" s="4">
        <v>0.6392935845606047</v>
      </c>
      <c r="Y201" s="4">
        <v>0.10208665783569296</v>
      </c>
    </row>
    <row r="202" spans="11:25" x14ac:dyDescent="0.25">
      <c r="K202" s="3"/>
      <c r="L202" s="8">
        <v>89</v>
      </c>
      <c r="M202" s="4"/>
      <c r="N202" s="4"/>
      <c r="O202" s="4"/>
      <c r="P202" s="4"/>
      <c r="S202" s="3">
        <v>200</v>
      </c>
      <c r="T202" s="8">
        <v>0.1209824135839903</v>
      </c>
      <c r="U202" s="4">
        <v>57.6</v>
      </c>
      <c r="V202" s="4">
        <v>-1.1700898139672216</v>
      </c>
      <c r="W202" s="4">
        <v>65.51548490037024</v>
      </c>
      <c r="X202" s="4">
        <v>0.28451509962975763</v>
      </c>
      <c r="Y202" s="4">
        <v>4.5433266227682116E-2</v>
      </c>
    </row>
    <row r="203" spans="11:25" x14ac:dyDescent="0.25">
      <c r="K203" s="3"/>
      <c r="L203" s="8">
        <v>89</v>
      </c>
      <c r="M203" s="4"/>
      <c r="N203" s="4"/>
      <c r="O203" s="4"/>
      <c r="P203" s="4"/>
      <c r="S203" s="3">
        <v>201</v>
      </c>
      <c r="T203" s="8">
        <v>0.12158884172225591</v>
      </c>
      <c r="U203" s="4">
        <v>57.6</v>
      </c>
      <c r="V203" s="4">
        <v>-1.1670809420067962</v>
      </c>
      <c r="W203" s="4">
        <v>65.071628666709913</v>
      </c>
      <c r="X203" s="4">
        <v>-7.1628666709912636E-2</v>
      </c>
      <c r="Y203" s="4">
        <v>-1.1438142609655012E-2</v>
      </c>
    </row>
    <row r="204" spans="11:25" x14ac:dyDescent="0.25">
      <c r="K204" s="3"/>
      <c r="L204" s="8">
        <v>89</v>
      </c>
      <c r="M204" s="4"/>
      <c r="N204" s="4"/>
      <c r="O204" s="4"/>
      <c r="P204" s="4"/>
      <c r="S204" s="3">
        <v>202</v>
      </c>
      <c r="T204" s="8">
        <v>0.12219526986052152</v>
      </c>
      <c r="U204" s="4">
        <v>57.6</v>
      </c>
      <c r="V204" s="4">
        <v>-1.1640825990533858</v>
      </c>
      <c r="W204" s="4">
        <v>64.627772433049572</v>
      </c>
      <c r="X204" s="4">
        <v>-0.42777243304956869</v>
      </c>
      <c r="Y204" s="4">
        <v>-6.8309551446989872E-2</v>
      </c>
    </row>
    <row r="205" spans="11:25" x14ac:dyDescent="0.25">
      <c r="K205" s="3"/>
      <c r="L205" s="8">
        <v>89</v>
      </c>
      <c r="M205" s="4"/>
      <c r="N205" s="4"/>
      <c r="O205" s="4"/>
      <c r="P205" s="4"/>
      <c r="S205" s="3">
        <v>203</v>
      </c>
      <c r="T205" s="8">
        <v>0.12280169799878714</v>
      </c>
      <c r="U205" s="4">
        <v>57.6</v>
      </c>
      <c r="V205" s="4">
        <v>-1.1610946849069748</v>
      </c>
      <c r="W205" s="4">
        <v>64.134598840093645</v>
      </c>
      <c r="X205" s="4">
        <v>-0.83459884009364771</v>
      </c>
      <c r="Y205" s="4">
        <v>-0.13327430194261458</v>
      </c>
    </row>
    <row r="206" spans="11:25" x14ac:dyDescent="0.25">
      <c r="K206" s="3"/>
      <c r="L206" s="8">
        <v>89</v>
      </c>
      <c r="M206" s="4"/>
      <c r="N206" s="4"/>
      <c r="O206" s="4"/>
      <c r="P206" s="4"/>
      <c r="S206" s="3">
        <v>204</v>
      </c>
      <c r="T206" s="8">
        <v>0.12340812613705276</v>
      </c>
      <c r="U206" s="4">
        <v>57.6</v>
      </c>
      <c r="V206" s="4">
        <v>-1.1581171007812683</v>
      </c>
      <c r="W206" s="4">
        <v>63.690742606433311</v>
      </c>
      <c r="X206" s="4">
        <v>-1.1907426064333109</v>
      </c>
      <c r="Y206" s="4">
        <v>-0.19014571077995057</v>
      </c>
    </row>
    <row r="207" spans="11:25" x14ac:dyDescent="0.25">
      <c r="K207" s="3"/>
      <c r="L207" s="8">
        <v>89</v>
      </c>
      <c r="M207" s="4"/>
      <c r="N207" s="4"/>
      <c r="O207" s="4"/>
      <c r="P207" s="4"/>
      <c r="S207" s="3">
        <v>205</v>
      </c>
      <c r="T207" s="8">
        <v>0.12401455427531838</v>
      </c>
      <c r="U207" s="4">
        <v>57.6</v>
      </c>
      <c r="V207" s="4">
        <v>-1.1551497492767731</v>
      </c>
      <c r="W207" s="4">
        <v>76.16803450821827</v>
      </c>
      <c r="X207" s="4">
        <v>-14.468034508218267</v>
      </c>
      <c r="Y207" s="4">
        <v>-2.31035212000545</v>
      </c>
    </row>
    <row r="208" spans="11:25" x14ac:dyDescent="0.25">
      <c r="K208" s="3"/>
      <c r="L208" s="8">
        <v>36.299999999999997</v>
      </c>
      <c r="M208" s="4"/>
      <c r="N208" s="4"/>
      <c r="O208" s="4"/>
      <c r="P208" s="4"/>
      <c r="S208" s="3">
        <v>206</v>
      </c>
      <c r="T208" s="8">
        <v>0.12462098241358399</v>
      </c>
      <c r="U208" s="4">
        <v>57.8</v>
      </c>
      <c r="V208" s="4">
        <v>-1.1521925343545225</v>
      </c>
      <c r="W208" s="4">
        <v>62.211221827565531</v>
      </c>
      <c r="X208" s="4">
        <v>-0.21122182756553087</v>
      </c>
      <c r="Y208" s="4">
        <v>-3.3729308347326195E-2</v>
      </c>
    </row>
    <row r="209" spans="11:25" x14ac:dyDescent="0.25">
      <c r="K209" s="3"/>
      <c r="L209" s="8">
        <v>36.299999999999997</v>
      </c>
      <c r="M209" s="4"/>
      <c r="N209" s="4"/>
      <c r="O209" s="4"/>
      <c r="P209" s="4"/>
      <c r="S209" s="3">
        <v>207</v>
      </c>
      <c r="T209" s="8">
        <v>0.12522741055184961</v>
      </c>
      <c r="U209" s="4">
        <v>57.8</v>
      </c>
      <c r="V209" s="4">
        <v>-1.1492453613104205</v>
      </c>
      <c r="W209" s="4">
        <v>73.20899295048271</v>
      </c>
      <c r="X209" s="4">
        <v>3.9910070495172931</v>
      </c>
      <c r="Y209" s="4">
        <v>0.63731058925601713</v>
      </c>
    </row>
    <row r="210" spans="11:25" x14ac:dyDescent="0.25">
      <c r="K210" s="3"/>
      <c r="L210" s="8">
        <v>36.299999999999997</v>
      </c>
      <c r="M210" s="4"/>
      <c r="N210" s="4"/>
      <c r="O210" s="4"/>
      <c r="P210" s="4"/>
      <c r="S210" s="3">
        <v>208</v>
      </c>
      <c r="T210" s="8">
        <v>0.12583383869011522</v>
      </c>
      <c r="U210" s="4">
        <v>57.9</v>
      </c>
      <c r="V210" s="4">
        <v>-1.1463081367501959</v>
      </c>
      <c r="W210" s="4">
        <v>77.154381694130123</v>
      </c>
      <c r="X210" s="4">
        <v>-0.15438169413012304</v>
      </c>
      <c r="Y210" s="4">
        <v>-2.4652697235478686E-2</v>
      </c>
    </row>
    <row r="211" spans="11:25" x14ac:dyDescent="0.25">
      <c r="K211" s="3"/>
      <c r="L211" s="8">
        <v>36.299999999999997</v>
      </c>
      <c r="M211" s="4"/>
      <c r="N211" s="4"/>
      <c r="O211" s="4"/>
      <c r="P211" s="4"/>
      <c r="S211" s="3">
        <v>209</v>
      </c>
      <c r="T211" s="8">
        <v>0.12644026682838083</v>
      </c>
      <c r="U211" s="4">
        <v>57.9</v>
      </c>
      <c r="V211" s="4">
        <v>-1.1433807685649418</v>
      </c>
      <c r="W211" s="4">
        <v>73.061040872595925</v>
      </c>
      <c r="X211" s="4">
        <v>3.7389591274040725</v>
      </c>
      <c r="Y211" s="4">
        <v>0.59706189819390554</v>
      </c>
    </row>
    <row r="212" spans="11:25" x14ac:dyDescent="0.25">
      <c r="K212" s="3"/>
      <c r="L212" s="8">
        <v>36.299999999999997</v>
      </c>
      <c r="M212" s="4"/>
      <c r="N212" s="4"/>
      <c r="O212" s="4"/>
      <c r="P212" s="4"/>
      <c r="S212" s="3">
        <v>210</v>
      </c>
      <c r="T212" s="8">
        <v>0.12704669496664645</v>
      </c>
      <c r="U212" s="4">
        <v>57.9</v>
      </c>
      <c r="V212" s="4">
        <v>-1.1404631659072275</v>
      </c>
      <c r="W212" s="4">
        <v>73.061040872595925</v>
      </c>
      <c r="X212" s="4">
        <v>3.8389591274040811</v>
      </c>
      <c r="Y212" s="4">
        <v>0.61303056428115665</v>
      </c>
    </row>
    <row r="213" spans="11:25" x14ac:dyDescent="0.25">
      <c r="K213" s="3"/>
      <c r="L213" s="8">
        <v>36.299999999999997</v>
      </c>
      <c r="M213" s="4"/>
      <c r="N213" s="4"/>
      <c r="O213" s="4"/>
      <c r="P213" s="4"/>
      <c r="S213" s="3">
        <v>211</v>
      </c>
      <c r="T213" s="8">
        <v>0.12765312310491206</v>
      </c>
      <c r="U213" s="4">
        <v>58</v>
      </c>
      <c r="V213" s="4">
        <v>-1.1375552391677677</v>
      </c>
      <c r="W213" s="4">
        <v>72.962406154004753</v>
      </c>
      <c r="X213" s="4">
        <v>3.4375938459952522</v>
      </c>
      <c r="Y213" s="4">
        <v>0.54893788270283028</v>
      </c>
    </row>
    <row r="214" spans="11:25" x14ac:dyDescent="0.25">
      <c r="K214" s="3"/>
      <c r="L214" s="8">
        <v>36.299999999999997</v>
      </c>
      <c r="M214" s="4"/>
      <c r="N214" s="4"/>
      <c r="O214" s="4"/>
      <c r="P214" s="4"/>
      <c r="S214" s="3">
        <v>212</v>
      </c>
      <c r="T214" s="8">
        <v>0.12825955124317767</v>
      </c>
      <c r="U214" s="4">
        <v>58</v>
      </c>
      <c r="V214" s="4">
        <v>-1.1346568999526305</v>
      </c>
      <c r="W214" s="4">
        <v>72.814454076117968</v>
      </c>
      <c r="X214" s="4">
        <v>3.2855459238820259</v>
      </c>
      <c r="Y214" s="4">
        <v>0.52465785772796747</v>
      </c>
    </row>
    <row r="215" spans="11:25" x14ac:dyDescent="0.25">
      <c r="K215" s="3"/>
      <c r="L215" s="8">
        <v>36.299999999999997</v>
      </c>
      <c r="M215" s="4"/>
      <c r="N215" s="4"/>
      <c r="O215" s="4"/>
      <c r="P215" s="4"/>
      <c r="S215" s="3">
        <v>213</v>
      </c>
      <c r="T215" s="8">
        <v>0.12886597938144329</v>
      </c>
      <c r="U215" s="4">
        <v>58</v>
      </c>
      <c r="V215" s="4">
        <v>-1.1317680610609704</v>
      </c>
      <c r="W215" s="4">
        <v>72.765136716822383</v>
      </c>
      <c r="X215" s="4">
        <v>3.2348632831776172</v>
      </c>
      <c r="Y215" s="4">
        <v>0.5165645160696799</v>
      </c>
    </row>
    <row r="216" spans="11:25" x14ac:dyDescent="0.25">
      <c r="K216" s="3"/>
      <c r="L216" s="8">
        <v>36.299999999999997</v>
      </c>
      <c r="M216" s="4"/>
      <c r="N216" s="4"/>
      <c r="O216" s="4"/>
      <c r="P216" s="4"/>
      <c r="S216" s="3">
        <v>214</v>
      </c>
      <c r="T216" s="8">
        <v>0.12947240751970893</v>
      </c>
      <c r="U216" s="4">
        <v>58</v>
      </c>
      <c r="V216" s="4">
        <v>-1.128888636463274</v>
      </c>
      <c r="W216" s="4">
        <v>76.809160179060981</v>
      </c>
      <c r="X216" s="4">
        <v>-1.4091601790609758</v>
      </c>
      <c r="Y216" s="4">
        <v>-0.22502408362873871</v>
      </c>
    </row>
    <row r="217" spans="11:25" x14ac:dyDescent="0.25">
      <c r="K217" s="3"/>
      <c r="L217" s="8">
        <v>36.299999999999997</v>
      </c>
      <c r="M217" s="4"/>
      <c r="N217" s="4"/>
      <c r="O217" s="4"/>
      <c r="P217" s="4"/>
      <c r="S217" s="3">
        <v>215</v>
      </c>
      <c r="T217" s="8">
        <v>0.13007883565797454</v>
      </c>
      <c r="U217" s="4">
        <v>58</v>
      </c>
      <c r="V217" s="4">
        <v>-1.1260185412800998</v>
      </c>
      <c r="W217" s="4">
        <v>77.548920568494864</v>
      </c>
      <c r="X217" s="4">
        <v>-1.8489205684948615</v>
      </c>
      <c r="Y217" s="4">
        <v>-0.29524795180142532</v>
      </c>
    </row>
    <row r="218" spans="11:25" x14ac:dyDescent="0.25">
      <c r="K218" s="3"/>
      <c r="L218" s="8">
        <v>36.299999999999997</v>
      </c>
      <c r="M218" s="4"/>
      <c r="N218" s="4"/>
      <c r="O218" s="4"/>
      <c r="P218" s="4"/>
      <c r="S218" s="3">
        <v>216</v>
      </c>
      <c r="T218" s="8">
        <v>0.13068526379624015</v>
      </c>
      <c r="U218" s="4">
        <v>58</v>
      </c>
      <c r="V218" s="4">
        <v>-1.1231576917613035</v>
      </c>
      <c r="W218" s="4">
        <v>77.006429616243352</v>
      </c>
      <c r="X218" s="4">
        <v>-2.0064296162433521</v>
      </c>
      <c r="Y218" s="4">
        <v>-0.32040004569358865</v>
      </c>
    </row>
    <row r="219" spans="11:25" x14ac:dyDescent="0.25">
      <c r="K219" s="3"/>
      <c r="L219" s="8">
        <v>36.299999999999997</v>
      </c>
      <c r="M219" s="4"/>
      <c r="N219" s="4"/>
      <c r="O219" s="4"/>
      <c r="P219" s="4"/>
      <c r="S219" s="3">
        <v>217</v>
      </c>
      <c r="T219" s="8">
        <v>0.13129169193450577</v>
      </c>
      <c r="U219" s="4">
        <v>58</v>
      </c>
      <c r="V219" s="4">
        <v>-1.1203060052657317</v>
      </c>
      <c r="W219" s="4">
        <v>72.715819357526783</v>
      </c>
      <c r="X219" s="4">
        <v>2.7841806424732169</v>
      </c>
      <c r="Y219" s="4">
        <v>0.44459651006239442</v>
      </c>
    </row>
    <row r="220" spans="11:25" x14ac:dyDescent="0.25">
      <c r="K220" s="3"/>
      <c r="L220" s="8">
        <v>36.299999999999997</v>
      </c>
      <c r="M220" s="4"/>
      <c r="N220" s="4"/>
      <c r="O220" s="4"/>
      <c r="P220" s="4"/>
      <c r="S220" s="3">
        <v>218</v>
      </c>
      <c r="T220" s="8">
        <v>0.13189812007277138</v>
      </c>
      <c r="U220" s="4">
        <v>58.1</v>
      </c>
      <c r="V220" s="4">
        <v>-1.1174634002413724</v>
      </c>
      <c r="W220" s="4">
        <v>64.381185636571615</v>
      </c>
      <c r="X220" s="4">
        <v>0.71881436342837901</v>
      </c>
      <c r="Y220" s="4">
        <v>0.11478506548306815</v>
      </c>
    </row>
    <row r="221" spans="11:25" x14ac:dyDescent="0.25">
      <c r="K221" s="3"/>
      <c r="L221" s="8">
        <v>36.299999999999997</v>
      </c>
      <c r="M221" s="4"/>
      <c r="N221" s="4"/>
      <c r="O221" s="4"/>
      <c r="P221" s="4"/>
      <c r="S221" s="3">
        <v>219</v>
      </c>
      <c r="T221" s="8">
        <v>0.13250454821103699</v>
      </c>
      <c r="U221" s="4">
        <v>58.1</v>
      </c>
      <c r="V221" s="4">
        <v>-1.1146297962059522</v>
      </c>
      <c r="W221" s="4">
        <v>63.49347316925094</v>
      </c>
      <c r="X221" s="4">
        <v>0.70652683074906264</v>
      </c>
      <c r="Y221" s="4">
        <v>0.11282291041914642</v>
      </c>
    </row>
    <row r="222" spans="11:25" x14ac:dyDescent="0.25">
      <c r="K222" s="3"/>
      <c r="L222" s="8">
        <v>36.299999999999997</v>
      </c>
      <c r="M222" s="4"/>
      <c r="N222" s="4"/>
      <c r="O222" s="4"/>
      <c r="P222" s="4"/>
      <c r="S222" s="3">
        <v>220</v>
      </c>
      <c r="T222" s="8">
        <v>0.13311097634930261</v>
      </c>
      <c r="U222" s="4">
        <v>58.1</v>
      </c>
      <c r="V222" s="4">
        <v>-1.1118051137279643</v>
      </c>
      <c r="W222" s="4">
        <v>77.450285849903679</v>
      </c>
      <c r="X222" s="4">
        <v>-14.05028584990368</v>
      </c>
      <c r="Y222" s="4">
        <v>-2.2436432316752275</v>
      </c>
    </row>
    <row r="223" spans="11:25" x14ac:dyDescent="0.25">
      <c r="K223" s="3"/>
      <c r="L223" s="8">
        <v>36.299999999999997</v>
      </c>
      <c r="M223" s="4"/>
      <c r="N223" s="4"/>
      <c r="O223" s="4"/>
      <c r="P223" s="4"/>
      <c r="S223" s="3">
        <v>221</v>
      </c>
      <c r="T223" s="8">
        <v>0.13371740448756822</v>
      </c>
      <c r="U223" s="4">
        <v>58.1</v>
      </c>
      <c r="V223" s="4">
        <v>-1.1089892744081202</v>
      </c>
      <c r="W223" s="4">
        <v>61.570096156722826</v>
      </c>
      <c r="X223" s="4">
        <v>0.62990384327717663</v>
      </c>
      <c r="Y223" s="4">
        <v>0.10058724140368569</v>
      </c>
    </row>
    <row r="224" spans="11:25" x14ac:dyDescent="0.25">
      <c r="K224" s="3"/>
      <c r="L224" s="8">
        <v>36.299999999999997</v>
      </c>
      <c r="M224" s="4"/>
      <c r="N224" s="4"/>
      <c r="O224" s="4"/>
      <c r="P224" s="4"/>
      <c r="S224" s="3">
        <v>222</v>
      </c>
      <c r="T224" s="8">
        <v>0.13432383262583383</v>
      </c>
      <c r="U224" s="4">
        <v>58.1</v>
      </c>
      <c r="V224" s="4">
        <v>-1.1061822008612072</v>
      </c>
      <c r="W224" s="4">
        <v>60.386479533628602</v>
      </c>
      <c r="X224" s="4">
        <v>0.71352046637139921</v>
      </c>
      <c r="Y224" s="4">
        <v>0.1139397007390363</v>
      </c>
    </row>
    <row r="225" spans="11:25" x14ac:dyDescent="0.25">
      <c r="K225" s="3"/>
      <c r="L225" s="8">
        <v>36.299999999999997</v>
      </c>
      <c r="M225" s="4"/>
      <c r="N225" s="4"/>
      <c r="O225" s="4"/>
      <c r="P225" s="4"/>
      <c r="S225" s="3">
        <v>223</v>
      </c>
      <c r="T225" s="8">
        <v>0.13493026076409945</v>
      </c>
      <c r="U225" s="4">
        <v>58.1</v>
      </c>
      <c r="V225" s="4">
        <v>-1.1033838166983496</v>
      </c>
      <c r="W225" s="4">
        <v>58.216515724622518</v>
      </c>
      <c r="X225" s="4">
        <v>0.98348427537748506</v>
      </c>
      <c r="Y225" s="4">
        <v>0.15704931995563898</v>
      </c>
    </row>
    <row r="226" spans="11:25" x14ac:dyDescent="0.25">
      <c r="K226" s="3"/>
      <c r="L226" s="8">
        <v>36.299999999999997</v>
      </c>
      <c r="M226" s="4"/>
      <c r="N226" s="4"/>
      <c r="O226" s="4"/>
      <c r="P226" s="4"/>
      <c r="S226" s="3">
        <v>224</v>
      </c>
      <c r="T226" s="8">
        <v>0.13553668890236506</v>
      </c>
      <c r="U226" s="4">
        <v>58.2</v>
      </c>
      <c r="V226" s="4">
        <v>-1.1005940465096582</v>
      </c>
      <c r="W226" s="4">
        <v>56.53972550857236</v>
      </c>
      <c r="X226" s="4">
        <v>0.96027449142763999</v>
      </c>
      <c r="Y226" s="4">
        <v>0.15334302705711611</v>
      </c>
    </row>
    <row r="227" spans="11:25" x14ac:dyDescent="0.25">
      <c r="K227" s="3"/>
      <c r="L227" s="8">
        <v>36.299999999999997</v>
      </c>
      <c r="M227" s="4"/>
      <c r="N227" s="4"/>
      <c r="O227" s="4"/>
      <c r="P227" s="4"/>
      <c r="S227" s="3">
        <v>225</v>
      </c>
      <c r="T227" s="8">
        <v>0.13614311704063067</v>
      </c>
      <c r="U227" s="4">
        <v>58.2</v>
      </c>
      <c r="V227" s="4">
        <v>-1.0978128158472511</v>
      </c>
      <c r="W227" s="4">
        <v>56.095869274912033</v>
      </c>
      <c r="X227" s="4">
        <v>0.80413072508796546</v>
      </c>
      <c r="Y227" s="4">
        <v>0.12840895039427794</v>
      </c>
    </row>
    <row r="228" spans="11:25" x14ac:dyDescent="0.25">
      <c r="K228" s="3"/>
      <c r="L228" s="8">
        <v>89</v>
      </c>
      <c r="M228" s="4"/>
      <c r="N228" s="4"/>
      <c r="O228" s="4"/>
      <c r="P228" s="4"/>
      <c r="S228" s="3">
        <v>226</v>
      </c>
      <c r="T228" s="8">
        <v>0.13674954517889631</v>
      </c>
      <c r="U228" s="4">
        <v>58.3</v>
      </c>
      <c r="V228" s="4">
        <v>-1.0950400512086547</v>
      </c>
      <c r="W228" s="4">
        <v>53.383414513654429</v>
      </c>
      <c r="X228" s="4">
        <v>1.4165854863455678</v>
      </c>
      <c r="Y228" s="4">
        <v>0.22620980615496747</v>
      </c>
    </row>
    <row r="229" spans="11:25" x14ac:dyDescent="0.25">
      <c r="K229" s="3"/>
      <c r="L229" s="8">
        <v>89</v>
      </c>
      <c r="M229" s="4"/>
      <c r="N229" s="4"/>
      <c r="O229" s="4"/>
      <c r="P229" s="4"/>
      <c r="S229" s="3">
        <v>227</v>
      </c>
      <c r="T229" s="8">
        <v>0.13735597331716193</v>
      </c>
      <c r="U229" s="4">
        <v>58.3</v>
      </c>
      <c r="V229" s="4">
        <v>-1.0922756800205549</v>
      </c>
      <c r="W229" s="4">
        <v>49.684612566484972</v>
      </c>
      <c r="X229" s="4">
        <v>2.0153874335150306</v>
      </c>
      <c r="Y229" s="4">
        <v>0.32183048962240896</v>
      </c>
    </row>
    <row r="230" spans="11:25" x14ac:dyDescent="0.25">
      <c r="K230" s="3"/>
      <c r="L230" s="8">
        <v>89</v>
      </c>
      <c r="M230" s="4"/>
      <c r="N230" s="4"/>
      <c r="O230" s="4"/>
      <c r="P230" s="4"/>
      <c r="S230" s="3">
        <v>228</v>
      </c>
      <c r="T230" s="8">
        <v>0.13796240145542754</v>
      </c>
      <c r="U230" s="4">
        <v>58.4</v>
      </c>
      <c r="V230" s="4">
        <v>-1.0895196306228985</v>
      </c>
      <c r="W230" s="4">
        <v>45.443319667063996</v>
      </c>
      <c r="X230" s="4">
        <v>2.6566803329360056</v>
      </c>
      <c r="Y230" s="4">
        <v>0.42423641137218726</v>
      </c>
    </row>
    <row r="231" spans="11:25" x14ac:dyDescent="0.25">
      <c r="K231" s="3"/>
      <c r="L231" s="8">
        <v>89</v>
      </c>
      <c r="M231" s="4"/>
      <c r="N231" s="4"/>
      <c r="O231" s="4"/>
      <c r="P231" s="4"/>
      <c r="S231" s="3">
        <v>229</v>
      </c>
      <c r="T231" s="8">
        <v>0.13856882959369315</v>
      </c>
      <c r="U231" s="4">
        <v>58.4</v>
      </c>
      <c r="V231" s="4">
        <v>-1.0867718322533395</v>
      </c>
      <c r="W231" s="4">
        <v>43.421307935944697</v>
      </c>
      <c r="X231" s="4">
        <v>2.9786920640553021</v>
      </c>
      <c r="Y231" s="4">
        <v>0.47565738947640035</v>
      </c>
    </row>
    <row r="232" spans="11:25" x14ac:dyDescent="0.25">
      <c r="K232" s="3"/>
      <c r="L232" s="8">
        <v>89</v>
      </c>
      <c r="M232" s="4"/>
      <c r="N232" s="4"/>
      <c r="O232" s="4"/>
      <c r="P232" s="4"/>
      <c r="S232" s="3">
        <v>230</v>
      </c>
      <c r="T232" s="8">
        <v>0.13917525773195877</v>
      </c>
      <c r="U232" s="4">
        <v>58.4</v>
      </c>
      <c r="V232" s="4">
        <v>-1.0840322150320139</v>
      </c>
      <c r="W232" s="4">
        <v>43.125403780171133</v>
      </c>
      <c r="X232" s="4">
        <v>2.8745962198288666</v>
      </c>
      <c r="Y232" s="4">
        <v>0.45903467170117718</v>
      </c>
    </row>
    <row r="233" spans="11:25" x14ac:dyDescent="0.25">
      <c r="K233" s="3"/>
      <c r="L233" s="8">
        <v>89</v>
      </c>
      <c r="M233" s="4"/>
      <c r="N233" s="4"/>
      <c r="O233" s="4"/>
      <c r="P233" s="4"/>
      <c r="S233" s="3">
        <v>231</v>
      </c>
      <c r="T233" s="8">
        <v>0.13978168587022438</v>
      </c>
      <c r="U233" s="4">
        <v>58.4</v>
      </c>
      <c r="V233" s="4">
        <v>-1.0813007099466387</v>
      </c>
      <c r="W233" s="4">
        <v>44.111750966082994</v>
      </c>
      <c r="X233" s="4">
        <v>2.588249033917009</v>
      </c>
      <c r="Y233" s="4">
        <v>0.41330884573267623</v>
      </c>
    </row>
    <row r="234" spans="11:25" x14ac:dyDescent="0.25">
      <c r="K234" s="3"/>
      <c r="L234" s="8">
        <v>89</v>
      </c>
      <c r="M234" s="4"/>
      <c r="N234" s="4"/>
      <c r="O234" s="4"/>
      <c r="P234" s="4"/>
      <c r="S234" s="3">
        <v>232</v>
      </c>
      <c r="T234" s="8">
        <v>0.14038811400848999</v>
      </c>
      <c r="U234" s="4">
        <v>58.4</v>
      </c>
      <c r="V234" s="4">
        <v>-1.0785772488379259</v>
      </c>
      <c r="W234" s="4">
        <v>45.689906463541959</v>
      </c>
      <c r="X234" s="4">
        <v>2.110093536458038</v>
      </c>
      <c r="Y234" s="4">
        <v>0.33695379096562489</v>
      </c>
    </row>
    <row r="235" spans="11:25" x14ac:dyDescent="0.25">
      <c r="K235" s="3"/>
      <c r="L235" s="8">
        <v>89</v>
      </c>
      <c r="M235" s="4"/>
      <c r="N235" s="4"/>
      <c r="O235" s="4"/>
      <c r="P235" s="4"/>
      <c r="S235" s="3">
        <v>233</v>
      </c>
      <c r="T235" s="8">
        <v>0.14099454214675561</v>
      </c>
      <c r="U235" s="4">
        <v>58.5</v>
      </c>
      <c r="V235" s="4">
        <v>-1.0758617643853021</v>
      </c>
      <c r="W235" s="4">
        <v>70.496538189225106</v>
      </c>
      <c r="X235" s="4">
        <v>4.3034618107748912</v>
      </c>
      <c r="Y235" s="4">
        <v>0.68720544675495654</v>
      </c>
    </row>
    <row r="236" spans="11:25" x14ac:dyDescent="0.25">
      <c r="K236" s="3"/>
      <c r="L236" s="8">
        <v>89</v>
      </c>
      <c r="M236" s="4"/>
      <c r="N236" s="4"/>
      <c r="O236" s="4"/>
      <c r="P236" s="4"/>
      <c r="S236" s="3">
        <v>234</v>
      </c>
      <c r="T236" s="8">
        <v>0.14160097028502122</v>
      </c>
      <c r="U236" s="4">
        <v>58.5</v>
      </c>
      <c r="V236" s="4">
        <v>-1.0731541900929309</v>
      </c>
      <c r="W236" s="4">
        <v>70.397903470633921</v>
      </c>
      <c r="X236" s="4">
        <v>4.3020965293660822</v>
      </c>
      <c r="Y236" s="4">
        <v>0.68698742952563263</v>
      </c>
    </row>
    <row r="237" spans="11:25" x14ac:dyDescent="0.25">
      <c r="K237" s="3"/>
      <c r="L237" s="8">
        <v>89</v>
      </c>
      <c r="M237" s="4"/>
      <c r="N237" s="4"/>
      <c r="O237" s="4"/>
      <c r="P237" s="4"/>
      <c r="S237" s="3">
        <v>235</v>
      </c>
      <c r="T237" s="8">
        <v>0.14220739842328683</v>
      </c>
      <c r="U237" s="4">
        <v>58.6</v>
      </c>
      <c r="V237" s="4">
        <v>-1.0704544602760233</v>
      </c>
      <c r="W237" s="4">
        <v>70.299268752042735</v>
      </c>
      <c r="X237" s="4">
        <v>4.2007312479572647</v>
      </c>
      <c r="Y237" s="4">
        <v>0.67080074620905739</v>
      </c>
    </row>
    <row r="238" spans="11:25" x14ac:dyDescent="0.25">
      <c r="K238" s="3"/>
      <c r="L238" s="8">
        <v>89</v>
      </c>
      <c r="M238" s="4"/>
      <c r="N238" s="4"/>
      <c r="O238" s="4"/>
      <c r="P238" s="4"/>
      <c r="S238" s="3">
        <v>236</v>
      </c>
      <c r="T238" s="8">
        <v>0.14281382656155245</v>
      </c>
      <c r="U238" s="4">
        <v>58.6</v>
      </c>
      <c r="V238" s="4">
        <v>-1.0677625100474348</v>
      </c>
      <c r="W238" s="4">
        <v>70.101999314860365</v>
      </c>
      <c r="X238" s="4">
        <v>3.9980006851396297</v>
      </c>
      <c r="Y238" s="4">
        <v>0.63842737957590701</v>
      </c>
    </row>
    <row r="239" spans="11:25" x14ac:dyDescent="0.25">
      <c r="K239" s="3"/>
      <c r="L239" s="8">
        <v>89</v>
      </c>
      <c r="M239" s="4"/>
      <c r="N239" s="4"/>
      <c r="O239" s="4"/>
      <c r="P239" s="4"/>
      <c r="S239" s="3">
        <v>237</v>
      </c>
      <c r="T239" s="8">
        <v>0.14342025469981806</v>
      </c>
      <c r="U239" s="4">
        <v>58.6</v>
      </c>
      <c r="V239" s="4">
        <v>-1.0650782753045402</v>
      </c>
      <c r="W239" s="4">
        <v>70.003364596269179</v>
      </c>
      <c r="X239" s="4">
        <v>3.7966354037308179</v>
      </c>
      <c r="Y239" s="4">
        <v>0.60627203017208298</v>
      </c>
    </row>
    <row r="240" spans="11:25" x14ac:dyDescent="0.25">
      <c r="K240" s="3"/>
      <c r="L240" s="8">
        <v>89</v>
      </c>
      <c r="M240" s="4"/>
      <c r="N240" s="4"/>
      <c r="O240" s="4"/>
      <c r="P240" s="4"/>
      <c r="S240" s="3">
        <v>238</v>
      </c>
      <c r="T240" s="8">
        <v>0.14402668283808367</v>
      </c>
      <c r="U240" s="4">
        <v>58.6</v>
      </c>
      <c r="V240" s="4">
        <v>-1.062401692716376</v>
      </c>
      <c r="W240" s="4">
        <v>69.855412518382408</v>
      </c>
      <c r="X240" s="4">
        <v>3.7445874816175859</v>
      </c>
      <c r="Y240" s="4">
        <v>0.59796067128446906</v>
      </c>
    </row>
    <row r="241" spans="11:25" x14ac:dyDescent="0.25">
      <c r="K241" s="3"/>
      <c r="L241" s="8">
        <v>89</v>
      </c>
      <c r="M241" s="4"/>
      <c r="N241" s="4"/>
      <c r="O241" s="4"/>
      <c r="P241" s="4"/>
      <c r="S241" s="3">
        <v>239</v>
      </c>
      <c r="T241" s="8">
        <v>0.14463311097634932</v>
      </c>
      <c r="U241" s="4">
        <v>58.7</v>
      </c>
      <c r="V241" s="4">
        <v>-1.0597326997110486</v>
      </c>
      <c r="W241" s="4">
        <v>69.806095159086809</v>
      </c>
      <c r="X241" s="4">
        <v>3.5939048409131971</v>
      </c>
      <c r="Y241" s="4">
        <v>0.57389866353893493</v>
      </c>
    </row>
    <row r="242" spans="11:25" x14ac:dyDescent="0.25">
      <c r="K242" s="3"/>
      <c r="L242" s="8">
        <v>89</v>
      </c>
      <c r="M242" s="4"/>
      <c r="N242" s="4"/>
      <c r="O242" s="4"/>
      <c r="P242" s="4"/>
      <c r="S242" s="3">
        <v>240</v>
      </c>
      <c r="T242" s="8">
        <v>0.14523953911461493</v>
      </c>
      <c r="U242" s="4">
        <v>58.8</v>
      </c>
      <c r="V242" s="4">
        <v>-1.0570712344634026</v>
      </c>
      <c r="W242" s="4">
        <v>69.756777799791223</v>
      </c>
      <c r="X242" s="4">
        <v>3.5432222002087741</v>
      </c>
      <c r="Y242" s="4">
        <v>0.56580532188064503</v>
      </c>
    </row>
    <row r="243" spans="11:25" x14ac:dyDescent="0.25">
      <c r="K243" s="3"/>
      <c r="L243" s="8">
        <v>36.299999999999997</v>
      </c>
      <c r="M243" s="4"/>
      <c r="N243" s="4"/>
      <c r="O243" s="4"/>
      <c r="P243" s="4"/>
      <c r="S243" s="3">
        <v>241</v>
      </c>
      <c r="T243" s="8">
        <v>0.14584596725288054</v>
      </c>
      <c r="U243" s="4">
        <v>58.8</v>
      </c>
      <c r="V243" s="4">
        <v>-1.0544172358829325</v>
      </c>
      <c r="W243" s="4">
        <v>69.658143081200038</v>
      </c>
      <c r="X243" s="4">
        <v>3.3418569187999623</v>
      </c>
      <c r="Y243" s="4">
        <v>0.533649972476821</v>
      </c>
    </row>
    <row r="244" spans="11:25" x14ac:dyDescent="0.25">
      <c r="K244" s="3"/>
      <c r="L244" s="8">
        <v>89</v>
      </c>
      <c r="M244" s="4"/>
      <c r="N244" s="4"/>
      <c r="O244" s="4"/>
      <c r="P244" s="4"/>
      <c r="S244" s="3">
        <v>242</v>
      </c>
      <c r="T244" s="8">
        <v>0.14645239539114616</v>
      </c>
      <c r="U244" s="4">
        <v>58.8</v>
      </c>
      <c r="V244" s="4">
        <v>-1.0517706436019481</v>
      </c>
      <c r="W244" s="4">
        <v>69.559508362608852</v>
      </c>
      <c r="X244" s="4">
        <v>3.1404916373911504</v>
      </c>
      <c r="Y244" s="4">
        <v>0.50149462307299686</v>
      </c>
    </row>
    <row r="245" spans="11:25" x14ac:dyDescent="0.25">
      <c r="K245" s="3"/>
      <c r="L245" s="8">
        <v>89</v>
      </c>
      <c r="M245" s="4"/>
      <c r="N245" s="4"/>
      <c r="O245" s="4"/>
      <c r="P245" s="4"/>
      <c r="S245" s="3">
        <v>243</v>
      </c>
      <c r="T245" s="8">
        <v>0.14705882352941177</v>
      </c>
      <c r="U245" s="4">
        <v>58.9</v>
      </c>
      <c r="V245" s="4">
        <v>-1.0491313979639711</v>
      </c>
      <c r="W245" s="4">
        <v>76.759842819765382</v>
      </c>
      <c r="X245" s="4">
        <v>-4.7598428197653817</v>
      </c>
      <c r="Y245" s="4">
        <v>-0.76008340616626957</v>
      </c>
    </row>
    <row r="246" spans="11:25" x14ac:dyDescent="0.25">
      <c r="K246" s="3"/>
      <c r="L246" s="8">
        <v>89</v>
      </c>
      <c r="M246" s="4"/>
      <c r="N246" s="4"/>
      <c r="O246" s="4"/>
      <c r="P246" s="4"/>
      <c r="S246" s="3">
        <v>244</v>
      </c>
      <c r="T246" s="8">
        <v>0.14766525166767738</v>
      </c>
      <c r="U246" s="4">
        <v>58.9</v>
      </c>
      <c r="V246" s="4">
        <v>-1.0464994400123706</v>
      </c>
      <c r="W246" s="4">
        <v>69.115652128948511</v>
      </c>
      <c r="X246" s="4">
        <v>2.6843478710514859</v>
      </c>
      <c r="Y246" s="4">
        <v>0.42865454814841086</v>
      </c>
    </row>
    <row r="247" spans="11:25" x14ac:dyDescent="0.25">
      <c r="K247" s="3"/>
      <c r="L247" s="8">
        <v>89</v>
      </c>
      <c r="M247" s="4"/>
      <c r="N247" s="4"/>
      <c r="O247" s="4"/>
      <c r="P247" s="4"/>
      <c r="S247" s="3">
        <v>245</v>
      </c>
      <c r="T247" s="8">
        <v>0.148271679805943</v>
      </c>
      <c r="U247" s="4">
        <v>58.9</v>
      </c>
      <c r="V247" s="4">
        <v>-1.0438747114792224</v>
      </c>
      <c r="W247" s="4">
        <v>68.918382691766141</v>
      </c>
      <c r="X247" s="4">
        <v>2.4816173082338651</v>
      </c>
      <c r="Y247" s="4">
        <v>0.39628118151526276</v>
      </c>
    </row>
    <row r="248" spans="11:25" x14ac:dyDescent="0.25">
      <c r="K248" s="3"/>
      <c r="L248" s="8">
        <v>89</v>
      </c>
      <c r="M248" s="4"/>
      <c r="N248" s="4"/>
      <c r="O248" s="4"/>
      <c r="P248" s="4"/>
      <c r="S248" s="3">
        <v>246</v>
      </c>
      <c r="T248" s="8">
        <v>0.14887810794420861</v>
      </c>
      <c r="U248" s="4">
        <v>58.9</v>
      </c>
      <c r="V248" s="4">
        <v>-1.0412571547743916</v>
      </c>
      <c r="W248" s="4">
        <v>68.77043061387937</v>
      </c>
      <c r="X248" s="4">
        <v>2.2295693861206303</v>
      </c>
      <c r="Y248" s="4">
        <v>0.35603249045314883</v>
      </c>
    </row>
    <row r="249" spans="11:25" x14ac:dyDescent="0.25">
      <c r="K249" s="3"/>
      <c r="L249" s="8">
        <v>89</v>
      </c>
      <c r="M249" s="4"/>
      <c r="N249" s="4"/>
      <c r="O249" s="4"/>
      <c r="P249" s="4"/>
      <c r="S249" s="3">
        <v>247</v>
      </c>
      <c r="T249" s="8">
        <v>0.14948453608247422</v>
      </c>
      <c r="U249" s="4">
        <v>59</v>
      </c>
      <c r="V249" s="4">
        <v>-1.0386467129748327</v>
      </c>
      <c r="W249" s="4">
        <v>68.573161176696999</v>
      </c>
      <c r="X249" s="4">
        <v>6.4268388233030009</v>
      </c>
      <c r="Y249" s="4">
        <v>1.0262804316589911</v>
      </c>
    </row>
    <row r="250" spans="11:25" x14ac:dyDescent="0.25">
      <c r="K250" s="3"/>
      <c r="L250" s="8">
        <v>89</v>
      </c>
      <c r="M250" s="4"/>
      <c r="N250" s="4"/>
      <c r="O250" s="4"/>
      <c r="P250" s="4"/>
      <c r="S250" s="3">
        <v>248</v>
      </c>
      <c r="T250" s="8">
        <v>0.15009096422073984</v>
      </c>
      <c r="U250" s="4">
        <v>59</v>
      </c>
      <c r="V250" s="4">
        <v>-1.0360433298140987</v>
      </c>
      <c r="W250" s="4">
        <v>70.792442344998662</v>
      </c>
      <c r="X250" s="4">
        <v>3.5075576550013352</v>
      </c>
      <c r="Y250" s="4">
        <v>0.56011016974493288</v>
      </c>
    </row>
    <row r="251" spans="11:25" x14ac:dyDescent="0.25">
      <c r="K251" s="3"/>
      <c r="L251" s="8">
        <v>89</v>
      </c>
      <c r="M251" s="4"/>
      <c r="N251" s="4"/>
      <c r="O251" s="4"/>
      <c r="P251" s="4"/>
      <c r="S251" s="3">
        <v>249</v>
      </c>
      <c r="T251" s="8">
        <v>0.15069739235900545</v>
      </c>
      <c r="U251" s="4">
        <v>59.1</v>
      </c>
      <c r="V251" s="4">
        <v>-1.0334469496720604</v>
      </c>
      <c r="W251" s="4">
        <v>76.907794897652167</v>
      </c>
      <c r="X251" s="4">
        <v>-2.8077948976521725</v>
      </c>
      <c r="Y251" s="4">
        <v>-0.44836739162091294</v>
      </c>
    </row>
    <row r="252" spans="11:25" x14ac:dyDescent="0.25">
      <c r="K252" s="3"/>
      <c r="L252" s="8">
        <v>89</v>
      </c>
      <c r="M252" s="4"/>
      <c r="N252" s="4"/>
      <c r="O252" s="4"/>
      <c r="P252" s="4"/>
      <c r="S252" s="3">
        <v>250</v>
      </c>
      <c r="T252" s="8">
        <v>0.15130382049727106</v>
      </c>
      <c r="U252" s="4">
        <v>59.1</v>
      </c>
      <c r="V252" s="4">
        <v>-1.0308575175648229</v>
      </c>
      <c r="W252" s="4">
        <v>70.743124985703076</v>
      </c>
      <c r="X252" s="4">
        <v>3.1568750142969293</v>
      </c>
      <c r="Y252" s="4">
        <v>0.5041108298248963</v>
      </c>
    </row>
    <row r="253" spans="11:25" x14ac:dyDescent="0.25">
      <c r="K253" s="3"/>
      <c r="L253" s="8">
        <v>89</v>
      </c>
      <c r="M253" s="4"/>
      <c r="N253" s="4"/>
      <c r="O253" s="4"/>
      <c r="P253" s="4"/>
      <c r="S253" s="3">
        <v>251</v>
      </c>
      <c r="T253" s="8">
        <v>0.15191024863553668</v>
      </c>
      <c r="U253" s="4">
        <v>59.1</v>
      </c>
      <c r="V253" s="4">
        <v>-1.0282749791348438</v>
      </c>
      <c r="W253" s="4">
        <v>70.496538189225106</v>
      </c>
      <c r="X253" s="4">
        <v>3.2034618107748969</v>
      </c>
      <c r="Y253" s="4">
        <v>0.51155011979520959</v>
      </c>
    </row>
    <row r="254" spans="11:25" x14ac:dyDescent="0.25">
      <c r="K254" s="3"/>
      <c r="L254" s="8">
        <v>89</v>
      </c>
      <c r="M254" s="4"/>
      <c r="N254" s="4"/>
      <c r="O254" s="4"/>
      <c r="P254" s="4"/>
      <c r="S254" s="3">
        <v>252</v>
      </c>
      <c r="T254" s="8">
        <v>0.15251667677380232</v>
      </c>
      <c r="U254" s="4">
        <v>59.1</v>
      </c>
      <c r="V254" s="4">
        <v>-1.0256992806412388</v>
      </c>
      <c r="W254" s="4">
        <v>70.348586111338335</v>
      </c>
      <c r="X254" s="4">
        <v>3.0514138886616706</v>
      </c>
      <c r="Y254" s="4">
        <v>0.48727009482034683</v>
      </c>
    </row>
    <row r="255" spans="11:25" x14ac:dyDescent="0.25">
      <c r="K255" s="3"/>
      <c r="L255" s="8">
        <v>89</v>
      </c>
      <c r="M255" s="4"/>
      <c r="N255" s="4"/>
      <c r="O255" s="4"/>
      <c r="P255" s="4"/>
      <c r="S255" s="3">
        <v>253</v>
      </c>
      <c r="T255" s="8">
        <v>0.15312310491206793</v>
      </c>
      <c r="U255" s="4">
        <v>59.1</v>
      </c>
      <c r="V255" s="4">
        <v>-1.0231303689502789</v>
      </c>
      <c r="W255" s="4">
        <v>70.101999314860365</v>
      </c>
      <c r="X255" s="4">
        <v>3.0980006851396382</v>
      </c>
      <c r="Y255" s="4">
        <v>0.49470938479066012</v>
      </c>
    </row>
    <row r="256" spans="11:25" x14ac:dyDescent="0.25">
      <c r="K256" s="3"/>
      <c r="L256" s="8">
        <v>89</v>
      </c>
      <c r="M256" s="4"/>
      <c r="N256" s="4"/>
      <c r="O256" s="4"/>
      <c r="P256" s="4"/>
      <c r="S256" s="3">
        <v>254</v>
      </c>
      <c r="T256" s="8">
        <v>0.15372953305033354</v>
      </c>
      <c r="U256" s="4">
        <v>59.2</v>
      </c>
      <c r="V256" s="4">
        <v>-1.0205681915260691</v>
      </c>
      <c r="W256" s="4">
        <v>69.954047236973594</v>
      </c>
      <c r="X256" s="4">
        <v>2.945952763026412</v>
      </c>
      <c r="Y256" s="4">
        <v>0.47042935981579737</v>
      </c>
    </row>
    <row r="257" spans="11:25" x14ac:dyDescent="0.25">
      <c r="K257" s="3"/>
      <c r="L257" s="8">
        <v>89</v>
      </c>
      <c r="M257" s="4"/>
      <c r="N257" s="4"/>
      <c r="O257" s="4"/>
      <c r="P257" s="4"/>
      <c r="S257" s="3">
        <v>255</v>
      </c>
      <c r="T257" s="8">
        <v>0.15433596118859916</v>
      </c>
      <c r="U257" s="4">
        <v>59.2</v>
      </c>
      <c r="V257" s="4">
        <v>-1.018012696421406</v>
      </c>
      <c r="W257" s="4">
        <v>69.855412518382408</v>
      </c>
      <c r="X257" s="4">
        <v>2.7445874816175859</v>
      </c>
      <c r="Y257" s="4">
        <v>0.438274010411971</v>
      </c>
    </row>
    <row r="258" spans="11:25" x14ac:dyDescent="0.25">
      <c r="K258" s="3"/>
      <c r="L258" s="8">
        <v>89</v>
      </c>
      <c r="M258" s="4"/>
      <c r="N258" s="4"/>
      <c r="O258" s="4"/>
      <c r="P258" s="4"/>
      <c r="S258" s="3">
        <v>256</v>
      </c>
      <c r="T258" s="8">
        <v>0.15494238932686477</v>
      </c>
      <c r="U258" s="4">
        <v>59.2</v>
      </c>
      <c r="V258" s="4">
        <v>-1.0154638322688128</v>
      </c>
      <c r="W258" s="4">
        <v>69.658143081200038</v>
      </c>
      <c r="X258" s="4">
        <v>2.5418569187999651</v>
      </c>
      <c r="Y258" s="4">
        <v>0.40590064377882296</v>
      </c>
    </row>
    <row r="259" spans="11:25" x14ac:dyDescent="0.25">
      <c r="K259" s="3"/>
      <c r="L259" s="8">
        <v>36.299999999999997</v>
      </c>
      <c r="M259" s="4"/>
      <c r="N259" s="4"/>
      <c r="O259" s="4"/>
      <c r="P259" s="4"/>
      <c r="S259" s="3">
        <v>257</v>
      </c>
      <c r="T259" s="8">
        <v>0.15554881746513038</v>
      </c>
      <c r="U259" s="4">
        <v>59.2</v>
      </c>
      <c r="V259" s="4">
        <v>-1.0129215482717409</v>
      </c>
      <c r="W259" s="4">
        <v>76.809160179060981</v>
      </c>
      <c r="X259" s="4">
        <v>-4.7091601790609872</v>
      </c>
      <c r="Y259" s="4">
        <v>-0.75199006450798422</v>
      </c>
    </row>
    <row r="260" spans="11:25" x14ac:dyDescent="0.25">
      <c r="K260" s="3"/>
      <c r="L260" s="8">
        <v>89</v>
      </c>
      <c r="M260" s="4"/>
      <c r="N260" s="4"/>
      <c r="O260" s="4"/>
      <c r="P260" s="4"/>
      <c r="S260" s="3">
        <v>258</v>
      </c>
      <c r="T260" s="8">
        <v>0.156155245603396</v>
      </c>
      <c r="U260" s="4">
        <v>59.2</v>
      </c>
      <c r="V260" s="4">
        <v>-1.0103857941959435</v>
      </c>
      <c r="W260" s="4">
        <v>69.855412518382408</v>
      </c>
      <c r="X260" s="4">
        <v>2.3445874816175944</v>
      </c>
      <c r="Y260" s="4">
        <v>0.37439934606297315</v>
      </c>
    </row>
    <row r="261" spans="11:25" x14ac:dyDescent="0.25">
      <c r="K261" s="3"/>
      <c r="L261" s="8">
        <v>89</v>
      </c>
      <c r="M261" s="4"/>
      <c r="N261" s="4"/>
      <c r="O261" s="4"/>
      <c r="P261" s="4"/>
      <c r="S261" s="3">
        <v>259</v>
      </c>
      <c r="T261" s="8">
        <v>0.15676167374166161</v>
      </c>
      <c r="U261" s="4">
        <v>59.2</v>
      </c>
      <c r="V261" s="4">
        <v>-1.0078565203610084</v>
      </c>
      <c r="W261" s="4">
        <v>69.954047236973594</v>
      </c>
      <c r="X261" s="4">
        <v>2.0459527630264063</v>
      </c>
      <c r="Y261" s="4">
        <v>0.32671136503054821</v>
      </c>
    </row>
    <row r="262" spans="11:25" x14ac:dyDescent="0.25">
      <c r="K262" s="3"/>
      <c r="L262" s="8">
        <v>89</v>
      </c>
      <c r="M262" s="4"/>
      <c r="N262" s="4"/>
      <c r="O262" s="4"/>
      <c r="P262" s="4"/>
      <c r="S262" s="3">
        <v>260</v>
      </c>
      <c r="T262" s="8">
        <v>0.15736810187992722</v>
      </c>
      <c r="U262" s="4">
        <v>59.2</v>
      </c>
      <c r="V262" s="4">
        <v>-1.0053336776320525</v>
      </c>
      <c r="W262" s="4">
        <v>69.855412518382408</v>
      </c>
      <c r="X262" s="4">
        <v>1.9445874816175888</v>
      </c>
      <c r="Y262" s="4">
        <v>0.31052468171397302</v>
      </c>
    </row>
    <row r="263" spans="11:25" x14ac:dyDescent="0.25">
      <c r="K263" s="3"/>
      <c r="L263" s="8">
        <v>89</v>
      </c>
      <c r="M263" s="4"/>
      <c r="N263" s="4"/>
      <c r="O263" s="4"/>
      <c r="P263" s="4"/>
      <c r="S263" s="3">
        <v>261</v>
      </c>
      <c r="T263" s="8">
        <v>0.15797453001819284</v>
      </c>
      <c r="U263" s="4">
        <v>59.3</v>
      </c>
      <c r="V263" s="4">
        <v>-1.0028172174115739</v>
      </c>
      <c r="W263" s="4">
        <v>76.809160179060981</v>
      </c>
      <c r="X263" s="4">
        <v>-5.2091601790609872</v>
      </c>
      <c r="Y263" s="4">
        <v>-0.83183339494423325</v>
      </c>
    </row>
    <row r="264" spans="11:25" x14ac:dyDescent="0.25">
      <c r="K264" s="3"/>
      <c r="L264" s="8">
        <v>89</v>
      </c>
      <c r="M264" s="4"/>
      <c r="N264" s="4"/>
      <c r="O264" s="4"/>
      <c r="P264" s="4"/>
      <c r="S264" s="3">
        <v>262</v>
      </c>
      <c r="T264" s="8">
        <v>0.15858095815645845</v>
      </c>
      <c r="U264" s="4">
        <v>59.3</v>
      </c>
      <c r="V264" s="4">
        <v>-1.0003070916314496</v>
      </c>
      <c r="W264" s="4">
        <v>69.559508362608852</v>
      </c>
      <c r="X264" s="4">
        <v>1.5404916373911419</v>
      </c>
      <c r="Y264" s="4">
        <v>0.24599596567699858</v>
      </c>
    </row>
    <row r="265" spans="11:25" x14ac:dyDescent="0.25">
      <c r="K265" s="3"/>
      <c r="L265" s="8">
        <v>89</v>
      </c>
      <c r="M265" s="4"/>
      <c r="N265" s="4"/>
      <c r="O265" s="4"/>
      <c r="P265" s="4"/>
      <c r="S265" s="3">
        <v>263</v>
      </c>
      <c r="T265" s="8">
        <v>0.15918738629472406</v>
      </c>
      <c r="U265" s="4">
        <v>59.3</v>
      </c>
      <c r="V265" s="4">
        <v>-0.99780325274509285</v>
      </c>
      <c r="W265" s="4">
        <v>64.381185636571615</v>
      </c>
      <c r="X265" s="4">
        <v>-5.0811856365716181</v>
      </c>
      <c r="Y265" s="4">
        <v>-0.81139756757742032</v>
      </c>
    </row>
    <row r="266" spans="11:25" x14ac:dyDescent="0.25">
      <c r="K266" s="3"/>
      <c r="L266" s="8">
        <v>89</v>
      </c>
      <c r="M266" s="4"/>
      <c r="N266" s="4"/>
      <c r="O266" s="4"/>
      <c r="P266" s="4"/>
      <c r="S266" s="3">
        <v>264</v>
      </c>
      <c r="T266" s="8">
        <v>0.15979381443298968</v>
      </c>
      <c r="U266" s="4">
        <v>59.3</v>
      </c>
      <c r="V266" s="4">
        <v>-0.99530565371974344</v>
      </c>
      <c r="W266" s="4">
        <v>76.266669226809455</v>
      </c>
      <c r="X266" s="4">
        <v>-17.266669226809455</v>
      </c>
      <c r="Y266" s="4">
        <v>-2.7572567532191203</v>
      </c>
    </row>
    <row r="267" spans="11:25" x14ac:dyDescent="0.25">
      <c r="K267" s="3"/>
      <c r="L267" s="8">
        <v>89</v>
      </c>
      <c r="M267" s="4"/>
      <c r="N267" s="4"/>
      <c r="O267" s="4"/>
      <c r="P267" s="4"/>
      <c r="S267" s="3">
        <v>265</v>
      </c>
      <c r="T267" s="8">
        <v>0.16040024257125532</v>
      </c>
      <c r="U267" s="4">
        <v>59.3</v>
      </c>
      <c r="V267" s="4">
        <v>-0.9928142480289136</v>
      </c>
      <c r="W267" s="4">
        <v>64.23323355868483</v>
      </c>
      <c r="X267" s="4">
        <v>-5.6332335586848288</v>
      </c>
      <c r="Y267" s="4">
        <v>-0.89955225690127982</v>
      </c>
    </row>
    <row r="268" spans="11:25" x14ac:dyDescent="0.25">
      <c r="K268" s="3"/>
      <c r="L268" s="8">
        <v>89</v>
      </c>
      <c r="M268" s="4"/>
      <c r="N268" s="4"/>
      <c r="O268" s="4"/>
      <c r="P268" s="4"/>
      <c r="S268" s="3">
        <v>266</v>
      </c>
      <c r="T268" s="8">
        <v>0.16100667070952093</v>
      </c>
      <c r="U268" s="4">
        <v>59.4</v>
      </c>
      <c r="V268" s="4">
        <v>-0.99032898964496219</v>
      </c>
      <c r="W268" s="4">
        <v>64.03596412150246</v>
      </c>
      <c r="X268" s="4">
        <v>-5.9359641215024581</v>
      </c>
      <c r="Y268" s="4">
        <v>-0.9478942896216791</v>
      </c>
    </row>
    <row r="269" spans="11:25" x14ac:dyDescent="0.25">
      <c r="K269" s="3"/>
      <c r="L269" s="8">
        <v>89</v>
      </c>
      <c r="M269" s="4"/>
      <c r="N269" s="4"/>
      <c r="O269" s="4"/>
      <c r="P269" s="4"/>
      <c r="S269" s="3">
        <v>267</v>
      </c>
      <c r="T269" s="8">
        <v>0.16161309884778655</v>
      </c>
      <c r="U269" s="4">
        <v>59.4</v>
      </c>
      <c r="V269" s="4">
        <v>-0.98784983303181106</v>
      </c>
      <c r="W269" s="4">
        <v>63.838694684320089</v>
      </c>
      <c r="X269" s="4">
        <v>-6.3386946843200889</v>
      </c>
      <c r="Y269" s="4">
        <v>-1.0122049884293283</v>
      </c>
    </row>
    <row r="270" spans="11:25" x14ac:dyDescent="0.25">
      <c r="K270" s="3"/>
      <c r="L270" s="8">
        <v>89</v>
      </c>
      <c r="M270" s="4"/>
      <c r="N270" s="4"/>
      <c r="O270" s="4"/>
      <c r="P270" s="4"/>
      <c r="S270" s="3">
        <v>268</v>
      </c>
      <c r="T270" s="8">
        <v>0.16221952698605216</v>
      </c>
      <c r="U270" s="4">
        <v>59.4</v>
      </c>
      <c r="V270" s="4">
        <v>-0.98537673313779361</v>
      </c>
      <c r="W270" s="4">
        <v>63.641425247137718</v>
      </c>
      <c r="X270" s="4">
        <v>-6.7414252471377196</v>
      </c>
      <c r="Y270" s="4">
        <v>-1.0765156872369777</v>
      </c>
    </row>
    <row r="271" spans="11:25" x14ac:dyDescent="0.25">
      <c r="K271" s="3"/>
      <c r="L271" s="8">
        <v>89</v>
      </c>
      <c r="M271" s="4"/>
      <c r="N271" s="4"/>
      <c r="O271" s="4"/>
      <c r="P271" s="4"/>
      <c r="S271" s="3">
        <v>269</v>
      </c>
      <c r="T271" s="8">
        <v>0.16282595512431777</v>
      </c>
      <c r="U271" s="4">
        <v>59.4</v>
      </c>
      <c r="V271" s="4">
        <v>-0.9829096453886309</v>
      </c>
      <c r="W271" s="4">
        <v>63.394838450659755</v>
      </c>
      <c r="X271" s="4">
        <v>-7.2948384506597534</v>
      </c>
      <c r="Y271" s="4">
        <v>-1.1648883937901635</v>
      </c>
    </row>
    <row r="272" spans="11:25" x14ac:dyDescent="0.25">
      <c r="K272" s="3"/>
      <c r="L272" s="8">
        <v>89</v>
      </c>
      <c r="M272" s="4"/>
      <c r="N272" s="4"/>
      <c r="O272" s="4"/>
      <c r="P272" s="4"/>
      <c r="S272" s="3">
        <v>270</v>
      </c>
      <c r="T272" s="8">
        <v>0.16343238326258339</v>
      </c>
      <c r="U272" s="4">
        <v>59.5</v>
      </c>
      <c r="V272" s="4">
        <v>-0.98044852568054008</v>
      </c>
      <c r="W272" s="4">
        <v>63.148251654181792</v>
      </c>
      <c r="X272" s="4">
        <v>-7.8482516541817944</v>
      </c>
      <c r="Y272" s="4">
        <v>-1.2532611003433503</v>
      </c>
    </row>
    <row r="273" spans="11:25" x14ac:dyDescent="0.25">
      <c r="K273" s="3"/>
      <c r="L273" s="8">
        <v>89</v>
      </c>
      <c r="M273" s="4"/>
      <c r="N273" s="4"/>
      <c r="O273" s="4"/>
      <c r="P273" s="4"/>
      <c r="S273" s="3">
        <v>271</v>
      </c>
      <c r="T273" s="8">
        <v>0.164038811400849</v>
      </c>
      <c r="U273" s="4">
        <v>59.5</v>
      </c>
      <c r="V273" s="4">
        <v>-0.97799333037346281</v>
      </c>
      <c r="W273" s="4">
        <v>76.020082430331499</v>
      </c>
      <c r="X273" s="4">
        <v>-21.720082430331502</v>
      </c>
      <c r="Y273" s="4">
        <v>-3.4684074371750504</v>
      </c>
    </row>
    <row r="274" spans="11:25" x14ac:dyDescent="0.25">
      <c r="K274" s="3"/>
      <c r="L274" s="8">
        <v>89</v>
      </c>
      <c r="M274" s="4"/>
      <c r="N274" s="4"/>
      <c r="O274" s="4"/>
      <c r="P274" s="4"/>
      <c r="S274" s="3">
        <v>272</v>
      </c>
      <c r="T274" s="8">
        <v>0.16464523953911461</v>
      </c>
      <c r="U274" s="4">
        <v>59.6</v>
      </c>
      <c r="V274" s="4">
        <v>-0.97554401628441723</v>
      </c>
      <c r="W274" s="4">
        <v>62.950982216999421</v>
      </c>
      <c r="X274" s="4">
        <v>-3.8509822169994194</v>
      </c>
      <c r="Y274" s="4">
        <v>-0.61495049131200719</v>
      </c>
    </row>
    <row r="275" spans="11:25" x14ac:dyDescent="0.25">
      <c r="K275" s="3"/>
      <c r="L275" s="8">
        <v>36.299999999999997</v>
      </c>
      <c r="M275" s="4"/>
      <c r="N275" s="4"/>
      <c r="O275" s="4"/>
      <c r="P275" s="4"/>
      <c r="S275" s="3">
        <v>273</v>
      </c>
      <c r="T275" s="8">
        <v>0.16525166767738023</v>
      </c>
      <c r="U275" s="4">
        <v>59.6</v>
      </c>
      <c r="V275" s="4">
        <v>-0.97310054068096929</v>
      </c>
      <c r="W275" s="4">
        <v>75.970765071035899</v>
      </c>
      <c r="X275" s="4">
        <v>-17.370765071035898</v>
      </c>
      <c r="Y275" s="4">
        <v>-2.7738794709943444</v>
      </c>
    </row>
    <row r="276" spans="11:25" x14ac:dyDescent="0.25">
      <c r="K276" s="3"/>
      <c r="L276" s="8">
        <v>89</v>
      </c>
      <c r="M276" s="4"/>
      <c r="N276" s="4"/>
      <c r="O276" s="4"/>
      <c r="P276" s="4"/>
      <c r="S276" s="3">
        <v>274</v>
      </c>
      <c r="T276" s="8">
        <v>0.16585809581564584</v>
      </c>
      <c r="U276" s="4">
        <v>59.6</v>
      </c>
      <c r="V276" s="4">
        <v>-0.97066286127482204</v>
      </c>
      <c r="W276" s="4">
        <v>62.211221827565531</v>
      </c>
      <c r="X276" s="4">
        <v>-4.2112218275655309</v>
      </c>
      <c r="Y276" s="4">
        <v>-0.67247595183731856</v>
      </c>
    </row>
    <row r="277" spans="11:25" x14ac:dyDescent="0.25">
      <c r="K277" s="3"/>
      <c r="L277" s="8">
        <v>89</v>
      </c>
      <c r="M277" s="4"/>
      <c r="N277" s="4"/>
      <c r="O277" s="4"/>
      <c r="P277" s="4"/>
      <c r="S277" s="3">
        <v>275</v>
      </c>
      <c r="T277" s="8">
        <v>0.16646452395391145</v>
      </c>
      <c r="U277" s="4">
        <v>59.7</v>
      </c>
      <c r="V277" s="4">
        <v>-0.96823093621551692</v>
      </c>
      <c r="W277" s="4">
        <v>61.767365593905197</v>
      </c>
      <c r="X277" s="4">
        <v>-4.3673655939051983</v>
      </c>
      <c r="Y277" s="4">
        <v>-0.69741002850015565</v>
      </c>
    </row>
    <row r="278" spans="11:25" x14ac:dyDescent="0.25">
      <c r="K278" s="3"/>
      <c r="L278" s="8">
        <v>89</v>
      </c>
      <c r="M278" s="4"/>
      <c r="N278" s="4"/>
      <c r="O278" s="4"/>
      <c r="P278" s="4"/>
      <c r="S278" s="3">
        <v>276</v>
      </c>
      <c r="T278" s="8">
        <v>0.16707095209217707</v>
      </c>
      <c r="U278" s="4">
        <v>59.7</v>
      </c>
      <c r="V278" s="4">
        <v>-0.965804724084247</v>
      </c>
      <c r="W278" s="4">
        <v>75.970765071035899</v>
      </c>
      <c r="X278" s="4">
        <v>-19.170765071035902</v>
      </c>
      <c r="Y278" s="4">
        <v>-3.0613154605648418</v>
      </c>
    </row>
    <row r="279" spans="11:25" x14ac:dyDescent="0.25">
      <c r="K279" s="3"/>
      <c r="L279" s="8">
        <v>89</v>
      </c>
      <c r="M279" s="4"/>
      <c r="N279" s="4"/>
      <c r="O279" s="4"/>
      <c r="P279" s="4"/>
      <c r="S279" s="3">
        <v>277</v>
      </c>
      <c r="T279" s="8">
        <v>0.16767738023044268</v>
      </c>
      <c r="U279" s="4">
        <v>59.7</v>
      </c>
      <c r="V279" s="4">
        <v>-0.96338418388778135</v>
      </c>
      <c r="W279" s="4">
        <v>60.928970485880114</v>
      </c>
      <c r="X279" s="4">
        <v>-4.7289704858801116</v>
      </c>
      <c r="Y279" s="4">
        <v>-0.75515350625478994</v>
      </c>
    </row>
    <row r="280" spans="11:25" x14ac:dyDescent="0.25">
      <c r="K280" s="3"/>
      <c r="L280" s="8">
        <v>89</v>
      </c>
      <c r="M280" s="4"/>
      <c r="N280" s="4"/>
      <c r="O280" s="4"/>
      <c r="P280" s="4"/>
      <c r="S280" s="3">
        <v>278</v>
      </c>
      <c r="T280" s="8">
        <v>0.16828380836870832</v>
      </c>
      <c r="U280" s="4">
        <v>59.7</v>
      </c>
      <c r="V280" s="4">
        <v>-0.96096927505249508</v>
      </c>
      <c r="W280" s="4">
        <v>75.872130352444714</v>
      </c>
      <c r="X280" s="4">
        <v>-20.572130352444717</v>
      </c>
      <c r="Y280" s="4">
        <v>-3.2850948030156641</v>
      </c>
    </row>
    <row r="281" spans="11:25" x14ac:dyDescent="0.25">
      <c r="K281" s="3"/>
      <c r="L281" s="8">
        <v>89</v>
      </c>
      <c r="M281" s="4"/>
      <c r="N281" s="4"/>
      <c r="O281" s="4"/>
      <c r="P281" s="4"/>
      <c r="S281" s="3">
        <v>279</v>
      </c>
      <c r="T281" s="8">
        <v>0.16889023650697393</v>
      </c>
      <c r="U281" s="4">
        <v>59.7</v>
      </c>
      <c r="V281" s="4">
        <v>-0.9585599574185053</v>
      </c>
      <c r="W281" s="4">
        <v>60.090575377855039</v>
      </c>
      <c r="X281" s="4">
        <v>-5.2905753778550419</v>
      </c>
      <c r="Y281" s="4">
        <v>-0.84483431618392657</v>
      </c>
    </row>
    <row r="282" spans="11:25" x14ac:dyDescent="0.25">
      <c r="K282" s="3"/>
      <c r="L282" s="8">
        <v>89</v>
      </c>
      <c r="M282" s="4"/>
      <c r="N282" s="4"/>
      <c r="O282" s="4"/>
      <c r="P282" s="4"/>
      <c r="S282" s="3">
        <v>280</v>
      </c>
      <c r="T282" s="8">
        <v>0.16949666464523955</v>
      </c>
      <c r="U282" s="4">
        <v>59.8</v>
      </c>
      <c r="V282" s="4">
        <v>-0.95615619123390649</v>
      </c>
      <c r="W282" s="4">
        <v>59.794671222081483</v>
      </c>
      <c r="X282" s="4">
        <v>-5.6946712220814817</v>
      </c>
      <c r="Y282" s="4">
        <v>-0.90936303222089976</v>
      </c>
    </row>
    <row r="283" spans="11:25" x14ac:dyDescent="0.25">
      <c r="K283" s="3"/>
      <c r="L283" s="8">
        <v>89</v>
      </c>
      <c r="M283" s="4"/>
      <c r="N283" s="4"/>
      <c r="O283" s="4"/>
      <c r="P283" s="4"/>
      <c r="S283" s="3">
        <v>281</v>
      </c>
      <c r="T283" s="8">
        <v>0.17010309278350516</v>
      </c>
      <c r="U283" s="4">
        <v>59.8</v>
      </c>
      <c r="V283" s="4">
        <v>-0.95375793714911006</v>
      </c>
      <c r="W283" s="4">
        <v>59.400132347716742</v>
      </c>
      <c r="X283" s="4">
        <v>-6.0001323477167432</v>
      </c>
      <c r="Y283" s="4">
        <v>-0.9581410993999494</v>
      </c>
    </row>
    <row r="284" spans="11:25" x14ac:dyDescent="0.25">
      <c r="K284" s="3"/>
      <c r="L284" s="8">
        <v>89</v>
      </c>
      <c r="M284" s="4"/>
      <c r="N284" s="4"/>
      <c r="O284" s="4"/>
      <c r="P284" s="4"/>
      <c r="S284" s="3">
        <v>282</v>
      </c>
      <c r="T284" s="8">
        <v>0.17070952092177077</v>
      </c>
      <c r="U284" s="4">
        <v>59.8</v>
      </c>
      <c r="V284" s="4">
        <v>-0.95136515621128215</v>
      </c>
      <c r="W284" s="4">
        <v>58.956276114056408</v>
      </c>
      <c r="X284" s="4">
        <v>-6.3562761140564064</v>
      </c>
      <c r="Y284" s="4">
        <v>-1.0150125082372854</v>
      </c>
    </row>
    <row r="285" spans="11:25" x14ac:dyDescent="0.25">
      <c r="K285" s="3"/>
      <c r="L285" s="8">
        <v>89</v>
      </c>
      <c r="M285" s="4"/>
      <c r="N285" s="4"/>
      <c r="O285" s="4"/>
      <c r="P285" s="4"/>
      <c r="S285" s="3">
        <v>283</v>
      </c>
      <c r="T285" s="8">
        <v>0.17131594906003639</v>
      </c>
      <c r="U285" s="4">
        <v>59.9</v>
      </c>
      <c r="V285" s="4">
        <v>-0.94897780985887215</v>
      </c>
      <c r="W285" s="4">
        <v>71.828106890206115</v>
      </c>
      <c r="X285" s="4">
        <v>1.1718931097938849</v>
      </c>
      <c r="Y285" s="4">
        <v>0.18713569760247328</v>
      </c>
    </row>
    <row r="286" spans="11:25" x14ac:dyDescent="0.25">
      <c r="K286" s="3"/>
      <c r="L286" s="8">
        <v>89</v>
      </c>
      <c r="M286" s="4"/>
      <c r="N286" s="4"/>
      <c r="O286" s="4"/>
      <c r="P286" s="4"/>
      <c r="S286" s="3">
        <v>284</v>
      </c>
      <c r="T286" s="8">
        <v>0.171922377198302</v>
      </c>
      <c r="U286" s="4">
        <v>59.9</v>
      </c>
      <c r="V286" s="4">
        <v>-0.94659585991624406</v>
      </c>
      <c r="W286" s="4">
        <v>77.006429616243352</v>
      </c>
      <c r="X286" s="4">
        <v>-4.206429616243355</v>
      </c>
      <c r="Y286" s="4">
        <v>-0.67171069961308494</v>
      </c>
    </row>
    <row r="287" spans="11:25" x14ac:dyDescent="0.25">
      <c r="K287" s="3"/>
      <c r="L287" s="8">
        <v>89</v>
      </c>
      <c r="M287" s="4"/>
      <c r="N287" s="4"/>
      <c r="O287" s="4"/>
      <c r="P287" s="4"/>
      <c r="S287" s="3">
        <v>285</v>
      </c>
      <c r="T287" s="8">
        <v>0.17252880533656761</v>
      </c>
      <c r="U287" s="4">
        <v>59.9</v>
      </c>
      <c r="V287" s="4">
        <v>-0.94421926858839278</v>
      </c>
      <c r="W287" s="4">
        <v>71.630837453023744</v>
      </c>
      <c r="X287" s="4">
        <v>1.0691625469762585</v>
      </c>
      <c r="Y287" s="4">
        <v>0.1707309970565741</v>
      </c>
    </row>
    <row r="288" spans="11:25" x14ac:dyDescent="0.25">
      <c r="K288" s="3"/>
      <c r="L288" s="8">
        <v>89</v>
      </c>
      <c r="M288" s="4"/>
      <c r="N288" s="4"/>
      <c r="O288" s="4"/>
      <c r="P288" s="4"/>
      <c r="S288" s="3">
        <v>286</v>
      </c>
      <c r="T288" s="8">
        <v>0.17313523347483323</v>
      </c>
      <c r="U288" s="4">
        <v>59.9</v>
      </c>
      <c r="V288" s="4">
        <v>-0.94184799845575506</v>
      </c>
      <c r="W288" s="4">
        <v>71.581520093728145</v>
      </c>
      <c r="X288" s="4">
        <v>1.0184799062718497</v>
      </c>
      <c r="Y288" s="4">
        <v>0.16263765539828651</v>
      </c>
    </row>
    <row r="289" spans="11:25" x14ac:dyDescent="0.25">
      <c r="K289" s="3"/>
      <c r="L289" s="8">
        <v>36.299999999999997</v>
      </c>
      <c r="M289" s="4"/>
      <c r="N289" s="4"/>
      <c r="O289" s="4"/>
      <c r="P289" s="4"/>
      <c r="S289" s="3">
        <v>287</v>
      </c>
      <c r="T289" s="8">
        <v>0.17374166161309884</v>
      </c>
      <c r="U289" s="4">
        <v>59.9</v>
      </c>
      <c r="V289" s="4">
        <v>-0.9394820124691059</v>
      </c>
      <c r="W289" s="4">
        <v>71.532202734432559</v>
      </c>
      <c r="X289" s="4">
        <v>0.96779726556744095</v>
      </c>
      <c r="Y289" s="4">
        <v>0.15454431373999891</v>
      </c>
    </row>
    <row r="290" spans="11:25" x14ac:dyDescent="0.25">
      <c r="K290" s="3"/>
      <c r="L290" s="8">
        <v>36.299999999999997</v>
      </c>
      <c r="M290" s="4"/>
      <c r="N290" s="4"/>
      <c r="O290" s="4"/>
      <c r="P290" s="4"/>
      <c r="S290" s="3">
        <v>288</v>
      </c>
      <c r="T290" s="8">
        <v>0.17434808975136445</v>
      </c>
      <c r="U290" s="4">
        <v>60</v>
      </c>
      <c r="V290" s="4">
        <v>-0.93712127394454503</v>
      </c>
      <c r="W290" s="4">
        <v>71.482885375136959</v>
      </c>
      <c r="X290" s="4">
        <v>0.9171146248630464</v>
      </c>
      <c r="Y290" s="4">
        <v>0.14645097208171359</v>
      </c>
    </row>
    <row r="291" spans="11:25" x14ac:dyDescent="0.25">
      <c r="K291" s="3"/>
      <c r="L291" s="8">
        <v>36.299999999999997</v>
      </c>
      <c r="M291" s="4"/>
      <c r="N291" s="4"/>
      <c r="O291" s="4"/>
      <c r="P291" s="4"/>
      <c r="S291" s="3">
        <v>289</v>
      </c>
      <c r="T291" s="8">
        <v>0.17495451788963007</v>
      </c>
      <c r="U291" s="4">
        <v>60</v>
      </c>
      <c r="V291" s="4">
        <v>-0.9347657465585657</v>
      </c>
      <c r="W291" s="4">
        <v>71.482885375136959</v>
      </c>
      <c r="X291" s="4">
        <v>0.9171146248630464</v>
      </c>
      <c r="Y291" s="4">
        <v>0.14645097208171359</v>
      </c>
    </row>
    <row r="292" spans="11:25" x14ac:dyDescent="0.25">
      <c r="K292" s="3"/>
      <c r="L292" s="8">
        <v>89</v>
      </c>
      <c r="M292" s="4"/>
      <c r="N292" s="4"/>
      <c r="O292" s="4"/>
      <c r="P292" s="4"/>
      <c r="S292" s="3">
        <v>290</v>
      </c>
      <c r="T292" s="8">
        <v>0.17556094602789568</v>
      </c>
      <c r="U292" s="4">
        <v>61</v>
      </c>
      <c r="V292" s="4">
        <v>-0.93241539434320819</v>
      </c>
      <c r="W292" s="4">
        <v>71.384250656545774</v>
      </c>
      <c r="X292" s="4">
        <v>0.91574934345422321</v>
      </c>
      <c r="Y292" s="4">
        <v>0.14623295485238733</v>
      </c>
    </row>
    <row r="293" spans="11:25" x14ac:dyDescent="0.25">
      <c r="K293" s="3"/>
      <c r="L293" s="8">
        <v>89</v>
      </c>
      <c r="M293" s="4"/>
      <c r="N293" s="4"/>
      <c r="O293" s="4"/>
      <c r="P293" s="4"/>
      <c r="S293" s="3">
        <v>291</v>
      </c>
      <c r="T293" s="8">
        <v>0.17616737416616132</v>
      </c>
      <c r="U293" s="4">
        <v>61</v>
      </c>
      <c r="V293" s="4">
        <v>-0.9300701816812933</v>
      </c>
      <c r="W293" s="4">
        <v>71.236298578659003</v>
      </c>
      <c r="X293" s="4">
        <v>0.86370142134099126</v>
      </c>
      <c r="Y293" s="4">
        <v>0.13792159596477346</v>
      </c>
    </row>
    <row r="294" spans="11:25" x14ac:dyDescent="0.25">
      <c r="K294" s="3"/>
      <c r="L294" s="8">
        <v>89</v>
      </c>
      <c r="M294" s="4"/>
      <c r="N294" s="4"/>
      <c r="O294" s="4"/>
      <c r="P294" s="4"/>
      <c r="S294" s="3">
        <v>292</v>
      </c>
      <c r="T294" s="8">
        <v>0.17677380230442694</v>
      </c>
      <c r="U294" s="4">
        <v>61.1</v>
      </c>
      <c r="V294" s="4">
        <v>-0.92773007330173762</v>
      </c>
      <c r="W294" s="4">
        <v>70.989711782181033</v>
      </c>
      <c r="X294" s="4">
        <v>0.81028821781896454</v>
      </c>
      <c r="Y294" s="4">
        <v>0.12939221984783786</v>
      </c>
    </row>
    <row r="295" spans="11:25" x14ac:dyDescent="0.25">
      <c r="K295" s="3"/>
      <c r="L295" s="8">
        <v>89</v>
      </c>
      <c r="M295" s="4"/>
      <c r="N295" s="4"/>
      <c r="O295" s="4"/>
      <c r="P295" s="4"/>
      <c r="S295" s="3">
        <v>293</v>
      </c>
      <c r="T295" s="8">
        <v>0.17738023044269255</v>
      </c>
      <c r="U295" s="4">
        <v>61.1</v>
      </c>
      <c r="V295" s="4">
        <v>-0.92539503427494518</v>
      </c>
      <c r="W295" s="4">
        <v>76.907794897652167</v>
      </c>
      <c r="X295" s="4">
        <v>-5.5077948976521611</v>
      </c>
      <c r="Y295" s="4">
        <v>-0.87952137597665592</v>
      </c>
    </row>
    <row r="296" spans="11:25" x14ac:dyDescent="0.25">
      <c r="K296" s="3"/>
      <c r="L296" s="8">
        <v>89</v>
      </c>
      <c r="M296" s="4"/>
      <c r="N296" s="4"/>
      <c r="O296" s="4"/>
      <c r="P296" s="4"/>
      <c r="S296" s="3">
        <v>294</v>
      </c>
      <c r="T296" s="8">
        <v>0.17798665858095816</v>
      </c>
      <c r="U296" s="4">
        <v>61.1</v>
      </c>
      <c r="V296" s="4">
        <v>-0.923065030008277</v>
      </c>
      <c r="W296" s="4">
        <v>70.496538189225106</v>
      </c>
      <c r="X296" s="4">
        <v>0.60346181077488836</v>
      </c>
      <c r="Y296" s="4">
        <v>9.6364801526713215E-2</v>
      </c>
    </row>
    <row r="297" spans="11:25" x14ac:dyDescent="0.25">
      <c r="K297" s="3"/>
      <c r="L297" s="8">
        <v>89</v>
      </c>
      <c r="M297" s="4"/>
      <c r="N297" s="4"/>
      <c r="O297" s="4"/>
      <c r="P297" s="4"/>
      <c r="S297" s="3">
        <v>295</v>
      </c>
      <c r="T297" s="8">
        <v>0.17859308671922378</v>
      </c>
      <c r="U297" s="4">
        <v>61.1</v>
      </c>
      <c r="V297" s="4">
        <v>-0.92074002624159657</v>
      </c>
      <c r="W297" s="4">
        <v>70.299268752042735</v>
      </c>
      <c r="X297" s="4">
        <v>6.7007312479572647</v>
      </c>
      <c r="Y297" s="4">
        <v>1.0700173983903025</v>
      </c>
    </row>
    <row r="298" spans="11:25" x14ac:dyDescent="0.25">
      <c r="K298" s="3"/>
      <c r="L298" s="8">
        <v>89</v>
      </c>
      <c r="M298" s="4"/>
      <c r="N298" s="4"/>
      <c r="O298" s="4"/>
      <c r="P298" s="4"/>
      <c r="S298" s="3">
        <v>296</v>
      </c>
      <c r="T298" s="8">
        <v>0.17919951485748939</v>
      </c>
      <c r="U298" s="4">
        <v>61.2</v>
      </c>
      <c r="V298" s="4">
        <v>-0.91841998904288635</v>
      </c>
      <c r="W298" s="4">
        <v>68.77043061387937</v>
      </c>
      <c r="X298" s="4">
        <v>-0.47043061387937257</v>
      </c>
      <c r="Y298" s="4">
        <v>-7.5121493902596453E-2</v>
      </c>
    </row>
    <row r="299" spans="11:25" x14ac:dyDescent="0.25">
      <c r="K299" s="3"/>
      <c r="L299" s="8">
        <v>89</v>
      </c>
      <c r="M299" s="4"/>
      <c r="N299" s="4"/>
      <c r="O299" s="4"/>
      <c r="P299" s="4"/>
      <c r="S299" s="3">
        <v>297</v>
      </c>
      <c r="T299" s="8">
        <v>0.179805942995755</v>
      </c>
      <c r="U299" s="4">
        <v>61.2</v>
      </c>
      <c r="V299" s="4">
        <v>-0.91610488480393792</v>
      </c>
      <c r="W299" s="4">
        <v>68.573161176696999</v>
      </c>
      <c r="X299" s="4">
        <v>-0.77316117669700191</v>
      </c>
      <c r="Y299" s="4">
        <v>-0.12346352662299571</v>
      </c>
    </row>
    <row r="300" spans="11:25" x14ac:dyDescent="0.25">
      <c r="K300" s="3"/>
      <c r="L300" s="8">
        <v>89</v>
      </c>
      <c r="M300" s="4"/>
      <c r="N300" s="4"/>
      <c r="O300" s="4"/>
      <c r="P300" s="4"/>
      <c r="S300" s="3">
        <v>298</v>
      </c>
      <c r="T300" s="8">
        <v>0.18041237113402062</v>
      </c>
      <c r="U300" s="4">
        <v>61.2</v>
      </c>
      <c r="V300" s="4">
        <v>-0.91379468023611521</v>
      </c>
      <c r="W300" s="4">
        <v>68.425209098810214</v>
      </c>
      <c r="X300" s="4">
        <v>-1.0252090988102083</v>
      </c>
      <c r="Y300" s="4">
        <v>-0.1637122176851051</v>
      </c>
    </row>
    <row r="301" spans="11:25" x14ac:dyDescent="0.25">
      <c r="K301" s="3"/>
      <c r="L301" s="8">
        <v>89</v>
      </c>
      <c r="M301" s="4"/>
      <c r="N301" s="4"/>
      <c r="O301" s="4"/>
      <c r="P301" s="4"/>
      <c r="S301" s="3">
        <v>299</v>
      </c>
      <c r="T301" s="8">
        <v>0.18101879927228623</v>
      </c>
      <c r="U301" s="4">
        <v>61.3</v>
      </c>
      <c r="V301" s="4">
        <v>-0.91148934236618206</v>
      </c>
      <c r="W301" s="4">
        <v>76.661208101174196</v>
      </c>
      <c r="X301" s="4">
        <v>-9.6612081011741964</v>
      </c>
      <c r="Y301" s="4">
        <v>-1.5427660616708352</v>
      </c>
    </row>
    <row r="302" spans="11:25" x14ac:dyDescent="0.25">
      <c r="K302" s="3"/>
      <c r="L302" s="8">
        <v>89</v>
      </c>
      <c r="M302" s="4"/>
      <c r="N302" s="4"/>
      <c r="O302" s="4"/>
      <c r="P302" s="4"/>
      <c r="S302" s="3">
        <v>300</v>
      </c>
      <c r="T302" s="8">
        <v>0.18162522741055184</v>
      </c>
      <c r="U302" s="4">
        <v>61.3</v>
      </c>
      <c r="V302" s="4">
        <v>-0.90918883853220256</v>
      </c>
      <c r="W302" s="4">
        <v>68.129304943036658</v>
      </c>
      <c r="X302" s="4">
        <v>-1.5293049430366636</v>
      </c>
      <c r="Y302" s="4">
        <v>-0.24420959980933071</v>
      </c>
    </row>
    <row r="303" spans="11:25" x14ac:dyDescent="0.25">
      <c r="K303" s="3"/>
      <c r="L303" s="8">
        <v>89</v>
      </c>
      <c r="M303" s="4"/>
      <c r="N303" s="4"/>
      <c r="O303" s="4"/>
      <c r="P303" s="4"/>
      <c r="S303" s="3">
        <v>301</v>
      </c>
      <c r="T303" s="8">
        <v>0.18223165554881746</v>
      </c>
      <c r="U303" s="4">
        <v>61.3</v>
      </c>
      <c r="V303" s="4">
        <v>-0.9068931363795053</v>
      </c>
      <c r="W303" s="4">
        <v>67.981352865149887</v>
      </c>
      <c r="X303" s="4">
        <v>-1.8813528651498928</v>
      </c>
      <c r="Y303" s="4">
        <v>-0.30042695695869354</v>
      </c>
    </row>
    <row r="304" spans="11:25" x14ac:dyDescent="0.25">
      <c r="K304" s="3"/>
      <c r="L304" s="8">
        <v>89</v>
      </c>
      <c r="M304" s="4"/>
      <c r="N304" s="4"/>
      <c r="O304" s="4"/>
      <c r="P304" s="4"/>
      <c r="S304" s="3">
        <v>302</v>
      </c>
      <c r="T304" s="8">
        <v>0.18283808368708307</v>
      </c>
      <c r="U304" s="4">
        <v>61.4</v>
      </c>
      <c r="V304" s="4">
        <v>-0.90460220385671386</v>
      </c>
      <c r="W304" s="4">
        <v>67.784083427967502</v>
      </c>
      <c r="X304" s="4">
        <v>-2.1840834279675079</v>
      </c>
      <c r="Y304" s="4">
        <v>-0.34876898967909054</v>
      </c>
    </row>
    <row r="305" spans="11:25" x14ac:dyDescent="0.25">
      <c r="K305" s="3"/>
      <c r="L305" s="8">
        <v>89</v>
      </c>
      <c r="M305" s="4"/>
      <c r="N305" s="4"/>
      <c r="O305" s="4"/>
      <c r="P305" s="4"/>
      <c r="S305" s="3">
        <v>303</v>
      </c>
      <c r="T305" s="8">
        <v>0.18344451182534868</v>
      </c>
      <c r="U305" s="4">
        <v>61.4</v>
      </c>
      <c r="V305" s="4">
        <v>-0.90231600921184096</v>
      </c>
      <c r="W305" s="4">
        <v>76.41462130469624</v>
      </c>
      <c r="X305" s="4">
        <v>-11.41462130469624</v>
      </c>
      <c r="Y305" s="4">
        <v>-1.8227627612710202</v>
      </c>
    </row>
    <row r="306" spans="11:25" x14ac:dyDescent="0.25">
      <c r="K306" s="3"/>
      <c r="L306" s="8">
        <v>89</v>
      </c>
      <c r="M306" s="4"/>
      <c r="N306" s="4"/>
      <c r="O306" s="4"/>
      <c r="P306" s="4"/>
      <c r="S306" s="3">
        <v>304</v>
      </c>
      <c r="T306" s="8">
        <v>0.18405093996361432</v>
      </c>
      <c r="U306" s="4">
        <v>61.4</v>
      </c>
      <c r="V306" s="4">
        <v>-0.90003452098844638</v>
      </c>
      <c r="W306" s="4">
        <v>66.945688319942434</v>
      </c>
      <c r="X306" s="4">
        <v>-2.8456883199424396</v>
      </c>
      <c r="Y306" s="4">
        <v>-0.45441846569547723</v>
      </c>
    </row>
    <row r="307" spans="11:25" x14ac:dyDescent="0.25">
      <c r="K307" s="3"/>
      <c r="L307" s="8">
        <v>36.299999999999997</v>
      </c>
      <c r="M307" s="4"/>
      <c r="N307" s="4"/>
      <c r="O307" s="4"/>
      <c r="P307" s="4"/>
      <c r="S307" s="3">
        <v>305</v>
      </c>
      <c r="T307" s="8">
        <v>0.18465736810187994</v>
      </c>
      <c r="U307" s="4">
        <v>61.4</v>
      </c>
      <c r="V307" s="4">
        <v>-0.89775770802185595</v>
      </c>
      <c r="W307" s="4">
        <v>59.54808442560352</v>
      </c>
      <c r="X307" s="4">
        <v>-2.8480844256035169</v>
      </c>
      <c r="Y307" s="4">
        <v>-0.45480109180759232</v>
      </c>
    </row>
    <row r="308" spans="11:25" x14ac:dyDescent="0.25">
      <c r="K308" s="3"/>
      <c r="L308" s="8">
        <v>36.299999999999997</v>
      </c>
      <c r="M308" s="4"/>
      <c r="N308" s="4"/>
      <c r="O308" s="4"/>
      <c r="P308" s="4"/>
      <c r="S308" s="3">
        <v>306</v>
      </c>
      <c r="T308" s="8">
        <v>0.18526379624014555</v>
      </c>
      <c r="U308" s="4">
        <v>61.4</v>
      </c>
      <c r="V308" s="4">
        <v>-0.89548553943544029</v>
      </c>
      <c r="W308" s="4">
        <v>59.646719144194705</v>
      </c>
      <c r="X308" s="4">
        <v>-3.2467191441947065</v>
      </c>
      <c r="Y308" s="4">
        <v>-0.51845773892726732</v>
      </c>
    </row>
    <row r="309" spans="11:25" x14ac:dyDescent="0.25">
      <c r="K309" s="3"/>
      <c r="L309" s="8">
        <v>36.299999999999997</v>
      </c>
      <c r="M309" s="4"/>
      <c r="N309" s="4"/>
      <c r="O309" s="4"/>
      <c r="P309" s="4"/>
      <c r="S309" s="3">
        <v>307</v>
      </c>
      <c r="T309" s="8">
        <v>0.18587022437841116</v>
      </c>
      <c r="U309" s="4">
        <v>61.4</v>
      </c>
      <c r="V309" s="4">
        <v>-0.89321798463695368</v>
      </c>
      <c r="W309" s="4">
        <v>59.400132347716742</v>
      </c>
      <c r="X309" s="4">
        <v>-3.5001323477167432</v>
      </c>
      <c r="Y309" s="4">
        <v>-0.55892444721870416</v>
      </c>
    </row>
    <row r="310" spans="11:25" x14ac:dyDescent="0.25">
      <c r="K310" s="3"/>
      <c r="L310" s="8">
        <v>36.299999999999997</v>
      </c>
      <c r="M310" s="4"/>
      <c r="N310" s="4"/>
      <c r="O310" s="4"/>
      <c r="P310" s="4"/>
      <c r="S310" s="3">
        <v>308</v>
      </c>
      <c r="T310" s="8">
        <v>0.18647665251667678</v>
      </c>
      <c r="U310" s="4">
        <v>61.5</v>
      </c>
      <c r="V310" s="4">
        <v>-0.89095501331493165</v>
      </c>
      <c r="W310" s="4">
        <v>59.301497629125556</v>
      </c>
      <c r="X310" s="4">
        <v>-3.701497629125555</v>
      </c>
      <c r="Y310" s="4">
        <v>-0.59107979662252819</v>
      </c>
    </row>
    <row r="311" spans="11:25" x14ac:dyDescent="0.25">
      <c r="K311" s="3"/>
      <c r="L311" s="8">
        <v>36.299999999999997</v>
      </c>
      <c r="M311" s="4"/>
      <c r="N311" s="4"/>
      <c r="O311" s="4"/>
      <c r="P311" s="4"/>
      <c r="S311" s="3">
        <v>309</v>
      </c>
      <c r="T311" s="8">
        <v>0.18708308065494239</v>
      </c>
      <c r="U311" s="4">
        <v>61.6</v>
      </c>
      <c r="V311" s="4">
        <v>-0.88869659543514301</v>
      </c>
      <c r="W311" s="4">
        <v>75.773495633853528</v>
      </c>
      <c r="X311" s="4">
        <v>-20.473495633853531</v>
      </c>
      <c r="Y311" s="4">
        <v>-3.2693441541577393</v>
      </c>
    </row>
    <row r="312" spans="11:25" x14ac:dyDescent="0.25">
      <c r="K312" s="3"/>
      <c r="L312" s="8">
        <v>36.299999999999997</v>
      </c>
      <c r="M312" s="4"/>
      <c r="N312" s="4"/>
      <c r="O312" s="4"/>
      <c r="P312" s="4"/>
      <c r="S312" s="3">
        <v>310</v>
      </c>
      <c r="T312" s="8">
        <v>0.187689508793208</v>
      </c>
      <c r="U312" s="4">
        <v>61.6</v>
      </c>
      <c r="V312" s="4">
        <v>-0.88644270123710212</v>
      </c>
      <c r="W312" s="4">
        <v>59.202862910534371</v>
      </c>
      <c r="X312" s="4">
        <v>-4.402862910534374</v>
      </c>
      <c r="Y312" s="4">
        <v>-0.70307847646260246</v>
      </c>
    </row>
    <row r="313" spans="11:25" x14ac:dyDescent="0.25">
      <c r="K313" s="3"/>
      <c r="L313" s="8">
        <v>36.299999999999997</v>
      </c>
      <c r="M313" s="4"/>
      <c r="N313" s="4"/>
      <c r="O313" s="4"/>
      <c r="P313" s="4"/>
      <c r="S313" s="3">
        <v>311</v>
      </c>
      <c r="T313" s="8">
        <v>0.18829593693147362</v>
      </c>
      <c r="U313" s="4">
        <v>61.6</v>
      </c>
      <c r="V313" s="4">
        <v>-0.88419330123063111</v>
      </c>
      <c r="W313" s="4">
        <v>58.759006676874037</v>
      </c>
      <c r="X313" s="4">
        <v>-4.5590066768740343</v>
      </c>
      <c r="Y313" s="4">
        <v>-0.72801255312543833</v>
      </c>
    </row>
    <row r="314" spans="11:25" x14ac:dyDescent="0.25">
      <c r="K314" s="3"/>
      <c r="L314" s="8">
        <v>36.299999999999997</v>
      </c>
      <c r="M314" s="4"/>
      <c r="N314" s="4"/>
      <c r="O314" s="4"/>
      <c r="P314" s="4"/>
      <c r="S314" s="3">
        <v>312</v>
      </c>
      <c r="T314" s="8">
        <v>0.18890236506973923</v>
      </c>
      <c r="U314" s="4">
        <v>61.6</v>
      </c>
      <c r="V314" s="4">
        <v>-0.8819483661924804</v>
      </c>
      <c r="W314" s="4">
        <v>58.117881006031332</v>
      </c>
      <c r="X314" s="4">
        <v>-4.517881006031331</v>
      </c>
      <c r="Y314" s="4">
        <v>-0.72144533207242567</v>
      </c>
    </row>
    <row r="315" spans="11:25" x14ac:dyDescent="0.25">
      <c r="K315" s="3"/>
      <c r="L315" s="8">
        <v>36.299999999999997</v>
      </c>
      <c r="M315" s="4"/>
      <c r="N315" s="4"/>
      <c r="O315" s="4"/>
      <c r="P315" s="4"/>
      <c r="S315" s="3">
        <v>313</v>
      </c>
      <c r="T315" s="8">
        <v>0.18950879320800484</v>
      </c>
      <c r="U315" s="4">
        <v>61.7</v>
      </c>
      <c r="V315" s="4">
        <v>-0.87970786716299842</v>
      </c>
      <c r="W315" s="4">
        <v>58.167198365326925</v>
      </c>
      <c r="X315" s="4">
        <v>-4.867198365326928</v>
      </c>
      <c r="Y315" s="4">
        <v>-0.77722665476313824</v>
      </c>
    </row>
    <row r="316" spans="11:25" x14ac:dyDescent="0.25">
      <c r="K316" s="3"/>
      <c r="L316" s="8">
        <v>36.299999999999997</v>
      </c>
      <c r="M316" s="4"/>
      <c r="N316" s="4"/>
      <c r="O316" s="4"/>
      <c r="P316" s="4"/>
      <c r="S316" s="3">
        <v>314</v>
      </c>
      <c r="T316" s="8">
        <v>0.19011522134627046</v>
      </c>
      <c r="U316" s="4">
        <v>61.7</v>
      </c>
      <c r="V316" s="4">
        <v>-0.87747177544285548</v>
      </c>
      <c r="W316" s="4">
        <v>77.400968490608093</v>
      </c>
      <c r="X316" s="4">
        <v>-24.600968490608096</v>
      </c>
      <c r="Y316" s="4">
        <v>-3.9284465124947463</v>
      </c>
    </row>
    <row r="317" spans="11:25" x14ac:dyDescent="0.25">
      <c r="K317" s="3"/>
      <c r="L317" s="8">
        <v>36.299999999999997</v>
      </c>
      <c r="M317" s="4"/>
      <c r="N317" s="4"/>
      <c r="O317" s="4"/>
      <c r="P317" s="4"/>
      <c r="S317" s="3">
        <v>315</v>
      </c>
      <c r="T317" s="8">
        <v>0.19072164948453607</v>
      </c>
      <c r="U317" s="4">
        <v>61.7</v>
      </c>
      <c r="V317" s="4">
        <v>-0.87524006258981835</v>
      </c>
      <c r="W317" s="4">
        <v>74.392609573576934</v>
      </c>
      <c r="X317" s="4">
        <v>7.6073904264230663</v>
      </c>
      <c r="Y317" s="4">
        <v>1.2147987751489089</v>
      </c>
    </row>
    <row r="318" spans="11:25" x14ac:dyDescent="0.25">
      <c r="K318" s="3"/>
      <c r="L318" s="8">
        <v>36.299999999999997</v>
      </c>
      <c r="M318" s="4"/>
      <c r="N318" s="4"/>
      <c r="O318" s="4"/>
      <c r="P318" s="4"/>
      <c r="S318" s="3">
        <v>316</v>
      </c>
      <c r="T318" s="8">
        <v>0.19132807762280168</v>
      </c>
      <c r="U318" s="4">
        <v>61.8</v>
      </c>
      <c r="V318" s="4">
        <v>-0.87301270041557288</v>
      </c>
      <c r="W318" s="4">
        <v>74.293974854985748</v>
      </c>
      <c r="X318" s="4">
        <v>7.5060251450142488</v>
      </c>
      <c r="Y318" s="4">
        <v>1.1986120918323335</v>
      </c>
    </row>
    <row r="319" spans="11:25" x14ac:dyDescent="0.25">
      <c r="K319" s="3"/>
      <c r="L319" s="8">
        <v>36.299999999999997</v>
      </c>
      <c r="M319" s="4"/>
      <c r="N319" s="4"/>
      <c r="O319" s="4"/>
      <c r="P319" s="4"/>
      <c r="S319" s="3">
        <v>317</v>
      </c>
      <c r="T319" s="8">
        <v>0.19193450576106733</v>
      </c>
      <c r="U319" s="4">
        <v>61.8</v>
      </c>
      <c r="V319" s="4">
        <v>-0.87078966098259791</v>
      </c>
      <c r="W319" s="4">
        <v>74.244657495690163</v>
      </c>
      <c r="X319" s="4">
        <v>7.3553425043098315</v>
      </c>
      <c r="Y319" s="4">
        <v>1.1745500840867948</v>
      </c>
    </row>
    <row r="320" spans="11:25" x14ac:dyDescent="0.25">
      <c r="K320" s="3"/>
      <c r="L320" s="8">
        <v>36.299999999999997</v>
      </c>
      <c r="M320" s="4"/>
      <c r="N320" s="4"/>
      <c r="O320" s="4"/>
      <c r="P320" s="4"/>
      <c r="S320" s="3">
        <v>318</v>
      </c>
      <c r="T320" s="8">
        <v>0.19254093389933294</v>
      </c>
      <c r="U320" s="4">
        <v>61.8</v>
      </c>
      <c r="V320" s="4">
        <v>-0.86857091660108621</v>
      </c>
      <c r="W320" s="4">
        <v>74.244657495690163</v>
      </c>
      <c r="X320" s="4">
        <v>7.2553425043098372</v>
      </c>
      <c r="Y320" s="4">
        <v>1.1585814179995459</v>
      </c>
    </row>
    <row r="321" spans="11:25" x14ac:dyDescent="0.25">
      <c r="K321" s="3"/>
      <c r="L321" s="8">
        <v>36.299999999999997</v>
      </c>
      <c r="M321" s="4"/>
      <c r="N321" s="4"/>
      <c r="O321" s="4"/>
      <c r="P321" s="4"/>
      <c r="S321" s="3">
        <v>319</v>
      </c>
      <c r="T321" s="8">
        <v>0.19314736203759855</v>
      </c>
      <c r="U321" s="4">
        <v>61.8</v>
      </c>
      <c r="V321" s="4">
        <v>-0.86635643982591226</v>
      </c>
      <c r="W321" s="4">
        <v>77.253016412721308</v>
      </c>
      <c r="X321" s="4">
        <v>3.9469835872786945</v>
      </c>
      <c r="Y321" s="4">
        <v>0.63028062957108888</v>
      </c>
    </row>
    <row r="322" spans="11:25" x14ac:dyDescent="0.25">
      <c r="K322" s="3"/>
      <c r="L322" s="8">
        <v>36.299999999999997</v>
      </c>
      <c r="M322" s="4"/>
      <c r="N322" s="4"/>
      <c r="O322" s="4"/>
      <c r="P322" s="4"/>
      <c r="S322" s="3">
        <v>320</v>
      </c>
      <c r="T322" s="8">
        <v>0.19375379017586417</v>
      </c>
      <c r="U322" s="4">
        <v>61.9</v>
      </c>
      <c r="V322" s="4">
        <v>-0.86414620345364657</v>
      </c>
      <c r="W322" s="4">
        <v>74.047388058507792</v>
      </c>
      <c r="X322" s="4">
        <v>6.9526119414922078</v>
      </c>
      <c r="Y322" s="4">
        <v>1.1102393852791468</v>
      </c>
    </row>
    <row r="323" spans="11:25" x14ac:dyDescent="0.25">
      <c r="K323" s="3"/>
      <c r="L323" s="8">
        <v>36.299999999999997</v>
      </c>
      <c r="M323" s="4"/>
      <c r="N323" s="4"/>
      <c r="O323" s="4"/>
      <c r="P323" s="4"/>
      <c r="S323" s="3">
        <v>321</v>
      </c>
      <c r="T323" s="8">
        <v>0.19436021831412978</v>
      </c>
      <c r="U323" s="4">
        <v>61.9</v>
      </c>
      <c r="V323" s="4">
        <v>-0.86194018051961641</v>
      </c>
      <c r="W323" s="4">
        <v>73.948753339916607</v>
      </c>
      <c r="X323" s="4">
        <v>13.051246660083393</v>
      </c>
      <c r="Y323" s="4">
        <v>2.08410999937206</v>
      </c>
    </row>
    <row r="324" spans="11:25" x14ac:dyDescent="0.25">
      <c r="K324" s="3"/>
      <c r="L324" s="8">
        <v>89</v>
      </c>
      <c r="M324" s="4"/>
      <c r="N324" s="4"/>
      <c r="O324" s="4"/>
      <c r="P324" s="4"/>
      <c r="S324" s="3">
        <v>322</v>
      </c>
      <c r="T324" s="8">
        <v>0.19496664645239539</v>
      </c>
      <c r="U324" s="4">
        <v>62</v>
      </c>
      <c r="V324" s="4">
        <v>-0.85973834429500995</v>
      </c>
      <c r="W324" s="4">
        <v>73.948753339916607</v>
      </c>
      <c r="X324" s="4">
        <v>11.051246660083393</v>
      </c>
      <c r="Y324" s="4">
        <v>1.7647366776270639</v>
      </c>
    </row>
    <row r="325" spans="11:25" x14ac:dyDescent="0.25">
      <c r="K325" s="3"/>
      <c r="L325" s="8">
        <v>89</v>
      </c>
      <c r="M325" s="4"/>
      <c r="N325" s="4"/>
      <c r="O325" s="4"/>
      <c r="P325" s="4"/>
      <c r="S325" s="3">
        <v>323</v>
      </c>
      <c r="T325" s="8">
        <v>0.19557307459066101</v>
      </c>
      <c r="U325" s="4">
        <v>62</v>
      </c>
      <c r="V325" s="4">
        <v>-0.85754066828402398</v>
      </c>
      <c r="W325" s="4">
        <v>73.899435980621007</v>
      </c>
      <c r="X325" s="4">
        <v>11.100564019378993</v>
      </c>
      <c r="Y325" s="4">
        <v>1.7726120020560276</v>
      </c>
    </row>
    <row r="326" spans="11:25" x14ac:dyDescent="0.25">
      <c r="K326" s="3"/>
      <c r="L326" s="8">
        <v>89</v>
      </c>
      <c r="M326" s="4"/>
      <c r="N326" s="4"/>
      <c r="O326" s="4"/>
      <c r="P326" s="4"/>
      <c r="S326" s="3">
        <v>324</v>
      </c>
      <c r="T326" s="8">
        <v>0.19617950272892662</v>
      </c>
      <c r="U326" s="4">
        <v>62</v>
      </c>
      <c r="V326" s="4">
        <v>-0.85534712622105691</v>
      </c>
      <c r="W326" s="4">
        <v>73.850118621325421</v>
      </c>
      <c r="X326" s="4">
        <v>7.1498813786745785</v>
      </c>
      <c r="Y326" s="4">
        <v>1.1417406829949965</v>
      </c>
    </row>
    <row r="327" spans="11:25" x14ac:dyDescent="0.25">
      <c r="K327" s="3"/>
      <c r="L327" s="8">
        <v>89</v>
      </c>
      <c r="M327" s="4"/>
      <c r="N327" s="4"/>
      <c r="O327" s="4"/>
      <c r="P327" s="4"/>
      <c r="S327" s="3">
        <v>325</v>
      </c>
      <c r="T327" s="8">
        <v>0.19678593086719223</v>
      </c>
      <c r="U327" s="4">
        <v>62</v>
      </c>
      <c r="V327" s="4">
        <v>-0.85315769206794101</v>
      </c>
      <c r="W327" s="4">
        <v>73.800801262029822</v>
      </c>
      <c r="X327" s="4">
        <v>6.1991987379701783</v>
      </c>
      <c r="Y327" s="4">
        <v>0.98992934655146203</v>
      </c>
    </row>
    <row r="328" spans="11:25" x14ac:dyDescent="0.25">
      <c r="K328" s="3"/>
      <c r="L328" s="8">
        <v>89</v>
      </c>
      <c r="M328" s="4"/>
      <c r="N328" s="4"/>
      <c r="O328" s="4"/>
      <c r="P328" s="4"/>
      <c r="S328" s="3">
        <v>326</v>
      </c>
      <c r="T328" s="8">
        <v>0.19739235900545785</v>
      </c>
      <c r="U328" s="4">
        <v>62</v>
      </c>
      <c r="V328" s="4">
        <v>-0.8509723400112178</v>
      </c>
      <c r="W328" s="4">
        <v>73.751483902734236</v>
      </c>
      <c r="X328" s="4">
        <v>5.9485160972657667</v>
      </c>
      <c r="Y328" s="4">
        <v>0.94989867271867434</v>
      </c>
    </row>
    <row r="329" spans="11:25" x14ac:dyDescent="0.25">
      <c r="K329" s="3"/>
      <c r="L329" s="8">
        <v>89</v>
      </c>
      <c r="M329" s="4"/>
      <c r="N329" s="4"/>
      <c r="O329" s="4"/>
      <c r="P329" s="4"/>
      <c r="S329" s="3">
        <v>327</v>
      </c>
      <c r="T329" s="8">
        <v>0.19799878714372346</v>
      </c>
      <c r="U329" s="4">
        <v>62</v>
      </c>
      <c r="V329" s="4">
        <v>-0.84879104445945452</v>
      </c>
      <c r="W329" s="4">
        <v>56.046551915616433</v>
      </c>
      <c r="X329" s="4">
        <v>1.9534480843835667</v>
      </c>
      <c r="Y329" s="4">
        <v>0.31193960178298963</v>
      </c>
    </row>
    <row r="330" spans="11:25" x14ac:dyDescent="0.25">
      <c r="K330" s="3"/>
      <c r="L330" s="8">
        <v>89</v>
      </c>
      <c r="M330" s="4"/>
      <c r="N330" s="4"/>
      <c r="O330" s="4"/>
      <c r="P330" s="4"/>
      <c r="S330" s="3">
        <v>328</v>
      </c>
      <c r="T330" s="8">
        <v>0.19860521528198907</v>
      </c>
      <c r="U330" s="4">
        <v>62</v>
      </c>
      <c r="V330" s="4">
        <v>-0.84661378004059906</v>
      </c>
      <c r="W330" s="4">
        <v>55.356108885478136</v>
      </c>
      <c r="X330" s="4">
        <v>-5.4561088854781374</v>
      </c>
      <c r="Y330" s="4">
        <v>-0.87126780927877079</v>
      </c>
    </row>
    <row r="331" spans="11:25" x14ac:dyDescent="0.25">
      <c r="K331" s="3"/>
      <c r="L331" s="8">
        <v>89</v>
      </c>
      <c r="M331" s="4"/>
      <c r="N331" s="4"/>
      <c r="O331" s="4"/>
      <c r="P331" s="4"/>
      <c r="S331" s="3">
        <v>329</v>
      </c>
      <c r="T331" s="8">
        <v>0.19921164342025469</v>
      </c>
      <c r="U331" s="4">
        <v>62.1</v>
      </c>
      <c r="V331" s="4">
        <v>-0.84444052159937599</v>
      </c>
      <c r="W331" s="4">
        <v>55.947917197025248</v>
      </c>
      <c r="X331" s="4">
        <v>-2.947917197025248</v>
      </c>
      <c r="Y331" s="4">
        <v>-0.47074305372157593</v>
      </c>
    </row>
    <row r="332" spans="11:25" x14ac:dyDescent="0.25">
      <c r="K332" s="3"/>
      <c r="L332" s="8">
        <v>89</v>
      </c>
      <c r="M332" s="4"/>
      <c r="N332" s="4"/>
      <c r="O332" s="4"/>
      <c r="P332" s="4"/>
      <c r="S332" s="3">
        <v>330</v>
      </c>
      <c r="T332" s="8">
        <v>0.19981807155852033</v>
      </c>
      <c r="U332" s="4">
        <v>62.1</v>
      </c>
      <c r="V332" s="4">
        <v>-0.84227124419471855</v>
      </c>
      <c r="W332" s="4">
        <v>55.750647759842877</v>
      </c>
      <c r="X332" s="4">
        <v>-5.9506477598428802</v>
      </c>
      <c r="Y332" s="4">
        <v>-0.95023907079772041</v>
      </c>
    </row>
    <row r="333" spans="11:25" x14ac:dyDescent="0.25">
      <c r="K333" s="3"/>
      <c r="L333" s="8">
        <v>89</v>
      </c>
      <c r="M333" s="4"/>
      <c r="N333" s="4"/>
      <c r="O333" s="4"/>
      <c r="P333" s="4"/>
      <c r="S333" s="3">
        <v>331</v>
      </c>
      <c r="T333" s="8">
        <v>0.20042449969678594</v>
      </c>
      <c r="U333" s="4">
        <v>62.1</v>
      </c>
      <c r="V333" s="4">
        <v>-0.84010592309724352</v>
      </c>
      <c r="W333" s="4">
        <v>55.602695681956099</v>
      </c>
      <c r="X333" s="4">
        <v>-6.4026956819560965</v>
      </c>
      <c r="Y333" s="4">
        <v>-1.0224250940343311</v>
      </c>
    </row>
    <row r="334" spans="11:25" x14ac:dyDescent="0.25">
      <c r="K334" s="3"/>
      <c r="L334" s="8">
        <v>89</v>
      </c>
      <c r="M334" s="4"/>
      <c r="N334" s="4"/>
      <c r="O334" s="4"/>
      <c r="P334" s="4"/>
      <c r="S334" s="3">
        <v>332</v>
      </c>
      <c r="T334" s="8">
        <v>0.20103092783505155</v>
      </c>
      <c r="U334" s="4">
        <v>62.1</v>
      </c>
      <c r="V334" s="4">
        <v>-0.83794453378675615</v>
      </c>
      <c r="W334" s="4">
        <v>55.257474166886951</v>
      </c>
      <c r="X334" s="4">
        <v>-6.6574741668869493</v>
      </c>
      <c r="Y334" s="4">
        <v>-1.063109819555093</v>
      </c>
    </row>
    <row r="335" spans="11:25" x14ac:dyDescent="0.25">
      <c r="K335" s="3"/>
      <c r="L335" s="8">
        <v>36.299999999999997</v>
      </c>
      <c r="M335" s="4"/>
      <c r="N335" s="4"/>
      <c r="O335" s="4"/>
      <c r="P335" s="4"/>
      <c r="S335" s="3">
        <v>333</v>
      </c>
      <c r="T335" s="8">
        <v>0.20163735597331717</v>
      </c>
      <c r="U335" s="4">
        <v>62.2</v>
      </c>
      <c r="V335" s="4">
        <v>-0.83578705194979697</v>
      </c>
      <c r="W335" s="4">
        <v>59.74535386278589</v>
      </c>
      <c r="X335" s="4">
        <v>-7.145353862785889</v>
      </c>
      <c r="Y335" s="4">
        <v>-1.1410176991006844</v>
      </c>
    </row>
    <row r="336" spans="11:25" x14ac:dyDescent="0.25">
      <c r="K336" s="3"/>
      <c r="L336" s="8">
        <v>36.299999999999997</v>
      </c>
      <c r="M336" s="4"/>
      <c r="N336" s="4"/>
      <c r="O336" s="4"/>
      <c r="P336" s="4"/>
      <c r="S336" s="3">
        <v>334</v>
      </c>
      <c r="T336" s="8">
        <v>0.20224378411158278</v>
      </c>
      <c r="U336" s="4">
        <v>62.2</v>
      </c>
      <c r="V336" s="4">
        <v>-0.83363345347722417</v>
      </c>
      <c r="W336" s="4">
        <v>59.54808442560352</v>
      </c>
      <c r="X336" s="4">
        <v>-7.3480844256035169</v>
      </c>
      <c r="Y336" s="4">
        <v>-1.1733910657338338</v>
      </c>
    </row>
    <row r="337" spans="11:25" x14ac:dyDescent="0.25">
      <c r="K337" s="3"/>
      <c r="L337" s="8">
        <v>36.299999999999997</v>
      </c>
      <c r="M337" s="4"/>
      <c r="N337" s="4"/>
      <c r="O337" s="4"/>
      <c r="P337" s="4"/>
      <c r="S337" s="3">
        <v>335</v>
      </c>
      <c r="T337" s="8">
        <v>0.20285021224984839</v>
      </c>
      <c r="U337" s="4">
        <v>62.2</v>
      </c>
      <c r="V337" s="4">
        <v>-0.83148371446182834</v>
      </c>
      <c r="W337" s="4">
        <v>59.498767066307927</v>
      </c>
      <c r="X337" s="4">
        <v>-7.69876706630793</v>
      </c>
      <c r="Y337" s="4">
        <v>-1.2293904056538714</v>
      </c>
    </row>
    <row r="338" spans="11:25" x14ac:dyDescent="0.25">
      <c r="K338" s="3"/>
      <c r="L338" s="8">
        <v>36.299999999999997</v>
      </c>
      <c r="M338" s="4"/>
      <c r="N338" s="4"/>
      <c r="O338" s="4"/>
      <c r="P338" s="4"/>
      <c r="S338" s="3">
        <v>336</v>
      </c>
      <c r="T338" s="8">
        <v>0.20345664038811401</v>
      </c>
      <c r="U338" s="4">
        <v>62.2</v>
      </c>
      <c r="V338" s="4">
        <v>-0.82933781119598482</v>
      </c>
      <c r="W338" s="4">
        <v>59.597401784899112</v>
      </c>
      <c r="X338" s="4">
        <v>-7.997401784899111</v>
      </c>
      <c r="Y338" s="4">
        <v>-1.2770783866862951</v>
      </c>
    </row>
    <row r="339" spans="11:25" x14ac:dyDescent="0.25">
      <c r="K339" s="3"/>
      <c r="L339" s="8">
        <v>36.299999999999997</v>
      </c>
      <c r="M339" s="4"/>
      <c r="N339" s="4"/>
      <c r="O339" s="4"/>
      <c r="P339" s="4"/>
      <c r="S339" s="3">
        <v>337</v>
      </c>
      <c r="T339" s="8">
        <v>0.20406306852637962</v>
      </c>
      <c r="U339" s="4">
        <v>62.2</v>
      </c>
      <c r="V339" s="4">
        <v>-0.82719572016933762</v>
      </c>
      <c r="W339" s="4">
        <v>59.646719144194705</v>
      </c>
      <c r="X339" s="4">
        <v>-8.4467191441947023</v>
      </c>
      <c r="Y339" s="4">
        <v>-1.3488283754642567</v>
      </c>
    </row>
    <row r="340" spans="11:25" x14ac:dyDescent="0.25">
      <c r="K340" s="3"/>
      <c r="L340" s="8">
        <v>89</v>
      </c>
      <c r="M340" s="4"/>
      <c r="N340" s="4"/>
      <c r="O340" s="4"/>
      <c r="P340" s="4"/>
      <c r="S340" s="3">
        <v>338</v>
      </c>
      <c r="T340" s="8">
        <v>0.20466949666464523</v>
      </c>
      <c r="U340" s="4">
        <v>62.3</v>
      </c>
      <c r="V340" s="4">
        <v>-0.82505741806651944</v>
      </c>
      <c r="W340" s="4">
        <v>75.773495633853528</v>
      </c>
      <c r="X340" s="4">
        <v>-18.773495633853528</v>
      </c>
      <c r="Y340" s="4">
        <v>-2.9978768306744921</v>
      </c>
    </row>
    <row r="341" spans="11:25" x14ac:dyDescent="0.25">
      <c r="K341" s="3"/>
      <c r="L341" s="8">
        <v>89</v>
      </c>
      <c r="M341" s="4"/>
      <c r="N341" s="4"/>
      <c r="O341" s="4"/>
      <c r="P341" s="4"/>
      <c r="S341" s="3">
        <v>339</v>
      </c>
      <c r="T341" s="8">
        <v>0.20527592480291085</v>
      </c>
      <c r="U341" s="4">
        <v>62.3</v>
      </c>
      <c r="V341" s="4">
        <v>-0.82292288176490203</v>
      </c>
      <c r="W341" s="4">
        <v>58.167198365326925</v>
      </c>
      <c r="X341" s="4">
        <v>-8.5671983653269237</v>
      </c>
      <c r="Y341" s="4">
        <v>-1.3680672999913805</v>
      </c>
    </row>
    <row r="342" spans="11:25" x14ac:dyDescent="0.25">
      <c r="K342" s="3"/>
      <c r="L342" s="8">
        <v>89</v>
      </c>
      <c r="M342" s="4"/>
      <c r="N342" s="4"/>
      <c r="O342" s="4"/>
      <c r="P342" s="4"/>
      <c r="S342" s="3">
        <v>340</v>
      </c>
      <c r="T342" s="8">
        <v>0.20588235294117646</v>
      </c>
      <c r="U342" s="4">
        <v>62.4</v>
      </c>
      <c r="V342" s="4">
        <v>-0.82079208833238038</v>
      </c>
      <c r="W342" s="4">
        <v>73.504897106256266</v>
      </c>
      <c r="X342" s="4">
        <v>9.4951028937437343</v>
      </c>
      <c r="Y342" s="4">
        <v>1.516241275742731</v>
      </c>
    </row>
    <row r="343" spans="11:25" x14ac:dyDescent="0.25">
      <c r="K343" s="3"/>
      <c r="L343" s="8">
        <v>89</v>
      </c>
      <c r="M343" s="4"/>
      <c r="N343" s="4"/>
      <c r="O343" s="4"/>
      <c r="P343" s="4"/>
      <c r="S343" s="3">
        <v>341</v>
      </c>
      <c r="T343" s="8">
        <v>0.20648878107944207</v>
      </c>
      <c r="U343" s="4">
        <v>62.5</v>
      </c>
      <c r="V343" s="4">
        <v>-0.81866501502518874</v>
      </c>
      <c r="W343" s="4">
        <v>73.45557974696068</v>
      </c>
      <c r="X343" s="4">
        <v>7.5444202530393198</v>
      </c>
      <c r="Y343" s="4">
        <v>1.204743278426696</v>
      </c>
    </row>
    <row r="344" spans="11:25" x14ac:dyDescent="0.25">
      <c r="K344" s="3"/>
      <c r="L344" s="8">
        <v>89</v>
      </c>
      <c r="M344" s="4"/>
      <c r="N344" s="4"/>
      <c r="O344" s="4"/>
      <c r="P344" s="4"/>
      <c r="S344" s="3">
        <v>342</v>
      </c>
      <c r="T344" s="8">
        <v>0.20709520921770772</v>
      </c>
      <c r="U344" s="4">
        <v>62.5</v>
      </c>
      <c r="V344" s="4">
        <v>-0.8165416392857463</v>
      </c>
      <c r="W344" s="4">
        <v>73.45557974696068</v>
      </c>
      <c r="X344" s="4">
        <v>6.4444202530393255</v>
      </c>
      <c r="Y344" s="4">
        <v>1.0290879514669491</v>
      </c>
    </row>
    <row r="345" spans="11:25" x14ac:dyDescent="0.25">
      <c r="K345" s="3"/>
      <c r="L345" s="8">
        <v>89</v>
      </c>
      <c r="M345" s="4"/>
      <c r="N345" s="4"/>
      <c r="O345" s="4"/>
      <c r="P345" s="4"/>
      <c r="S345" s="3">
        <v>343</v>
      </c>
      <c r="T345" s="8">
        <v>0.20770163735597333</v>
      </c>
      <c r="U345" s="4">
        <v>62.5</v>
      </c>
      <c r="V345" s="4">
        <v>-0.81442193874053515</v>
      </c>
      <c r="W345" s="4">
        <v>73.356945028369495</v>
      </c>
      <c r="X345" s="4">
        <v>6.4430549716305023</v>
      </c>
      <c r="Y345" s="4">
        <v>1.0288699342376229</v>
      </c>
    </row>
    <row r="346" spans="11:25" x14ac:dyDescent="0.25">
      <c r="K346" s="3"/>
      <c r="L346" s="8">
        <v>89</v>
      </c>
      <c r="M346" s="4"/>
      <c r="N346" s="4"/>
      <c r="O346" s="4"/>
      <c r="P346" s="4"/>
      <c r="S346" s="3">
        <v>344</v>
      </c>
      <c r="T346" s="8">
        <v>0.20830806549423894</v>
      </c>
      <c r="U346" s="4">
        <v>62.6</v>
      </c>
      <c r="V346" s="4">
        <v>-0.81230589119800833</v>
      </c>
      <c r="W346" s="4">
        <v>73.20899295048271</v>
      </c>
      <c r="X346" s="4">
        <v>5.8910070495172846</v>
      </c>
      <c r="Y346" s="4">
        <v>0.94071524491376213</v>
      </c>
    </row>
    <row r="347" spans="11:25" x14ac:dyDescent="0.25">
      <c r="K347" s="3"/>
      <c r="L347" s="8">
        <v>89</v>
      </c>
      <c r="M347" s="4"/>
      <c r="N347" s="4"/>
      <c r="O347" s="4"/>
      <c r="P347" s="4"/>
      <c r="S347" s="3">
        <v>345</v>
      </c>
      <c r="T347" s="8">
        <v>0.20891449363250456</v>
      </c>
      <c r="U347" s="4">
        <v>62.6</v>
      </c>
      <c r="V347" s="4">
        <v>-0.81019347464652547</v>
      </c>
      <c r="W347" s="4">
        <v>73.110358231891524</v>
      </c>
      <c r="X347" s="4">
        <v>6.1896417681084728</v>
      </c>
      <c r="Y347" s="4">
        <v>0.98840322594618713</v>
      </c>
    </row>
    <row r="348" spans="11:25" x14ac:dyDescent="0.25">
      <c r="K348" s="3"/>
      <c r="L348" s="8">
        <v>89</v>
      </c>
      <c r="M348" s="4"/>
      <c r="N348" s="4"/>
      <c r="O348" s="4"/>
      <c r="P348" s="4"/>
      <c r="S348" s="3">
        <v>346</v>
      </c>
      <c r="T348" s="8">
        <v>0.20952092177077017</v>
      </c>
      <c r="U348" s="4">
        <v>62.7</v>
      </c>
      <c r="V348" s="4">
        <v>-0.8080846672523202</v>
      </c>
      <c r="W348" s="4">
        <v>73.258310309778295</v>
      </c>
      <c r="X348" s="4">
        <v>6.341689690221699</v>
      </c>
      <c r="Y348" s="4">
        <v>1.0126832509210499</v>
      </c>
    </row>
    <row r="349" spans="11:25" x14ac:dyDescent="0.25">
      <c r="K349" s="3"/>
      <c r="L349" s="8">
        <v>89</v>
      </c>
      <c r="M349" s="4"/>
      <c r="N349" s="4"/>
      <c r="O349" s="4"/>
      <c r="P349" s="4"/>
      <c r="S349" s="3">
        <v>347</v>
      </c>
      <c r="T349" s="8">
        <v>0.21012734990903578</v>
      </c>
      <c r="U349" s="4">
        <v>62.7</v>
      </c>
      <c r="V349" s="4">
        <v>-0.8059794473574946</v>
      </c>
      <c r="W349" s="4">
        <v>77.154381694130123</v>
      </c>
      <c r="X349" s="4">
        <v>1.7456183058698826</v>
      </c>
      <c r="Y349" s="4">
        <v>0.27875195842226858</v>
      </c>
    </row>
    <row r="350" spans="11:25" x14ac:dyDescent="0.25">
      <c r="K350" s="3"/>
      <c r="L350" s="8">
        <v>89</v>
      </c>
      <c r="M350" s="4"/>
      <c r="N350" s="4"/>
      <c r="O350" s="4"/>
      <c r="P350" s="4"/>
      <c r="S350" s="3">
        <v>348</v>
      </c>
      <c r="T350" s="8">
        <v>0.2107337780473014</v>
      </c>
      <c r="U350" s="4">
        <v>62.7</v>
      </c>
      <c r="V350" s="4">
        <v>-0.80387779347804178</v>
      </c>
      <c r="W350" s="4">
        <v>73.110358231891524</v>
      </c>
      <c r="X350" s="4">
        <v>5.7896417681084813</v>
      </c>
      <c r="Y350" s="4">
        <v>0.92452856159718932</v>
      </c>
    </row>
    <row r="351" spans="11:25" x14ac:dyDescent="0.25">
      <c r="K351" s="3"/>
      <c r="L351" s="8">
        <v>89</v>
      </c>
      <c r="M351" s="4"/>
      <c r="N351" s="4"/>
      <c r="O351" s="4"/>
      <c r="P351" s="4"/>
      <c r="S351" s="3">
        <v>349</v>
      </c>
      <c r="T351" s="8">
        <v>0.21134020618556701</v>
      </c>
      <c r="U351" s="4">
        <v>62.7</v>
      </c>
      <c r="V351" s="4">
        <v>-0.80177968430189805</v>
      </c>
      <c r="W351" s="4">
        <v>73.356945028369495</v>
      </c>
      <c r="X351" s="4">
        <v>2.4430549716305023</v>
      </c>
      <c r="Y351" s="4">
        <v>0.39012329074763047</v>
      </c>
    </row>
    <row r="352" spans="11:25" x14ac:dyDescent="0.25">
      <c r="K352" s="3"/>
      <c r="L352" s="8">
        <v>89</v>
      </c>
      <c r="M352" s="4"/>
      <c r="N352" s="4"/>
      <c r="O352" s="4"/>
      <c r="P352" s="4"/>
      <c r="S352" s="3">
        <v>350</v>
      </c>
      <c r="T352" s="8">
        <v>0.21194663432383262</v>
      </c>
      <c r="U352" s="4">
        <v>62.8</v>
      </c>
      <c r="V352" s="4">
        <v>-0.79968509868701754</v>
      </c>
      <c r="W352" s="4">
        <v>73.258310309778295</v>
      </c>
      <c r="X352" s="4">
        <v>2.341689690221699</v>
      </c>
      <c r="Y352" s="4">
        <v>0.37393660743105755</v>
      </c>
    </row>
    <row r="353" spans="11:25" x14ac:dyDescent="0.25">
      <c r="K353" s="3"/>
      <c r="L353" s="8">
        <v>89</v>
      </c>
      <c r="M353" s="4"/>
      <c r="N353" s="4"/>
      <c r="O353" s="4"/>
      <c r="P353" s="4"/>
      <c r="S353" s="3">
        <v>351</v>
      </c>
      <c r="T353" s="8">
        <v>0.21255306246209824</v>
      </c>
      <c r="U353" s="4">
        <v>62.8</v>
      </c>
      <c r="V353" s="4">
        <v>-0.7975940156594804</v>
      </c>
      <c r="W353" s="4">
        <v>73.20899295048271</v>
      </c>
      <c r="X353" s="4">
        <v>2.191007049517296</v>
      </c>
      <c r="Y353" s="4">
        <v>0.34987459968552109</v>
      </c>
    </row>
    <row r="354" spans="11:25" x14ac:dyDescent="0.25">
      <c r="K354" s="3"/>
      <c r="L354" s="8">
        <v>89</v>
      </c>
      <c r="M354" s="4"/>
      <c r="N354" s="4"/>
      <c r="O354" s="4"/>
      <c r="P354" s="4"/>
      <c r="S354" s="3">
        <v>352</v>
      </c>
      <c r="T354" s="8">
        <v>0.21315949060036385</v>
      </c>
      <c r="U354" s="4">
        <v>62.8</v>
      </c>
      <c r="V354" s="4">
        <v>-0.79550641441162162</v>
      </c>
      <c r="W354" s="4">
        <v>73.110358231891524</v>
      </c>
      <c r="X354" s="4">
        <v>2.0896417681084785</v>
      </c>
      <c r="Y354" s="4">
        <v>0.3336879163689459</v>
      </c>
    </row>
    <row r="355" spans="11:25" x14ac:dyDescent="0.25">
      <c r="K355" s="3"/>
      <c r="L355" s="8">
        <v>36.299999999999997</v>
      </c>
      <c r="M355" s="4"/>
      <c r="N355" s="4"/>
      <c r="O355" s="4"/>
      <c r="P355" s="4"/>
      <c r="S355" s="3">
        <v>353</v>
      </c>
      <c r="T355" s="8">
        <v>0.21376591873862946</v>
      </c>
      <c r="U355" s="4">
        <v>62.8</v>
      </c>
      <c r="V355" s="4">
        <v>-0.79342227430018664</v>
      </c>
      <c r="W355" s="4">
        <v>73.061040872595925</v>
      </c>
      <c r="X355" s="4">
        <v>1.9389591274040754</v>
      </c>
      <c r="Y355" s="4">
        <v>0.30962590862340938</v>
      </c>
    </row>
    <row r="356" spans="11:25" x14ac:dyDescent="0.25">
      <c r="K356" s="3"/>
      <c r="L356" s="8">
        <v>89</v>
      </c>
      <c r="M356" s="4"/>
      <c r="N356" s="4"/>
      <c r="O356" s="4"/>
      <c r="P356" s="4"/>
      <c r="S356" s="3">
        <v>354</v>
      </c>
      <c r="T356" s="8">
        <v>0.21437234687689508</v>
      </c>
      <c r="U356" s="4">
        <v>62.8</v>
      </c>
      <c r="V356" s="4">
        <v>-0.79134157484451606</v>
      </c>
      <c r="W356" s="4">
        <v>73.011723513300339</v>
      </c>
      <c r="X356" s="4">
        <v>1.8882764866996666</v>
      </c>
      <c r="Y356" s="4">
        <v>0.30153256696512182</v>
      </c>
    </row>
    <row r="357" spans="11:25" x14ac:dyDescent="0.25">
      <c r="K357" s="3"/>
      <c r="L357" s="8">
        <v>89</v>
      </c>
      <c r="M357" s="4"/>
      <c r="N357" s="4"/>
      <c r="O357" s="4"/>
      <c r="P357" s="4"/>
      <c r="S357" s="3">
        <v>355</v>
      </c>
      <c r="T357" s="8">
        <v>0.21497877501516072</v>
      </c>
      <c r="U357" s="4">
        <v>62.9</v>
      </c>
      <c r="V357" s="4">
        <v>-0.78926429572475043</v>
      </c>
      <c r="W357" s="4">
        <v>72.814454076117968</v>
      </c>
      <c r="X357" s="4">
        <v>1.6855459238820316</v>
      </c>
      <c r="Y357" s="4">
        <v>0.26915920033197144</v>
      </c>
    </row>
    <row r="358" spans="11:25" x14ac:dyDescent="0.25">
      <c r="K358" s="3"/>
      <c r="L358" s="8">
        <v>89</v>
      </c>
      <c r="M358" s="4"/>
      <c r="N358" s="4"/>
      <c r="O358" s="4"/>
      <c r="P358" s="4"/>
      <c r="S358" s="3">
        <v>356</v>
      </c>
      <c r="T358" s="8">
        <v>0.21558520315342633</v>
      </c>
      <c r="U358" s="4">
        <v>62.9</v>
      </c>
      <c r="V358" s="4">
        <v>-0.7871904167800633</v>
      </c>
      <c r="W358" s="4">
        <v>72.863771435413554</v>
      </c>
      <c r="X358" s="4">
        <v>1.5362285645864517</v>
      </c>
      <c r="Y358" s="4">
        <v>0.24531520981576124</v>
      </c>
    </row>
    <row r="359" spans="11:25" x14ac:dyDescent="0.25">
      <c r="K359" s="3"/>
      <c r="L359" s="8">
        <v>89</v>
      </c>
      <c r="M359" s="4"/>
      <c r="N359" s="4"/>
      <c r="O359" s="4"/>
      <c r="P359" s="4"/>
      <c r="S359" s="3">
        <v>357</v>
      </c>
      <c r="T359" s="8">
        <v>0.21619163129169194</v>
      </c>
      <c r="U359" s="4">
        <v>62.9</v>
      </c>
      <c r="V359" s="4">
        <v>-0.78511991800691594</v>
      </c>
      <c r="W359" s="4">
        <v>72.765136716822383</v>
      </c>
      <c r="X359" s="4">
        <v>1.43486328317762</v>
      </c>
      <c r="Y359" s="4">
        <v>0.2291285264991838</v>
      </c>
    </row>
    <row r="360" spans="11:25" x14ac:dyDescent="0.25">
      <c r="K360" s="3"/>
      <c r="L360" s="8">
        <v>89</v>
      </c>
      <c r="M360" s="4"/>
      <c r="N360" s="4"/>
      <c r="O360" s="4"/>
      <c r="P360" s="4"/>
      <c r="S360" s="3">
        <v>358</v>
      </c>
      <c r="T360" s="8">
        <v>0.21679805942995756</v>
      </c>
      <c r="U360" s="4">
        <v>62.9</v>
      </c>
      <c r="V360" s="4">
        <v>-0.78305277955733732</v>
      </c>
      <c r="W360" s="4">
        <v>72.715819357526783</v>
      </c>
      <c r="X360" s="4">
        <v>1.1841806424732226</v>
      </c>
      <c r="Y360" s="4">
        <v>0.18909785266639842</v>
      </c>
    </row>
    <row r="361" spans="11:25" x14ac:dyDescent="0.25">
      <c r="K361" s="3"/>
      <c r="L361" s="8">
        <v>89</v>
      </c>
      <c r="M361" s="4"/>
      <c r="N361" s="4"/>
      <c r="O361" s="4"/>
      <c r="P361" s="4"/>
      <c r="S361" s="3">
        <v>359</v>
      </c>
      <c r="T361" s="8">
        <v>0.21740448756822317</v>
      </c>
      <c r="U361" s="4">
        <v>63</v>
      </c>
      <c r="V361" s="4">
        <v>-0.78098898173722786</v>
      </c>
      <c r="W361" s="4">
        <v>77.055746975538938</v>
      </c>
      <c r="X361" s="4">
        <v>-3.5557469755389377</v>
      </c>
      <c r="Y361" s="4">
        <v>-0.56780536143129712</v>
      </c>
    </row>
    <row r="362" spans="11:25" x14ac:dyDescent="0.25">
      <c r="K362" s="3"/>
      <c r="L362" s="8">
        <v>89</v>
      </c>
      <c r="M362" s="4"/>
      <c r="N362" s="4"/>
      <c r="O362" s="4"/>
      <c r="P362" s="4"/>
      <c r="S362" s="3">
        <v>360</v>
      </c>
      <c r="T362" s="8">
        <v>0.21801091570648878</v>
      </c>
      <c r="U362" s="4">
        <v>63</v>
      </c>
      <c r="V362" s="4">
        <v>-0.77892850500468358</v>
      </c>
      <c r="W362" s="4">
        <v>76.957112256947752</v>
      </c>
      <c r="X362" s="4">
        <v>-3.8571122569477581</v>
      </c>
      <c r="Y362" s="4">
        <v>-0.61592937692237237</v>
      </c>
    </row>
    <row r="363" spans="11:25" x14ac:dyDescent="0.25">
      <c r="K363" s="3"/>
      <c r="L363" s="8">
        <v>89</v>
      </c>
      <c r="M363" s="4"/>
      <c r="N363" s="4"/>
      <c r="O363" s="4"/>
      <c r="P363" s="4"/>
      <c r="S363" s="3">
        <v>361</v>
      </c>
      <c r="T363" s="8">
        <v>0.2186173438447544</v>
      </c>
      <c r="U363" s="4">
        <v>63</v>
      </c>
      <c r="V363" s="4">
        <v>-0.7768713299683454</v>
      </c>
      <c r="W363" s="4">
        <v>76.809160179060981</v>
      </c>
      <c r="X363" s="4">
        <v>-4.1091601790609786</v>
      </c>
      <c r="Y363" s="4">
        <v>-0.65617806798448397</v>
      </c>
    </row>
    <row r="364" spans="11:25" x14ac:dyDescent="0.25">
      <c r="K364" s="3"/>
      <c r="L364" s="8">
        <v>89</v>
      </c>
      <c r="M364" s="4"/>
      <c r="N364" s="4"/>
      <c r="O364" s="4"/>
      <c r="P364" s="4"/>
      <c r="S364" s="3">
        <v>362</v>
      </c>
      <c r="T364" s="8">
        <v>0.21922377198302001</v>
      </c>
      <c r="U364" s="4">
        <v>63</v>
      </c>
      <c r="V364" s="4">
        <v>-0.77481743738577169</v>
      </c>
      <c r="W364" s="4">
        <v>77.055746975538938</v>
      </c>
      <c r="X364" s="4">
        <v>-4.8557469755389349</v>
      </c>
      <c r="Y364" s="4">
        <v>-0.77539802056554419</v>
      </c>
    </row>
    <row r="365" spans="11:25" x14ac:dyDescent="0.25">
      <c r="K365" s="3"/>
      <c r="L365" s="8">
        <v>89</v>
      </c>
      <c r="M365" s="4"/>
      <c r="N365" s="4"/>
      <c r="O365" s="4"/>
      <c r="P365" s="4"/>
      <c r="S365" s="3">
        <v>363</v>
      </c>
      <c r="T365" s="8">
        <v>0.21983020012128562</v>
      </c>
      <c r="U365" s="4">
        <v>63</v>
      </c>
      <c r="V365" s="4">
        <v>-0.77276680816182786</v>
      </c>
      <c r="W365" s="4">
        <v>71.9267416087973</v>
      </c>
      <c r="X365" s="4">
        <v>-0.22674160879729754</v>
      </c>
      <c r="Y365" s="4">
        <v>-3.6207610389698684E-2</v>
      </c>
    </row>
    <row r="366" spans="11:25" x14ac:dyDescent="0.25">
      <c r="K366" s="3"/>
      <c r="L366" s="8">
        <v>89</v>
      </c>
      <c r="M366" s="4"/>
      <c r="N366" s="4"/>
      <c r="O366" s="4"/>
      <c r="P366" s="4"/>
      <c r="S366" s="3">
        <v>364</v>
      </c>
      <c r="T366" s="8">
        <v>0.22043662825955124</v>
      </c>
      <c r="U366" s="4">
        <v>63</v>
      </c>
      <c r="V366" s="4">
        <v>-0.77071942334710253</v>
      </c>
      <c r="W366" s="4">
        <v>70.496538189225106</v>
      </c>
      <c r="X366" s="4">
        <v>4.1034618107748884</v>
      </c>
      <c r="Y366" s="4">
        <v>0.65526811458045653</v>
      </c>
    </row>
    <row r="367" spans="11:25" x14ac:dyDescent="0.25">
      <c r="K367" s="3"/>
      <c r="L367" s="8">
        <v>89</v>
      </c>
      <c r="M367" s="4"/>
      <c r="N367" s="4"/>
      <c r="O367" s="4"/>
      <c r="P367" s="4"/>
      <c r="S367" s="3">
        <v>365</v>
      </c>
      <c r="T367" s="8">
        <v>0.22104305639781685</v>
      </c>
      <c r="U367" s="4">
        <v>63</v>
      </c>
      <c r="V367" s="4">
        <v>-0.76867526413634302</v>
      </c>
      <c r="W367" s="4">
        <v>70.44722082992952</v>
      </c>
      <c r="X367" s="4">
        <v>3.9527791700704853</v>
      </c>
      <c r="Y367" s="4">
        <v>0.63120610683492007</v>
      </c>
    </row>
    <row r="368" spans="11:25" x14ac:dyDescent="0.25">
      <c r="K368" s="3"/>
      <c r="L368" s="8">
        <v>89</v>
      </c>
      <c r="M368" s="4"/>
      <c r="N368" s="4"/>
      <c r="O368" s="4"/>
      <c r="P368" s="4"/>
      <c r="S368" s="3">
        <v>366</v>
      </c>
      <c r="T368" s="8">
        <v>0.22164948453608246</v>
      </c>
      <c r="U368" s="4">
        <v>63</v>
      </c>
      <c r="V368" s="4">
        <v>-0.76663431186691</v>
      </c>
      <c r="W368" s="4">
        <v>70.545855548520706</v>
      </c>
      <c r="X368" s="4">
        <v>3.7541444514792914</v>
      </c>
      <c r="Y368" s="4">
        <v>0.59948679188974396</v>
      </c>
    </row>
    <row r="369" spans="11:25" x14ac:dyDescent="0.25">
      <c r="K369" s="3"/>
      <c r="L369" s="8">
        <v>89</v>
      </c>
      <c r="M369" s="4"/>
      <c r="N369" s="4"/>
      <c r="O369" s="4"/>
      <c r="P369" s="4"/>
      <c r="S369" s="3">
        <v>367</v>
      </c>
      <c r="T369" s="8">
        <v>0.22225591267434808</v>
      </c>
      <c r="U369" s="4">
        <v>63.1</v>
      </c>
      <c r="V369" s="4">
        <v>-0.76459654801725674</v>
      </c>
      <c r="W369" s="4">
        <v>70.496538189225106</v>
      </c>
      <c r="X369" s="4">
        <v>3.7034618107748969</v>
      </c>
      <c r="Y369" s="4">
        <v>0.59139345023145862</v>
      </c>
    </row>
    <row r="370" spans="11:25" x14ac:dyDescent="0.25">
      <c r="K370" s="3"/>
      <c r="L370" s="8">
        <v>89</v>
      </c>
      <c r="M370" s="4"/>
      <c r="N370" s="4"/>
      <c r="O370" s="4"/>
      <c r="P370" s="4"/>
      <c r="S370" s="3">
        <v>368</v>
      </c>
      <c r="T370" s="8">
        <v>0.22286234081261372</v>
      </c>
      <c r="U370" s="4">
        <v>63.2</v>
      </c>
      <c r="V370" s="4">
        <v>-0.76256195420542305</v>
      </c>
      <c r="W370" s="4">
        <v>76.858477538356567</v>
      </c>
      <c r="X370" s="4">
        <v>-3.2584775383565727</v>
      </c>
      <c r="Y370" s="4">
        <v>-0.52033539762819836</v>
      </c>
    </row>
    <row r="371" spans="11:25" x14ac:dyDescent="0.25">
      <c r="K371" s="3"/>
      <c r="L371" s="8">
        <v>36.299999999999997</v>
      </c>
      <c r="M371" s="4"/>
      <c r="N371" s="4"/>
      <c r="O371" s="4"/>
      <c r="P371" s="4"/>
      <c r="S371" s="3">
        <v>369</v>
      </c>
      <c r="T371" s="8">
        <v>0.22346876895087933</v>
      </c>
      <c r="U371" s="4">
        <v>63.2</v>
      </c>
      <c r="V371" s="4">
        <v>-0.7605305121875553</v>
      </c>
      <c r="W371" s="4">
        <v>76.858477538356567</v>
      </c>
      <c r="X371" s="4">
        <v>-3.2584775383565727</v>
      </c>
      <c r="Y371" s="4">
        <v>-0.52033539762819836</v>
      </c>
    </row>
    <row r="372" spans="11:25" x14ac:dyDescent="0.25">
      <c r="K372" s="3"/>
      <c r="L372" s="8">
        <v>36.299999999999997</v>
      </c>
      <c r="M372" s="4"/>
      <c r="N372" s="4"/>
      <c r="O372" s="4"/>
      <c r="P372" s="4"/>
      <c r="S372" s="3">
        <v>370</v>
      </c>
      <c r="T372" s="8">
        <v>0.22407519708914495</v>
      </c>
      <c r="U372" s="4">
        <v>63.2</v>
      </c>
      <c r="V372" s="4">
        <v>-0.75850220385643974</v>
      </c>
      <c r="W372" s="4">
        <v>70.397903470633921</v>
      </c>
      <c r="X372" s="4">
        <v>3.1020965293660794</v>
      </c>
      <c r="Y372" s="4">
        <v>0.4953634364786344</v>
      </c>
    </row>
    <row r="373" spans="11:25" x14ac:dyDescent="0.25">
      <c r="K373" s="3"/>
      <c r="L373" s="8">
        <v>36.299999999999997</v>
      </c>
      <c r="M373" s="4"/>
      <c r="N373" s="4"/>
      <c r="O373" s="4"/>
      <c r="P373" s="4"/>
      <c r="S373" s="3">
        <v>371</v>
      </c>
      <c r="T373" s="8">
        <v>0.22468162522741056</v>
      </c>
      <c r="U373" s="4">
        <v>63.3</v>
      </c>
      <c r="V373" s="4">
        <v>-0.75647701124006006</v>
      </c>
      <c r="W373" s="4">
        <v>70.496538189225106</v>
      </c>
      <c r="X373" s="4">
        <v>3.003461810774894</v>
      </c>
      <c r="Y373" s="4">
        <v>0.47961278762070952</v>
      </c>
    </row>
    <row r="374" spans="11:25" x14ac:dyDescent="0.25">
      <c r="K374" s="3"/>
      <c r="L374" s="8">
        <v>36.299999999999997</v>
      </c>
      <c r="M374" s="4"/>
      <c r="N374" s="4"/>
      <c r="O374" s="4"/>
      <c r="P374" s="4"/>
      <c r="S374" s="3">
        <v>372</v>
      </c>
      <c r="T374" s="8">
        <v>0.22528805336567617</v>
      </c>
      <c r="U374" s="4">
        <v>63.3</v>
      </c>
      <c r="V374" s="4">
        <v>-0.75445491650017127</v>
      </c>
      <c r="W374" s="4">
        <v>70.348586111338335</v>
      </c>
      <c r="X374" s="4">
        <v>2.7514138886616593</v>
      </c>
      <c r="Y374" s="4">
        <v>0.4393640965585956</v>
      </c>
    </row>
    <row r="375" spans="11:25" x14ac:dyDescent="0.25">
      <c r="K375" s="3"/>
      <c r="L375" s="8">
        <v>36.299999999999997</v>
      </c>
      <c r="M375" s="4"/>
      <c r="N375" s="4"/>
      <c r="O375" s="4"/>
      <c r="P375" s="4"/>
      <c r="S375" s="3">
        <v>373</v>
      </c>
      <c r="T375" s="8">
        <v>0.22589448150394179</v>
      </c>
      <c r="U375" s="4">
        <v>63.3</v>
      </c>
      <c r="V375" s="4">
        <v>-0.75243590193089294</v>
      </c>
      <c r="W375" s="4">
        <v>70.496538189225106</v>
      </c>
      <c r="X375" s="4">
        <v>2.6034618107748884</v>
      </c>
      <c r="Y375" s="4">
        <v>0.41573812327170939</v>
      </c>
    </row>
    <row r="376" spans="11:25" x14ac:dyDescent="0.25">
      <c r="K376" s="3"/>
      <c r="L376" s="8">
        <v>36.299999999999997</v>
      </c>
      <c r="M376" s="4"/>
      <c r="N376" s="4"/>
      <c r="O376" s="4"/>
      <c r="P376" s="4"/>
      <c r="S376" s="3">
        <v>374</v>
      </c>
      <c r="T376" s="8">
        <v>0.2265009096422074</v>
      </c>
      <c r="U376" s="4">
        <v>63.3</v>
      </c>
      <c r="V376" s="4">
        <v>-0.75041994995731953</v>
      </c>
      <c r="W376" s="4">
        <v>70.299268752042735</v>
      </c>
      <c r="X376" s="4">
        <v>2.5007312479572619</v>
      </c>
      <c r="Y376" s="4">
        <v>0.39933342272581018</v>
      </c>
    </row>
    <row r="377" spans="11:25" x14ac:dyDescent="0.25">
      <c r="K377" s="3"/>
      <c r="L377" s="8">
        <v>36.299999999999997</v>
      </c>
      <c r="M377" s="4"/>
      <c r="N377" s="4"/>
      <c r="O377" s="4"/>
      <c r="P377" s="4"/>
      <c r="S377" s="3">
        <v>375</v>
      </c>
      <c r="T377" s="8">
        <v>0.22710733778047301</v>
      </c>
      <c r="U377" s="4">
        <v>63.3</v>
      </c>
      <c r="V377" s="4">
        <v>-0.74840704313415274</v>
      </c>
      <c r="W377" s="4">
        <v>76.858477538356567</v>
      </c>
      <c r="X377" s="4">
        <v>-4.4584775383565614</v>
      </c>
      <c r="Y377" s="4">
        <v>-0.71195939067519431</v>
      </c>
    </row>
    <row r="378" spans="11:25" x14ac:dyDescent="0.25">
      <c r="K378" s="3"/>
      <c r="L378" s="8">
        <v>36.299999999999997</v>
      </c>
      <c r="M378" s="4"/>
      <c r="N378" s="4"/>
      <c r="O378" s="4"/>
      <c r="P378" s="4"/>
      <c r="S378" s="3">
        <v>376</v>
      </c>
      <c r="T378" s="8">
        <v>0.22771376591873863</v>
      </c>
      <c r="U378" s="4">
        <v>63.4</v>
      </c>
      <c r="V378" s="4">
        <v>-0.74639716414434476</v>
      </c>
      <c r="W378" s="4">
        <v>69.559508362608852</v>
      </c>
      <c r="X378" s="4">
        <v>2.2404916373911448</v>
      </c>
      <c r="Y378" s="4">
        <v>0.3577766282877477</v>
      </c>
    </row>
    <row r="379" spans="11:25" x14ac:dyDescent="0.25">
      <c r="K379" s="3"/>
      <c r="L379" s="8">
        <v>36.299999999999997</v>
      </c>
      <c r="M379" s="4"/>
      <c r="N379" s="4"/>
      <c r="O379" s="4"/>
      <c r="P379" s="4"/>
      <c r="S379" s="3">
        <v>377</v>
      </c>
      <c r="T379" s="8">
        <v>0.22832019405700424</v>
      </c>
      <c r="U379" s="4">
        <v>63.4</v>
      </c>
      <c r="V379" s="4">
        <v>-0.74439029579776672</v>
      </c>
      <c r="W379" s="4">
        <v>69.460873644017667</v>
      </c>
      <c r="X379" s="4">
        <v>2.0391263559823329</v>
      </c>
      <c r="Y379" s="4">
        <v>0.32562127888392361</v>
      </c>
    </row>
    <row r="380" spans="11:25" x14ac:dyDescent="0.25">
      <c r="K380" s="3"/>
      <c r="L380" s="8">
        <v>36.299999999999997</v>
      </c>
      <c r="M380" s="4"/>
      <c r="N380" s="4"/>
      <c r="O380" s="4"/>
      <c r="P380" s="4"/>
      <c r="S380" s="3">
        <v>378</v>
      </c>
      <c r="T380" s="8">
        <v>0.22892662219526985</v>
      </c>
      <c r="U380" s="4">
        <v>63.4</v>
      </c>
      <c r="V380" s="4">
        <v>-0.74238642102988839</v>
      </c>
      <c r="W380" s="4">
        <v>69.362238925426482</v>
      </c>
      <c r="X380" s="4">
        <v>2.037761074573524</v>
      </c>
      <c r="Y380" s="4">
        <v>0.3254032616545996</v>
      </c>
    </row>
    <row r="381" spans="11:25" x14ac:dyDescent="0.25">
      <c r="K381" s="3"/>
      <c r="L381" s="8">
        <v>36.299999999999997</v>
      </c>
      <c r="M381" s="4"/>
      <c r="N381" s="4"/>
      <c r="O381" s="4"/>
      <c r="P381" s="4"/>
      <c r="S381" s="3">
        <v>379</v>
      </c>
      <c r="T381" s="8">
        <v>0.22953305033353547</v>
      </c>
      <c r="U381" s="4">
        <v>63.5</v>
      </c>
      <c r="V381" s="4">
        <v>-0.74038552290047788</v>
      </c>
      <c r="W381" s="4">
        <v>76.463938663991826</v>
      </c>
      <c r="X381" s="4">
        <v>-13.263938663991823</v>
      </c>
      <c r="Y381" s="4">
        <v>-2.1180740752704774</v>
      </c>
    </row>
    <row r="382" spans="11:25" x14ac:dyDescent="0.25">
      <c r="K382" s="3"/>
      <c r="L382" s="8">
        <v>36.299999999999997</v>
      </c>
      <c r="M382" s="4"/>
      <c r="N382" s="4"/>
      <c r="O382" s="4"/>
      <c r="P382" s="4"/>
      <c r="S382" s="3">
        <v>380</v>
      </c>
      <c r="T382" s="8">
        <v>0.23013947847180108</v>
      </c>
      <c r="U382" s="4">
        <v>63.5</v>
      </c>
      <c r="V382" s="4">
        <v>-0.7383875845923169</v>
      </c>
      <c r="W382" s="4">
        <v>66.107293211917352</v>
      </c>
      <c r="X382" s="4">
        <v>-3.2072932119173529</v>
      </c>
      <c r="Y382" s="4">
        <v>-0.51216194345011146</v>
      </c>
    </row>
    <row r="383" spans="11:25" x14ac:dyDescent="0.25">
      <c r="K383" s="3"/>
      <c r="L383" s="8">
        <v>36.299999999999997</v>
      </c>
      <c r="M383" s="4"/>
      <c r="N383" s="4"/>
      <c r="O383" s="4"/>
      <c r="P383" s="4"/>
      <c r="S383" s="3">
        <v>381</v>
      </c>
      <c r="T383" s="8">
        <v>0.23074590661006672</v>
      </c>
      <c r="U383" s="4">
        <v>63.5</v>
      </c>
      <c r="V383" s="4">
        <v>-0.73639258940993368</v>
      </c>
      <c r="W383" s="4">
        <v>65.910023774734981</v>
      </c>
      <c r="X383" s="4">
        <v>-3.4100237747349809</v>
      </c>
      <c r="Y383" s="4">
        <v>-0.54453531008326073</v>
      </c>
    </row>
    <row r="384" spans="11:25" x14ac:dyDescent="0.25">
      <c r="K384" s="3"/>
      <c r="L384" s="8">
        <v>36.299999999999997</v>
      </c>
      <c r="M384" s="4"/>
      <c r="N384" s="4"/>
      <c r="O384" s="4"/>
      <c r="P384" s="4"/>
      <c r="S384" s="3">
        <v>382</v>
      </c>
      <c r="T384" s="8">
        <v>0.23135233474833233</v>
      </c>
      <c r="U384" s="4">
        <v>63.5</v>
      </c>
      <c r="V384" s="4">
        <v>-0.73440052077834894</v>
      </c>
      <c r="W384" s="4">
        <v>65.71275433755261</v>
      </c>
      <c r="X384" s="4">
        <v>-3.5127543375526074</v>
      </c>
      <c r="Y384" s="4">
        <v>-0.56094001062915988</v>
      </c>
    </row>
    <row r="385" spans="11:25" x14ac:dyDescent="0.25">
      <c r="K385" s="3"/>
      <c r="L385" s="8">
        <v>36.299999999999997</v>
      </c>
      <c r="M385" s="4"/>
      <c r="N385" s="4"/>
      <c r="O385" s="4"/>
      <c r="P385" s="4"/>
      <c r="S385" s="3">
        <v>383</v>
      </c>
      <c r="T385" s="8">
        <v>0.23195876288659795</v>
      </c>
      <c r="U385" s="4">
        <v>63.5</v>
      </c>
      <c r="V385" s="4">
        <v>-0.73241136224184311</v>
      </c>
      <c r="W385" s="4">
        <v>65.466167541074654</v>
      </c>
      <c r="X385" s="4">
        <v>-3.6661675410746568</v>
      </c>
      <c r="Y385" s="4">
        <v>-0.58543805283334893</v>
      </c>
    </row>
    <row r="386" spans="11:25" x14ac:dyDescent="0.25">
      <c r="K386" s="3"/>
      <c r="L386" s="8">
        <v>36.299999999999997</v>
      </c>
      <c r="M386" s="4"/>
      <c r="N386" s="4"/>
      <c r="O386" s="4"/>
      <c r="P386" s="4"/>
      <c r="S386" s="3">
        <v>384</v>
      </c>
      <c r="T386" s="8">
        <v>0.23256519102486356</v>
      </c>
      <c r="U386" s="4">
        <v>63.7</v>
      </c>
      <c r="V386" s="4">
        <v>-0.73042509746273299</v>
      </c>
      <c r="W386" s="4">
        <v>65.219580744596684</v>
      </c>
      <c r="X386" s="4">
        <v>-3.9195807445966864</v>
      </c>
      <c r="Y386" s="4">
        <v>-0.62590476112478455</v>
      </c>
    </row>
    <row r="387" spans="11:25" x14ac:dyDescent="0.25">
      <c r="K387" s="3"/>
      <c r="L387" s="8">
        <v>36.299999999999997</v>
      </c>
      <c r="M387" s="4"/>
      <c r="N387" s="4"/>
      <c r="O387" s="4"/>
      <c r="P387" s="4"/>
      <c r="S387" s="3">
        <v>385</v>
      </c>
      <c r="T387" s="8">
        <v>0.23317161916312917</v>
      </c>
      <c r="U387" s="4">
        <v>63.7</v>
      </c>
      <c r="V387" s="4">
        <v>-0.72844171022016924</v>
      </c>
      <c r="W387" s="4">
        <v>65.022311307414313</v>
      </c>
      <c r="X387" s="4">
        <v>-4.0223113074143129</v>
      </c>
      <c r="Y387" s="4">
        <v>-0.64230946167068381</v>
      </c>
    </row>
    <row r="388" spans="11:25" x14ac:dyDescent="0.25">
      <c r="K388" s="3"/>
      <c r="L388" s="8">
        <v>89</v>
      </c>
      <c r="M388" s="4"/>
      <c r="N388" s="4"/>
      <c r="O388" s="4"/>
      <c r="P388" s="4"/>
      <c r="S388" s="3">
        <v>386</v>
      </c>
      <c r="T388" s="8">
        <v>0.23377804730139479</v>
      </c>
      <c r="U388" s="4">
        <v>63.7</v>
      </c>
      <c r="V388" s="4">
        <v>-0.72646118440894503</v>
      </c>
      <c r="W388" s="4">
        <v>64.825041870231942</v>
      </c>
      <c r="X388" s="4">
        <v>1.1749581297680578</v>
      </c>
      <c r="Y388" s="4">
        <v>0.18762514040765646</v>
      </c>
    </row>
    <row r="389" spans="11:25" x14ac:dyDescent="0.25">
      <c r="K389" s="3"/>
      <c r="L389" s="8">
        <v>89</v>
      </c>
      <c r="M389" s="4"/>
      <c r="N389" s="4"/>
      <c r="O389" s="4"/>
      <c r="P389" s="4"/>
      <c r="S389" s="3">
        <v>387</v>
      </c>
      <c r="T389" s="8">
        <v>0.2343844754396604</v>
      </c>
      <c r="U389" s="4">
        <v>63.8</v>
      </c>
      <c r="V389" s="4">
        <v>-0.72448350403832307</v>
      </c>
      <c r="W389" s="4">
        <v>64.677089792345171</v>
      </c>
      <c r="X389" s="4">
        <v>-1.6770897923451713</v>
      </c>
      <c r="Y389" s="4">
        <v>-0.26780886892295164</v>
      </c>
    </row>
    <row r="390" spans="11:25" x14ac:dyDescent="0.25">
      <c r="K390" s="3"/>
      <c r="L390" s="8">
        <v>89</v>
      </c>
      <c r="M390" s="4"/>
      <c r="N390" s="4"/>
      <c r="O390" s="4"/>
      <c r="P390" s="4"/>
      <c r="S390" s="3">
        <v>388</v>
      </c>
      <c r="T390" s="8">
        <v>0.23499090357792601</v>
      </c>
      <c r="U390" s="4">
        <v>63.8</v>
      </c>
      <c r="V390" s="4">
        <v>-0.72250865323087399</v>
      </c>
      <c r="W390" s="4">
        <v>64.479820355162801</v>
      </c>
      <c r="X390" s="4">
        <v>-4.4798203551628006</v>
      </c>
      <c r="Y390" s="4">
        <v>-0.71536755382459605</v>
      </c>
    </row>
    <row r="391" spans="11:25" x14ac:dyDescent="0.25">
      <c r="K391" s="3"/>
      <c r="L391" s="8">
        <v>89</v>
      </c>
      <c r="M391" s="4"/>
      <c r="N391" s="4"/>
      <c r="O391" s="4"/>
      <c r="P391" s="4"/>
      <c r="S391" s="3">
        <v>389</v>
      </c>
      <c r="T391" s="8">
        <v>0.23559733171619163</v>
      </c>
      <c r="U391" s="4">
        <v>63.8</v>
      </c>
      <c r="V391" s="4">
        <v>-0.72053661622133192</v>
      </c>
      <c r="W391" s="4">
        <v>64.331868277276016</v>
      </c>
      <c r="X391" s="4">
        <v>-4.5318682772760184</v>
      </c>
      <c r="Y391" s="4">
        <v>-0.72367891271220763</v>
      </c>
    </row>
    <row r="392" spans="11:25" x14ac:dyDescent="0.25">
      <c r="K392" s="3"/>
      <c r="L392" s="8">
        <v>89</v>
      </c>
      <c r="M392" s="4"/>
      <c r="N392" s="4"/>
      <c r="O392" s="4"/>
      <c r="P392" s="4"/>
      <c r="S392" s="3">
        <v>390</v>
      </c>
      <c r="T392" s="8">
        <v>0.23620375985445724</v>
      </c>
      <c r="U392" s="4">
        <v>63.8</v>
      </c>
      <c r="V392" s="4">
        <v>-0.71856737735546405</v>
      </c>
      <c r="W392" s="4">
        <v>64.23323355868483</v>
      </c>
      <c r="X392" s="4">
        <v>-4.6332335586848288</v>
      </c>
      <c r="Y392" s="4">
        <v>-0.73986559602878177</v>
      </c>
    </row>
    <row r="393" spans="11:25" x14ac:dyDescent="0.25">
      <c r="K393" s="3"/>
      <c r="L393" s="8">
        <v>89</v>
      </c>
      <c r="M393" s="4"/>
      <c r="N393" s="4"/>
      <c r="O393" s="4"/>
      <c r="P393" s="4"/>
      <c r="S393" s="3">
        <v>391</v>
      </c>
      <c r="T393" s="8">
        <v>0.23681018799272285</v>
      </c>
      <c r="U393" s="4">
        <v>63.9</v>
      </c>
      <c r="V393" s="4">
        <v>-0.71660092108895201</v>
      </c>
      <c r="W393" s="4">
        <v>72.863771435413554</v>
      </c>
      <c r="X393" s="4">
        <v>6.6362285645864461</v>
      </c>
      <c r="Y393" s="4">
        <v>1.0597171802655005</v>
      </c>
    </row>
    <row r="394" spans="11:25" x14ac:dyDescent="0.25">
      <c r="K394" s="3"/>
      <c r="L394" s="8">
        <v>89</v>
      </c>
      <c r="M394" s="4"/>
      <c r="N394" s="4"/>
      <c r="O394" s="4"/>
      <c r="P394" s="4"/>
      <c r="S394" s="3">
        <v>392</v>
      </c>
      <c r="T394" s="8">
        <v>0.23741661613098847</v>
      </c>
      <c r="U394" s="4">
        <v>63.9</v>
      </c>
      <c r="V394" s="4">
        <v>-0.71463723198628926</v>
      </c>
      <c r="W394" s="4">
        <v>72.863771435413554</v>
      </c>
      <c r="X394" s="4">
        <v>6.5362285645864517</v>
      </c>
      <c r="Y394" s="4">
        <v>1.0437485141782517</v>
      </c>
    </row>
    <row r="395" spans="11:25" x14ac:dyDescent="0.25">
      <c r="K395" s="3"/>
      <c r="L395" s="8">
        <v>89</v>
      </c>
      <c r="M395" s="4"/>
      <c r="N395" s="4"/>
      <c r="O395" s="4"/>
      <c r="P395" s="4"/>
      <c r="S395" s="3">
        <v>393</v>
      </c>
      <c r="T395" s="8">
        <v>0.23802304426925408</v>
      </c>
      <c r="U395" s="4">
        <v>64</v>
      </c>
      <c r="V395" s="4">
        <v>-0.7126762947196924</v>
      </c>
      <c r="W395" s="4">
        <v>72.814454076117968</v>
      </c>
      <c r="X395" s="4">
        <v>6.3855459238820345</v>
      </c>
      <c r="Y395" s="4">
        <v>1.019686506432713</v>
      </c>
    </row>
    <row r="396" spans="11:25" x14ac:dyDescent="0.25">
      <c r="K396" s="3"/>
      <c r="L396" s="8">
        <v>89</v>
      </c>
      <c r="M396" s="4"/>
      <c r="N396" s="4"/>
      <c r="O396" s="4"/>
      <c r="P396" s="4"/>
      <c r="S396" s="3">
        <v>394</v>
      </c>
      <c r="T396" s="8">
        <v>0.23862947240751972</v>
      </c>
      <c r="U396" s="4">
        <v>64</v>
      </c>
      <c r="V396" s="4">
        <v>-0.71071809406802411</v>
      </c>
      <c r="W396" s="4">
        <v>72.765136716822383</v>
      </c>
      <c r="X396" s="4">
        <v>6.2348632831776172</v>
      </c>
      <c r="Y396" s="4">
        <v>0.99562449868717418</v>
      </c>
    </row>
    <row r="397" spans="11:25" x14ac:dyDescent="0.25">
      <c r="K397" s="3"/>
      <c r="L397" s="8">
        <v>89</v>
      </c>
      <c r="M397" s="4"/>
      <c r="N397" s="4"/>
      <c r="O397" s="4"/>
      <c r="P397" s="4"/>
      <c r="S397" s="3">
        <v>395</v>
      </c>
      <c r="T397" s="8">
        <v>0.23923590054578533</v>
      </c>
      <c r="U397" s="4">
        <v>64</v>
      </c>
      <c r="V397" s="4">
        <v>-0.70876261491573145</v>
      </c>
      <c r="W397" s="4">
        <v>76.809160179060981</v>
      </c>
      <c r="X397" s="4">
        <v>1.2908398209390128</v>
      </c>
      <c r="Y397" s="4">
        <v>0.20612990072700429</v>
      </c>
    </row>
    <row r="398" spans="11:25" x14ac:dyDescent="0.25">
      <c r="K398" s="3"/>
      <c r="L398" s="8">
        <v>89</v>
      </c>
      <c r="M398" s="4"/>
      <c r="N398" s="4"/>
      <c r="O398" s="4"/>
      <c r="P398" s="4"/>
      <c r="S398" s="3">
        <v>396</v>
      </c>
      <c r="T398" s="8">
        <v>0.23984232868405095</v>
      </c>
      <c r="U398" s="4">
        <v>64</v>
      </c>
      <c r="V398" s="4">
        <v>-0.70680984225179433</v>
      </c>
      <c r="W398" s="4">
        <v>72.863771435413554</v>
      </c>
      <c r="X398" s="4">
        <v>6.3362285645864489</v>
      </c>
      <c r="Y398" s="4">
        <v>1.0118111820037516</v>
      </c>
    </row>
    <row r="399" spans="11:25" x14ac:dyDescent="0.25">
      <c r="K399" s="3"/>
      <c r="L399" s="8">
        <v>89</v>
      </c>
      <c r="M399" s="4"/>
      <c r="N399" s="4"/>
      <c r="O399" s="4"/>
      <c r="P399" s="4"/>
      <c r="S399" s="3">
        <v>397</v>
      </c>
      <c r="T399" s="8">
        <v>0.24044875682231656</v>
      </c>
      <c r="U399" s="4">
        <v>64</v>
      </c>
      <c r="V399" s="4">
        <v>-0.70485976116869054</v>
      </c>
      <c r="W399" s="4">
        <v>72.715819357526783</v>
      </c>
      <c r="X399" s="4">
        <v>6.1841806424732226</v>
      </c>
      <c r="Y399" s="4">
        <v>0.98753115702888883</v>
      </c>
    </row>
    <row r="400" spans="11:25" x14ac:dyDescent="0.25">
      <c r="K400" s="3"/>
      <c r="L400" s="8">
        <v>89</v>
      </c>
      <c r="M400" s="4"/>
      <c r="N400" s="4"/>
      <c r="O400" s="4"/>
      <c r="P400" s="4"/>
      <c r="S400" s="3">
        <v>398</v>
      </c>
      <c r="T400" s="8">
        <v>0.24105518496058218</v>
      </c>
      <c r="U400" s="4">
        <v>64.099999999999994</v>
      </c>
      <c r="V400" s="4">
        <v>-0.70291235686137066</v>
      </c>
      <c r="W400" s="4">
        <v>73.011723513300339</v>
      </c>
      <c r="X400" s="4">
        <v>5.8882764866996666</v>
      </c>
      <c r="Y400" s="4">
        <v>0.9402792104551142</v>
      </c>
    </row>
    <row r="401" spans="11:25" x14ac:dyDescent="0.25">
      <c r="K401" s="3"/>
      <c r="L401" s="8">
        <v>89</v>
      </c>
      <c r="M401" s="4"/>
      <c r="N401" s="4"/>
      <c r="O401" s="4"/>
      <c r="P401" s="4"/>
      <c r="S401" s="3">
        <v>399</v>
      </c>
      <c r="T401" s="8">
        <v>0.24166161309884779</v>
      </c>
      <c r="U401" s="4">
        <v>64.099999999999994</v>
      </c>
      <c r="V401" s="4">
        <v>-0.70096761462624635</v>
      </c>
      <c r="W401" s="4">
        <v>76.809160179060981</v>
      </c>
      <c r="X401" s="4">
        <v>1.1908398209390185</v>
      </c>
      <c r="Y401" s="4">
        <v>0.1901612346397554</v>
      </c>
    </row>
    <row r="402" spans="11:25" x14ac:dyDescent="0.25">
      <c r="K402" s="3"/>
      <c r="L402" s="8">
        <v>89</v>
      </c>
      <c r="M402" s="4"/>
      <c r="N402" s="4"/>
      <c r="O402" s="4"/>
      <c r="P402" s="4"/>
      <c r="S402" s="3">
        <v>400</v>
      </c>
      <c r="T402" s="8">
        <v>0.2422680412371134</v>
      </c>
      <c r="U402" s="4">
        <v>64.099999999999994</v>
      </c>
      <c r="V402" s="4">
        <v>-0.6990255198601909</v>
      </c>
      <c r="W402" s="4">
        <v>72.814454076117968</v>
      </c>
      <c r="X402" s="4">
        <v>5.7855459238820259</v>
      </c>
      <c r="Y402" s="4">
        <v>0.92387450990921272</v>
      </c>
    </row>
    <row r="403" spans="11:25" x14ac:dyDescent="0.25">
      <c r="K403" s="3"/>
      <c r="L403" s="8">
        <v>36.299999999999997</v>
      </c>
      <c r="M403" s="4"/>
      <c r="N403" s="4"/>
      <c r="O403" s="4"/>
      <c r="P403" s="4"/>
      <c r="S403" s="3">
        <v>401</v>
      </c>
      <c r="T403" s="8">
        <v>0.24287446937537902</v>
      </c>
      <c r="U403" s="4">
        <v>64.2</v>
      </c>
      <c r="V403" s="4">
        <v>-0.69708605805955171</v>
      </c>
      <c r="W403" s="4">
        <v>77.006429616243352</v>
      </c>
      <c r="X403" s="4">
        <v>0.6935703837566507</v>
      </c>
      <c r="Y403" s="4">
        <v>0.11075393866215663</v>
      </c>
    </row>
    <row r="404" spans="11:25" x14ac:dyDescent="0.25">
      <c r="K404" s="3"/>
      <c r="L404" s="8">
        <v>89</v>
      </c>
      <c r="M404" s="4"/>
      <c r="N404" s="4"/>
      <c r="O404" s="4"/>
      <c r="P404" s="4"/>
      <c r="S404" s="3">
        <v>402</v>
      </c>
      <c r="T404" s="8">
        <v>0.24348089751364463</v>
      </c>
      <c r="U404" s="4">
        <v>64.2</v>
      </c>
      <c r="V404" s="4">
        <v>-0.69514921481917591</v>
      </c>
      <c r="W404" s="4">
        <v>77.548920568494864</v>
      </c>
      <c r="X404" s="4">
        <v>0.45107943150513563</v>
      </c>
      <c r="Y404" s="4">
        <v>7.2031368205319829E-2</v>
      </c>
    </row>
    <row r="405" spans="11:25" x14ac:dyDescent="0.25">
      <c r="K405" s="3"/>
      <c r="L405" s="8">
        <v>89</v>
      </c>
      <c r="M405" s="4"/>
      <c r="N405" s="4"/>
      <c r="O405" s="4"/>
      <c r="P405" s="4"/>
      <c r="S405" s="3">
        <v>403</v>
      </c>
      <c r="T405" s="8">
        <v>0.24408732565191024</v>
      </c>
      <c r="U405" s="4">
        <v>64.2</v>
      </c>
      <c r="V405" s="4">
        <v>-0.69321497583144598</v>
      </c>
      <c r="W405" s="4">
        <v>72.715819357526783</v>
      </c>
      <c r="X405" s="4">
        <v>5.5841806424732141</v>
      </c>
      <c r="Y405" s="4">
        <v>0.89171916050538869</v>
      </c>
    </row>
    <row r="406" spans="11:25" x14ac:dyDescent="0.25">
      <c r="K406" s="3"/>
      <c r="L406" s="8">
        <v>89</v>
      </c>
      <c r="M406" s="4"/>
      <c r="N406" s="4"/>
      <c r="O406" s="4"/>
      <c r="P406" s="4"/>
      <c r="S406" s="3">
        <v>404</v>
      </c>
      <c r="T406" s="8">
        <v>0.24469375379017586</v>
      </c>
      <c r="U406" s="4">
        <v>64.2</v>
      </c>
      <c r="V406" s="4">
        <v>-0.69128332688532701</v>
      </c>
      <c r="W406" s="4">
        <v>77.548920568494864</v>
      </c>
      <c r="X406" s="4">
        <v>-4.8920568494864369E-2</v>
      </c>
      <c r="Y406" s="4">
        <v>-7.8119622309292206E-3</v>
      </c>
    </row>
    <row r="407" spans="11:25" x14ac:dyDescent="0.25">
      <c r="K407" s="3"/>
      <c r="L407" s="8">
        <v>89</v>
      </c>
      <c r="M407" s="4"/>
      <c r="N407" s="4"/>
      <c r="O407" s="4"/>
      <c r="P407" s="4"/>
      <c r="S407" s="3">
        <v>405</v>
      </c>
      <c r="T407" s="8">
        <v>0.24530018192844147</v>
      </c>
      <c r="U407" s="4">
        <v>64.2</v>
      </c>
      <c r="V407" s="4">
        <v>-0.68935425386542826</v>
      </c>
      <c r="W407" s="4">
        <v>72.765136716822383</v>
      </c>
      <c r="X407" s="4">
        <v>4.8348632831776115</v>
      </c>
      <c r="Y407" s="4">
        <v>0.77206317346567599</v>
      </c>
    </row>
    <row r="408" spans="11:25" x14ac:dyDescent="0.25">
      <c r="K408" s="3"/>
      <c r="L408" s="8">
        <v>89</v>
      </c>
      <c r="M408" s="4"/>
      <c r="N408" s="4"/>
      <c r="O408" s="4"/>
      <c r="P408" s="4"/>
      <c r="S408" s="3">
        <v>406</v>
      </c>
      <c r="T408" s="8">
        <v>0.24590661006670708</v>
      </c>
      <c r="U408" s="4">
        <v>64.3</v>
      </c>
      <c r="V408" s="4">
        <v>-0.68742774275107121</v>
      </c>
      <c r="W408" s="4">
        <v>72.814454076117968</v>
      </c>
      <c r="X408" s="4">
        <v>4.9855459238820288</v>
      </c>
      <c r="Y408" s="4">
        <v>0.79612518121121467</v>
      </c>
    </row>
    <row r="409" spans="11:25" x14ac:dyDescent="0.25">
      <c r="K409" s="3"/>
      <c r="L409" s="8">
        <v>89</v>
      </c>
      <c r="M409" s="4"/>
      <c r="N409" s="4"/>
      <c r="O409" s="4"/>
      <c r="P409" s="4"/>
      <c r="S409" s="3">
        <v>407</v>
      </c>
      <c r="T409" s="8">
        <v>0.24651303820497272</v>
      </c>
      <c r="U409" s="4">
        <v>64.3</v>
      </c>
      <c r="V409" s="4">
        <v>-0.6855037796153739</v>
      </c>
      <c r="W409" s="4">
        <v>72.814454076117968</v>
      </c>
      <c r="X409" s="4">
        <v>4.8855459238820345</v>
      </c>
      <c r="Y409" s="4">
        <v>0.78015651512396578</v>
      </c>
    </row>
    <row r="410" spans="11:25" x14ac:dyDescent="0.25">
      <c r="K410" s="3"/>
      <c r="L410" s="8">
        <v>89</v>
      </c>
      <c r="M410" s="4"/>
      <c r="N410" s="4"/>
      <c r="O410" s="4"/>
      <c r="P410" s="4"/>
      <c r="S410" s="3">
        <v>408</v>
      </c>
      <c r="T410" s="8">
        <v>0.24711946634323834</v>
      </c>
      <c r="U410" s="4">
        <v>64.3</v>
      </c>
      <c r="V410" s="4">
        <v>-0.68358235062434125</v>
      </c>
      <c r="W410" s="4">
        <v>76.907794897652167</v>
      </c>
      <c r="X410" s="4">
        <v>0.19220510234782751</v>
      </c>
      <c r="Y410" s="4">
        <v>3.0692590996581316E-2</v>
      </c>
    </row>
    <row r="411" spans="11:25" x14ac:dyDescent="0.25">
      <c r="K411" s="3"/>
      <c r="L411" s="8">
        <v>89</v>
      </c>
      <c r="M411" s="4"/>
      <c r="N411" s="4"/>
      <c r="O411" s="4"/>
      <c r="P411" s="4"/>
      <c r="S411" s="3">
        <v>409</v>
      </c>
      <c r="T411" s="8">
        <v>0.24772589448150395</v>
      </c>
      <c r="U411" s="4">
        <v>64.3</v>
      </c>
      <c r="V411" s="4">
        <v>-0.68166344203597062</v>
      </c>
      <c r="W411" s="4">
        <v>76.907794897652167</v>
      </c>
      <c r="X411" s="4">
        <v>9.220510234783319E-2</v>
      </c>
      <c r="Y411" s="4">
        <v>1.4723924909332416E-2</v>
      </c>
    </row>
    <row r="412" spans="11:25" x14ac:dyDescent="0.25">
      <c r="K412" s="3"/>
      <c r="L412" s="8">
        <v>89</v>
      </c>
      <c r="M412" s="4"/>
      <c r="N412" s="4"/>
      <c r="O412" s="4"/>
      <c r="P412" s="4"/>
      <c r="S412" s="3">
        <v>410</v>
      </c>
      <c r="T412" s="8">
        <v>0.24833232261976956</v>
      </c>
      <c r="U412" s="4">
        <v>64.3</v>
      </c>
      <c r="V412" s="4">
        <v>-0.67974704019936438</v>
      </c>
      <c r="W412" s="4">
        <v>76.809160179060981</v>
      </c>
      <c r="X412" s="4">
        <v>-0.20916017906098716</v>
      </c>
      <c r="Y412" s="4">
        <v>-3.3400090581742835E-2</v>
      </c>
    </row>
    <row r="413" spans="11:25" x14ac:dyDescent="0.25">
      <c r="K413" s="3"/>
      <c r="L413" s="8">
        <v>36.299999999999997</v>
      </c>
      <c r="M413" s="4"/>
      <c r="N413" s="4"/>
      <c r="O413" s="4"/>
      <c r="P413" s="4"/>
      <c r="S413" s="3">
        <v>411</v>
      </c>
      <c r="T413" s="8">
        <v>0.24893875075803518</v>
      </c>
      <c r="U413" s="4">
        <v>64.3</v>
      </c>
      <c r="V413" s="4">
        <v>-0.67783313155385549</v>
      </c>
      <c r="W413" s="4">
        <v>76.661208101174196</v>
      </c>
      <c r="X413" s="4">
        <v>-0.36120810117419921</v>
      </c>
      <c r="Y413" s="4">
        <v>-5.768011555660333E-2</v>
      </c>
    </row>
    <row r="414" spans="11:25" x14ac:dyDescent="0.25">
      <c r="K414" s="3"/>
      <c r="L414" s="8">
        <v>36.299999999999997</v>
      </c>
      <c r="M414" s="4"/>
      <c r="N414" s="4"/>
      <c r="O414" s="4"/>
      <c r="P414" s="4"/>
      <c r="S414" s="3">
        <v>412</v>
      </c>
      <c r="T414" s="8">
        <v>0.24954517889630079</v>
      </c>
      <c r="U414" s="4">
        <v>64.3</v>
      </c>
      <c r="V414" s="4">
        <v>-0.67592170262814155</v>
      </c>
      <c r="W414" s="4">
        <v>71.877424249501701</v>
      </c>
      <c r="X414" s="4">
        <v>4.1225757504982994</v>
      </c>
      <c r="Y414" s="4">
        <v>0.65832035579100623</v>
      </c>
    </row>
    <row r="415" spans="11:25" x14ac:dyDescent="0.25">
      <c r="K415" s="3"/>
      <c r="L415" s="8">
        <v>36.299999999999997</v>
      </c>
      <c r="M415" s="4"/>
      <c r="N415" s="4"/>
      <c r="O415" s="4"/>
      <c r="P415" s="4"/>
      <c r="S415" s="3">
        <v>413</v>
      </c>
      <c r="T415" s="8">
        <v>0.2501516070345664</v>
      </c>
      <c r="U415" s="4">
        <v>64.400000000000006</v>
      </c>
      <c r="V415" s="4">
        <v>-0.67401274003943046</v>
      </c>
      <c r="W415" s="4">
        <v>71.976058968092886</v>
      </c>
      <c r="X415" s="4">
        <v>3.8239410319071112</v>
      </c>
      <c r="Y415" s="4">
        <v>0.61063237475858123</v>
      </c>
    </row>
    <row r="416" spans="11:25" x14ac:dyDescent="0.25">
      <c r="K416" s="3"/>
      <c r="L416" s="8">
        <v>36.299999999999997</v>
      </c>
      <c r="M416" s="4"/>
      <c r="N416" s="4"/>
      <c r="O416" s="4"/>
      <c r="P416" s="4"/>
      <c r="S416" s="3">
        <v>414</v>
      </c>
      <c r="T416" s="8">
        <v>0.25075803517283202</v>
      </c>
      <c r="U416" s="4">
        <v>64.400000000000006</v>
      </c>
      <c r="V416" s="4">
        <v>-0.67210623049259577</v>
      </c>
      <c r="W416" s="4">
        <v>74.984417885124046</v>
      </c>
      <c r="X416" s="4">
        <v>8.0155821148759543</v>
      </c>
      <c r="Y416" s="4">
        <v>1.2799815428738575</v>
      </c>
    </row>
    <row r="417" spans="11:25" x14ac:dyDescent="0.25">
      <c r="K417" s="3"/>
      <c r="L417" s="8">
        <v>36.299999999999997</v>
      </c>
      <c r="M417" s="4"/>
      <c r="N417" s="4"/>
      <c r="O417" s="4"/>
      <c r="P417" s="4"/>
      <c r="S417" s="3">
        <v>415</v>
      </c>
      <c r="T417" s="8">
        <v>0.25136446331109763</v>
      </c>
      <c r="U417" s="4">
        <v>64.400000000000006</v>
      </c>
      <c r="V417" s="4">
        <v>-0.67020216077934092</v>
      </c>
      <c r="W417" s="4">
        <v>74.93510052582846</v>
      </c>
      <c r="X417" s="4">
        <v>6.0648994741715399</v>
      </c>
      <c r="Y417" s="4">
        <v>0.96848354555782268</v>
      </c>
    </row>
    <row r="418" spans="11:25" x14ac:dyDescent="0.25">
      <c r="K418" s="3"/>
      <c r="L418" s="8">
        <v>36.299999999999997</v>
      </c>
      <c r="M418" s="4"/>
      <c r="N418" s="4"/>
      <c r="O418" s="4"/>
      <c r="P418" s="4"/>
      <c r="S418" s="3">
        <v>416</v>
      </c>
      <c r="T418" s="8">
        <v>0.25197089144936324</v>
      </c>
      <c r="U418" s="4">
        <v>64.400000000000006</v>
      </c>
      <c r="V418" s="4">
        <v>-0.6683005177773742</v>
      </c>
      <c r="W418" s="4">
        <v>74.836465807237275</v>
      </c>
      <c r="X418" s="4">
        <v>5.1635341927627252</v>
      </c>
      <c r="Y418" s="4">
        <v>0.8245475335432495</v>
      </c>
    </row>
    <row r="419" spans="11:25" x14ac:dyDescent="0.25">
      <c r="K419" s="3"/>
      <c r="L419" s="8">
        <v>36.299999999999997</v>
      </c>
      <c r="M419" s="4"/>
      <c r="N419" s="4"/>
      <c r="O419" s="4"/>
      <c r="P419" s="4"/>
      <c r="S419" s="3">
        <v>417</v>
      </c>
      <c r="T419" s="8">
        <v>0.25257731958762886</v>
      </c>
      <c r="U419" s="4">
        <v>64.5</v>
      </c>
      <c r="V419" s="4">
        <v>-0.66640128844959323</v>
      </c>
      <c r="W419" s="4">
        <v>74.787148447941675</v>
      </c>
      <c r="X419" s="4">
        <v>4.9128515520583278</v>
      </c>
      <c r="Y419" s="4">
        <v>0.78451685971046403</v>
      </c>
    </row>
    <row r="420" spans="11:25" x14ac:dyDescent="0.25">
      <c r="K420" s="3"/>
      <c r="L420" s="8">
        <v>89</v>
      </c>
      <c r="M420" s="4"/>
      <c r="N420" s="4"/>
      <c r="O420" s="4"/>
      <c r="P420" s="4"/>
      <c r="S420" s="3">
        <v>418</v>
      </c>
      <c r="T420" s="8">
        <v>0.25318374772589447</v>
      </c>
      <c r="U420" s="4">
        <v>64.5</v>
      </c>
      <c r="V420" s="4">
        <v>-0.66450445984327855</v>
      </c>
      <c r="W420" s="4">
        <v>74.68851372935049</v>
      </c>
      <c r="X420" s="4">
        <v>4.8114862706495103</v>
      </c>
      <c r="Y420" s="4">
        <v>0.7683301763938889</v>
      </c>
    </row>
    <row r="421" spans="11:25" x14ac:dyDescent="0.25">
      <c r="K421" s="3"/>
      <c r="L421" s="8">
        <v>89</v>
      </c>
      <c r="M421" s="4"/>
      <c r="N421" s="4"/>
      <c r="O421" s="4"/>
      <c r="P421" s="4"/>
      <c r="S421" s="3">
        <v>419</v>
      </c>
      <c r="T421" s="8">
        <v>0.25379017586416008</v>
      </c>
      <c r="U421" s="4">
        <v>64.5</v>
      </c>
      <c r="V421" s="4">
        <v>-0.66261001908929729</v>
      </c>
      <c r="W421" s="4">
        <v>77.302333772016908</v>
      </c>
      <c r="X421" s="4">
        <v>1.997666227983089</v>
      </c>
      <c r="Y421" s="4">
        <v>0.31900064948437801</v>
      </c>
    </row>
    <row r="422" spans="11:25" x14ac:dyDescent="0.25">
      <c r="K422" s="3"/>
      <c r="L422" s="8">
        <v>89</v>
      </c>
      <c r="M422" s="4"/>
      <c r="N422" s="4"/>
      <c r="O422" s="4"/>
      <c r="P422" s="4"/>
      <c r="S422" s="3">
        <v>420</v>
      </c>
      <c r="T422" s="8">
        <v>0.2543966040024257</v>
      </c>
      <c r="U422" s="4">
        <v>64.599999999999994</v>
      </c>
      <c r="V422" s="4">
        <v>-0.66071795340131489</v>
      </c>
      <c r="W422" s="4">
        <v>74.540561651463719</v>
      </c>
      <c r="X422" s="4">
        <v>4.5594383485362755</v>
      </c>
      <c r="Y422" s="4">
        <v>0.72808148533177497</v>
      </c>
    </row>
    <row r="423" spans="11:25" x14ac:dyDescent="0.25">
      <c r="K423" s="3"/>
      <c r="L423" s="8">
        <v>89</v>
      </c>
      <c r="M423" s="4"/>
      <c r="N423" s="4"/>
      <c r="O423" s="4"/>
      <c r="P423" s="4"/>
      <c r="S423" s="3">
        <v>421</v>
      </c>
      <c r="T423" s="8">
        <v>0.25500303214069131</v>
      </c>
      <c r="U423" s="4">
        <v>64.599999999999994</v>
      </c>
      <c r="V423" s="4">
        <v>-0.65882825007501644</v>
      </c>
      <c r="W423" s="4">
        <v>74.491244292168119</v>
      </c>
      <c r="X423" s="4">
        <v>4.4087557078318866</v>
      </c>
      <c r="Y423" s="4">
        <v>0.70401947758624073</v>
      </c>
    </row>
    <row r="424" spans="11:25" x14ac:dyDescent="0.25">
      <c r="K424" s="3"/>
      <c r="L424" s="8">
        <v>89</v>
      </c>
      <c r="M424" s="4"/>
      <c r="N424" s="4"/>
      <c r="O424" s="4"/>
      <c r="P424" s="4"/>
      <c r="S424" s="3">
        <v>422</v>
      </c>
      <c r="T424" s="8">
        <v>0.25560946027895692</v>
      </c>
      <c r="U424" s="4">
        <v>64.599999999999994</v>
      </c>
      <c r="V424" s="4">
        <v>-0.65694089648733833</v>
      </c>
      <c r="W424" s="4">
        <v>74.441926932872533</v>
      </c>
      <c r="X424" s="4">
        <v>4.3580730671274637</v>
      </c>
      <c r="Y424" s="4">
        <v>0.69592613592795094</v>
      </c>
    </row>
    <row r="425" spans="11:25" x14ac:dyDescent="0.25">
      <c r="K425" s="3"/>
      <c r="L425" s="8">
        <v>89</v>
      </c>
      <c r="M425" s="4"/>
      <c r="N425" s="4"/>
      <c r="O425" s="4"/>
      <c r="P425" s="4"/>
      <c r="S425" s="3">
        <v>423</v>
      </c>
      <c r="T425" s="8">
        <v>0.25621588841722254</v>
      </c>
      <c r="U425" s="4">
        <v>64.599999999999994</v>
      </c>
      <c r="V425" s="4">
        <v>-0.65505588009570492</v>
      </c>
      <c r="W425" s="4">
        <v>74.392609573576934</v>
      </c>
      <c r="X425" s="4">
        <v>4.3073904264230691</v>
      </c>
      <c r="Y425" s="4">
        <v>0.68783279426966559</v>
      </c>
    </row>
    <row r="426" spans="11:25" x14ac:dyDescent="0.25">
      <c r="K426" s="3"/>
      <c r="L426" s="8">
        <v>89</v>
      </c>
      <c r="M426" s="4"/>
      <c r="N426" s="4"/>
      <c r="O426" s="4"/>
      <c r="P426" s="4"/>
      <c r="S426" s="3">
        <v>424</v>
      </c>
      <c r="T426" s="8">
        <v>0.25682231655548815</v>
      </c>
      <c r="U426" s="4">
        <v>64.599999999999994</v>
      </c>
      <c r="V426" s="4">
        <v>-0.65317318843727912</v>
      </c>
      <c r="W426" s="4">
        <v>74.392609573576934</v>
      </c>
      <c r="X426" s="4">
        <v>4.2073904264230606</v>
      </c>
      <c r="Y426" s="4">
        <v>0.67186412818241437</v>
      </c>
    </row>
    <row r="427" spans="11:25" x14ac:dyDescent="0.25">
      <c r="K427" s="3"/>
      <c r="L427" s="8">
        <v>89</v>
      </c>
      <c r="M427" s="4"/>
      <c r="N427" s="4"/>
      <c r="O427" s="4"/>
      <c r="P427" s="4"/>
      <c r="S427" s="3">
        <v>425</v>
      </c>
      <c r="T427" s="8">
        <v>0.25742874469375376</v>
      </c>
      <c r="U427" s="4">
        <v>64.599999999999994</v>
      </c>
      <c r="V427" s="4">
        <v>-0.65129280912821741</v>
      </c>
      <c r="W427" s="4">
        <v>74.343292214281348</v>
      </c>
      <c r="X427" s="4">
        <v>4.1567077857186518</v>
      </c>
      <c r="Y427" s="4">
        <v>0.6637707865241268</v>
      </c>
    </row>
    <row r="428" spans="11:25" x14ac:dyDescent="0.25">
      <c r="K428" s="3"/>
      <c r="L428" s="8">
        <v>89</v>
      </c>
      <c r="M428" s="4"/>
      <c r="N428" s="4"/>
      <c r="O428" s="4"/>
      <c r="P428" s="4"/>
      <c r="S428" s="3">
        <v>426</v>
      </c>
      <c r="T428" s="8">
        <v>0.25803517283201943</v>
      </c>
      <c r="U428" s="4">
        <v>64.7</v>
      </c>
      <c r="V428" s="4">
        <v>-0.6494147298629348</v>
      </c>
      <c r="W428" s="4">
        <v>74.244657495690163</v>
      </c>
      <c r="X428" s="4">
        <v>4.1553425043098429</v>
      </c>
      <c r="Y428" s="4">
        <v>0.66355276929480278</v>
      </c>
    </row>
    <row r="429" spans="11:25" x14ac:dyDescent="0.25">
      <c r="K429" s="3"/>
      <c r="L429" s="8">
        <v>89</v>
      </c>
      <c r="M429" s="4"/>
      <c r="N429" s="4"/>
      <c r="O429" s="4"/>
      <c r="P429" s="4"/>
      <c r="S429" s="3">
        <v>427</v>
      </c>
      <c r="T429" s="8">
        <v>0.25864160097028505</v>
      </c>
      <c r="U429" s="4">
        <v>64.7</v>
      </c>
      <c r="V429" s="4">
        <v>-0.64753893841337939</v>
      </c>
      <c r="W429" s="4">
        <v>74.195340136394563</v>
      </c>
      <c r="X429" s="4">
        <v>4.0046598636054398</v>
      </c>
      <c r="Y429" s="4">
        <v>0.63949076154926632</v>
      </c>
    </row>
    <row r="430" spans="11:25" x14ac:dyDescent="0.25">
      <c r="K430" s="3"/>
      <c r="L430" s="8">
        <v>89</v>
      </c>
      <c r="M430" s="4"/>
      <c r="N430" s="4"/>
      <c r="O430" s="4"/>
      <c r="P430" s="4"/>
      <c r="S430" s="3">
        <v>428</v>
      </c>
      <c r="T430" s="8">
        <v>0.25924802910855066</v>
      </c>
      <c r="U430" s="4">
        <v>64.7</v>
      </c>
      <c r="V430" s="4">
        <v>-0.64566542262831084</v>
      </c>
      <c r="W430" s="4">
        <v>77.253016412721308</v>
      </c>
      <c r="X430" s="4">
        <v>0.84698358727868595</v>
      </c>
      <c r="Y430" s="4">
        <v>0.13525198086634341</v>
      </c>
    </row>
    <row r="431" spans="11:25" x14ac:dyDescent="0.25">
      <c r="K431" s="3"/>
      <c r="L431" s="8">
        <v>36.299999999999997</v>
      </c>
      <c r="M431" s="4"/>
      <c r="N431" s="4"/>
      <c r="O431" s="4"/>
      <c r="P431" s="4"/>
      <c r="S431" s="3">
        <v>429</v>
      </c>
      <c r="T431" s="8">
        <v>0.25985445724681627</v>
      </c>
      <c r="U431" s="4">
        <v>64.7</v>
      </c>
      <c r="V431" s="4">
        <v>-0.64379417043259413</v>
      </c>
      <c r="W431" s="4">
        <v>65.170263385301098</v>
      </c>
      <c r="X431" s="4">
        <v>-2.170263385301098</v>
      </c>
      <c r="Y431" s="4">
        <v>-0.34656211321257607</v>
      </c>
    </row>
    <row r="432" spans="11:25" x14ac:dyDescent="0.25">
      <c r="K432" s="3"/>
      <c r="L432" s="8">
        <v>36.299999999999997</v>
      </c>
      <c r="M432" s="4"/>
      <c r="N432" s="4"/>
      <c r="O432" s="4"/>
      <c r="P432" s="4"/>
      <c r="S432" s="3">
        <v>430</v>
      </c>
      <c r="T432" s="8">
        <v>0.26046088538508189</v>
      </c>
      <c r="U432" s="4">
        <v>64.7</v>
      </c>
      <c r="V432" s="4">
        <v>-0.64192516982649384</v>
      </c>
      <c r="W432" s="4">
        <v>64.972993948118727</v>
      </c>
      <c r="X432" s="4">
        <v>-2.2729939481187245</v>
      </c>
      <c r="Y432" s="4">
        <v>-0.36296681375847528</v>
      </c>
    </row>
    <row r="433" spans="11:25" x14ac:dyDescent="0.25">
      <c r="K433" s="3"/>
      <c r="L433" s="8">
        <v>36.299999999999997</v>
      </c>
      <c r="M433" s="4"/>
      <c r="N433" s="4"/>
      <c r="O433" s="4"/>
      <c r="P433" s="4"/>
      <c r="S433" s="3">
        <v>431</v>
      </c>
      <c r="T433" s="8">
        <v>0.2610673135233475</v>
      </c>
      <c r="U433" s="4">
        <v>64.7</v>
      </c>
      <c r="V433" s="4">
        <v>-0.64005840888498111</v>
      </c>
      <c r="W433" s="4">
        <v>64.627772433049572</v>
      </c>
      <c r="X433" s="4">
        <v>-2.4277724330495687</v>
      </c>
      <c r="Y433" s="4">
        <v>-0.38768287319198602</v>
      </c>
    </row>
    <row r="434" spans="11:25" x14ac:dyDescent="0.25">
      <c r="K434" s="3"/>
      <c r="L434" s="8">
        <v>36.299999999999997</v>
      </c>
      <c r="M434" s="4"/>
      <c r="N434" s="4"/>
      <c r="O434" s="4"/>
      <c r="P434" s="4"/>
      <c r="S434" s="3">
        <v>432</v>
      </c>
      <c r="T434" s="8">
        <v>0.26167374166161311</v>
      </c>
      <c r="U434" s="4">
        <v>64.7</v>
      </c>
      <c r="V434" s="4">
        <v>-0.63819387575704711</v>
      </c>
      <c r="W434" s="4">
        <v>64.381185636571615</v>
      </c>
      <c r="X434" s="4">
        <v>-2.5811856365716181</v>
      </c>
      <c r="Y434" s="4">
        <v>-0.41218091539617507</v>
      </c>
    </row>
    <row r="435" spans="11:25" x14ac:dyDescent="0.25">
      <c r="K435" s="3"/>
      <c r="L435" s="8">
        <v>36.299999999999997</v>
      </c>
      <c r="M435" s="4"/>
      <c r="N435" s="4"/>
      <c r="O435" s="4"/>
      <c r="P435" s="4"/>
      <c r="S435" s="3">
        <v>433</v>
      </c>
      <c r="T435" s="8">
        <v>0.26228016979987873</v>
      </c>
      <c r="U435" s="4">
        <v>64.8</v>
      </c>
      <c r="V435" s="4">
        <v>-0.636331558665023</v>
      </c>
      <c r="W435" s="4">
        <v>64.134598840093645</v>
      </c>
      <c r="X435" s="4">
        <v>-2.8345988400936477</v>
      </c>
      <c r="Y435" s="4">
        <v>-0.45264762368761075</v>
      </c>
    </row>
    <row r="436" spans="11:25" x14ac:dyDescent="0.25">
      <c r="K436" s="3"/>
      <c r="L436" s="8">
        <v>36.299999999999997</v>
      </c>
      <c r="M436" s="4"/>
      <c r="N436" s="4"/>
      <c r="O436" s="4"/>
      <c r="P436" s="4"/>
      <c r="S436" s="3">
        <v>434</v>
      </c>
      <c r="T436" s="8">
        <v>0.26288659793814434</v>
      </c>
      <c r="U436" s="4">
        <v>64.8</v>
      </c>
      <c r="V436" s="4">
        <v>-0.63447144590391003</v>
      </c>
      <c r="W436" s="4">
        <v>63.838694684320089</v>
      </c>
      <c r="X436" s="4">
        <v>5.1613053156799111</v>
      </c>
      <c r="Y436" s="4">
        <v>0.82419161160439969</v>
      </c>
    </row>
    <row r="437" spans="11:25" x14ac:dyDescent="0.25">
      <c r="K437" s="3"/>
      <c r="L437" s="8">
        <v>36.299999999999997</v>
      </c>
      <c r="M437" s="4"/>
      <c r="N437" s="4"/>
      <c r="O437" s="4"/>
      <c r="P437" s="4"/>
      <c r="S437" s="3">
        <v>435</v>
      </c>
      <c r="T437" s="8">
        <v>0.26349302607640995</v>
      </c>
      <c r="U437" s="4">
        <v>64.8</v>
      </c>
      <c r="V437" s="4">
        <v>-0.63261352584071395</v>
      </c>
      <c r="W437" s="4">
        <v>63.345521091364162</v>
      </c>
      <c r="X437" s="4">
        <v>-1.3455210913641622</v>
      </c>
      <c r="Y437" s="4">
        <v>-0.21486177021346248</v>
      </c>
    </row>
    <row r="438" spans="11:25" x14ac:dyDescent="0.25">
      <c r="K438" s="3"/>
      <c r="L438" s="8">
        <v>36.299999999999997</v>
      </c>
      <c r="M438" s="4"/>
      <c r="N438" s="4"/>
      <c r="O438" s="4"/>
      <c r="P438" s="4"/>
      <c r="S438" s="3">
        <v>436</v>
      </c>
      <c r="T438" s="8">
        <v>0.26409945421467557</v>
      </c>
      <c r="U438" s="4">
        <v>64.8</v>
      </c>
      <c r="V438" s="4">
        <v>-0.63075778691378903</v>
      </c>
      <c r="W438" s="4">
        <v>63.000299576295014</v>
      </c>
      <c r="X438" s="4">
        <v>-3.2002995762950164</v>
      </c>
      <c r="Y438" s="4">
        <v>-0.51104515313022159</v>
      </c>
    </row>
    <row r="439" spans="11:25" x14ac:dyDescent="0.25">
      <c r="K439" s="3"/>
      <c r="L439" s="8">
        <v>36.299999999999997</v>
      </c>
      <c r="M439" s="4"/>
      <c r="N439" s="4"/>
      <c r="O439" s="4"/>
      <c r="P439" s="4"/>
      <c r="S439" s="3">
        <v>437</v>
      </c>
      <c r="T439" s="8">
        <v>0.26470588235294118</v>
      </c>
      <c r="U439" s="4">
        <v>64.900000000000006</v>
      </c>
      <c r="V439" s="4">
        <v>-0.62890421763219007</v>
      </c>
      <c r="W439" s="4">
        <v>70.003364596269179</v>
      </c>
      <c r="X439" s="4">
        <v>3.596635403730815</v>
      </c>
      <c r="Y439" s="4">
        <v>0.57433469799758285</v>
      </c>
    </row>
    <row r="440" spans="11:25" x14ac:dyDescent="0.25">
      <c r="K440" s="3"/>
      <c r="L440" s="8">
        <v>36.299999999999997</v>
      </c>
      <c r="M440" s="4"/>
      <c r="N440" s="4"/>
      <c r="O440" s="4"/>
      <c r="P440" s="4"/>
      <c r="S440" s="3">
        <v>438</v>
      </c>
      <c r="T440" s="8">
        <v>0.26531231049120679</v>
      </c>
      <c r="U440" s="4">
        <v>64.900000000000006</v>
      </c>
      <c r="V440" s="4">
        <v>-0.62705280657502727</v>
      </c>
      <c r="W440" s="4">
        <v>69.855412518382408</v>
      </c>
      <c r="X440" s="4">
        <v>3.5445874816175973</v>
      </c>
      <c r="Y440" s="4">
        <v>0.56602333910997127</v>
      </c>
    </row>
    <row r="441" spans="11:25" x14ac:dyDescent="0.25">
      <c r="K441" s="3"/>
      <c r="L441" s="8">
        <v>36.299999999999997</v>
      </c>
      <c r="M441" s="4"/>
      <c r="N441" s="4"/>
      <c r="O441" s="4"/>
      <c r="P441" s="4"/>
      <c r="S441" s="3">
        <v>439</v>
      </c>
      <c r="T441" s="8">
        <v>0.26591873862947241</v>
      </c>
      <c r="U441" s="4">
        <v>64.900000000000006</v>
      </c>
      <c r="V441" s="4">
        <v>-0.62520354239083498</v>
      </c>
      <c r="W441" s="4">
        <v>69.017017410357326</v>
      </c>
      <c r="X441" s="4">
        <v>3.0829825896426684</v>
      </c>
      <c r="Y441" s="4">
        <v>0.4923111952680847</v>
      </c>
    </row>
    <row r="442" spans="11:25" x14ac:dyDescent="0.25">
      <c r="K442" s="3"/>
      <c r="L442" s="8">
        <v>36.299999999999997</v>
      </c>
      <c r="M442" s="4"/>
      <c r="N442" s="4"/>
      <c r="O442" s="4"/>
      <c r="P442" s="4"/>
      <c r="S442" s="3">
        <v>440</v>
      </c>
      <c r="T442" s="8">
        <v>0.26652516676773802</v>
      </c>
      <c r="U442" s="4">
        <v>65</v>
      </c>
      <c r="V442" s="4">
        <v>-0.62335641379693973</v>
      </c>
      <c r="W442" s="4">
        <v>76.809160179060981</v>
      </c>
      <c r="X442" s="4">
        <v>-3.7091601790609872</v>
      </c>
      <c r="Y442" s="4">
        <v>-0.59230340363548617</v>
      </c>
    </row>
    <row r="443" spans="11:25" x14ac:dyDescent="0.25">
      <c r="K443" s="3"/>
      <c r="L443" s="8">
        <v>36.299999999999997</v>
      </c>
      <c r="M443" s="4"/>
      <c r="N443" s="4"/>
      <c r="O443" s="4"/>
      <c r="P443" s="4"/>
      <c r="S443" s="3">
        <v>441</v>
      </c>
      <c r="T443" s="8">
        <v>0.26713159490600363</v>
      </c>
      <c r="U443" s="4">
        <v>65</v>
      </c>
      <c r="V443" s="4">
        <v>-0.62151140957884243</v>
      </c>
      <c r="W443" s="4">
        <v>69.411556284722067</v>
      </c>
      <c r="X443" s="4">
        <v>3.2884437152779356</v>
      </c>
      <c r="Y443" s="4">
        <v>0.52512059635988539</v>
      </c>
    </row>
    <row r="444" spans="11:25" x14ac:dyDescent="0.25">
      <c r="K444" s="3"/>
      <c r="L444" s="8">
        <v>36.299999999999997</v>
      </c>
      <c r="M444" s="4"/>
      <c r="N444" s="4"/>
      <c r="O444" s="4"/>
      <c r="P444" s="4"/>
      <c r="S444" s="3">
        <v>442</v>
      </c>
      <c r="T444" s="8">
        <v>0.26773802304426925</v>
      </c>
      <c r="U444" s="4">
        <v>65</v>
      </c>
      <c r="V444" s="4">
        <v>-0.61966851858960159</v>
      </c>
      <c r="W444" s="4">
        <v>69.855412518382408</v>
      </c>
      <c r="X444" s="4">
        <v>3.7445874816175859</v>
      </c>
      <c r="Y444" s="4">
        <v>0.59796067128446906</v>
      </c>
    </row>
    <row r="445" spans="11:25" x14ac:dyDescent="0.25">
      <c r="K445" s="3"/>
      <c r="L445" s="8">
        <v>36.299999999999997</v>
      </c>
      <c r="M445" s="4"/>
      <c r="N445" s="4"/>
      <c r="O445" s="4"/>
      <c r="P445" s="4"/>
      <c r="S445" s="3">
        <v>443</v>
      </c>
      <c r="T445" s="8">
        <v>0.26834445118253486</v>
      </c>
      <c r="U445" s="4">
        <v>65</v>
      </c>
      <c r="V445" s="4">
        <v>-0.61782772974922651</v>
      </c>
      <c r="W445" s="4">
        <v>69.658143081200038</v>
      </c>
      <c r="X445" s="4">
        <v>3.6418569187999594</v>
      </c>
      <c r="Y445" s="4">
        <v>0.58155597073856991</v>
      </c>
    </row>
    <row r="446" spans="11:25" x14ac:dyDescent="0.25">
      <c r="K446" s="3"/>
      <c r="L446" s="8">
        <v>36.299999999999997</v>
      </c>
      <c r="M446" s="4"/>
      <c r="N446" s="4"/>
      <c r="O446" s="4"/>
      <c r="P446" s="4"/>
      <c r="S446" s="3">
        <v>444</v>
      </c>
      <c r="T446" s="8">
        <v>0.26895087932080047</v>
      </c>
      <c r="U446" s="4">
        <v>65</v>
      </c>
      <c r="V446" s="4">
        <v>-0.61598903204407673</v>
      </c>
      <c r="W446" s="4">
        <v>69.510191003313253</v>
      </c>
      <c r="X446" s="4">
        <v>3.3898089966867531</v>
      </c>
      <c r="Y446" s="4">
        <v>0.54130727967646053</v>
      </c>
    </row>
    <row r="447" spans="11:25" x14ac:dyDescent="0.25">
      <c r="K447" s="3"/>
      <c r="L447" s="8">
        <v>36.299999999999997</v>
      </c>
      <c r="M447" s="4"/>
      <c r="N447" s="4"/>
      <c r="O447" s="4"/>
      <c r="P447" s="4"/>
      <c r="S447" s="3">
        <v>445</v>
      </c>
      <c r="T447" s="8">
        <v>0.26955730745906609</v>
      </c>
      <c r="U447" s="4">
        <v>65</v>
      </c>
      <c r="V447" s="4">
        <v>-0.61415241452626645</v>
      </c>
      <c r="W447" s="4">
        <v>68.819747973174955</v>
      </c>
      <c r="X447" s="4">
        <v>3.4802520268250419</v>
      </c>
      <c r="Y447" s="4">
        <v>0.55574982515843463</v>
      </c>
    </row>
    <row r="448" spans="11:25" x14ac:dyDescent="0.25">
      <c r="K448" s="3"/>
      <c r="L448" s="8">
        <v>36.299999999999997</v>
      </c>
      <c r="M448" s="4"/>
      <c r="N448" s="4"/>
      <c r="O448" s="4"/>
      <c r="P448" s="4"/>
      <c r="S448" s="3">
        <v>446</v>
      </c>
      <c r="T448" s="8">
        <v>0.2701637355973317</v>
      </c>
      <c r="U448" s="4">
        <v>65</v>
      </c>
      <c r="V448" s="4">
        <v>-0.61231786631307705</v>
      </c>
      <c r="W448" s="4">
        <v>76.217351867513869</v>
      </c>
      <c r="X448" s="4">
        <v>-6.5173518675138666</v>
      </c>
      <c r="Y448" s="4">
        <v>-1.0407341574544289</v>
      </c>
    </row>
    <row r="449" spans="11:25" x14ac:dyDescent="0.25">
      <c r="K449" s="3"/>
      <c r="L449" s="8">
        <v>36.299999999999997</v>
      </c>
      <c r="M449" s="4"/>
      <c r="N449" s="4"/>
      <c r="O449" s="4"/>
      <c r="P449" s="4"/>
      <c r="S449" s="3">
        <v>447</v>
      </c>
      <c r="T449" s="8">
        <v>0.27077016373559731</v>
      </c>
      <c r="U449" s="4">
        <v>65</v>
      </c>
      <c r="V449" s="4">
        <v>-0.61048537658637525</v>
      </c>
      <c r="W449" s="4">
        <v>67.044323038533619</v>
      </c>
      <c r="X449" s="4">
        <v>2.2556769614663779</v>
      </c>
      <c r="Y449" s="4">
        <v>0.3602015219835884</v>
      </c>
    </row>
    <row r="450" spans="11:25" x14ac:dyDescent="0.25">
      <c r="K450" s="3"/>
      <c r="L450" s="8">
        <v>36.299999999999997</v>
      </c>
      <c r="M450" s="4"/>
      <c r="N450" s="4"/>
      <c r="O450" s="4"/>
      <c r="P450" s="4"/>
      <c r="S450" s="3">
        <v>448</v>
      </c>
      <c r="T450" s="8">
        <v>0.27137659187386293</v>
      </c>
      <c r="U450" s="4">
        <v>65</v>
      </c>
      <c r="V450" s="4">
        <v>-0.60865493459203746</v>
      </c>
      <c r="W450" s="4">
        <v>76.513256023287425</v>
      </c>
      <c r="X450" s="4">
        <v>-3.5132560232874255</v>
      </c>
      <c r="Y450" s="4">
        <v>-0.56102012314896033</v>
      </c>
    </row>
    <row r="451" spans="11:25" x14ac:dyDescent="0.25">
      <c r="K451" s="3"/>
      <c r="L451" s="8">
        <v>36.299999999999997</v>
      </c>
      <c r="M451" s="4"/>
      <c r="N451" s="4"/>
      <c r="O451" s="4"/>
      <c r="P451" s="4"/>
      <c r="S451" s="3">
        <v>449</v>
      </c>
      <c r="T451" s="8">
        <v>0.27198302001212854</v>
      </c>
      <c r="U451" s="4">
        <v>65</v>
      </c>
      <c r="V451" s="4">
        <v>-0.60682652963938111</v>
      </c>
      <c r="W451" s="4">
        <v>68.277257020923429</v>
      </c>
      <c r="X451" s="4">
        <v>3.1227429790765768</v>
      </c>
      <c r="Y451" s="4">
        <v>0.49866039909177573</v>
      </c>
    </row>
    <row r="452" spans="11:25" x14ac:dyDescent="0.25">
      <c r="K452" s="3"/>
      <c r="L452" s="8">
        <v>89</v>
      </c>
      <c r="M452" s="4"/>
      <c r="N452" s="4"/>
      <c r="O452" s="4"/>
      <c r="P452" s="4"/>
      <c r="S452" s="3">
        <v>450</v>
      </c>
      <c r="T452" s="8">
        <v>0.27258944815039415</v>
      </c>
      <c r="U452" s="4">
        <v>65</v>
      </c>
      <c r="V452" s="4">
        <v>-0.60500015110060101</v>
      </c>
      <c r="W452" s="4">
        <v>68.326574380219029</v>
      </c>
      <c r="X452" s="4">
        <v>2.8734256197809742</v>
      </c>
      <c r="Y452" s="4">
        <v>0.45884774248831206</v>
      </c>
    </row>
    <row r="453" spans="11:25" x14ac:dyDescent="0.25">
      <c r="K453" s="3"/>
      <c r="L453" s="8">
        <v>89</v>
      </c>
      <c r="M453" s="4"/>
      <c r="N453" s="4"/>
      <c r="O453" s="4"/>
      <c r="P453" s="4"/>
      <c r="S453" s="3">
        <v>451</v>
      </c>
      <c r="T453" s="8">
        <v>0.27319587628865977</v>
      </c>
      <c r="U453" s="4">
        <v>65.099999999999994</v>
      </c>
      <c r="V453" s="4">
        <v>-0.60317578841021113</v>
      </c>
      <c r="W453" s="4">
        <v>68.918382691766141</v>
      </c>
      <c r="X453" s="4">
        <v>3.0816173082338594</v>
      </c>
      <c r="Y453" s="4">
        <v>0.49209317803876074</v>
      </c>
    </row>
    <row r="454" spans="11:25" x14ac:dyDescent="0.25">
      <c r="K454" s="3"/>
      <c r="L454" s="8">
        <v>89</v>
      </c>
      <c r="M454" s="4"/>
      <c r="N454" s="4"/>
      <c r="O454" s="4"/>
      <c r="P454" s="4"/>
      <c r="S454" s="3">
        <v>452</v>
      </c>
      <c r="T454" s="8">
        <v>0.27380230442692544</v>
      </c>
      <c r="U454" s="4">
        <v>65.099999999999994</v>
      </c>
      <c r="V454" s="4">
        <v>-0.6013534310644959</v>
      </c>
      <c r="W454" s="4">
        <v>71.630837453023744</v>
      </c>
      <c r="X454" s="4">
        <v>4.3691625469762556</v>
      </c>
      <c r="Y454" s="4">
        <v>0.69769697793581731</v>
      </c>
    </row>
    <row r="455" spans="11:25" x14ac:dyDescent="0.25">
      <c r="K455" s="3"/>
      <c r="L455" s="8">
        <v>89</v>
      </c>
      <c r="M455" s="4"/>
      <c r="N455" s="4"/>
      <c r="O455" s="4"/>
      <c r="P455" s="4"/>
      <c r="S455" s="3">
        <v>453</v>
      </c>
      <c r="T455" s="8">
        <v>0.27440873256519105</v>
      </c>
      <c r="U455" s="4">
        <v>65.099999999999994</v>
      </c>
      <c r="V455" s="4">
        <v>-0.59953306862096245</v>
      </c>
      <c r="W455" s="4">
        <v>71.630837453023744</v>
      </c>
      <c r="X455" s="4">
        <v>4.3691625469762556</v>
      </c>
      <c r="Y455" s="4">
        <v>0.69769697793581731</v>
      </c>
    </row>
    <row r="456" spans="11:25" x14ac:dyDescent="0.25">
      <c r="K456" s="3"/>
      <c r="L456" s="8">
        <v>89</v>
      </c>
      <c r="M456" s="4"/>
      <c r="N456" s="4"/>
      <c r="O456" s="4"/>
      <c r="P456" s="4"/>
      <c r="S456" s="3">
        <v>454</v>
      </c>
      <c r="T456" s="8">
        <v>0.27501516070345666</v>
      </c>
      <c r="U456" s="4">
        <v>65.099999999999994</v>
      </c>
      <c r="V456" s="4">
        <v>-0.59771469069780314</v>
      </c>
      <c r="W456" s="4">
        <v>71.334933297250188</v>
      </c>
      <c r="X456" s="4">
        <v>4.1650667027498116</v>
      </c>
      <c r="Y456" s="4">
        <v>0.66510559407334302</v>
      </c>
    </row>
    <row r="457" spans="11:25" x14ac:dyDescent="0.25">
      <c r="K457" s="3"/>
      <c r="L457" s="8">
        <v>89</v>
      </c>
      <c r="M457" s="4"/>
      <c r="N457" s="4"/>
      <c r="O457" s="4"/>
      <c r="P457" s="4"/>
      <c r="S457" s="3">
        <v>455</v>
      </c>
      <c r="T457" s="8">
        <v>0.27562158884172228</v>
      </c>
      <c r="U457" s="4">
        <v>65.099999999999994</v>
      </c>
      <c r="V457" s="4">
        <v>-0.59589828697336023</v>
      </c>
      <c r="W457" s="4">
        <v>71.137663860067818</v>
      </c>
      <c r="X457" s="4">
        <v>4.1623361399321794</v>
      </c>
      <c r="Y457" s="4">
        <v>0.66466955961469265</v>
      </c>
    </row>
    <row r="458" spans="11:25" x14ac:dyDescent="0.25">
      <c r="K458" s="3"/>
      <c r="L458" s="8">
        <v>89</v>
      </c>
      <c r="M458" s="4"/>
      <c r="N458" s="4"/>
      <c r="O458" s="4"/>
      <c r="P458" s="4"/>
      <c r="S458" s="3">
        <v>456</v>
      </c>
      <c r="T458" s="8">
        <v>0.27622801697998789</v>
      </c>
      <c r="U458" s="4">
        <v>65.099999999999994</v>
      </c>
      <c r="V458" s="4">
        <v>-0.59408384718559781</v>
      </c>
      <c r="W458" s="4">
        <v>70.989711782181033</v>
      </c>
      <c r="X458" s="4">
        <v>4.0102882178189674</v>
      </c>
      <c r="Y458" s="4">
        <v>0.64038953463983217</v>
      </c>
    </row>
    <row r="459" spans="11:25" x14ac:dyDescent="0.25">
      <c r="K459" s="3"/>
      <c r="L459" s="8">
        <v>89</v>
      </c>
      <c r="M459" s="4"/>
      <c r="N459" s="4"/>
      <c r="O459" s="4"/>
      <c r="P459" s="4"/>
      <c r="S459" s="3">
        <v>457</v>
      </c>
      <c r="T459" s="8">
        <v>0.2768344451182535</v>
      </c>
      <c r="U459" s="4">
        <v>65.099999999999994</v>
      </c>
      <c r="V459" s="4">
        <v>-0.5922713611315803</v>
      </c>
      <c r="W459" s="4">
        <v>70.841759704294262</v>
      </c>
      <c r="X459" s="4">
        <v>4.2582402957057326</v>
      </c>
      <c r="Y459" s="4">
        <v>0.67998417401396727</v>
      </c>
    </row>
    <row r="460" spans="11:25" x14ac:dyDescent="0.25">
      <c r="K460" s="3"/>
      <c r="L460" s="8">
        <v>89</v>
      </c>
      <c r="M460" s="4"/>
      <c r="N460" s="4"/>
      <c r="O460" s="4"/>
      <c r="P460" s="4"/>
      <c r="S460" s="3">
        <v>458</v>
      </c>
      <c r="T460" s="8">
        <v>0.27744087325651912</v>
      </c>
      <c r="U460" s="4">
        <v>65.2</v>
      </c>
      <c r="V460" s="4">
        <v>-0.59046081866695432</v>
      </c>
      <c r="W460" s="4">
        <v>70.743124985703076</v>
      </c>
      <c r="X460" s="4">
        <v>3.8568750142969179</v>
      </c>
      <c r="Y460" s="4">
        <v>0.61589149243564312</v>
      </c>
    </row>
    <row r="461" spans="11:25" x14ac:dyDescent="0.25">
      <c r="K461" s="3"/>
      <c r="L461" s="8">
        <v>89</v>
      </c>
      <c r="M461" s="4"/>
      <c r="N461" s="4"/>
      <c r="O461" s="4"/>
      <c r="P461" s="4"/>
      <c r="S461" s="3">
        <v>459</v>
      </c>
      <c r="T461" s="8">
        <v>0.27804730139478473</v>
      </c>
      <c r="U461" s="4">
        <v>65.2</v>
      </c>
      <c r="V461" s="4">
        <v>-0.58865220970543808</v>
      </c>
      <c r="W461" s="4">
        <v>76.907794897652167</v>
      </c>
      <c r="X461" s="4">
        <v>-2.207794897652164</v>
      </c>
      <c r="Y461" s="4">
        <v>-0.35255539509741274</v>
      </c>
    </row>
    <row r="462" spans="11:25" x14ac:dyDescent="0.25">
      <c r="K462" s="3"/>
      <c r="L462" s="8">
        <v>89</v>
      </c>
      <c r="M462" s="4"/>
      <c r="N462" s="4"/>
      <c r="O462" s="4"/>
      <c r="P462" s="4"/>
      <c r="S462" s="3">
        <v>460</v>
      </c>
      <c r="T462" s="8">
        <v>0.27865372953305034</v>
      </c>
      <c r="U462" s="4">
        <v>65.2</v>
      </c>
      <c r="V462" s="4">
        <v>-0.58684552421831371</v>
      </c>
      <c r="W462" s="4">
        <v>70.496538189225106</v>
      </c>
      <c r="X462" s="4">
        <v>3.9034618107748997</v>
      </c>
      <c r="Y462" s="4">
        <v>0.62333078240595874</v>
      </c>
    </row>
    <row r="463" spans="11:25" x14ac:dyDescent="0.25">
      <c r="K463" s="3"/>
      <c r="L463" s="8">
        <v>89</v>
      </c>
      <c r="M463" s="4"/>
      <c r="N463" s="4"/>
      <c r="O463" s="4"/>
      <c r="P463" s="4"/>
      <c r="S463" s="3">
        <v>461</v>
      </c>
      <c r="T463" s="8">
        <v>0.27926015767131596</v>
      </c>
      <c r="U463" s="4">
        <v>65.2</v>
      </c>
      <c r="V463" s="4">
        <v>-0.58504075223392726</v>
      </c>
      <c r="W463" s="4">
        <v>70.151316674155964</v>
      </c>
      <c r="X463" s="4">
        <v>4.0486833258440384</v>
      </c>
      <c r="Y463" s="4">
        <v>0.64652072123419468</v>
      </c>
    </row>
    <row r="464" spans="11:25" x14ac:dyDescent="0.25">
      <c r="K464" s="3"/>
      <c r="L464" s="8">
        <v>89</v>
      </c>
      <c r="M464" s="4"/>
      <c r="N464" s="4"/>
      <c r="O464" s="4"/>
      <c r="P464" s="4"/>
      <c r="S464" s="3">
        <v>462</v>
      </c>
      <c r="T464" s="8">
        <v>0.27986658580958157</v>
      </c>
      <c r="U464" s="4">
        <v>65.2</v>
      </c>
      <c r="V464" s="4">
        <v>-0.58323788383719311</v>
      </c>
      <c r="W464" s="4">
        <v>70.299268752042735</v>
      </c>
      <c r="X464" s="4">
        <v>4.1007312479572704</v>
      </c>
      <c r="Y464" s="4">
        <v>0.65483208012180849</v>
      </c>
    </row>
    <row r="465" spans="11:25" x14ac:dyDescent="0.25">
      <c r="K465" s="3"/>
      <c r="L465" s="8">
        <v>36.299999999999997</v>
      </c>
      <c r="M465" s="4"/>
      <c r="N465" s="4"/>
      <c r="O465" s="4"/>
      <c r="P465" s="4"/>
      <c r="S465" s="3">
        <v>463</v>
      </c>
      <c r="T465" s="8">
        <v>0.28047301394784718</v>
      </c>
      <c r="U465" s="4">
        <v>65.2</v>
      </c>
      <c r="V465" s="4">
        <v>-0.58143690916910251</v>
      </c>
      <c r="W465" s="4">
        <v>70.151316674155964</v>
      </c>
      <c r="X465" s="4">
        <v>4.2486833258440413</v>
      </c>
      <c r="Y465" s="4">
        <v>0.67845805340869469</v>
      </c>
    </row>
    <row r="466" spans="11:25" x14ac:dyDescent="0.25">
      <c r="K466" s="3"/>
      <c r="L466" s="8">
        <v>36.299999999999997</v>
      </c>
      <c r="M466" s="4"/>
      <c r="N466" s="4"/>
      <c r="O466" s="4"/>
      <c r="P466" s="4"/>
      <c r="S466" s="3">
        <v>464</v>
      </c>
      <c r="T466" s="8">
        <v>0.2810794420861128</v>
      </c>
      <c r="U466" s="4">
        <v>65.3</v>
      </c>
      <c r="V466" s="4">
        <v>-0.57963781842623852</v>
      </c>
      <c r="W466" s="4">
        <v>69.855412518382408</v>
      </c>
      <c r="X466" s="4">
        <v>3.7445874816175859</v>
      </c>
      <c r="Y466" s="4">
        <v>0.59796067128446906</v>
      </c>
    </row>
    <row r="467" spans="11:25" x14ac:dyDescent="0.25">
      <c r="K467" s="3"/>
      <c r="L467" s="8">
        <v>36.299999999999997</v>
      </c>
      <c r="M467" s="4"/>
      <c r="N467" s="4"/>
      <c r="O467" s="4"/>
      <c r="P467" s="4"/>
      <c r="S467" s="3">
        <v>465</v>
      </c>
      <c r="T467" s="8">
        <v>0.28168587022437841</v>
      </c>
      <c r="U467" s="4">
        <v>65.3</v>
      </c>
      <c r="V467" s="4">
        <v>-0.5778406018602954</v>
      </c>
      <c r="W467" s="4">
        <v>69.806095159086809</v>
      </c>
      <c r="X467" s="4">
        <v>3.5939048409131971</v>
      </c>
      <c r="Y467" s="4">
        <v>0.57389866353893493</v>
      </c>
    </row>
    <row r="468" spans="11:25" x14ac:dyDescent="0.25">
      <c r="K468" s="3"/>
      <c r="L468" s="8">
        <v>89</v>
      </c>
      <c r="M468" s="4"/>
      <c r="N468" s="4"/>
      <c r="O468" s="4"/>
      <c r="P468" s="4"/>
      <c r="S468" s="3">
        <v>466</v>
      </c>
      <c r="T468" s="8">
        <v>0.28229229836264402</v>
      </c>
      <c r="U468" s="4">
        <v>65.3</v>
      </c>
      <c r="V468" s="4">
        <v>-0.57604524977760363</v>
      </c>
      <c r="W468" s="4">
        <v>69.559508362608852</v>
      </c>
      <c r="X468" s="4">
        <v>3.2404916373911448</v>
      </c>
      <c r="Y468" s="4">
        <v>0.51746328916024575</v>
      </c>
    </row>
    <row r="469" spans="11:25" x14ac:dyDescent="0.25">
      <c r="K469" s="3"/>
      <c r="L469" s="8">
        <v>89</v>
      </c>
      <c r="M469" s="4"/>
      <c r="N469" s="4"/>
      <c r="O469" s="4"/>
      <c r="P469" s="4"/>
      <c r="S469" s="3">
        <v>467</v>
      </c>
      <c r="T469" s="8">
        <v>0.28289872650090964</v>
      </c>
      <c r="U469" s="4">
        <v>65.3</v>
      </c>
      <c r="V469" s="4">
        <v>-0.57425175253865857</v>
      </c>
      <c r="W469" s="4">
        <v>68.67179589528817</v>
      </c>
      <c r="X469" s="4">
        <v>4.628204104711827</v>
      </c>
      <c r="Y469" s="4">
        <v>0.73906245931782111</v>
      </c>
    </row>
    <row r="470" spans="11:25" x14ac:dyDescent="0.25">
      <c r="K470" s="3"/>
      <c r="L470" s="8">
        <v>89</v>
      </c>
      <c r="M470" s="4"/>
      <c r="N470" s="4"/>
      <c r="O470" s="4"/>
      <c r="P470" s="4"/>
      <c r="S470" s="3">
        <v>468</v>
      </c>
      <c r="T470" s="8">
        <v>0.28350515463917525</v>
      </c>
      <c r="U470" s="4">
        <v>65.3</v>
      </c>
      <c r="V470" s="4">
        <v>-0.57246010055765462</v>
      </c>
      <c r="W470" s="4">
        <v>68.523843817401399</v>
      </c>
      <c r="X470" s="4">
        <v>4.4761561825986007</v>
      </c>
      <c r="Y470" s="4">
        <v>0.71478243434295841</v>
      </c>
    </row>
    <row r="471" spans="11:25" x14ac:dyDescent="0.25">
      <c r="K471" s="3"/>
      <c r="L471" s="8">
        <v>89</v>
      </c>
      <c r="M471" s="4"/>
      <c r="N471" s="4"/>
      <c r="O471" s="4"/>
      <c r="P471" s="4"/>
      <c r="S471" s="3">
        <v>469</v>
      </c>
      <c r="T471" s="8">
        <v>0.28411158277744086</v>
      </c>
      <c r="U471" s="4">
        <v>65.400000000000006</v>
      </c>
      <c r="V471" s="4">
        <v>-0.57067028430202493</v>
      </c>
      <c r="W471" s="4">
        <v>68.67179589528817</v>
      </c>
      <c r="X471" s="4">
        <v>4.3282041047118298</v>
      </c>
      <c r="Y471" s="4">
        <v>0.6911564610560722</v>
      </c>
    </row>
    <row r="472" spans="11:25" x14ac:dyDescent="0.25">
      <c r="K472" s="3"/>
      <c r="L472" s="8">
        <v>89</v>
      </c>
      <c r="M472" s="4"/>
      <c r="N472" s="4"/>
      <c r="O472" s="4"/>
      <c r="P472" s="4"/>
      <c r="S472" s="3">
        <v>470</v>
      </c>
      <c r="T472" s="8">
        <v>0.28471801091570648</v>
      </c>
      <c r="U472" s="4">
        <v>65.400000000000006</v>
      </c>
      <c r="V472" s="4">
        <v>-0.56888229429198423</v>
      </c>
      <c r="W472" s="4">
        <v>67.882718146558688</v>
      </c>
      <c r="X472" s="4">
        <v>4.1172818534413125</v>
      </c>
      <c r="Y472" s="4">
        <v>0.65747499104697327</v>
      </c>
    </row>
    <row r="473" spans="11:25" x14ac:dyDescent="0.25">
      <c r="K473" s="3"/>
      <c r="L473" s="8">
        <v>89</v>
      </c>
      <c r="M473" s="4"/>
      <c r="N473" s="4"/>
      <c r="O473" s="4"/>
      <c r="P473" s="4"/>
      <c r="S473" s="3">
        <v>471</v>
      </c>
      <c r="T473" s="8">
        <v>0.28532443905397209</v>
      </c>
      <c r="U473" s="4">
        <v>65.400000000000006</v>
      </c>
      <c r="V473" s="4">
        <v>-0.56709612110007845</v>
      </c>
      <c r="W473" s="4">
        <v>68.178622302332258</v>
      </c>
      <c r="X473" s="4">
        <v>3.8213776976677423</v>
      </c>
      <c r="Y473" s="4">
        <v>0.61022304447319631</v>
      </c>
    </row>
    <row r="474" spans="11:25" x14ac:dyDescent="0.25">
      <c r="K474" s="3"/>
      <c r="L474" s="8">
        <v>89</v>
      </c>
      <c r="M474" s="4"/>
      <c r="N474" s="4"/>
      <c r="O474" s="4"/>
      <c r="P474" s="4"/>
      <c r="S474" s="3">
        <v>472</v>
      </c>
      <c r="T474" s="8">
        <v>0.2859308671922377</v>
      </c>
      <c r="U474" s="4">
        <v>65.400000000000006</v>
      </c>
      <c r="V474" s="4">
        <v>-0.56531175535073541</v>
      </c>
      <c r="W474" s="4">
        <v>76.463938663991826</v>
      </c>
      <c r="X474" s="4">
        <v>-5.06393866399182</v>
      </c>
      <c r="Y474" s="4">
        <v>-0.80864345611599286</v>
      </c>
    </row>
    <row r="475" spans="11:25" x14ac:dyDescent="0.25">
      <c r="K475" s="3"/>
      <c r="L475" s="8">
        <v>89</v>
      </c>
      <c r="M475" s="4"/>
      <c r="N475" s="4"/>
      <c r="O475" s="4"/>
      <c r="P475" s="4"/>
      <c r="S475" s="3">
        <v>473</v>
      </c>
      <c r="T475" s="8">
        <v>0.28653729533050332</v>
      </c>
      <c r="U475" s="4">
        <v>65.400000000000006</v>
      </c>
      <c r="V475" s="4">
        <v>-0.56352918771982574</v>
      </c>
      <c r="W475" s="4">
        <v>68.030670224445473</v>
      </c>
      <c r="X475" s="4">
        <v>3.6693297755545302</v>
      </c>
      <c r="Y475" s="4">
        <v>0.58594301949833583</v>
      </c>
    </row>
    <row r="476" spans="11:25" x14ac:dyDescent="0.25">
      <c r="K476" s="3"/>
      <c r="L476" s="8">
        <v>89</v>
      </c>
      <c r="M476" s="4"/>
      <c r="N476" s="4"/>
      <c r="O476" s="4"/>
      <c r="P476" s="4"/>
      <c r="S476" s="3">
        <v>474</v>
      </c>
      <c r="T476" s="8">
        <v>0.28714372346876893</v>
      </c>
      <c r="U476" s="4">
        <v>65.5</v>
      </c>
      <c r="V476" s="4">
        <v>-0.56174840893422062</v>
      </c>
      <c r="W476" s="4">
        <v>76.463938663991826</v>
      </c>
      <c r="X476" s="4">
        <v>-5.2639386639918229</v>
      </c>
      <c r="Y476" s="4">
        <v>-0.84058078829049288</v>
      </c>
    </row>
    <row r="477" spans="11:25" x14ac:dyDescent="0.25">
      <c r="K477" s="3"/>
      <c r="L477" s="8">
        <v>36.299999999999997</v>
      </c>
      <c r="M477" s="4"/>
      <c r="N477" s="4"/>
      <c r="O477" s="4"/>
      <c r="P477" s="4"/>
      <c r="S477" s="3">
        <v>475</v>
      </c>
      <c r="T477" s="8">
        <v>0.28775015160703454</v>
      </c>
      <c r="U477" s="4">
        <v>65.5</v>
      </c>
      <c r="V477" s="4">
        <v>-0.55996940977136256</v>
      </c>
      <c r="W477" s="4">
        <v>67.19227511642039</v>
      </c>
      <c r="X477" s="4">
        <v>7.8077248835796098</v>
      </c>
      <c r="Y477" s="4">
        <v>1.2467895156699418</v>
      </c>
    </row>
    <row r="478" spans="11:25" x14ac:dyDescent="0.25">
      <c r="K478" s="3"/>
      <c r="L478" s="8">
        <v>36.299999999999997</v>
      </c>
      <c r="M478" s="4"/>
      <c r="N478" s="4"/>
      <c r="O478" s="4"/>
      <c r="P478" s="4"/>
      <c r="S478" s="3">
        <v>476</v>
      </c>
      <c r="T478" s="8">
        <v>0.28835657974530016</v>
      </c>
      <c r="U478" s="4">
        <v>65.5</v>
      </c>
      <c r="V478" s="4">
        <v>-0.55819218105883273</v>
      </c>
      <c r="W478" s="4">
        <v>67.093640397829205</v>
      </c>
      <c r="X478" s="4">
        <v>3.9063596021707951</v>
      </c>
      <c r="Y478" s="4">
        <v>0.62379352103787433</v>
      </c>
    </row>
    <row r="479" spans="11:25" x14ac:dyDescent="0.25">
      <c r="K479" s="3"/>
      <c r="L479" s="8">
        <v>36.299999999999997</v>
      </c>
      <c r="M479" s="4"/>
      <c r="N479" s="4"/>
      <c r="O479" s="4"/>
      <c r="P479" s="4"/>
      <c r="S479" s="3">
        <v>477</v>
      </c>
      <c r="T479" s="8">
        <v>0.28896300788356577</v>
      </c>
      <c r="U479" s="4">
        <v>65.5</v>
      </c>
      <c r="V479" s="4">
        <v>-0.55641671367392787</v>
      </c>
      <c r="W479" s="4">
        <v>66.99500567923802</v>
      </c>
      <c r="X479" s="4">
        <v>3.0049943207619805</v>
      </c>
      <c r="Y479" s="4">
        <v>0.4798575090233011</v>
      </c>
    </row>
    <row r="480" spans="11:25" x14ac:dyDescent="0.25">
      <c r="K480" s="3"/>
      <c r="L480" s="8">
        <v>36.299999999999997</v>
      </c>
      <c r="M480" s="4"/>
      <c r="N480" s="4"/>
      <c r="O480" s="4"/>
      <c r="P480" s="4"/>
      <c r="S480" s="3">
        <v>478</v>
      </c>
      <c r="T480" s="8">
        <v>0.28956943602183144</v>
      </c>
      <c r="U480" s="4">
        <v>65.5</v>
      </c>
      <c r="V480" s="4">
        <v>-0.55464299854323906</v>
      </c>
      <c r="W480" s="4">
        <v>76.16803450821827</v>
      </c>
      <c r="X480" s="4">
        <v>-6.268034508218264</v>
      </c>
      <c r="Y480" s="4">
        <v>-1.0009215008509653</v>
      </c>
    </row>
    <row r="481" spans="11:25" x14ac:dyDescent="0.25">
      <c r="K481" s="3"/>
      <c r="L481" s="8">
        <v>36.299999999999997</v>
      </c>
      <c r="M481" s="4"/>
      <c r="N481" s="4"/>
      <c r="O481" s="4"/>
      <c r="P481" s="4"/>
      <c r="S481" s="3">
        <v>479</v>
      </c>
      <c r="T481" s="8">
        <v>0.29017586416009705</v>
      </c>
      <c r="U481" s="4">
        <v>65.599999999999994</v>
      </c>
      <c r="V481" s="4">
        <v>-0.55287102664223609</v>
      </c>
      <c r="W481" s="4">
        <v>76.41462130469624</v>
      </c>
      <c r="X481" s="4">
        <v>-3.4146213046962401</v>
      </c>
      <c r="Y481" s="4">
        <v>-0.54526947429103545</v>
      </c>
    </row>
    <row r="482" spans="11:25" x14ac:dyDescent="0.25">
      <c r="K482" s="3"/>
      <c r="L482" s="8">
        <v>36.299999999999997</v>
      </c>
      <c r="M482" s="4"/>
      <c r="N482" s="4"/>
      <c r="O482" s="4"/>
      <c r="P482" s="4"/>
      <c r="S482" s="3">
        <v>480</v>
      </c>
      <c r="T482" s="8">
        <v>0.29078229229836267</v>
      </c>
      <c r="U482" s="4">
        <v>65.599999999999994</v>
      </c>
      <c r="V482" s="4">
        <v>-0.5511007889948536</v>
      </c>
      <c r="W482" s="4">
        <v>66.797736242055649</v>
      </c>
      <c r="X482" s="4">
        <v>2.1022637579443568</v>
      </c>
      <c r="Y482" s="4">
        <v>0.3357034797794039</v>
      </c>
    </row>
    <row r="483" spans="11:25" x14ac:dyDescent="0.25">
      <c r="K483" s="3"/>
      <c r="L483" s="8">
        <v>36.299999999999997</v>
      </c>
      <c r="M483" s="4"/>
      <c r="N483" s="4"/>
      <c r="O483" s="4"/>
      <c r="P483" s="4"/>
      <c r="S483" s="3">
        <v>481</v>
      </c>
      <c r="T483" s="8">
        <v>0.29138872043662828</v>
      </c>
      <c r="U483" s="4">
        <v>65.599999999999994</v>
      </c>
      <c r="V483" s="4">
        <v>-0.54933227667308504</v>
      </c>
      <c r="W483" s="4">
        <v>66.847053601351249</v>
      </c>
      <c r="X483" s="4">
        <v>2.1529463986487514</v>
      </c>
      <c r="Y483" s="4">
        <v>0.34379682143768925</v>
      </c>
    </row>
    <row r="484" spans="11:25" x14ac:dyDescent="0.25">
      <c r="K484" s="3"/>
      <c r="L484" s="8">
        <v>89</v>
      </c>
      <c r="M484" s="4"/>
      <c r="N484" s="4"/>
      <c r="O484" s="4"/>
      <c r="P484" s="4"/>
      <c r="S484" s="3">
        <v>482</v>
      </c>
      <c r="T484" s="8">
        <v>0.29199514857489389</v>
      </c>
      <c r="U484" s="4">
        <v>65.599999999999994</v>
      </c>
      <c r="V484" s="4">
        <v>-0.54756548079657597</v>
      </c>
      <c r="W484" s="4">
        <v>76.020082430331499</v>
      </c>
      <c r="X484" s="4">
        <v>-18.1200824303315</v>
      </c>
      <c r="Y484" s="4">
        <v>-2.8935354580340573</v>
      </c>
    </row>
    <row r="485" spans="11:25" x14ac:dyDescent="0.25">
      <c r="K485" s="3"/>
      <c r="L485" s="8">
        <v>89</v>
      </c>
      <c r="M485" s="4"/>
      <c r="N485" s="4"/>
      <c r="O485" s="4"/>
      <c r="P485" s="4"/>
      <c r="S485" s="3">
        <v>483</v>
      </c>
      <c r="T485" s="8">
        <v>0.29260157671315951</v>
      </c>
      <c r="U485" s="4">
        <v>65.599999999999994</v>
      </c>
      <c r="V485" s="4">
        <v>-0.54580039253222679</v>
      </c>
      <c r="W485" s="4">
        <v>63.49347316925094</v>
      </c>
      <c r="X485" s="4">
        <v>-0.59347316925094162</v>
      </c>
      <c r="Y485" s="4">
        <v>-9.476974871510177E-2</v>
      </c>
    </row>
    <row r="486" spans="11:25" x14ac:dyDescent="0.25">
      <c r="K486" s="3"/>
      <c r="L486" s="8">
        <v>89</v>
      </c>
      <c r="M486" s="4"/>
      <c r="N486" s="4"/>
      <c r="O486" s="4"/>
      <c r="P486" s="4"/>
      <c r="S486" s="3">
        <v>484</v>
      </c>
      <c r="T486" s="8">
        <v>0.29320800485142512</v>
      </c>
      <c r="U486" s="4">
        <v>65.599999999999994</v>
      </c>
      <c r="V486" s="4">
        <v>-0.54403700309379466</v>
      </c>
      <c r="W486" s="4">
        <v>62.901664857703828</v>
      </c>
      <c r="X486" s="4">
        <v>-0.80166485770382678</v>
      </c>
      <c r="Y486" s="4">
        <v>-0.12801518426555042</v>
      </c>
    </row>
    <row r="487" spans="11:25" x14ac:dyDescent="0.25">
      <c r="K487" s="3"/>
      <c r="L487" s="8">
        <v>89</v>
      </c>
      <c r="M487" s="4"/>
      <c r="N487" s="4"/>
      <c r="O487" s="4"/>
      <c r="P487" s="4"/>
      <c r="S487" s="3">
        <v>485</v>
      </c>
      <c r="T487" s="8">
        <v>0.29381443298969073</v>
      </c>
      <c r="U487" s="4">
        <v>65.599999999999994</v>
      </c>
      <c r="V487" s="4">
        <v>-0.54227530374150235</v>
      </c>
      <c r="W487" s="4">
        <v>62.260539186861124</v>
      </c>
      <c r="X487" s="4">
        <v>-0.86053918686112496</v>
      </c>
      <c r="Y487" s="4">
        <v>-0.13741662929978773</v>
      </c>
    </row>
    <row r="488" spans="11:25" x14ac:dyDescent="0.25">
      <c r="K488" s="3"/>
      <c r="L488" s="8">
        <v>89</v>
      </c>
      <c r="M488" s="4"/>
      <c r="N488" s="4"/>
      <c r="O488" s="4"/>
      <c r="P488" s="4"/>
      <c r="S488" s="3">
        <v>486</v>
      </c>
      <c r="T488" s="8">
        <v>0.29442086112795635</v>
      </c>
      <c r="U488" s="4">
        <v>65.7</v>
      </c>
      <c r="V488" s="4">
        <v>-0.54051528578164898</v>
      </c>
      <c r="W488" s="4">
        <v>61.718048234609597</v>
      </c>
      <c r="X488" s="4">
        <v>5.2819517653904029</v>
      </c>
      <c r="Y488" s="4">
        <v>0.84345724030478986</v>
      </c>
    </row>
    <row r="489" spans="11:25" x14ac:dyDescent="0.25">
      <c r="K489" s="3"/>
      <c r="L489" s="8">
        <v>89</v>
      </c>
      <c r="M489" s="4"/>
      <c r="N489" s="4"/>
      <c r="O489" s="4"/>
      <c r="P489" s="4"/>
      <c r="S489" s="3">
        <v>487</v>
      </c>
      <c r="T489" s="8">
        <v>0.29502728926622196</v>
      </c>
      <c r="U489" s="4">
        <v>65.7</v>
      </c>
      <c r="V489" s="4">
        <v>-0.53875694056622625</v>
      </c>
      <c r="W489" s="4">
        <v>61.372826719540456</v>
      </c>
      <c r="X489" s="4">
        <v>0.62717328045954446</v>
      </c>
      <c r="Y489" s="4">
        <v>0.1001512069450354</v>
      </c>
    </row>
    <row r="490" spans="11:25" x14ac:dyDescent="0.25">
      <c r="K490" s="3"/>
      <c r="L490" s="8">
        <v>89</v>
      </c>
      <c r="M490" s="4"/>
      <c r="N490" s="4"/>
      <c r="O490" s="4"/>
      <c r="P490" s="4"/>
      <c r="S490" s="3">
        <v>488</v>
      </c>
      <c r="T490" s="8">
        <v>0.29563371740448757</v>
      </c>
      <c r="U490" s="4">
        <v>65.7</v>
      </c>
      <c r="V490" s="4">
        <v>-0.53700025949253782</v>
      </c>
      <c r="W490" s="4">
        <v>61.0276052044713</v>
      </c>
      <c r="X490" s="4">
        <v>-1.3276052044712969</v>
      </c>
      <c r="Y490" s="4">
        <v>-0.21200084205897149</v>
      </c>
    </row>
    <row r="491" spans="11:25" x14ac:dyDescent="0.25">
      <c r="K491" s="3"/>
      <c r="L491" s="8">
        <v>89</v>
      </c>
      <c r="M491" s="4"/>
      <c r="N491" s="4"/>
      <c r="O491" s="4"/>
      <c r="P491" s="4"/>
      <c r="S491" s="3">
        <v>489</v>
      </c>
      <c r="T491" s="8">
        <v>0.29624014554275319</v>
      </c>
      <c r="U491" s="4">
        <v>65.7</v>
      </c>
      <c r="V491" s="4">
        <v>-0.53524523400282065</v>
      </c>
      <c r="W491" s="4">
        <v>75.921447711740313</v>
      </c>
      <c r="X491" s="4">
        <v>-16.521447711740315</v>
      </c>
      <c r="Y491" s="4">
        <v>-2.6382548178673852</v>
      </c>
    </row>
    <row r="492" spans="11:25" x14ac:dyDescent="0.25">
      <c r="K492" s="3"/>
      <c r="L492" s="8">
        <v>89</v>
      </c>
      <c r="M492" s="4"/>
      <c r="N492" s="4"/>
      <c r="O492" s="4"/>
      <c r="P492" s="4"/>
      <c r="S492" s="3">
        <v>490</v>
      </c>
      <c r="T492" s="8">
        <v>0.2968465736810188</v>
      </c>
      <c r="U492" s="4">
        <v>65.8</v>
      </c>
      <c r="V492" s="4">
        <v>-0.53349185558387502</v>
      </c>
      <c r="W492" s="4">
        <v>60.731701048697744</v>
      </c>
      <c r="X492" s="4">
        <v>-1.6317010486977424</v>
      </c>
      <c r="Y492" s="4">
        <v>-0.26056089200869587</v>
      </c>
    </row>
    <row r="493" spans="11:25" x14ac:dyDescent="0.25">
      <c r="K493" s="3"/>
      <c r="L493" s="8">
        <v>89</v>
      </c>
      <c r="M493" s="4"/>
      <c r="N493" s="4"/>
      <c r="O493" s="4"/>
      <c r="P493" s="4"/>
      <c r="S493" s="3">
        <v>491</v>
      </c>
      <c r="T493" s="8">
        <v>0.29745300181928441</v>
      </c>
      <c r="U493" s="4">
        <v>65.8</v>
      </c>
      <c r="V493" s="4">
        <v>-0.53174011576669022</v>
      </c>
      <c r="W493" s="4">
        <v>60.682383689402158</v>
      </c>
      <c r="X493" s="4">
        <v>-1.8823836894021611</v>
      </c>
      <c r="Y493" s="4">
        <v>-0.30059156584148466</v>
      </c>
    </row>
    <row r="494" spans="11:25" x14ac:dyDescent="0.25">
      <c r="K494" s="3"/>
      <c r="L494" s="8">
        <v>36.299999999999997</v>
      </c>
      <c r="M494" s="4"/>
      <c r="N494" s="4"/>
      <c r="O494" s="4"/>
      <c r="P494" s="4"/>
      <c r="S494" s="3">
        <v>492</v>
      </c>
      <c r="T494" s="8">
        <v>0.29805942995755003</v>
      </c>
      <c r="U494" s="4">
        <v>65.8</v>
      </c>
      <c r="V494" s="4">
        <v>-0.52999000612608271</v>
      </c>
      <c r="W494" s="4">
        <v>60.682383689402158</v>
      </c>
      <c r="X494" s="4">
        <v>-2.1823836894021582</v>
      </c>
      <c r="Y494" s="4">
        <v>-0.34849756410323363</v>
      </c>
    </row>
    <row r="495" spans="11:25" x14ac:dyDescent="0.25">
      <c r="K495" s="3"/>
      <c r="L495" s="8">
        <v>36.299999999999997</v>
      </c>
      <c r="M495" s="4"/>
      <c r="N495" s="4"/>
      <c r="O495" s="4"/>
      <c r="P495" s="4"/>
      <c r="S495" s="3">
        <v>493</v>
      </c>
      <c r="T495" s="8">
        <v>0.29866585809581564</v>
      </c>
      <c r="U495" s="4">
        <v>65.8</v>
      </c>
      <c r="V495" s="4">
        <v>-0.52824151828033139</v>
      </c>
      <c r="W495" s="4">
        <v>71.581520093728145</v>
      </c>
      <c r="X495" s="4">
        <v>5.7184799062718525</v>
      </c>
      <c r="Y495" s="4">
        <v>0.91316496149902793</v>
      </c>
    </row>
    <row r="496" spans="11:25" x14ac:dyDescent="0.25">
      <c r="K496" s="3"/>
      <c r="L496" s="8">
        <v>36.299999999999997</v>
      </c>
      <c r="M496" s="4"/>
      <c r="N496" s="4"/>
      <c r="O496" s="4"/>
      <c r="P496" s="4"/>
      <c r="S496" s="3">
        <v>494</v>
      </c>
      <c r="T496" s="8">
        <v>0.29927228623408125</v>
      </c>
      <c r="U496" s="4">
        <v>65.8</v>
      </c>
      <c r="V496" s="4">
        <v>-0.5264946438908179</v>
      </c>
      <c r="W496" s="4">
        <v>71.334933297250188</v>
      </c>
      <c r="X496" s="4">
        <v>5.5650667027498173</v>
      </c>
      <c r="Y496" s="4">
        <v>0.88866691929484121</v>
      </c>
    </row>
    <row r="497" spans="11:25" x14ac:dyDescent="0.25">
      <c r="K497" s="3"/>
      <c r="L497" s="8">
        <v>36.299999999999997</v>
      </c>
      <c r="M497" s="4"/>
      <c r="N497" s="4"/>
      <c r="O497" s="4"/>
      <c r="P497" s="4"/>
      <c r="S497" s="3">
        <v>495</v>
      </c>
      <c r="T497" s="8">
        <v>0.29987871437234687</v>
      </c>
      <c r="U497" s="4">
        <v>65.8</v>
      </c>
      <c r="V497" s="4">
        <v>-0.52474937466167326</v>
      </c>
      <c r="W497" s="4">
        <v>70.940394422885447</v>
      </c>
      <c r="X497" s="4">
        <v>5.3596055771145501</v>
      </c>
      <c r="Y497" s="4">
        <v>0.85585751820304057</v>
      </c>
    </row>
    <row r="498" spans="11:25" x14ac:dyDescent="0.25">
      <c r="K498" s="3"/>
      <c r="L498" s="8">
        <v>36.299999999999997</v>
      </c>
      <c r="M498" s="4"/>
      <c r="N498" s="4"/>
      <c r="O498" s="4"/>
      <c r="P498" s="4"/>
      <c r="S498" s="3">
        <v>496</v>
      </c>
      <c r="T498" s="8">
        <v>0.30048514251061248</v>
      </c>
      <c r="U498" s="4">
        <v>65.8</v>
      </c>
      <c r="V498" s="4">
        <v>-0.52300570233942389</v>
      </c>
      <c r="W498" s="4">
        <v>70.792442344998662</v>
      </c>
      <c r="X498" s="4">
        <v>5.3075576550013324</v>
      </c>
      <c r="Y498" s="4">
        <v>0.84754615931542898</v>
      </c>
    </row>
    <row r="499" spans="11:25" x14ac:dyDescent="0.25">
      <c r="K499" s="3"/>
      <c r="L499" s="8">
        <v>36.299999999999997</v>
      </c>
      <c r="M499" s="4"/>
      <c r="N499" s="4"/>
      <c r="O499" s="4"/>
      <c r="P499" s="4"/>
      <c r="S499" s="3">
        <v>497</v>
      </c>
      <c r="T499" s="8">
        <v>0.30109157064887809</v>
      </c>
      <c r="U499" s="4">
        <v>65.900000000000006</v>
      </c>
      <c r="V499" s="4">
        <v>-0.52126361871264304</v>
      </c>
      <c r="W499" s="4">
        <v>70.841759704294262</v>
      </c>
      <c r="X499" s="4">
        <v>4.7582402957057326</v>
      </c>
      <c r="Y499" s="4">
        <v>0.7598275044502163</v>
      </c>
    </row>
    <row r="500" spans="11:25" x14ac:dyDescent="0.25">
      <c r="K500" s="3"/>
      <c r="L500" s="8">
        <v>89</v>
      </c>
      <c r="M500" s="4"/>
      <c r="N500" s="4"/>
      <c r="O500" s="4"/>
      <c r="P500" s="4"/>
      <c r="S500" s="3">
        <v>498</v>
      </c>
      <c r="T500" s="8">
        <v>0.30169799878714371</v>
      </c>
      <c r="U500" s="4">
        <v>65.900000000000006</v>
      </c>
      <c r="V500" s="4">
        <v>-0.51952311561160625</v>
      </c>
      <c r="W500" s="4">
        <v>69.904729877677994</v>
      </c>
      <c r="X500" s="4">
        <v>4.9952701223220117</v>
      </c>
      <c r="Y500" s="4">
        <v>0.79767800598975713</v>
      </c>
    </row>
    <row r="501" spans="11:25" x14ac:dyDescent="0.25">
      <c r="K501" s="3"/>
      <c r="L501" s="8">
        <v>89</v>
      </c>
      <c r="M501" s="4"/>
      <c r="N501" s="4"/>
      <c r="O501" s="4"/>
      <c r="P501" s="4"/>
      <c r="S501" s="3">
        <v>499</v>
      </c>
      <c r="T501" s="8">
        <v>0.30230442692540932</v>
      </c>
      <c r="U501" s="4">
        <v>65.900000000000006</v>
      </c>
      <c r="V501" s="4">
        <v>-0.51778418490794742</v>
      </c>
      <c r="W501" s="4">
        <v>69.362238925426482</v>
      </c>
      <c r="X501" s="4">
        <v>4.8377610745735211</v>
      </c>
      <c r="Y501" s="4">
        <v>0.7725259120975938</v>
      </c>
    </row>
    <row r="502" spans="11:25" x14ac:dyDescent="0.25">
      <c r="K502" s="3"/>
      <c r="L502" s="8">
        <v>89</v>
      </c>
      <c r="M502" s="4"/>
      <c r="N502" s="4"/>
      <c r="O502" s="4"/>
      <c r="P502" s="4"/>
      <c r="S502" s="3">
        <v>500</v>
      </c>
      <c r="T502" s="8">
        <v>0.30291085506367493</v>
      </c>
      <c r="U502" s="4">
        <v>65.900000000000006</v>
      </c>
      <c r="V502" s="4">
        <v>-0.51604681851432244</v>
      </c>
      <c r="W502" s="4">
        <v>68.277257020923429</v>
      </c>
      <c r="X502" s="4">
        <v>4.7227429790765711</v>
      </c>
      <c r="Y502" s="4">
        <v>0.75415905648777171</v>
      </c>
    </row>
    <row r="503" spans="11:25" x14ac:dyDescent="0.25">
      <c r="K503" s="3"/>
      <c r="L503" s="8">
        <v>89</v>
      </c>
      <c r="M503" s="4"/>
      <c r="N503" s="4"/>
      <c r="O503" s="4"/>
      <c r="P503" s="4"/>
      <c r="S503" s="3">
        <v>501</v>
      </c>
      <c r="T503" s="8">
        <v>0.30351728320194055</v>
      </c>
      <c r="U503" s="4">
        <v>65.900000000000006</v>
      </c>
      <c r="V503" s="4">
        <v>-0.51431100838407151</v>
      </c>
      <c r="W503" s="4">
        <v>68.326574380219029</v>
      </c>
      <c r="X503" s="4">
        <v>4.6734256197809714</v>
      </c>
      <c r="Y503" s="4">
        <v>0.74628373205880816</v>
      </c>
    </row>
    <row r="504" spans="11:25" x14ac:dyDescent="0.25">
      <c r="K504" s="3"/>
      <c r="L504" s="8">
        <v>89</v>
      </c>
      <c r="M504" s="4"/>
      <c r="N504" s="4"/>
      <c r="O504" s="4"/>
      <c r="P504" s="4"/>
      <c r="S504" s="3">
        <v>502</v>
      </c>
      <c r="T504" s="8">
        <v>0.30412371134020616</v>
      </c>
      <c r="U504" s="4">
        <v>65.900000000000006</v>
      </c>
      <c r="V504" s="4">
        <v>-0.5125767465108868</v>
      </c>
      <c r="W504" s="4">
        <v>68.277257020923429</v>
      </c>
      <c r="X504" s="4">
        <v>4.5227429790765683</v>
      </c>
      <c r="Y504" s="4">
        <v>0.7222217243132717</v>
      </c>
    </row>
    <row r="505" spans="11:25" x14ac:dyDescent="0.25">
      <c r="K505" s="3"/>
      <c r="L505" s="8">
        <v>89</v>
      </c>
      <c r="M505" s="4"/>
      <c r="N505" s="4"/>
      <c r="O505" s="4"/>
      <c r="P505" s="4"/>
      <c r="S505" s="3">
        <v>503</v>
      </c>
      <c r="T505" s="8">
        <v>0.30473013947847183</v>
      </c>
      <c r="U505" s="4">
        <v>65.900000000000006</v>
      </c>
      <c r="V505" s="4">
        <v>-0.51084402492848391</v>
      </c>
      <c r="W505" s="4">
        <v>67.981352865149887</v>
      </c>
      <c r="X505" s="4">
        <v>4.3186471348501101</v>
      </c>
      <c r="Y505" s="4">
        <v>0.68963034045079508</v>
      </c>
    </row>
    <row r="506" spans="11:25" x14ac:dyDescent="0.25">
      <c r="K506" s="3"/>
      <c r="L506" s="8">
        <v>89</v>
      </c>
      <c r="M506" s="4"/>
      <c r="N506" s="4"/>
      <c r="O506" s="4"/>
      <c r="P506" s="4"/>
      <c r="S506" s="3">
        <v>504</v>
      </c>
      <c r="T506" s="8">
        <v>0.30533656761673744</v>
      </c>
      <c r="U506" s="4">
        <v>65.900000000000006</v>
      </c>
      <c r="V506" s="4">
        <v>-0.50911283571027577</v>
      </c>
      <c r="W506" s="4">
        <v>66.057975852621766</v>
      </c>
      <c r="X506" s="4">
        <v>-1.8579758526217631</v>
      </c>
      <c r="Y506" s="4">
        <v>-0.296693959886902</v>
      </c>
    </row>
    <row r="507" spans="11:25" x14ac:dyDescent="0.25">
      <c r="K507" s="3"/>
      <c r="L507" s="8">
        <v>89</v>
      </c>
      <c r="M507" s="4"/>
      <c r="N507" s="4"/>
      <c r="O507" s="4"/>
      <c r="P507" s="4"/>
      <c r="S507" s="3">
        <v>505</v>
      </c>
      <c r="T507" s="8">
        <v>0.30594299575500306</v>
      </c>
      <c r="U507" s="4">
        <v>66</v>
      </c>
      <c r="V507" s="4">
        <v>-0.50738317096904828</v>
      </c>
      <c r="W507" s="4">
        <v>65.910023774734981</v>
      </c>
      <c r="X507" s="4">
        <v>-2.210023774734978</v>
      </c>
      <c r="Y507" s="4">
        <v>-0.35291131703626255</v>
      </c>
    </row>
    <row r="508" spans="11:25" x14ac:dyDescent="0.25">
      <c r="K508" s="3"/>
      <c r="L508" s="8">
        <v>89</v>
      </c>
      <c r="M508" s="4"/>
      <c r="N508" s="4"/>
      <c r="O508" s="4"/>
      <c r="P508" s="4"/>
      <c r="S508" s="3">
        <v>506</v>
      </c>
      <c r="T508" s="8">
        <v>0.30654942389326867</v>
      </c>
      <c r="U508" s="4">
        <v>66</v>
      </c>
      <c r="V508" s="4">
        <v>-0.50565502285664099</v>
      </c>
      <c r="W508" s="4">
        <v>65.71275433755261</v>
      </c>
      <c r="X508" s="4">
        <v>-2.412754337552613</v>
      </c>
      <c r="Y508" s="4">
        <v>-0.38528468366941288</v>
      </c>
    </row>
    <row r="509" spans="11:25" x14ac:dyDescent="0.25">
      <c r="K509" s="3"/>
      <c r="L509" s="8">
        <v>89</v>
      </c>
      <c r="M509" s="4"/>
      <c r="N509" s="4"/>
      <c r="O509" s="4"/>
      <c r="P509" s="4"/>
      <c r="S509" s="3">
        <v>507</v>
      </c>
      <c r="T509" s="8">
        <v>0.30715585203153428</v>
      </c>
      <c r="U509" s="4">
        <v>66</v>
      </c>
      <c r="V509" s="4">
        <v>-0.5039283835636299</v>
      </c>
      <c r="W509" s="4">
        <v>65.318215463187869</v>
      </c>
      <c r="X509" s="4">
        <v>-2.7182154631878674</v>
      </c>
      <c r="Y509" s="4">
        <v>-0.4340627508484613</v>
      </c>
    </row>
    <row r="510" spans="11:25" x14ac:dyDescent="0.25">
      <c r="K510" s="3"/>
      <c r="L510" s="8">
        <v>89</v>
      </c>
      <c r="M510" s="4"/>
      <c r="N510" s="4"/>
      <c r="O510" s="4"/>
      <c r="P510" s="4"/>
      <c r="S510" s="3">
        <v>508</v>
      </c>
      <c r="T510" s="8">
        <v>0.3077622801697999</v>
      </c>
      <c r="U510" s="4">
        <v>66</v>
      </c>
      <c r="V510" s="4">
        <v>-0.50220324531901339</v>
      </c>
      <c r="W510" s="4">
        <v>64.726407151640757</v>
      </c>
      <c r="X510" s="4">
        <v>-2.9264071516407597</v>
      </c>
      <c r="Y510" s="4">
        <v>-0.46730818639891109</v>
      </c>
    </row>
    <row r="511" spans="11:25" x14ac:dyDescent="0.25">
      <c r="K511" s="3"/>
      <c r="L511" s="8">
        <v>89</v>
      </c>
      <c r="M511" s="4"/>
      <c r="N511" s="4"/>
      <c r="O511" s="4"/>
      <c r="P511" s="4"/>
      <c r="S511" s="3">
        <v>509</v>
      </c>
      <c r="T511" s="8">
        <v>0.30836870830806551</v>
      </c>
      <c r="U511" s="4">
        <v>66</v>
      </c>
      <c r="V511" s="4">
        <v>-0.50047960038990058</v>
      </c>
      <c r="W511" s="4">
        <v>64.085281480798045</v>
      </c>
      <c r="X511" s="4">
        <v>3.9147185192019549</v>
      </c>
      <c r="Y511" s="4">
        <v>0.62512832858709044</v>
      </c>
    </row>
    <row r="512" spans="11:25" x14ac:dyDescent="0.25">
      <c r="K512" s="3"/>
      <c r="L512" s="8">
        <v>36.299999999999997</v>
      </c>
      <c r="M512" s="4"/>
      <c r="N512" s="4"/>
      <c r="O512" s="4"/>
      <c r="P512" s="4"/>
      <c r="S512" s="3">
        <v>510</v>
      </c>
      <c r="T512" s="8">
        <v>0.30897513644633112</v>
      </c>
      <c r="U512" s="4">
        <v>66</v>
      </c>
      <c r="V512" s="4">
        <v>-0.49875744108120385</v>
      </c>
      <c r="W512" s="4">
        <v>63.345521091364162</v>
      </c>
      <c r="X512" s="4">
        <v>-3.545521091364165</v>
      </c>
      <c r="Y512" s="4">
        <v>-0.56617242413295876</v>
      </c>
    </row>
    <row r="513" spans="11:25" x14ac:dyDescent="0.25">
      <c r="K513" s="3"/>
      <c r="L513" s="8">
        <v>36.299999999999997</v>
      </c>
      <c r="M513" s="4"/>
      <c r="N513" s="4"/>
      <c r="O513" s="4"/>
      <c r="P513" s="4"/>
      <c r="S513" s="3">
        <v>511</v>
      </c>
      <c r="T513" s="8">
        <v>0.30958156458459674</v>
      </c>
      <c r="U513" s="4">
        <v>66</v>
      </c>
      <c r="V513" s="4">
        <v>-0.49703675973533223</v>
      </c>
      <c r="W513" s="4">
        <v>75.674860915262343</v>
      </c>
      <c r="X513" s="4">
        <v>-17.174860915262343</v>
      </c>
      <c r="Y513" s="4">
        <v>-2.74259619050782</v>
      </c>
    </row>
    <row r="514" spans="11:25" x14ac:dyDescent="0.25">
      <c r="K514" s="3"/>
      <c r="L514" s="8">
        <v>36.299999999999997</v>
      </c>
      <c r="M514" s="4"/>
      <c r="N514" s="4"/>
      <c r="O514" s="4"/>
      <c r="P514" s="4"/>
      <c r="S514" s="3">
        <v>512</v>
      </c>
      <c r="T514" s="8">
        <v>0.31018799272286235</v>
      </c>
      <c r="U514" s="4">
        <v>66</v>
      </c>
      <c r="V514" s="4">
        <v>-0.49531754873188943</v>
      </c>
      <c r="W514" s="4">
        <v>76.661208101174196</v>
      </c>
      <c r="X514" s="4">
        <v>-6.9612081011741935</v>
      </c>
      <c r="Y514" s="4">
        <v>-1.1116120773150897</v>
      </c>
    </row>
    <row r="515" spans="11:25" x14ac:dyDescent="0.25">
      <c r="K515" s="3"/>
      <c r="L515" s="8">
        <v>36.299999999999997</v>
      </c>
      <c r="M515" s="4"/>
      <c r="N515" s="4"/>
      <c r="O515" s="4"/>
      <c r="P515" s="4"/>
      <c r="S515" s="3">
        <v>513</v>
      </c>
      <c r="T515" s="8">
        <v>0.31079442086112796</v>
      </c>
      <c r="U515" s="4">
        <v>66</v>
      </c>
      <c r="V515" s="4">
        <v>-0.49359980048737379</v>
      </c>
      <c r="W515" s="4">
        <v>68.129304943036658</v>
      </c>
      <c r="X515" s="4">
        <v>1.4706950569633364</v>
      </c>
      <c r="Y515" s="4">
        <v>0.23485038280816356</v>
      </c>
    </row>
    <row r="516" spans="11:25" x14ac:dyDescent="0.25">
      <c r="K516" s="3"/>
      <c r="L516" s="8">
        <v>89</v>
      </c>
      <c r="M516" s="4"/>
      <c r="N516" s="4"/>
      <c r="O516" s="4"/>
      <c r="P516" s="4"/>
      <c r="S516" s="3">
        <v>514</v>
      </c>
      <c r="T516" s="8">
        <v>0.31140084899939358</v>
      </c>
      <c r="U516" s="4">
        <v>66.099999999999994</v>
      </c>
      <c r="V516" s="4">
        <v>-0.49188350745488174</v>
      </c>
      <c r="W516" s="4">
        <v>67.981352865149887</v>
      </c>
      <c r="X516" s="4">
        <v>1.4186471348501186</v>
      </c>
      <c r="Y516" s="4">
        <v>0.22653902392055195</v>
      </c>
    </row>
    <row r="517" spans="11:25" x14ac:dyDescent="0.25">
      <c r="K517" s="3"/>
      <c r="L517" s="8">
        <v>89</v>
      </c>
      <c r="M517" s="4"/>
      <c r="N517" s="4"/>
      <c r="O517" s="4"/>
      <c r="P517" s="4"/>
      <c r="S517" s="3">
        <v>515</v>
      </c>
      <c r="T517" s="8">
        <v>0.31200727713765919</v>
      </c>
      <c r="U517" s="4">
        <v>66.099999999999994</v>
      </c>
      <c r="V517" s="4">
        <v>-0.4901686621238126</v>
      </c>
      <c r="W517" s="4">
        <v>67.882718146558688</v>
      </c>
      <c r="X517" s="4">
        <v>1.3172818534413153</v>
      </c>
      <c r="Y517" s="4">
        <v>0.21035234060397906</v>
      </c>
    </row>
    <row r="518" spans="11:25" x14ac:dyDescent="0.25">
      <c r="K518" s="3"/>
      <c r="L518" s="8">
        <v>89</v>
      </c>
      <c r="M518" s="4"/>
      <c r="N518" s="4"/>
      <c r="O518" s="4"/>
      <c r="P518" s="4"/>
      <c r="S518" s="3">
        <v>516</v>
      </c>
      <c r="T518" s="8">
        <v>0.3126137052759248</v>
      </c>
      <c r="U518" s="4">
        <v>66.099999999999994</v>
      </c>
      <c r="V518" s="4">
        <v>-0.48845525701957754</v>
      </c>
      <c r="W518" s="4">
        <v>77.499603209199279</v>
      </c>
      <c r="X518" s="4">
        <v>-8.3996032091992845</v>
      </c>
      <c r="Y518" s="4">
        <v>-1.3413045891309527</v>
      </c>
    </row>
    <row r="519" spans="11:25" x14ac:dyDescent="0.25">
      <c r="K519" s="3"/>
      <c r="L519" s="8">
        <v>89</v>
      </c>
      <c r="M519" s="4"/>
      <c r="N519" s="4"/>
      <c r="O519" s="4"/>
      <c r="P519" s="4"/>
      <c r="S519" s="3">
        <v>517</v>
      </c>
      <c r="T519" s="8">
        <v>0.31322013341419042</v>
      </c>
      <c r="U519" s="4">
        <v>66.099999999999994</v>
      </c>
      <c r="V519" s="4">
        <v>-0.48674328470331041</v>
      </c>
      <c r="W519" s="4">
        <v>76.463938663991826</v>
      </c>
      <c r="X519" s="4">
        <v>-7.56393866399182</v>
      </c>
      <c r="Y519" s="4">
        <v>-1.207860108297238</v>
      </c>
    </row>
    <row r="520" spans="11:25" x14ac:dyDescent="0.25">
      <c r="K520" s="3"/>
      <c r="L520" s="8">
        <v>89</v>
      </c>
      <c r="M520" s="4"/>
      <c r="N520" s="4"/>
      <c r="O520" s="4"/>
      <c r="P520" s="4"/>
      <c r="S520" s="3">
        <v>518</v>
      </c>
      <c r="T520" s="8">
        <v>0.31382656155245603</v>
      </c>
      <c r="U520" s="4">
        <v>66.099999999999994</v>
      </c>
      <c r="V520" s="4">
        <v>-0.48503273777158123</v>
      </c>
      <c r="W520" s="4">
        <v>76.315986586105055</v>
      </c>
      <c r="X520" s="4">
        <v>-7.615986586105052</v>
      </c>
      <c r="Y520" s="4">
        <v>-1.2161714671848518</v>
      </c>
    </row>
    <row r="521" spans="11:25" x14ac:dyDescent="0.25">
      <c r="K521" s="3"/>
      <c r="L521" s="8">
        <v>89</v>
      </c>
      <c r="M521" s="4"/>
      <c r="N521" s="4"/>
      <c r="O521" s="4"/>
      <c r="P521" s="4"/>
      <c r="S521" s="3">
        <v>519</v>
      </c>
      <c r="T521" s="8">
        <v>0.31443298969072164</v>
      </c>
      <c r="U521" s="4">
        <v>66.2</v>
      </c>
      <c r="V521" s="4">
        <v>-0.48332360885611281</v>
      </c>
      <c r="W521" s="4">
        <v>76.16803450821827</v>
      </c>
      <c r="X521" s="4">
        <v>-7.5680345082182754</v>
      </c>
      <c r="Y521" s="4">
        <v>-1.2085141599852145</v>
      </c>
    </row>
    <row r="522" spans="11:25" x14ac:dyDescent="0.25">
      <c r="K522" s="3"/>
      <c r="L522" s="8">
        <v>36.299999999999997</v>
      </c>
      <c r="M522" s="4"/>
      <c r="N522" s="4"/>
      <c r="O522" s="4"/>
      <c r="P522" s="4"/>
      <c r="S522" s="3">
        <v>520</v>
      </c>
      <c r="T522" s="8">
        <v>0.31503941782898726</v>
      </c>
      <c r="U522" s="4">
        <v>66.2</v>
      </c>
      <c r="V522" s="4">
        <v>-0.48161589062349963</v>
      </c>
      <c r="W522" s="4">
        <v>67.19227511642039</v>
      </c>
      <c r="X522" s="4">
        <v>1.3077248835796098</v>
      </c>
      <c r="Y522" s="4">
        <v>0.20882621999870418</v>
      </c>
    </row>
    <row r="523" spans="11:25" x14ac:dyDescent="0.25">
      <c r="K523" s="3"/>
      <c r="L523" s="8">
        <v>36.299999999999997</v>
      </c>
      <c r="M523" s="4"/>
      <c r="N523" s="4"/>
      <c r="O523" s="4"/>
      <c r="P523" s="4"/>
      <c r="S523" s="3">
        <v>521</v>
      </c>
      <c r="T523" s="8">
        <v>0.31564584596725287</v>
      </c>
      <c r="U523" s="4">
        <v>66.2</v>
      </c>
      <c r="V523" s="4">
        <v>-0.47990957577492888</v>
      </c>
      <c r="W523" s="4">
        <v>67.044323038533619</v>
      </c>
      <c r="X523" s="4">
        <v>1.2556769614663779</v>
      </c>
      <c r="Y523" s="4">
        <v>0.20051486111109032</v>
      </c>
    </row>
    <row r="524" spans="11:25" x14ac:dyDescent="0.25">
      <c r="K524" s="3"/>
      <c r="L524" s="8">
        <v>36.299999999999997</v>
      </c>
      <c r="M524" s="4"/>
      <c r="N524" s="4"/>
      <c r="O524" s="4"/>
      <c r="P524" s="4"/>
      <c r="S524" s="3">
        <v>522</v>
      </c>
      <c r="T524" s="8">
        <v>0.31625227410551848</v>
      </c>
      <c r="U524" s="4">
        <v>66.2</v>
      </c>
      <c r="V524" s="4">
        <v>-0.4782046570459042</v>
      </c>
      <c r="W524" s="4">
        <v>66.847053601351249</v>
      </c>
      <c r="X524" s="4">
        <v>1.2529463986487457</v>
      </c>
      <c r="Y524" s="4">
        <v>0.20007882665244006</v>
      </c>
    </row>
    <row r="525" spans="11:25" x14ac:dyDescent="0.25">
      <c r="K525" s="3"/>
      <c r="L525" s="8">
        <v>36.299999999999997</v>
      </c>
      <c r="M525" s="4"/>
      <c r="N525" s="4"/>
      <c r="O525" s="4"/>
      <c r="P525" s="4"/>
      <c r="S525" s="3">
        <v>523</v>
      </c>
      <c r="T525" s="8">
        <v>0.3168587022437841</v>
      </c>
      <c r="U525" s="4">
        <v>66.2</v>
      </c>
      <c r="V525" s="4">
        <v>-0.47650112720597304</v>
      </c>
      <c r="W525" s="4">
        <v>76.513256023287425</v>
      </c>
      <c r="X525" s="4">
        <v>-8.5132560232874255</v>
      </c>
      <c r="Y525" s="4">
        <v>-1.3594534275114507</v>
      </c>
    </row>
    <row r="526" spans="11:25" x14ac:dyDescent="0.25">
      <c r="K526" s="3"/>
      <c r="L526" s="8">
        <v>36.299999999999997</v>
      </c>
      <c r="M526" s="4"/>
      <c r="N526" s="4"/>
      <c r="O526" s="4"/>
      <c r="P526" s="4"/>
      <c r="S526" s="3">
        <v>524</v>
      </c>
      <c r="T526" s="8">
        <v>0.31746513038204971</v>
      </c>
      <c r="U526" s="4">
        <v>66.3</v>
      </c>
      <c r="V526" s="4">
        <v>-0.47479897905845475</v>
      </c>
      <c r="W526" s="4">
        <v>76.513256023287425</v>
      </c>
      <c r="X526" s="4">
        <v>-8.6132560232874198</v>
      </c>
      <c r="Y526" s="4">
        <v>-1.3754220935986996</v>
      </c>
    </row>
    <row r="527" spans="11:25" x14ac:dyDescent="0.25">
      <c r="K527" s="3"/>
      <c r="L527" s="8">
        <v>36.299999999999997</v>
      </c>
      <c r="M527" s="4"/>
      <c r="N527" s="4"/>
      <c r="O527" s="4"/>
      <c r="P527" s="4"/>
      <c r="S527" s="3">
        <v>525</v>
      </c>
      <c r="T527" s="8">
        <v>0.31807155852031532</v>
      </c>
      <c r="U527" s="4">
        <v>66.3</v>
      </c>
      <c r="V527" s="4">
        <v>-0.473098205440172</v>
      </c>
      <c r="W527" s="4">
        <v>66.699101523464464</v>
      </c>
      <c r="X527" s="4">
        <v>1.1008984765355336</v>
      </c>
      <c r="Y527" s="4">
        <v>0.17579880167757955</v>
      </c>
    </row>
    <row r="528" spans="11:25" x14ac:dyDescent="0.25">
      <c r="K528" s="3"/>
      <c r="L528" s="8">
        <v>36.299999999999997</v>
      </c>
      <c r="M528" s="4"/>
      <c r="N528" s="4"/>
      <c r="O528" s="4"/>
      <c r="P528" s="4"/>
      <c r="S528" s="3">
        <v>526</v>
      </c>
      <c r="T528" s="8">
        <v>0.31867798665858094</v>
      </c>
      <c r="U528" s="4">
        <v>66.3</v>
      </c>
      <c r="V528" s="4">
        <v>-0.47139879922118438</v>
      </c>
      <c r="W528" s="4">
        <v>66.699101523464464</v>
      </c>
      <c r="X528" s="4">
        <v>1.0008984765355393</v>
      </c>
      <c r="Y528" s="4">
        <v>0.15983013559033066</v>
      </c>
    </row>
    <row r="529" spans="11:25" x14ac:dyDescent="0.25">
      <c r="K529" s="3"/>
      <c r="L529" s="8">
        <v>36.299999999999997</v>
      </c>
      <c r="M529" s="4"/>
      <c r="N529" s="4"/>
      <c r="O529" s="4"/>
      <c r="P529" s="4"/>
      <c r="S529" s="3">
        <v>527</v>
      </c>
      <c r="T529" s="8">
        <v>0.31928441479684655</v>
      </c>
      <c r="U529" s="4">
        <v>66.400000000000006</v>
      </c>
      <c r="V529" s="4">
        <v>-0.46970075330452543</v>
      </c>
      <c r="W529" s="4">
        <v>73.702166543438636</v>
      </c>
      <c r="X529" s="4">
        <v>8.4978334565613665</v>
      </c>
      <c r="Y529" s="4">
        <v>1.3569906493288832</v>
      </c>
    </row>
    <row r="530" spans="11:25" x14ac:dyDescent="0.25">
      <c r="K530" s="3"/>
      <c r="L530" s="8">
        <v>36.299999999999997</v>
      </c>
      <c r="M530" s="4"/>
      <c r="N530" s="4"/>
      <c r="O530" s="4"/>
      <c r="P530" s="4"/>
      <c r="S530" s="3">
        <v>528</v>
      </c>
      <c r="T530" s="8">
        <v>0.31989084293511216</v>
      </c>
      <c r="U530" s="4">
        <v>66.400000000000006</v>
      </c>
      <c r="V530" s="4">
        <v>-0.46800406062593941</v>
      </c>
      <c r="W530" s="4">
        <v>73.603531824847451</v>
      </c>
      <c r="X530" s="4">
        <v>8.396468175152549</v>
      </c>
      <c r="Y530" s="4">
        <v>1.3408039660123079</v>
      </c>
    </row>
    <row r="531" spans="11:25" x14ac:dyDescent="0.25">
      <c r="K531" s="3"/>
      <c r="L531" s="8">
        <v>36.299999999999997</v>
      </c>
      <c r="M531" s="4"/>
      <c r="N531" s="4"/>
      <c r="O531" s="4"/>
      <c r="P531" s="4"/>
      <c r="S531" s="3">
        <v>529</v>
      </c>
      <c r="T531" s="8">
        <v>0.32049727107337783</v>
      </c>
      <c r="U531" s="4">
        <v>66.400000000000006</v>
      </c>
      <c r="V531" s="4">
        <v>-0.46630871415362379</v>
      </c>
      <c r="W531" s="4">
        <v>73.504897106256266</v>
      </c>
      <c r="X531" s="4">
        <v>7.9951028937437343</v>
      </c>
      <c r="Y531" s="4">
        <v>1.2767112844339839</v>
      </c>
    </row>
    <row r="532" spans="11:25" x14ac:dyDescent="0.25">
      <c r="K532" s="3"/>
      <c r="L532" s="8">
        <v>89</v>
      </c>
      <c r="M532" s="4"/>
      <c r="N532" s="4"/>
      <c r="O532" s="4"/>
      <c r="P532" s="4"/>
      <c r="S532" s="3">
        <v>530</v>
      </c>
      <c r="T532" s="8">
        <v>0.32110369921164345</v>
      </c>
      <c r="U532" s="4">
        <v>66.400000000000006</v>
      </c>
      <c r="V532" s="4">
        <v>-0.46461470688797135</v>
      </c>
      <c r="W532" s="4">
        <v>73.504897106256266</v>
      </c>
      <c r="X532" s="4">
        <v>8.1951028937437371</v>
      </c>
      <c r="Y532" s="4">
        <v>1.3086486166084839</v>
      </c>
    </row>
    <row r="533" spans="11:25" x14ac:dyDescent="0.25">
      <c r="K533" s="3"/>
      <c r="L533" s="8">
        <v>89</v>
      </c>
      <c r="M533" s="4"/>
      <c r="N533" s="4"/>
      <c r="O533" s="4"/>
      <c r="P533" s="4"/>
      <c r="S533" s="3">
        <v>531</v>
      </c>
      <c r="T533" s="8">
        <v>0.32171012734990906</v>
      </c>
      <c r="U533" s="4">
        <v>66.400000000000006</v>
      </c>
      <c r="V533" s="4">
        <v>-0.46292203186131581</v>
      </c>
      <c r="W533" s="4">
        <v>73.356945028369495</v>
      </c>
      <c r="X533" s="4">
        <v>7.9430549716305023</v>
      </c>
      <c r="Y533" s="4">
        <v>1.26839992554637</v>
      </c>
    </row>
    <row r="534" spans="11:25" x14ac:dyDescent="0.25">
      <c r="K534" s="3"/>
      <c r="L534" s="8">
        <v>89</v>
      </c>
      <c r="M534" s="4"/>
      <c r="N534" s="4"/>
      <c r="O534" s="4"/>
      <c r="P534" s="4"/>
      <c r="S534" s="3">
        <v>532</v>
      </c>
      <c r="T534" s="8">
        <v>0.32231655548817467</v>
      </c>
      <c r="U534" s="4">
        <v>66.5</v>
      </c>
      <c r="V534" s="4">
        <v>-0.46123068213767915</v>
      </c>
      <c r="W534" s="4">
        <v>73.258310309778295</v>
      </c>
      <c r="X534" s="4">
        <v>7.841689690221699</v>
      </c>
      <c r="Y534" s="4">
        <v>1.2522132422297971</v>
      </c>
    </row>
    <row r="535" spans="11:25" x14ac:dyDescent="0.25">
      <c r="K535" s="3"/>
      <c r="L535" s="8">
        <v>89</v>
      </c>
      <c r="M535" s="4"/>
      <c r="N535" s="4"/>
      <c r="O535" s="4"/>
      <c r="P535" s="4"/>
      <c r="S535" s="3">
        <v>533</v>
      </c>
      <c r="T535" s="8">
        <v>0.32292298362644029</v>
      </c>
      <c r="U535" s="4">
        <v>66.5</v>
      </c>
      <c r="V535" s="4">
        <v>-0.45954065081252199</v>
      </c>
      <c r="W535" s="4">
        <v>73.258310309778295</v>
      </c>
      <c r="X535" s="4">
        <v>15.741689690221705</v>
      </c>
      <c r="Y535" s="4">
        <v>2.5137378631225329</v>
      </c>
    </row>
    <row r="536" spans="11:25" x14ac:dyDescent="0.25">
      <c r="K536" s="3"/>
      <c r="L536" s="8">
        <v>89</v>
      </c>
      <c r="M536" s="4"/>
      <c r="N536" s="4"/>
      <c r="O536" s="4"/>
      <c r="P536" s="4"/>
      <c r="S536" s="3">
        <v>534</v>
      </c>
      <c r="T536" s="8">
        <v>0.3235294117647059</v>
      </c>
      <c r="U536" s="4">
        <v>66.5</v>
      </c>
      <c r="V536" s="4">
        <v>-0.45785193101249494</v>
      </c>
      <c r="W536" s="4">
        <v>73.20899295048271</v>
      </c>
      <c r="X536" s="4">
        <v>15.79100704951729</v>
      </c>
      <c r="Y536" s="4">
        <v>2.5216131875514942</v>
      </c>
    </row>
    <row r="537" spans="11:25" x14ac:dyDescent="0.25">
      <c r="K537" s="3"/>
      <c r="L537" s="8">
        <v>89</v>
      </c>
      <c r="M537" s="4"/>
      <c r="N537" s="4"/>
      <c r="O537" s="4"/>
      <c r="P537" s="4"/>
      <c r="S537" s="3">
        <v>535</v>
      </c>
      <c r="T537" s="8">
        <v>0.32413583990297151</v>
      </c>
      <c r="U537" s="4">
        <v>66.599999999999994</v>
      </c>
      <c r="V537" s="4">
        <v>-0.45616451589519352</v>
      </c>
      <c r="W537" s="4">
        <v>73.061040872595925</v>
      </c>
      <c r="X537" s="4">
        <v>12.938959127404075</v>
      </c>
      <c r="Y537" s="4">
        <v>2.0661791782208883</v>
      </c>
    </row>
    <row r="538" spans="11:25" x14ac:dyDescent="0.25">
      <c r="K538" s="3"/>
      <c r="L538" s="8">
        <v>89</v>
      </c>
      <c r="M538" s="4"/>
      <c r="N538" s="4"/>
      <c r="O538" s="4"/>
      <c r="P538" s="4"/>
      <c r="S538" s="3">
        <v>536</v>
      </c>
      <c r="T538" s="8">
        <v>0.32474226804123713</v>
      </c>
      <c r="U538" s="4">
        <v>66.599999999999994</v>
      </c>
      <c r="V538" s="4">
        <v>-0.45447839864891393</v>
      </c>
      <c r="W538" s="4">
        <v>73.011723513300339</v>
      </c>
      <c r="X538" s="4">
        <v>7.9882764866996609</v>
      </c>
      <c r="Y538" s="4">
        <v>1.2756211982873593</v>
      </c>
    </row>
    <row r="539" spans="11:25" x14ac:dyDescent="0.25">
      <c r="K539" s="3"/>
      <c r="L539" s="8">
        <v>36.299999999999997</v>
      </c>
      <c r="M539" s="4"/>
      <c r="N539" s="4"/>
      <c r="O539" s="4"/>
      <c r="P539" s="4"/>
      <c r="S539" s="3">
        <v>537</v>
      </c>
      <c r="T539" s="8">
        <v>0.32534869617950274</v>
      </c>
      <c r="U539" s="4">
        <v>66.599999999999994</v>
      </c>
      <c r="V539" s="4">
        <v>-0.45279357249241159</v>
      </c>
      <c r="W539" s="4">
        <v>72.962406154004753</v>
      </c>
      <c r="X539" s="4">
        <v>9.0375938459952465</v>
      </c>
      <c r="Y539" s="4">
        <v>1.4431831835888187</v>
      </c>
    </row>
    <row r="540" spans="11:25" x14ac:dyDescent="0.25">
      <c r="K540" s="3"/>
      <c r="L540" s="8">
        <v>36.299999999999997</v>
      </c>
      <c r="M540" s="4"/>
      <c r="N540" s="4"/>
      <c r="O540" s="4"/>
      <c r="P540" s="4"/>
      <c r="S540" s="3">
        <v>538</v>
      </c>
      <c r="T540" s="8">
        <v>0.32595512431776835</v>
      </c>
      <c r="U540" s="4">
        <v>66.599999999999994</v>
      </c>
      <c r="V540" s="4">
        <v>-0.45111003067466215</v>
      </c>
      <c r="W540" s="4">
        <v>72.715819357526783</v>
      </c>
      <c r="X540" s="4">
        <v>6.5841806424732141</v>
      </c>
      <c r="Y540" s="4">
        <v>1.0514058213778867</v>
      </c>
    </row>
    <row r="541" spans="11:25" x14ac:dyDescent="0.25">
      <c r="K541" s="3"/>
      <c r="L541" s="8">
        <v>36.299999999999997</v>
      </c>
      <c r="M541" s="4"/>
      <c r="N541" s="4"/>
      <c r="O541" s="4"/>
      <c r="P541" s="4"/>
      <c r="S541" s="3">
        <v>539</v>
      </c>
      <c r="T541" s="8">
        <v>0.32656155245603397</v>
      </c>
      <c r="U541" s="4">
        <v>66.599999999999994</v>
      </c>
      <c r="V541" s="4">
        <v>-0.44942776647462385</v>
      </c>
      <c r="W541" s="4">
        <v>77.055746975538938</v>
      </c>
      <c r="X541" s="4">
        <v>2.1442530244610651</v>
      </c>
      <c r="Y541" s="4">
        <v>0.34240860554194247</v>
      </c>
    </row>
    <row r="542" spans="11:25" x14ac:dyDescent="0.25">
      <c r="K542" s="3"/>
      <c r="L542" s="8">
        <v>36.299999999999997</v>
      </c>
      <c r="M542" s="4"/>
      <c r="N542" s="4"/>
      <c r="O542" s="4"/>
      <c r="P542" s="4"/>
      <c r="S542" s="3">
        <v>540</v>
      </c>
      <c r="T542" s="8">
        <v>0.32716798059429958</v>
      </c>
      <c r="U542" s="4">
        <v>66.7</v>
      </c>
      <c r="V542" s="4">
        <v>-0.44774677320100176</v>
      </c>
      <c r="W542" s="4">
        <v>76.957112256947752</v>
      </c>
      <c r="X542" s="4">
        <v>2.0428877430522476</v>
      </c>
      <c r="Y542" s="4">
        <v>0.32622192222536728</v>
      </c>
    </row>
    <row r="543" spans="11:25" x14ac:dyDescent="0.25">
      <c r="K543" s="3"/>
      <c r="L543" s="8">
        <v>36.299999999999997</v>
      </c>
      <c r="M543" s="4"/>
      <c r="N543" s="4"/>
      <c r="O543" s="4"/>
      <c r="P543" s="4"/>
      <c r="S543" s="3">
        <v>541</v>
      </c>
      <c r="T543" s="8">
        <v>0.32777440873256519</v>
      </c>
      <c r="U543" s="4">
        <v>66.7</v>
      </c>
      <c r="V543" s="4">
        <v>-0.44606704419201548</v>
      </c>
      <c r="W543" s="4">
        <v>76.957112256947752</v>
      </c>
      <c r="X543" s="4">
        <v>1.8428877430522448</v>
      </c>
      <c r="Y543" s="4">
        <v>0.29428459005086721</v>
      </c>
    </row>
    <row r="544" spans="11:25" x14ac:dyDescent="0.25">
      <c r="K544" s="3"/>
      <c r="L544" s="8">
        <v>36.299999999999997</v>
      </c>
      <c r="M544" s="4"/>
      <c r="N544" s="4"/>
      <c r="O544" s="4"/>
      <c r="P544" s="4"/>
      <c r="S544" s="3">
        <v>542</v>
      </c>
      <c r="T544" s="8">
        <v>0.32838083687083081</v>
      </c>
      <c r="U544" s="4">
        <v>66.8</v>
      </c>
      <c r="V544" s="4">
        <v>-0.44438857281516708</v>
      </c>
      <c r="W544" s="4">
        <v>65.910023774734981</v>
      </c>
      <c r="X544" s="4">
        <v>-0.41002377473498086</v>
      </c>
      <c r="Y544" s="4">
        <v>-6.5475327465766439E-2</v>
      </c>
    </row>
    <row r="545" spans="11:25" x14ac:dyDescent="0.25">
      <c r="K545" s="3"/>
      <c r="L545" s="8">
        <v>36.299999999999997</v>
      </c>
      <c r="M545" s="4"/>
      <c r="N545" s="4"/>
      <c r="O545" s="4"/>
      <c r="P545" s="4"/>
      <c r="S545" s="3">
        <v>543</v>
      </c>
      <c r="T545" s="8">
        <v>0.32898726500909642</v>
      </c>
      <c r="U545" s="4">
        <v>66.8</v>
      </c>
      <c r="V545" s="4">
        <v>-0.44271135246701226</v>
      </c>
      <c r="W545" s="4">
        <v>65.022311307414313</v>
      </c>
      <c r="X545" s="4">
        <v>-0.42231130741431855</v>
      </c>
      <c r="Y545" s="4">
        <v>-6.7437482529691575E-2</v>
      </c>
    </row>
    <row r="546" spans="11:25" x14ac:dyDescent="0.25">
      <c r="K546" s="3"/>
      <c r="L546" s="8">
        <v>36.299999999999997</v>
      </c>
      <c r="M546" s="4"/>
      <c r="N546" s="4"/>
      <c r="O546" s="4"/>
      <c r="P546" s="4"/>
      <c r="S546" s="3">
        <v>544</v>
      </c>
      <c r="T546" s="8">
        <v>0.32959369314736203</v>
      </c>
      <c r="U546" s="4">
        <v>66.8</v>
      </c>
      <c r="V546" s="4">
        <v>-0.44103537657293312</v>
      </c>
      <c r="W546" s="4">
        <v>63.986646762206867</v>
      </c>
      <c r="X546" s="4">
        <v>-0.48664676220686687</v>
      </c>
      <c r="Y546" s="4">
        <v>-7.7710996481227174E-2</v>
      </c>
    </row>
    <row r="547" spans="11:25" x14ac:dyDescent="0.25">
      <c r="K547" s="3"/>
      <c r="L547" s="8">
        <v>36.299999999999997</v>
      </c>
      <c r="M547" s="4"/>
      <c r="N547" s="4"/>
      <c r="O547" s="4"/>
      <c r="P547" s="4"/>
      <c r="S547" s="3">
        <v>545</v>
      </c>
      <c r="T547" s="8">
        <v>0.33020012128562765</v>
      </c>
      <c r="U547" s="4">
        <v>66.8</v>
      </c>
      <c r="V547" s="4">
        <v>-0.43936063858691227</v>
      </c>
      <c r="W547" s="4">
        <v>63.345521091364162</v>
      </c>
      <c r="X547" s="4">
        <v>-0.54552109136416504</v>
      </c>
      <c r="Y547" s="4">
        <v>-8.7112441515464475E-2</v>
      </c>
    </row>
    <row r="548" spans="11:25" x14ac:dyDescent="0.25">
      <c r="K548" s="3"/>
      <c r="L548" s="8">
        <v>89</v>
      </c>
      <c r="M548" s="4"/>
      <c r="N548" s="4"/>
      <c r="O548" s="4"/>
      <c r="P548" s="4"/>
      <c r="S548" s="3">
        <v>546</v>
      </c>
      <c r="T548" s="8">
        <v>0.33080654942389326</v>
      </c>
      <c r="U548" s="4">
        <v>66.8</v>
      </c>
      <c r="V548" s="4">
        <v>-0.43768713199130971</v>
      </c>
      <c r="W548" s="4">
        <v>63.098934294886199</v>
      </c>
      <c r="X548" s="4">
        <v>-0.79893429488620171</v>
      </c>
      <c r="Y548" s="4">
        <v>-0.12757914980690127</v>
      </c>
    </row>
    <row r="549" spans="11:25" x14ac:dyDescent="0.25">
      <c r="K549" s="3"/>
      <c r="L549" s="8">
        <v>89</v>
      </c>
      <c r="M549" s="4"/>
      <c r="N549" s="4"/>
      <c r="O549" s="4"/>
      <c r="P549" s="4"/>
      <c r="S549" s="3">
        <v>547</v>
      </c>
      <c r="T549" s="8">
        <v>0.33141297756215887</v>
      </c>
      <c r="U549" s="4">
        <v>66.8</v>
      </c>
      <c r="V549" s="4">
        <v>-0.43601485029664167</v>
      </c>
      <c r="W549" s="4">
        <v>76.069399789627084</v>
      </c>
      <c r="X549" s="4">
        <v>-14.369399789627082</v>
      </c>
      <c r="Y549" s="4">
        <v>-2.2946014711475251</v>
      </c>
    </row>
    <row r="550" spans="11:25" x14ac:dyDescent="0.25">
      <c r="K550" s="3"/>
      <c r="L550" s="8">
        <v>89</v>
      </c>
      <c r="M550" s="4"/>
      <c r="N550" s="4"/>
      <c r="O550" s="4"/>
      <c r="P550" s="4"/>
      <c r="S550" s="3">
        <v>548</v>
      </c>
      <c r="T550" s="8">
        <v>0.33201940570042449</v>
      </c>
      <c r="U550" s="4">
        <v>66.8</v>
      </c>
      <c r="V550" s="4">
        <v>-0.43434378704136078</v>
      </c>
      <c r="W550" s="4">
        <v>62.901664857703828</v>
      </c>
      <c r="X550" s="4">
        <v>-1.3016648577038268</v>
      </c>
      <c r="Y550" s="4">
        <v>-0.20785851470179947</v>
      </c>
    </row>
    <row r="551" spans="11:25" x14ac:dyDescent="0.25">
      <c r="K551" s="3"/>
      <c r="L551" s="8">
        <v>89</v>
      </c>
      <c r="M551" s="4"/>
      <c r="N551" s="4"/>
      <c r="O551" s="4"/>
      <c r="P551" s="4"/>
      <c r="S551" s="3">
        <v>549</v>
      </c>
      <c r="T551" s="8">
        <v>0.3326258338386901</v>
      </c>
      <c r="U551" s="4">
        <v>66.900000000000006</v>
      </c>
      <c r="V551" s="4">
        <v>-0.4326739357916371</v>
      </c>
      <c r="W551" s="4">
        <v>63.246886372772977</v>
      </c>
      <c r="X551" s="4">
        <v>-1.6468863727729754</v>
      </c>
      <c r="Y551" s="4">
        <v>-0.26298578570453662</v>
      </c>
    </row>
    <row r="552" spans="11:25" x14ac:dyDescent="0.25">
      <c r="K552" s="3"/>
      <c r="L552" s="8">
        <v>89</v>
      </c>
      <c r="M552" s="4"/>
      <c r="N552" s="4"/>
      <c r="O552" s="4"/>
      <c r="P552" s="4"/>
      <c r="S552" s="3">
        <v>550</v>
      </c>
      <c r="T552" s="8">
        <v>0.33323226197695571</v>
      </c>
      <c r="U552" s="4">
        <v>66.900000000000006</v>
      </c>
      <c r="V552" s="4">
        <v>-0.43100529014114469</v>
      </c>
      <c r="W552" s="4">
        <v>63.394838450659755</v>
      </c>
      <c r="X552" s="4">
        <v>-1.9948384506597563</v>
      </c>
      <c r="Y552" s="4">
        <v>-0.318549091165924</v>
      </c>
    </row>
    <row r="553" spans="11:25" x14ac:dyDescent="0.25">
      <c r="K553" s="3"/>
      <c r="L553" s="8">
        <v>89</v>
      </c>
      <c r="M553" s="4"/>
      <c r="N553" s="4"/>
      <c r="O553" s="4"/>
      <c r="P553" s="4"/>
      <c r="S553" s="3">
        <v>551</v>
      </c>
      <c r="T553" s="8">
        <v>0.33383869011522133</v>
      </c>
      <c r="U553" s="4">
        <v>66.900000000000006</v>
      </c>
      <c r="V553" s="4">
        <v>-0.42933784371084466</v>
      </c>
      <c r="W553" s="4">
        <v>75.773495633853528</v>
      </c>
      <c r="X553" s="4">
        <v>-10.773495633853528</v>
      </c>
      <c r="Y553" s="4">
        <v>-1.7203835436945072</v>
      </c>
    </row>
    <row r="554" spans="11:25" x14ac:dyDescent="0.25">
      <c r="K554" s="3"/>
      <c r="L554" s="8">
        <v>89</v>
      </c>
      <c r="M554" s="4"/>
      <c r="N554" s="4"/>
      <c r="O554" s="4"/>
      <c r="P554" s="4"/>
      <c r="S554" s="3">
        <v>552</v>
      </c>
      <c r="T554" s="8">
        <v>0.33444511825348694</v>
      </c>
      <c r="U554" s="4">
        <v>66.900000000000006</v>
      </c>
      <c r="V554" s="4">
        <v>-0.42767159014877504</v>
      </c>
      <c r="W554" s="4">
        <v>71.433568015841374</v>
      </c>
      <c r="X554" s="4">
        <v>3.0664319841586263</v>
      </c>
      <c r="Y554" s="4">
        <v>0.48966828434291998</v>
      </c>
    </row>
    <row r="555" spans="11:25" x14ac:dyDescent="0.25">
      <c r="K555" s="3"/>
      <c r="L555" s="8">
        <v>89</v>
      </c>
      <c r="M555" s="4"/>
      <c r="N555" s="4"/>
      <c r="O555" s="4"/>
      <c r="P555" s="4"/>
      <c r="S555" s="3">
        <v>553</v>
      </c>
      <c r="T555" s="8">
        <v>0.33505154639175255</v>
      </c>
      <c r="U555" s="4">
        <v>67</v>
      </c>
      <c r="V555" s="4">
        <v>-0.42600652312983855</v>
      </c>
      <c r="W555" s="4">
        <v>71.285615937954589</v>
      </c>
      <c r="X555" s="4">
        <v>3.2143840620454114</v>
      </c>
      <c r="Y555" s="4">
        <v>0.51329425762980851</v>
      </c>
    </row>
    <row r="556" spans="11:25" x14ac:dyDescent="0.25">
      <c r="K556" s="3"/>
      <c r="L556" s="8">
        <v>89</v>
      </c>
      <c r="M556" s="4"/>
      <c r="N556" s="4"/>
      <c r="O556" s="4"/>
      <c r="P556" s="4"/>
      <c r="S556" s="3">
        <v>554</v>
      </c>
      <c r="T556" s="8">
        <v>0.33565797453001817</v>
      </c>
      <c r="U556" s="4">
        <v>67</v>
      </c>
      <c r="V556" s="4">
        <v>-0.42434263635559571</v>
      </c>
      <c r="W556" s="4">
        <v>76.957112256947752</v>
      </c>
      <c r="X556" s="4">
        <v>-2.7571122569477495</v>
      </c>
      <c r="Y556" s="4">
        <v>-0.44027404996262309</v>
      </c>
    </row>
    <row r="557" spans="11:25" x14ac:dyDescent="0.25">
      <c r="K557" s="3"/>
      <c r="L557" s="8">
        <v>36.299999999999997</v>
      </c>
      <c r="M557" s="4"/>
      <c r="N557" s="4"/>
      <c r="O557" s="4"/>
      <c r="P557" s="4"/>
      <c r="S557" s="3">
        <v>555</v>
      </c>
      <c r="T557" s="8">
        <v>0.33626440266828383</v>
      </c>
      <c r="U557" s="4">
        <v>67</v>
      </c>
      <c r="V557" s="4">
        <v>-0.42267992355405537</v>
      </c>
      <c r="W557" s="4">
        <v>71.334933297250188</v>
      </c>
      <c r="X557" s="4">
        <v>2.5650667027498173</v>
      </c>
      <c r="Y557" s="4">
        <v>0.40960693667734693</v>
      </c>
    </row>
    <row r="558" spans="11:25" x14ac:dyDescent="0.25">
      <c r="K558" s="3"/>
      <c r="L558" s="8">
        <v>36.299999999999997</v>
      </c>
      <c r="M558" s="4"/>
      <c r="N558" s="4"/>
      <c r="O558" s="4"/>
      <c r="P558" s="4"/>
      <c r="S558" s="3">
        <v>556</v>
      </c>
      <c r="T558" s="8">
        <v>0.33687083080654945</v>
      </c>
      <c r="U558" s="4">
        <v>67</v>
      </c>
      <c r="V558" s="4">
        <v>-0.42101837847947188</v>
      </c>
      <c r="W558" s="4">
        <v>71.088346500772218</v>
      </c>
      <c r="X558" s="4">
        <v>2.7116534992277792</v>
      </c>
      <c r="Y558" s="4">
        <v>0.43301489273490912</v>
      </c>
    </row>
    <row r="559" spans="11:25" x14ac:dyDescent="0.25">
      <c r="K559" s="3"/>
      <c r="L559" s="8">
        <v>36.299999999999997</v>
      </c>
      <c r="M559" s="4"/>
      <c r="N559" s="4"/>
      <c r="O559" s="4"/>
      <c r="P559" s="4"/>
      <c r="S559" s="3">
        <v>557</v>
      </c>
      <c r="T559" s="8">
        <v>0.33747725894481506</v>
      </c>
      <c r="U559" s="4">
        <v>67</v>
      </c>
      <c r="V559" s="4">
        <v>-0.41935799491213971</v>
      </c>
      <c r="W559" s="4">
        <v>71.039029141476632</v>
      </c>
      <c r="X559" s="4">
        <v>2.1609708585233705</v>
      </c>
      <c r="Y559" s="4">
        <v>0.34507822064037252</v>
      </c>
    </row>
    <row r="560" spans="11:25" x14ac:dyDescent="0.25">
      <c r="K560" s="3"/>
      <c r="L560" s="8">
        <v>36.299999999999997</v>
      </c>
      <c r="M560" s="4"/>
      <c r="N560" s="4"/>
      <c r="O560" s="4"/>
      <c r="P560" s="4"/>
      <c r="S560" s="3">
        <v>558</v>
      </c>
      <c r="T560" s="8">
        <v>0.33808368708308068</v>
      </c>
      <c r="U560" s="4">
        <v>67</v>
      </c>
      <c r="V560" s="4">
        <v>-0.417698766658192</v>
      </c>
      <c r="W560" s="4">
        <v>71.285615937954589</v>
      </c>
      <c r="X560" s="4">
        <v>2.6143840620454171</v>
      </c>
      <c r="Y560" s="4">
        <v>0.41748226110631054</v>
      </c>
    </row>
    <row r="561" spans="11:25" x14ac:dyDescent="0.25">
      <c r="K561" s="3"/>
      <c r="L561" s="8">
        <v>36.299999999999997</v>
      </c>
      <c r="M561" s="4"/>
      <c r="N561" s="4"/>
      <c r="O561" s="4"/>
      <c r="P561" s="4"/>
      <c r="S561" s="3">
        <v>559</v>
      </c>
      <c r="T561" s="8">
        <v>0.33869011522134629</v>
      </c>
      <c r="U561" s="4">
        <v>67</v>
      </c>
      <c r="V561" s="4">
        <v>-0.41604068754940043</v>
      </c>
      <c r="W561" s="4">
        <v>77.006429616243352</v>
      </c>
      <c r="X561" s="4">
        <v>-2.6064296162433465</v>
      </c>
      <c r="Y561" s="4">
        <v>-0.41621204221708658</v>
      </c>
    </row>
    <row r="562" spans="11:25" x14ac:dyDescent="0.25">
      <c r="K562" s="3"/>
      <c r="L562" s="8">
        <v>36.299999999999997</v>
      </c>
      <c r="M562" s="4"/>
      <c r="N562" s="4"/>
      <c r="O562" s="4"/>
      <c r="P562" s="4"/>
      <c r="S562" s="3">
        <v>560</v>
      </c>
      <c r="T562" s="8">
        <v>0.3392965433596119</v>
      </c>
      <c r="U562" s="4">
        <v>67</v>
      </c>
      <c r="V562" s="4">
        <v>-0.41438375144297679</v>
      </c>
      <c r="W562" s="4">
        <v>71.384250656545774</v>
      </c>
      <c r="X562" s="4">
        <v>2.5157493434542317</v>
      </c>
      <c r="Y562" s="4">
        <v>0.40173161224838561</v>
      </c>
    </row>
    <row r="563" spans="11:25" x14ac:dyDescent="0.25">
      <c r="K563" s="3"/>
      <c r="L563" s="8">
        <v>36.299999999999997</v>
      </c>
      <c r="M563" s="4"/>
      <c r="N563" s="4"/>
      <c r="O563" s="4"/>
      <c r="P563" s="4"/>
      <c r="S563" s="3">
        <v>561</v>
      </c>
      <c r="T563" s="8">
        <v>0.33990297149787752</v>
      </c>
      <c r="U563" s="4">
        <v>67.099999999999994</v>
      </c>
      <c r="V563" s="4">
        <v>-0.41272795222137537</v>
      </c>
      <c r="W563" s="4">
        <v>71.285615937954589</v>
      </c>
      <c r="X563" s="4">
        <v>2.6143840620454171</v>
      </c>
      <c r="Y563" s="4">
        <v>0.41748226110631054</v>
      </c>
    </row>
    <row r="564" spans="11:25" x14ac:dyDescent="0.25">
      <c r="K564" s="3"/>
      <c r="L564" s="8">
        <v>89</v>
      </c>
      <c r="M564" s="4"/>
      <c r="N564" s="4"/>
      <c r="O564" s="4"/>
      <c r="P564" s="4"/>
      <c r="S564" s="3">
        <v>562</v>
      </c>
      <c r="T564" s="8">
        <v>0.34050939963614313</v>
      </c>
      <c r="U564" s="4">
        <v>67.099999999999994</v>
      </c>
      <c r="V564" s="4">
        <v>-0.41107328379209845</v>
      </c>
      <c r="W564" s="4">
        <v>70.989711782181033</v>
      </c>
      <c r="X564" s="4">
        <v>1.3102882178189645</v>
      </c>
      <c r="Y564" s="4">
        <v>0.20923555028408689</v>
      </c>
    </row>
    <row r="565" spans="11:25" x14ac:dyDescent="0.25">
      <c r="K565" s="3"/>
      <c r="L565" s="8">
        <v>89</v>
      </c>
      <c r="M565" s="4"/>
      <c r="N565" s="4"/>
      <c r="O565" s="4"/>
      <c r="P565" s="4"/>
      <c r="S565" s="3">
        <v>563</v>
      </c>
      <c r="T565" s="8">
        <v>0.34111582777440874</v>
      </c>
      <c r="U565" s="4">
        <v>67.099999999999994</v>
      </c>
      <c r="V565" s="4">
        <v>-0.40941974008750148</v>
      </c>
      <c r="W565" s="4">
        <v>71.088346500772218</v>
      </c>
      <c r="X565" s="4">
        <v>1.6116534992277849</v>
      </c>
      <c r="Y565" s="4">
        <v>0.25735956577516217</v>
      </c>
    </row>
    <row r="566" spans="11:25" x14ac:dyDescent="0.25">
      <c r="K566" s="3"/>
      <c r="L566" s="8">
        <v>89</v>
      </c>
      <c r="M566" s="4"/>
      <c r="N566" s="4"/>
      <c r="O566" s="4"/>
      <c r="P566" s="4"/>
      <c r="S566" s="3">
        <v>564</v>
      </c>
      <c r="T566" s="8">
        <v>0.34172225591267436</v>
      </c>
      <c r="U566" s="4">
        <v>67.2</v>
      </c>
      <c r="V566" s="4">
        <v>-0.40776731506460151</v>
      </c>
      <c r="W566" s="4">
        <v>70.595172907816291</v>
      </c>
      <c r="X566" s="4">
        <v>1.1048270921837116</v>
      </c>
      <c r="Y566" s="4">
        <v>0.17642614919228852</v>
      </c>
    </row>
    <row r="567" spans="11:25" x14ac:dyDescent="0.25">
      <c r="K567" s="3"/>
      <c r="L567" s="8">
        <v>89</v>
      </c>
      <c r="M567" s="4"/>
      <c r="N567" s="4"/>
      <c r="O567" s="4"/>
      <c r="P567" s="4"/>
      <c r="S567" s="3">
        <v>565</v>
      </c>
      <c r="T567" s="8">
        <v>0.34232868405093997</v>
      </c>
      <c r="U567" s="4">
        <v>67.2</v>
      </c>
      <c r="V567" s="4">
        <v>-0.4061160027048869</v>
      </c>
      <c r="W567" s="4">
        <v>71.630837453023744</v>
      </c>
      <c r="X567" s="4">
        <v>1.3691625469762556</v>
      </c>
      <c r="Y567" s="4">
        <v>0.21863699531832306</v>
      </c>
    </row>
    <row r="568" spans="11:25" x14ac:dyDescent="0.25">
      <c r="K568" s="3"/>
      <c r="L568" s="8">
        <v>89</v>
      </c>
      <c r="M568" s="4"/>
      <c r="N568" s="4"/>
      <c r="O568" s="4"/>
      <c r="P568" s="4"/>
      <c r="S568" s="3">
        <v>566</v>
      </c>
      <c r="T568" s="8">
        <v>0.34293511218920558</v>
      </c>
      <c r="U568" s="4">
        <v>67.2</v>
      </c>
      <c r="V568" s="4">
        <v>-0.4044657970141271</v>
      </c>
      <c r="W568" s="4">
        <v>71.236298578659003</v>
      </c>
      <c r="X568" s="4">
        <v>0.5637014213409941</v>
      </c>
      <c r="Y568" s="4">
        <v>9.0015597703024489E-2</v>
      </c>
    </row>
    <row r="569" spans="11:25" x14ac:dyDescent="0.25">
      <c r="K569" s="3"/>
      <c r="L569" s="8">
        <v>89</v>
      </c>
      <c r="M569" s="4"/>
      <c r="N569" s="4"/>
      <c r="O569" s="4"/>
      <c r="P569" s="4"/>
      <c r="S569" s="3">
        <v>567</v>
      </c>
      <c r="T569" s="8">
        <v>0.3435415403274712</v>
      </c>
      <c r="U569" s="4">
        <v>67.2</v>
      </c>
      <c r="V569" s="4">
        <v>-0.40281669202218628</v>
      </c>
      <c r="W569" s="4">
        <v>74.195340136394563</v>
      </c>
      <c r="X569" s="4">
        <v>14.804659863605437</v>
      </c>
      <c r="Y569" s="4">
        <v>2.364106698972245</v>
      </c>
    </row>
    <row r="570" spans="11:25" x14ac:dyDescent="0.25">
      <c r="K570" s="3"/>
      <c r="L570" s="8">
        <v>89</v>
      </c>
      <c r="M570" s="4"/>
      <c r="N570" s="4"/>
      <c r="O570" s="4"/>
      <c r="P570" s="4"/>
      <c r="S570" s="3">
        <v>568</v>
      </c>
      <c r="T570" s="8">
        <v>0.34414796846573681</v>
      </c>
      <c r="U570" s="4">
        <v>67.2</v>
      </c>
      <c r="V570" s="4">
        <v>-0.40116868178283638</v>
      </c>
      <c r="W570" s="4">
        <v>74.096705417803378</v>
      </c>
      <c r="X570" s="4">
        <v>11.903294582196622</v>
      </c>
      <c r="Y570" s="4">
        <v>1.9007973652126759</v>
      </c>
    </row>
    <row r="571" spans="11:25" x14ac:dyDescent="0.25">
      <c r="K571" s="3"/>
      <c r="L571" s="8">
        <v>89</v>
      </c>
      <c r="M571" s="4"/>
      <c r="N571" s="4"/>
      <c r="O571" s="4"/>
      <c r="P571" s="4"/>
      <c r="S571" s="3">
        <v>569</v>
      </c>
      <c r="T571" s="8">
        <v>0.34475439660400242</v>
      </c>
      <c r="U571" s="4">
        <v>67.2</v>
      </c>
      <c r="V571" s="4">
        <v>-0.39952176037357301</v>
      </c>
      <c r="W571" s="4">
        <v>74.096705417803378</v>
      </c>
      <c r="X571" s="4">
        <v>11.903294582196622</v>
      </c>
      <c r="Y571" s="4">
        <v>1.9007973652126759</v>
      </c>
    </row>
    <row r="572" spans="11:25" x14ac:dyDescent="0.25">
      <c r="K572" s="3"/>
      <c r="L572" s="8">
        <v>89</v>
      </c>
      <c r="M572" s="4"/>
      <c r="N572" s="4"/>
      <c r="O572" s="4"/>
      <c r="P572" s="4"/>
      <c r="S572" s="3">
        <v>570</v>
      </c>
      <c r="T572" s="8">
        <v>0.34536082474226804</v>
      </c>
      <c r="U572" s="4">
        <v>67.3</v>
      </c>
      <c r="V572" s="4">
        <v>-0.39787592189543264</v>
      </c>
      <c r="W572" s="4">
        <v>73.948753339916607</v>
      </c>
      <c r="X572" s="4">
        <v>11.051246660083393</v>
      </c>
      <c r="Y572" s="4">
        <v>1.7647366776270639</v>
      </c>
    </row>
    <row r="573" spans="11:25" x14ac:dyDescent="0.25">
      <c r="K573" s="3"/>
      <c r="L573" s="8">
        <v>89</v>
      </c>
      <c r="M573" s="4"/>
      <c r="N573" s="4"/>
      <c r="O573" s="4"/>
      <c r="P573" s="4"/>
      <c r="S573" s="3">
        <v>571</v>
      </c>
      <c r="T573" s="8">
        <v>0.34596725288053365</v>
      </c>
      <c r="U573" s="4">
        <v>67.3</v>
      </c>
      <c r="V573" s="4">
        <v>-0.39623116047281026</v>
      </c>
      <c r="W573" s="4">
        <v>73.850118621325421</v>
      </c>
      <c r="X573" s="4">
        <v>7.1498813786745785</v>
      </c>
      <c r="Y573" s="4">
        <v>1.1417406829949965</v>
      </c>
    </row>
    <row r="574" spans="11:25" x14ac:dyDescent="0.25">
      <c r="K574" s="3"/>
      <c r="L574" s="8">
        <v>89</v>
      </c>
      <c r="M574" s="4"/>
      <c r="N574" s="4"/>
      <c r="O574" s="4"/>
      <c r="P574" s="4"/>
      <c r="S574" s="3">
        <v>572</v>
      </c>
      <c r="T574" s="8">
        <v>0.34657368101879926</v>
      </c>
      <c r="U574" s="4">
        <v>67.3</v>
      </c>
      <c r="V574" s="4">
        <v>-0.39458747025327945</v>
      </c>
      <c r="W574" s="4">
        <v>73.702166543438636</v>
      </c>
      <c r="X574" s="4">
        <v>6.2978334565613636</v>
      </c>
      <c r="Y574" s="4">
        <v>1.0056799954093869</v>
      </c>
    </row>
    <row r="575" spans="11:25" x14ac:dyDescent="0.25">
      <c r="K575" s="3"/>
      <c r="L575" s="8">
        <v>89</v>
      </c>
      <c r="M575" s="4"/>
      <c r="N575" s="4"/>
      <c r="O575" s="4"/>
      <c r="P575" s="4"/>
      <c r="S575" s="3">
        <v>573</v>
      </c>
      <c r="T575" s="8">
        <v>0.34718010915706488</v>
      </c>
      <c r="U575" s="4">
        <v>67.3</v>
      </c>
      <c r="V575" s="4">
        <v>-0.3929448454074142</v>
      </c>
      <c r="W575" s="4">
        <v>77.203699053425723</v>
      </c>
      <c r="X575" s="4">
        <v>2.6963009465742829</v>
      </c>
      <c r="Y575" s="4">
        <v>0.43056329486580308</v>
      </c>
    </row>
    <row r="576" spans="11:25" x14ac:dyDescent="0.25">
      <c r="K576" s="3"/>
      <c r="L576" s="8">
        <v>89</v>
      </c>
      <c r="M576" s="4"/>
      <c r="N576" s="4"/>
      <c r="O576" s="4"/>
      <c r="P576" s="4"/>
      <c r="S576" s="3">
        <v>574</v>
      </c>
      <c r="T576" s="8">
        <v>0.34778653729533049</v>
      </c>
      <c r="U576" s="4">
        <v>67.3</v>
      </c>
      <c r="V576" s="4">
        <v>-0.39130328012861049</v>
      </c>
      <c r="W576" s="4">
        <v>73.554214465551865</v>
      </c>
      <c r="X576" s="4">
        <v>6.2457855344481317</v>
      </c>
      <c r="Y576" s="4">
        <v>0.99736863652177299</v>
      </c>
    </row>
    <row r="577" spans="11:25" x14ac:dyDescent="0.25">
      <c r="K577" s="3"/>
      <c r="L577" s="8">
        <v>89</v>
      </c>
      <c r="M577" s="4"/>
      <c r="N577" s="4"/>
      <c r="O577" s="4"/>
      <c r="P577" s="4"/>
      <c r="S577" s="3">
        <v>575</v>
      </c>
      <c r="T577" s="8">
        <v>0.3483929654335961</v>
      </c>
      <c r="U577" s="4">
        <v>67.3</v>
      </c>
      <c r="V577" s="4">
        <v>-0.3896627686329121</v>
      </c>
      <c r="W577" s="4">
        <v>73.45557974696068</v>
      </c>
      <c r="X577" s="4">
        <v>6.1444202530393142</v>
      </c>
      <c r="Y577" s="4">
        <v>0.98118195320519785</v>
      </c>
    </row>
    <row r="578" spans="11:25" x14ac:dyDescent="0.25">
      <c r="K578" s="3"/>
      <c r="L578" s="8">
        <v>89</v>
      </c>
      <c r="M578" s="4"/>
      <c r="N578" s="4"/>
      <c r="O578" s="4"/>
      <c r="P578" s="4"/>
      <c r="S578" s="3">
        <v>576</v>
      </c>
      <c r="T578" s="8">
        <v>0.34899939357186172</v>
      </c>
      <c r="U578" s="4">
        <v>67.3</v>
      </c>
      <c r="V578" s="4">
        <v>-0.38802330515883399</v>
      </c>
      <c r="W578" s="4">
        <v>73.40626238766508</v>
      </c>
      <c r="X578" s="4">
        <v>5.7937376123349225</v>
      </c>
      <c r="Y578" s="4">
        <v>0.9251826132851636</v>
      </c>
    </row>
    <row r="579" spans="11:25" x14ac:dyDescent="0.25">
      <c r="K579" s="3"/>
      <c r="L579" s="8">
        <v>36.299999999999997</v>
      </c>
      <c r="M579" s="4"/>
      <c r="N579" s="4"/>
      <c r="O579" s="4"/>
      <c r="P579" s="4"/>
      <c r="S579" s="3">
        <v>577</v>
      </c>
      <c r="T579" s="8">
        <v>0.34960582171012733</v>
      </c>
      <c r="U579" s="4">
        <v>67.3</v>
      </c>
      <c r="V579" s="4">
        <v>-0.38638488396719095</v>
      </c>
      <c r="W579" s="4">
        <v>73.356945028369495</v>
      </c>
      <c r="X579" s="4">
        <v>5.7430549716304995</v>
      </c>
      <c r="Y579" s="4">
        <v>0.9170892716268737</v>
      </c>
    </row>
    <row r="580" spans="11:25" x14ac:dyDescent="0.25">
      <c r="K580" s="3"/>
      <c r="L580" s="8">
        <v>89</v>
      </c>
      <c r="M580" s="4"/>
      <c r="N580" s="4"/>
      <c r="O580" s="4"/>
      <c r="P580" s="4"/>
      <c r="S580" s="3">
        <v>578</v>
      </c>
      <c r="T580" s="8">
        <v>0.35021224984839294</v>
      </c>
      <c r="U580" s="4">
        <v>67.3</v>
      </c>
      <c r="V580" s="4">
        <v>-0.38474749934092456</v>
      </c>
      <c r="W580" s="4">
        <v>77.154381694130123</v>
      </c>
      <c r="X580" s="4">
        <v>1.345618305869877</v>
      </c>
      <c r="Y580" s="4">
        <v>0.21487729407326844</v>
      </c>
    </row>
    <row r="581" spans="11:25" x14ac:dyDescent="0.25">
      <c r="K581" s="3"/>
      <c r="L581" s="8">
        <v>89</v>
      </c>
      <c r="M581" s="4"/>
      <c r="N581" s="4"/>
      <c r="O581" s="4"/>
      <c r="P581" s="4"/>
      <c r="S581" s="3">
        <v>579</v>
      </c>
      <c r="T581" s="8">
        <v>0.35081867798665856</v>
      </c>
      <c r="U581" s="4">
        <v>67.3</v>
      </c>
      <c r="V581" s="4">
        <v>-0.38311114558493348</v>
      </c>
      <c r="W581" s="4">
        <v>73.110358231891524</v>
      </c>
      <c r="X581" s="4">
        <v>5.2896417681084813</v>
      </c>
      <c r="Y581" s="4">
        <v>0.84468523116094019</v>
      </c>
    </row>
    <row r="582" spans="11:25" x14ac:dyDescent="0.25">
      <c r="K582" s="3"/>
      <c r="L582" s="8">
        <v>89</v>
      </c>
      <c r="M582" s="4"/>
      <c r="N582" s="4"/>
      <c r="O582" s="4"/>
      <c r="P582" s="4"/>
      <c r="S582" s="3">
        <v>580</v>
      </c>
      <c r="T582" s="8">
        <v>0.35142510612492417</v>
      </c>
      <c r="U582" s="4">
        <v>67.400000000000006</v>
      </c>
      <c r="V582" s="4">
        <v>-0.38147581702590433</v>
      </c>
      <c r="W582" s="4">
        <v>73.061040872595925</v>
      </c>
      <c r="X582" s="4">
        <v>5.2389591274040725</v>
      </c>
      <c r="Y582" s="4">
        <v>0.83659188950265262</v>
      </c>
    </row>
    <row r="583" spans="11:25" x14ac:dyDescent="0.25">
      <c r="K583" s="3"/>
      <c r="L583" s="8">
        <v>89</v>
      </c>
      <c r="M583" s="4"/>
      <c r="N583" s="4"/>
      <c r="O583" s="4"/>
      <c r="P583" s="4"/>
      <c r="S583" s="3">
        <v>581</v>
      </c>
      <c r="T583" s="8">
        <v>0.35203153426318984</v>
      </c>
      <c r="U583" s="4">
        <v>67.400000000000006</v>
      </c>
      <c r="V583" s="4">
        <v>-0.37984150801214295</v>
      </c>
      <c r="W583" s="4">
        <v>72.913088794709154</v>
      </c>
      <c r="X583" s="4">
        <v>5.0869112052908463</v>
      </c>
      <c r="Y583" s="4">
        <v>0.81231186452778992</v>
      </c>
    </row>
    <row r="584" spans="11:25" x14ac:dyDescent="0.25">
      <c r="K584" s="3"/>
      <c r="L584" s="8">
        <v>89</v>
      </c>
      <c r="M584" s="4"/>
      <c r="N584" s="4"/>
      <c r="O584" s="4"/>
      <c r="P584" s="4"/>
      <c r="S584" s="3">
        <v>582</v>
      </c>
      <c r="T584" s="8">
        <v>0.35263796240145545</v>
      </c>
      <c r="U584" s="4">
        <v>67.400000000000006</v>
      </c>
      <c r="V584" s="4">
        <v>-0.37820821291340967</v>
      </c>
      <c r="W584" s="4">
        <v>65.120946026005498</v>
      </c>
      <c r="X584" s="4">
        <v>-3.0209460260054968</v>
      </c>
      <c r="Y584" s="4">
        <v>-0.48240478356886057</v>
      </c>
    </row>
    <row r="585" spans="11:25" x14ac:dyDescent="0.25">
      <c r="K585" s="3"/>
      <c r="L585" s="8">
        <v>89</v>
      </c>
      <c r="M585" s="4"/>
      <c r="N585" s="4"/>
      <c r="O585" s="4"/>
      <c r="P585" s="4"/>
      <c r="S585" s="3">
        <v>583</v>
      </c>
      <c r="T585" s="8">
        <v>0.35324439053972106</v>
      </c>
      <c r="U585" s="4">
        <v>67.400000000000006</v>
      </c>
      <c r="V585" s="4">
        <v>-0.37657592612075202</v>
      </c>
      <c r="W585" s="4">
        <v>65.071628666709913</v>
      </c>
      <c r="X585" s="4">
        <v>-3.1716286667099141</v>
      </c>
      <c r="Y585" s="4">
        <v>-0.50646679131439931</v>
      </c>
    </row>
    <row r="586" spans="11:25" x14ac:dyDescent="0.25">
      <c r="K586" s="3"/>
      <c r="L586" s="8">
        <v>89</v>
      </c>
      <c r="M586" s="4"/>
      <c r="N586" s="4"/>
      <c r="O586" s="4"/>
      <c r="P586" s="4"/>
      <c r="S586" s="3">
        <v>584</v>
      </c>
      <c r="T586" s="8">
        <v>0.35385081867798668</v>
      </c>
      <c r="U586" s="4">
        <v>67.400000000000006</v>
      </c>
      <c r="V586" s="4">
        <v>-0.37494464204634265</v>
      </c>
      <c r="W586" s="4">
        <v>64.923676588823128</v>
      </c>
      <c r="X586" s="4">
        <v>-3.3236765888231261</v>
      </c>
      <c r="Y586" s="4">
        <v>-0.53074681628925979</v>
      </c>
    </row>
    <row r="587" spans="11:25" x14ac:dyDescent="0.25">
      <c r="K587" s="3"/>
      <c r="L587" s="8">
        <v>89</v>
      </c>
      <c r="M587" s="4"/>
      <c r="N587" s="4"/>
      <c r="O587" s="4"/>
      <c r="P587" s="4"/>
      <c r="S587" s="3">
        <v>585</v>
      </c>
      <c r="T587" s="8">
        <v>0.35445724681625229</v>
      </c>
      <c r="U587" s="4">
        <v>67.400000000000006</v>
      </c>
      <c r="V587" s="4">
        <v>-0.3733143551233154</v>
      </c>
      <c r="W587" s="4">
        <v>64.627772433049572</v>
      </c>
      <c r="X587" s="4">
        <v>-3.4277724330495687</v>
      </c>
      <c r="Y587" s="4">
        <v>-0.54736953406448419</v>
      </c>
    </row>
    <row r="588" spans="11:25" x14ac:dyDescent="0.25">
      <c r="K588" s="3"/>
      <c r="L588" s="8">
        <v>89</v>
      </c>
      <c r="M588" s="4"/>
      <c r="N588" s="4"/>
      <c r="O588" s="4"/>
      <c r="P588" s="4"/>
      <c r="S588" s="3">
        <v>586</v>
      </c>
      <c r="T588" s="8">
        <v>0.3550636749545179</v>
      </c>
      <c r="U588" s="4">
        <v>67.5</v>
      </c>
      <c r="V588" s="4">
        <v>-0.37168505980560423</v>
      </c>
      <c r="W588" s="4">
        <v>64.430502995867201</v>
      </c>
      <c r="X588" s="4">
        <v>4.5694970041327991</v>
      </c>
      <c r="Y588" s="4">
        <v>0.72968771845685032</v>
      </c>
    </row>
    <row r="589" spans="11:25" x14ac:dyDescent="0.25">
      <c r="K589" s="3"/>
      <c r="L589" s="8">
        <v>89</v>
      </c>
      <c r="M589" s="4"/>
      <c r="N589" s="4"/>
      <c r="O589" s="4"/>
      <c r="P589" s="4"/>
      <c r="S589" s="3">
        <v>587</v>
      </c>
      <c r="T589" s="8">
        <v>0.35567010309278352</v>
      </c>
      <c r="U589" s="4">
        <v>67.5</v>
      </c>
      <c r="V589" s="4">
        <v>-0.37005675056778348</v>
      </c>
      <c r="W589" s="4">
        <v>64.23323355868483</v>
      </c>
      <c r="X589" s="4">
        <v>1.7667664413151698</v>
      </c>
      <c r="Y589" s="4">
        <v>0.2821290335552058</v>
      </c>
    </row>
    <row r="590" spans="11:25" x14ac:dyDescent="0.25">
      <c r="K590" s="3"/>
      <c r="L590" s="8">
        <v>89</v>
      </c>
      <c r="M590" s="4"/>
      <c r="N590" s="4"/>
      <c r="O590" s="4"/>
      <c r="P590" s="4"/>
      <c r="S590" s="3">
        <v>588</v>
      </c>
      <c r="T590" s="8">
        <v>0.35627653123104913</v>
      </c>
      <c r="U590" s="4">
        <v>67.5</v>
      </c>
      <c r="V590" s="4">
        <v>-0.36842942190490824</v>
      </c>
      <c r="W590" s="4">
        <v>64.03596412150246</v>
      </c>
      <c r="X590" s="4">
        <v>-1.0359641215024595</v>
      </c>
      <c r="Y590" s="4">
        <v>-0.16542965134643867</v>
      </c>
    </row>
    <row r="591" spans="11:25" x14ac:dyDescent="0.25">
      <c r="K591" s="3"/>
      <c r="L591" s="8">
        <v>89</v>
      </c>
      <c r="M591" s="4"/>
      <c r="N591" s="4"/>
      <c r="O591" s="4"/>
      <c r="P591" s="4"/>
      <c r="S591" s="3">
        <v>589</v>
      </c>
      <c r="T591" s="8">
        <v>0.35688295936931475</v>
      </c>
      <c r="U591" s="4">
        <v>67.5</v>
      </c>
      <c r="V591" s="4">
        <v>-0.36680306833235737</v>
      </c>
      <c r="W591" s="4">
        <v>76.217351867513869</v>
      </c>
      <c r="X591" s="4">
        <v>-16.317351867513871</v>
      </c>
      <c r="Y591" s="4">
        <v>-2.605663434004911</v>
      </c>
    </row>
    <row r="592" spans="11:25" x14ac:dyDescent="0.25">
      <c r="K592" s="3"/>
      <c r="L592" s="8">
        <v>89</v>
      </c>
      <c r="M592" s="4"/>
      <c r="N592" s="4"/>
      <c r="O592" s="4"/>
      <c r="P592" s="4"/>
      <c r="S592" s="3">
        <v>590</v>
      </c>
      <c r="T592" s="8">
        <v>0.35748938750758036</v>
      </c>
      <c r="U592" s="4">
        <v>67.5</v>
      </c>
      <c r="V592" s="4">
        <v>-0.36517768438567583</v>
      </c>
      <c r="W592" s="4">
        <v>63.394838450659755</v>
      </c>
      <c r="X592" s="4">
        <v>-3.9948384506597563</v>
      </c>
      <c r="Y592" s="4">
        <v>-0.63792241291092022</v>
      </c>
    </row>
    <row r="593" spans="11:25" x14ac:dyDescent="0.25">
      <c r="K593" s="3"/>
      <c r="L593" s="8">
        <v>89</v>
      </c>
      <c r="M593" s="4"/>
      <c r="N593" s="4"/>
      <c r="O593" s="4"/>
      <c r="P593" s="4"/>
      <c r="S593" s="3">
        <v>591</v>
      </c>
      <c r="T593" s="8">
        <v>0.35809581564584597</v>
      </c>
      <c r="U593" s="4">
        <v>67.5</v>
      </c>
      <c r="V593" s="4">
        <v>-0.36355326462042042</v>
      </c>
      <c r="W593" s="4">
        <v>63.000299576295014</v>
      </c>
      <c r="X593" s="4">
        <v>-4.100299576295015</v>
      </c>
      <c r="Y593" s="4">
        <v>-0.65476314791546963</v>
      </c>
    </row>
    <row r="594" spans="11:25" x14ac:dyDescent="0.25">
      <c r="K594" s="3"/>
      <c r="L594" s="8">
        <v>89</v>
      </c>
      <c r="M594" s="4"/>
      <c r="N594" s="4"/>
      <c r="O594" s="4"/>
      <c r="P594" s="4"/>
      <c r="S594" s="3">
        <v>592</v>
      </c>
      <c r="T594" s="8">
        <v>0.35870224378411159</v>
      </c>
      <c r="U594" s="4">
        <v>67.5</v>
      </c>
      <c r="V594" s="4">
        <v>-0.36192980361200522</v>
      </c>
      <c r="W594" s="4">
        <v>75.921447711740313</v>
      </c>
      <c r="X594" s="4">
        <v>-17.621447711740316</v>
      </c>
      <c r="Y594" s="4">
        <v>-2.8139101448271333</v>
      </c>
    </row>
    <row r="595" spans="11:25" x14ac:dyDescent="0.25">
      <c r="K595" s="3"/>
      <c r="L595" s="8">
        <v>36.299999999999997</v>
      </c>
      <c r="M595" s="4"/>
      <c r="N595" s="4"/>
      <c r="O595" s="4"/>
      <c r="P595" s="4"/>
      <c r="S595" s="3">
        <v>593</v>
      </c>
      <c r="T595" s="8">
        <v>0.3593086719223772</v>
      </c>
      <c r="U595" s="4">
        <v>67.599999999999994</v>
      </c>
      <c r="V595" s="4">
        <v>-0.360307295955548</v>
      </c>
      <c r="W595" s="4">
        <v>75.724178274557943</v>
      </c>
      <c r="X595" s="4">
        <v>-17.824178274557944</v>
      </c>
      <c r="Y595" s="4">
        <v>-2.8462835114602827</v>
      </c>
    </row>
    <row r="596" spans="11:25" x14ac:dyDescent="0.25">
      <c r="K596" s="3"/>
      <c r="L596" s="8">
        <v>89</v>
      </c>
      <c r="M596" s="4"/>
      <c r="N596" s="4"/>
      <c r="O596" s="4"/>
      <c r="P596" s="4"/>
      <c r="S596" s="3">
        <v>594</v>
      </c>
      <c r="T596" s="8">
        <v>0.35991510006064281</v>
      </c>
      <c r="U596" s="4">
        <v>67.599999999999994</v>
      </c>
      <c r="V596" s="4">
        <v>-0.35868573626571915</v>
      </c>
      <c r="W596" s="4">
        <v>76.069399789627084</v>
      </c>
      <c r="X596" s="4">
        <v>-18.469399789627083</v>
      </c>
      <c r="Y596" s="4">
        <v>-2.9493167807247676</v>
      </c>
    </row>
    <row r="597" spans="11:25" x14ac:dyDescent="0.25">
      <c r="K597" s="3"/>
      <c r="L597" s="8">
        <v>89</v>
      </c>
      <c r="M597" s="4"/>
      <c r="N597" s="4"/>
      <c r="O597" s="4"/>
      <c r="P597" s="4"/>
      <c r="S597" s="3">
        <v>595</v>
      </c>
      <c r="T597" s="8">
        <v>0.36052152819890843</v>
      </c>
      <c r="U597" s="4">
        <v>67.599999999999994</v>
      </c>
      <c r="V597" s="4">
        <v>-0.35706511917659056</v>
      </c>
      <c r="W597" s="4">
        <v>73.998070699212192</v>
      </c>
      <c r="X597" s="4">
        <v>14.001929300787808</v>
      </c>
      <c r="Y597" s="4">
        <v>2.2359213358155969</v>
      </c>
    </row>
    <row r="598" spans="11:25" x14ac:dyDescent="0.25">
      <c r="K598" s="3"/>
      <c r="L598" s="8">
        <v>89</v>
      </c>
      <c r="M598" s="4"/>
      <c r="N598" s="4"/>
      <c r="O598" s="4"/>
      <c r="P598" s="4"/>
      <c r="S598" s="3">
        <v>596</v>
      </c>
      <c r="T598" s="8">
        <v>0.36112795633717404</v>
      </c>
      <c r="U598" s="4">
        <v>67.599999999999994</v>
      </c>
      <c r="V598" s="4">
        <v>-0.35544543934148592</v>
      </c>
      <c r="W598" s="4">
        <v>73.948753339916607</v>
      </c>
      <c r="X598" s="4">
        <v>12.051246660083393</v>
      </c>
      <c r="Y598" s="4">
        <v>1.9244233384995622</v>
      </c>
    </row>
    <row r="599" spans="11:25" x14ac:dyDescent="0.25">
      <c r="K599" s="3"/>
      <c r="L599" s="8">
        <v>89</v>
      </c>
      <c r="M599" s="4"/>
      <c r="N599" s="4"/>
      <c r="O599" s="4"/>
      <c r="P599" s="4"/>
      <c r="S599" s="3">
        <v>597</v>
      </c>
      <c r="T599" s="8">
        <v>0.36173438447543965</v>
      </c>
      <c r="U599" s="4">
        <v>67.599999999999994</v>
      </c>
      <c r="V599" s="4">
        <v>-0.35382669143283207</v>
      </c>
      <c r="W599" s="4">
        <v>73.850118621325421</v>
      </c>
      <c r="X599" s="4">
        <v>10.149881378674579</v>
      </c>
      <c r="Y599" s="4">
        <v>1.6208006656124907</v>
      </c>
    </row>
    <row r="600" spans="11:25" x14ac:dyDescent="0.25">
      <c r="K600" s="3"/>
      <c r="L600" s="8">
        <v>89</v>
      </c>
      <c r="M600" s="4"/>
      <c r="N600" s="4"/>
      <c r="O600" s="4"/>
      <c r="P600" s="4"/>
      <c r="S600" s="3">
        <v>598</v>
      </c>
      <c r="T600" s="8">
        <v>0.36234081261370527</v>
      </c>
      <c r="U600" s="4">
        <v>67.599999999999994</v>
      </c>
      <c r="V600" s="4">
        <v>-0.35220887014201219</v>
      </c>
      <c r="W600" s="4">
        <v>73.850118621325421</v>
      </c>
      <c r="X600" s="4">
        <v>11.149881378674579</v>
      </c>
      <c r="Y600" s="4">
        <v>1.7804873264849888</v>
      </c>
    </row>
    <row r="601" spans="11:25" x14ac:dyDescent="0.25">
      <c r="K601" s="3"/>
      <c r="L601" s="8">
        <v>89</v>
      </c>
      <c r="M601" s="4"/>
      <c r="N601" s="4"/>
      <c r="O601" s="4"/>
      <c r="P601" s="4"/>
      <c r="S601" s="3">
        <v>599</v>
      </c>
      <c r="T601" s="8">
        <v>0.36294724075197088</v>
      </c>
      <c r="U601" s="4">
        <v>67.7</v>
      </c>
      <c r="V601" s="4">
        <v>-0.350591970179219</v>
      </c>
      <c r="W601" s="4">
        <v>73.850118621325421</v>
      </c>
      <c r="X601" s="4">
        <v>9.1498813786745785</v>
      </c>
      <c r="Y601" s="4">
        <v>1.4611140047399926</v>
      </c>
    </row>
    <row r="602" spans="11:25" x14ac:dyDescent="0.25">
      <c r="K602" s="3"/>
      <c r="L602" s="8">
        <v>89</v>
      </c>
      <c r="M602" s="4"/>
      <c r="N602" s="4"/>
      <c r="O602" s="4"/>
      <c r="P602" s="4"/>
      <c r="S602" s="3">
        <v>600</v>
      </c>
      <c r="T602" s="8">
        <v>0.36355366889023649</v>
      </c>
      <c r="U602" s="4">
        <v>67.7</v>
      </c>
      <c r="V602" s="4">
        <v>-0.34897598627330928</v>
      </c>
      <c r="W602" s="4">
        <v>73.751483902734236</v>
      </c>
      <c r="X602" s="4">
        <v>6.2485160972657638</v>
      </c>
      <c r="Y602" s="4">
        <v>0.99780467098042336</v>
      </c>
    </row>
    <row r="603" spans="11:25" x14ac:dyDescent="0.25">
      <c r="K603" s="3"/>
      <c r="L603" s="8">
        <v>89</v>
      </c>
      <c r="M603" s="4"/>
      <c r="N603" s="4"/>
      <c r="O603" s="4"/>
      <c r="P603" s="4"/>
      <c r="S603" s="3">
        <v>601</v>
      </c>
      <c r="T603" s="8">
        <v>0.36416009702850211</v>
      </c>
      <c r="U603" s="4">
        <v>67.7</v>
      </c>
      <c r="V603" s="4">
        <v>-0.34736091317166046</v>
      </c>
      <c r="W603" s="4">
        <v>73.800801262029822</v>
      </c>
      <c r="X603" s="4">
        <v>6.099198737970184</v>
      </c>
      <c r="Y603" s="4">
        <v>0.97396068046421314</v>
      </c>
    </row>
    <row r="604" spans="11:25" x14ac:dyDescent="0.25">
      <c r="K604" s="3"/>
      <c r="L604" s="8">
        <v>89</v>
      </c>
      <c r="M604" s="4"/>
      <c r="N604" s="4"/>
      <c r="O604" s="4"/>
      <c r="P604" s="4"/>
      <c r="S604" s="3">
        <v>602</v>
      </c>
      <c r="T604" s="8">
        <v>0.36476652516676772</v>
      </c>
      <c r="U604" s="4">
        <v>67.7</v>
      </c>
      <c r="V604" s="4">
        <v>-0.34574674564002655</v>
      </c>
      <c r="W604" s="4">
        <v>77.203699053425723</v>
      </c>
      <c r="X604" s="4">
        <v>2.1963009465742829</v>
      </c>
      <c r="Y604" s="4">
        <v>0.35071996442955405</v>
      </c>
    </row>
    <row r="605" spans="11:25" x14ac:dyDescent="0.25">
      <c r="K605" s="3"/>
      <c r="L605" s="8">
        <v>89</v>
      </c>
      <c r="M605" s="4"/>
      <c r="N605" s="4"/>
      <c r="O605" s="4"/>
      <c r="P605" s="4"/>
      <c r="S605" s="3">
        <v>603</v>
      </c>
      <c r="T605" s="8">
        <v>0.36537295330503333</v>
      </c>
      <c r="U605" s="4">
        <v>67.7</v>
      </c>
      <c r="V605" s="4">
        <v>-0.344133478462397</v>
      </c>
      <c r="W605" s="4">
        <v>73.800801262029822</v>
      </c>
      <c r="X605" s="4">
        <v>5.8991987379701811</v>
      </c>
      <c r="Y605" s="4">
        <v>0.94202334828971301</v>
      </c>
    </row>
    <row r="606" spans="11:25" x14ac:dyDescent="0.25">
      <c r="K606" s="3"/>
      <c r="L606" s="8">
        <v>89</v>
      </c>
      <c r="M606" s="4"/>
      <c r="N606" s="4"/>
      <c r="O606" s="4"/>
      <c r="P606" s="4"/>
      <c r="S606" s="3">
        <v>604</v>
      </c>
      <c r="T606" s="8">
        <v>0.36597938144329895</v>
      </c>
      <c r="U606" s="4">
        <v>67.7</v>
      </c>
      <c r="V606" s="4">
        <v>-0.34252110644085498</v>
      </c>
      <c r="W606" s="4">
        <v>73.603531824847451</v>
      </c>
      <c r="X606" s="4">
        <v>5.6964681751525461</v>
      </c>
      <c r="Y606" s="4">
        <v>0.90964998165656263</v>
      </c>
    </row>
    <row r="607" spans="11:25" x14ac:dyDescent="0.25">
      <c r="K607" s="3"/>
      <c r="L607" s="8">
        <v>89</v>
      </c>
      <c r="M607" s="4"/>
      <c r="N607" s="4"/>
      <c r="O607" s="4"/>
      <c r="P607" s="4"/>
      <c r="S607" s="3">
        <v>605</v>
      </c>
      <c r="T607" s="8">
        <v>0.36658580958156456</v>
      </c>
      <c r="U607" s="4">
        <v>67.7</v>
      </c>
      <c r="V607" s="4">
        <v>-0.34090962439543765</v>
      </c>
      <c r="W607" s="4">
        <v>73.603531824847451</v>
      </c>
      <c r="X607" s="4">
        <v>5.5964681751525518</v>
      </c>
      <c r="Y607" s="4">
        <v>0.89368131556931374</v>
      </c>
    </row>
    <row r="608" spans="11:25" x14ac:dyDescent="0.25">
      <c r="K608" s="3"/>
      <c r="L608" s="8">
        <v>36.299999999999997</v>
      </c>
      <c r="M608" s="4"/>
      <c r="N608" s="4"/>
      <c r="O608" s="4"/>
      <c r="P608" s="4"/>
      <c r="S608" s="3">
        <v>606</v>
      </c>
      <c r="T608" s="8">
        <v>0.36719223771983023</v>
      </c>
      <c r="U608" s="4">
        <v>67.7</v>
      </c>
      <c r="V608" s="4">
        <v>-0.33929902716399685</v>
      </c>
      <c r="W608" s="4">
        <v>73.603531824847451</v>
      </c>
      <c r="X608" s="4">
        <v>5.4964681751525433</v>
      </c>
      <c r="Y608" s="4">
        <v>0.87771264948206262</v>
      </c>
    </row>
    <row r="609" spans="11:25" x14ac:dyDescent="0.25">
      <c r="K609" s="3"/>
      <c r="L609" s="8">
        <v>36.299999999999997</v>
      </c>
      <c r="M609" s="4"/>
      <c r="N609" s="4"/>
      <c r="O609" s="4"/>
      <c r="P609" s="4"/>
      <c r="S609" s="3">
        <v>607</v>
      </c>
      <c r="T609" s="8">
        <v>0.36779866585809584</v>
      </c>
      <c r="U609" s="4">
        <v>67.8</v>
      </c>
      <c r="V609" s="4">
        <v>-0.33768930960206195</v>
      </c>
      <c r="W609" s="4">
        <v>73.603531824847451</v>
      </c>
      <c r="X609" s="4">
        <v>5.396468175152549</v>
      </c>
      <c r="Y609" s="4">
        <v>0.86174398339481373</v>
      </c>
    </row>
    <row r="610" spans="11:25" x14ac:dyDescent="0.25">
      <c r="K610" s="3"/>
      <c r="L610" s="8">
        <v>36.299999999999997</v>
      </c>
      <c r="M610" s="4"/>
      <c r="N610" s="4"/>
      <c r="O610" s="4"/>
      <c r="P610" s="4"/>
      <c r="S610" s="3">
        <v>608</v>
      </c>
      <c r="T610" s="8">
        <v>0.36840509399636145</v>
      </c>
      <c r="U610" s="4">
        <v>67.8</v>
      </c>
      <c r="V610" s="4">
        <v>-0.33608046658270169</v>
      </c>
      <c r="W610" s="4">
        <v>73.504897106256266</v>
      </c>
      <c r="X610" s="4">
        <v>5.1951028937437371</v>
      </c>
      <c r="Y610" s="4">
        <v>0.82958863399098959</v>
      </c>
    </row>
    <row r="611" spans="11:25" x14ac:dyDescent="0.25">
      <c r="K611" s="3"/>
      <c r="L611" s="8">
        <v>36.299999999999997</v>
      </c>
      <c r="M611" s="4"/>
      <c r="N611" s="4"/>
      <c r="O611" s="4"/>
      <c r="P611" s="4"/>
      <c r="S611" s="3">
        <v>609</v>
      </c>
      <c r="T611" s="8">
        <v>0.36901152213462707</v>
      </c>
      <c r="U611" s="4">
        <v>67.8</v>
      </c>
      <c r="V611" s="4">
        <v>-0.33447249299638898</v>
      </c>
      <c r="W611" s="4">
        <v>73.45557974696068</v>
      </c>
      <c r="X611" s="4">
        <v>4.7444202530393227</v>
      </c>
      <c r="Y611" s="4">
        <v>0.75762062798370189</v>
      </c>
    </row>
    <row r="612" spans="11:25" x14ac:dyDescent="0.25">
      <c r="K612" s="3"/>
      <c r="L612" s="8">
        <v>36.299999999999997</v>
      </c>
      <c r="M612" s="4"/>
      <c r="N612" s="4"/>
      <c r="O612" s="4"/>
      <c r="P612" s="4"/>
      <c r="S612" s="3">
        <v>610</v>
      </c>
      <c r="T612" s="8">
        <v>0.36961795027289268</v>
      </c>
      <c r="U612" s="4">
        <v>67.8</v>
      </c>
      <c r="V612" s="4">
        <v>-0.33286538375086533</v>
      </c>
      <c r="W612" s="4">
        <v>68.375891739514628</v>
      </c>
      <c r="X612" s="4">
        <v>3.3241082604853744</v>
      </c>
      <c r="Y612" s="4">
        <v>0.53081574849559754</v>
      </c>
    </row>
    <row r="613" spans="11:25" x14ac:dyDescent="0.25">
      <c r="K613" s="3"/>
      <c r="L613" s="8">
        <v>36.299999999999997</v>
      </c>
      <c r="M613" s="4"/>
      <c r="N613" s="4"/>
      <c r="O613" s="4"/>
      <c r="P613" s="4"/>
      <c r="S613" s="3">
        <v>611</v>
      </c>
      <c r="T613" s="8">
        <v>0.37022437841115829</v>
      </c>
      <c r="U613" s="4">
        <v>67.8</v>
      </c>
      <c r="V613" s="4">
        <v>-0.33125913377100691</v>
      </c>
      <c r="W613" s="4">
        <v>68.277257020923429</v>
      </c>
      <c r="X613" s="4">
        <v>3.1227429790765768</v>
      </c>
      <c r="Y613" s="4">
        <v>0.49866039909177573</v>
      </c>
    </row>
    <row r="614" spans="11:25" x14ac:dyDescent="0.25">
      <c r="K614" s="3"/>
      <c r="L614" s="8">
        <v>36.299999999999997</v>
      </c>
      <c r="M614" s="4"/>
      <c r="N614" s="4"/>
      <c r="O614" s="4"/>
      <c r="P614" s="4"/>
      <c r="S614" s="3">
        <v>612</v>
      </c>
      <c r="T614" s="8">
        <v>0.37083080654942391</v>
      </c>
      <c r="U614" s="4">
        <v>67.8</v>
      </c>
      <c r="V614" s="4">
        <v>-0.32965373799869191</v>
      </c>
      <c r="W614" s="4">
        <v>68.277257020923429</v>
      </c>
      <c r="X614" s="4">
        <v>3.0227429790765683</v>
      </c>
      <c r="Y614" s="4">
        <v>0.48269173300452456</v>
      </c>
    </row>
    <row r="615" spans="11:25" x14ac:dyDescent="0.25">
      <c r="K615" s="3"/>
      <c r="L615" s="8">
        <v>36.299999999999997</v>
      </c>
      <c r="M615" s="4"/>
      <c r="N615" s="4"/>
      <c r="O615" s="4"/>
      <c r="P615" s="4"/>
      <c r="S615" s="3">
        <v>613</v>
      </c>
      <c r="T615" s="8">
        <v>0.37143723468768952</v>
      </c>
      <c r="U615" s="4">
        <v>67.8</v>
      </c>
      <c r="V615" s="4">
        <v>-0.32804919139266758</v>
      </c>
      <c r="W615" s="4">
        <v>68.079987583741058</v>
      </c>
      <c r="X615" s="4">
        <v>3.0200124162589361</v>
      </c>
      <c r="Y615" s="4">
        <v>0.48225569854587425</v>
      </c>
    </row>
    <row r="616" spans="11:25" x14ac:dyDescent="0.25">
      <c r="K616" s="3"/>
      <c r="L616" s="8">
        <v>36.299999999999997</v>
      </c>
      <c r="M616" s="4"/>
      <c r="N616" s="4"/>
      <c r="O616" s="4"/>
      <c r="P616" s="4"/>
      <c r="S616" s="3">
        <v>614</v>
      </c>
      <c r="T616" s="8">
        <v>0.37204366282595513</v>
      </c>
      <c r="U616" s="4">
        <v>67.8</v>
      </c>
      <c r="V616" s="4">
        <v>-0.32644548892841924</v>
      </c>
      <c r="W616" s="4">
        <v>67.932035505854287</v>
      </c>
      <c r="X616" s="4">
        <v>9.0679644941457127</v>
      </c>
      <c r="Y616" s="4">
        <v>1.4480329709805002</v>
      </c>
    </row>
    <row r="617" spans="11:25" x14ac:dyDescent="0.25">
      <c r="K617" s="3"/>
      <c r="L617" s="8">
        <v>36.299999999999997</v>
      </c>
      <c r="M617" s="4"/>
      <c r="N617" s="4"/>
      <c r="O617" s="4"/>
      <c r="P617" s="4"/>
      <c r="S617" s="3">
        <v>615</v>
      </c>
      <c r="T617" s="8">
        <v>0.37265009096422075</v>
      </c>
      <c r="U617" s="4">
        <v>67.8</v>
      </c>
      <c r="V617" s="4">
        <v>-0.32484262559804022</v>
      </c>
      <c r="W617" s="4">
        <v>67.833400787263102</v>
      </c>
      <c r="X617" s="4">
        <v>8.166599212736898</v>
      </c>
      <c r="Y617" s="4">
        <v>1.3040969589659268</v>
      </c>
    </row>
    <row r="618" spans="11:25" x14ac:dyDescent="0.25">
      <c r="K618" s="3"/>
      <c r="L618" s="8">
        <v>36.299999999999997</v>
      </c>
      <c r="M618" s="4"/>
      <c r="N618" s="4"/>
      <c r="O618" s="4"/>
      <c r="P618" s="4"/>
      <c r="S618" s="3">
        <v>616</v>
      </c>
      <c r="T618" s="8">
        <v>0.37325651910248636</v>
      </c>
      <c r="U618" s="4">
        <v>67.8</v>
      </c>
      <c r="V618" s="4">
        <v>-0.32324059641010222</v>
      </c>
      <c r="W618" s="4">
        <v>76.661208101174196</v>
      </c>
      <c r="X618" s="4">
        <v>2.3387918988258036</v>
      </c>
      <c r="Y618" s="4">
        <v>0.37347386879914196</v>
      </c>
    </row>
    <row r="619" spans="11:25" x14ac:dyDescent="0.25">
      <c r="K619" s="3"/>
      <c r="L619" s="8">
        <v>36.299999999999997</v>
      </c>
      <c r="M619" s="4"/>
      <c r="N619" s="4"/>
      <c r="O619" s="4"/>
      <c r="P619" s="4"/>
      <c r="S619" s="3">
        <v>617</v>
      </c>
      <c r="T619" s="8">
        <v>0.37386294724075197</v>
      </c>
      <c r="U619" s="4">
        <v>67.900000000000006</v>
      </c>
      <c r="V619" s="4">
        <v>-0.32163939638952627</v>
      </c>
      <c r="W619" s="4">
        <v>68.129304943036658</v>
      </c>
      <c r="X619" s="4">
        <v>6.870695056963342</v>
      </c>
      <c r="Y619" s="4">
        <v>1.0971583515196541</v>
      </c>
    </row>
    <row r="620" spans="11:25" x14ac:dyDescent="0.25">
      <c r="K620" s="3"/>
      <c r="L620" s="8">
        <v>36.299999999999997</v>
      </c>
      <c r="M620" s="4"/>
      <c r="N620" s="4"/>
      <c r="O620" s="4"/>
      <c r="P620" s="4"/>
      <c r="S620" s="3">
        <v>618</v>
      </c>
      <c r="T620" s="8">
        <v>0.37446937537901759</v>
      </c>
      <c r="U620" s="4">
        <v>67.900000000000006</v>
      </c>
      <c r="V620" s="4">
        <v>-0.32003902057745615</v>
      </c>
      <c r="W620" s="4">
        <v>76.41462130469624</v>
      </c>
      <c r="X620" s="4">
        <v>-6.7146213046962373</v>
      </c>
      <c r="Y620" s="4">
        <v>-1.0722354551702786</v>
      </c>
    </row>
    <row r="621" spans="11:25" x14ac:dyDescent="0.25">
      <c r="K621" s="3"/>
      <c r="L621" s="8">
        <v>36.299999999999997</v>
      </c>
      <c r="M621" s="4"/>
      <c r="N621" s="4"/>
      <c r="O621" s="4"/>
      <c r="P621" s="4"/>
      <c r="S621" s="3">
        <v>619</v>
      </c>
      <c r="T621" s="8">
        <v>0.3750758035172832</v>
      </c>
      <c r="U621" s="4">
        <v>67.900000000000006</v>
      </c>
      <c r="V621" s="4">
        <v>-0.31843946403113088</v>
      </c>
      <c r="W621" s="4">
        <v>76.217351867513869</v>
      </c>
      <c r="X621" s="4">
        <v>-7.0173518675138666</v>
      </c>
      <c r="Y621" s="4">
        <v>-1.120577487890678</v>
      </c>
    </row>
    <row r="622" spans="11:25" x14ac:dyDescent="0.25">
      <c r="K622" s="3"/>
      <c r="L622" s="8">
        <v>36.299999999999997</v>
      </c>
      <c r="M622" s="4"/>
      <c r="N622" s="4"/>
      <c r="O622" s="4"/>
      <c r="P622" s="4"/>
      <c r="S622" s="3">
        <v>620</v>
      </c>
      <c r="T622" s="8">
        <v>0.37568223165554882</v>
      </c>
      <c r="U622" s="4">
        <v>67.900000000000006</v>
      </c>
      <c r="V622" s="4">
        <v>-0.31684072182375905</v>
      </c>
      <c r="W622" s="4">
        <v>62.852347498408236</v>
      </c>
      <c r="X622" s="4">
        <v>-4.7523474984082341</v>
      </c>
      <c r="Y622" s="4">
        <v>-0.75888650332658036</v>
      </c>
    </row>
    <row r="623" spans="11:25" x14ac:dyDescent="0.25">
      <c r="K623" s="3"/>
      <c r="L623" s="8">
        <v>36.299999999999997</v>
      </c>
      <c r="M623" s="4"/>
      <c r="N623" s="4"/>
      <c r="O623" s="4"/>
      <c r="P623" s="4"/>
      <c r="S623" s="3">
        <v>621</v>
      </c>
      <c r="T623" s="8">
        <v>0.37628865979381443</v>
      </c>
      <c r="U623" s="4">
        <v>67.900000000000006</v>
      </c>
      <c r="V623" s="4">
        <v>-0.31524278904439385</v>
      </c>
      <c r="W623" s="4">
        <v>63.592107887842126</v>
      </c>
      <c r="X623" s="4">
        <v>-4.7921078878421284</v>
      </c>
      <c r="Y623" s="4">
        <v>-0.76523570715026901</v>
      </c>
    </row>
    <row r="624" spans="11:25" x14ac:dyDescent="0.25">
      <c r="K624" s="3"/>
      <c r="L624" s="8">
        <v>36.299999999999997</v>
      </c>
      <c r="M624" s="4"/>
      <c r="N624" s="4"/>
      <c r="O624" s="4"/>
      <c r="P624" s="4"/>
      <c r="S624" s="3">
        <v>622</v>
      </c>
      <c r="T624" s="8">
        <v>0.37689508793208004</v>
      </c>
      <c r="U624" s="4">
        <v>67.900000000000006</v>
      </c>
      <c r="V624" s="4">
        <v>-0.31364566079780876</v>
      </c>
      <c r="W624" s="4">
        <v>63.394838450659755</v>
      </c>
      <c r="X624" s="4">
        <v>-4.9948384506597563</v>
      </c>
      <c r="Y624" s="4">
        <v>-0.79760907378341828</v>
      </c>
    </row>
    <row r="625" spans="11:25" x14ac:dyDescent="0.25">
      <c r="K625" s="3"/>
      <c r="L625" s="8">
        <v>36.299999999999997</v>
      </c>
      <c r="M625" s="4"/>
      <c r="N625" s="4"/>
      <c r="O625" s="4"/>
      <c r="P625" s="4"/>
      <c r="S625" s="3">
        <v>623</v>
      </c>
      <c r="T625" s="8">
        <v>0.37750151607034566</v>
      </c>
      <c r="U625" s="4">
        <v>68</v>
      </c>
      <c r="V625" s="4">
        <v>-0.3120493322043747</v>
      </c>
      <c r="W625" s="4">
        <v>76.16803450821827</v>
      </c>
      <c r="X625" s="4">
        <v>-18.068034508218268</v>
      </c>
      <c r="Y625" s="4">
        <v>-2.8852240991464435</v>
      </c>
    </row>
    <row r="626" spans="11:25" x14ac:dyDescent="0.25">
      <c r="K626" s="3"/>
      <c r="L626" s="8">
        <v>36.299999999999997</v>
      </c>
      <c r="M626" s="4"/>
      <c r="N626" s="4"/>
      <c r="O626" s="4"/>
      <c r="P626" s="4"/>
      <c r="S626" s="3">
        <v>624</v>
      </c>
      <c r="T626" s="8">
        <v>0.37810794420861127</v>
      </c>
      <c r="U626" s="4">
        <v>68</v>
      </c>
      <c r="V626" s="4">
        <v>-0.31045379839993698</v>
      </c>
      <c r="W626" s="4">
        <v>63.246886372772977</v>
      </c>
      <c r="X626" s="4">
        <v>-5.4468863727729797</v>
      </c>
      <c r="Y626" s="4">
        <v>-0.86979509702002999</v>
      </c>
    </row>
    <row r="627" spans="11:25" x14ac:dyDescent="0.25">
      <c r="K627" s="3"/>
      <c r="L627" s="8">
        <v>36.299999999999997</v>
      </c>
      <c r="M627" s="4"/>
      <c r="N627" s="4"/>
      <c r="O627" s="4"/>
      <c r="P627" s="4"/>
      <c r="S627" s="3">
        <v>625</v>
      </c>
      <c r="T627" s="8">
        <v>0.37871437234687688</v>
      </c>
      <c r="U627" s="4">
        <v>68</v>
      </c>
      <c r="V627" s="4">
        <v>-0.30885905453569412</v>
      </c>
      <c r="W627" s="4">
        <v>62.950982216999421</v>
      </c>
      <c r="X627" s="4">
        <v>-5.6509822169994237</v>
      </c>
      <c r="Y627" s="4">
        <v>-0.90238648088250439</v>
      </c>
    </row>
    <row r="628" spans="11:25" x14ac:dyDescent="0.25">
      <c r="K628" s="3"/>
      <c r="L628" s="8">
        <v>36.299999999999997</v>
      </c>
      <c r="M628" s="4"/>
      <c r="N628" s="4"/>
      <c r="O628" s="4"/>
      <c r="P628" s="4"/>
      <c r="S628" s="3">
        <v>626</v>
      </c>
      <c r="T628" s="8">
        <v>0.3793208004851425</v>
      </c>
      <c r="U628" s="4">
        <v>68</v>
      </c>
      <c r="V628" s="4">
        <v>-0.3072650957780772</v>
      </c>
      <c r="W628" s="4">
        <v>75.970765071035899</v>
      </c>
      <c r="X628" s="4">
        <v>-19.170765071035902</v>
      </c>
      <c r="Y628" s="4">
        <v>-3.0613154605648418</v>
      </c>
    </row>
    <row r="629" spans="11:25" x14ac:dyDescent="0.25">
      <c r="K629" s="3"/>
      <c r="L629" s="8">
        <v>89</v>
      </c>
      <c r="M629" s="4"/>
      <c r="N629" s="4"/>
      <c r="O629" s="4"/>
      <c r="P629" s="4"/>
      <c r="S629" s="3">
        <v>627</v>
      </c>
      <c r="T629" s="8">
        <v>0.37992722862340811</v>
      </c>
      <c r="U629" s="4">
        <v>68</v>
      </c>
      <c r="V629" s="4">
        <v>-0.30567191730862897</v>
      </c>
      <c r="W629" s="4">
        <v>75.822812993149128</v>
      </c>
      <c r="X629" s="4">
        <v>-19.42281299314913</v>
      </c>
      <c r="Y629" s="4">
        <v>-3.1015641516269548</v>
      </c>
    </row>
    <row r="630" spans="11:25" x14ac:dyDescent="0.25">
      <c r="K630" s="3"/>
      <c r="L630" s="8">
        <v>89</v>
      </c>
      <c r="M630" s="4"/>
      <c r="N630" s="4"/>
      <c r="O630" s="4"/>
      <c r="P630" s="4"/>
      <c r="S630" s="3">
        <v>628</v>
      </c>
      <c r="T630" s="8">
        <v>0.38053365676167372</v>
      </c>
      <c r="U630" s="4">
        <v>68</v>
      </c>
      <c r="V630" s="4">
        <v>-0.30407951432388597</v>
      </c>
      <c r="W630" s="4">
        <v>63.690742606433311</v>
      </c>
      <c r="X630" s="4">
        <v>-5.2907426064333123</v>
      </c>
      <c r="Y630" s="4">
        <v>-0.84486102035719302</v>
      </c>
    </row>
    <row r="631" spans="11:25" x14ac:dyDescent="0.25">
      <c r="K631" s="3"/>
      <c r="L631" s="8">
        <v>89</v>
      </c>
      <c r="M631" s="4"/>
      <c r="N631" s="4"/>
      <c r="O631" s="4"/>
      <c r="P631" s="4"/>
      <c r="S631" s="3">
        <v>629</v>
      </c>
      <c r="T631" s="8">
        <v>0.38114008489993934</v>
      </c>
      <c r="U631" s="4">
        <v>68</v>
      </c>
      <c r="V631" s="4">
        <v>-0.30248788203525911</v>
      </c>
      <c r="W631" s="4">
        <v>63.838694684320089</v>
      </c>
      <c r="X631" s="4">
        <v>-5.7386946843200874</v>
      </c>
      <c r="Y631" s="4">
        <v>-0.91639299190582924</v>
      </c>
    </row>
    <row r="632" spans="11:25" x14ac:dyDescent="0.25">
      <c r="K632" s="3"/>
      <c r="L632" s="8">
        <v>89</v>
      </c>
      <c r="M632" s="4"/>
      <c r="N632" s="4"/>
      <c r="O632" s="4"/>
      <c r="P632" s="4"/>
      <c r="S632" s="3">
        <v>630</v>
      </c>
      <c r="T632" s="8">
        <v>0.38174651303820495</v>
      </c>
      <c r="U632" s="4">
        <v>68</v>
      </c>
      <c r="V632" s="4">
        <v>-0.30089701566891658</v>
      </c>
      <c r="W632" s="4">
        <v>63.542790528546533</v>
      </c>
      <c r="X632" s="4">
        <v>-5.9427905285465314</v>
      </c>
      <c r="Y632" s="4">
        <v>-0.94898437576830363</v>
      </c>
    </row>
    <row r="633" spans="11:25" x14ac:dyDescent="0.25">
      <c r="K633" s="3"/>
      <c r="L633" s="8">
        <v>89</v>
      </c>
      <c r="M633" s="4"/>
      <c r="N633" s="4"/>
      <c r="O633" s="4"/>
      <c r="P633" s="4"/>
      <c r="S633" s="3">
        <v>631</v>
      </c>
      <c r="T633" s="8">
        <v>0.38235294117647056</v>
      </c>
      <c r="U633" s="4">
        <v>68</v>
      </c>
      <c r="V633" s="4">
        <v>-0.29930691046566704</v>
      </c>
      <c r="W633" s="4">
        <v>63.345521091364162</v>
      </c>
      <c r="X633" s="4">
        <v>-6.2455210913641608</v>
      </c>
      <c r="Y633" s="4">
        <v>-0.99732640848870291</v>
      </c>
    </row>
    <row r="634" spans="11:25" x14ac:dyDescent="0.25">
      <c r="K634" s="3"/>
      <c r="L634" s="8">
        <v>89</v>
      </c>
      <c r="M634" s="4"/>
      <c r="N634" s="4"/>
      <c r="O634" s="4"/>
      <c r="P634" s="4"/>
      <c r="S634" s="3">
        <v>632</v>
      </c>
      <c r="T634" s="8">
        <v>0.38295936931473623</v>
      </c>
      <c r="U634" s="4">
        <v>68</v>
      </c>
      <c r="V634" s="4">
        <v>-0.29771756168084357</v>
      </c>
      <c r="W634" s="4">
        <v>63.444155809955348</v>
      </c>
      <c r="X634" s="4">
        <v>-6.7441558099553447</v>
      </c>
      <c r="Y634" s="4">
        <v>-1.0769517216956268</v>
      </c>
    </row>
    <row r="635" spans="11:25" x14ac:dyDescent="0.25">
      <c r="K635" s="3"/>
      <c r="L635" s="8">
        <v>89</v>
      </c>
      <c r="M635" s="4"/>
      <c r="N635" s="4"/>
      <c r="O635" s="4"/>
      <c r="P635" s="4"/>
      <c r="S635" s="3">
        <v>633</v>
      </c>
      <c r="T635" s="8">
        <v>0.38356579745300184</v>
      </c>
      <c r="U635" s="4">
        <v>68</v>
      </c>
      <c r="V635" s="4">
        <v>-0.29612896458418841</v>
      </c>
      <c r="W635" s="4">
        <v>63.394838450659755</v>
      </c>
      <c r="X635" s="4">
        <v>-7.0948384506597577</v>
      </c>
      <c r="Y635" s="4">
        <v>-1.1329510616156644</v>
      </c>
    </row>
    <row r="636" spans="11:25" x14ac:dyDescent="0.25">
      <c r="K636" s="3"/>
      <c r="L636" s="8">
        <v>89</v>
      </c>
      <c r="M636" s="4"/>
      <c r="N636" s="4"/>
      <c r="O636" s="4"/>
      <c r="P636" s="4"/>
      <c r="S636" s="3">
        <v>634</v>
      </c>
      <c r="T636" s="8">
        <v>0.38417222559126746</v>
      </c>
      <c r="U636" s="4">
        <v>68</v>
      </c>
      <c r="V636" s="4">
        <v>-0.29454111445973813</v>
      </c>
      <c r="W636" s="4">
        <v>66.896370960646834</v>
      </c>
      <c r="X636" s="4">
        <v>-0.89637096064683419</v>
      </c>
      <c r="Y636" s="4">
        <v>-0.14313848560876635</v>
      </c>
    </row>
    <row r="637" spans="11:25" x14ac:dyDescent="0.25">
      <c r="K637" s="3"/>
      <c r="L637" s="8">
        <v>89</v>
      </c>
      <c r="M637" s="4"/>
      <c r="N637" s="4"/>
      <c r="O637" s="4"/>
      <c r="P637" s="4"/>
      <c r="S637" s="3">
        <v>635</v>
      </c>
      <c r="T637" s="8">
        <v>0.38477865372953307</v>
      </c>
      <c r="U637" s="4">
        <v>68.099999999999994</v>
      </c>
      <c r="V637" s="4">
        <v>-0.29295400660571047</v>
      </c>
      <c r="W637" s="4">
        <v>66.847053601351249</v>
      </c>
      <c r="X637" s="4">
        <v>-0.94705360135124295</v>
      </c>
      <c r="Y637" s="4">
        <v>-0.15123182726705392</v>
      </c>
    </row>
    <row r="638" spans="11:25" x14ac:dyDescent="0.25">
      <c r="K638" s="3"/>
      <c r="L638" s="8">
        <v>89</v>
      </c>
      <c r="M638" s="4"/>
      <c r="N638" s="4"/>
      <c r="O638" s="4"/>
      <c r="P638" s="4"/>
      <c r="S638" s="3">
        <v>636</v>
      </c>
      <c r="T638" s="8">
        <v>0.38538508186779868</v>
      </c>
      <c r="U638" s="4">
        <v>68.099999999999994</v>
      </c>
      <c r="V638" s="4">
        <v>-0.291367636334391</v>
      </c>
      <c r="W638" s="4">
        <v>76.513256023287425</v>
      </c>
      <c r="X638" s="4">
        <v>-10.713256023287428</v>
      </c>
      <c r="Y638" s="4">
        <v>-1.710764081430947</v>
      </c>
    </row>
    <row r="639" spans="11:25" x14ac:dyDescent="0.25">
      <c r="K639" s="3"/>
      <c r="L639" s="8">
        <v>89</v>
      </c>
      <c r="M639" s="4"/>
      <c r="N639" s="4"/>
      <c r="O639" s="4"/>
      <c r="P639" s="4"/>
      <c r="S639" s="3">
        <v>637</v>
      </c>
      <c r="T639" s="8">
        <v>0.3859915100060643</v>
      </c>
      <c r="U639" s="4">
        <v>68.099999999999994</v>
      </c>
      <c r="V639" s="4">
        <v>-0.28978199897202095</v>
      </c>
      <c r="W639" s="4">
        <v>66.304562649099722</v>
      </c>
      <c r="X639" s="4">
        <v>-0.70456264909972788</v>
      </c>
      <c r="Y639" s="4">
        <v>-0.11250925681021712</v>
      </c>
    </row>
    <row r="640" spans="11:25" x14ac:dyDescent="0.25">
      <c r="K640" s="3"/>
      <c r="L640" s="8">
        <v>89</v>
      </c>
      <c r="M640" s="4"/>
      <c r="N640" s="4"/>
      <c r="O640" s="4"/>
      <c r="P640" s="4"/>
      <c r="S640" s="3">
        <v>638</v>
      </c>
      <c r="T640" s="8">
        <v>0.38659793814432991</v>
      </c>
      <c r="U640" s="4">
        <v>68.099999999999994</v>
      </c>
      <c r="V640" s="4">
        <v>-0.28819708985868558</v>
      </c>
      <c r="W640" s="4">
        <v>66.699101523464464</v>
      </c>
      <c r="X640" s="4">
        <v>-0.79910152346445784</v>
      </c>
      <c r="Y640" s="4">
        <v>-0.12760585398016544</v>
      </c>
    </row>
    <row r="641" spans="11:25" x14ac:dyDescent="0.25">
      <c r="K641" s="3"/>
      <c r="L641" s="8">
        <v>89</v>
      </c>
      <c r="M641" s="4"/>
      <c r="N641" s="4"/>
      <c r="O641" s="4"/>
      <c r="P641" s="4"/>
      <c r="S641" s="3">
        <v>639</v>
      </c>
      <c r="T641" s="8">
        <v>0.38720436628259552</v>
      </c>
      <c r="U641" s="4">
        <v>68.099999999999994</v>
      </c>
      <c r="V641" s="4">
        <v>-0.28661290434820336</v>
      </c>
      <c r="W641" s="4">
        <v>66.847053601351249</v>
      </c>
      <c r="X641" s="4">
        <v>-0.74705360135125431</v>
      </c>
      <c r="Y641" s="4">
        <v>-0.11929449509255613</v>
      </c>
    </row>
    <row r="642" spans="11:25" x14ac:dyDescent="0.25">
      <c r="K642" s="3"/>
      <c r="L642" s="8">
        <v>89</v>
      </c>
      <c r="M642" s="4"/>
      <c r="N642" s="4"/>
      <c r="O642" s="4"/>
      <c r="P642" s="4"/>
      <c r="S642" s="3">
        <v>640</v>
      </c>
      <c r="T642" s="8">
        <v>0.38781079442086114</v>
      </c>
      <c r="U642" s="4">
        <v>68.099999999999994</v>
      </c>
      <c r="V642" s="4">
        <v>-0.2850294378080161</v>
      </c>
      <c r="W642" s="4">
        <v>66.847053601351249</v>
      </c>
      <c r="X642" s="4">
        <v>-0.54705360135125147</v>
      </c>
      <c r="Y642" s="4">
        <v>-8.735716291805605E-2</v>
      </c>
    </row>
    <row r="643" spans="11:25" x14ac:dyDescent="0.25">
      <c r="K643" s="3"/>
      <c r="L643" s="8">
        <v>89</v>
      </c>
      <c r="M643" s="4"/>
      <c r="N643" s="4"/>
      <c r="O643" s="4"/>
      <c r="P643" s="4"/>
      <c r="S643" s="3">
        <v>641</v>
      </c>
      <c r="T643" s="8">
        <v>0.38841722255912675</v>
      </c>
      <c r="U643" s="4">
        <v>68.099999999999994</v>
      </c>
      <c r="V643" s="4">
        <v>-0.28344668561907954</v>
      </c>
      <c r="W643" s="4">
        <v>66.156610571212951</v>
      </c>
      <c r="X643" s="4">
        <v>-0.45661057121294846</v>
      </c>
      <c r="Y643" s="4">
        <v>-7.2914617436079743E-2</v>
      </c>
    </row>
    <row r="644" spans="11:25" x14ac:dyDescent="0.25">
      <c r="K644" s="3"/>
      <c r="L644" s="8">
        <v>36.299999999999997</v>
      </c>
      <c r="M644" s="4"/>
      <c r="N644" s="4"/>
      <c r="O644" s="4"/>
      <c r="P644" s="4"/>
      <c r="S644" s="3">
        <v>642</v>
      </c>
      <c r="T644" s="8">
        <v>0.38902365069739236</v>
      </c>
      <c r="U644" s="4">
        <v>68.099999999999994</v>
      </c>
      <c r="V644" s="4">
        <v>-0.2818646431757541</v>
      </c>
      <c r="W644" s="4">
        <v>76.41462130469624</v>
      </c>
      <c r="X644" s="4">
        <v>-11.214621304696237</v>
      </c>
      <c r="Y644" s="4">
        <v>-1.7908254290965202</v>
      </c>
    </row>
    <row r="645" spans="11:25" x14ac:dyDescent="0.25">
      <c r="K645" s="3"/>
      <c r="L645" s="8">
        <v>89</v>
      </c>
      <c r="M645" s="4"/>
      <c r="N645" s="4"/>
      <c r="O645" s="4"/>
      <c r="P645" s="4"/>
      <c r="S645" s="3">
        <v>643</v>
      </c>
      <c r="T645" s="8">
        <v>0.38963007883565798</v>
      </c>
      <c r="U645" s="4">
        <v>68.2</v>
      </c>
      <c r="V645" s="4">
        <v>-0.28028330588569772</v>
      </c>
      <c r="W645" s="4">
        <v>65.860706415439395</v>
      </c>
      <c r="X645" s="4">
        <v>-0.8607064154393953</v>
      </c>
      <c r="Y645" s="4">
        <v>-0.13744333347305418</v>
      </c>
    </row>
    <row r="646" spans="11:25" x14ac:dyDescent="0.25">
      <c r="K646" s="3"/>
      <c r="L646" s="8">
        <v>89</v>
      </c>
      <c r="M646" s="4"/>
      <c r="N646" s="4"/>
      <c r="O646" s="4"/>
      <c r="P646" s="4"/>
      <c r="S646" s="3">
        <v>644</v>
      </c>
      <c r="T646" s="8">
        <v>0.39023650697392359</v>
      </c>
      <c r="U646" s="4">
        <v>68.2</v>
      </c>
      <c r="V646" s="4">
        <v>-0.27870266916975789</v>
      </c>
      <c r="W646" s="4">
        <v>65.910023774734981</v>
      </c>
      <c r="X646" s="4">
        <v>-0.81002377473498655</v>
      </c>
      <c r="Y646" s="4">
        <v>-0.12934999181476659</v>
      </c>
    </row>
    <row r="647" spans="11:25" x14ac:dyDescent="0.25">
      <c r="K647" s="3"/>
      <c r="L647" s="8">
        <v>89</v>
      </c>
      <c r="M647" s="4"/>
      <c r="N647" s="4"/>
      <c r="O647" s="4"/>
      <c r="P647" s="4"/>
      <c r="S647" s="3">
        <v>645</v>
      </c>
      <c r="T647" s="8">
        <v>0.3908429351121892</v>
      </c>
      <c r="U647" s="4">
        <v>68.2</v>
      </c>
      <c r="V647" s="4">
        <v>-0.27712272846186536</v>
      </c>
      <c r="W647" s="4">
        <v>65.910023774734981</v>
      </c>
      <c r="X647" s="4">
        <v>-0.6100237747349837</v>
      </c>
      <c r="Y647" s="4">
        <v>-9.7412659640266505E-2</v>
      </c>
    </row>
    <row r="648" spans="11:25" x14ac:dyDescent="0.25">
      <c r="K648" s="3"/>
      <c r="L648" s="8">
        <v>89</v>
      </c>
      <c r="M648" s="4"/>
      <c r="N648" s="4"/>
      <c r="O648" s="4"/>
      <c r="P648" s="4"/>
      <c r="S648" s="3">
        <v>646</v>
      </c>
      <c r="T648" s="8">
        <v>0.39144936325045482</v>
      </c>
      <c r="U648" s="4">
        <v>68.2</v>
      </c>
      <c r="V648" s="4">
        <v>-0.27554347920892813</v>
      </c>
      <c r="W648" s="4">
        <v>65.564802259665839</v>
      </c>
      <c r="X648" s="4">
        <v>-0.26480225966584214</v>
      </c>
      <c r="Y648" s="4">
        <v>-4.2285388637530515E-2</v>
      </c>
    </row>
    <row r="649" spans="11:25" x14ac:dyDescent="0.25">
      <c r="K649" s="3"/>
      <c r="L649" s="8">
        <v>89</v>
      </c>
      <c r="M649" s="4"/>
      <c r="N649" s="4"/>
      <c r="O649" s="4"/>
      <c r="P649" s="4"/>
      <c r="S649" s="3">
        <v>647</v>
      </c>
      <c r="T649" s="8">
        <v>0.39205579138872043</v>
      </c>
      <c r="U649" s="4">
        <v>68.3</v>
      </c>
      <c r="V649" s="4">
        <v>-0.27396491687072577</v>
      </c>
      <c r="W649" s="4">
        <v>65.416850181779054</v>
      </c>
      <c r="X649" s="4">
        <v>-1.6850181779048512E-2</v>
      </c>
      <c r="Y649" s="4">
        <v>-2.6907492633908661E-3</v>
      </c>
    </row>
    <row r="650" spans="11:25" x14ac:dyDescent="0.25">
      <c r="K650" s="3"/>
      <c r="L650" s="8">
        <v>89</v>
      </c>
      <c r="M650" s="4"/>
      <c r="N650" s="4"/>
      <c r="O650" s="4"/>
      <c r="P650" s="4"/>
      <c r="S650" s="3">
        <v>648</v>
      </c>
      <c r="T650" s="8">
        <v>0.39266221952698604</v>
      </c>
      <c r="U650" s="4">
        <v>68.3</v>
      </c>
      <c r="V650" s="4">
        <v>-0.27238703691980559</v>
      </c>
      <c r="W650" s="4">
        <v>65.51548490037024</v>
      </c>
      <c r="X650" s="4">
        <v>-2.4154849003702381</v>
      </c>
      <c r="Y650" s="4">
        <v>-0.38572071812806202</v>
      </c>
    </row>
    <row r="651" spans="11:25" x14ac:dyDescent="0.25">
      <c r="K651" s="3"/>
      <c r="L651" s="8">
        <v>89</v>
      </c>
      <c r="M651" s="4"/>
      <c r="N651" s="4"/>
      <c r="O651" s="4"/>
      <c r="P651" s="4"/>
      <c r="S651" s="3">
        <v>649</v>
      </c>
      <c r="T651" s="8">
        <v>0.39326864766525166</v>
      </c>
      <c r="U651" s="4">
        <v>68.3</v>
      </c>
      <c r="V651" s="4">
        <v>-0.27080983484137761</v>
      </c>
      <c r="W651" s="4">
        <v>65.120946026005498</v>
      </c>
      <c r="X651" s="4">
        <v>-2.4209460260054954</v>
      </c>
      <c r="Y651" s="4">
        <v>-0.38659278704536149</v>
      </c>
    </row>
    <row r="652" spans="11:25" x14ac:dyDescent="0.25">
      <c r="K652" s="3"/>
      <c r="L652" s="8">
        <v>89</v>
      </c>
      <c r="M652" s="4"/>
      <c r="N652" s="4"/>
      <c r="O652" s="4"/>
      <c r="P652" s="4"/>
      <c r="S652" s="3">
        <v>650</v>
      </c>
      <c r="T652" s="8">
        <v>0.39387507580351727</v>
      </c>
      <c r="U652" s="4">
        <v>68.3</v>
      </c>
      <c r="V652" s="4">
        <v>-0.26923330613321239</v>
      </c>
      <c r="W652" s="4">
        <v>70.24995139274715</v>
      </c>
      <c r="X652" s="4">
        <v>4.2500486072528503</v>
      </c>
      <c r="Y652" s="4">
        <v>0.67867607063801871</v>
      </c>
    </row>
    <row r="653" spans="11:25" x14ac:dyDescent="0.25">
      <c r="K653" s="3"/>
      <c r="L653" s="8">
        <v>36.299999999999997</v>
      </c>
      <c r="M653" s="4"/>
      <c r="N653" s="4"/>
      <c r="O653" s="4"/>
      <c r="P653" s="4"/>
      <c r="S653" s="3">
        <v>651</v>
      </c>
      <c r="T653" s="8">
        <v>0.39448150394178289</v>
      </c>
      <c r="U653" s="4">
        <v>68.3</v>
      </c>
      <c r="V653" s="4">
        <v>-0.26765744630553706</v>
      </c>
      <c r="W653" s="4">
        <v>76.858477538356567</v>
      </c>
      <c r="X653" s="4">
        <v>-2.5584775383565699</v>
      </c>
      <c r="Y653" s="4">
        <v>-0.40855473501744932</v>
      </c>
    </row>
    <row r="654" spans="11:25" x14ac:dyDescent="0.25">
      <c r="K654" s="3"/>
      <c r="L654" s="8">
        <v>36.299999999999997</v>
      </c>
      <c r="M654" s="4"/>
      <c r="N654" s="4"/>
      <c r="O654" s="4"/>
      <c r="P654" s="4"/>
      <c r="S654" s="3">
        <v>652</v>
      </c>
      <c r="T654" s="8">
        <v>0.3950879320800485</v>
      </c>
      <c r="U654" s="4">
        <v>68.3</v>
      </c>
      <c r="V654" s="4">
        <v>-0.26608225088093429</v>
      </c>
      <c r="W654" s="4">
        <v>70.151316674155964</v>
      </c>
      <c r="X654" s="4">
        <v>3.9486833258440299</v>
      </c>
      <c r="Y654" s="4">
        <v>0.63055205514694346</v>
      </c>
    </row>
    <row r="655" spans="11:25" x14ac:dyDescent="0.25">
      <c r="K655" s="3"/>
      <c r="L655" s="8">
        <v>36.299999999999997</v>
      </c>
      <c r="M655" s="4"/>
      <c r="N655" s="4"/>
      <c r="O655" s="4"/>
      <c r="P655" s="4"/>
      <c r="S655" s="3">
        <v>653</v>
      </c>
      <c r="T655" s="8">
        <v>0.39569436021831411</v>
      </c>
      <c r="U655" s="4">
        <v>68.3</v>
      </c>
      <c r="V655" s="4">
        <v>-0.26450771539424023</v>
      </c>
      <c r="W655" s="4">
        <v>70.052681955564779</v>
      </c>
      <c r="X655" s="4">
        <v>3.8473180444352266</v>
      </c>
      <c r="Y655" s="4">
        <v>0.61436537183037054</v>
      </c>
    </row>
    <row r="656" spans="11:25" x14ac:dyDescent="0.25">
      <c r="K656" s="3"/>
      <c r="L656" s="8">
        <v>36.299999999999997</v>
      </c>
      <c r="M656" s="4"/>
      <c r="N656" s="4"/>
      <c r="O656" s="4"/>
      <c r="P656" s="4"/>
      <c r="S656" s="3">
        <v>654</v>
      </c>
      <c r="T656" s="8">
        <v>0.39630078835657973</v>
      </c>
      <c r="U656" s="4">
        <v>68.400000000000006</v>
      </c>
      <c r="V656" s="4">
        <v>-0.26293383539244397</v>
      </c>
      <c r="W656" s="4">
        <v>69.904729877677994</v>
      </c>
      <c r="X656" s="4">
        <v>3.6952701223220004</v>
      </c>
      <c r="Y656" s="4">
        <v>0.59008534685550784</v>
      </c>
    </row>
    <row r="657" spans="11:25" x14ac:dyDescent="0.25">
      <c r="K657" s="3"/>
      <c r="L657" s="8">
        <v>36.299999999999997</v>
      </c>
      <c r="M657" s="4"/>
      <c r="N657" s="4"/>
      <c r="O657" s="4"/>
      <c r="P657" s="4"/>
      <c r="S657" s="3">
        <v>655</v>
      </c>
      <c r="T657" s="8">
        <v>0.39690721649484534</v>
      </c>
      <c r="U657" s="4">
        <v>68.400000000000006</v>
      </c>
      <c r="V657" s="4">
        <v>-0.26136060643458697</v>
      </c>
      <c r="W657" s="4">
        <v>69.855412518382408</v>
      </c>
      <c r="X657" s="4">
        <v>3.5445874816175973</v>
      </c>
      <c r="Y657" s="4">
        <v>0.56602333910997127</v>
      </c>
    </row>
    <row r="658" spans="11:25" x14ac:dyDescent="0.25">
      <c r="K658" s="3"/>
      <c r="L658" s="8">
        <v>36.299999999999997</v>
      </c>
      <c r="M658" s="4"/>
      <c r="N658" s="4"/>
      <c r="O658" s="4"/>
      <c r="P658" s="4"/>
      <c r="S658" s="3">
        <v>656</v>
      </c>
      <c r="T658" s="8">
        <v>0.39751364463311095</v>
      </c>
      <c r="U658" s="4">
        <v>68.400000000000006</v>
      </c>
      <c r="V658" s="4">
        <v>-0.25978802409166396</v>
      </c>
      <c r="W658" s="4">
        <v>69.756777799791223</v>
      </c>
      <c r="X658" s="4">
        <v>3.4432222002087798</v>
      </c>
      <c r="Y658" s="4">
        <v>0.54983665579339613</v>
      </c>
    </row>
    <row r="659" spans="11:25" x14ac:dyDescent="0.25">
      <c r="K659" s="3"/>
      <c r="L659" s="8">
        <v>36.299999999999997</v>
      </c>
      <c r="M659" s="4"/>
      <c r="N659" s="4"/>
      <c r="O659" s="4"/>
      <c r="P659" s="4"/>
      <c r="S659" s="3">
        <v>657</v>
      </c>
      <c r="T659" s="8">
        <v>0.39812007277137657</v>
      </c>
      <c r="U659" s="4">
        <v>68.400000000000006</v>
      </c>
      <c r="V659" s="4">
        <v>-0.2582160839465234</v>
      </c>
      <c r="W659" s="4">
        <v>76.809160179060981</v>
      </c>
      <c r="X659" s="4">
        <v>-3.8091601790609815</v>
      </c>
      <c r="Y659" s="4">
        <v>-0.60827206972273506</v>
      </c>
    </row>
    <row r="660" spans="11:25" x14ac:dyDescent="0.25">
      <c r="K660" s="3"/>
      <c r="L660" s="8">
        <v>36.299999999999997</v>
      </c>
      <c r="M660" s="4"/>
      <c r="N660" s="4"/>
      <c r="O660" s="4"/>
      <c r="P660" s="4"/>
      <c r="S660" s="3">
        <v>658</v>
      </c>
      <c r="T660" s="8">
        <v>0.39872650090964223</v>
      </c>
      <c r="U660" s="4">
        <v>68.400000000000006</v>
      </c>
      <c r="V660" s="4">
        <v>-0.25664478159376924</v>
      </c>
      <c r="W660" s="4">
        <v>69.658143081200038</v>
      </c>
      <c r="X660" s="4">
        <v>3.1418569187999594</v>
      </c>
      <c r="Y660" s="4">
        <v>0.50171264030232088</v>
      </c>
    </row>
    <row r="661" spans="11:25" x14ac:dyDescent="0.25">
      <c r="K661" s="3"/>
      <c r="L661" s="8">
        <v>36.299999999999997</v>
      </c>
      <c r="M661" s="4"/>
      <c r="N661" s="4"/>
      <c r="O661" s="4"/>
      <c r="P661" s="4"/>
      <c r="S661" s="3">
        <v>659</v>
      </c>
      <c r="T661" s="8">
        <v>0.39933292904790785</v>
      </c>
      <c r="U661" s="4">
        <v>68.400000000000006</v>
      </c>
      <c r="V661" s="4">
        <v>-0.25507411263966373</v>
      </c>
      <c r="W661" s="4">
        <v>69.559508362608852</v>
      </c>
      <c r="X661" s="4">
        <v>2.9404916373911476</v>
      </c>
      <c r="Y661" s="4">
        <v>0.46955729089849679</v>
      </c>
    </row>
    <row r="662" spans="11:25" x14ac:dyDescent="0.25">
      <c r="K662" s="3"/>
      <c r="L662" s="8">
        <v>36.299999999999997</v>
      </c>
      <c r="M662" s="4"/>
      <c r="N662" s="4"/>
      <c r="O662" s="4"/>
      <c r="P662" s="4"/>
      <c r="S662" s="3">
        <v>660</v>
      </c>
      <c r="T662" s="8">
        <v>0.39993935718617346</v>
      </c>
      <c r="U662" s="4">
        <v>68.400000000000006</v>
      </c>
      <c r="V662" s="4">
        <v>-0.25350407270202868</v>
      </c>
      <c r="W662" s="4">
        <v>69.460873644017667</v>
      </c>
      <c r="X662" s="4">
        <v>2.7391263559823358</v>
      </c>
      <c r="Y662" s="4">
        <v>0.43740194149467271</v>
      </c>
    </row>
    <row r="663" spans="11:25" x14ac:dyDescent="0.25">
      <c r="K663" s="3"/>
      <c r="L663" s="8">
        <v>36.299999999999997</v>
      </c>
      <c r="M663" s="4"/>
      <c r="N663" s="4"/>
      <c r="O663" s="4"/>
      <c r="P663" s="4"/>
      <c r="S663" s="3">
        <v>661</v>
      </c>
      <c r="T663" s="8">
        <v>0.40054578532443907</v>
      </c>
      <c r="U663" s="4">
        <v>68.5</v>
      </c>
      <c r="V663" s="4">
        <v>-0.25193465741015014</v>
      </c>
      <c r="W663" s="4">
        <v>69.411556284722067</v>
      </c>
      <c r="X663" s="4">
        <v>2.4884437152779384</v>
      </c>
      <c r="Y663" s="4">
        <v>0.39737126766188735</v>
      </c>
    </row>
    <row r="664" spans="11:25" x14ac:dyDescent="0.25">
      <c r="K664" s="3"/>
      <c r="L664" s="8">
        <v>36.299999999999997</v>
      </c>
      <c r="M664" s="4"/>
      <c r="N664" s="4"/>
      <c r="O664" s="4"/>
      <c r="P664" s="4"/>
      <c r="S664" s="3">
        <v>662</v>
      </c>
      <c r="T664" s="8">
        <v>0.40115221346270469</v>
      </c>
      <c r="U664" s="4">
        <v>68.5</v>
      </c>
      <c r="V664" s="4">
        <v>-0.25036586240468162</v>
      </c>
      <c r="W664" s="4">
        <v>69.263604206835296</v>
      </c>
      <c r="X664" s="4">
        <v>2.3363957931646979</v>
      </c>
      <c r="Y664" s="4">
        <v>0.37309124268702232</v>
      </c>
    </row>
    <row r="665" spans="11:25" x14ac:dyDescent="0.25">
      <c r="K665" s="3"/>
      <c r="L665" s="8">
        <v>36.299999999999997</v>
      </c>
      <c r="M665" s="4"/>
      <c r="N665" s="4"/>
      <c r="O665" s="4"/>
      <c r="P665" s="4"/>
      <c r="S665" s="3">
        <v>663</v>
      </c>
      <c r="T665" s="8">
        <v>0.4017586416009703</v>
      </c>
      <c r="U665" s="4">
        <v>68.5</v>
      </c>
      <c r="V665" s="4">
        <v>-0.24879768333754884</v>
      </c>
      <c r="W665" s="4">
        <v>69.164969488244111</v>
      </c>
      <c r="X665" s="4">
        <v>2.1350305117558861</v>
      </c>
      <c r="Y665" s="4">
        <v>0.34093589328319823</v>
      </c>
    </row>
    <row r="666" spans="11:25" x14ac:dyDescent="0.25">
      <c r="K666" s="3"/>
      <c r="L666" s="8">
        <v>36.299999999999997</v>
      </c>
      <c r="M666" s="4"/>
      <c r="N666" s="4"/>
      <c r="O666" s="4"/>
      <c r="P666" s="4"/>
      <c r="S666" s="3">
        <v>664</v>
      </c>
      <c r="T666" s="8">
        <v>0.40236506973923591</v>
      </c>
      <c r="U666" s="4">
        <v>68.5</v>
      </c>
      <c r="V666" s="4">
        <v>-0.24723011587185462</v>
      </c>
      <c r="W666" s="4">
        <v>69.017017410357326</v>
      </c>
      <c r="X666" s="4">
        <v>1.982982589642674</v>
      </c>
      <c r="Y666" s="4">
        <v>0.31665586830833775</v>
      </c>
    </row>
    <row r="667" spans="11:25" x14ac:dyDescent="0.25">
      <c r="K667" s="3"/>
      <c r="L667" s="8">
        <v>36.299999999999997</v>
      </c>
      <c r="M667" s="4"/>
      <c r="N667" s="4"/>
      <c r="O667" s="4"/>
      <c r="P667" s="4"/>
      <c r="S667" s="3">
        <v>665</v>
      </c>
      <c r="T667" s="8">
        <v>0.40297149787750153</v>
      </c>
      <c r="U667" s="4">
        <v>68.5</v>
      </c>
      <c r="V667" s="4">
        <v>-0.24566315568178421</v>
      </c>
      <c r="W667" s="4">
        <v>68.523843817401399</v>
      </c>
      <c r="X667" s="4">
        <v>-0.52384381740139929</v>
      </c>
      <c r="Y667" s="4">
        <v>-8.3650870019532059E-2</v>
      </c>
    </row>
    <row r="668" spans="11:25" x14ac:dyDescent="0.25">
      <c r="K668" s="3"/>
      <c r="L668" s="8">
        <v>36.299999999999997</v>
      </c>
      <c r="M668" s="4"/>
      <c r="N668" s="4"/>
      <c r="O668" s="4"/>
      <c r="P668" s="4"/>
      <c r="S668" s="3">
        <v>666</v>
      </c>
      <c r="T668" s="8">
        <v>0.40357792601576714</v>
      </c>
      <c r="U668" s="4">
        <v>68.5</v>
      </c>
      <c r="V668" s="4">
        <v>-0.24409679845251162</v>
      </c>
      <c r="W668" s="4">
        <v>68.375891739514628</v>
      </c>
      <c r="X668" s="4">
        <v>-0.77589173951463408</v>
      </c>
      <c r="Y668" s="4">
        <v>-0.123899561081646</v>
      </c>
    </row>
    <row r="669" spans="11:25" x14ac:dyDescent="0.25">
      <c r="K669" s="3"/>
      <c r="L669" s="8">
        <v>36.299999999999997</v>
      </c>
      <c r="M669" s="4"/>
      <c r="N669" s="4"/>
      <c r="O669" s="4"/>
      <c r="P669" s="4"/>
      <c r="S669" s="3">
        <v>667</v>
      </c>
      <c r="T669" s="8">
        <v>0.40418435415403275</v>
      </c>
      <c r="U669" s="4">
        <v>68.599999999999994</v>
      </c>
      <c r="V669" s="4">
        <v>-0.24253103988010646</v>
      </c>
      <c r="W669" s="4">
        <v>76.661208101174196</v>
      </c>
      <c r="X669" s="4">
        <v>-9.3612081011741992</v>
      </c>
      <c r="Y669" s="4">
        <v>-1.4948600634090861</v>
      </c>
    </row>
    <row r="670" spans="11:25" x14ac:dyDescent="0.25">
      <c r="K670" s="3"/>
      <c r="L670" s="8">
        <v>36.299999999999997</v>
      </c>
      <c r="M670" s="4"/>
      <c r="N670" s="4"/>
      <c r="O670" s="4"/>
      <c r="P670" s="4"/>
      <c r="S670" s="3">
        <v>668</v>
      </c>
      <c r="T670" s="8">
        <v>0.40479078229229837</v>
      </c>
      <c r="U670" s="4">
        <v>68.599999999999994</v>
      </c>
      <c r="V670" s="4">
        <v>-0.24096587567144073</v>
      </c>
      <c r="W670" s="4">
        <v>68.079987583741058</v>
      </c>
      <c r="X670" s="4">
        <v>-1.279987583741061</v>
      </c>
      <c r="Y670" s="4">
        <v>-0.20439694320586707</v>
      </c>
    </row>
    <row r="671" spans="11:25" x14ac:dyDescent="0.25">
      <c r="K671" s="3"/>
      <c r="L671" s="8">
        <v>36.299999999999997</v>
      </c>
      <c r="M671" s="4"/>
      <c r="N671" s="4"/>
      <c r="O671" s="4"/>
      <c r="P671" s="4"/>
      <c r="S671" s="3">
        <v>669</v>
      </c>
      <c r="T671" s="8">
        <v>0.40539721043056398</v>
      </c>
      <c r="U671" s="4">
        <v>68.599999999999994</v>
      </c>
      <c r="V671" s="4">
        <v>-0.23940130154409675</v>
      </c>
      <c r="W671" s="4">
        <v>67.932035505854287</v>
      </c>
      <c r="X671" s="4">
        <v>-1.5320355058542816</v>
      </c>
      <c r="Y671" s="4">
        <v>-0.24464563426797872</v>
      </c>
    </row>
    <row r="672" spans="11:25" x14ac:dyDescent="0.25">
      <c r="K672" s="3"/>
      <c r="L672" s="8">
        <v>36.299999999999997</v>
      </c>
      <c r="M672" s="4"/>
      <c r="N672" s="4"/>
      <c r="O672" s="4"/>
      <c r="P672" s="4"/>
      <c r="S672" s="3">
        <v>670</v>
      </c>
      <c r="T672" s="8">
        <v>0.40600363856882959</v>
      </c>
      <c r="U672" s="4">
        <v>68.7</v>
      </c>
      <c r="V672" s="4">
        <v>-0.23783731322627527</v>
      </c>
      <c r="W672" s="4">
        <v>77.499603209199279</v>
      </c>
      <c r="X672" s="4">
        <v>-11.499603209199279</v>
      </c>
      <c r="Y672" s="4">
        <v>-1.836333237835696</v>
      </c>
    </row>
    <row r="673" spans="11:25" x14ac:dyDescent="0.25">
      <c r="K673" s="3"/>
      <c r="L673" s="8">
        <v>36.299999999999997</v>
      </c>
      <c r="M673" s="4"/>
      <c r="N673" s="4"/>
      <c r="O673" s="4"/>
      <c r="P673" s="4"/>
      <c r="S673" s="3">
        <v>671</v>
      </c>
      <c r="T673" s="8">
        <v>0.40661006670709521</v>
      </c>
      <c r="U673" s="4">
        <v>68.7</v>
      </c>
      <c r="V673" s="4">
        <v>-0.23627390645670418</v>
      </c>
      <c r="W673" s="4">
        <v>76.463938663991826</v>
      </c>
      <c r="X673" s="4">
        <v>-10.963938663991826</v>
      </c>
      <c r="Y673" s="4">
        <v>-1.7507947552637324</v>
      </c>
    </row>
    <row r="674" spans="11:25" x14ac:dyDescent="0.25">
      <c r="K674" s="3"/>
      <c r="L674" s="8">
        <v>36.299999999999997</v>
      </c>
      <c r="M674" s="4"/>
      <c r="N674" s="4"/>
      <c r="O674" s="4"/>
      <c r="P674" s="4"/>
      <c r="S674" s="3">
        <v>672</v>
      </c>
      <c r="T674" s="8">
        <v>0.40721649484536082</v>
      </c>
      <c r="U674" s="4">
        <v>68.7</v>
      </c>
      <c r="V674" s="4">
        <v>-0.23471107698454813</v>
      </c>
      <c r="W674" s="4">
        <v>76.315986586105055</v>
      </c>
      <c r="X674" s="4">
        <v>-11.115986586105052</v>
      </c>
      <c r="Y674" s="4">
        <v>-1.7750747802385951</v>
      </c>
    </row>
    <row r="675" spans="11:25" x14ac:dyDescent="0.25">
      <c r="K675" s="3"/>
      <c r="L675" s="8">
        <v>36.299999999999997</v>
      </c>
      <c r="M675" s="4"/>
      <c r="N675" s="4"/>
      <c r="O675" s="4"/>
      <c r="P675" s="4"/>
      <c r="S675" s="3">
        <v>673</v>
      </c>
      <c r="T675" s="8">
        <v>0.40782292298362643</v>
      </c>
      <c r="U675" s="4">
        <v>68.7</v>
      </c>
      <c r="V675" s="4">
        <v>-0.2331488205693176</v>
      </c>
      <c r="W675" s="4">
        <v>76.217351867513869</v>
      </c>
      <c r="X675" s="4">
        <v>-11.417351867513872</v>
      </c>
      <c r="Y675" s="4">
        <v>-1.8231987957296705</v>
      </c>
    </row>
    <row r="676" spans="11:25" x14ac:dyDescent="0.25">
      <c r="K676" s="3"/>
      <c r="L676" s="8">
        <v>36.299999999999997</v>
      </c>
      <c r="M676" s="4"/>
      <c r="N676" s="4"/>
      <c r="O676" s="4"/>
      <c r="P676" s="4"/>
      <c r="S676" s="3">
        <v>674</v>
      </c>
      <c r="T676" s="8">
        <v>0.40842935112189205</v>
      </c>
      <c r="U676" s="4">
        <v>68.7</v>
      </c>
      <c r="V676" s="4">
        <v>-0.23158713298078004</v>
      </c>
      <c r="W676" s="4">
        <v>67.19227511642039</v>
      </c>
      <c r="X676" s="4">
        <v>-2.7922751164203845</v>
      </c>
      <c r="Y676" s="4">
        <v>-0.44588908957853707</v>
      </c>
    </row>
    <row r="677" spans="11:25" x14ac:dyDescent="0.25">
      <c r="K677" s="3"/>
      <c r="L677" s="8">
        <v>89</v>
      </c>
      <c r="M677" s="4"/>
      <c r="N677" s="4"/>
      <c r="O677" s="4"/>
      <c r="P677" s="4"/>
      <c r="S677" s="3">
        <v>675</v>
      </c>
      <c r="T677" s="8">
        <v>0.40903577926015766</v>
      </c>
      <c r="U677" s="4">
        <v>68.8</v>
      </c>
      <c r="V677" s="4">
        <v>-0.23002600999886993</v>
      </c>
      <c r="W677" s="4">
        <v>67.044323038533619</v>
      </c>
      <c r="X677" s="4">
        <v>-3.0443230385336193</v>
      </c>
      <c r="Y677" s="4">
        <v>-0.486137780640651</v>
      </c>
    </row>
    <row r="678" spans="11:25" x14ac:dyDescent="0.25">
      <c r="K678" s="3"/>
      <c r="L678" s="8">
        <v>89</v>
      </c>
      <c r="M678" s="4"/>
      <c r="N678" s="4"/>
      <c r="O678" s="4"/>
      <c r="P678" s="4"/>
      <c r="S678" s="3">
        <v>676</v>
      </c>
      <c r="T678" s="8">
        <v>0.40964220739842327</v>
      </c>
      <c r="U678" s="4">
        <v>68.8</v>
      </c>
      <c r="V678" s="4">
        <v>-0.22846544741360028</v>
      </c>
      <c r="W678" s="4">
        <v>68.77043061387937</v>
      </c>
      <c r="X678" s="4">
        <v>0.12956938612063595</v>
      </c>
      <c r="Y678" s="4">
        <v>2.0690502620903755E-2</v>
      </c>
    </row>
    <row r="679" spans="11:25" x14ac:dyDescent="0.25">
      <c r="K679" s="3"/>
      <c r="L679" s="8">
        <v>89</v>
      </c>
      <c r="M679" s="4"/>
      <c r="N679" s="4"/>
      <c r="O679" s="4"/>
      <c r="P679" s="4"/>
      <c r="S679" s="3">
        <v>677</v>
      </c>
      <c r="T679" s="8">
        <v>0.41024863553668889</v>
      </c>
      <c r="U679" s="4">
        <v>68.8</v>
      </c>
      <c r="V679" s="4">
        <v>-0.22690544102497454</v>
      </c>
      <c r="W679" s="4">
        <v>68.67179589528817</v>
      </c>
      <c r="X679" s="4">
        <v>2.8204104711832656E-2</v>
      </c>
      <c r="Y679" s="4">
        <v>4.503819304330847E-3</v>
      </c>
    </row>
    <row r="680" spans="11:25" x14ac:dyDescent="0.25">
      <c r="K680" s="3"/>
      <c r="L680" s="8">
        <v>89</v>
      </c>
      <c r="M680" s="4"/>
      <c r="N680" s="4"/>
      <c r="O680" s="4"/>
      <c r="P680" s="4"/>
      <c r="S680" s="3">
        <v>678</v>
      </c>
      <c r="T680" s="8">
        <v>0.4108550636749545</v>
      </c>
      <c r="U680" s="4">
        <v>68.8</v>
      </c>
      <c r="V680" s="4">
        <v>-0.22534598664289832</v>
      </c>
      <c r="W680" s="4">
        <v>68.573161176696999</v>
      </c>
      <c r="X680" s="4">
        <v>-7.3161176696999064E-2</v>
      </c>
      <c r="Y680" s="4">
        <v>-1.1682864012246599E-2</v>
      </c>
    </row>
    <row r="681" spans="11:25" x14ac:dyDescent="0.25">
      <c r="K681" s="3"/>
      <c r="L681" s="8">
        <v>89</v>
      </c>
      <c r="M681" s="4"/>
      <c r="N681" s="4"/>
      <c r="O681" s="4"/>
      <c r="P681" s="4"/>
      <c r="S681" s="3">
        <v>679</v>
      </c>
      <c r="T681" s="8">
        <v>0.41146149181322011</v>
      </c>
      <c r="U681" s="4">
        <v>68.900000000000006</v>
      </c>
      <c r="V681" s="4">
        <v>-0.22378708008709283</v>
      </c>
      <c r="W681" s="4">
        <v>68.4745264581058</v>
      </c>
      <c r="X681" s="4">
        <v>-0.17452645810580236</v>
      </c>
      <c r="Y681" s="4">
        <v>-2.7869547328819508E-2</v>
      </c>
    </row>
    <row r="682" spans="11:25" x14ac:dyDescent="0.25">
      <c r="K682" s="3"/>
      <c r="L682" s="8">
        <v>89</v>
      </c>
      <c r="M682" s="4"/>
      <c r="N682" s="4"/>
      <c r="O682" s="4"/>
      <c r="P682" s="4"/>
      <c r="S682" s="3">
        <v>680</v>
      </c>
      <c r="T682" s="8">
        <v>0.41206791995148573</v>
      </c>
      <c r="U682" s="4">
        <v>68.900000000000006</v>
      </c>
      <c r="V682" s="4">
        <v>-0.22222871718700724</v>
      </c>
      <c r="W682" s="4">
        <v>68.375891739514628</v>
      </c>
      <c r="X682" s="4">
        <v>-0.27589173951463408</v>
      </c>
      <c r="Y682" s="4">
        <v>-4.4056230645396953E-2</v>
      </c>
    </row>
    <row r="683" spans="11:25" x14ac:dyDescent="0.25">
      <c r="K683" s="3"/>
      <c r="L683" s="8">
        <v>89</v>
      </c>
      <c r="M683" s="4"/>
      <c r="N683" s="4"/>
      <c r="O683" s="4"/>
      <c r="P683" s="4"/>
      <c r="S683" s="3">
        <v>681</v>
      </c>
      <c r="T683" s="8">
        <v>0.41267434808975134</v>
      </c>
      <c r="U683" s="4">
        <v>68.900000000000006</v>
      </c>
      <c r="V683" s="4">
        <v>-0.2206708937817331</v>
      </c>
      <c r="W683" s="4">
        <v>68.277257020923429</v>
      </c>
      <c r="X683" s="4">
        <v>-0.37725702092342317</v>
      </c>
      <c r="Y683" s="4">
        <v>-6.0242913961967591E-2</v>
      </c>
    </row>
    <row r="684" spans="11:25" x14ac:dyDescent="0.25">
      <c r="K684" s="3"/>
      <c r="L684" s="8">
        <v>89</v>
      </c>
      <c r="M684" s="4"/>
      <c r="N684" s="4"/>
      <c r="O684" s="4"/>
      <c r="P684" s="4"/>
      <c r="S684" s="3">
        <v>682</v>
      </c>
      <c r="T684" s="8">
        <v>0.41328077622801696</v>
      </c>
      <c r="U684" s="4">
        <v>68.900000000000006</v>
      </c>
      <c r="V684" s="4">
        <v>-0.21911360571991792</v>
      </c>
      <c r="W684" s="4">
        <v>68.277257020923429</v>
      </c>
      <c r="X684" s="4">
        <v>-0.57725702092342601</v>
      </c>
      <c r="Y684" s="4">
        <v>-9.2180246136467664E-2</v>
      </c>
    </row>
    <row r="685" spans="11:25" x14ac:dyDescent="0.25">
      <c r="K685" s="3"/>
      <c r="L685" s="8">
        <v>89</v>
      </c>
      <c r="M685" s="4"/>
      <c r="N685" s="4"/>
      <c r="O685" s="4"/>
      <c r="P685" s="4"/>
      <c r="S685" s="3">
        <v>683</v>
      </c>
      <c r="T685" s="8">
        <v>0.41388720436628257</v>
      </c>
      <c r="U685" s="4">
        <v>68.900000000000006</v>
      </c>
      <c r="V685" s="4">
        <v>-0.21755684885967949</v>
      </c>
      <c r="W685" s="4">
        <v>76.661208101174196</v>
      </c>
      <c r="X685" s="4">
        <v>-9.1612081011741964</v>
      </c>
      <c r="Y685" s="4">
        <v>-1.462922731234586</v>
      </c>
    </row>
    <row r="686" spans="11:25" x14ac:dyDescent="0.25">
      <c r="K686" s="3"/>
      <c r="L686" s="8">
        <v>89</v>
      </c>
      <c r="M686" s="4"/>
      <c r="N686" s="4"/>
      <c r="O686" s="4"/>
      <c r="P686" s="4"/>
      <c r="S686" s="3">
        <v>684</v>
      </c>
      <c r="T686" s="8">
        <v>0.41449363250454824</v>
      </c>
      <c r="U686" s="4">
        <v>68.900000000000006</v>
      </c>
      <c r="V686" s="4">
        <v>-0.21600061906852158</v>
      </c>
      <c r="W686" s="4">
        <v>68.178622302332258</v>
      </c>
      <c r="X686" s="4">
        <v>-0.87862230233226057</v>
      </c>
      <c r="Y686" s="4">
        <v>-0.14030426162754517</v>
      </c>
    </row>
    <row r="687" spans="11:25" x14ac:dyDescent="0.25">
      <c r="K687" s="3"/>
      <c r="L687" s="8">
        <v>89</v>
      </c>
      <c r="M687" s="4"/>
      <c r="N687" s="4"/>
      <c r="O687" s="4"/>
      <c r="P687" s="4"/>
      <c r="S687" s="3">
        <v>685</v>
      </c>
      <c r="T687" s="8">
        <v>0.41510006064281385</v>
      </c>
      <c r="U687" s="4">
        <v>69</v>
      </c>
      <c r="V687" s="4">
        <v>-0.21444491222324932</v>
      </c>
      <c r="W687" s="4">
        <v>76.661208101174196</v>
      </c>
      <c r="X687" s="4">
        <v>-9.4612081011741935</v>
      </c>
      <c r="Y687" s="4">
        <v>-1.510828729496335</v>
      </c>
    </row>
    <row r="688" spans="11:25" x14ac:dyDescent="0.25">
      <c r="K688" s="3"/>
      <c r="L688" s="8">
        <v>89</v>
      </c>
      <c r="M688" s="4"/>
      <c r="N688" s="4"/>
      <c r="O688" s="4"/>
      <c r="P688" s="4"/>
      <c r="S688" s="3">
        <v>686</v>
      </c>
      <c r="T688" s="8">
        <v>0.41570648878107946</v>
      </c>
      <c r="U688" s="4">
        <v>69</v>
      </c>
      <c r="V688" s="4">
        <v>-0.21288972420988414</v>
      </c>
      <c r="W688" s="4">
        <v>67.093640397829205</v>
      </c>
      <c r="X688" s="4">
        <v>-1.7936403978292077</v>
      </c>
      <c r="Y688" s="4">
        <v>-0.28642044593536525</v>
      </c>
    </row>
    <row r="689" spans="11:25" x14ac:dyDescent="0.25">
      <c r="K689" s="3"/>
      <c r="L689" s="8">
        <v>89</v>
      </c>
      <c r="M689" s="4"/>
      <c r="N689" s="4"/>
      <c r="O689" s="4"/>
      <c r="P689" s="4"/>
      <c r="S689" s="3">
        <v>687</v>
      </c>
      <c r="T689" s="8">
        <v>0.41631291691934508</v>
      </c>
      <c r="U689" s="4">
        <v>69</v>
      </c>
      <c r="V689" s="4">
        <v>-0.21133505092358137</v>
      </c>
      <c r="W689" s="4">
        <v>68.277257020923429</v>
      </c>
      <c r="X689" s="4">
        <v>-1.3772570209234232</v>
      </c>
      <c r="Y689" s="4">
        <v>-0.21992957483446568</v>
      </c>
    </row>
    <row r="690" spans="11:25" x14ac:dyDescent="0.25">
      <c r="K690" s="3"/>
      <c r="L690" s="8">
        <v>89</v>
      </c>
      <c r="M690" s="4"/>
      <c r="N690" s="4"/>
      <c r="O690" s="4"/>
      <c r="P690" s="4"/>
      <c r="S690" s="3">
        <v>688</v>
      </c>
      <c r="T690" s="8">
        <v>0.41691934505761069</v>
      </c>
      <c r="U690" s="4">
        <v>69</v>
      </c>
      <c r="V690" s="4">
        <v>-0.20978088826854596</v>
      </c>
      <c r="W690" s="4">
        <v>68.277257020923429</v>
      </c>
      <c r="X690" s="4">
        <v>-1.577257020923426</v>
      </c>
      <c r="Y690" s="4">
        <v>-0.25186690700896575</v>
      </c>
    </row>
    <row r="691" spans="11:25" x14ac:dyDescent="0.25">
      <c r="K691" s="3"/>
      <c r="L691" s="8">
        <v>89</v>
      </c>
      <c r="M691" s="4"/>
      <c r="N691" s="4"/>
      <c r="O691" s="4"/>
      <c r="P691" s="4"/>
      <c r="S691" s="3">
        <v>689</v>
      </c>
      <c r="T691" s="8">
        <v>0.4175257731958763</v>
      </c>
      <c r="U691" s="4">
        <v>69</v>
      </c>
      <c r="V691" s="4">
        <v>-0.20822723215795036</v>
      </c>
      <c r="W691" s="4">
        <v>68.326574380219029</v>
      </c>
      <c r="X691" s="4">
        <v>-1.8265743802190286</v>
      </c>
      <c r="Y691" s="4">
        <v>-0.29167956361242942</v>
      </c>
    </row>
    <row r="692" spans="11:25" x14ac:dyDescent="0.25">
      <c r="K692" s="3"/>
      <c r="L692" s="8">
        <v>36.299999999999997</v>
      </c>
      <c r="M692" s="4"/>
      <c r="N692" s="4"/>
      <c r="O692" s="4"/>
      <c r="P692" s="4"/>
      <c r="S692" s="3">
        <v>690</v>
      </c>
      <c r="T692" s="8">
        <v>0.41813220133414192</v>
      </c>
      <c r="U692" s="4">
        <v>69</v>
      </c>
      <c r="V692" s="4">
        <v>-0.20667407851385183</v>
      </c>
      <c r="W692" s="4">
        <v>68.326574380219029</v>
      </c>
      <c r="X692" s="4">
        <v>-2.0265743802190315</v>
      </c>
      <c r="Y692" s="4">
        <v>-0.32361689578692948</v>
      </c>
    </row>
    <row r="693" spans="11:25" x14ac:dyDescent="0.25">
      <c r="K693" s="3"/>
      <c r="L693" s="8">
        <v>36.299999999999997</v>
      </c>
      <c r="M693" s="4"/>
      <c r="N693" s="4"/>
      <c r="O693" s="4"/>
      <c r="P693" s="4"/>
      <c r="S693" s="3">
        <v>691</v>
      </c>
      <c r="T693" s="8">
        <v>0.41873862947240753</v>
      </c>
      <c r="U693" s="4">
        <v>69</v>
      </c>
      <c r="V693" s="4">
        <v>-0.2051214232671103</v>
      </c>
      <c r="W693" s="4">
        <v>67.784083427967502</v>
      </c>
      <c r="X693" s="4">
        <v>0.1159165720325035</v>
      </c>
      <c r="Y693" s="4">
        <v>1.8510330327656883E-2</v>
      </c>
    </row>
    <row r="694" spans="11:25" x14ac:dyDescent="0.25">
      <c r="K694" s="3"/>
      <c r="L694" s="8">
        <v>36.299999999999997</v>
      </c>
      <c r="M694" s="4"/>
      <c r="N694" s="4"/>
      <c r="O694" s="4"/>
      <c r="P694" s="4"/>
      <c r="S694" s="3">
        <v>692</v>
      </c>
      <c r="T694" s="8">
        <v>0.41934505761067314</v>
      </c>
      <c r="U694" s="4">
        <v>69</v>
      </c>
      <c r="V694" s="4">
        <v>-0.20356926235730735</v>
      </c>
      <c r="W694" s="4">
        <v>76.759842819765382</v>
      </c>
      <c r="X694" s="4">
        <v>-7.2598428197653817</v>
      </c>
      <c r="Y694" s="4">
        <v>-1.1593000583475148</v>
      </c>
    </row>
    <row r="695" spans="11:25" x14ac:dyDescent="0.25">
      <c r="K695" s="3"/>
      <c r="L695" s="8">
        <v>36.299999999999997</v>
      </c>
      <c r="M695" s="4"/>
      <c r="N695" s="4"/>
      <c r="O695" s="4"/>
      <c r="P695" s="4"/>
      <c r="S695" s="3">
        <v>693</v>
      </c>
      <c r="T695" s="8">
        <v>0.41995148574893876</v>
      </c>
      <c r="U695" s="4">
        <v>69</v>
      </c>
      <c r="V695" s="4">
        <v>-0.20201759173266448</v>
      </c>
      <c r="W695" s="4">
        <v>70.348586111338335</v>
      </c>
      <c r="X695" s="4">
        <v>5.6514138886616649</v>
      </c>
      <c r="Y695" s="4">
        <v>0.90245541308884092</v>
      </c>
    </row>
    <row r="696" spans="11:25" x14ac:dyDescent="0.25">
      <c r="K696" s="3"/>
      <c r="L696" s="8">
        <v>36.299999999999997</v>
      </c>
      <c r="M696" s="4"/>
      <c r="N696" s="4"/>
      <c r="O696" s="4"/>
      <c r="P696" s="4"/>
      <c r="S696" s="3">
        <v>694</v>
      </c>
      <c r="T696" s="8">
        <v>0.42055791388720437</v>
      </c>
      <c r="U696" s="4">
        <v>69</v>
      </c>
      <c r="V696" s="4">
        <v>-0.20046640734996268</v>
      </c>
      <c r="W696" s="4">
        <v>70.496538189225106</v>
      </c>
      <c r="X696" s="4">
        <v>6.503461810774894</v>
      </c>
      <c r="Y696" s="4">
        <v>1.0385161006744528</v>
      </c>
    </row>
    <row r="697" spans="11:25" x14ac:dyDescent="0.25">
      <c r="K697" s="3"/>
      <c r="L697" s="8">
        <v>36.299999999999997</v>
      </c>
      <c r="M697" s="4"/>
      <c r="N697" s="4"/>
      <c r="O697" s="4"/>
      <c r="P697" s="4"/>
      <c r="S697" s="3">
        <v>695</v>
      </c>
      <c r="T697" s="8">
        <v>0.42116434202546998</v>
      </c>
      <c r="U697" s="4">
        <v>69.099999999999994</v>
      </c>
      <c r="V697" s="4">
        <v>-0.198915705174462</v>
      </c>
      <c r="W697" s="4">
        <v>70.44722082992952</v>
      </c>
      <c r="X697" s="4">
        <v>5.5527791700704796</v>
      </c>
      <c r="Y697" s="4">
        <v>0.88670476423091604</v>
      </c>
    </row>
    <row r="698" spans="11:25" x14ac:dyDescent="0.25">
      <c r="K698" s="3"/>
      <c r="L698" s="8">
        <v>36.299999999999997</v>
      </c>
      <c r="M698" s="4"/>
      <c r="N698" s="4"/>
      <c r="O698" s="4"/>
      <c r="P698" s="4"/>
      <c r="S698" s="3">
        <v>696</v>
      </c>
      <c r="T698" s="8">
        <v>0.4217707701637356</v>
      </c>
      <c r="U698" s="4">
        <v>69.099999999999994</v>
      </c>
      <c r="V698" s="4">
        <v>-0.19736548117982164</v>
      </c>
      <c r="W698" s="4">
        <v>70.299268752042735</v>
      </c>
      <c r="X698" s="4">
        <v>3.7007312479572647</v>
      </c>
      <c r="Y698" s="4">
        <v>0.59095741577280836</v>
      </c>
    </row>
    <row r="699" spans="11:25" x14ac:dyDescent="0.25">
      <c r="K699" s="3"/>
      <c r="L699" s="8">
        <v>36.299999999999997</v>
      </c>
      <c r="M699" s="4"/>
      <c r="N699" s="4"/>
      <c r="O699" s="4"/>
      <c r="P699" s="4"/>
      <c r="S699" s="3">
        <v>697</v>
      </c>
      <c r="T699" s="8">
        <v>0.42237719830200121</v>
      </c>
      <c r="U699" s="4">
        <v>69.099999999999994</v>
      </c>
      <c r="V699" s="4">
        <v>-0.19581573134802033</v>
      </c>
      <c r="W699" s="4">
        <v>69.362238925426482</v>
      </c>
      <c r="X699" s="4">
        <v>-6.223892542648457E-2</v>
      </c>
      <c r="Y699" s="4">
        <v>-9.9387261776477404E-3</v>
      </c>
    </row>
    <row r="700" spans="11:25" x14ac:dyDescent="0.25">
      <c r="K700" s="3"/>
      <c r="L700" s="8">
        <v>36.299999999999997</v>
      </c>
      <c r="M700" s="4"/>
      <c r="N700" s="4"/>
      <c r="O700" s="4"/>
      <c r="P700" s="4"/>
      <c r="S700" s="3">
        <v>698</v>
      </c>
      <c r="T700" s="8">
        <v>0.42298362644026682</v>
      </c>
      <c r="U700" s="4">
        <v>69.099999999999994</v>
      </c>
      <c r="V700" s="4">
        <v>-0.1942664516692772</v>
      </c>
      <c r="W700" s="4">
        <v>66.403197367690908</v>
      </c>
      <c r="X700" s="4">
        <v>-0.50319736769090184</v>
      </c>
      <c r="Y700" s="4">
        <v>-8.035390740639077E-2</v>
      </c>
    </row>
    <row r="701" spans="11:25" x14ac:dyDescent="0.25">
      <c r="K701" s="3"/>
      <c r="L701" s="8">
        <v>36.299999999999997</v>
      </c>
      <c r="M701" s="4"/>
      <c r="N701" s="4"/>
      <c r="O701" s="4"/>
      <c r="P701" s="4"/>
      <c r="S701" s="3">
        <v>699</v>
      </c>
      <c r="T701" s="8">
        <v>0.42359005457853244</v>
      </c>
      <c r="U701" s="4">
        <v>69.099999999999994</v>
      </c>
      <c r="V701" s="4">
        <v>-0.19271763814197293</v>
      </c>
      <c r="W701" s="4">
        <v>65.318215463187869</v>
      </c>
      <c r="X701" s="4">
        <v>-0.61821546318786602</v>
      </c>
      <c r="Y701" s="4">
        <v>-9.8720763016215088E-2</v>
      </c>
    </row>
    <row r="702" spans="11:25" x14ac:dyDescent="0.25">
      <c r="K702" s="3"/>
      <c r="L702" s="8">
        <v>36.299999999999997</v>
      </c>
      <c r="M702" s="4"/>
      <c r="N702" s="4"/>
      <c r="O702" s="4"/>
      <c r="P702" s="4"/>
      <c r="S702" s="3">
        <v>700</v>
      </c>
      <c r="T702" s="8">
        <v>0.42419648271679805</v>
      </c>
      <c r="U702" s="4">
        <v>69.099999999999994</v>
      </c>
      <c r="V702" s="4">
        <v>-0.19116928677257133</v>
      </c>
      <c r="W702" s="4">
        <v>76.16803450821827</v>
      </c>
      <c r="X702" s="4">
        <v>-9.3680345082182725</v>
      </c>
      <c r="Y702" s="4">
        <v>-1.4959501495557106</v>
      </c>
    </row>
    <row r="703" spans="11:25" x14ac:dyDescent="0.25">
      <c r="K703" s="3"/>
      <c r="L703" s="8">
        <v>36.299999999999997</v>
      </c>
      <c r="M703" s="4"/>
      <c r="N703" s="4"/>
      <c r="O703" s="4"/>
      <c r="P703" s="4"/>
      <c r="S703" s="3">
        <v>701</v>
      </c>
      <c r="T703" s="8">
        <v>0.42480291085506366</v>
      </c>
      <c r="U703" s="4">
        <v>69.099999999999994</v>
      </c>
      <c r="V703" s="4">
        <v>-0.18962139357554164</v>
      </c>
      <c r="W703" s="4">
        <v>76.562573382583011</v>
      </c>
      <c r="X703" s="4">
        <v>-9.3625733825830082</v>
      </c>
      <c r="Y703" s="4">
        <v>-1.4950780806384101</v>
      </c>
    </row>
    <row r="704" spans="11:25" x14ac:dyDescent="0.25">
      <c r="K704" s="3"/>
      <c r="L704" s="8">
        <v>36.299999999999997</v>
      </c>
      <c r="M704" s="4"/>
      <c r="N704" s="4"/>
      <c r="O704" s="4"/>
      <c r="P704" s="4"/>
      <c r="S704" s="3">
        <v>702</v>
      </c>
      <c r="T704" s="8">
        <v>0.42540933899332928</v>
      </c>
      <c r="U704" s="4">
        <v>69.2</v>
      </c>
      <c r="V704" s="4">
        <v>-0.1880739545732803</v>
      </c>
      <c r="W704" s="4">
        <v>74.343292214281348</v>
      </c>
      <c r="X704" s="4">
        <v>6.8567077857186547</v>
      </c>
      <c r="Y704" s="4">
        <v>1.0949247708798722</v>
      </c>
    </row>
    <row r="705" spans="11:25" x14ac:dyDescent="0.25">
      <c r="K705" s="3"/>
      <c r="L705" s="8">
        <v>36.299999999999997</v>
      </c>
      <c r="M705" s="4"/>
      <c r="N705" s="4"/>
      <c r="O705" s="4"/>
      <c r="P705" s="4"/>
      <c r="S705" s="3">
        <v>703</v>
      </c>
      <c r="T705" s="8">
        <v>0.42601576713159489</v>
      </c>
      <c r="U705" s="4">
        <v>69.2</v>
      </c>
      <c r="V705" s="4">
        <v>-0.18652696579603403</v>
      </c>
      <c r="W705" s="4">
        <v>74.293974854985748</v>
      </c>
      <c r="X705" s="4">
        <v>6.7060251450142516</v>
      </c>
      <c r="Y705" s="4">
        <v>1.0708627631343357</v>
      </c>
    </row>
    <row r="706" spans="11:25" x14ac:dyDescent="0.25">
      <c r="K706" s="3"/>
      <c r="L706" s="8">
        <v>36.299999999999997</v>
      </c>
      <c r="M706" s="4"/>
      <c r="N706" s="4"/>
      <c r="O706" s="4"/>
      <c r="P706" s="4"/>
      <c r="S706" s="3">
        <v>704</v>
      </c>
      <c r="T706" s="8">
        <v>0.4266221952698605</v>
      </c>
      <c r="U706" s="4">
        <v>69.2</v>
      </c>
      <c r="V706" s="4">
        <v>-0.18498042328182276</v>
      </c>
      <c r="W706" s="4">
        <v>74.195340136394563</v>
      </c>
      <c r="X706" s="4">
        <v>10.804659863605437</v>
      </c>
      <c r="Y706" s="4">
        <v>1.7253600554822528</v>
      </c>
    </row>
    <row r="707" spans="11:25" x14ac:dyDescent="0.25">
      <c r="K707" s="3"/>
      <c r="L707" s="8">
        <v>36.299999999999997</v>
      </c>
      <c r="M707" s="4"/>
      <c r="N707" s="4"/>
      <c r="O707" s="4"/>
      <c r="P707" s="4"/>
      <c r="S707" s="3">
        <v>705</v>
      </c>
      <c r="T707" s="8">
        <v>0.42722862340812612</v>
      </c>
      <c r="U707" s="4">
        <v>69.2</v>
      </c>
      <c r="V707" s="4">
        <v>-0.18343432307636318</v>
      </c>
      <c r="W707" s="4">
        <v>77.253016412721308</v>
      </c>
      <c r="X707" s="4">
        <v>6.7469835872786916</v>
      </c>
      <c r="Y707" s="4">
        <v>1.0774032800140831</v>
      </c>
    </row>
    <row r="708" spans="11:25" x14ac:dyDescent="0.25">
      <c r="K708" s="3"/>
      <c r="L708" s="8">
        <v>36.299999999999997</v>
      </c>
      <c r="M708" s="4"/>
      <c r="N708" s="4"/>
      <c r="O708" s="4"/>
      <c r="P708" s="4"/>
      <c r="S708" s="3">
        <v>706</v>
      </c>
      <c r="T708" s="8">
        <v>0.42783505154639173</v>
      </c>
      <c r="U708" s="4">
        <v>69.2</v>
      </c>
      <c r="V708" s="4">
        <v>-0.18188866123299224</v>
      </c>
      <c r="W708" s="4">
        <v>74.244657495690163</v>
      </c>
      <c r="X708" s="4">
        <v>11.755342504309837</v>
      </c>
      <c r="Y708" s="4">
        <v>1.8771713919257873</v>
      </c>
    </row>
    <row r="709" spans="11:25" x14ac:dyDescent="0.25">
      <c r="K709" s="3"/>
      <c r="L709" s="8">
        <v>36.299999999999997</v>
      </c>
      <c r="M709" s="4"/>
      <c r="N709" s="4"/>
      <c r="O709" s="4"/>
      <c r="P709" s="4"/>
      <c r="S709" s="3">
        <v>707</v>
      </c>
      <c r="T709" s="8">
        <v>0.42844147968465734</v>
      </c>
      <c r="U709" s="4">
        <v>69.2</v>
      </c>
      <c r="V709" s="4">
        <v>-0.18034343381259169</v>
      </c>
      <c r="W709" s="4">
        <v>77.302333772016908</v>
      </c>
      <c r="X709" s="4">
        <v>4.8976662279830947</v>
      </c>
      <c r="Y709" s="4">
        <v>0.78209196601462339</v>
      </c>
    </row>
    <row r="710" spans="11:25" x14ac:dyDescent="0.25">
      <c r="K710" s="3"/>
      <c r="L710" s="8">
        <v>36.299999999999997</v>
      </c>
      <c r="M710" s="4"/>
      <c r="N710" s="4"/>
      <c r="O710" s="4"/>
      <c r="P710" s="4"/>
      <c r="S710" s="3">
        <v>708</v>
      </c>
      <c r="T710" s="8">
        <v>0.42904790782292296</v>
      </c>
      <c r="U710" s="4">
        <v>69.3</v>
      </c>
      <c r="V710" s="4">
        <v>-0.17879863688351205</v>
      </c>
      <c r="W710" s="4">
        <v>74.589879010759304</v>
      </c>
      <c r="X710" s="4">
        <v>7.5101209892406899</v>
      </c>
      <c r="Y710" s="4">
        <v>1.199266143520308</v>
      </c>
    </row>
    <row r="711" spans="11:25" x14ac:dyDescent="0.25">
      <c r="K711" s="3"/>
      <c r="L711" s="8">
        <v>36.299999999999997</v>
      </c>
      <c r="M711" s="4"/>
      <c r="N711" s="4"/>
      <c r="O711" s="4"/>
      <c r="P711" s="4"/>
      <c r="S711" s="3">
        <v>709</v>
      </c>
      <c r="T711" s="8">
        <v>0.42965433596118857</v>
      </c>
      <c r="U711" s="4">
        <v>69.3</v>
      </c>
      <c r="V711" s="4">
        <v>-0.17725426652149787</v>
      </c>
      <c r="W711" s="4">
        <v>77.302333772016908</v>
      </c>
      <c r="X711" s="4">
        <v>4.497666227983089</v>
      </c>
      <c r="Y711" s="4">
        <v>0.71821730166562325</v>
      </c>
    </row>
    <row r="712" spans="11:25" x14ac:dyDescent="0.25">
      <c r="K712" s="3"/>
      <c r="L712" s="8">
        <v>36.299999999999997</v>
      </c>
      <c r="M712" s="4"/>
      <c r="N712" s="4"/>
      <c r="O712" s="4"/>
      <c r="P712" s="4"/>
      <c r="S712" s="3">
        <v>710</v>
      </c>
      <c r="T712" s="8">
        <v>0.43026076409945424</v>
      </c>
      <c r="U712" s="4">
        <v>69.3</v>
      </c>
      <c r="V712" s="4">
        <v>-0.17571031880961252</v>
      </c>
      <c r="W712" s="4">
        <v>74.589879010759304</v>
      </c>
      <c r="X712" s="4">
        <v>7.2101209892406928</v>
      </c>
      <c r="Y712" s="4">
        <v>1.1513601452585589</v>
      </c>
    </row>
    <row r="713" spans="11:25" x14ac:dyDescent="0.25">
      <c r="K713" s="3"/>
      <c r="L713" s="8">
        <v>36.299999999999997</v>
      </c>
      <c r="M713" s="4"/>
      <c r="N713" s="4"/>
      <c r="O713" s="4"/>
      <c r="P713" s="4"/>
      <c r="S713" s="3">
        <v>711</v>
      </c>
      <c r="T713" s="8">
        <v>0.43086719223771985</v>
      </c>
      <c r="U713" s="4">
        <v>69.3</v>
      </c>
      <c r="V713" s="4">
        <v>-0.17416678983816411</v>
      </c>
      <c r="W713" s="4">
        <v>74.589879010759304</v>
      </c>
      <c r="X713" s="4">
        <v>7.1101209892406985</v>
      </c>
      <c r="Y713" s="4">
        <v>1.13539147917131</v>
      </c>
    </row>
    <row r="714" spans="11:25" x14ac:dyDescent="0.25">
      <c r="K714" s="3"/>
      <c r="L714" s="8">
        <v>36.299999999999997</v>
      </c>
      <c r="M714" s="4"/>
      <c r="N714" s="4"/>
      <c r="O714" s="4"/>
      <c r="P714" s="4"/>
      <c r="S714" s="3">
        <v>712</v>
      </c>
      <c r="T714" s="8">
        <v>0.43147362037598547</v>
      </c>
      <c r="U714" s="4">
        <v>69.3</v>
      </c>
      <c r="V714" s="4">
        <v>-0.17262367570463083</v>
      </c>
      <c r="W714" s="4">
        <v>74.491244292168119</v>
      </c>
      <c r="X714" s="4">
        <v>7.008755707831881</v>
      </c>
      <c r="Y714" s="4">
        <v>1.1192047958547349</v>
      </c>
    </row>
    <row r="715" spans="11:25" x14ac:dyDescent="0.25">
      <c r="K715" s="3"/>
      <c r="L715" s="8">
        <v>36.299999999999997</v>
      </c>
      <c r="M715" s="4"/>
      <c r="N715" s="4"/>
      <c r="O715" s="4"/>
      <c r="P715" s="4"/>
      <c r="S715" s="3">
        <v>713</v>
      </c>
      <c r="T715" s="8">
        <v>0.43208004851425108</v>
      </c>
      <c r="U715" s="4">
        <v>69.3</v>
      </c>
      <c r="V715" s="4">
        <v>-0.1710809725135872</v>
      </c>
      <c r="W715" s="4">
        <v>74.392609573576934</v>
      </c>
      <c r="X715" s="4">
        <v>6.6073904264230663</v>
      </c>
      <c r="Y715" s="4">
        <v>1.0551121142764108</v>
      </c>
    </row>
    <row r="716" spans="11:25" x14ac:dyDescent="0.25">
      <c r="K716" s="3"/>
      <c r="L716" s="8">
        <v>36.299999999999997</v>
      </c>
      <c r="M716" s="4"/>
      <c r="N716" s="4"/>
      <c r="O716" s="4"/>
      <c r="P716" s="4"/>
      <c r="S716" s="3">
        <v>714</v>
      </c>
      <c r="T716" s="8">
        <v>0.43268647665251669</v>
      </c>
      <c r="U716" s="4">
        <v>69.3</v>
      </c>
      <c r="V716" s="4">
        <v>-0.16953867637663081</v>
      </c>
      <c r="W716" s="4">
        <v>74.244657495690163</v>
      </c>
      <c r="X716" s="4">
        <v>9.7553425043098372</v>
      </c>
      <c r="Y716" s="4">
        <v>1.5577980701807912</v>
      </c>
    </row>
    <row r="717" spans="11:25" x14ac:dyDescent="0.25">
      <c r="K717" s="3"/>
      <c r="L717" s="8">
        <v>36.299999999999997</v>
      </c>
      <c r="M717" s="4"/>
      <c r="N717" s="4"/>
      <c r="O717" s="4"/>
      <c r="P717" s="4"/>
      <c r="S717" s="3">
        <v>715</v>
      </c>
      <c r="T717" s="8">
        <v>0.43329290479078231</v>
      </c>
      <c r="U717" s="4">
        <v>69.400000000000006</v>
      </c>
      <c r="V717" s="4">
        <v>-0.16799678341230878</v>
      </c>
      <c r="W717" s="4">
        <v>74.244657495690163</v>
      </c>
      <c r="X717" s="4">
        <v>9.7553425043098372</v>
      </c>
      <c r="Y717" s="4">
        <v>1.5577980701807912</v>
      </c>
    </row>
    <row r="718" spans="11:25" x14ac:dyDescent="0.25">
      <c r="K718" s="3"/>
      <c r="L718" s="8">
        <v>36.299999999999997</v>
      </c>
      <c r="M718" s="4"/>
      <c r="N718" s="4"/>
      <c r="O718" s="4"/>
      <c r="P718" s="4"/>
      <c r="S718" s="3">
        <v>716</v>
      </c>
      <c r="T718" s="8">
        <v>0.43389933292904792</v>
      </c>
      <c r="U718" s="4">
        <v>69.400000000000006</v>
      </c>
      <c r="V718" s="4">
        <v>-0.16645528974604515</v>
      </c>
      <c r="W718" s="4">
        <v>74.096705417803378</v>
      </c>
      <c r="X718" s="4">
        <v>5.9032945821966223</v>
      </c>
      <c r="Y718" s="4">
        <v>0.94267739997768729</v>
      </c>
    </row>
    <row r="719" spans="11:25" x14ac:dyDescent="0.25">
      <c r="K719" s="3"/>
      <c r="L719" s="8">
        <v>36.299999999999997</v>
      </c>
      <c r="M719" s="4"/>
      <c r="N719" s="4"/>
      <c r="O719" s="4"/>
      <c r="P719" s="4"/>
      <c r="S719" s="3">
        <v>717</v>
      </c>
      <c r="T719" s="8">
        <v>0.43450576106731353</v>
      </c>
      <c r="U719" s="4">
        <v>69.400000000000006</v>
      </c>
      <c r="V719" s="4">
        <v>-0.16491419151006786</v>
      </c>
      <c r="W719" s="4">
        <v>74.195340136394563</v>
      </c>
      <c r="X719" s="4">
        <v>6.804659863605437</v>
      </c>
      <c r="Y719" s="4">
        <v>1.0866134119922606</v>
      </c>
    </row>
    <row r="720" spans="11:25" x14ac:dyDescent="0.25">
      <c r="K720" s="3"/>
      <c r="L720" s="8">
        <v>36.299999999999997</v>
      </c>
      <c r="M720" s="4"/>
      <c r="N720" s="4"/>
      <c r="O720" s="4"/>
      <c r="P720" s="4"/>
      <c r="S720" s="3">
        <v>718</v>
      </c>
      <c r="T720" s="8">
        <v>0.43511218920557915</v>
      </c>
      <c r="U720" s="4">
        <v>69.400000000000006</v>
      </c>
      <c r="V720" s="4">
        <v>-0.16337348484333702</v>
      </c>
      <c r="W720" s="4">
        <v>74.096705417803378</v>
      </c>
      <c r="X720" s="4">
        <v>5.6032945821966251</v>
      </c>
      <c r="Y720" s="4">
        <v>0.89477140171593839</v>
      </c>
    </row>
    <row r="721" spans="11:25" x14ac:dyDescent="0.25">
      <c r="K721" s="3"/>
      <c r="L721" s="8">
        <v>36.299999999999997</v>
      </c>
      <c r="M721" s="4"/>
      <c r="N721" s="4"/>
      <c r="O721" s="4"/>
      <c r="P721" s="4"/>
      <c r="S721" s="3">
        <v>719</v>
      </c>
      <c r="T721" s="8">
        <v>0.43571861734384476</v>
      </c>
      <c r="U721" s="4">
        <v>69.400000000000006</v>
      </c>
      <c r="V721" s="4">
        <v>-0.1618331658914724</v>
      </c>
      <c r="W721" s="4">
        <v>73.948753339916607</v>
      </c>
      <c r="X721" s="4">
        <v>5.3512466600833903</v>
      </c>
      <c r="Y721" s="4">
        <v>0.85452271065382446</v>
      </c>
    </row>
    <row r="722" spans="11:25" x14ac:dyDescent="0.25">
      <c r="K722" s="3"/>
      <c r="L722" s="8">
        <v>36.299999999999997</v>
      </c>
      <c r="M722" s="4"/>
      <c r="N722" s="4"/>
      <c r="O722" s="4"/>
      <c r="P722" s="4"/>
      <c r="S722" s="3">
        <v>720</v>
      </c>
      <c r="T722" s="8">
        <v>0.43632504548211037</v>
      </c>
      <c r="U722" s="4">
        <v>69.400000000000006</v>
      </c>
      <c r="V722" s="4">
        <v>-0.16029323080668209</v>
      </c>
      <c r="W722" s="4">
        <v>73.948753339916607</v>
      </c>
      <c r="X722" s="4">
        <v>5.3512466600833903</v>
      </c>
      <c r="Y722" s="4">
        <v>0.85452271065382446</v>
      </c>
    </row>
    <row r="723" spans="11:25" x14ac:dyDescent="0.25">
      <c r="K723" s="3"/>
      <c r="L723" s="8">
        <v>36.299999999999997</v>
      </c>
      <c r="M723" s="4"/>
      <c r="N723" s="4"/>
      <c r="O723" s="4"/>
      <c r="P723" s="4"/>
      <c r="S723" s="3">
        <v>721</v>
      </c>
      <c r="T723" s="8">
        <v>0.43693147362037599</v>
      </c>
      <c r="U723" s="4">
        <v>69.400000000000006</v>
      </c>
      <c r="V723" s="4">
        <v>-0.15875367574769092</v>
      </c>
      <c r="W723" s="4">
        <v>73.850118621325421</v>
      </c>
      <c r="X723" s="4">
        <v>5.0498813786745842</v>
      </c>
      <c r="Y723" s="4">
        <v>0.80639869516275142</v>
      </c>
    </row>
    <row r="724" spans="11:25" x14ac:dyDescent="0.25">
      <c r="K724" s="3"/>
      <c r="L724" s="8">
        <v>36.299999999999997</v>
      </c>
      <c r="M724" s="4"/>
      <c r="N724" s="4"/>
      <c r="O724" s="4"/>
      <c r="P724" s="4"/>
      <c r="S724" s="3">
        <v>722</v>
      </c>
      <c r="T724" s="8">
        <v>0.4375379017586416</v>
      </c>
      <c r="U724" s="4">
        <v>69.400000000000006</v>
      </c>
      <c r="V724" s="4">
        <v>-0.15721449687966954</v>
      </c>
      <c r="W724" s="4">
        <v>74.787148447941675</v>
      </c>
      <c r="X724" s="4">
        <v>7.712851552058325</v>
      </c>
      <c r="Y724" s="4">
        <v>1.2316395101534583</v>
      </c>
    </row>
    <row r="725" spans="11:25" x14ac:dyDescent="0.25">
      <c r="K725" s="3"/>
      <c r="L725" s="8">
        <v>36.299999999999997</v>
      </c>
      <c r="M725" s="4"/>
      <c r="N725" s="4"/>
      <c r="O725" s="4"/>
      <c r="P725" s="4"/>
      <c r="S725" s="3">
        <v>723</v>
      </c>
      <c r="T725" s="8">
        <v>0.43814432989690721</v>
      </c>
      <c r="U725" s="4">
        <v>69.5</v>
      </c>
      <c r="V725" s="4">
        <v>-0.15567569037416343</v>
      </c>
      <c r="W725" s="4">
        <v>74.737831088646089</v>
      </c>
      <c r="X725" s="4">
        <v>7.5621689113539077</v>
      </c>
      <c r="Y725" s="4">
        <v>1.2075775024079196</v>
      </c>
    </row>
    <row r="726" spans="11:25" x14ac:dyDescent="0.25">
      <c r="K726" s="3"/>
      <c r="L726" s="8">
        <v>36.299999999999997</v>
      </c>
      <c r="M726" s="4"/>
      <c r="N726" s="4"/>
      <c r="O726" s="4"/>
      <c r="P726" s="4"/>
      <c r="S726" s="3">
        <v>724</v>
      </c>
      <c r="T726" s="8">
        <v>0.43875075803517283</v>
      </c>
      <c r="U726" s="4">
        <v>69.5</v>
      </c>
      <c r="V726" s="4">
        <v>-0.1541372524090226</v>
      </c>
      <c r="W726" s="4">
        <v>77.302333772016908</v>
      </c>
      <c r="X726" s="4">
        <v>4.6976662279830919</v>
      </c>
      <c r="Y726" s="4">
        <v>0.75015463384012326</v>
      </c>
    </row>
    <row r="727" spans="11:25" x14ac:dyDescent="0.25">
      <c r="K727" s="3"/>
      <c r="L727" s="8">
        <v>36.299999999999997</v>
      </c>
      <c r="M727" s="4"/>
      <c r="N727" s="4"/>
      <c r="O727" s="4"/>
      <c r="P727" s="4"/>
      <c r="S727" s="3">
        <v>725</v>
      </c>
      <c r="T727" s="8">
        <v>0.43935718617343844</v>
      </c>
      <c r="U727" s="4">
        <v>69.5</v>
      </c>
      <c r="V727" s="4">
        <v>-0.1525991791683311</v>
      </c>
      <c r="W727" s="4">
        <v>77.302333772016908</v>
      </c>
      <c r="X727" s="4">
        <v>4.6976662279830919</v>
      </c>
      <c r="Y727" s="4">
        <v>0.75015463384012326</v>
      </c>
    </row>
    <row r="728" spans="11:25" x14ac:dyDescent="0.25">
      <c r="K728" s="3"/>
      <c r="L728" s="8">
        <v>36.299999999999997</v>
      </c>
      <c r="M728" s="4"/>
      <c r="N728" s="4"/>
      <c r="O728" s="4"/>
      <c r="P728" s="4"/>
      <c r="S728" s="3">
        <v>726</v>
      </c>
      <c r="T728" s="8">
        <v>0.43996361431170405</v>
      </c>
      <c r="U728" s="4">
        <v>69.5</v>
      </c>
      <c r="V728" s="4">
        <v>-0.15106146684233723</v>
      </c>
      <c r="W728" s="4">
        <v>77.302333772016908</v>
      </c>
      <c r="X728" s="4">
        <v>4.497666227983089</v>
      </c>
      <c r="Y728" s="4">
        <v>0.71821730166562325</v>
      </c>
    </row>
    <row r="729" spans="11:25" x14ac:dyDescent="0.25">
      <c r="K729" s="3"/>
      <c r="L729" s="8">
        <v>36.299999999999997</v>
      </c>
      <c r="M729" s="4"/>
      <c r="N729" s="4"/>
      <c r="O729" s="4"/>
      <c r="P729" s="4"/>
      <c r="S729" s="3">
        <v>727</v>
      </c>
      <c r="T729" s="8">
        <v>0.44057004244996967</v>
      </c>
      <c r="U729" s="4">
        <v>69.5</v>
      </c>
      <c r="V729" s="4">
        <v>-0.14952411162738388</v>
      </c>
      <c r="W729" s="4">
        <v>74.589879010759304</v>
      </c>
      <c r="X729" s="4">
        <v>7.0101209892406899</v>
      </c>
      <c r="Y729" s="4">
        <v>1.1194228130840589</v>
      </c>
    </row>
    <row r="730" spans="11:25" x14ac:dyDescent="0.25">
      <c r="K730" s="3"/>
      <c r="L730" s="8">
        <v>36.299999999999997</v>
      </c>
      <c r="M730" s="4"/>
      <c r="N730" s="4"/>
      <c r="O730" s="4"/>
      <c r="P730" s="4"/>
      <c r="S730" s="3">
        <v>728</v>
      </c>
      <c r="T730" s="8">
        <v>0.44117647058823528</v>
      </c>
      <c r="U730" s="4">
        <v>69.5</v>
      </c>
      <c r="V730" s="4">
        <v>-0.14798710972583887</v>
      </c>
      <c r="W730" s="4">
        <v>74.589879010759304</v>
      </c>
      <c r="X730" s="4">
        <v>6.9101209892406956</v>
      </c>
      <c r="Y730" s="4">
        <v>1.10345414699681</v>
      </c>
    </row>
    <row r="731" spans="11:25" x14ac:dyDescent="0.25">
      <c r="K731" s="3"/>
      <c r="L731" s="8">
        <v>36.299999999999997</v>
      </c>
      <c r="M731" s="4"/>
      <c r="N731" s="4"/>
      <c r="O731" s="4"/>
      <c r="P731" s="4"/>
      <c r="S731" s="3">
        <v>729</v>
      </c>
      <c r="T731" s="8">
        <v>0.44178289872650089</v>
      </c>
      <c r="U731" s="4">
        <v>69.5</v>
      </c>
      <c r="V731" s="4">
        <v>-0.14645045734602624</v>
      </c>
      <c r="W731" s="4">
        <v>74.491244292168119</v>
      </c>
      <c r="X731" s="4">
        <v>6.8087557078318781</v>
      </c>
      <c r="Y731" s="4">
        <v>1.0872674636802349</v>
      </c>
    </row>
    <row r="732" spans="11:25" x14ac:dyDescent="0.25">
      <c r="K732" s="3"/>
      <c r="L732" s="8">
        <v>36.299999999999997</v>
      </c>
      <c r="M732" s="4"/>
      <c r="N732" s="4"/>
      <c r="O732" s="4"/>
      <c r="P732" s="4"/>
      <c r="S732" s="3">
        <v>730</v>
      </c>
      <c r="T732" s="8">
        <v>0.44238932686476651</v>
      </c>
      <c r="U732" s="4">
        <v>69.5</v>
      </c>
      <c r="V732" s="4">
        <v>-0.14491415070215702</v>
      </c>
      <c r="W732" s="4">
        <v>74.392609573576934</v>
      </c>
      <c r="X732" s="4">
        <v>6.8073904264230691</v>
      </c>
      <c r="Y732" s="4">
        <v>1.0870494464509108</v>
      </c>
    </row>
    <row r="733" spans="11:25" x14ac:dyDescent="0.25">
      <c r="K733" s="3"/>
      <c r="L733" s="8">
        <v>36.299999999999997</v>
      </c>
      <c r="M733" s="4"/>
      <c r="N733" s="4"/>
      <c r="O733" s="4"/>
      <c r="P733" s="4"/>
      <c r="S733" s="3">
        <v>731</v>
      </c>
      <c r="T733" s="8">
        <v>0.44299575500303212</v>
      </c>
      <c r="U733" s="4">
        <v>69.599999999999994</v>
      </c>
      <c r="V733" s="4">
        <v>-0.14337818601426072</v>
      </c>
      <c r="W733" s="4">
        <v>74.343292214281348</v>
      </c>
      <c r="X733" s="4">
        <v>13.656707785718652</v>
      </c>
      <c r="Y733" s="4">
        <v>2.1807940648128588</v>
      </c>
    </row>
    <row r="734" spans="11:25" x14ac:dyDescent="0.25">
      <c r="K734" s="3"/>
      <c r="L734" s="8">
        <v>36.299999999999997</v>
      </c>
      <c r="M734" s="4"/>
      <c r="N734" s="4"/>
      <c r="O734" s="4"/>
      <c r="P734" s="4"/>
      <c r="S734" s="3">
        <v>732</v>
      </c>
      <c r="T734" s="8">
        <v>0.44360218314129773</v>
      </c>
      <c r="U734" s="4">
        <v>69.599999999999994</v>
      </c>
      <c r="V734" s="4">
        <v>-0.14184255950811692</v>
      </c>
      <c r="W734" s="4">
        <v>74.343292214281348</v>
      </c>
      <c r="X734" s="4">
        <v>14.656707785718652</v>
      </c>
      <c r="Y734" s="4">
        <v>2.3404807256853566</v>
      </c>
    </row>
    <row r="735" spans="11:25" x14ac:dyDescent="0.25">
      <c r="K735" s="3"/>
      <c r="L735" s="8">
        <v>36.299999999999997</v>
      </c>
      <c r="M735" s="4"/>
      <c r="N735" s="4"/>
      <c r="O735" s="4"/>
      <c r="P735" s="4"/>
      <c r="S735" s="3">
        <v>733</v>
      </c>
      <c r="T735" s="8">
        <v>0.44420861127956335</v>
      </c>
      <c r="U735" s="4">
        <v>69.599999999999994</v>
      </c>
      <c r="V735" s="4">
        <v>-0.14030726741518737</v>
      </c>
      <c r="W735" s="4">
        <v>74.047388058507792</v>
      </c>
      <c r="X735" s="4">
        <v>5.8526119414922135</v>
      </c>
      <c r="Y735" s="4">
        <v>0.93458405831939972</v>
      </c>
    </row>
    <row r="736" spans="11:25" x14ac:dyDescent="0.25">
      <c r="K736" s="3"/>
      <c r="L736" s="8">
        <v>36.299999999999997</v>
      </c>
      <c r="M736" s="4"/>
      <c r="N736" s="4"/>
      <c r="O736" s="4"/>
      <c r="P736" s="4"/>
      <c r="S736" s="3">
        <v>734</v>
      </c>
      <c r="T736" s="8">
        <v>0.44481503941782896</v>
      </c>
      <c r="U736" s="4">
        <v>69.599999999999994</v>
      </c>
      <c r="V736" s="4">
        <v>-0.1387723059725478</v>
      </c>
      <c r="W736" s="4">
        <v>74.047388058507792</v>
      </c>
      <c r="X736" s="4">
        <v>5.9526119414922078</v>
      </c>
      <c r="Y736" s="4">
        <v>0.95055272440664862</v>
      </c>
    </row>
    <row r="737" spans="11:25" x14ac:dyDescent="0.25">
      <c r="K737" s="3"/>
      <c r="L737" s="8">
        <v>36.299999999999997</v>
      </c>
      <c r="M737" s="4"/>
      <c r="N737" s="4"/>
      <c r="O737" s="4"/>
      <c r="P737" s="4"/>
      <c r="S737" s="3">
        <v>735</v>
      </c>
      <c r="T737" s="8">
        <v>0.44542146755609463</v>
      </c>
      <c r="U737" s="4">
        <v>69.599999999999994</v>
      </c>
      <c r="V737" s="4">
        <v>-0.13723767142282059</v>
      </c>
      <c r="W737" s="4">
        <v>73.899435980621007</v>
      </c>
      <c r="X737" s="4">
        <v>5.9005640193789901</v>
      </c>
      <c r="Y737" s="4">
        <v>0.94224136551903703</v>
      </c>
    </row>
    <row r="738" spans="11:25" x14ac:dyDescent="0.25">
      <c r="K738" s="3"/>
      <c r="L738" s="8">
        <v>36.299999999999997</v>
      </c>
      <c r="M738" s="4"/>
      <c r="N738" s="4"/>
      <c r="O738" s="4"/>
      <c r="P738" s="4"/>
      <c r="S738" s="3">
        <v>736</v>
      </c>
      <c r="T738" s="8">
        <v>0.44602789569436024</v>
      </c>
      <c r="U738" s="4">
        <v>69.599999999999994</v>
      </c>
      <c r="V738" s="4">
        <v>-0.13570336001410763</v>
      </c>
      <c r="W738" s="4">
        <v>73.800801262029822</v>
      </c>
      <c r="X738" s="4">
        <v>5.599198737970184</v>
      </c>
      <c r="Y738" s="4">
        <v>0.89411735002796411</v>
      </c>
    </row>
    <row r="739" spans="11:25" x14ac:dyDescent="0.25">
      <c r="K739" s="3"/>
      <c r="L739" s="8">
        <v>36.299999999999997</v>
      </c>
      <c r="M739" s="4"/>
      <c r="N739" s="4"/>
      <c r="O739" s="4"/>
      <c r="P739" s="4"/>
      <c r="S739" s="3">
        <v>737</v>
      </c>
      <c r="T739" s="8">
        <v>0.44663432383262586</v>
      </c>
      <c r="U739" s="4">
        <v>69.599999999999994</v>
      </c>
      <c r="V739" s="4">
        <v>-0.13416936799992241</v>
      </c>
      <c r="W739" s="4">
        <v>71.039029141476632</v>
      </c>
      <c r="X739" s="4">
        <v>4.7609708585233648</v>
      </c>
      <c r="Y739" s="4">
        <v>0.76026353890886667</v>
      </c>
    </row>
    <row r="740" spans="11:25" x14ac:dyDescent="0.25">
      <c r="K740" s="3"/>
      <c r="L740" s="8">
        <v>36.299999999999997</v>
      </c>
      <c r="M740" s="4"/>
      <c r="N740" s="4"/>
      <c r="O740" s="4"/>
      <c r="P740" s="4"/>
      <c r="S740" s="3">
        <v>738</v>
      </c>
      <c r="T740" s="8">
        <v>0.44724075197089147</v>
      </c>
      <c r="U740" s="4">
        <v>69.599999999999994</v>
      </c>
      <c r="V740" s="4">
        <v>-0.13263569163912398</v>
      </c>
      <c r="W740" s="4">
        <v>70.891077063589847</v>
      </c>
      <c r="X740" s="4">
        <v>4.708922936410147</v>
      </c>
      <c r="Y740" s="4">
        <v>0.75195218002125508</v>
      </c>
    </row>
    <row r="741" spans="11:25" x14ac:dyDescent="0.25">
      <c r="K741" s="3"/>
      <c r="L741" s="8">
        <v>36.299999999999997</v>
      </c>
      <c r="M741" s="4"/>
      <c r="N741" s="4"/>
      <c r="O741" s="4"/>
      <c r="P741" s="4"/>
      <c r="S741" s="3">
        <v>739</v>
      </c>
      <c r="T741" s="8">
        <v>0.44784718010915708</v>
      </c>
      <c r="U741" s="4">
        <v>69.599999999999994</v>
      </c>
      <c r="V741" s="4">
        <v>-0.13110232719584988</v>
      </c>
      <c r="W741" s="4">
        <v>70.792442344998662</v>
      </c>
      <c r="X741" s="4">
        <v>4.5075576550013352</v>
      </c>
      <c r="Y741" s="4">
        <v>0.71979683061743094</v>
      </c>
    </row>
    <row r="742" spans="11:25" x14ac:dyDescent="0.25">
      <c r="K742" s="3"/>
      <c r="L742" s="8">
        <v>36.299999999999997</v>
      </c>
      <c r="M742" s="4"/>
      <c r="N742" s="4"/>
      <c r="O742" s="4"/>
      <c r="P742" s="4"/>
      <c r="S742" s="3">
        <v>740</v>
      </c>
      <c r="T742" s="8">
        <v>0.4484536082474227</v>
      </c>
      <c r="U742" s="4">
        <v>69.7</v>
      </c>
      <c r="V742" s="4">
        <v>-0.12956927093944981</v>
      </c>
      <c r="W742" s="4">
        <v>70.743124985703076</v>
      </c>
      <c r="X742" s="4">
        <v>4.4568750142969265</v>
      </c>
      <c r="Y742" s="4">
        <v>0.71170348895914337</v>
      </c>
    </row>
    <row r="743" spans="11:25" x14ac:dyDescent="0.25">
      <c r="K743" s="3"/>
      <c r="L743" s="8">
        <v>36.299999999999997</v>
      </c>
      <c r="M743" s="4"/>
      <c r="N743" s="4"/>
      <c r="O743" s="4"/>
      <c r="P743" s="4"/>
      <c r="S743" s="3">
        <v>741</v>
      </c>
      <c r="T743" s="8">
        <v>0.44906003638568831</v>
      </c>
      <c r="U743" s="4">
        <v>69.7</v>
      </c>
      <c r="V743" s="4">
        <v>-0.12803651914441949</v>
      </c>
      <c r="W743" s="4">
        <v>70.792442344998662</v>
      </c>
      <c r="X743" s="4">
        <v>4.207557655001338</v>
      </c>
      <c r="Y743" s="4">
        <v>0.67189083235568203</v>
      </c>
    </row>
    <row r="744" spans="11:25" x14ac:dyDescent="0.25">
      <c r="K744" s="3"/>
      <c r="L744" s="8">
        <v>36.299999999999997</v>
      </c>
      <c r="M744" s="4"/>
      <c r="N744" s="4"/>
      <c r="O744" s="4"/>
      <c r="P744" s="4"/>
      <c r="S744" s="3">
        <v>742</v>
      </c>
      <c r="T744" s="8">
        <v>0.44966646452395392</v>
      </c>
      <c r="U744" s="4">
        <v>69.7</v>
      </c>
      <c r="V744" s="4">
        <v>-0.12650406809033463</v>
      </c>
      <c r="W744" s="4">
        <v>70.595172907816291</v>
      </c>
      <c r="X744" s="4">
        <v>4.1048270921837116</v>
      </c>
      <c r="Y744" s="4">
        <v>0.65548613180978277</v>
      </c>
    </row>
    <row r="745" spans="11:25" x14ac:dyDescent="0.25">
      <c r="K745" s="3"/>
      <c r="L745" s="8">
        <v>36.299999999999997</v>
      </c>
      <c r="M745" s="4"/>
      <c r="N745" s="4"/>
      <c r="O745" s="4"/>
      <c r="P745" s="4"/>
      <c r="S745" s="3">
        <v>743</v>
      </c>
      <c r="T745" s="8">
        <v>0.45027289266221954</v>
      </c>
      <c r="U745" s="4">
        <v>69.7</v>
      </c>
      <c r="V745" s="4">
        <v>-0.1249719140617853</v>
      </c>
      <c r="W745" s="4">
        <v>70.44722082992952</v>
      </c>
      <c r="X745" s="4">
        <v>4.0527791700704796</v>
      </c>
      <c r="Y745" s="4">
        <v>0.64717477292216896</v>
      </c>
    </row>
    <row r="746" spans="11:25" x14ac:dyDescent="0.25">
      <c r="K746" s="3"/>
      <c r="L746" s="8">
        <v>36.299999999999997</v>
      </c>
      <c r="M746" s="4"/>
      <c r="N746" s="4"/>
      <c r="O746" s="4"/>
      <c r="P746" s="4"/>
      <c r="S746" s="3">
        <v>744</v>
      </c>
      <c r="T746" s="8">
        <v>0.45087932080048515</v>
      </c>
      <c r="U746" s="4">
        <v>69.8</v>
      </c>
      <c r="V746" s="4">
        <v>-0.12344005334831042</v>
      </c>
      <c r="W746" s="4">
        <v>70.299268752042735</v>
      </c>
      <c r="X746" s="4">
        <v>3.9007312479572676</v>
      </c>
      <c r="Y746" s="4">
        <v>0.62289474794730848</v>
      </c>
    </row>
    <row r="747" spans="11:25" x14ac:dyDescent="0.25">
      <c r="K747" s="3"/>
      <c r="L747" s="8">
        <v>36.299999999999997</v>
      </c>
      <c r="M747" s="4"/>
      <c r="N747" s="4"/>
      <c r="O747" s="4"/>
      <c r="P747" s="4"/>
      <c r="S747" s="3">
        <v>745</v>
      </c>
      <c r="T747" s="8">
        <v>0.45148574893875076</v>
      </c>
      <c r="U747" s="4">
        <v>69.8</v>
      </c>
      <c r="V747" s="4">
        <v>-0.12190848224433226</v>
      </c>
      <c r="W747" s="4">
        <v>76.858477538356567</v>
      </c>
      <c r="X747" s="4">
        <v>-2.858477538356567</v>
      </c>
      <c r="Y747" s="4">
        <v>-0.45646073327919828</v>
      </c>
    </row>
    <row r="748" spans="11:25" x14ac:dyDescent="0.25">
      <c r="K748" s="3"/>
      <c r="L748" s="8">
        <v>36.299999999999997</v>
      </c>
      <c r="M748" s="4"/>
      <c r="N748" s="4"/>
      <c r="O748" s="4"/>
      <c r="P748" s="4"/>
      <c r="S748" s="3">
        <v>746</v>
      </c>
      <c r="T748" s="8">
        <v>0.45209217707701638</v>
      </c>
      <c r="U748" s="4">
        <v>69.8</v>
      </c>
      <c r="V748" s="4">
        <v>-0.12037719704909174</v>
      </c>
      <c r="W748" s="4">
        <v>69.658143081200038</v>
      </c>
      <c r="X748" s="4">
        <v>3.8418569187999623</v>
      </c>
      <c r="Y748" s="4">
        <v>0.61349330291307003</v>
      </c>
    </row>
    <row r="749" spans="11:25" x14ac:dyDescent="0.25">
      <c r="K749" s="3"/>
      <c r="L749" s="8">
        <v>36.299999999999997</v>
      </c>
      <c r="M749" s="4"/>
      <c r="N749" s="4"/>
      <c r="O749" s="4"/>
      <c r="P749" s="4"/>
      <c r="S749" s="3">
        <v>747</v>
      </c>
      <c r="T749" s="8">
        <v>0.45269860521528199</v>
      </c>
      <c r="U749" s="4">
        <v>69.8</v>
      </c>
      <c r="V749" s="4">
        <v>-0.11884619406658314</v>
      </c>
      <c r="W749" s="4">
        <v>69.460873644017667</v>
      </c>
      <c r="X749" s="4">
        <v>3.8391263559823301</v>
      </c>
      <c r="Y749" s="4">
        <v>0.61305726845441977</v>
      </c>
    </row>
    <row r="750" spans="11:25" x14ac:dyDescent="0.25">
      <c r="K750" s="3"/>
      <c r="L750" s="8">
        <v>36.299999999999997</v>
      </c>
      <c r="M750" s="4"/>
      <c r="N750" s="4"/>
      <c r="O750" s="4"/>
      <c r="P750" s="4"/>
      <c r="S750" s="3">
        <v>748</v>
      </c>
      <c r="T750" s="8">
        <v>0.4533050333535476</v>
      </c>
      <c r="U750" s="4">
        <v>69.900000000000006</v>
      </c>
      <c r="V750" s="4">
        <v>-0.11731546960548965</v>
      </c>
      <c r="W750" s="4">
        <v>69.411556284722067</v>
      </c>
      <c r="X750" s="4">
        <v>3.688443715277927</v>
      </c>
      <c r="Y750" s="4">
        <v>0.58899526070888319</v>
      </c>
    </row>
    <row r="751" spans="11:25" x14ac:dyDescent="0.25">
      <c r="K751" s="3"/>
      <c r="L751" s="8">
        <v>36.299999999999997</v>
      </c>
      <c r="M751" s="4"/>
      <c r="N751" s="4"/>
      <c r="O751" s="4"/>
      <c r="P751" s="4"/>
      <c r="S751" s="3">
        <v>749</v>
      </c>
      <c r="T751" s="8">
        <v>0.45391146149181322</v>
      </c>
      <c r="U751" s="4">
        <v>69.900000000000006</v>
      </c>
      <c r="V751" s="4">
        <v>-0.11578501997911896</v>
      </c>
      <c r="W751" s="4">
        <v>72.025376327388486</v>
      </c>
      <c r="X751" s="4">
        <v>1.9746236726115143</v>
      </c>
      <c r="Y751" s="4">
        <v>0.31532106075912159</v>
      </c>
    </row>
    <row r="752" spans="11:25" x14ac:dyDescent="0.25">
      <c r="K752" s="3"/>
      <c r="L752" s="8">
        <v>36.299999999999997</v>
      </c>
      <c r="M752" s="4"/>
      <c r="N752" s="4"/>
      <c r="O752" s="4"/>
      <c r="P752" s="4"/>
      <c r="S752" s="3">
        <v>750</v>
      </c>
      <c r="T752" s="8">
        <v>0.45451788963007883</v>
      </c>
      <c r="U752" s="4">
        <v>69.900000000000006</v>
      </c>
      <c r="V752" s="4">
        <v>-0.11425484150533892</v>
      </c>
      <c r="W752" s="4">
        <v>71.976058968092886</v>
      </c>
      <c r="X752" s="4">
        <v>1.9239410319071197</v>
      </c>
      <c r="Y752" s="4">
        <v>0.30722771910083624</v>
      </c>
    </row>
    <row r="753" spans="11:25" x14ac:dyDescent="0.25">
      <c r="K753" s="3"/>
      <c r="L753" s="8">
        <v>36.299999999999997</v>
      </c>
      <c r="M753" s="4"/>
      <c r="N753" s="4"/>
      <c r="O753" s="4"/>
      <c r="P753" s="4"/>
      <c r="S753" s="3">
        <v>751</v>
      </c>
      <c r="T753" s="8">
        <v>0.45512431776834444</v>
      </c>
      <c r="U753" s="4">
        <v>69.900000000000006</v>
      </c>
      <c r="V753" s="4">
        <v>-0.11272493050651347</v>
      </c>
      <c r="W753" s="4">
        <v>71.9267416087973</v>
      </c>
      <c r="X753" s="4">
        <v>1.7732583912027025</v>
      </c>
      <c r="Y753" s="4">
        <v>0.2831657113552975</v>
      </c>
    </row>
    <row r="754" spans="11:25" x14ac:dyDescent="0.25">
      <c r="K754" s="3"/>
      <c r="L754" s="8">
        <v>36.299999999999997</v>
      </c>
      <c r="M754" s="4"/>
      <c r="N754" s="4"/>
      <c r="O754" s="4"/>
      <c r="P754" s="4"/>
      <c r="S754" s="3">
        <v>752</v>
      </c>
      <c r="T754" s="8">
        <v>0.45573074590661006</v>
      </c>
      <c r="U754" s="4">
        <v>69.900000000000006</v>
      </c>
      <c r="V754" s="4">
        <v>-0.11119528330943881</v>
      </c>
      <c r="W754" s="4">
        <v>71.877424249501701</v>
      </c>
      <c r="X754" s="4">
        <v>1.7225757504982937</v>
      </c>
      <c r="Y754" s="4">
        <v>0.27507236969700993</v>
      </c>
    </row>
    <row r="755" spans="11:25" x14ac:dyDescent="0.25">
      <c r="K755" s="3"/>
      <c r="L755" s="8">
        <v>36.299999999999997</v>
      </c>
      <c r="M755" s="4"/>
      <c r="N755" s="4"/>
      <c r="O755" s="4"/>
      <c r="P755" s="4"/>
      <c r="S755" s="3">
        <v>753</v>
      </c>
      <c r="T755" s="8">
        <v>0.45633717404487567</v>
      </c>
      <c r="U755" s="4">
        <v>69.900000000000006</v>
      </c>
      <c r="V755" s="4">
        <v>-0.10966589624527967</v>
      </c>
      <c r="W755" s="4">
        <v>71.828106890206115</v>
      </c>
      <c r="X755" s="4">
        <v>1.5718931097938906</v>
      </c>
      <c r="Y755" s="4">
        <v>0.25101036195147342</v>
      </c>
    </row>
    <row r="756" spans="11:25" x14ac:dyDescent="0.25">
      <c r="K756" s="3"/>
      <c r="L756" s="8">
        <v>36.299999999999997</v>
      </c>
      <c r="M756" s="4"/>
      <c r="N756" s="4"/>
      <c r="O756" s="4"/>
      <c r="P756" s="4"/>
      <c r="S756" s="3">
        <v>754</v>
      </c>
      <c r="T756" s="8">
        <v>0.45694360218314128</v>
      </c>
      <c r="U756" s="4">
        <v>69.900000000000006</v>
      </c>
      <c r="V756" s="4">
        <v>-0.10813676564950597</v>
      </c>
      <c r="W756" s="4">
        <v>71.778789530910515</v>
      </c>
      <c r="X756" s="4">
        <v>1.5212104690894819</v>
      </c>
      <c r="Y756" s="4">
        <v>0.24291702029318582</v>
      </c>
    </row>
    <row r="757" spans="11:25" x14ac:dyDescent="0.25">
      <c r="K757" s="3"/>
      <c r="L757" s="8">
        <v>89</v>
      </c>
      <c r="M757" s="4"/>
      <c r="N757" s="4"/>
      <c r="O757" s="4"/>
      <c r="P757" s="4"/>
      <c r="S757" s="3">
        <v>755</v>
      </c>
      <c r="T757" s="8">
        <v>0.4575500303214069</v>
      </c>
      <c r="U757" s="4">
        <v>70</v>
      </c>
      <c r="V757" s="4">
        <v>-0.10660788786182934</v>
      </c>
      <c r="W757" s="4">
        <v>71.72947217161493</v>
      </c>
      <c r="X757" s="4">
        <v>1.3705278283850646</v>
      </c>
      <c r="Y757" s="4">
        <v>0.21885501254764708</v>
      </c>
    </row>
    <row r="758" spans="11:25" x14ac:dyDescent="0.25">
      <c r="K758" s="3"/>
      <c r="L758" s="8">
        <v>89</v>
      </c>
      <c r="M758" s="4"/>
      <c r="N758" s="4"/>
      <c r="O758" s="4"/>
      <c r="P758" s="4"/>
      <c r="S758" s="3">
        <v>756</v>
      </c>
      <c r="T758" s="8">
        <v>0.45815645845967251</v>
      </c>
      <c r="U758" s="4">
        <v>70</v>
      </c>
      <c r="V758" s="4">
        <v>-0.10507925922614013</v>
      </c>
      <c r="W758" s="4">
        <v>77.006429616243352</v>
      </c>
      <c r="X758" s="4">
        <v>-4.0064296162433521</v>
      </c>
      <c r="Y758" s="4">
        <v>-0.63977336743858482</v>
      </c>
    </row>
    <row r="759" spans="11:25" x14ac:dyDescent="0.25">
      <c r="K759" s="3"/>
      <c r="L759" s="8">
        <v>89</v>
      </c>
      <c r="M759" s="4"/>
      <c r="N759" s="4"/>
      <c r="O759" s="4"/>
      <c r="P759" s="4"/>
      <c r="S759" s="3">
        <v>757</v>
      </c>
      <c r="T759" s="8">
        <v>0.45876288659793812</v>
      </c>
      <c r="U759" s="4">
        <v>70</v>
      </c>
      <c r="V759" s="4">
        <v>-0.1035508760904445</v>
      </c>
      <c r="W759" s="4">
        <v>71.630837453023744</v>
      </c>
      <c r="X759" s="4">
        <v>1.1691625469762528</v>
      </c>
      <c r="Y759" s="4">
        <v>0.186699663143823</v>
      </c>
    </row>
    <row r="760" spans="11:25" x14ac:dyDescent="0.25">
      <c r="K760" s="3"/>
      <c r="L760" s="8">
        <v>89</v>
      </c>
      <c r="M760" s="4"/>
      <c r="N760" s="4"/>
      <c r="O760" s="4"/>
      <c r="P760" s="4"/>
      <c r="S760" s="3">
        <v>758</v>
      </c>
      <c r="T760" s="8">
        <v>0.45936931473620374</v>
      </c>
      <c r="U760" s="4">
        <v>70</v>
      </c>
      <c r="V760" s="4">
        <v>-0.10202273480680146</v>
      </c>
      <c r="W760" s="4">
        <v>71.334933297250188</v>
      </c>
      <c r="X760" s="4">
        <v>1.0650667027498173</v>
      </c>
      <c r="Y760" s="4">
        <v>0.1700769453685998</v>
      </c>
    </row>
    <row r="761" spans="11:25" x14ac:dyDescent="0.25">
      <c r="K761" s="3"/>
      <c r="L761" s="8">
        <v>89</v>
      </c>
      <c r="M761" s="4"/>
      <c r="N761" s="4"/>
      <c r="O761" s="4"/>
      <c r="P761" s="4"/>
      <c r="S761" s="3">
        <v>759</v>
      </c>
      <c r="T761" s="8">
        <v>0.45997574287446935</v>
      </c>
      <c r="U761" s="4">
        <v>70</v>
      </c>
      <c r="V761" s="4">
        <v>-0.10049483173126066</v>
      </c>
      <c r="W761" s="4">
        <v>71.433568015841374</v>
      </c>
      <c r="X761" s="4">
        <v>1.0664319841586263</v>
      </c>
      <c r="Y761" s="4">
        <v>0.17029496259792382</v>
      </c>
    </row>
    <row r="762" spans="11:25" x14ac:dyDescent="0.25">
      <c r="K762" s="3"/>
      <c r="L762" s="8">
        <v>89</v>
      </c>
      <c r="M762" s="4"/>
      <c r="N762" s="4"/>
      <c r="O762" s="4"/>
      <c r="P762" s="4"/>
      <c r="S762" s="3">
        <v>760</v>
      </c>
      <c r="T762" s="8">
        <v>0.46058217101273496</v>
      </c>
      <c r="U762" s="4">
        <v>70</v>
      </c>
      <c r="V762" s="4">
        <v>-9.8967163223799531E-2</v>
      </c>
      <c r="W762" s="4">
        <v>71.334933297250188</v>
      </c>
      <c r="X762" s="4">
        <v>0.96506670274980877</v>
      </c>
      <c r="Y762" s="4">
        <v>0.15410827928134863</v>
      </c>
    </row>
    <row r="763" spans="11:25" x14ac:dyDescent="0.25">
      <c r="K763" s="3"/>
      <c r="L763" s="8">
        <v>89</v>
      </c>
      <c r="M763" s="4"/>
      <c r="N763" s="4"/>
      <c r="O763" s="4"/>
      <c r="P763" s="4"/>
      <c r="S763" s="3">
        <v>761</v>
      </c>
      <c r="T763" s="8">
        <v>0.46118859915100063</v>
      </c>
      <c r="U763" s="4">
        <v>71</v>
      </c>
      <c r="V763" s="4">
        <v>-9.7439725648261366E-2</v>
      </c>
      <c r="W763" s="4">
        <v>71.236298578659003</v>
      </c>
      <c r="X763" s="4">
        <v>0.86370142134099126</v>
      </c>
      <c r="Y763" s="4">
        <v>0.13792159596477346</v>
      </c>
    </row>
    <row r="764" spans="11:25" x14ac:dyDescent="0.25">
      <c r="K764" s="3"/>
      <c r="L764" s="8">
        <v>89</v>
      </c>
      <c r="M764" s="4"/>
      <c r="N764" s="4"/>
      <c r="O764" s="4"/>
      <c r="P764" s="4"/>
      <c r="S764" s="3">
        <v>762</v>
      </c>
      <c r="T764" s="8">
        <v>0.46179502728926625</v>
      </c>
      <c r="U764" s="4">
        <v>71</v>
      </c>
      <c r="V764" s="4">
        <v>-9.5912515372293436E-2</v>
      </c>
      <c r="W764" s="4">
        <v>71.137663860067818</v>
      </c>
      <c r="X764" s="4">
        <v>0.76233613993218796</v>
      </c>
      <c r="Y764" s="4">
        <v>0.12173491264820055</v>
      </c>
    </row>
    <row r="765" spans="11:25" x14ac:dyDescent="0.25">
      <c r="K765" s="3"/>
      <c r="L765" s="8">
        <v>36.299999999999997</v>
      </c>
      <c r="M765" s="4"/>
      <c r="N765" s="4"/>
      <c r="O765" s="4"/>
      <c r="P765" s="4"/>
      <c r="S765" s="3">
        <v>763</v>
      </c>
      <c r="T765" s="8">
        <v>0.46240145542753186</v>
      </c>
      <c r="U765" s="4">
        <v>71</v>
      </c>
      <c r="V765" s="4">
        <v>-9.4385528767284468E-2</v>
      </c>
      <c r="W765" s="4">
        <v>71.039029141476632</v>
      </c>
      <c r="X765" s="4">
        <v>0.66097085852337045</v>
      </c>
      <c r="Y765" s="4">
        <v>0.10554822933162537</v>
      </c>
    </row>
    <row r="766" spans="11:25" x14ac:dyDescent="0.25">
      <c r="K766" s="3"/>
      <c r="L766" s="8">
        <v>36.299999999999997</v>
      </c>
      <c r="M766" s="4"/>
      <c r="N766" s="4"/>
      <c r="O766" s="4"/>
      <c r="P766" s="4"/>
      <c r="S766" s="3">
        <v>764</v>
      </c>
      <c r="T766" s="8">
        <v>0.46300788356579747</v>
      </c>
      <c r="U766" s="4">
        <v>71</v>
      </c>
      <c r="V766" s="4">
        <v>-9.2858762208303386E-2</v>
      </c>
      <c r="W766" s="4">
        <v>76.513256023287425</v>
      </c>
      <c r="X766" s="4">
        <v>-6.6132560232874198</v>
      </c>
      <c r="Y766" s="4">
        <v>-1.0560487718537035</v>
      </c>
    </row>
    <row r="767" spans="11:25" x14ac:dyDescent="0.25">
      <c r="K767" s="3"/>
      <c r="L767" s="8">
        <v>36.299999999999997</v>
      </c>
      <c r="M767" s="4"/>
      <c r="N767" s="4"/>
      <c r="O767" s="4"/>
      <c r="P767" s="4"/>
      <c r="S767" s="3">
        <v>765</v>
      </c>
      <c r="T767" s="8">
        <v>0.46361431170406309</v>
      </c>
      <c r="U767" s="4">
        <v>71</v>
      </c>
      <c r="V767" s="4">
        <v>-9.1332212074037564E-2</v>
      </c>
      <c r="W767" s="4">
        <v>76.217351867513869</v>
      </c>
      <c r="X767" s="4">
        <v>-6.7173518675138695</v>
      </c>
      <c r="Y767" s="4">
        <v>-1.0726714896289289</v>
      </c>
    </row>
    <row r="768" spans="11:25" x14ac:dyDescent="0.25">
      <c r="K768" s="3"/>
      <c r="L768" s="8">
        <v>36.299999999999997</v>
      </c>
      <c r="M768" s="4"/>
      <c r="N768" s="4"/>
      <c r="O768" s="4"/>
      <c r="P768" s="4"/>
      <c r="S768" s="3">
        <v>766</v>
      </c>
      <c r="T768" s="8">
        <v>0.4642207398423287</v>
      </c>
      <c r="U768" s="4">
        <v>71</v>
      </c>
      <c r="V768" s="4">
        <v>-8.9805874746731421E-2</v>
      </c>
      <c r="W768" s="4">
        <v>67.044323038533619</v>
      </c>
      <c r="X768" s="4">
        <v>2.055676961466375</v>
      </c>
      <c r="Y768" s="4">
        <v>0.32826418980908834</v>
      </c>
    </row>
    <row r="769" spans="11:25" x14ac:dyDescent="0.25">
      <c r="K769" s="3"/>
      <c r="L769" s="8">
        <v>36.299999999999997</v>
      </c>
      <c r="M769" s="4"/>
      <c r="N769" s="4"/>
      <c r="O769" s="4"/>
      <c r="P769" s="4"/>
      <c r="S769" s="3">
        <v>767</v>
      </c>
      <c r="T769" s="8">
        <v>0.46482716798059431</v>
      </c>
      <c r="U769" s="4">
        <v>71</v>
      </c>
      <c r="V769" s="4">
        <v>-8.8279746612125107E-2</v>
      </c>
      <c r="W769" s="4">
        <v>66.551149445577693</v>
      </c>
      <c r="X769" s="4">
        <v>1.9488505544223074</v>
      </c>
      <c r="Y769" s="4">
        <v>0.31120543757521485</v>
      </c>
    </row>
    <row r="770" spans="11:25" x14ac:dyDescent="0.25">
      <c r="K770" s="3"/>
      <c r="L770" s="8">
        <v>36.299999999999997</v>
      </c>
      <c r="M770" s="4"/>
      <c r="N770" s="4"/>
      <c r="O770" s="4"/>
      <c r="P770" s="4"/>
      <c r="S770" s="3">
        <v>768</v>
      </c>
      <c r="T770" s="8">
        <v>0.46543359611885993</v>
      </c>
      <c r="U770" s="4">
        <v>71</v>
      </c>
      <c r="V770" s="4">
        <v>-8.6753824059393511E-2</v>
      </c>
      <c r="W770" s="4">
        <v>65.959341134030581</v>
      </c>
      <c r="X770" s="4">
        <v>1.8406588659694165</v>
      </c>
      <c r="Y770" s="4">
        <v>0.29392866811201512</v>
      </c>
    </row>
    <row r="771" spans="11:25" x14ac:dyDescent="0.25">
      <c r="K771" s="3"/>
      <c r="L771" s="8">
        <v>36.299999999999997</v>
      </c>
      <c r="M771" s="4"/>
      <c r="N771" s="4"/>
      <c r="O771" s="4"/>
      <c r="P771" s="4"/>
      <c r="S771" s="3">
        <v>769</v>
      </c>
      <c r="T771" s="8">
        <v>0.46604002425712554</v>
      </c>
      <c r="U771" s="4">
        <v>71</v>
      </c>
      <c r="V771" s="4">
        <v>-8.5228103481085074E-2</v>
      </c>
      <c r="W771" s="4">
        <v>66.008658493326166</v>
      </c>
      <c r="X771" s="4">
        <v>1.791341506673831</v>
      </c>
      <c r="Y771" s="4">
        <v>0.2860533436830538</v>
      </c>
    </row>
    <row r="772" spans="11:25" x14ac:dyDescent="0.25">
      <c r="K772" s="3"/>
      <c r="L772" s="8">
        <v>36.299999999999997</v>
      </c>
      <c r="M772" s="4"/>
      <c r="N772" s="4"/>
      <c r="O772" s="4"/>
      <c r="P772" s="4"/>
      <c r="S772" s="3">
        <v>770</v>
      </c>
      <c r="T772" s="8">
        <v>0.46664645239539115</v>
      </c>
      <c r="U772" s="4">
        <v>71</v>
      </c>
      <c r="V772" s="4">
        <v>-8.3702581273061044E-2</v>
      </c>
      <c r="W772" s="4">
        <v>64.874359229527542</v>
      </c>
      <c r="X772" s="4">
        <v>1.7256407704724523</v>
      </c>
      <c r="Y772" s="4">
        <v>0.27556181250219081</v>
      </c>
    </row>
    <row r="773" spans="11:25" x14ac:dyDescent="0.25">
      <c r="K773" s="3"/>
      <c r="L773" s="8">
        <v>36.299999999999997</v>
      </c>
      <c r="M773" s="4"/>
      <c r="N773" s="4"/>
      <c r="O773" s="4"/>
      <c r="P773" s="4"/>
      <c r="S773" s="3">
        <v>771</v>
      </c>
      <c r="T773" s="8">
        <v>0.46725288053365677</v>
      </c>
      <c r="U773" s="4">
        <v>71</v>
      </c>
      <c r="V773" s="4">
        <v>-8.2177253834434846E-2</v>
      </c>
      <c r="W773" s="4">
        <v>63.394838450659755</v>
      </c>
      <c r="X773" s="4">
        <v>1.9051615493402423</v>
      </c>
      <c r="Y773" s="4">
        <v>0.30422888623681832</v>
      </c>
    </row>
    <row r="774" spans="11:25" x14ac:dyDescent="0.25">
      <c r="K774" s="3"/>
      <c r="L774" s="8">
        <v>89</v>
      </c>
      <c r="M774" s="4"/>
      <c r="N774" s="4"/>
      <c r="O774" s="4"/>
      <c r="P774" s="4"/>
      <c r="S774" s="3">
        <v>772</v>
      </c>
      <c r="T774" s="8">
        <v>0.46785930867192238</v>
      </c>
      <c r="U774" s="4">
        <v>71</v>
      </c>
      <c r="V774" s="4">
        <v>-8.0652117567511422E-2</v>
      </c>
      <c r="W774" s="4">
        <v>63.049616935590606</v>
      </c>
      <c r="X774" s="4">
        <v>1.9503830644093938</v>
      </c>
      <c r="Y774" s="4">
        <v>0.31145015897780648</v>
      </c>
    </row>
    <row r="775" spans="11:25" x14ac:dyDescent="0.25">
      <c r="K775" s="3"/>
      <c r="L775" s="8">
        <v>89</v>
      </c>
      <c r="M775" s="4"/>
      <c r="N775" s="4"/>
      <c r="O775" s="4"/>
      <c r="P775" s="4"/>
      <c r="S775" s="3">
        <v>773</v>
      </c>
      <c r="T775" s="8">
        <v>0.46846573681018799</v>
      </c>
      <c r="U775" s="4">
        <v>71</v>
      </c>
      <c r="V775" s="4">
        <v>-7.9127168877726861E-2</v>
      </c>
      <c r="W775" s="4">
        <v>63.098934294886199</v>
      </c>
      <c r="X775" s="4">
        <v>1.5010657051137954</v>
      </c>
      <c r="Y775" s="4">
        <v>0.23970017019984388</v>
      </c>
    </row>
    <row r="776" spans="11:25" x14ac:dyDescent="0.25">
      <c r="K776" s="3"/>
      <c r="L776" s="8">
        <v>89</v>
      </c>
      <c r="M776" s="4"/>
      <c r="N776" s="4"/>
      <c r="O776" s="4"/>
      <c r="P776" s="4"/>
      <c r="S776" s="3">
        <v>774</v>
      </c>
      <c r="T776" s="8">
        <v>0.46907216494845361</v>
      </c>
      <c r="U776" s="4">
        <v>71</v>
      </c>
      <c r="V776" s="4">
        <v>-7.7602404173588102E-2</v>
      </c>
      <c r="W776" s="4">
        <v>63.444155809955348</v>
      </c>
      <c r="X776" s="4">
        <v>1.2558441900446553</v>
      </c>
      <c r="Y776" s="4">
        <v>0.2005415652843579</v>
      </c>
    </row>
    <row r="777" spans="11:25" x14ac:dyDescent="0.25">
      <c r="K777" s="3"/>
      <c r="L777" s="8">
        <v>89</v>
      </c>
      <c r="M777" s="4"/>
      <c r="N777" s="4"/>
      <c r="O777" s="4"/>
      <c r="P777" s="4"/>
      <c r="S777" s="3">
        <v>775</v>
      </c>
      <c r="T777" s="8">
        <v>0.46967859308671922</v>
      </c>
      <c r="U777" s="4">
        <v>71.099999999999994</v>
      </c>
      <c r="V777" s="4">
        <v>-7.6077819866612759E-2</v>
      </c>
      <c r="W777" s="4">
        <v>63.690742606433311</v>
      </c>
      <c r="X777" s="4">
        <v>0.70925739356669482</v>
      </c>
      <c r="Y777" s="4">
        <v>0.1132589448777967</v>
      </c>
    </row>
    <row r="778" spans="11:25" x14ac:dyDescent="0.25">
      <c r="K778" s="3"/>
      <c r="L778" s="8">
        <v>89</v>
      </c>
      <c r="M778" s="4"/>
      <c r="N778" s="4"/>
      <c r="O778" s="4"/>
      <c r="P778" s="4"/>
      <c r="S778" s="3">
        <v>776</v>
      </c>
      <c r="T778" s="8">
        <v>0.47028502122498483</v>
      </c>
      <c r="U778" s="4">
        <v>71.099999999999994</v>
      </c>
      <c r="V778" s="4">
        <v>-7.4553412371269168E-2</v>
      </c>
      <c r="W778" s="4">
        <v>63.986646762206867</v>
      </c>
      <c r="X778" s="4">
        <v>0.71335323779313597</v>
      </c>
      <c r="Y778" s="4">
        <v>0.11391299656577099</v>
      </c>
    </row>
    <row r="779" spans="11:25" x14ac:dyDescent="0.25">
      <c r="K779" s="3"/>
      <c r="L779" s="8">
        <v>89</v>
      </c>
      <c r="M779" s="4"/>
      <c r="N779" s="4"/>
      <c r="O779" s="4"/>
      <c r="P779" s="4"/>
      <c r="S779" s="3">
        <v>777</v>
      </c>
      <c r="T779" s="8">
        <v>0.47089144936325045</v>
      </c>
      <c r="U779" s="4">
        <v>71.099999999999994</v>
      </c>
      <c r="V779" s="4">
        <v>-7.3029178104916354E-2</v>
      </c>
      <c r="W779" s="4">
        <v>63.592107887842126</v>
      </c>
      <c r="X779" s="4">
        <v>0.80789211215788015</v>
      </c>
      <c r="Y779" s="4">
        <v>0.1290095937357216</v>
      </c>
    </row>
    <row r="780" spans="11:25" x14ac:dyDescent="0.25">
      <c r="K780" s="3"/>
      <c r="L780" s="8">
        <v>89</v>
      </c>
      <c r="M780" s="4"/>
      <c r="N780" s="4"/>
      <c r="O780" s="4"/>
      <c r="P780" s="4"/>
      <c r="S780" s="3">
        <v>778</v>
      </c>
      <c r="T780" s="8">
        <v>0.47149787750151606</v>
      </c>
      <c r="U780" s="4">
        <v>71.099999999999994</v>
      </c>
      <c r="V780" s="4">
        <v>-7.1505113487744437E-2</v>
      </c>
      <c r="W780" s="4">
        <v>63.197569013477384</v>
      </c>
      <c r="X780" s="4">
        <v>0.70243098652261438</v>
      </c>
      <c r="Y780" s="4">
        <v>0.112168858731171</v>
      </c>
    </row>
    <row r="781" spans="11:25" x14ac:dyDescent="0.25">
      <c r="K781" s="3"/>
      <c r="L781" s="8">
        <v>89</v>
      </c>
      <c r="M781" s="4"/>
      <c r="N781" s="4"/>
      <c r="O781" s="4"/>
      <c r="P781" s="4"/>
      <c r="S781" s="3">
        <v>779</v>
      </c>
      <c r="T781" s="8">
        <v>0.47210430563978167</v>
      </c>
      <c r="U781" s="4">
        <v>71.099999999999994</v>
      </c>
      <c r="V781" s="4">
        <v>-6.9981214942714712E-2</v>
      </c>
      <c r="W781" s="4">
        <v>65.022311307414313</v>
      </c>
      <c r="X781" s="4">
        <v>-2.1223113074143143</v>
      </c>
      <c r="Y781" s="4">
        <v>-0.33890480601293765</v>
      </c>
    </row>
    <row r="782" spans="11:25" x14ac:dyDescent="0.25">
      <c r="K782" s="3"/>
      <c r="L782" s="8">
        <v>89</v>
      </c>
      <c r="M782" s="4"/>
      <c r="N782" s="4"/>
      <c r="O782" s="4"/>
      <c r="P782" s="4"/>
      <c r="S782" s="3">
        <v>780</v>
      </c>
      <c r="T782" s="8">
        <v>0.47271073377804729</v>
      </c>
      <c r="U782" s="4">
        <v>71.099999999999994</v>
      </c>
      <c r="V782" s="4">
        <v>-6.8457478895500398E-2</v>
      </c>
      <c r="W782" s="4">
        <v>64.874359229527542</v>
      </c>
      <c r="X782" s="4">
        <v>-2.2743592295275405</v>
      </c>
      <c r="Y782" s="4">
        <v>-0.36318483098780041</v>
      </c>
    </row>
    <row r="783" spans="11:25" x14ac:dyDescent="0.25">
      <c r="K783" s="3"/>
      <c r="L783" s="8">
        <v>89</v>
      </c>
      <c r="M783" s="4"/>
      <c r="N783" s="4"/>
      <c r="O783" s="4"/>
      <c r="P783" s="4"/>
      <c r="S783" s="3">
        <v>781</v>
      </c>
      <c r="T783" s="8">
        <v>0.4733171619163129</v>
      </c>
      <c r="U783" s="4">
        <v>71.099999999999994</v>
      </c>
      <c r="V783" s="4">
        <v>-6.6933901774426999E-2</v>
      </c>
      <c r="W783" s="4">
        <v>64.627772433049572</v>
      </c>
      <c r="X783" s="4">
        <v>-2.5277724330495701</v>
      </c>
      <c r="Y783" s="4">
        <v>-0.40365153927923608</v>
      </c>
    </row>
    <row r="784" spans="11:25" x14ac:dyDescent="0.25">
      <c r="K784" s="3"/>
      <c r="L784" s="8">
        <v>89</v>
      </c>
      <c r="M784" s="4"/>
      <c r="N784" s="4"/>
      <c r="O784" s="4"/>
      <c r="P784" s="4"/>
      <c r="S784" s="3">
        <v>782</v>
      </c>
      <c r="T784" s="8">
        <v>0.47392359005457851</v>
      </c>
      <c r="U784" s="4">
        <v>71.099999999999994</v>
      </c>
      <c r="V784" s="4">
        <v>-6.5410480010413122E-2</v>
      </c>
      <c r="W784" s="4">
        <v>63.888012043615682</v>
      </c>
      <c r="X784" s="4">
        <v>-2.6880120436156787</v>
      </c>
      <c r="Y784" s="4">
        <v>-0.42923966763004745</v>
      </c>
    </row>
    <row r="785" spans="11:25" x14ac:dyDescent="0.25">
      <c r="K785" s="3"/>
      <c r="L785" s="8">
        <v>89</v>
      </c>
      <c r="M785" s="4"/>
      <c r="N785" s="4"/>
      <c r="O785" s="4"/>
      <c r="P785" s="4"/>
      <c r="S785" s="3">
        <v>783</v>
      </c>
      <c r="T785" s="8">
        <v>0.47453001819284413</v>
      </c>
      <c r="U785" s="4">
        <v>71.2</v>
      </c>
      <c r="V785" s="4">
        <v>-6.3887210036911155E-2</v>
      </c>
      <c r="W785" s="4">
        <v>63.098934294886199</v>
      </c>
      <c r="X785" s="4">
        <v>-9.893429488619887E-2</v>
      </c>
      <c r="Y785" s="4">
        <v>-1.579848719615216E-2</v>
      </c>
    </row>
    <row r="786" spans="11:25" x14ac:dyDescent="0.25">
      <c r="K786" s="3"/>
      <c r="L786" s="8">
        <v>89</v>
      </c>
      <c r="M786" s="4"/>
      <c r="N786" s="4"/>
      <c r="O786" s="4"/>
      <c r="P786" s="4"/>
      <c r="S786" s="3">
        <v>784</v>
      </c>
      <c r="T786" s="8">
        <v>0.47513644633110974</v>
      </c>
      <c r="U786" s="4">
        <v>71.2</v>
      </c>
      <c r="V786" s="4">
        <v>-6.2364088289848282E-2</v>
      </c>
      <c r="W786" s="4">
        <v>61.964635031087568</v>
      </c>
      <c r="X786" s="4">
        <v>-2.8646350310875661</v>
      </c>
      <c r="Y786" s="4">
        <v>-0.4574440027327582</v>
      </c>
    </row>
    <row r="787" spans="11:25" x14ac:dyDescent="0.25">
      <c r="K787" s="3"/>
      <c r="L787" s="8">
        <v>89</v>
      </c>
      <c r="M787" s="4"/>
      <c r="N787" s="4"/>
      <c r="O787" s="4"/>
      <c r="P787" s="4"/>
      <c r="S787" s="3">
        <v>785</v>
      </c>
      <c r="T787" s="8">
        <v>0.47574287446937535</v>
      </c>
      <c r="U787" s="4">
        <v>71.2</v>
      </c>
      <c r="V787" s="4">
        <v>-6.0841111207567453E-2</v>
      </c>
      <c r="W787" s="4">
        <v>60.879653126584529</v>
      </c>
      <c r="X787" s="4">
        <v>-2.9796531265845303</v>
      </c>
      <c r="Y787" s="4">
        <v>-0.47581085834258252</v>
      </c>
    </row>
    <row r="788" spans="11:25" x14ac:dyDescent="0.25">
      <c r="K788" s="3"/>
      <c r="L788" s="8">
        <v>89</v>
      </c>
      <c r="M788" s="4"/>
      <c r="N788" s="4"/>
      <c r="O788" s="4"/>
      <c r="P788" s="4"/>
      <c r="S788" s="3">
        <v>786</v>
      </c>
      <c r="T788" s="8">
        <v>0.47634930260764097</v>
      </c>
      <c r="U788" s="4">
        <v>71.2</v>
      </c>
      <c r="V788" s="4">
        <v>-5.9318275230768477E-2</v>
      </c>
      <c r="W788" s="4">
        <v>60.041258018559446</v>
      </c>
      <c r="X788" s="4">
        <v>-3.2412580185594493</v>
      </c>
      <c r="Y788" s="4">
        <v>-0.51758567000996791</v>
      </c>
    </row>
    <row r="789" spans="11:25" x14ac:dyDescent="0.25">
      <c r="K789" s="3"/>
      <c r="L789" s="8">
        <v>36.299999999999997</v>
      </c>
      <c r="M789" s="4"/>
      <c r="N789" s="4"/>
      <c r="O789" s="4"/>
      <c r="P789" s="4"/>
      <c r="S789" s="3">
        <v>787</v>
      </c>
      <c r="T789" s="8">
        <v>0.47695573074590664</v>
      </c>
      <c r="U789" s="4">
        <v>71.2</v>
      </c>
      <c r="V789" s="4">
        <v>-5.7795576802449108E-2</v>
      </c>
      <c r="W789" s="4">
        <v>58.463102521100481</v>
      </c>
      <c r="X789" s="4">
        <v>-3.163102521100484</v>
      </c>
      <c r="Y789" s="4">
        <v>-0.50510527959191676</v>
      </c>
    </row>
    <row r="790" spans="11:25" x14ac:dyDescent="0.25">
      <c r="K790" s="3"/>
      <c r="L790" s="8">
        <v>89</v>
      </c>
      <c r="M790" s="4"/>
      <c r="N790" s="4"/>
      <c r="O790" s="4"/>
      <c r="P790" s="4"/>
      <c r="S790" s="3">
        <v>788</v>
      </c>
      <c r="T790" s="8">
        <v>0.47756215888417225</v>
      </c>
      <c r="U790" s="4">
        <v>71.2</v>
      </c>
      <c r="V790" s="4">
        <v>-5.627301236784691E-2</v>
      </c>
      <c r="W790" s="4">
        <v>57.279485898006257</v>
      </c>
      <c r="X790" s="4">
        <v>-3.1794858980062557</v>
      </c>
      <c r="Y790" s="4">
        <v>-0.50772148634381498</v>
      </c>
    </row>
    <row r="791" spans="11:25" x14ac:dyDescent="0.25">
      <c r="K791" s="3"/>
      <c r="L791" s="8">
        <v>89</v>
      </c>
      <c r="M791" s="4"/>
      <c r="N791" s="4"/>
      <c r="O791" s="4"/>
      <c r="P791" s="4"/>
      <c r="S791" s="3">
        <v>789</v>
      </c>
      <c r="T791" s="8">
        <v>0.47816858702243786</v>
      </c>
      <c r="U791" s="4">
        <v>71.2</v>
      </c>
      <c r="V791" s="4">
        <v>-5.4750578374379841E-2</v>
      </c>
      <c r="W791" s="4">
        <v>56.293138712094404</v>
      </c>
      <c r="X791" s="4">
        <v>-3.2931387120944038</v>
      </c>
      <c r="Y791" s="4">
        <v>-0.52587032472431416</v>
      </c>
    </row>
    <row r="792" spans="11:25" x14ac:dyDescent="0.25">
      <c r="K792" s="3"/>
      <c r="L792" s="8">
        <v>89</v>
      </c>
      <c r="M792" s="4"/>
      <c r="N792" s="4"/>
      <c r="O792" s="4"/>
      <c r="P792" s="4"/>
      <c r="S792" s="3">
        <v>790</v>
      </c>
      <c r="T792" s="8">
        <v>0.47877501516070348</v>
      </c>
      <c r="U792" s="4">
        <v>71.2</v>
      </c>
      <c r="V792" s="4">
        <v>-5.3228271271588294E-2</v>
      </c>
      <c r="W792" s="4">
        <v>56.046551915616433</v>
      </c>
      <c r="X792" s="4">
        <v>-3.6465519156164348</v>
      </c>
      <c r="Y792" s="4">
        <v>-0.5823056991029999</v>
      </c>
    </row>
    <row r="793" spans="11:25" x14ac:dyDescent="0.25">
      <c r="K793" s="3"/>
      <c r="L793" s="8">
        <v>89</v>
      </c>
      <c r="M793" s="4"/>
      <c r="N793" s="4"/>
      <c r="O793" s="4"/>
      <c r="P793" s="4"/>
      <c r="S793" s="3">
        <v>791</v>
      </c>
      <c r="T793" s="8">
        <v>0.47938144329896909</v>
      </c>
      <c r="U793" s="4">
        <v>71.3</v>
      </c>
      <c r="V793" s="4">
        <v>-5.1706087511076533E-2</v>
      </c>
      <c r="W793" s="4">
        <v>56.046551915616433</v>
      </c>
      <c r="X793" s="4">
        <v>-3.9465519156164319</v>
      </c>
      <c r="Y793" s="4">
        <v>-0.63021169736474891</v>
      </c>
    </row>
    <row r="794" spans="11:25" x14ac:dyDescent="0.25">
      <c r="K794" s="3"/>
      <c r="L794" s="8">
        <v>89</v>
      </c>
      <c r="M794" s="4"/>
      <c r="N794" s="4"/>
      <c r="O794" s="4"/>
      <c r="P794" s="4"/>
      <c r="S794" s="3">
        <v>792</v>
      </c>
      <c r="T794" s="8">
        <v>0.4799878714372347</v>
      </c>
      <c r="U794" s="4">
        <v>71.3</v>
      </c>
      <c r="V794" s="4">
        <v>-5.0184023546454397E-2</v>
      </c>
      <c r="W794" s="4">
        <v>77.499603209199279</v>
      </c>
      <c r="X794" s="4">
        <v>-11.399603209199284</v>
      </c>
      <c r="Y794" s="4">
        <v>-1.8203645717484471</v>
      </c>
    </row>
    <row r="795" spans="11:25" x14ac:dyDescent="0.25">
      <c r="K795" s="3"/>
      <c r="L795" s="8">
        <v>89</v>
      </c>
      <c r="M795" s="4"/>
      <c r="N795" s="4"/>
      <c r="O795" s="4"/>
      <c r="P795" s="4"/>
      <c r="S795" s="3">
        <v>793</v>
      </c>
      <c r="T795" s="8">
        <v>0.48059429957550032</v>
      </c>
      <c r="U795" s="4">
        <v>71.3</v>
      </c>
      <c r="V795" s="4">
        <v>-4.8662075833279042E-2</v>
      </c>
      <c r="W795" s="4">
        <v>76.513256023287425</v>
      </c>
      <c r="X795" s="4">
        <v>-10.713256023287428</v>
      </c>
      <c r="Y795" s="4">
        <v>-1.710764081430947</v>
      </c>
    </row>
    <row r="796" spans="11:25" x14ac:dyDescent="0.25">
      <c r="K796" s="3"/>
      <c r="L796" s="8">
        <v>89</v>
      </c>
      <c r="M796" s="4"/>
      <c r="N796" s="4"/>
      <c r="O796" s="4"/>
      <c r="P796" s="4"/>
      <c r="S796" s="3">
        <v>794</v>
      </c>
      <c r="T796" s="8">
        <v>0.48120072771376593</v>
      </c>
      <c r="U796" s="4">
        <v>71.400000000000006</v>
      </c>
      <c r="V796" s="4">
        <v>-4.7140240828996725E-2</v>
      </c>
      <c r="W796" s="4">
        <v>76.41462130469624</v>
      </c>
      <c r="X796" s="4">
        <v>-10.714621304696237</v>
      </c>
      <c r="Y796" s="4">
        <v>-1.7109820986602711</v>
      </c>
    </row>
    <row r="797" spans="11:25" x14ac:dyDescent="0.25">
      <c r="K797" s="3"/>
      <c r="L797" s="8">
        <v>89</v>
      </c>
      <c r="M797" s="4"/>
      <c r="N797" s="4"/>
      <c r="O797" s="4"/>
      <c r="P797" s="4"/>
      <c r="S797" s="3">
        <v>795</v>
      </c>
      <c r="T797" s="8">
        <v>0.48180715585203154</v>
      </c>
      <c r="U797" s="4">
        <v>71.400000000000006</v>
      </c>
      <c r="V797" s="4">
        <v>-4.5618514992884864E-2</v>
      </c>
      <c r="W797" s="4">
        <v>76.315986586105055</v>
      </c>
      <c r="X797" s="4">
        <v>-10.815986586105055</v>
      </c>
      <c r="Y797" s="4">
        <v>-1.7271687819768462</v>
      </c>
    </row>
    <row r="798" spans="11:25" x14ac:dyDescent="0.25">
      <c r="K798" s="3"/>
      <c r="L798" s="8">
        <v>89</v>
      </c>
      <c r="M798" s="4"/>
      <c r="N798" s="4"/>
      <c r="O798" s="4"/>
      <c r="P798" s="4"/>
      <c r="S798" s="3">
        <v>796</v>
      </c>
      <c r="T798" s="8">
        <v>0.48241358399029716</v>
      </c>
      <c r="U798" s="4">
        <v>71.400000000000006</v>
      </c>
      <c r="V798" s="4">
        <v>-4.4096894785993872E-2</v>
      </c>
      <c r="W798" s="4">
        <v>76.266669226809455</v>
      </c>
      <c r="X798" s="4">
        <v>-10.966669226809458</v>
      </c>
      <c r="Y798" s="4">
        <v>-1.7512307897223827</v>
      </c>
    </row>
    <row r="799" spans="11:25" x14ac:dyDescent="0.25">
      <c r="K799" s="3"/>
      <c r="L799" s="8">
        <v>89</v>
      </c>
      <c r="M799" s="4"/>
      <c r="N799" s="4"/>
      <c r="O799" s="4"/>
      <c r="P799" s="4"/>
      <c r="S799" s="3">
        <v>797</v>
      </c>
      <c r="T799" s="8">
        <v>0.48302001212856277</v>
      </c>
      <c r="U799" s="4">
        <v>71.400000000000006</v>
      </c>
      <c r="V799" s="4">
        <v>-4.2575376671089377E-2</v>
      </c>
      <c r="W799" s="4">
        <v>76.217351867513869</v>
      </c>
      <c r="X799" s="4">
        <v>-11.017351867513867</v>
      </c>
      <c r="Y799" s="4">
        <v>-1.7593241313806702</v>
      </c>
    </row>
    <row r="800" spans="11:25" x14ac:dyDescent="0.25">
      <c r="K800" s="3"/>
      <c r="L800" s="8">
        <v>89</v>
      </c>
      <c r="M800" s="4"/>
      <c r="N800" s="4"/>
      <c r="O800" s="4"/>
      <c r="P800" s="4"/>
      <c r="S800" s="3">
        <v>798</v>
      </c>
      <c r="T800" s="8">
        <v>0.48362644026682838</v>
      </c>
      <c r="U800" s="4">
        <v>71.400000000000006</v>
      </c>
      <c r="V800" s="4">
        <v>-4.1053957112594228E-2</v>
      </c>
      <c r="W800" s="4">
        <v>76.562573382583011</v>
      </c>
      <c r="X800" s="4">
        <v>-11.462573382583017</v>
      </c>
      <c r="Y800" s="4">
        <v>-1.8304200684706575</v>
      </c>
    </row>
    <row r="801" spans="11:25" x14ac:dyDescent="0.25">
      <c r="K801" s="3"/>
      <c r="L801" s="8">
        <v>89</v>
      </c>
      <c r="M801" s="4"/>
      <c r="N801" s="4"/>
      <c r="O801" s="4"/>
      <c r="P801" s="4"/>
      <c r="S801" s="3">
        <v>799</v>
      </c>
      <c r="T801" s="8">
        <v>0.484232868405094</v>
      </c>
      <c r="U801" s="4">
        <v>71.400000000000006</v>
      </c>
      <c r="V801" s="4">
        <v>-3.9532632576530842E-2</v>
      </c>
      <c r="W801" s="4">
        <v>67.19227511642039</v>
      </c>
      <c r="X801" s="4">
        <v>-2.1922751164203902</v>
      </c>
      <c r="Y801" s="4">
        <v>-0.35007709305503909</v>
      </c>
    </row>
    <row r="802" spans="11:25" x14ac:dyDescent="0.25">
      <c r="K802" s="3"/>
      <c r="L802" s="8">
        <v>89</v>
      </c>
      <c r="M802" s="4"/>
      <c r="N802" s="4"/>
      <c r="O802" s="4"/>
      <c r="P802" s="4"/>
      <c r="S802" s="3">
        <v>800</v>
      </c>
      <c r="T802" s="8">
        <v>0.48483929654335961</v>
      </c>
      <c r="U802" s="4">
        <v>71.400000000000006</v>
      </c>
      <c r="V802" s="4">
        <v>-3.8011399530463369E-2</v>
      </c>
      <c r="W802" s="4">
        <v>67.142957757124805</v>
      </c>
      <c r="X802" s="4">
        <v>-2.1429577571248046</v>
      </c>
      <c r="Y802" s="4">
        <v>-0.34220176862607782</v>
      </c>
    </row>
    <row r="803" spans="11:25" x14ac:dyDescent="0.25">
      <c r="K803" s="3"/>
      <c r="L803" s="8">
        <v>89</v>
      </c>
      <c r="M803" s="4"/>
      <c r="N803" s="4"/>
      <c r="O803" s="4"/>
      <c r="P803" s="4"/>
      <c r="S803" s="3">
        <v>801</v>
      </c>
      <c r="T803" s="8">
        <v>0.48544572468162522</v>
      </c>
      <c r="U803" s="4">
        <v>71.400000000000006</v>
      </c>
      <c r="V803" s="4">
        <v>-3.6490254443440125E-2</v>
      </c>
      <c r="W803" s="4">
        <v>67.093640397829205</v>
      </c>
      <c r="X803" s="4">
        <v>-2.1936403978291992</v>
      </c>
      <c r="Y803" s="4">
        <v>-0.35029511028436311</v>
      </c>
    </row>
    <row r="804" spans="11:25" x14ac:dyDescent="0.25">
      <c r="K804" s="3"/>
      <c r="L804" s="8">
        <v>89</v>
      </c>
      <c r="M804" s="4"/>
      <c r="N804" s="4"/>
      <c r="O804" s="4"/>
      <c r="P804" s="4"/>
      <c r="S804" s="3">
        <v>802</v>
      </c>
      <c r="T804" s="8">
        <v>0.48605215281989084</v>
      </c>
      <c r="U804" s="4">
        <v>71.400000000000006</v>
      </c>
      <c r="V804" s="4">
        <v>-3.4969193785935965E-2</v>
      </c>
      <c r="W804" s="4">
        <v>67.044323038533619</v>
      </c>
      <c r="X804" s="4">
        <v>-2.2443230385336221</v>
      </c>
      <c r="Y804" s="4">
        <v>-0.35838845194265295</v>
      </c>
    </row>
    <row r="805" spans="11:25" x14ac:dyDescent="0.25">
      <c r="K805" s="3"/>
      <c r="L805" s="8">
        <v>36.299999999999997</v>
      </c>
      <c r="M805" s="4"/>
      <c r="N805" s="4"/>
      <c r="O805" s="4"/>
      <c r="P805" s="4"/>
      <c r="S805" s="3">
        <v>803</v>
      </c>
      <c r="T805" s="8">
        <v>0.48665858095815645</v>
      </c>
      <c r="U805" s="4">
        <v>71.400000000000006</v>
      </c>
      <c r="V805" s="4">
        <v>-3.344821402979474E-2</v>
      </c>
      <c r="W805" s="4">
        <v>66.99500567923802</v>
      </c>
      <c r="X805" s="4">
        <v>-2.2950056792380167</v>
      </c>
      <c r="Y805" s="4">
        <v>-0.3664817936009383</v>
      </c>
    </row>
    <row r="806" spans="11:25" x14ac:dyDescent="0.25">
      <c r="K806" s="3"/>
      <c r="L806" s="8">
        <v>36.299999999999997</v>
      </c>
      <c r="M806" s="4"/>
      <c r="N806" s="4"/>
      <c r="O806" s="4"/>
      <c r="P806" s="4"/>
      <c r="S806" s="3">
        <v>804</v>
      </c>
      <c r="T806" s="8">
        <v>0.48726500909642206</v>
      </c>
      <c r="U806" s="4">
        <v>71.400000000000006</v>
      </c>
      <c r="V806" s="4">
        <v>-3.1927311648171836E-2</v>
      </c>
      <c r="W806" s="4">
        <v>66.896370960646834</v>
      </c>
      <c r="X806" s="4">
        <v>-2.2963709606468399</v>
      </c>
      <c r="Y806" s="4">
        <v>-0.36669981083026459</v>
      </c>
    </row>
    <row r="807" spans="11:25" x14ac:dyDescent="0.25">
      <c r="K807" s="3"/>
      <c r="L807" s="8">
        <v>36.299999999999997</v>
      </c>
      <c r="M807" s="4"/>
      <c r="N807" s="4"/>
      <c r="O807" s="4"/>
      <c r="P807" s="4"/>
      <c r="S807" s="3">
        <v>805</v>
      </c>
      <c r="T807" s="8">
        <v>0.48787143723468768</v>
      </c>
      <c r="U807" s="4">
        <v>71.400000000000006</v>
      </c>
      <c r="V807" s="4">
        <v>-3.0406483115476793E-2</v>
      </c>
      <c r="W807" s="4">
        <v>66.797736242055649</v>
      </c>
      <c r="X807" s="4">
        <v>-2.4977362420556517</v>
      </c>
      <c r="Y807" s="4">
        <v>-0.39885516023408862</v>
      </c>
    </row>
    <row r="808" spans="11:25" x14ac:dyDescent="0.25">
      <c r="K808" s="3"/>
      <c r="L808" s="8">
        <v>36.299999999999997</v>
      </c>
      <c r="M808" s="4"/>
      <c r="N808" s="4"/>
      <c r="O808" s="4"/>
      <c r="P808" s="4"/>
      <c r="S808" s="3">
        <v>806</v>
      </c>
      <c r="T808" s="8">
        <v>0.48847786537295329</v>
      </c>
      <c r="U808" s="4">
        <v>71.400000000000006</v>
      </c>
      <c r="V808" s="4">
        <v>-2.888572490731588E-2</v>
      </c>
      <c r="W808" s="4">
        <v>66.649784164168878</v>
      </c>
      <c r="X808" s="4">
        <v>-2.5497841641688836</v>
      </c>
      <c r="Y808" s="4">
        <v>-0.40716651912170254</v>
      </c>
    </row>
    <row r="809" spans="11:25" x14ac:dyDescent="0.25">
      <c r="K809" s="3"/>
      <c r="L809" s="8">
        <v>36.299999999999997</v>
      </c>
      <c r="M809" s="4"/>
      <c r="N809" s="4"/>
      <c r="O809" s="4"/>
      <c r="P809" s="4"/>
      <c r="S809" s="3">
        <v>807</v>
      </c>
      <c r="T809" s="8">
        <v>0.4890842935112189</v>
      </c>
      <c r="U809" s="4">
        <v>71.5</v>
      </c>
      <c r="V809" s="4">
        <v>-2.7365033500434791E-2</v>
      </c>
      <c r="W809" s="4">
        <v>69.904729877677994</v>
      </c>
      <c r="X809" s="4">
        <v>4.4952701223220117</v>
      </c>
      <c r="Y809" s="4">
        <v>0.71783467555350811</v>
      </c>
    </row>
    <row r="810" spans="11:25" x14ac:dyDescent="0.25">
      <c r="K810" s="3"/>
      <c r="L810" s="8">
        <v>36.299999999999997</v>
      </c>
      <c r="M810" s="4"/>
      <c r="N810" s="4"/>
      <c r="O810" s="4"/>
      <c r="P810" s="4"/>
      <c r="S810" s="3">
        <v>808</v>
      </c>
      <c r="T810" s="8">
        <v>0.48969072164948452</v>
      </c>
      <c r="U810" s="4">
        <v>71.5</v>
      </c>
      <c r="V810" s="4">
        <v>-2.5844405372661427E-2</v>
      </c>
      <c r="W810" s="4">
        <v>69.658143081200038</v>
      </c>
      <c r="X810" s="4">
        <v>4.4418569187999566</v>
      </c>
      <c r="Y810" s="4">
        <v>0.70930529943656795</v>
      </c>
    </row>
    <row r="811" spans="11:25" x14ac:dyDescent="0.25">
      <c r="K811" s="3"/>
      <c r="L811" s="8">
        <v>36.299999999999997</v>
      </c>
      <c r="M811" s="4"/>
      <c r="N811" s="4"/>
      <c r="O811" s="4"/>
      <c r="P811" s="4"/>
      <c r="S811" s="3">
        <v>809</v>
      </c>
      <c r="T811" s="8">
        <v>0.49029714978775013</v>
      </c>
      <c r="U811" s="4">
        <v>71.5</v>
      </c>
      <c r="V811" s="4">
        <v>-2.4323837002848629E-2</v>
      </c>
      <c r="W811" s="4">
        <v>69.559508362608852</v>
      </c>
      <c r="X811" s="4">
        <v>4.2404916373911448</v>
      </c>
      <c r="Y811" s="4">
        <v>0.67714995003274392</v>
      </c>
    </row>
    <row r="812" spans="11:25" x14ac:dyDescent="0.25">
      <c r="K812" s="3"/>
      <c r="L812" s="8">
        <v>36.299999999999997</v>
      </c>
      <c r="M812" s="4"/>
      <c r="N812" s="4"/>
      <c r="O812" s="4"/>
      <c r="P812" s="4"/>
      <c r="S812" s="3">
        <v>810</v>
      </c>
      <c r="T812" s="8">
        <v>0.49090357792601574</v>
      </c>
      <c r="U812" s="4">
        <v>71.5</v>
      </c>
      <c r="V812" s="4">
        <v>-2.2803324870816991E-2</v>
      </c>
      <c r="W812" s="4">
        <v>69.263604206835296</v>
      </c>
      <c r="X812" s="4">
        <v>4.3363957931646979</v>
      </c>
      <c r="Y812" s="4">
        <v>0.69246456443201843</v>
      </c>
    </row>
    <row r="813" spans="11:25" x14ac:dyDescent="0.25">
      <c r="K813" s="3"/>
      <c r="L813" s="8">
        <v>36.299999999999997</v>
      </c>
      <c r="M813" s="4"/>
      <c r="N813" s="4"/>
      <c r="O813" s="4"/>
      <c r="P813" s="4"/>
      <c r="S813" s="3">
        <v>811</v>
      </c>
      <c r="T813" s="8">
        <v>0.49151000606428136</v>
      </c>
      <c r="U813" s="4">
        <v>71.599999999999994</v>
      </c>
      <c r="V813" s="4">
        <v>-2.1282865457297767E-2</v>
      </c>
      <c r="W813" s="4">
        <v>76.710525460469796</v>
      </c>
      <c r="X813" s="4">
        <v>-3.910525460469799</v>
      </c>
      <c r="Y813" s="4">
        <v>-0.6244587530393102</v>
      </c>
    </row>
    <row r="814" spans="11:25" x14ac:dyDescent="0.25">
      <c r="K814" s="3"/>
      <c r="L814" s="8">
        <v>36.299999999999997</v>
      </c>
      <c r="M814" s="4"/>
      <c r="N814" s="4"/>
      <c r="O814" s="4"/>
      <c r="P814" s="4"/>
      <c r="S814" s="3">
        <v>812</v>
      </c>
      <c r="T814" s="8">
        <v>0.49211643420254697</v>
      </c>
      <c r="U814" s="4">
        <v>71.599999999999994</v>
      </c>
      <c r="V814" s="4">
        <v>-1.9762455243875744E-2</v>
      </c>
      <c r="W814" s="4">
        <v>68.523843817401399</v>
      </c>
      <c r="X814" s="4">
        <v>4.076156182598595</v>
      </c>
      <c r="Y814" s="4">
        <v>0.65090776999395827</v>
      </c>
    </row>
    <row r="815" spans="11:25" x14ac:dyDescent="0.25">
      <c r="K815" s="3"/>
      <c r="L815" s="8">
        <v>36.299999999999997</v>
      </c>
      <c r="M815" s="4"/>
      <c r="N815" s="4"/>
      <c r="O815" s="4"/>
      <c r="P815" s="4"/>
      <c r="S815" s="3">
        <v>813</v>
      </c>
      <c r="T815" s="8">
        <v>0.49272286234081264</v>
      </c>
      <c r="U815" s="4">
        <v>71.599999999999994</v>
      </c>
      <c r="V815" s="4">
        <v>-1.8242090712932028E-2</v>
      </c>
      <c r="W815" s="4">
        <v>67.784083427967502</v>
      </c>
      <c r="X815" s="4">
        <v>4.1159165720325035</v>
      </c>
      <c r="Y815" s="4">
        <v>0.65725697381764925</v>
      </c>
    </row>
    <row r="816" spans="11:25" x14ac:dyDescent="0.25">
      <c r="K816" s="3"/>
      <c r="L816" s="8">
        <v>36.299999999999997</v>
      </c>
      <c r="M816" s="4"/>
      <c r="N816" s="4"/>
      <c r="O816" s="4"/>
      <c r="P816" s="4"/>
      <c r="S816" s="3">
        <v>814</v>
      </c>
      <c r="T816" s="8">
        <v>0.49332929047907825</v>
      </c>
      <c r="U816" s="4">
        <v>71.599999999999994</v>
      </c>
      <c r="V816" s="4">
        <v>-1.6721768347587589E-2</v>
      </c>
      <c r="W816" s="4">
        <v>66.699101523464464</v>
      </c>
      <c r="X816" s="4">
        <v>11.300898476535536</v>
      </c>
      <c r="Y816" s="4">
        <v>1.8046027425770605</v>
      </c>
    </row>
    <row r="817" spans="11:25" x14ac:dyDescent="0.25">
      <c r="K817" s="3"/>
      <c r="L817" s="8">
        <v>36.299999999999997</v>
      </c>
      <c r="M817" s="4"/>
      <c r="N817" s="4"/>
      <c r="O817" s="4"/>
      <c r="P817" s="4"/>
      <c r="S817" s="3">
        <v>815</v>
      </c>
      <c r="T817" s="8">
        <v>0.49393571861734387</v>
      </c>
      <c r="U817" s="4">
        <v>71.599999999999994</v>
      </c>
      <c r="V817" s="4">
        <v>-1.5201484631645419E-2</v>
      </c>
      <c r="W817" s="4">
        <v>66.304562649099722</v>
      </c>
      <c r="X817" s="4">
        <v>8.6954373509002778</v>
      </c>
      <c r="Y817" s="4">
        <v>1.3885453553912659</v>
      </c>
    </row>
    <row r="818" spans="11:25" x14ac:dyDescent="0.25">
      <c r="K818" s="3"/>
      <c r="L818" s="8">
        <v>36.299999999999997</v>
      </c>
      <c r="M818" s="4"/>
      <c r="N818" s="4"/>
      <c r="O818" s="4"/>
      <c r="P818" s="4"/>
      <c r="S818" s="3">
        <v>816</v>
      </c>
      <c r="T818" s="8">
        <v>0.49454214675560948</v>
      </c>
      <c r="U818" s="4">
        <v>71.599999999999994</v>
      </c>
      <c r="V818" s="4">
        <v>-1.3681236049534144E-2</v>
      </c>
      <c r="W818" s="4">
        <v>66.945688319942434</v>
      </c>
      <c r="X818" s="4">
        <v>9.054311680057566</v>
      </c>
      <c r="Y818" s="4">
        <v>1.4458527986872509</v>
      </c>
    </row>
    <row r="819" spans="11:25" x14ac:dyDescent="0.25">
      <c r="K819" s="3"/>
      <c r="L819" s="8">
        <v>36.299999999999997</v>
      </c>
      <c r="M819" s="4"/>
      <c r="N819" s="4"/>
      <c r="O819" s="4"/>
      <c r="P819" s="4"/>
      <c r="S819" s="3">
        <v>817</v>
      </c>
      <c r="T819" s="8">
        <v>0.49514857489387509</v>
      </c>
      <c r="U819" s="4">
        <v>71.599999999999994</v>
      </c>
      <c r="V819" s="4">
        <v>-1.216101908625088E-2</v>
      </c>
      <c r="W819" s="4">
        <v>76.315986586105055</v>
      </c>
      <c r="X819" s="4">
        <v>-5.3159865861050548</v>
      </c>
      <c r="Y819" s="4">
        <v>-0.84889214717810679</v>
      </c>
    </row>
    <row r="820" spans="11:25" x14ac:dyDescent="0.25">
      <c r="K820" s="3"/>
      <c r="L820" s="8">
        <v>36.299999999999997</v>
      </c>
      <c r="M820" s="4"/>
      <c r="N820" s="4"/>
      <c r="O820" s="4"/>
      <c r="P820" s="4"/>
      <c r="S820" s="3">
        <v>818</v>
      </c>
      <c r="T820" s="8">
        <v>0.49575500303214071</v>
      </c>
      <c r="U820" s="4">
        <v>71.599999999999994</v>
      </c>
      <c r="V820" s="4">
        <v>-1.0640830227304372E-2</v>
      </c>
      <c r="W820" s="4">
        <v>76.16803450821827</v>
      </c>
      <c r="X820" s="4">
        <v>1.8319654917817303</v>
      </c>
      <c r="Y820" s="4">
        <v>0.29254045221626834</v>
      </c>
    </row>
    <row r="821" spans="11:25" x14ac:dyDescent="0.25">
      <c r="K821" s="3"/>
      <c r="L821" s="8">
        <v>36.299999999999997</v>
      </c>
      <c r="M821" s="4"/>
      <c r="N821" s="4"/>
      <c r="O821" s="4"/>
      <c r="P821" s="4"/>
      <c r="S821" s="3">
        <v>819</v>
      </c>
      <c r="T821" s="8">
        <v>0.49636143117040632</v>
      </c>
      <c r="U821" s="4">
        <v>71.599999999999994</v>
      </c>
      <c r="V821" s="4">
        <v>-9.1206659586580661E-3</v>
      </c>
      <c r="W821" s="4">
        <v>66.797736242055649</v>
      </c>
      <c r="X821" s="4">
        <v>6.2022637579443511</v>
      </c>
      <c r="Y821" s="4">
        <v>0.99041878935664518</v>
      </c>
    </row>
    <row r="822" spans="11:25" x14ac:dyDescent="0.25">
      <c r="K822" s="3"/>
      <c r="L822" s="8">
        <v>89</v>
      </c>
      <c r="M822" s="4"/>
      <c r="N822" s="4"/>
      <c r="O822" s="4"/>
      <c r="P822" s="4"/>
      <c r="S822" s="3">
        <v>820</v>
      </c>
      <c r="T822" s="8">
        <v>0.49696785930867193</v>
      </c>
      <c r="U822" s="4">
        <v>71.599999999999994</v>
      </c>
      <c r="V822" s="4">
        <v>-7.6005227666732329E-3</v>
      </c>
      <c r="W822" s="4">
        <v>66.353880008395322</v>
      </c>
      <c r="X822" s="4">
        <v>3.5461199916046837</v>
      </c>
      <c r="Y822" s="4">
        <v>0.56626806051256284</v>
      </c>
    </row>
    <row r="823" spans="11:25" x14ac:dyDescent="0.25">
      <c r="K823" s="3"/>
      <c r="L823" s="8">
        <v>89</v>
      </c>
      <c r="M823" s="4"/>
      <c r="N823" s="4"/>
      <c r="O823" s="4"/>
      <c r="P823" s="4"/>
      <c r="S823" s="3">
        <v>821</v>
      </c>
      <c r="T823" s="8">
        <v>0.49757428744693755</v>
      </c>
      <c r="U823" s="4">
        <v>71.599999999999994</v>
      </c>
      <c r="V823" s="4">
        <v>-6.0803971380521162E-3</v>
      </c>
      <c r="W823" s="4">
        <v>66.847053601351249</v>
      </c>
      <c r="X823" s="4">
        <v>4.1529463986487514</v>
      </c>
      <c r="Y823" s="4">
        <v>0.66317014318268541</v>
      </c>
    </row>
    <row r="824" spans="11:25" x14ac:dyDescent="0.25">
      <c r="K824" s="3"/>
      <c r="L824" s="8">
        <v>89</v>
      </c>
      <c r="M824" s="4"/>
      <c r="N824" s="4"/>
      <c r="O824" s="4"/>
      <c r="P824" s="4"/>
      <c r="S824" s="3">
        <v>822</v>
      </c>
      <c r="T824" s="8">
        <v>0.49818071558520316</v>
      </c>
      <c r="U824" s="4">
        <v>71.7</v>
      </c>
      <c r="V824" s="4">
        <v>-4.5602855597810625E-3</v>
      </c>
      <c r="W824" s="4">
        <v>72.715819357526783</v>
      </c>
      <c r="X824" s="4">
        <v>2.0841806424732141</v>
      </c>
      <c r="Y824" s="4">
        <v>0.33281584745164533</v>
      </c>
    </row>
    <row r="825" spans="11:25" x14ac:dyDescent="0.25">
      <c r="K825" s="3"/>
      <c r="L825" s="8">
        <v>89</v>
      </c>
      <c r="M825" s="4"/>
      <c r="N825" s="4"/>
      <c r="O825" s="4"/>
      <c r="P825" s="4"/>
      <c r="S825" s="3">
        <v>823</v>
      </c>
      <c r="T825" s="8">
        <v>0.49878714372346877</v>
      </c>
      <c r="U825" s="4">
        <v>71.7</v>
      </c>
      <c r="V825" s="4">
        <v>-3.0401845190737007E-3</v>
      </c>
      <c r="W825" s="4">
        <v>72.814454076117968</v>
      </c>
      <c r="X825" s="4">
        <v>2.0855459238820373</v>
      </c>
      <c r="Y825" s="4">
        <v>0.33303386468097163</v>
      </c>
    </row>
    <row r="826" spans="11:25" x14ac:dyDescent="0.25">
      <c r="K826" s="3"/>
      <c r="L826" s="8">
        <v>89</v>
      </c>
      <c r="M826" s="4"/>
      <c r="N826" s="4"/>
      <c r="O826" s="4"/>
      <c r="P826" s="4"/>
      <c r="S826" s="3">
        <v>824</v>
      </c>
      <c r="T826" s="8">
        <v>0.49939357186173439</v>
      </c>
      <c r="U826" s="4">
        <v>71.7</v>
      </c>
      <c r="V826" s="4">
        <v>-1.5200905033141104E-3</v>
      </c>
      <c r="W826" s="4">
        <v>73.011723513300339</v>
      </c>
      <c r="X826" s="4">
        <v>1.9882764866996609</v>
      </c>
      <c r="Y826" s="4">
        <v>0.31750123305237071</v>
      </c>
    </row>
    <row r="827" spans="11:25" x14ac:dyDescent="0.25">
      <c r="K827" s="3"/>
      <c r="L827" s="8">
        <v>89</v>
      </c>
      <c r="M827" s="4"/>
      <c r="N827" s="4"/>
      <c r="O827" s="4"/>
      <c r="P827" s="4"/>
      <c r="S827" s="3">
        <v>825</v>
      </c>
      <c r="T827" s="8">
        <v>0.5</v>
      </c>
      <c r="U827" s="4">
        <v>71.7</v>
      </c>
      <c r="V827" s="4">
        <v>0</v>
      </c>
      <c r="W827" s="4">
        <v>73.011723513300339</v>
      </c>
      <c r="X827" s="4">
        <v>1.9882764866996609</v>
      </c>
      <c r="Y827" s="4">
        <v>0.31750123305237071</v>
      </c>
    </row>
    <row r="828" spans="11:25" x14ac:dyDescent="0.25">
      <c r="K828" s="3"/>
      <c r="L828" s="8">
        <v>89</v>
      </c>
      <c r="M828" s="4"/>
      <c r="N828" s="4"/>
      <c r="O828" s="4"/>
      <c r="P828" s="4"/>
      <c r="S828" s="3">
        <v>826</v>
      </c>
      <c r="T828" s="8">
        <v>0.50060642813826561</v>
      </c>
      <c r="U828" s="4">
        <v>71.7</v>
      </c>
      <c r="V828" s="4">
        <v>1.5200905033141104E-3</v>
      </c>
      <c r="W828" s="4">
        <v>72.962406154004753</v>
      </c>
      <c r="X828" s="4">
        <v>1.9375938459952522</v>
      </c>
      <c r="Y828" s="4">
        <v>0.30940789139408315</v>
      </c>
    </row>
    <row r="829" spans="11:25" x14ac:dyDescent="0.25">
      <c r="K829" s="3"/>
      <c r="L829" s="8">
        <v>89</v>
      </c>
      <c r="M829" s="4"/>
      <c r="N829" s="4"/>
      <c r="O829" s="4"/>
      <c r="P829" s="4"/>
      <c r="S829" s="3">
        <v>827</v>
      </c>
      <c r="T829" s="8">
        <v>0.50121285627653123</v>
      </c>
      <c r="U829" s="4">
        <v>71.7</v>
      </c>
      <c r="V829" s="4">
        <v>3.0401845190737007E-3</v>
      </c>
      <c r="W829" s="4">
        <v>72.913088794709154</v>
      </c>
      <c r="X829" s="4">
        <v>1.7869112052908491</v>
      </c>
      <c r="Y829" s="4">
        <v>0.28534588364854663</v>
      </c>
    </row>
    <row r="830" spans="11:25" x14ac:dyDescent="0.25">
      <c r="K830" s="3"/>
      <c r="L830" s="8">
        <v>89</v>
      </c>
      <c r="M830" s="4"/>
      <c r="N830" s="4"/>
      <c r="O830" s="4"/>
      <c r="P830" s="4"/>
      <c r="S830" s="3">
        <v>828</v>
      </c>
      <c r="T830" s="8">
        <v>0.50181928441479684</v>
      </c>
      <c r="U830" s="4">
        <v>71.7</v>
      </c>
      <c r="V830" s="4">
        <v>4.5602855597810625E-3</v>
      </c>
      <c r="W830" s="4">
        <v>72.765136716822383</v>
      </c>
      <c r="X830" s="4">
        <v>1.7348632831776172</v>
      </c>
      <c r="Y830" s="4">
        <v>0.27703452476093277</v>
      </c>
    </row>
    <row r="831" spans="11:25" x14ac:dyDescent="0.25">
      <c r="K831" s="3"/>
      <c r="L831" s="8">
        <v>89</v>
      </c>
      <c r="M831" s="4"/>
      <c r="N831" s="4"/>
      <c r="O831" s="4"/>
      <c r="P831" s="4"/>
      <c r="S831" s="3">
        <v>829</v>
      </c>
      <c r="T831" s="8">
        <v>0.50242571255306245</v>
      </c>
      <c r="U831" s="4">
        <v>71.7</v>
      </c>
      <c r="V831" s="4">
        <v>6.0803971380521162E-3</v>
      </c>
      <c r="W831" s="4">
        <v>72.765136716822383</v>
      </c>
      <c r="X831" s="4">
        <v>1.6348632831776229</v>
      </c>
      <c r="Y831" s="4">
        <v>0.26106585867368387</v>
      </c>
    </row>
    <row r="832" spans="11:25" x14ac:dyDescent="0.25">
      <c r="K832" s="3"/>
      <c r="L832" s="8">
        <v>89</v>
      </c>
      <c r="M832" s="4"/>
      <c r="N832" s="4"/>
      <c r="O832" s="4"/>
      <c r="P832" s="4"/>
      <c r="S832" s="3">
        <v>830</v>
      </c>
      <c r="T832" s="8">
        <v>0.50303214069132807</v>
      </c>
      <c r="U832" s="4">
        <v>71.7</v>
      </c>
      <c r="V832" s="4">
        <v>7.6005227666732329E-3</v>
      </c>
      <c r="W832" s="4">
        <v>77.548920568494864</v>
      </c>
      <c r="X832" s="4">
        <v>-3.4489205684948701</v>
      </c>
      <c r="Y832" s="4">
        <v>-0.55074660919742358</v>
      </c>
    </row>
    <row r="833" spans="11:25" x14ac:dyDescent="0.25">
      <c r="K833" s="3"/>
      <c r="L833" s="8">
        <v>89</v>
      </c>
      <c r="M833" s="4"/>
      <c r="N833" s="4"/>
      <c r="O833" s="4"/>
      <c r="P833" s="4"/>
      <c r="S833" s="3">
        <v>831</v>
      </c>
      <c r="T833" s="8">
        <v>0.50363856882959368</v>
      </c>
      <c r="U833" s="4">
        <v>71.7</v>
      </c>
      <c r="V833" s="4">
        <v>9.1206659586580661E-3</v>
      </c>
      <c r="W833" s="4">
        <v>77.055746975538938</v>
      </c>
      <c r="X833" s="4">
        <v>-3.155746975538932</v>
      </c>
      <c r="Y833" s="4">
        <v>-0.50393069708229699</v>
      </c>
    </row>
    <row r="834" spans="11:25" x14ac:dyDescent="0.25">
      <c r="K834" s="3"/>
      <c r="L834" s="8">
        <v>89</v>
      </c>
      <c r="M834" s="4"/>
      <c r="N834" s="4"/>
      <c r="O834" s="4"/>
      <c r="P834" s="4"/>
      <c r="S834" s="3">
        <v>832</v>
      </c>
      <c r="T834" s="8">
        <v>0.50424499696785929</v>
      </c>
      <c r="U834" s="4">
        <v>71.8</v>
      </c>
      <c r="V834" s="4">
        <v>1.0640830227304372E-2</v>
      </c>
      <c r="W834" s="4">
        <v>76.957112256947752</v>
      </c>
      <c r="X834" s="4">
        <v>-3.2571122569477495</v>
      </c>
      <c r="Y834" s="4">
        <v>-0.52011738039887212</v>
      </c>
    </row>
    <row r="835" spans="11:25" x14ac:dyDescent="0.25">
      <c r="K835" s="3"/>
      <c r="L835" s="8">
        <v>89</v>
      </c>
      <c r="M835" s="4"/>
      <c r="N835" s="4"/>
      <c r="O835" s="4"/>
      <c r="P835" s="4"/>
      <c r="S835" s="3">
        <v>833</v>
      </c>
      <c r="T835" s="8">
        <v>0.50485142510612491</v>
      </c>
      <c r="U835" s="4">
        <v>71.8</v>
      </c>
      <c r="V835" s="4">
        <v>1.216101908625088E-2</v>
      </c>
      <c r="W835" s="4">
        <v>76.858477538356567</v>
      </c>
      <c r="X835" s="4">
        <v>-3.358477538356567</v>
      </c>
      <c r="Y835" s="4">
        <v>-0.53630406371544737</v>
      </c>
    </row>
    <row r="836" spans="11:25" x14ac:dyDescent="0.25">
      <c r="K836" s="3"/>
      <c r="L836" s="8">
        <v>89</v>
      </c>
      <c r="M836" s="4"/>
      <c r="N836" s="4"/>
      <c r="O836" s="4"/>
      <c r="P836" s="4"/>
      <c r="S836" s="3">
        <v>834</v>
      </c>
      <c r="T836" s="8">
        <v>0.50545785324439052</v>
      </c>
      <c r="U836" s="4">
        <v>71.8</v>
      </c>
      <c r="V836" s="4">
        <v>1.3681236049534144E-2</v>
      </c>
      <c r="W836" s="4">
        <v>76.759842819765382</v>
      </c>
      <c r="X836" s="4">
        <v>-3.5598428197653789</v>
      </c>
      <c r="Y836" s="4">
        <v>-0.5684594131192714</v>
      </c>
    </row>
    <row r="837" spans="11:25" x14ac:dyDescent="0.25">
      <c r="K837" s="3"/>
      <c r="L837" s="8">
        <v>36.299999999999997</v>
      </c>
      <c r="M837" s="4"/>
      <c r="N837" s="4"/>
      <c r="O837" s="4"/>
      <c r="P837" s="4"/>
      <c r="S837" s="3">
        <v>835</v>
      </c>
      <c r="T837" s="8">
        <v>0.50606428138265613</v>
      </c>
      <c r="U837" s="4">
        <v>71.8</v>
      </c>
      <c r="V837" s="4">
        <v>1.5201484631645419E-2</v>
      </c>
      <c r="W837" s="4">
        <v>77.055746975538938</v>
      </c>
      <c r="X837" s="4">
        <v>-4.0557469755389377</v>
      </c>
      <c r="Y837" s="4">
        <v>-0.64764869186754614</v>
      </c>
    </row>
    <row r="838" spans="11:25" x14ac:dyDescent="0.25">
      <c r="K838" s="3"/>
      <c r="L838" s="8">
        <v>89</v>
      </c>
      <c r="M838" s="4"/>
      <c r="N838" s="4"/>
      <c r="O838" s="4"/>
      <c r="P838" s="4"/>
      <c r="S838" s="3">
        <v>836</v>
      </c>
      <c r="T838" s="8">
        <v>0.50667070952092175</v>
      </c>
      <c r="U838" s="4">
        <v>71.8</v>
      </c>
      <c r="V838" s="4">
        <v>1.6721768347587589E-2</v>
      </c>
      <c r="W838" s="4">
        <v>72.074693686684071</v>
      </c>
      <c r="X838" s="4">
        <v>0.62530631331593156</v>
      </c>
      <c r="Y838" s="4">
        <v>9.9853077195913201E-2</v>
      </c>
    </row>
    <row r="839" spans="11:25" x14ac:dyDescent="0.25">
      <c r="K839" s="3"/>
      <c r="L839" s="8">
        <v>36.299999999999997</v>
      </c>
      <c r="M839" s="4"/>
      <c r="N839" s="4"/>
      <c r="O839" s="4"/>
      <c r="P839" s="4"/>
      <c r="S839" s="3">
        <v>837</v>
      </c>
      <c r="T839" s="8">
        <v>0.50727713765918736</v>
      </c>
      <c r="U839" s="4">
        <v>71.8</v>
      </c>
      <c r="V839" s="4">
        <v>1.8242090712932028E-2</v>
      </c>
      <c r="W839" s="4">
        <v>51.85457637549105</v>
      </c>
      <c r="X839" s="4">
        <v>0.24542362450895183</v>
      </c>
      <c r="Y839" s="4">
        <v>3.9190879097060302E-2</v>
      </c>
    </row>
    <row r="840" spans="11:25" x14ac:dyDescent="0.25">
      <c r="K840" s="3"/>
      <c r="L840" s="8">
        <v>36.299999999999997</v>
      </c>
      <c r="M840" s="4"/>
      <c r="N840" s="4"/>
      <c r="O840" s="4"/>
      <c r="P840" s="4"/>
      <c r="S840" s="3">
        <v>838</v>
      </c>
      <c r="T840" s="8">
        <v>0.50788356579745297</v>
      </c>
      <c r="U840" s="4">
        <v>71.8</v>
      </c>
      <c r="V840" s="4">
        <v>1.9762455243875609E-2</v>
      </c>
      <c r="W840" s="4">
        <v>52.05184581267342</v>
      </c>
      <c r="X840" s="4">
        <v>4.8154187326581166E-2</v>
      </c>
      <c r="Y840" s="4">
        <v>7.689581381210512E-3</v>
      </c>
    </row>
    <row r="841" spans="11:25" x14ac:dyDescent="0.25">
      <c r="K841" s="3"/>
      <c r="L841" s="8">
        <v>36.299999999999997</v>
      </c>
      <c r="M841" s="4"/>
      <c r="N841" s="4"/>
      <c r="O841" s="4"/>
      <c r="P841" s="4"/>
      <c r="S841" s="3">
        <v>839</v>
      </c>
      <c r="T841" s="8">
        <v>0.50848999393571859</v>
      </c>
      <c r="U841" s="4">
        <v>71.8</v>
      </c>
      <c r="V841" s="4">
        <v>2.1282865457297625E-2</v>
      </c>
      <c r="W841" s="4">
        <v>52.298432609151391</v>
      </c>
      <c r="X841" s="4">
        <v>-9.8432609151387851E-2</v>
      </c>
      <c r="Y841" s="4">
        <v>-1.5718374676352825E-2</v>
      </c>
    </row>
    <row r="842" spans="11:25" x14ac:dyDescent="0.25">
      <c r="K842" s="3"/>
      <c r="L842" s="8">
        <v>36.299999999999997</v>
      </c>
      <c r="M842" s="4"/>
      <c r="N842" s="4"/>
      <c r="O842" s="4"/>
      <c r="P842" s="4"/>
      <c r="S842" s="3">
        <v>840</v>
      </c>
      <c r="T842" s="8">
        <v>0.5090964220739842</v>
      </c>
      <c r="U842" s="4">
        <v>71.8</v>
      </c>
      <c r="V842" s="4">
        <v>2.2803324870816852E-2</v>
      </c>
      <c r="W842" s="4">
        <v>75.033735244419645</v>
      </c>
      <c r="X842" s="4">
        <v>-22.733735244419648</v>
      </c>
      <c r="Y842" s="4">
        <v>-3.6302742703407977</v>
      </c>
    </row>
    <row r="843" spans="11:25" x14ac:dyDescent="0.25">
      <c r="K843" s="3"/>
      <c r="L843" s="8">
        <v>36.299999999999997</v>
      </c>
      <c r="M843" s="4"/>
      <c r="N843" s="4"/>
      <c r="O843" s="4"/>
      <c r="P843" s="4"/>
      <c r="S843" s="3">
        <v>841</v>
      </c>
      <c r="T843" s="8">
        <v>0.50970285021224981</v>
      </c>
      <c r="U843" s="4">
        <v>71.8</v>
      </c>
      <c r="V843" s="4">
        <v>2.432383700284849E-2</v>
      </c>
      <c r="W843" s="4">
        <v>51.607989579013093</v>
      </c>
      <c r="X843" s="4">
        <v>-0.50798957901309194</v>
      </c>
      <c r="Y843" s="4">
        <v>-8.1119159630626686E-2</v>
      </c>
    </row>
    <row r="844" spans="11:25" x14ac:dyDescent="0.25">
      <c r="K844" s="3"/>
      <c r="L844" s="8">
        <v>36.299999999999997</v>
      </c>
      <c r="M844" s="4"/>
      <c r="N844" s="4"/>
      <c r="O844" s="4"/>
      <c r="P844" s="4"/>
      <c r="S844" s="3">
        <v>842</v>
      </c>
      <c r="T844" s="8">
        <v>0.51030927835051543</v>
      </c>
      <c r="U844" s="4">
        <v>71.8</v>
      </c>
      <c r="V844" s="4">
        <v>2.5844405372661292E-2</v>
      </c>
      <c r="W844" s="4">
        <v>49.684612566484972</v>
      </c>
      <c r="X844" s="4">
        <v>-0.28461256648497368</v>
      </c>
      <c r="Y844" s="4">
        <v>-4.5448830384337308E-2</v>
      </c>
    </row>
    <row r="845" spans="11:25" x14ac:dyDescent="0.25">
      <c r="K845" s="3"/>
      <c r="L845" s="8">
        <v>36.299999999999997</v>
      </c>
      <c r="M845" s="4"/>
      <c r="N845" s="4"/>
      <c r="O845" s="4"/>
      <c r="P845" s="4"/>
      <c r="S845" s="3">
        <v>843</v>
      </c>
      <c r="T845" s="8">
        <v>0.51091570648878104</v>
      </c>
      <c r="U845" s="4">
        <v>71.900000000000006</v>
      </c>
      <c r="V845" s="4">
        <v>2.7365033500434652E-2</v>
      </c>
      <c r="W845" s="4">
        <v>48.402361224799563</v>
      </c>
      <c r="X845" s="4">
        <v>-0.60236122479956578</v>
      </c>
      <c r="Y845" s="4">
        <v>-9.6189052627310839E-2</v>
      </c>
    </row>
    <row r="846" spans="11:25" x14ac:dyDescent="0.25">
      <c r="K846" s="3"/>
      <c r="L846" s="8">
        <v>36.299999999999997</v>
      </c>
      <c r="M846" s="4"/>
      <c r="N846" s="4"/>
      <c r="O846" s="4"/>
      <c r="P846" s="4"/>
      <c r="S846" s="3">
        <v>844</v>
      </c>
      <c r="T846" s="8">
        <v>0.51152213462704665</v>
      </c>
      <c r="U846" s="4">
        <v>71.900000000000006</v>
      </c>
      <c r="V846" s="4">
        <v>2.8885724907315745E-2</v>
      </c>
      <c r="W846" s="4">
        <v>46.380349493680257</v>
      </c>
      <c r="X846" s="4">
        <v>-0.18034949368025366</v>
      </c>
      <c r="Y846" s="4">
        <v>-2.8799408435845403E-2</v>
      </c>
    </row>
    <row r="847" spans="11:25" x14ac:dyDescent="0.25">
      <c r="K847" s="3"/>
      <c r="L847" s="8">
        <v>36.299999999999997</v>
      </c>
      <c r="M847" s="4"/>
      <c r="N847" s="4"/>
      <c r="O847" s="4"/>
      <c r="P847" s="4"/>
      <c r="S847" s="3">
        <v>845</v>
      </c>
      <c r="T847" s="8">
        <v>0.51212856276531227</v>
      </c>
      <c r="U847" s="4">
        <v>71.900000000000006</v>
      </c>
      <c r="V847" s="4">
        <v>3.0406483115476651E-2</v>
      </c>
      <c r="W847" s="4">
        <v>45.344684948472811</v>
      </c>
      <c r="X847" s="4">
        <v>-4.4684948472813346E-2</v>
      </c>
      <c r="Y847" s="4">
        <v>-7.1355902128831961E-3</v>
      </c>
    </row>
    <row r="848" spans="11:25" x14ac:dyDescent="0.25">
      <c r="K848" s="3"/>
      <c r="L848" s="8">
        <v>36.299999999999997</v>
      </c>
      <c r="M848" s="4"/>
      <c r="N848" s="4"/>
      <c r="O848" s="4"/>
      <c r="P848" s="4"/>
      <c r="S848" s="3">
        <v>846</v>
      </c>
      <c r="T848" s="8">
        <v>0.51273499090357788</v>
      </c>
      <c r="U848" s="4">
        <v>71.900000000000006</v>
      </c>
      <c r="V848" s="4">
        <v>3.1927311648171697E-2</v>
      </c>
      <c r="W848" s="4">
        <v>44.309020403265365</v>
      </c>
      <c r="X848" s="4">
        <v>0.19097959673463549</v>
      </c>
      <c r="Y848" s="4">
        <v>3.0496894097330182E-2</v>
      </c>
    </row>
    <row r="849" spans="11:25" x14ac:dyDescent="0.25">
      <c r="K849" s="3"/>
      <c r="L849" s="8">
        <v>36.299999999999997</v>
      </c>
      <c r="M849" s="4"/>
      <c r="N849" s="4"/>
      <c r="O849" s="4"/>
      <c r="P849" s="4"/>
      <c r="S849" s="3">
        <v>847</v>
      </c>
      <c r="T849" s="8">
        <v>0.51334141904184349</v>
      </c>
      <c r="U849" s="4">
        <v>71.900000000000006</v>
      </c>
      <c r="V849" s="4">
        <v>3.3448214029794594E-2</v>
      </c>
      <c r="W849" s="4">
        <v>44.752876636925699</v>
      </c>
      <c r="X849" s="4">
        <v>4.7123363074298652E-2</v>
      </c>
      <c r="Y849" s="4">
        <v>7.5249724984171274E-3</v>
      </c>
    </row>
    <row r="850" spans="11:25" x14ac:dyDescent="0.25">
      <c r="K850" s="3"/>
      <c r="L850" s="8">
        <v>36.299999999999997</v>
      </c>
      <c r="M850" s="4"/>
      <c r="N850" s="4"/>
      <c r="O850" s="4"/>
      <c r="P850" s="4"/>
      <c r="S850" s="3">
        <v>848</v>
      </c>
      <c r="T850" s="8">
        <v>0.51394784718010911</v>
      </c>
      <c r="U850" s="4">
        <v>71.900000000000006</v>
      </c>
      <c r="V850" s="4">
        <v>3.4969193785935826E-2</v>
      </c>
      <c r="W850" s="4">
        <v>45.640589104246367</v>
      </c>
      <c r="X850" s="4">
        <v>-0.1405891042463665</v>
      </c>
      <c r="Y850" s="4">
        <v>-2.2450204612157808E-2</v>
      </c>
    </row>
    <row r="851" spans="11:25" x14ac:dyDescent="0.25">
      <c r="K851" s="3"/>
      <c r="L851" s="8">
        <v>36.299999999999997</v>
      </c>
      <c r="M851" s="4"/>
      <c r="N851" s="4"/>
      <c r="O851" s="4"/>
      <c r="P851" s="4"/>
      <c r="S851" s="3">
        <v>849</v>
      </c>
      <c r="T851" s="8">
        <v>0.51455427531837472</v>
      </c>
      <c r="U851" s="4">
        <v>71.900000000000006</v>
      </c>
      <c r="V851" s="4">
        <v>3.6490254443439986E-2</v>
      </c>
      <c r="W851" s="4">
        <v>61.372826719540456</v>
      </c>
      <c r="X851" s="4">
        <v>-3.2728267195404541</v>
      </c>
      <c r="Y851" s="4">
        <v>-0.52262677045770689</v>
      </c>
    </row>
    <row r="852" spans="11:25" x14ac:dyDescent="0.25">
      <c r="K852" s="3"/>
      <c r="L852" s="8">
        <v>36.299999999999997</v>
      </c>
      <c r="M852" s="4"/>
      <c r="N852" s="4"/>
      <c r="O852" s="4"/>
      <c r="P852" s="4"/>
      <c r="S852" s="3">
        <v>850</v>
      </c>
      <c r="T852" s="8">
        <v>0.51516070345664033</v>
      </c>
      <c r="U852" s="4">
        <v>71.900000000000006</v>
      </c>
      <c r="V852" s="4">
        <v>3.801139953046323E-2</v>
      </c>
      <c r="W852" s="4">
        <v>64.874359229527542</v>
      </c>
      <c r="X852" s="4">
        <v>-3.7743592295275405</v>
      </c>
      <c r="Y852" s="4">
        <v>-0.60271482229654749</v>
      </c>
    </row>
    <row r="853" spans="11:25" x14ac:dyDescent="0.25">
      <c r="K853" s="3"/>
      <c r="L853" s="8">
        <v>36.299999999999997</v>
      </c>
      <c r="M853" s="4"/>
      <c r="N853" s="4"/>
      <c r="O853" s="4"/>
      <c r="P853" s="4"/>
      <c r="S853" s="3">
        <v>851</v>
      </c>
      <c r="T853" s="8">
        <v>0.51576713159490606</v>
      </c>
      <c r="U853" s="4">
        <v>71.900000000000006</v>
      </c>
      <c r="V853" s="4">
        <v>3.9532632576530988E-2</v>
      </c>
      <c r="W853" s="4">
        <v>64.726407151640757</v>
      </c>
      <c r="X853" s="4">
        <v>2.2735928483592431</v>
      </c>
      <c r="Y853" s="4">
        <v>0.36306245013807942</v>
      </c>
    </row>
    <row r="854" spans="11:25" x14ac:dyDescent="0.25">
      <c r="K854" s="3"/>
      <c r="L854" s="8">
        <v>36.299999999999997</v>
      </c>
      <c r="M854" s="4"/>
      <c r="N854" s="4"/>
      <c r="O854" s="4"/>
      <c r="P854" s="4"/>
      <c r="S854" s="3">
        <v>852</v>
      </c>
      <c r="T854" s="8">
        <v>0.51637355973317167</v>
      </c>
      <c r="U854" s="4">
        <v>72</v>
      </c>
      <c r="V854" s="4">
        <v>4.1053957112594366E-2</v>
      </c>
      <c r="W854" s="4">
        <v>64.479820355162801</v>
      </c>
      <c r="X854" s="4">
        <v>-2.4798203551628006</v>
      </c>
      <c r="Y854" s="4">
        <v>-0.39599423207959988</v>
      </c>
    </row>
    <row r="855" spans="11:25" x14ac:dyDescent="0.25">
      <c r="K855" s="3"/>
      <c r="L855" s="8">
        <v>36.299999999999997</v>
      </c>
      <c r="M855" s="4"/>
      <c r="N855" s="4"/>
      <c r="O855" s="4"/>
      <c r="P855" s="4"/>
      <c r="S855" s="3">
        <v>853</v>
      </c>
      <c r="T855" s="8">
        <v>0.51697998787143729</v>
      </c>
      <c r="U855" s="4">
        <v>72</v>
      </c>
      <c r="V855" s="4">
        <v>4.2575376671089515E-2</v>
      </c>
      <c r="W855" s="4">
        <v>64.183916199389245</v>
      </c>
      <c r="X855" s="4">
        <v>-4.4839161993892418</v>
      </c>
      <c r="Y855" s="4">
        <v>-0.71602160551257032</v>
      </c>
    </row>
    <row r="856" spans="11:25" x14ac:dyDescent="0.25">
      <c r="K856" s="3"/>
      <c r="L856" s="8">
        <v>36.299999999999997</v>
      </c>
      <c r="M856" s="4"/>
      <c r="N856" s="4"/>
      <c r="O856" s="4"/>
      <c r="P856" s="4"/>
      <c r="S856" s="3">
        <v>854</v>
      </c>
      <c r="T856" s="8">
        <v>0.5175864160097029</v>
      </c>
      <c r="U856" s="4">
        <v>72</v>
      </c>
      <c r="V856" s="4">
        <v>4.4096894785994011E-2</v>
      </c>
      <c r="W856" s="4">
        <v>63.937329402911274</v>
      </c>
      <c r="X856" s="4">
        <v>-4.7373294029112714</v>
      </c>
      <c r="Y856" s="4">
        <v>-0.75648831380400605</v>
      </c>
    </row>
    <row r="857" spans="11:25" x14ac:dyDescent="0.25">
      <c r="K857" s="3"/>
      <c r="L857" s="8">
        <v>89</v>
      </c>
      <c r="M857" s="4"/>
      <c r="N857" s="4"/>
      <c r="O857" s="4"/>
      <c r="P857" s="4"/>
      <c r="S857" s="3">
        <v>855</v>
      </c>
      <c r="T857" s="8">
        <v>0.51819284414796851</v>
      </c>
      <c r="U857" s="4">
        <v>72</v>
      </c>
      <c r="V857" s="4">
        <v>4.5618514992884995E-2</v>
      </c>
      <c r="W857" s="4">
        <v>63.740059965728904</v>
      </c>
      <c r="X857" s="4">
        <v>-5.1400599657289021</v>
      </c>
      <c r="Y857" s="4">
        <v>-0.82079901261165533</v>
      </c>
    </row>
    <row r="858" spans="11:25" x14ac:dyDescent="0.25">
      <c r="K858" s="3"/>
      <c r="L858" s="8">
        <v>89</v>
      </c>
      <c r="M858" s="4"/>
      <c r="N858" s="4"/>
      <c r="O858" s="4"/>
      <c r="P858" s="4"/>
      <c r="S858" s="3">
        <v>856</v>
      </c>
      <c r="T858" s="8">
        <v>0.51879927228623413</v>
      </c>
      <c r="U858" s="4">
        <v>72</v>
      </c>
      <c r="V858" s="4">
        <v>4.7140240828996857E-2</v>
      </c>
      <c r="W858" s="4">
        <v>69.263604206835296</v>
      </c>
      <c r="X858" s="4">
        <v>4.1363957931647093</v>
      </c>
      <c r="Y858" s="4">
        <v>0.66052723225752064</v>
      </c>
    </row>
    <row r="859" spans="11:25" x14ac:dyDescent="0.25">
      <c r="K859" s="3"/>
      <c r="L859" s="8">
        <v>89</v>
      </c>
      <c r="M859" s="4"/>
      <c r="N859" s="4"/>
      <c r="O859" s="4"/>
      <c r="P859" s="4"/>
      <c r="S859" s="3">
        <v>857</v>
      </c>
      <c r="T859" s="8">
        <v>0.51940570042449974</v>
      </c>
      <c r="U859" s="4">
        <v>72</v>
      </c>
      <c r="V859" s="4">
        <v>4.8662075833279174E-2</v>
      </c>
      <c r="W859" s="4">
        <v>68.819747973174955</v>
      </c>
      <c r="X859" s="4">
        <v>4.1802520268250447</v>
      </c>
      <c r="Y859" s="4">
        <v>0.66753048776918367</v>
      </c>
    </row>
    <row r="860" spans="11:25" x14ac:dyDescent="0.25">
      <c r="K860" s="3"/>
      <c r="L860" s="8">
        <v>89</v>
      </c>
      <c r="M860" s="4"/>
      <c r="N860" s="4"/>
      <c r="O860" s="4"/>
      <c r="P860" s="4"/>
      <c r="S860" s="3">
        <v>858</v>
      </c>
      <c r="T860" s="8">
        <v>0.52001212856276535</v>
      </c>
      <c r="U860" s="4">
        <v>72</v>
      </c>
      <c r="V860" s="4">
        <v>5.0184023546454543E-2</v>
      </c>
      <c r="W860" s="4">
        <v>68.918382691766141</v>
      </c>
      <c r="X860" s="4">
        <v>4.0816173082338594</v>
      </c>
      <c r="Y860" s="4">
        <v>0.65177983891125879</v>
      </c>
    </row>
    <row r="861" spans="11:25" x14ac:dyDescent="0.25">
      <c r="K861" s="3"/>
      <c r="L861" s="8">
        <v>89</v>
      </c>
      <c r="M861" s="4"/>
      <c r="N861" s="4"/>
      <c r="O861" s="4"/>
      <c r="P861" s="4"/>
      <c r="S861" s="3">
        <v>859</v>
      </c>
      <c r="T861" s="8">
        <v>0.52061855670103097</v>
      </c>
      <c r="U861" s="4">
        <v>72</v>
      </c>
      <c r="V861" s="4">
        <v>5.1706087511076672E-2</v>
      </c>
      <c r="W861" s="4">
        <v>76.710525460469796</v>
      </c>
      <c r="X861" s="4">
        <v>-3.910525460469799</v>
      </c>
      <c r="Y861" s="4">
        <v>-0.6244587530393102</v>
      </c>
    </row>
    <row r="862" spans="11:25" x14ac:dyDescent="0.25">
      <c r="K862" s="3"/>
      <c r="L862" s="8">
        <v>89</v>
      </c>
      <c r="M862" s="4"/>
      <c r="N862" s="4"/>
      <c r="O862" s="4"/>
      <c r="P862" s="4"/>
      <c r="S862" s="3">
        <v>860</v>
      </c>
      <c r="T862" s="8">
        <v>0.52122498483929658</v>
      </c>
      <c r="U862" s="4">
        <v>72</v>
      </c>
      <c r="V862" s="4">
        <v>5.3228271271588433E-2</v>
      </c>
      <c r="W862" s="4">
        <v>68.326574380219029</v>
      </c>
      <c r="X862" s="4">
        <v>4.0734256197809771</v>
      </c>
      <c r="Y862" s="4">
        <v>0.65047173553531024</v>
      </c>
    </row>
    <row r="863" spans="11:25" x14ac:dyDescent="0.25">
      <c r="K863" s="3"/>
      <c r="L863" s="8">
        <v>89</v>
      </c>
      <c r="M863" s="4"/>
      <c r="N863" s="4"/>
      <c r="O863" s="4"/>
      <c r="P863" s="4"/>
      <c r="S863" s="3">
        <v>861</v>
      </c>
      <c r="T863" s="8">
        <v>0.52183141297756219</v>
      </c>
      <c r="U863" s="4">
        <v>72</v>
      </c>
      <c r="V863" s="4">
        <v>5.4750578374379986E-2</v>
      </c>
      <c r="W863" s="4">
        <v>68.129304943036658</v>
      </c>
      <c r="X863" s="4">
        <v>4.0706950569633449</v>
      </c>
      <c r="Y863" s="4">
        <v>0.65003570107665998</v>
      </c>
    </row>
    <row r="864" spans="11:25" x14ac:dyDescent="0.25">
      <c r="K864" s="3"/>
      <c r="L864" s="8">
        <v>89</v>
      </c>
      <c r="M864" s="4"/>
      <c r="N864" s="4"/>
      <c r="O864" s="4"/>
      <c r="P864" s="4"/>
      <c r="S864" s="3">
        <v>862</v>
      </c>
      <c r="T864" s="8">
        <v>0.52243784111582781</v>
      </c>
      <c r="U864" s="4">
        <v>72</v>
      </c>
      <c r="V864" s="4">
        <v>5.6273012367847056E-2</v>
      </c>
      <c r="W864" s="4">
        <v>66.551149445577693</v>
      </c>
      <c r="X864" s="4">
        <v>4.5488505544223017</v>
      </c>
      <c r="Y864" s="4">
        <v>0.72639075584370905</v>
      </c>
    </row>
    <row r="865" spans="11:25" x14ac:dyDescent="0.25">
      <c r="K865" s="3"/>
      <c r="L865" s="8">
        <v>89</v>
      </c>
      <c r="M865" s="4"/>
      <c r="N865" s="4"/>
      <c r="O865" s="4"/>
      <c r="P865" s="4"/>
      <c r="S865" s="3">
        <v>863</v>
      </c>
      <c r="T865" s="8">
        <v>0.52304426925409342</v>
      </c>
      <c r="U865" s="4">
        <v>72</v>
      </c>
      <c r="V865" s="4">
        <v>5.7795576802449247E-2</v>
      </c>
      <c r="W865" s="4">
        <v>76.41462130469624</v>
      </c>
      <c r="X865" s="4">
        <v>-4.4146213046962401</v>
      </c>
      <c r="Y865" s="4">
        <v>-0.7049561351635335</v>
      </c>
    </row>
    <row r="866" spans="11:25" x14ac:dyDescent="0.25">
      <c r="K866" s="3"/>
      <c r="L866" s="8">
        <v>89</v>
      </c>
      <c r="M866" s="4"/>
      <c r="N866" s="4"/>
      <c r="O866" s="4"/>
      <c r="P866" s="4"/>
      <c r="S866" s="3">
        <v>864</v>
      </c>
      <c r="T866" s="8">
        <v>0.52365069739235903</v>
      </c>
      <c r="U866" s="4">
        <v>72</v>
      </c>
      <c r="V866" s="4">
        <v>5.9318275230768477E-2</v>
      </c>
      <c r="W866" s="4">
        <v>66.304562649099722</v>
      </c>
      <c r="X866" s="4">
        <v>9.6954373509002778</v>
      </c>
      <c r="Y866" s="4">
        <v>1.5482320162637639</v>
      </c>
    </row>
    <row r="867" spans="11:25" x14ac:dyDescent="0.25">
      <c r="K867" s="3"/>
      <c r="L867" s="8">
        <v>36.299999999999997</v>
      </c>
      <c r="M867" s="4"/>
      <c r="N867" s="4"/>
      <c r="O867" s="4"/>
      <c r="P867" s="4"/>
      <c r="S867" s="3">
        <v>865</v>
      </c>
      <c r="T867" s="8">
        <v>0.52425712553062465</v>
      </c>
      <c r="U867" s="4">
        <v>72</v>
      </c>
      <c r="V867" s="4">
        <v>6.0841111207567453E-2</v>
      </c>
      <c r="W867" s="4">
        <v>66.649784164168878</v>
      </c>
      <c r="X867" s="4">
        <v>11.350215835831122</v>
      </c>
      <c r="Y867" s="4">
        <v>1.8124780670060219</v>
      </c>
    </row>
    <row r="868" spans="11:25" x14ac:dyDescent="0.25">
      <c r="K868" s="3"/>
      <c r="L868" s="8">
        <v>36.299999999999997</v>
      </c>
      <c r="M868" s="4"/>
      <c r="N868" s="4"/>
      <c r="O868" s="4"/>
      <c r="P868" s="4"/>
      <c r="S868" s="3">
        <v>866</v>
      </c>
      <c r="T868" s="8">
        <v>0.52486355366889026</v>
      </c>
      <c r="U868" s="4">
        <v>72</v>
      </c>
      <c r="V868" s="4">
        <v>6.2364088289848282E-2</v>
      </c>
      <c r="W868" s="4">
        <v>76.41462130469624</v>
      </c>
      <c r="X868" s="4">
        <v>-4.8146213046962458</v>
      </c>
      <c r="Y868" s="4">
        <v>-0.76883079951253375</v>
      </c>
    </row>
    <row r="869" spans="11:25" x14ac:dyDescent="0.25">
      <c r="K869" s="3"/>
      <c r="L869" s="8">
        <v>36.299999999999997</v>
      </c>
      <c r="M869" s="4"/>
      <c r="N869" s="4"/>
      <c r="O869" s="4"/>
      <c r="P869" s="4"/>
      <c r="S869" s="3">
        <v>867</v>
      </c>
      <c r="T869" s="8">
        <v>0.52546998180715587</v>
      </c>
      <c r="U869" s="4">
        <v>72.099999999999994</v>
      </c>
      <c r="V869" s="4">
        <v>6.3887210036911155E-2</v>
      </c>
      <c r="W869" s="4">
        <v>76.513256023287425</v>
      </c>
      <c r="X869" s="4">
        <v>-4.9132560232874312</v>
      </c>
      <c r="Y869" s="4">
        <v>-0.78458144837045862</v>
      </c>
    </row>
    <row r="870" spans="11:25" x14ac:dyDescent="0.25">
      <c r="K870" s="3"/>
      <c r="L870" s="8">
        <v>89</v>
      </c>
      <c r="M870" s="4"/>
      <c r="N870" s="4"/>
      <c r="O870" s="4"/>
      <c r="P870" s="4"/>
      <c r="S870" s="3">
        <v>868</v>
      </c>
      <c r="T870" s="8">
        <v>0.52607640994542149</v>
      </c>
      <c r="U870" s="4">
        <v>72.099999999999994</v>
      </c>
      <c r="V870" s="4">
        <v>6.5410480010413122E-2</v>
      </c>
      <c r="W870" s="4">
        <v>76.513256023287425</v>
      </c>
      <c r="X870" s="4">
        <v>-5.1132560232874198</v>
      </c>
      <c r="Y870" s="4">
        <v>-0.81651878054495641</v>
      </c>
    </row>
    <row r="871" spans="11:25" x14ac:dyDescent="0.25">
      <c r="K871" s="3"/>
      <c r="L871" s="8">
        <v>89</v>
      </c>
      <c r="M871" s="4"/>
      <c r="N871" s="4"/>
      <c r="O871" s="4"/>
      <c r="P871" s="4"/>
      <c r="S871" s="3">
        <v>869</v>
      </c>
      <c r="T871" s="8">
        <v>0.5266828380836871</v>
      </c>
      <c r="U871" s="4">
        <v>72.099999999999994</v>
      </c>
      <c r="V871" s="4">
        <v>6.6933901774426999E-2</v>
      </c>
      <c r="W871" s="4">
        <v>76.562573382583011</v>
      </c>
      <c r="X871" s="4">
        <v>-5.3625733825830082</v>
      </c>
      <c r="Y871" s="4">
        <v>-0.85633143714841775</v>
      </c>
    </row>
    <row r="872" spans="11:25" x14ac:dyDescent="0.25">
      <c r="K872" s="3"/>
      <c r="L872" s="8">
        <v>89</v>
      </c>
      <c r="M872" s="4"/>
      <c r="N872" s="4"/>
      <c r="O872" s="4"/>
      <c r="P872" s="4"/>
      <c r="S872" s="3">
        <v>870</v>
      </c>
      <c r="T872" s="8">
        <v>0.52728926622195271</v>
      </c>
      <c r="U872" s="4">
        <v>72.099999999999994</v>
      </c>
      <c r="V872" s="4">
        <v>6.8457478895500398E-2</v>
      </c>
      <c r="W872" s="4">
        <v>77.499603209199279</v>
      </c>
      <c r="X872" s="4">
        <v>-5.8996032091992845</v>
      </c>
      <c r="Y872" s="4">
        <v>-0.94208793694970749</v>
      </c>
    </row>
    <row r="873" spans="11:25" x14ac:dyDescent="0.25">
      <c r="K873" s="3"/>
      <c r="L873" s="8">
        <v>89</v>
      </c>
      <c r="M873" s="4"/>
      <c r="N873" s="4"/>
      <c r="O873" s="4"/>
      <c r="P873" s="4"/>
      <c r="S873" s="3">
        <v>871</v>
      </c>
      <c r="T873" s="8">
        <v>0.52789569436021833</v>
      </c>
      <c r="U873" s="4">
        <v>72.099999999999994</v>
      </c>
      <c r="V873" s="4">
        <v>6.9981214942714712E-2</v>
      </c>
      <c r="W873" s="4">
        <v>74.392609573576934</v>
      </c>
      <c r="X873" s="4">
        <v>7.3073904264230691</v>
      </c>
      <c r="Y873" s="4">
        <v>1.1668927768871598</v>
      </c>
    </row>
    <row r="874" spans="11:25" x14ac:dyDescent="0.25">
      <c r="K874" s="3"/>
      <c r="L874" s="8">
        <v>89</v>
      </c>
      <c r="M874" s="4"/>
      <c r="N874" s="4"/>
      <c r="O874" s="4"/>
      <c r="P874" s="4"/>
      <c r="S874" s="3">
        <v>872</v>
      </c>
      <c r="T874" s="8">
        <v>0.52850212249848394</v>
      </c>
      <c r="U874" s="4">
        <v>72.099999999999994</v>
      </c>
      <c r="V874" s="4">
        <v>7.1505113487744437E-2</v>
      </c>
      <c r="W874" s="4">
        <v>74.244657495690163</v>
      </c>
      <c r="X874" s="4">
        <v>7.1553425043098429</v>
      </c>
      <c r="Y874" s="4">
        <v>1.1426127519122971</v>
      </c>
    </row>
    <row r="875" spans="11:25" x14ac:dyDescent="0.25">
      <c r="K875" s="3"/>
      <c r="L875" s="8">
        <v>89</v>
      </c>
      <c r="M875" s="4"/>
      <c r="N875" s="4"/>
      <c r="O875" s="4"/>
      <c r="P875" s="4"/>
      <c r="S875" s="3">
        <v>873</v>
      </c>
      <c r="T875" s="8">
        <v>0.52910855063674955</v>
      </c>
      <c r="U875" s="4">
        <v>72.099999999999994</v>
      </c>
      <c r="V875" s="4">
        <v>7.3029178104916354E-2</v>
      </c>
      <c r="W875" s="4">
        <v>77.253016412721308</v>
      </c>
      <c r="X875" s="4">
        <v>3.8469835872786859</v>
      </c>
      <c r="Y875" s="4">
        <v>0.61431196348383765</v>
      </c>
    </row>
    <row r="876" spans="11:25" x14ac:dyDescent="0.25">
      <c r="K876" s="3"/>
      <c r="L876" s="8">
        <v>89</v>
      </c>
      <c r="M876" s="4"/>
      <c r="N876" s="4"/>
      <c r="O876" s="4"/>
      <c r="P876" s="4"/>
      <c r="S876" s="3">
        <v>874</v>
      </c>
      <c r="T876" s="8">
        <v>0.52971497877501517</v>
      </c>
      <c r="U876" s="4">
        <v>72.099999999999994</v>
      </c>
      <c r="V876" s="4">
        <v>7.4553412371269168E-2</v>
      </c>
      <c r="W876" s="4">
        <v>74.047388058507792</v>
      </c>
      <c r="X876" s="4">
        <v>13.952611941492208</v>
      </c>
      <c r="Y876" s="4">
        <v>2.2280460113866334</v>
      </c>
    </row>
    <row r="877" spans="11:25" x14ac:dyDescent="0.25">
      <c r="K877" s="3"/>
      <c r="L877" s="8">
        <v>89</v>
      </c>
      <c r="M877" s="4"/>
      <c r="N877" s="4"/>
      <c r="O877" s="4"/>
      <c r="P877" s="4"/>
      <c r="S877" s="3">
        <v>875</v>
      </c>
      <c r="T877" s="8">
        <v>0.53032140691328078</v>
      </c>
      <c r="U877" s="4">
        <v>72.099999999999994</v>
      </c>
      <c r="V877" s="4">
        <v>7.6077819866612759E-2</v>
      </c>
      <c r="W877" s="4">
        <v>73.998070699212192</v>
      </c>
      <c r="X877" s="4">
        <v>12.001929300787808</v>
      </c>
      <c r="Y877" s="4">
        <v>1.9165480140706008</v>
      </c>
    </row>
    <row r="878" spans="11:25" x14ac:dyDescent="0.25">
      <c r="K878" s="3"/>
      <c r="L878" s="8">
        <v>89</v>
      </c>
      <c r="M878" s="4"/>
      <c r="N878" s="4"/>
      <c r="O878" s="4"/>
      <c r="P878" s="4"/>
      <c r="S878" s="3">
        <v>876</v>
      </c>
      <c r="T878" s="8">
        <v>0.53092783505154639</v>
      </c>
      <c r="U878" s="4">
        <v>72.099999999999994</v>
      </c>
      <c r="V878" s="4">
        <v>7.7602404173588102E-2</v>
      </c>
      <c r="W878" s="4">
        <v>73.850118621325421</v>
      </c>
      <c r="X878" s="4">
        <v>9.1498813786745785</v>
      </c>
      <c r="Y878" s="4">
        <v>1.4611140047399926</v>
      </c>
    </row>
    <row r="879" spans="11:25" x14ac:dyDescent="0.25">
      <c r="K879" s="3"/>
      <c r="L879" s="8">
        <v>89</v>
      </c>
      <c r="M879" s="4"/>
      <c r="N879" s="4"/>
      <c r="O879" s="4"/>
      <c r="P879" s="4"/>
      <c r="S879" s="3">
        <v>877</v>
      </c>
      <c r="T879" s="8">
        <v>0.53153426318981201</v>
      </c>
      <c r="U879" s="4">
        <v>72.2</v>
      </c>
      <c r="V879" s="4">
        <v>7.9127168877726861E-2</v>
      </c>
      <c r="W879" s="4">
        <v>77.203699053425723</v>
      </c>
      <c r="X879" s="4">
        <v>2.7963009465742772</v>
      </c>
      <c r="Y879" s="4">
        <v>0.44653196095305198</v>
      </c>
    </row>
    <row r="880" spans="11:25" x14ac:dyDescent="0.25">
      <c r="K880" s="3"/>
      <c r="L880" s="8">
        <v>89</v>
      </c>
      <c r="M880" s="4"/>
      <c r="N880" s="4"/>
      <c r="O880" s="4"/>
      <c r="P880" s="4"/>
      <c r="S880" s="3">
        <v>878</v>
      </c>
      <c r="T880" s="8">
        <v>0.53214069132807762</v>
      </c>
      <c r="U880" s="4">
        <v>72.2</v>
      </c>
      <c r="V880" s="4">
        <v>8.0652117567511422E-2</v>
      </c>
      <c r="W880" s="4">
        <v>73.554214465551865</v>
      </c>
      <c r="X880" s="4">
        <v>6.1457855344481374</v>
      </c>
      <c r="Y880" s="4">
        <v>0.98139997043452409</v>
      </c>
    </row>
    <row r="881" spans="11:25" x14ac:dyDescent="0.25">
      <c r="K881" s="3"/>
      <c r="L881" s="8">
        <v>36.299999999999997</v>
      </c>
      <c r="M881" s="4"/>
      <c r="N881" s="4"/>
      <c r="O881" s="4"/>
      <c r="P881" s="4"/>
      <c r="S881" s="3">
        <v>879</v>
      </c>
      <c r="T881" s="8">
        <v>0.53274711946634323</v>
      </c>
      <c r="U881" s="4">
        <v>72.2</v>
      </c>
      <c r="V881" s="4">
        <v>8.2177253834434846E-2</v>
      </c>
      <c r="W881" s="4">
        <v>73.40626238766508</v>
      </c>
      <c r="X881" s="4">
        <v>5.9937376123349253</v>
      </c>
      <c r="Y881" s="4">
        <v>0.95711994545966361</v>
      </c>
    </row>
    <row r="882" spans="11:25" x14ac:dyDescent="0.25">
      <c r="K882" s="3"/>
      <c r="L882" s="8">
        <v>36.299999999999997</v>
      </c>
      <c r="M882" s="4"/>
      <c r="N882" s="4"/>
      <c r="O882" s="4"/>
      <c r="P882" s="4"/>
      <c r="S882" s="3">
        <v>880</v>
      </c>
      <c r="T882" s="8">
        <v>0.53335354760460885</v>
      </c>
      <c r="U882" s="4">
        <v>72.2</v>
      </c>
      <c r="V882" s="4">
        <v>8.3702581273061044E-2</v>
      </c>
      <c r="W882" s="4">
        <v>77.154381694130123</v>
      </c>
      <c r="X882" s="4">
        <v>1.6456183058698741</v>
      </c>
      <c r="Y882" s="4">
        <v>0.2627832923350174</v>
      </c>
    </row>
    <row r="883" spans="11:25" x14ac:dyDescent="0.25">
      <c r="K883" s="3"/>
      <c r="L883" s="8">
        <v>36.299999999999997</v>
      </c>
      <c r="M883" s="4"/>
      <c r="N883" s="4"/>
      <c r="O883" s="4"/>
      <c r="P883" s="4"/>
      <c r="S883" s="3">
        <v>881</v>
      </c>
      <c r="T883" s="8">
        <v>0.53395997574287446</v>
      </c>
      <c r="U883" s="4">
        <v>72.2</v>
      </c>
      <c r="V883" s="4">
        <v>8.5228103481085074E-2</v>
      </c>
      <c r="W883" s="4">
        <v>73.061040872595925</v>
      </c>
      <c r="X883" s="4">
        <v>5.6389591274040782</v>
      </c>
      <c r="Y883" s="4">
        <v>0.90046655385165275</v>
      </c>
    </row>
    <row r="884" spans="11:25" x14ac:dyDescent="0.25">
      <c r="K884" s="3"/>
      <c r="L884" s="8">
        <v>36.299999999999997</v>
      </c>
      <c r="M884" s="4"/>
      <c r="N884" s="4"/>
      <c r="O884" s="4"/>
      <c r="P884" s="4"/>
      <c r="S884" s="3">
        <v>882</v>
      </c>
      <c r="T884" s="8">
        <v>0.53456640388114007</v>
      </c>
      <c r="U884" s="4">
        <v>72.2</v>
      </c>
      <c r="V884" s="4">
        <v>8.6753824059393511E-2</v>
      </c>
      <c r="W884" s="4">
        <v>73.061040872595925</v>
      </c>
      <c r="X884" s="4">
        <v>5.5389591274040697</v>
      </c>
      <c r="Y884" s="4">
        <v>0.88449788776440164</v>
      </c>
    </row>
    <row r="885" spans="11:25" x14ac:dyDescent="0.25">
      <c r="K885" s="3"/>
      <c r="L885" s="8">
        <v>36.299999999999997</v>
      </c>
      <c r="M885" s="4"/>
      <c r="N885" s="4"/>
      <c r="O885" s="4"/>
      <c r="P885" s="4"/>
      <c r="S885" s="3">
        <v>883</v>
      </c>
      <c r="T885" s="8">
        <v>0.53517283201940569</v>
      </c>
      <c r="U885" s="4">
        <v>72.2</v>
      </c>
      <c r="V885" s="4">
        <v>8.8279746612125107E-2</v>
      </c>
      <c r="W885" s="4">
        <v>72.913088794709154</v>
      </c>
      <c r="X885" s="4">
        <v>5.3869112052908434</v>
      </c>
      <c r="Y885" s="4">
        <v>0.86021786278953882</v>
      </c>
    </row>
    <row r="886" spans="11:25" x14ac:dyDescent="0.25">
      <c r="K886" s="3"/>
      <c r="L886" s="8">
        <v>89</v>
      </c>
      <c r="M886" s="4"/>
      <c r="N886" s="4"/>
      <c r="O886" s="4"/>
      <c r="P886" s="4"/>
      <c r="S886" s="3">
        <v>884</v>
      </c>
      <c r="T886" s="8">
        <v>0.5357792601576713</v>
      </c>
      <c r="U886" s="4">
        <v>72.2</v>
      </c>
      <c r="V886" s="4">
        <v>8.9805874746731421E-2</v>
      </c>
      <c r="W886" s="4">
        <v>72.863771435413554</v>
      </c>
      <c r="X886" s="4">
        <v>5.1362285645864461</v>
      </c>
      <c r="Y886" s="4">
        <v>0.82018718895675347</v>
      </c>
    </row>
    <row r="887" spans="11:25" x14ac:dyDescent="0.25">
      <c r="K887" s="3"/>
      <c r="L887" s="8">
        <v>89</v>
      </c>
      <c r="M887" s="4"/>
      <c r="N887" s="4"/>
      <c r="O887" s="4"/>
      <c r="P887" s="4"/>
      <c r="S887" s="3">
        <v>885</v>
      </c>
      <c r="T887" s="8">
        <v>0.53638568829593691</v>
      </c>
      <c r="U887" s="4">
        <v>72.2</v>
      </c>
      <c r="V887" s="4">
        <v>9.1332212074037564E-2</v>
      </c>
      <c r="W887" s="4">
        <v>72.765136716822383</v>
      </c>
      <c r="X887" s="4">
        <v>5.0348632831776143</v>
      </c>
      <c r="Y887" s="4">
        <v>0.804000505640176</v>
      </c>
    </row>
    <row r="888" spans="11:25" x14ac:dyDescent="0.25">
      <c r="K888" s="3"/>
      <c r="L888" s="8">
        <v>89</v>
      </c>
      <c r="M888" s="4"/>
      <c r="N888" s="4"/>
      <c r="O888" s="4"/>
      <c r="P888" s="4"/>
      <c r="S888" s="3">
        <v>886</v>
      </c>
      <c r="T888" s="8">
        <v>0.53699211643420253</v>
      </c>
      <c r="U888" s="4">
        <v>72.2</v>
      </c>
      <c r="V888" s="4">
        <v>9.2858762208303386E-2</v>
      </c>
      <c r="W888" s="4">
        <v>66.501832086282093</v>
      </c>
      <c r="X888" s="4">
        <v>-1.4018320862820985</v>
      </c>
      <c r="Y888" s="4">
        <v>-0.22385388496231595</v>
      </c>
    </row>
    <row r="889" spans="11:25" x14ac:dyDescent="0.25">
      <c r="K889" s="3"/>
      <c r="L889" s="8">
        <v>89</v>
      </c>
      <c r="M889" s="4"/>
      <c r="N889" s="4"/>
      <c r="O889" s="4"/>
      <c r="P889" s="4"/>
      <c r="S889" s="3">
        <v>887</v>
      </c>
      <c r="T889" s="8">
        <v>0.53759854457246814</v>
      </c>
      <c r="U889" s="4">
        <v>72.2</v>
      </c>
      <c r="V889" s="4">
        <v>9.4385528767284468E-2</v>
      </c>
      <c r="W889" s="4">
        <v>76.463938663991826</v>
      </c>
      <c r="X889" s="4">
        <v>-11.763938663991823</v>
      </c>
      <c r="Y889" s="4">
        <v>-1.8785440839617304</v>
      </c>
    </row>
    <row r="890" spans="11:25" x14ac:dyDescent="0.25">
      <c r="K890" s="3"/>
      <c r="L890" s="8">
        <v>89</v>
      </c>
      <c r="M890" s="4"/>
      <c r="N890" s="4"/>
      <c r="O890" s="4"/>
      <c r="P890" s="4"/>
      <c r="S890" s="3">
        <v>888</v>
      </c>
      <c r="T890" s="8">
        <v>0.53820497271073375</v>
      </c>
      <c r="U890" s="4">
        <v>72.2</v>
      </c>
      <c r="V890" s="4">
        <v>9.5912515372293436E-2</v>
      </c>
      <c r="W890" s="4">
        <v>66.008658493326166</v>
      </c>
      <c r="X890" s="4">
        <v>-1.708658493326169</v>
      </c>
      <c r="Y890" s="4">
        <v>-0.2728499693706895</v>
      </c>
    </row>
    <row r="891" spans="11:25" x14ac:dyDescent="0.25">
      <c r="K891" s="3"/>
      <c r="L891" s="8">
        <v>89</v>
      </c>
      <c r="M891" s="4"/>
      <c r="N891" s="4"/>
      <c r="O891" s="4"/>
      <c r="P891" s="4"/>
      <c r="S891" s="3">
        <v>889</v>
      </c>
      <c r="T891" s="8">
        <v>0.53881140084899937</v>
      </c>
      <c r="U891" s="4">
        <v>72.2</v>
      </c>
      <c r="V891" s="4">
        <v>9.7439725648261366E-2</v>
      </c>
      <c r="W891" s="4">
        <v>65.71275433755261</v>
      </c>
      <c r="X891" s="4">
        <v>-1.912754337552613</v>
      </c>
      <c r="Y891" s="4">
        <v>-0.30544135323316385</v>
      </c>
    </row>
    <row r="892" spans="11:25" x14ac:dyDescent="0.25">
      <c r="K892" s="3"/>
      <c r="L892" s="8">
        <v>89</v>
      </c>
      <c r="M892" s="4"/>
      <c r="N892" s="4"/>
      <c r="O892" s="4"/>
      <c r="P892" s="4"/>
      <c r="S892" s="3">
        <v>890</v>
      </c>
      <c r="T892" s="8">
        <v>0.53941782898726498</v>
      </c>
      <c r="U892" s="4">
        <v>72.3</v>
      </c>
      <c r="V892" s="4">
        <v>9.8967163223799393E-2</v>
      </c>
      <c r="W892" s="4">
        <v>65.367532822483469</v>
      </c>
      <c r="X892" s="4">
        <v>-2.0675328224834715</v>
      </c>
      <c r="Y892" s="4">
        <v>-0.33015741266667692</v>
      </c>
    </row>
    <row r="893" spans="11:25" x14ac:dyDescent="0.25">
      <c r="K893" s="3"/>
      <c r="L893" s="8">
        <v>89</v>
      </c>
      <c r="M893" s="4"/>
      <c r="N893" s="4"/>
      <c r="O893" s="4"/>
      <c r="P893" s="4"/>
      <c r="S893" s="3">
        <v>891</v>
      </c>
      <c r="T893" s="8">
        <v>0.54002425712553059</v>
      </c>
      <c r="U893" s="4">
        <v>72.3</v>
      </c>
      <c r="V893" s="4">
        <v>0.10049483173126052</v>
      </c>
      <c r="W893" s="4">
        <v>65.071628666709913</v>
      </c>
      <c r="X893" s="4">
        <v>-2.2716286667099155</v>
      </c>
      <c r="Y893" s="4">
        <v>-0.36274879652915126</v>
      </c>
    </row>
    <row r="894" spans="11:25" x14ac:dyDescent="0.25">
      <c r="K894" s="3"/>
      <c r="L894" s="8">
        <v>36.299999999999997</v>
      </c>
      <c r="M894" s="4"/>
      <c r="N894" s="4"/>
      <c r="O894" s="4"/>
      <c r="P894" s="4"/>
      <c r="S894" s="3">
        <v>892</v>
      </c>
      <c r="T894" s="8">
        <v>0.54063068526379621</v>
      </c>
      <c r="U894" s="4">
        <v>72.3</v>
      </c>
      <c r="V894" s="4">
        <v>0.10202273480680132</v>
      </c>
      <c r="W894" s="4">
        <v>64.825041870231942</v>
      </c>
      <c r="X894" s="4">
        <v>-2.525041870231945</v>
      </c>
      <c r="Y894" s="4">
        <v>-0.40321550482058693</v>
      </c>
    </row>
    <row r="895" spans="11:25" x14ac:dyDescent="0.25">
      <c r="K895" s="3"/>
      <c r="L895" s="8">
        <v>36.299999999999997</v>
      </c>
      <c r="M895" s="4"/>
      <c r="N895" s="4"/>
      <c r="O895" s="4"/>
      <c r="P895" s="4"/>
      <c r="S895" s="3">
        <v>893</v>
      </c>
      <c r="T895" s="8">
        <v>0.54123711340206182</v>
      </c>
      <c r="U895" s="4">
        <v>72.3</v>
      </c>
      <c r="V895" s="4">
        <v>0.10355087609044436</v>
      </c>
      <c r="W895" s="4">
        <v>64.726407151640757</v>
      </c>
      <c r="X895" s="4">
        <v>-2.8264071516407583</v>
      </c>
      <c r="Y895" s="4">
        <v>-0.45133952031166102</v>
      </c>
    </row>
    <row r="896" spans="11:25" x14ac:dyDescent="0.25">
      <c r="K896" s="3"/>
      <c r="L896" s="8">
        <v>36.299999999999997</v>
      </c>
      <c r="M896" s="4"/>
      <c r="N896" s="4"/>
      <c r="O896" s="4"/>
      <c r="P896" s="4"/>
      <c r="S896" s="3">
        <v>894</v>
      </c>
      <c r="T896" s="8">
        <v>0.54184354154032743</v>
      </c>
      <c r="U896" s="4">
        <v>72.3</v>
      </c>
      <c r="V896" s="4">
        <v>0.10507925922614002</v>
      </c>
      <c r="W896" s="4">
        <v>64.627772433049572</v>
      </c>
      <c r="X896" s="4">
        <v>-3.227772433049573</v>
      </c>
      <c r="Y896" s="4">
        <v>-0.51543220188998518</v>
      </c>
    </row>
    <row r="897" spans="11:25" x14ac:dyDescent="0.25">
      <c r="K897" s="3"/>
      <c r="L897" s="8">
        <v>36.299999999999997</v>
      </c>
      <c r="M897" s="4"/>
      <c r="N897" s="4"/>
      <c r="O897" s="4"/>
      <c r="P897" s="4"/>
      <c r="S897" s="3">
        <v>895</v>
      </c>
      <c r="T897" s="8">
        <v>0.54244996967859305</v>
      </c>
      <c r="U897" s="4">
        <v>72.3</v>
      </c>
      <c r="V897" s="4">
        <v>0.1066078878618292</v>
      </c>
      <c r="W897" s="4">
        <v>64.529137714458386</v>
      </c>
      <c r="X897" s="4">
        <v>4.4708622855416138</v>
      </c>
      <c r="Y897" s="4">
        <v>0.71393706959892544</v>
      </c>
    </row>
    <row r="898" spans="11:25" x14ac:dyDescent="0.25">
      <c r="K898" s="3"/>
      <c r="L898" s="8">
        <v>36.299999999999997</v>
      </c>
      <c r="M898" s="4"/>
      <c r="N898" s="4"/>
      <c r="O898" s="4"/>
      <c r="P898" s="4"/>
      <c r="S898" s="3">
        <v>896</v>
      </c>
      <c r="T898" s="8">
        <v>0.54305639781685866</v>
      </c>
      <c r="U898" s="4">
        <v>72.3</v>
      </c>
      <c r="V898" s="4">
        <v>0.10813676564950583</v>
      </c>
      <c r="W898" s="4">
        <v>64.430502995867201</v>
      </c>
      <c r="X898" s="4">
        <v>-0.43050299586720087</v>
      </c>
      <c r="Y898" s="4">
        <v>-6.8745585905640144E-2</v>
      </c>
    </row>
    <row r="899" spans="11:25" x14ac:dyDescent="0.25">
      <c r="K899" s="3"/>
      <c r="L899" s="8">
        <v>36.299999999999997</v>
      </c>
      <c r="M899" s="4"/>
      <c r="N899" s="4"/>
      <c r="O899" s="4"/>
      <c r="P899" s="4"/>
      <c r="S899" s="3">
        <v>897</v>
      </c>
      <c r="T899" s="8">
        <v>0.54366282595512427</v>
      </c>
      <c r="U899" s="4">
        <v>72.3</v>
      </c>
      <c r="V899" s="4">
        <v>0.10966589624527953</v>
      </c>
      <c r="W899" s="4">
        <v>64.381185636571615</v>
      </c>
      <c r="X899" s="4">
        <v>-4.4811856365716167</v>
      </c>
      <c r="Y899" s="4">
        <v>-0.71558557105392118</v>
      </c>
    </row>
    <row r="900" spans="11:25" x14ac:dyDescent="0.25">
      <c r="K900" s="3"/>
      <c r="L900" s="8">
        <v>36.299999999999997</v>
      </c>
      <c r="M900" s="4"/>
      <c r="N900" s="4"/>
      <c r="O900" s="4"/>
      <c r="P900" s="4"/>
      <c r="S900" s="3">
        <v>898</v>
      </c>
      <c r="T900" s="8">
        <v>0.54426925409338989</v>
      </c>
      <c r="U900" s="4">
        <v>72.3</v>
      </c>
      <c r="V900" s="4">
        <v>0.11119528330943868</v>
      </c>
      <c r="W900" s="4">
        <v>64.23323355868483</v>
      </c>
      <c r="X900" s="4">
        <v>-4.933233558684833</v>
      </c>
      <c r="Y900" s="4">
        <v>-0.78777159429053178</v>
      </c>
    </row>
    <row r="901" spans="11:25" x14ac:dyDescent="0.25">
      <c r="K901" s="3"/>
      <c r="L901" s="8">
        <v>36.299999999999997</v>
      </c>
      <c r="M901" s="4"/>
      <c r="N901" s="4"/>
      <c r="O901" s="4"/>
      <c r="P901" s="4"/>
      <c r="S901" s="3">
        <v>899</v>
      </c>
      <c r="T901" s="8">
        <v>0.5448756822316555</v>
      </c>
      <c r="U901" s="4">
        <v>72.3</v>
      </c>
      <c r="V901" s="4">
        <v>0.11272493050651333</v>
      </c>
      <c r="W901" s="4">
        <v>59.005593473352</v>
      </c>
      <c r="X901" s="4">
        <v>-1.405593473351999</v>
      </c>
      <c r="Y901" s="4">
        <v>-0.22445452830375734</v>
      </c>
    </row>
    <row r="902" spans="11:25" x14ac:dyDescent="0.25">
      <c r="K902" s="3"/>
      <c r="L902" s="8">
        <v>89</v>
      </c>
      <c r="M902" s="4"/>
      <c r="N902" s="4"/>
      <c r="O902" s="4"/>
      <c r="P902" s="4"/>
      <c r="S902" s="3">
        <v>900</v>
      </c>
      <c r="T902" s="8">
        <v>0.54548211036992111</v>
      </c>
      <c r="U902" s="4">
        <v>72.3</v>
      </c>
      <c r="V902" s="4">
        <v>0.11425484150533879</v>
      </c>
      <c r="W902" s="4">
        <v>58.167198365326925</v>
      </c>
      <c r="X902" s="4">
        <v>-1.4671983653269223</v>
      </c>
      <c r="Y902" s="4">
        <v>-0.2342920077966438</v>
      </c>
    </row>
    <row r="903" spans="11:25" x14ac:dyDescent="0.25">
      <c r="K903" s="3"/>
      <c r="L903" s="8">
        <v>89</v>
      </c>
      <c r="M903" s="4"/>
      <c r="N903" s="4"/>
      <c r="O903" s="4"/>
      <c r="P903" s="4"/>
      <c r="S903" s="3">
        <v>901</v>
      </c>
      <c r="T903" s="8">
        <v>0.54608853850818673</v>
      </c>
      <c r="U903" s="4">
        <v>72.400000000000006</v>
      </c>
      <c r="V903" s="4">
        <v>0.11578501997911882</v>
      </c>
      <c r="W903" s="4">
        <v>75.526908837375572</v>
      </c>
      <c r="X903" s="4">
        <v>-20.226908837375575</v>
      </c>
      <c r="Y903" s="4">
        <v>-3.2299675320129282</v>
      </c>
    </row>
    <row r="904" spans="11:25" x14ac:dyDescent="0.25">
      <c r="K904" s="3"/>
      <c r="L904" s="8">
        <v>89</v>
      </c>
      <c r="M904" s="4"/>
      <c r="N904" s="4"/>
      <c r="O904" s="4"/>
      <c r="P904" s="4"/>
      <c r="S904" s="3">
        <v>902</v>
      </c>
      <c r="T904" s="8">
        <v>0.54669496664645234</v>
      </c>
      <c r="U904" s="4">
        <v>72.400000000000006</v>
      </c>
      <c r="V904" s="4">
        <v>0.11731546960548951</v>
      </c>
      <c r="W904" s="4">
        <v>55.849282478434063</v>
      </c>
      <c r="X904" s="4">
        <v>-1.7492824784340613</v>
      </c>
      <c r="Y904" s="4">
        <v>-0.27933707790390289</v>
      </c>
    </row>
    <row r="905" spans="11:25" x14ac:dyDescent="0.25">
      <c r="K905" s="3"/>
      <c r="L905" s="8">
        <v>89</v>
      </c>
      <c r="M905" s="4"/>
      <c r="N905" s="4"/>
      <c r="O905" s="4"/>
      <c r="P905" s="4"/>
      <c r="S905" s="3">
        <v>903</v>
      </c>
      <c r="T905" s="8">
        <v>0.54730139478471806</v>
      </c>
      <c r="U905" s="4">
        <v>72.400000000000006</v>
      </c>
      <c r="V905" s="4">
        <v>0.11884619406658328</v>
      </c>
      <c r="W905" s="4">
        <v>54.813617933226617</v>
      </c>
      <c r="X905" s="4">
        <v>-1.9136179332266181</v>
      </c>
      <c r="Y905" s="4">
        <v>-0.30557925794268964</v>
      </c>
    </row>
    <row r="906" spans="11:25" x14ac:dyDescent="0.25">
      <c r="K906" s="3"/>
      <c r="L906" s="8">
        <v>89</v>
      </c>
      <c r="M906" s="4"/>
      <c r="N906" s="4"/>
      <c r="O906" s="4"/>
      <c r="P906" s="4"/>
      <c r="S906" s="3">
        <v>904</v>
      </c>
      <c r="T906" s="8">
        <v>0.54790782292298368</v>
      </c>
      <c r="U906" s="4">
        <v>72.400000000000006</v>
      </c>
      <c r="V906" s="4">
        <v>0.12037719704909187</v>
      </c>
      <c r="W906" s="4">
        <v>53.383414513654429</v>
      </c>
      <c r="X906" s="4">
        <v>-1.8834145136544294</v>
      </c>
      <c r="Y906" s="4">
        <v>-0.30075617472427579</v>
      </c>
    </row>
    <row r="907" spans="11:25" x14ac:dyDescent="0.25">
      <c r="K907" s="3"/>
      <c r="L907" s="8">
        <v>89</v>
      </c>
      <c r="M907" s="4"/>
      <c r="N907" s="4"/>
      <c r="O907" s="4"/>
      <c r="P907" s="4"/>
      <c r="S907" s="3">
        <v>905</v>
      </c>
      <c r="T907" s="8">
        <v>0.54851425106124929</v>
      </c>
      <c r="U907" s="4">
        <v>72.400000000000006</v>
      </c>
      <c r="V907" s="4">
        <v>0.1219084822443324</v>
      </c>
      <c r="W907" s="4">
        <v>51.706624297604279</v>
      </c>
      <c r="X907" s="4">
        <v>-1.7066242976042787</v>
      </c>
      <c r="Y907" s="4">
        <v>-0.2725251354482997</v>
      </c>
    </row>
    <row r="908" spans="11:25" x14ac:dyDescent="0.25">
      <c r="K908" s="3"/>
      <c r="L908" s="8">
        <v>89</v>
      </c>
      <c r="M908" s="4"/>
      <c r="N908" s="4"/>
      <c r="O908" s="4"/>
      <c r="P908" s="4"/>
      <c r="S908" s="3">
        <v>906</v>
      </c>
      <c r="T908" s="8">
        <v>0.54912067919951491</v>
      </c>
      <c r="U908" s="4">
        <v>72.400000000000006</v>
      </c>
      <c r="V908" s="4">
        <v>0.12344005334831055</v>
      </c>
      <c r="W908" s="4">
        <v>50.029834081554121</v>
      </c>
      <c r="X908" s="4">
        <v>-1.5298340815541209</v>
      </c>
      <c r="Y908" s="4">
        <v>-0.24429409617232251</v>
      </c>
    </row>
    <row r="909" spans="11:25" x14ac:dyDescent="0.25">
      <c r="K909" s="3"/>
      <c r="L909" s="8">
        <v>89</v>
      </c>
      <c r="M909" s="4"/>
      <c r="N909" s="4"/>
      <c r="O909" s="4"/>
      <c r="P909" s="4"/>
      <c r="S909" s="3">
        <v>907</v>
      </c>
      <c r="T909" s="8">
        <v>0.54972710733778052</v>
      </c>
      <c r="U909" s="4">
        <v>72.400000000000006</v>
      </c>
      <c r="V909" s="4">
        <v>0.12497191406178544</v>
      </c>
      <c r="W909" s="4">
        <v>48.648948021277519</v>
      </c>
      <c r="X909" s="4">
        <v>-1.5489480212775177</v>
      </c>
      <c r="Y909" s="4">
        <v>-0.24734633738286993</v>
      </c>
    </row>
    <row r="910" spans="11:25" x14ac:dyDescent="0.25">
      <c r="K910" s="3"/>
      <c r="L910" s="8">
        <v>89</v>
      </c>
      <c r="M910" s="4"/>
      <c r="N910" s="4"/>
      <c r="O910" s="4"/>
      <c r="P910" s="4"/>
      <c r="S910" s="3">
        <v>908</v>
      </c>
      <c r="T910" s="8">
        <v>0.55033353547604613</v>
      </c>
      <c r="U910" s="4">
        <v>72.400000000000006</v>
      </c>
      <c r="V910" s="4">
        <v>0.12650406809033474</v>
      </c>
      <c r="W910" s="4">
        <v>74.343292214281348</v>
      </c>
      <c r="X910" s="4">
        <v>-28.343292214281348</v>
      </c>
      <c r="Y910" s="4">
        <v>-4.5260456918320608</v>
      </c>
    </row>
    <row r="911" spans="11:25" x14ac:dyDescent="0.25">
      <c r="K911" s="3"/>
      <c r="L911" s="8">
        <v>89</v>
      </c>
      <c r="M911" s="4"/>
      <c r="N911" s="4"/>
      <c r="O911" s="4"/>
      <c r="P911" s="4"/>
      <c r="S911" s="3">
        <v>909</v>
      </c>
      <c r="T911" s="8">
        <v>0.55093996361431175</v>
      </c>
      <c r="U911" s="4">
        <v>72.400000000000006</v>
      </c>
      <c r="V911" s="4">
        <v>0.12803651914441963</v>
      </c>
      <c r="W911" s="4">
        <v>47.268061961000924</v>
      </c>
      <c r="X911" s="4">
        <v>-2.1680619610009231</v>
      </c>
      <c r="Y911" s="4">
        <v>-0.34621057511691761</v>
      </c>
    </row>
    <row r="912" spans="11:25" x14ac:dyDescent="0.25">
      <c r="K912" s="3"/>
      <c r="L912" s="8">
        <v>89</v>
      </c>
      <c r="M912" s="4"/>
      <c r="N912" s="4"/>
      <c r="O912" s="4"/>
      <c r="P912" s="4"/>
      <c r="S912" s="3">
        <v>910</v>
      </c>
      <c r="T912" s="8">
        <v>0.55154639175257736</v>
      </c>
      <c r="U912" s="4">
        <v>72.5</v>
      </c>
      <c r="V912" s="4">
        <v>0.12956927093944995</v>
      </c>
      <c r="W912" s="4">
        <v>47.36669667959211</v>
      </c>
      <c r="X912" s="4">
        <v>-2.7666966795921084</v>
      </c>
      <c r="Y912" s="4">
        <v>-0.44180455441109151</v>
      </c>
    </row>
    <row r="913" spans="11:25" x14ac:dyDescent="0.25">
      <c r="K913" s="3"/>
      <c r="L913" s="8">
        <v>89</v>
      </c>
      <c r="M913" s="4"/>
      <c r="N913" s="4"/>
      <c r="O913" s="4"/>
      <c r="P913" s="4"/>
      <c r="S913" s="3">
        <v>911</v>
      </c>
      <c r="T913" s="8">
        <v>0.55215281989084297</v>
      </c>
      <c r="U913" s="4">
        <v>72.5</v>
      </c>
      <c r="V913" s="4">
        <v>0.13110232719585002</v>
      </c>
      <c r="W913" s="4">
        <v>74.293974854985748</v>
      </c>
      <c r="X913" s="4">
        <v>-30.293974854985748</v>
      </c>
      <c r="Y913" s="4">
        <v>-4.8375436891480934</v>
      </c>
    </row>
    <row r="914" spans="11:25" x14ac:dyDescent="0.25">
      <c r="K914" s="3"/>
      <c r="L914" s="8">
        <v>89</v>
      </c>
      <c r="M914" s="4"/>
      <c r="N914" s="4"/>
      <c r="O914" s="4"/>
      <c r="P914" s="4"/>
      <c r="S914" s="3">
        <v>912</v>
      </c>
      <c r="T914" s="8">
        <v>0.55275924802910859</v>
      </c>
      <c r="U914" s="4">
        <v>72.5</v>
      </c>
      <c r="V914" s="4">
        <v>0.13263569163912411</v>
      </c>
      <c r="W914" s="4">
        <v>71.384250656545774</v>
      </c>
      <c r="X914" s="4">
        <v>3.4157493434542232</v>
      </c>
      <c r="Y914" s="4">
        <v>0.54544960703363254</v>
      </c>
    </row>
    <row r="915" spans="11:25" x14ac:dyDescent="0.25">
      <c r="K915" s="3"/>
      <c r="L915" s="8">
        <v>89</v>
      </c>
      <c r="M915" s="4"/>
      <c r="N915" s="4"/>
      <c r="O915" s="4"/>
      <c r="P915" s="4"/>
      <c r="S915" s="3">
        <v>913</v>
      </c>
      <c r="T915" s="8">
        <v>0.5533656761673742</v>
      </c>
      <c r="U915" s="4">
        <v>72.5</v>
      </c>
      <c r="V915" s="4">
        <v>0.13416936799992255</v>
      </c>
      <c r="W915" s="4">
        <v>71.285615937954589</v>
      </c>
      <c r="X915" s="4">
        <v>3.3143840620454057</v>
      </c>
      <c r="Y915" s="4">
        <v>0.52926292371705741</v>
      </c>
    </row>
    <row r="916" spans="11:25" x14ac:dyDescent="0.25">
      <c r="K916" s="3"/>
      <c r="L916" s="8">
        <v>89</v>
      </c>
      <c r="M916" s="4"/>
      <c r="N916" s="4"/>
      <c r="O916" s="4"/>
      <c r="P916" s="4"/>
      <c r="S916" s="3">
        <v>914</v>
      </c>
      <c r="T916" s="8">
        <v>0.55397210430563981</v>
      </c>
      <c r="U916" s="4">
        <v>72.5</v>
      </c>
      <c r="V916" s="4">
        <v>0.13570336001410777</v>
      </c>
      <c r="W916" s="4">
        <v>71.236298578659003</v>
      </c>
      <c r="X916" s="4">
        <v>3.2637014213409969</v>
      </c>
      <c r="Y916" s="4">
        <v>0.52116958205876973</v>
      </c>
    </row>
    <row r="917" spans="11:25" x14ac:dyDescent="0.25">
      <c r="K917" s="3"/>
      <c r="L917" s="8">
        <v>36.299999999999997</v>
      </c>
      <c r="M917" s="4"/>
      <c r="N917" s="4"/>
      <c r="O917" s="4"/>
      <c r="P917" s="4"/>
      <c r="S917" s="3">
        <v>915</v>
      </c>
      <c r="T917" s="8">
        <v>0.55457853244390543</v>
      </c>
      <c r="U917" s="4">
        <v>72.5</v>
      </c>
      <c r="V917" s="4">
        <v>0.13723767142282073</v>
      </c>
      <c r="W917" s="4">
        <v>76.957112256947752</v>
      </c>
      <c r="X917" s="4">
        <v>-2.6571122569477552</v>
      </c>
      <c r="Y917" s="4">
        <v>-0.4243053838753742</v>
      </c>
    </row>
    <row r="918" spans="11:25" x14ac:dyDescent="0.25">
      <c r="K918" s="3"/>
      <c r="L918" s="8">
        <v>36.299999999999997</v>
      </c>
      <c r="M918" s="4"/>
      <c r="N918" s="4"/>
      <c r="O918" s="4"/>
      <c r="P918" s="4"/>
      <c r="S918" s="3">
        <v>916</v>
      </c>
      <c r="T918" s="8">
        <v>0.55518496058217104</v>
      </c>
      <c r="U918" s="4">
        <v>72.5</v>
      </c>
      <c r="V918" s="4">
        <v>0.1387723059725478</v>
      </c>
      <c r="W918" s="4">
        <v>71.137663860067818</v>
      </c>
      <c r="X918" s="4">
        <v>2.9623361399321766</v>
      </c>
      <c r="Y918" s="4">
        <v>0.47304556656769453</v>
      </c>
    </row>
    <row r="919" spans="11:25" x14ac:dyDescent="0.25">
      <c r="K919" s="3"/>
      <c r="L919" s="8">
        <v>36.299999999999997</v>
      </c>
      <c r="M919" s="4"/>
      <c r="N919" s="4"/>
      <c r="O919" s="4"/>
      <c r="P919" s="4"/>
      <c r="S919" s="3">
        <v>917</v>
      </c>
      <c r="T919" s="8">
        <v>0.55579138872043665</v>
      </c>
      <c r="U919" s="4">
        <v>72.5</v>
      </c>
      <c r="V919" s="4">
        <v>0.14030726741518737</v>
      </c>
      <c r="W919" s="4">
        <v>71.137663860067818</v>
      </c>
      <c r="X919" s="4">
        <v>2.8623361399321823</v>
      </c>
      <c r="Y919" s="4">
        <v>0.45707690048044564</v>
      </c>
    </row>
    <row r="920" spans="11:25" x14ac:dyDescent="0.25">
      <c r="K920" s="3"/>
      <c r="L920" s="8">
        <v>36.299999999999997</v>
      </c>
      <c r="M920" s="4"/>
      <c r="N920" s="4"/>
      <c r="O920" s="4"/>
      <c r="P920" s="4"/>
      <c r="S920" s="3">
        <v>918</v>
      </c>
      <c r="T920" s="8">
        <v>0.55639781685870227</v>
      </c>
      <c r="U920" s="4">
        <v>72.5</v>
      </c>
      <c r="V920" s="4">
        <v>0.14184255950811692</v>
      </c>
      <c r="W920" s="4">
        <v>71.088346500772218</v>
      </c>
      <c r="X920" s="4">
        <v>2.7116534992277792</v>
      </c>
      <c r="Y920" s="4">
        <v>0.43301489273490912</v>
      </c>
    </row>
    <row r="921" spans="11:25" x14ac:dyDescent="0.25">
      <c r="K921" s="3"/>
      <c r="L921" s="8">
        <v>36.299999999999997</v>
      </c>
      <c r="M921" s="4"/>
      <c r="N921" s="4"/>
      <c r="O921" s="4"/>
      <c r="P921" s="4"/>
      <c r="S921" s="3">
        <v>919</v>
      </c>
      <c r="T921" s="8">
        <v>0.55700424499696788</v>
      </c>
      <c r="U921" s="4">
        <v>72.5</v>
      </c>
      <c r="V921" s="4">
        <v>0.14337818601426072</v>
      </c>
      <c r="W921" s="4">
        <v>71.039029141476632</v>
      </c>
      <c r="X921" s="4">
        <v>2.6609708585233705</v>
      </c>
      <c r="Y921" s="4">
        <v>0.42492155107662155</v>
      </c>
    </row>
    <row r="922" spans="11:25" x14ac:dyDescent="0.25">
      <c r="K922" s="3"/>
      <c r="L922" s="8">
        <v>36.299999999999997</v>
      </c>
      <c r="M922" s="4"/>
      <c r="N922" s="4"/>
      <c r="O922" s="4"/>
      <c r="P922" s="4"/>
      <c r="S922" s="3">
        <v>920</v>
      </c>
      <c r="T922" s="8">
        <v>0.55761067313523349</v>
      </c>
      <c r="U922" s="4">
        <v>72.5</v>
      </c>
      <c r="V922" s="4">
        <v>0.14491415070215702</v>
      </c>
      <c r="W922" s="4">
        <v>70.989711782181033</v>
      </c>
      <c r="X922" s="4">
        <v>2.6102882178189617</v>
      </c>
      <c r="Y922" s="4">
        <v>0.41682820941833398</v>
      </c>
    </row>
    <row r="923" spans="11:25" x14ac:dyDescent="0.25">
      <c r="K923" s="3"/>
      <c r="L923" s="8">
        <v>36.299999999999997</v>
      </c>
      <c r="M923" s="4"/>
      <c r="N923" s="4"/>
      <c r="O923" s="4"/>
      <c r="P923" s="4"/>
      <c r="S923" s="3">
        <v>921</v>
      </c>
      <c r="T923" s="8">
        <v>0.55821710127349911</v>
      </c>
      <c r="U923" s="4">
        <v>72.5</v>
      </c>
      <c r="V923" s="4">
        <v>0.14645045734602624</v>
      </c>
      <c r="W923" s="4">
        <v>70.940394422885447</v>
      </c>
      <c r="X923" s="4">
        <v>2.4596055771145586</v>
      </c>
      <c r="Y923" s="4">
        <v>0.39276620167279747</v>
      </c>
    </row>
    <row r="924" spans="11:25" x14ac:dyDescent="0.25">
      <c r="K924" s="3"/>
      <c r="L924" s="8">
        <v>36.299999999999997</v>
      </c>
      <c r="M924" s="4"/>
      <c r="N924" s="4"/>
      <c r="O924" s="4"/>
      <c r="P924" s="4"/>
      <c r="S924" s="3">
        <v>922</v>
      </c>
      <c r="T924" s="8">
        <v>0.55882352941176472</v>
      </c>
      <c r="U924" s="4">
        <v>72.599999999999994</v>
      </c>
      <c r="V924" s="4">
        <v>0.14798710972583887</v>
      </c>
      <c r="W924" s="4">
        <v>70.841759704294262</v>
      </c>
      <c r="X924" s="4">
        <v>2.3582402957057411</v>
      </c>
      <c r="Y924" s="4">
        <v>0.37657951835622228</v>
      </c>
    </row>
    <row r="925" spans="11:25" x14ac:dyDescent="0.25">
      <c r="K925" s="3"/>
      <c r="L925" s="8">
        <v>36.299999999999997</v>
      </c>
      <c r="M925" s="4"/>
      <c r="N925" s="4"/>
      <c r="O925" s="4"/>
      <c r="P925" s="4"/>
      <c r="S925" s="3">
        <v>923</v>
      </c>
      <c r="T925" s="8">
        <v>0.55942995755003033</v>
      </c>
      <c r="U925" s="4">
        <v>72.599999999999994</v>
      </c>
      <c r="V925" s="4">
        <v>0.14952411162738388</v>
      </c>
      <c r="W925" s="4">
        <v>70.792442344998662</v>
      </c>
      <c r="X925" s="4">
        <v>2.3075576550013324</v>
      </c>
      <c r="Y925" s="4">
        <v>0.36848617669793471</v>
      </c>
    </row>
    <row r="926" spans="11:25" x14ac:dyDescent="0.25">
      <c r="K926" s="3"/>
      <c r="L926" s="8">
        <v>36.299999999999997</v>
      </c>
      <c r="M926" s="4"/>
      <c r="N926" s="4"/>
      <c r="O926" s="4"/>
      <c r="P926" s="4"/>
      <c r="S926" s="3">
        <v>924</v>
      </c>
      <c r="T926" s="8">
        <v>0.56003638568829595</v>
      </c>
      <c r="U926" s="4">
        <v>72.599999999999994</v>
      </c>
      <c r="V926" s="4">
        <v>0.15106146684233723</v>
      </c>
      <c r="W926" s="4">
        <v>76.907794897652167</v>
      </c>
      <c r="X926" s="4">
        <v>-4.0077948976521611</v>
      </c>
      <c r="Y926" s="4">
        <v>-0.63999138466790884</v>
      </c>
    </row>
    <row r="927" spans="11:25" x14ac:dyDescent="0.25">
      <c r="K927" s="3"/>
      <c r="L927" s="8">
        <v>36.299999999999997</v>
      </c>
      <c r="M927" s="4"/>
      <c r="N927" s="4"/>
      <c r="O927" s="4"/>
      <c r="P927" s="4"/>
      <c r="S927" s="3">
        <v>925</v>
      </c>
      <c r="T927" s="8">
        <v>0.56064281382656156</v>
      </c>
      <c r="U927" s="4">
        <v>72.599999999999994</v>
      </c>
      <c r="V927" s="4">
        <v>0.1525991791683311</v>
      </c>
      <c r="W927" s="4">
        <v>70.496538189225106</v>
      </c>
      <c r="X927" s="4">
        <v>2.2034618107748969</v>
      </c>
      <c r="Y927" s="4">
        <v>0.35186345892271154</v>
      </c>
    </row>
    <row r="928" spans="11:25" x14ac:dyDescent="0.25">
      <c r="K928" s="3"/>
      <c r="L928" s="8">
        <v>36.299999999999997</v>
      </c>
      <c r="M928" s="4"/>
      <c r="N928" s="4"/>
      <c r="O928" s="4"/>
      <c r="P928" s="4"/>
      <c r="S928" s="3">
        <v>926</v>
      </c>
      <c r="T928" s="8">
        <v>0.56124924196482717</v>
      </c>
      <c r="U928" s="4">
        <v>72.599999999999994</v>
      </c>
      <c r="V928" s="4">
        <v>0.1541372524090226</v>
      </c>
      <c r="W928" s="4">
        <v>70.24995139274715</v>
      </c>
      <c r="X928" s="4">
        <v>2.150048607252856</v>
      </c>
      <c r="Y928" s="4">
        <v>0.34333408280577365</v>
      </c>
    </row>
    <row r="929" spans="11:25" x14ac:dyDescent="0.25">
      <c r="K929" s="3"/>
      <c r="L929" s="8">
        <v>36.299999999999997</v>
      </c>
      <c r="M929" s="4"/>
      <c r="N929" s="4"/>
      <c r="O929" s="4"/>
      <c r="P929" s="4"/>
      <c r="S929" s="3">
        <v>927</v>
      </c>
      <c r="T929" s="8">
        <v>0.56185567010309279</v>
      </c>
      <c r="U929" s="4">
        <v>72.599999999999994</v>
      </c>
      <c r="V929" s="4">
        <v>0.15567569037416343</v>
      </c>
      <c r="W929" s="4">
        <v>74.540561651463719</v>
      </c>
      <c r="X929" s="4">
        <v>3.659438348536284</v>
      </c>
      <c r="Y929" s="4">
        <v>0.58436349054652803</v>
      </c>
    </row>
    <row r="930" spans="11:25" x14ac:dyDescent="0.25">
      <c r="K930" s="3"/>
      <c r="L930" s="8">
        <v>36.299999999999997</v>
      </c>
      <c r="M930" s="4"/>
      <c r="N930" s="4"/>
      <c r="O930" s="4"/>
      <c r="P930" s="4"/>
      <c r="S930" s="3">
        <v>928</v>
      </c>
      <c r="T930" s="8">
        <v>0.5624620982413584</v>
      </c>
      <c r="U930" s="4">
        <v>72.599999999999994</v>
      </c>
      <c r="V930" s="4">
        <v>0.15721449687966954</v>
      </c>
      <c r="W930" s="4">
        <v>74.441926932872533</v>
      </c>
      <c r="X930" s="4">
        <v>3.4580730671274722</v>
      </c>
      <c r="Y930" s="4">
        <v>0.552208141142704</v>
      </c>
    </row>
    <row r="931" spans="11:25" x14ac:dyDescent="0.25">
      <c r="K931" s="3"/>
      <c r="L931" s="8">
        <v>36.299999999999997</v>
      </c>
      <c r="M931" s="4"/>
      <c r="N931" s="4"/>
      <c r="O931" s="4"/>
      <c r="P931" s="4"/>
      <c r="S931" s="3">
        <v>929</v>
      </c>
      <c r="T931" s="8">
        <v>0.56306852637962401</v>
      </c>
      <c r="U931" s="4">
        <v>72.599999999999994</v>
      </c>
      <c r="V931" s="4">
        <v>0.15875367574769092</v>
      </c>
      <c r="W931" s="4">
        <v>74.392609573576934</v>
      </c>
      <c r="X931" s="4">
        <v>3.2073904264230606</v>
      </c>
      <c r="Y931" s="4">
        <v>0.51217746730991631</v>
      </c>
    </row>
    <row r="932" spans="11:25" x14ac:dyDescent="0.25">
      <c r="K932" s="3"/>
      <c r="L932" s="8">
        <v>36.299999999999997</v>
      </c>
      <c r="M932" s="4"/>
      <c r="N932" s="4"/>
      <c r="O932" s="4"/>
      <c r="P932" s="4"/>
      <c r="S932" s="3">
        <v>930</v>
      </c>
      <c r="T932" s="8">
        <v>0.56367495451788963</v>
      </c>
      <c r="U932" s="4">
        <v>72.599999999999994</v>
      </c>
      <c r="V932" s="4">
        <v>0.16029323080668209</v>
      </c>
      <c r="W932" s="4">
        <v>74.293974854985748</v>
      </c>
      <c r="X932" s="4">
        <v>3.0060251450142488</v>
      </c>
      <c r="Y932" s="4">
        <v>0.48002211790609223</v>
      </c>
    </row>
    <row r="933" spans="11:25" x14ac:dyDescent="0.25">
      <c r="K933" s="3"/>
      <c r="L933" s="8">
        <v>36.299999999999997</v>
      </c>
      <c r="M933" s="4"/>
      <c r="N933" s="4"/>
      <c r="O933" s="4"/>
      <c r="P933" s="4"/>
      <c r="S933" s="3">
        <v>931</v>
      </c>
      <c r="T933" s="8">
        <v>0.56428138265615524</v>
      </c>
      <c r="U933" s="4">
        <v>72.599999999999994</v>
      </c>
      <c r="V933" s="4">
        <v>0.1618331658914724</v>
      </c>
      <c r="W933" s="4">
        <v>73.998070699212192</v>
      </c>
      <c r="X933" s="4">
        <v>2.7019293007878105</v>
      </c>
      <c r="Y933" s="4">
        <v>0.43146206795636899</v>
      </c>
    </row>
    <row r="934" spans="11:25" x14ac:dyDescent="0.25">
      <c r="K934" s="3"/>
      <c r="L934" s="8">
        <v>89</v>
      </c>
      <c r="M934" s="4"/>
      <c r="N934" s="4"/>
      <c r="O934" s="4"/>
      <c r="P934" s="4"/>
      <c r="S934" s="3">
        <v>932</v>
      </c>
      <c r="T934" s="8">
        <v>0.56488781079442085</v>
      </c>
      <c r="U934" s="4">
        <v>72.7</v>
      </c>
      <c r="V934" s="4">
        <v>0.16337348484333702</v>
      </c>
      <c r="W934" s="4">
        <v>73.899435980621007</v>
      </c>
      <c r="X934" s="4">
        <v>2.4005640193789901</v>
      </c>
      <c r="Y934" s="4">
        <v>0.38333805246529373</v>
      </c>
    </row>
    <row r="935" spans="11:25" x14ac:dyDescent="0.25">
      <c r="K935" s="3"/>
      <c r="L935" s="8">
        <v>89</v>
      </c>
      <c r="M935" s="4"/>
      <c r="N935" s="4"/>
      <c r="O935" s="4"/>
      <c r="P935" s="4"/>
      <c r="S935" s="3">
        <v>933</v>
      </c>
      <c r="T935" s="8">
        <v>0.56549423893268647</v>
      </c>
      <c r="U935" s="4">
        <v>72.7</v>
      </c>
      <c r="V935" s="4">
        <v>0.16491419151006786</v>
      </c>
      <c r="W935" s="4">
        <v>73.603531824847451</v>
      </c>
      <c r="X935" s="4">
        <v>2.2964681751525546</v>
      </c>
      <c r="Y935" s="4">
        <v>0.36671533469007056</v>
      </c>
    </row>
    <row r="936" spans="11:25" x14ac:dyDescent="0.25">
      <c r="K936" s="3"/>
      <c r="L936" s="8">
        <v>89</v>
      </c>
      <c r="M936" s="4"/>
      <c r="N936" s="4"/>
      <c r="O936" s="4"/>
      <c r="P936" s="4"/>
      <c r="S936" s="3">
        <v>934</v>
      </c>
      <c r="T936" s="8">
        <v>0.56610066707095208</v>
      </c>
      <c r="U936" s="4">
        <v>72.7</v>
      </c>
      <c r="V936" s="4">
        <v>0.16645528974604515</v>
      </c>
      <c r="W936" s="4">
        <v>73.554214465551865</v>
      </c>
      <c r="X936" s="4">
        <v>1.8457855344481402</v>
      </c>
      <c r="Y936" s="4">
        <v>0.29474732868278281</v>
      </c>
    </row>
    <row r="937" spans="11:25" x14ac:dyDescent="0.25">
      <c r="K937" s="3"/>
      <c r="L937" s="8">
        <v>89</v>
      </c>
      <c r="M937" s="4"/>
      <c r="N937" s="4"/>
      <c r="O937" s="4"/>
      <c r="P937" s="4"/>
      <c r="S937" s="3">
        <v>935</v>
      </c>
      <c r="T937" s="8">
        <v>0.56670709520921769</v>
      </c>
      <c r="U937" s="4">
        <v>72.7</v>
      </c>
      <c r="V937" s="4">
        <v>0.16799678341230878</v>
      </c>
      <c r="W937" s="4">
        <v>73.258310309778295</v>
      </c>
      <c r="X937" s="4">
        <v>1.7416896902217047</v>
      </c>
      <c r="Y937" s="4">
        <v>0.27812461090755963</v>
      </c>
    </row>
    <row r="938" spans="11:25" x14ac:dyDescent="0.25">
      <c r="K938" s="3"/>
      <c r="L938" s="8">
        <v>89</v>
      </c>
      <c r="M938" s="4"/>
      <c r="N938" s="4"/>
      <c r="O938" s="4"/>
      <c r="P938" s="4"/>
      <c r="S938" s="3">
        <v>936</v>
      </c>
      <c r="T938" s="8">
        <v>0.56731352334748331</v>
      </c>
      <c r="U938" s="4">
        <v>72.7</v>
      </c>
      <c r="V938" s="4">
        <v>0.16953867637663081</v>
      </c>
      <c r="W938" s="4">
        <v>73.011723513300339</v>
      </c>
      <c r="X938" s="4">
        <v>1.2882764866996581</v>
      </c>
      <c r="Y938" s="4">
        <v>0.20572057044162159</v>
      </c>
    </row>
    <row r="939" spans="11:25" x14ac:dyDescent="0.25">
      <c r="K939" s="3"/>
      <c r="L939" s="8">
        <v>89</v>
      </c>
      <c r="M939" s="4"/>
      <c r="N939" s="4"/>
      <c r="O939" s="4"/>
      <c r="P939" s="4"/>
      <c r="S939" s="3">
        <v>937</v>
      </c>
      <c r="T939" s="8">
        <v>0.56791995148574892</v>
      </c>
      <c r="U939" s="4">
        <v>72.7</v>
      </c>
      <c r="V939" s="4">
        <v>0.1710809725135872</v>
      </c>
      <c r="W939" s="4">
        <v>76.809160179060981</v>
      </c>
      <c r="X939" s="4">
        <v>-3.4091601790609758</v>
      </c>
      <c r="Y939" s="4">
        <v>-0.54439740537373493</v>
      </c>
    </row>
    <row r="940" spans="11:25" x14ac:dyDescent="0.25">
      <c r="K940" s="3"/>
      <c r="L940" s="8">
        <v>89</v>
      </c>
      <c r="M940" s="4"/>
      <c r="N940" s="4"/>
      <c r="O940" s="4"/>
      <c r="P940" s="4"/>
      <c r="S940" s="3">
        <v>938</v>
      </c>
      <c r="T940" s="8">
        <v>0.56852637962401453</v>
      </c>
      <c r="U940" s="4">
        <v>72.7</v>
      </c>
      <c r="V940" s="4">
        <v>0.17262367570463083</v>
      </c>
      <c r="W940" s="4">
        <v>72.074693686684071</v>
      </c>
      <c r="X940" s="4">
        <v>0.62530631331593156</v>
      </c>
      <c r="Y940" s="4">
        <v>9.9853077195913201E-2</v>
      </c>
    </row>
    <row r="941" spans="11:25" x14ac:dyDescent="0.25">
      <c r="K941" s="3"/>
      <c r="L941" s="8">
        <v>89</v>
      </c>
      <c r="M941" s="4"/>
      <c r="N941" s="4"/>
      <c r="O941" s="4"/>
      <c r="P941" s="4"/>
      <c r="S941" s="3">
        <v>939</v>
      </c>
      <c r="T941" s="8">
        <v>0.56913280776228015</v>
      </c>
      <c r="U941" s="4">
        <v>72.7</v>
      </c>
      <c r="V941" s="4">
        <v>0.17416678983816411</v>
      </c>
      <c r="W941" s="4">
        <v>71.482885375136959</v>
      </c>
      <c r="X941" s="4">
        <v>0.31711462486303788</v>
      </c>
      <c r="Y941" s="4">
        <v>5.0638975558213381E-2</v>
      </c>
    </row>
    <row r="942" spans="11:25" x14ac:dyDescent="0.25">
      <c r="K942" s="3"/>
      <c r="L942" s="8">
        <v>89</v>
      </c>
      <c r="M942" s="4"/>
      <c r="N942" s="4"/>
      <c r="O942" s="4"/>
      <c r="P942" s="4"/>
      <c r="S942" s="3">
        <v>940</v>
      </c>
      <c r="T942" s="8">
        <v>0.56973923590054576</v>
      </c>
      <c r="U942" s="4">
        <v>72.7</v>
      </c>
      <c r="V942" s="4">
        <v>0.17571031880961252</v>
      </c>
      <c r="W942" s="4">
        <v>71.236298578659003</v>
      </c>
      <c r="X942" s="4">
        <v>6.7637014213409969</v>
      </c>
      <c r="Y942" s="4">
        <v>1.0800728951125131</v>
      </c>
    </row>
    <row r="943" spans="11:25" x14ac:dyDescent="0.25">
      <c r="K943" s="3"/>
      <c r="L943" s="8">
        <v>89</v>
      </c>
      <c r="M943" s="4"/>
      <c r="N943" s="4"/>
      <c r="O943" s="4"/>
      <c r="P943" s="4"/>
      <c r="S943" s="3">
        <v>941</v>
      </c>
      <c r="T943" s="8">
        <v>0.57034566403881137</v>
      </c>
      <c r="U943" s="4">
        <v>72.7</v>
      </c>
      <c r="V943" s="4">
        <v>0.17725426652149776</v>
      </c>
      <c r="W943" s="4">
        <v>70.743124985703076</v>
      </c>
      <c r="X943" s="4">
        <v>-1.1431249857030821</v>
      </c>
      <c r="Y943" s="4">
        <v>-0.18254181192684729</v>
      </c>
    </row>
    <row r="944" spans="11:25" x14ac:dyDescent="0.25">
      <c r="K944" s="3"/>
      <c r="L944" s="8">
        <v>89</v>
      </c>
      <c r="M944" s="4"/>
      <c r="N944" s="4"/>
      <c r="O944" s="4"/>
      <c r="P944" s="4"/>
      <c r="S944" s="3">
        <v>942</v>
      </c>
      <c r="T944" s="8">
        <v>0.57095209217707699</v>
      </c>
      <c r="U944" s="4">
        <v>72.7</v>
      </c>
      <c r="V944" s="4">
        <v>0.17879863688351191</v>
      </c>
      <c r="W944" s="4">
        <v>64.183916199389245</v>
      </c>
      <c r="X944" s="4">
        <v>-6.3839161993892475</v>
      </c>
      <c r="Y944" s="4">
        <v>-1.0194262611703178</v>
      </c>
    </row>
    <row r="945" spans="11:25" x14ac:dyDescent="0.25">
      <c r="K945" s="3"/>
      <c r="L945" s="8">
        <v>89</v>
      </c>
      <c r="M945" s="4"/>
      <c r="N945" s="4"/>
      <c r="O945" s="4"/>
      <c r="P945" s="4"/>
      <c r="S945" s="3">
        <v>943</v>
      </c>
      <c r="T945" s="8">
        <v>0.5715585203153426</v>
      </c>
      <c r="U945" s="4">
        <v>72.7</v>
      </c>
      <c r="V945" s="4">
        <v>0.18034343381259155</v>
      </c>
      <c r="W945" s="4">
        <v>64.03596412150246</v>
      </c>
      <c r="X945" s="4">
        <v>-6.7359641215024624</v>
      </c>
      <c r="Y945" s="4">
        <v>-1.0756436183196783</v>
      </c>
    </row>
    <row r="946" spans="11:25" x14ac:dyDescent="0.25">
      <c r="K946" s="3"/>
      <c r="L946" s="8">
        <v>89</v>
      </c>
      <c r="M946" s="4"/>
      <c r="N946" s="4"/>
      <c r="O946" s="4"/>
      <c r="P946" s="4"/>
      <c r="S946" s="3">
        <v>944</v>
      </c>
      <c r="T946" s="8">
        <v>0.57216494845360821</v>
      </c>
      <c r="U946" s="4">
        <v>72.7</v>
      </c>
      <c r="V946" s="4">
        <v>0.1818886612329921</v>
      </c>
      <c r="W946" s="4">
        <v>76.266669226809455</v>
      </c>
      <c r="X946" s="4">
        <v>-19.066669226809452</v>
      </c>
      <c r="Y946" s="4">
        <v>-3.0446927427896164</v>
      </c>
    </row>
    <row r="947" spans="11:25" x14ac:dyDescent="0.25">
      <c r="K947" s="3"/>
      <c r="L947" s="8">
        <v>89</v>
      </c>
      <c r="M947" s="4"/>
      <c r="N947" s="4"/>
      <c r="O947" s="4"/>
      <c r="P947" s="4"/>
      <c r="S947" s="3">
        <v>945</v>
      </c>
      <c r="T947" s="8">
        <v>0.57277137659187383</v>
      </c>
      <c r="U947" s="4">
        <v>72.8</v>
      </c>
      <c r="V947" s="4">
        <v>0.18343432307636304</v>
      </c>
      <c r="W947" s="4">
        <v>64.23323355868483</v>
      </c>
      <c r="X947" s="4">
        <v>-7.433233558684833</v>
      </c>
      <c r="Y947" s="4">
        <v>-1.1869882464717771</v>
      </c>
    </row>
    <row r="948" spans="11:25" x14ac:dyDescent="0.25">
      <c r="K948" s="3"/>
      <c r="L948" s="8">
        <v>89</v>
      </c>
      <c r="M948" s="4"/>
      <c r="N948" s="4"/>
      <c r="O948" s="4"/>
      <c r="P948" s="4"/>
      <c r="S948" s="3">
        <v>946</v>
      </c>
      <c r="T948" s="8">
        <v>0.57337780473013944</v>
      </c>
      <c r="U948" s="4">
        <v>72.8</v>
      </c>
      <c r="V948" s="4">
        <v>0.1849804232818226</v>
      </c>
      <c r="W948" s="4">
        <v>64.134598840093645</v>
      </c>
      <c r="X948" s="4">
        <v>-7.6345988400936449</v>
      </c>
      <c r="Y948" s="4">
        <v>-1.2191435958756012</v>
      </c>
    </row>
    <row r="949" spans="11:25" x14ac:dyDescent="0.25">
      <c r="K949" s="3"/>
      <c r="L949" s="8">
        <v>36.299999999999997</v>
      </c>
      <c r="M949" s="4"/>
      <c r="N949" s="4"/>
      <c r="O949" s="4"/>
      <c r="P949" s="4"/>
      <c r="S949" s="3">
        <v>947</v>
      </c>
      <c r="T949" s="8">
        <v>0.57398423286840505</v>
      </c>
      <c r="U949" s="4">
        <v>72.8</v>
      </c>
      <c r="V949" s="4">
        <v>0.18652696579603389</v>
      </c>
      <c r="W949" s="4">
        <v>63.986646762206867</v>
      </c>
      <c r="X949" s="4">
        <v>-7.9866467622068669</v>
      </c>
      <c r="Y949" s="4">
        <v>-1.2753609530249628</v>
      </c>
    </row>
    <row r="950" spans="11:25" x14ac:dyDescent="0.25">
      <c r="K950" s="3"/>
      <c r="L950" s="8">
        <v>89</v>
      </c>
      <c r="M950" s="4"/>
      <c r="N950" s="4"/>
      <c r="O950" s="4"/>
      <c r="P950" s="4"/>
      <c r="S950" s="3">
        <v>948</v>
      </c>
      <c r="T950" s="8">
        <v>0.57459066100667067</v>
      </c>
      <c r="U950" s="4">
        <v>72.8</v>
      </c>
      <c r="V950" s="4">
        <v>0.18807395457328016</v>
      </c>
      <c r="W950" s="4">
        <v>63.888012043615682</v>
      </c>
      <c r="X950" s="4">
        <v>-8.3880120436156815</v>
      </c>
      <c r="Y950" s="4">
        <v>-1.339453634603287</v>
      </c>
    </row>
    <row r="951" spans="11:25" x14ac:dyDescent="0.25">
      <c r="K951" s="3"/>
      <c r="L951" s="8">
        <v>89</v>
      </c>
      <c r="M951" s="4"/>
      <c r="N951" s="4"/>
      <c r="O951" s="4"/>
      <c r="P951" s="4"/>
      <c r="S951" s="3">
        <v>949</v>
      </c>
      <c r="T951" s="8">
        <v>0.57519708914493628</v>
      </c>
      <c r="U951" s="4">
        <v>72.8</v>
      </c>
      <c r="V951" s="4">
        <v>0.18962139357554153</v>
      </c>
      <c r="W951" s="4">
        <v>63.690742606433311</v>
      </c>
      <c r="X951" s="4">
        <v>-8.6907426064333109</v>
      </c>
      <c r="Y951" s="4">
        <v>-1.3877956673236862</v>
      </c>
    </row>
    <row r="952" spans="11:25" x14ac:dyDescent="0.25">
      <c r="K952" s="3"/>
      <c r="L952" s="8">
        <v>89</v>
      </c>
      <c r="M952" s="4"/>
      <c r="N952" s="4"/>
      <c r="O952" s="4"/>
      <c r="P952" s="4"/>
      <c r="S952" s="3">
        <v>950</v>
      </c>
      <c r="T952" s="8">
        <v>0.57580351728320189</v>
      </c>
      <c r="U952" s="4">
        <v>72.8</v>
      </c>
      <c r="V952" s="4">
        <v>0.19116928677257125</v>
      </c>
      <c r="W952" s="4">
        <v>63.394838450659755</v>
      </c>
      <c r="X952" s="4">
        <v>-9.0948384506597577</v>
      </c>
      <c r="Y952" s="4">
        <v>-1.4523243833606607</v>
      </c>
    </row>
    <row r="953" spans="11:25" x14ac:dyDescent="0.25">
      <c r="K953" s="3"/>
      <c r="L953" s="8">
        <v>89</v>
      </c>
      <c r="M953" s="4"/>
      <c r="N953" s="4"/>
      <c r="O953" s="4"/>
      <c r="P953" s="4"/>
      <c r="S953" s="3">
        <v>951</v>
      </c>
      <c r="T953" s="8">
        <v>0.57640994542146751</v>
      </c>
      <c r="U953" s="4">
        <v>72.8</v>
      </c>
      <c r="V953" s="4">
        <v>0.19271763814197276</v>
      </c>
      <c r="W953" s="4">
        <v>76.16803450821827</v>
      </c>
      <c r="X953" s="4">
        <v>-22.568034508218268</v>
      </c>
      <c r="Y953" s="4">
        <v>-3.6038140730726846</v>
      </c>
    </row>
    <row r="954" spans="11:25" x14ac:dyDescent="0.25">
      <c r="K954" s="3"/>
      <c r="L954" s="8">
        <v>89</v>
      </c>
      <c r="M954" s="4"/>
      <c r="N954" s="4"/>
      <c r="O954" s="4"/>
      <c r="P954" s="4"/>
      <c r="S954" s="3">
        <v>952</v>
      </c>
      <c r="T954" s="8">
        <v>0.57701637355973312</v>
      </c>
      <c r="U954" s="4">
        <v>72.8</v>
      </c>
      <c r="V954" s="4">
        <v>0.19426645166927706</v>
      </c>
      <c r="W954" s="4">
        <v>63.000299576295014</v>
      </c>
      <c r="X954" s="4">
        <v>-10.200299576295016</v>
      </c>
    </row>
    <row r="955" spans="11:25" x14ac:dyDescent="0.25">
      <c r="K955" s="3"/>
      <c r="L955" s="8">
        <v>89</v>
      </c>
      <c r="M955" s="4"/>
      <c r="N955" s="4"/>
      <c r="O955" s="4"/>
      <c r="P955" s="4"/>
      <c r="S955" s="3">
        <v>953</v>
      </c>
      <c r="T955" s="8">
        <v>0.57762280169799873</v>
      </c>
      <c r="U955" s="4">
        <v>72.8</v>
      </c>
      <c r="V955" s="4">
        <v>0.19581573134802022</v>
      </c>
      <c r="W955" s="4">
        <v>62.852347498408236</v>
      </c>
      <c r="X955" s="4">
        <v>-10.852347498408236</v>
      </c>
    </row>
    <row r="956" spans="11:25" x14ac:dyDescent="0.25">
      <c r="K956" s="3"/>
      <c r="L956" s="8">
        <v>89</v>
      </c>
      <c r="M956" s="4"/>
      <c r="N956" s="4"/>
      <c r="O956" s="4"/>
      <c r="P956" s="4"/>
      <c r="S956" s="3">
        <v>954</v>
      </c>
      <c r="T956" s="8">
        <v>0.57822922983626446</v>
      </c>
      <c r="U956" s="4">
        <v>72.8</v>
      </c>
      <c r="V956" s="4">
        <v>0.19736548117982175</v>
      </c>
      <c r="W956" s="4">
        <v>74.88578316653286</v>
      </c>
      <c r="X956" s="4">
        <v>6.5142168334671453</v>
      </c>
    </row>
    <row r="957" spans="11:25" x14ac:dyDescent="0.25">
      <c r="K957" s="3"/>
      <c r="L957" s="8">
        <v>89</v>
      </c>
      <c r="M957" s="4"/>
      <c r="N957" s="4"/>
      <c r="O957" s="4"/>
      <c r="P957" s="4"/>
      <c r="S957" s="3">
        <v>955</v>
      </c>
      <c r="T957" s="8">
        <v>0.57883565797453007</v>
      </c>
      <c r="U957" s="4">
        <v>72.8</v>
      </c>
      <c r="V957" s="4">
        <v>0.19891570517446211</v>
      </c>
      <c r="W957" s="4">
        <v>74.787148447941675</v>
      </c>
      <c r="X957" s="4">
        <v>6.3128515520583193</v>
      </c>
    </row>
    <row r="958" spans="11:25" x14ac:dyDescent="0.25">
      <c r="K958" s="3"/>
      <c r="L958" s="8">
        <v>89</v>
      </c>
      <c r="M958" s="4"/>
      <c r="N958" s="4"/>
      <c r="O958" s="4"/>
      <c r="P958" s="4"/>
      <c r="S958" s="3">
        <v>956</v>
      </c>
      <c r="T958" s="8">
        <v>0.57944208611279568</v>
      </c>
      <c r="U958" s="4">
        <v>72.8</v>
      </c>
      <c r="V958" s="4">
        <v>0.20046640734996282</v>
      </c>
      <c r="W958" s="4">
        <v>74.737831088646089</v>
      </c>
      <c r="X958" s="4">
        <v>6.2621689113539105</v>
      </c>
    </row>
    <row r="959" spans="11:25" x14ac:dyDescent="0.25">
      <c r="K959" s="3"/>
      <c r="L959" s="8">
        <v>89</v>
      </c>
      <c r="M959" s="4"/>
      <c r="N959" s="4"/>
      <c r="O959" s="4"/>
      <c r="P959" s="4"/>
      <c r="S959" s="3">
        <v>957</v>
      </c>
      <c r="T959" s="8">
        <v>0.5800485142510613</v>
      </c>
      <c r="U959" s="4">
        <v>72.8</v>
      </c>
      <c r="V959" s="4">
        <v>0.20201759173266462</v>
      </c>
      <c r="W959" s="4">
        <v>74.68851372935049</v>
      </c>
      <c r="X959" s="4">
        <v>12.31148627064951</v>
      </c>
    </row>
    <row r="960" spans="11:25" x14ac:dyDescent="0.25">
      <c r="K960" s="3"/>
      <c r="L960" s="8">
        <v>36.299999999999997</v>
      </c>
      <c r="M960" s="4"/>
      <c r="N960" s="4"/>
      <c r="O960" s="4"/>
      <c r="P960" s="4"/>
      <c r="S960" s="3">
        <v>958</v>
      </c>
      <c r="T960" s="8">
        <v>0.58065494238932691</v>
      </c>
      <c r="U960" s="4">
        <v>72.8</v>
      </c>
      <c r="V960" s="4">
        <v>0.20356926235730746</v>
      </c>
      <c r="W960" s="4">
        <v>74.540561651463719</v>
      </c>
      <c r="X960" s="4">
        <v>8.4594383485362812</v>
      </c>
    </row>
    <row r="961" spans="11:24" x14ac:dyDescent="0.25">
      <c r="K961" s="3"/>
      <c r="L961" s="8">
        <v>36.299999999999997</v>
      </c>
      <c r="M961" s="4"/>
      <c r="N961" s="4"/>
      <c r="O961" s="4"/>
      <c r="P961" s="4"/>
      <c r="S961" s="3">
        <v>959</v>
      </c>
      <c r="T961" s="8">
        <v>0.58126137052759252</v>
      </c>
      <c r="U961" s="4">
        <v>72.8</v>
      </c>
      <c r="V961" s="4">
        <v>0.20512142326711044</v>
      </c>
      <c r="W961" s="4">
        <v>74.491244292168119</v>
      </c>
      <c r="X961" s="4">
        <v>7.508755707831881</v>
      </c>
    </row>
    <row r="962" spans="11:24" x14ac:dyDescent="0.25">
      <c r="K962" s="3"/>
      <c r="L962" s="8">
        <v>36.299999999999997</v>
      </c>
      <c r="M962" s="4"/>
      <c r="N962" s="4"/>
      <c r="O962" s="4"/>
      <c r="P962" s="4"/>
      <c r="S962" s="3">
        <v>960</v>
      </c>
      <c r="T962" s="8">
        <v>0.58186779866585814</v>
      </c>
      <c r="U962" s="4">
        <v>72.900000000000006</v>
      </c>
      <c r="V962" s="4">
        <v>0.20667407851385192</v>
      </c>
      <c r="W962" s="4">
        <v>74.441926932872533</v>
      </c>
      <c r="X962" s="4">
        <v>5.5580730671274665</v>
      </c>
    </row>
    <row r="963" spans="11:24" x14ac:dyDescent="0.25">
      <c r="K963" s="3"/>
      <c r="L963" s="8">
        <v>36.299999999999997</v>
      </c>
      <c r="M963" s="4"/>
      <c r="N963" s="4"/>
      <c r="O963" s="4"/>
      <c r="P963" s="4"/>
      <c r="S963" s="3">
        <v>961</v>
      </c>
      <c r="T963" s="8">
        <v>0.58247422680412375</v>
      </c>
      <c r="U963" s="4">
        <v>72.900000000000006</v>
      </c>
      <c r="V963" s="4">
        <v>0.20822723215795053</v>
      </c>
      <c r="W963" s="4">
        <v>74.392609573576934</v>
      </c>
      <c r="X963" s="4">
        <v>5.2073904264230606</v>
      </c>
    </row>
    <row r="964" spans="11:24" x14ac:dyDescent="0.25">
      <c r="K964" s="3"/>
      <c r="L964" s="8">
        <v>36.299999999999997</v>
      </c>
      <c r="M964" s="4"/>
      <c r="N964" s="4"/>
      <c r="O964" s="4"/>
      <c r="P964" s="4"/>
      <c r="S964" s="3">
        <v>962</v>
      </c>
      <c r="T964" s="8">
        <v>0.58308065494238936</v>
      </c>
      <c r="U964" s="4">
        <v>72.900000000000006</v>
      </c>
      <c r="V964" s="4">
        <v>0.20978088826854607</v>
      </c>
      <c r="W964" s="4">
        <v>74.343292214281348</v>
      </c>
      <c r="X964" s="4">
        <v>4.956707785718649</v>
      </c>
    </row>
    <row r="965" spans="11:24" x14ac:dyDescent="0.25">
      <c r="K965" s="3"/>
      <c r="L965" s="8">
        <v>36.299999999999997</v>
      </c>
      <c r="M965" s="4"/>
      <c r="N965" s="4"/>
      <c r="O965" s="4"/>
      <c r="P965" s="4"/>
      <c r="S965" s="3">
        <v>963</v>
      </c>
      <c r="T965" s="8">
        <v>0.58368708308065498</v>
      </c>
      <c r="U965" s="4">
        <v>72.900000000000006</v>
      </c>
      <c r="V965" s="4">
        <v>0.21133505092358149</v>
      </c>
      <c r="W965" s="4">
        <v>74.293974854985748</v>
      </c>
      <c r="X965" s="4">
        <v>4.7060251450142516</v>
      </c>
    </row>
    <row r="966" spans="11:24" x14ac:dyDescent="0.25">
      <c r="K966" s="3"/>
      <c r="L966" s="8">
        <v>36.299999999999997</v>
      </c>
      <c r="M966" s="4"/>
      <c r="N966" s="4"/>
      <c r="O966" s="4"/>
      <c r="P966" s="4"/>
      <c r="S966" s="3">
        <v>964</v>
      </c>
      <c r="T966" s="8">
        <v>0.58429351121892059</v>
      </c>
      <c r="U966" s="4">
        <v>72.900000000000006</v>
      </c>
      <c r="V966" s="4">
        <v>0.21288972420988431</v>
      </c>
      <c r="W966" s="4">
        <v>74.195340136394563</v>
      </c>
      <c r="X966" s="4">
        <v>4.5046598636054398</v>
      </c>
    </row>
    <row r="967" spans="11:24" x14ac:dyDescent="0.25">
      <c r="K967" s="3"/>
      <c r="L967" s="8">
        <v>36.299999999999997</v>
      </c>
      <c r="M967" s="4"/>
      <c r="N967" s="4"/>
      <c r="O967" s="4"/>
      <c r="P967" s="4"/>
      <c r="S967" s="3">
        <v>965</v>
      </c>
      <c r="T967" s="8">
        <v>0.5848999393571862</v>
      </c>
      <c r="U967" s="4">
        <v>72.900000000000006</v>
      </c>
      <c r="V967" s="4">
        <v>0.21444491222324943</v>
      </c>
      <c r="W967" s="4">
        <v>74.096705417803378</v>
      </c>
      <c r="X967" s="4">
        <v>4.4032945821966223</v>
      </c>
    </row>
    <row r="968" spans="11:24" x14ac:dyDescent="0.25">
      <c r="K968" s="3"/>
      <c r="L968" s="8">
        <v>36.299999999999997</v>
      </c>
      <c r="M968" s="4"/>
      <c r="N968" s="4"/>
      <c r="O968" s="4"/>
      <c r="P968" s="4"/>
      <c r="S968" s="3">
        <v>966</v>
      </c>
      <c r="T968" s="8">
        <v>0.58550636749545182</v>
      </c>
      <c r="U968" s="4">
        <v>72.900000000000006</v>
      </c>
      <c r="V968" s="4">
        <v>0.21600061906852175</v>
      </c>
      <c r="W968" s="4">
        <v>76.315986586105055</v>
      </c>
      <c r="X968" s="4">
        <v>-13.315986586105055</v>
      </c>
    </row>
    <row r="969" spans="11:24" x14ac:dyDescent="0.25">
      <c r="K969" s="3"/>
      <c r="L969" s="8">
        <v>36.299999999999997</v>
      </c>
      <c r="M969" s="4"/>
      <c r="N969" s="4"/>
      <c r="O969" s="4"/>
      <c r="P969" s="4"/>
      <c r="S969" s="3">
        <v>967</v>
      </c>
      <c r="T969" s="8">
        <v>0.58611279563371743</v>
      </c>
      <c r="U969" s="4">
        <v>72.900000000000006</v>
      </c>
      <c r="V969" s="4">
        <v>0.21755684885967949</v>
      </c>
      <c r="W969" s="4">
        <v>76.217351867513869</v>
      </c>
      <c r="X969" s="4">
        <v>-13.517351867513867</v>
      </c>
    </row>
    <row r="970" spans="11:24" x14ac:dyDescent="0.25">
      <c r="K970" s="3"/>
      <c r="L970" s="8">
        <v>36.299999999999997</v>
      </c>
      <c r="M970" s="4"/>
      <c r="N970" s="4"/>
      <c r="O970" s="4"/>
      <c r="P970" s="4"/>
      <c r="S970" s="3">
        <v>968</v>
      </c>
      <c r="T970" s="8">
        <v>0.58671922377198304</v>
      </c>
      <c r="U970" s="4">
        <v>72.900000000000006</v>
      </c>
      <c r="V970" s="4">
        <v>0.21911360571991792</v>
      </c>
      <c r="W970" s="4">
        <v>76.16803450821827</v>
      </c>
      <c r="X970" s="4">
        <v>-13.66803450821827</v>
      </c>
    </row>
    <row r="971" spans="11:24" x14ac:dyDescent="0.25">
      <c r="K971" s="3"/>
      <c r="L971" s="8">
        <v>36.299999999999997</v>
      </c>
      <c r="M971" s="4"/>
      <c r="N971" s="4"/>
      <c r="O971" s="4"/>
      <c r="P971" s="4"/>
      <c r="S971" s="3">
        <v>969</v>
      </c>
      <c r="T971" s="8">
        <v>0.58732565191024866</v>
      </c>
      <c r="U971" s="4">
        <v>72.900000000000006</v>
      </c>
      <c r="V971" s="4">
        <v>0.2206708937817331</v>
      </c>
      <c r="W971" s="4">
        <v>67.142957757124805</v>
      </c>
      <c r="X971" s="4">
        <v>-4.9429577571248018</v>
      </c>
    </row>
    <row r="972" spans="11:24" x14ac:dyDescent="0.25">
      <c r="K972" s="3"/>
      <c r="L972" s="8">
        <v>36.299999999999997</v>
      </c>
      <c r="M972" s="4"/>
      <c r="N972" s="4"/>
      <c r="O972" s="4"/>
      <c r="P972" s="4"/>
      <c r="S972" s="3">
        <v>970</v>
      </c>
      <c r="T972" s="8">
        <v>0.58793208004851427</v>
      </c>
      <c r="U972" s="4">
        <v>73</v>
      </c>
      <c r="V972" s="4">
        <v>0.22222871718700724</v>
      </c>
      <c r="W972" s="4">
        <v>67.044323038533619</v>
      </c>
      <c r="X972" s="4">
        <v>-5.0443230385336193</v>
      </c>
    </row>
    <row r="973" spans="11:24" x14ac:dyDescent="0.25">
      <c r="K973" s="3"/>
      <c r="L973" s="8">
        <v>36.299999999999997</v>
      </c>
      <c r="M973" s="4"/>
      <c r="N973" s="4"/>
      <c r="O973" s="4"/>
      <c r="P973" s="4"/>
      <c r="S973" s="3">
        <v>971</v>
      </c>
      <c r="T973" s="8">
        <v>0.58853850818677989</v>
      </c>
      <c r="U973" s="4">
        <v>73</v>
      </c>
      <c r="V973" s="4">
        <v>0.22378708008709283</v>
      </c>
      <c r="W973" s="4">
        <v>66.99500567923802</v>
      </c>
      <c r="X973" s="4">
        <v>-5.2950056792380167</v>
      </c>
    </row>
    <row r="974" spans="11:24" x14ac:dyDescent="0.25">
      <c r="K974" s="3"/>
      <c r="L974" s="8">
        <v>36.299999999999997</v>
      </c>
      <c r="M974" s="4"/>
      <c r="N974" s="4"/>
      <c r="O974" s="4"/>
      <c r="P974" s="4"/>
      <c r="S974" s="3">
        <v>972</v>
      </c>
      <c r="T974" s="8">
        <v>0.5891449363250455</v>
      </c>
      <c r="U974" s="4">
        <v>73</v>
      </c>
      <c r="V974" s="4">
        <v>0.22534598664289832</v>
      </c>
      <c r="W974" s="4">
        <v>66.896370960646834</v>
      </c>
      <c r="X974" s="4">
        <v>-5.4963709606468356</v>
      </c>
    </row>
    <row r="975" spans="11:24" x14ac:dyDescent="0.25">
      <c r="K975" s="3"/>
      <c r="L975" s="8">
        <v>36.299999999999997</v>
      </c>
      <c r="M975" s="4"/>
      <c r="N975" s="4"/>
      <c r="O975" s="4"/>
      <c r="P975" s="4"/>
      <c r="S975" s="3">
        <v>973</v>
      </c>
      <c r="T975" s="8">
        <v>0.58975136446331111</v>
      </c>
      <c r="U975" s="4">
        <v>73</v>
      </c>
      <c r="V975" s="4">
        <v>0.22690544102497454</v>
      </c>
      <c r="W975" s="4">
        <v>66.797736242055649</v>
      </c>
      <c r="X975" s="4">
        <v>-5.597736242055646</v>
      </c>
    </row>
    <row r="976" spans="11:24" x14ac:dyDescent="0.25">
      <c r="K976" s="3"/>
      <c r="L976" s="8">
        <v>36.299999999999997</v>
      </c>
      <c r="M976" s="4"/>
      <c r="N976" s="4"/>
      <c r="O976" s="4"/>
      <c r="P976" s="4"/>
      <c r="S976" s="3">
        <v>974</v>
      </c>
      <c r="T976" s="8">
        <v>0.59035779260157673</v>
      </c>
      <c r="U976" s="4">
        <v>73</v>
      </c>
      <c r="V976" s="4">
        <v>0.22846544741360028</v>
      </c>
      <c r="W976" s="4">
        <v>66.699101523464464</v>
      </c>
      <c r="X976" s="4">
        <v>2.3008984765355365</v>
      </c>
    </row>
    <row r="977" spans="11:24" x14ac:dyDescent="0.25">
      <c r="K977" s="3"/>
      <c r="L977" s="8">
        <v>36.299999999999997</v>
      </c>
      <c r="M977" s="4"/>
      <c r="N977" s="4"/>
      <c r="O977" s="4"/>
      <c r="P977" s="4"/>
      <c r="S977" s="3">
        <v>975</v>
      </c>
      <c r="T977" s="8">
        <v>0.59096422073984234</v>
      </c>
      <c r="U977" s="4">
        <v>73</v>
      </c>
      <c r="V977" s="4">
        <v>0.23002600999886993</v>
      </c>
      <c r="W977" s="4">
        <v>66.600466804873278</v>
      </c>
      <c r="X977" s="4">
        <v>-0.60046680487327819</v>
      </c>
    </row>
    <row r="978" spans="11:24" x14ac:dyDescent="0.25">
      <c r="K978" s="3"/>
      <c r="L978" s="8">
        <v>36.299999999999997</v>
      </c>
      <c r="M978" s="4"/>
      <c r="N978" s="4"/>
      <c r="O978" s="4"/>
      <c r="P978" s="4"/>
      <c r="S978" s="3">
        <v>976</v>
      </c>
      <c r="T978" s="8">
        <v>0.59157064887810795</v>
      </c>
      <c r="U978" s="4">
        <v>73</v>
      </c>
      <c r="V978" s="4">
        <v>0.23158713298078004</v>
      </c>
      <c r="W978" s="4">
        <v>70.299268752042735</v>
      </c>
      <c r="X978" s="4">
        <v>3.9007312479572676</v>
      </c>
    </row>
    <row r="979" spans="11:24" x14ac:dyDescent="0.25">
      <c r="K979" s="3"/>
      <c r="L979" s="8">
        <v>36.299999999999997</v>
      </c>
      <c r="M979" s="4"/>
      <c r="N979" s="4"/>
      <c r="O979" s="4"/>
      <c r="P979" s="4"/>
      <c r="S979" s="3">
        <v>977</v>
      </c>
      <c r="T979" s="8">
        <v>0.59217707701637357</v>
      </c>
      <c r="U979" s="4">
        <v>73</v>
      </c>
      <c r="V979" s="4">
        <v>0.2331488205693176</v>
      </c>
      <c r="W979" s="4">
        <v>70.348586111338335</v>
      </c>
      <c r="X979" s="4">
        <v>3.7514138886616593</v>
      </c>
    </row>
    <row r="980" spans="11:24" x14ac:dyDescent="0.25">
      <c r="K980" s="3"/>
      <c r="L980" s="8">
        <v>36.299999999999997</v>
      </c>
      <c r="M980" s="4"/>
      <c r="N980" s="4"/>
      <c r="O980" s="4"/>
      <c r="P980" s="4"/>
      <c r="S980" s="3">
        <v>978</v>
      </c>
      <c r="T980" s="8">
        <v>0.59278350515463918</v>
      </c>
      <c r="U980" s="4">
        <v>73</v>
      </c>
      <c r="V980" s="4">
        <v>0.23471107698454813</v>
      </c>
      <c r="W980" s="4">
        <v>70.003364596269179</v>
      </c>
      <c r="X980" s="4">
        <v>3.8966354037308264</v>
      </c>
    </row>
    <row r="981" spans="11:24" x14ac:dyDescent="0.25">
      <c r="K981" s="3"/>
      <c r="L981" s="8">
        <v>36.299999999999997</v>
      </c>
      <c r="M981" s="4"/>
      <c r="N981" s="4"/>
      <c r="O981" s="4"/>
      <c r="P981" s="4"/>
      <c r="S981" s="3">
        <v>979</v>
      </c>
      <c r="T981" s="8">
        <v>0.59338993329290479</v>
      </c>
      <c r="U981" s="4">
        <v>73</v>
      </c>
      <c r="V981" s="4">
        <v>0.23627390645670418</v>
      </c>
      <c r="W981" s="4">
        <v>69.806095159086809</v>
      </c>
      <c r="X981" s="4">
        <v>3.7939048409131857</v>
      </c>
    </row>
    <row r="982" spans="11:24" x14ac:dyDescent="0.25">
      <c r="K982" s="3"/>
      <c r="L982" s="8">
        <v>89</v>
      </c>
      <c r="M982" s="4"/>
      <c r="N982" s="4"/>
      <c r="O982" s="4"/>
      <c r="P982" s="4"/>
      <c r="S982" s="3">
        <v>980</v>
      </c>
      <c r="T982" s="8">
        <v>0.59399636143117041</v>
      </c>
      <c r="U982" s="4">
        <v>73</v>
      </c>
      <c r="V982" s="4">
        <v>0.23783731322627527</v>
      </c>
      <c r="W982" s="4">
        <v>69.559508362608852</v>
      </c>
      <c r="X982" s="4">
        <v>3.7404916373911448</v>
      </c>
    </row>
    <row r="983" spans="11:24" x14ac:dyDescent="0.25">
      <c r="K983" s="3"/>
      <c r="L983" s="8">
        <v>89</v>
      </c>
      <c r="M983" s="4"/>
      <c r="N983" s="4"/>
      <c r="O983" s="4"/>
      <c r="P983" s="4"/>
      <c r="S983" s="3">
        <v>981</v>
      </c>
      <c r="T983" s="8">
        <v>0.59460278956943602</v>
      </c>
      <c r="U983" s="4">
        <v>73</v>
      </c>
      <c r="V983" s="4">
        <v>0.23940130154409675</v>
      </c>
      <c r="W983" s="4">
        <v>69.411556284722067</v>
      </c>
      <c r="X983" s="4">
        <v>3.3884437152779299</v>
      </c>
    </row>
    <row r="984" spans="11:24" x14ac:dyDescent="0.25">
      <c r="K984" s="3"/>
      <c r="L984" s="8">
        <v>89</v>
      </c>
      <c r="M984" s="4"/>
      <c r="N984" s="4"/>
      <c r="O984" s="4"/>
      <c r="P984" s="4"/>
      <c r="S984" s="3">
        <v>982</v>
      </c>
      <c r="T984" s="8">
        <v>0.59520921770770163</v>
      </c>
      <c r="U984" s="4">
        <v>73</v>
      </c>
      <c r="V984" s="4">
        <v>0.24096587567144073</v>
      </c>
      <c r="W984" s="4">
        <v>69.411556284722067</v>
      </c>
      <c r="X984" s="4">
        <v>3.2884437152779356</v>
      </c>
    </row>
    <row r="985" spans="11:24" x14ac:dyDescent="0.25">
      <c r="K985" s="3"/>
      <c r="L985" s="8">
        <v>89</v>
      </c>
      <c r="M985" s="4"/>
      <c r="N985" s="4"/>
      <c r="O985" s="4"/>
      <c r="P985" s="4"/>
      <c r="S985" s="3">
        <v>983</v>
      </c>
      <c r="T985" s="8">
        <v>0.59581564584596725</v>
      </c>
      <c r="U985" s="4">
        <v>73</v>
      </c>
      <c r="V985" s="4">
        <v>0.24253103988010646</v>
      </c>
      <c r="W985" s="4">
        <v>69.658143081200038</v>
      </c>
      <c r="X985" s="4">
        <v>3.241856918799968</v>
      </c>
    </row>
    <row r="986" spans="11:24" x14ac:dyDescent="0.25">
      <c r="K986" s="3"/>
      <c r="L986" s="8">
        <v>89</v>
      </c>
      <c r="M986" s="4"/>
      <c r="N986" s="4"/>
      <c r="O986" s="4"/>
      <c r="P986" s="4"/>
      <c r="S986" s="3">
        <v>984</v>
      </c>
      <c r="T986" s="8">
        <v>0.59642207398423286</v>
      </c>
      <c r="U986" s="4">
        <v>73</v>
      </c>
      <c r="V986" s="4">
        <v>0.24409679845251162</v>
      </c>
      <c r="W986" s="4">
        <v>69.460873644017667</v>
      </c>
      <c r="X986" s="4">
        <v>2.3391263559823301</v>
      </c>
    </row>
    <row r="987" spans="11:24" x14ac:dyDescent="0.25">
      <c r="K987" s="3"/>
      <c r="L987" s="8">
        <v>89</v>
      </c>
      <c r="M987" s="4"/>
      <c r="N987" s="4"/>
      <c r="O987" s="4"/>
      <c r="P987" s="4"/>
      <c r="S987" s="3">
        <v>985</v>
      </c>
      <c r="T987" s="8">
        <v>0.59702850212249847</v>
      </c>
      <c r="U987" s="4">
        <v>73</v>
      </c>
      <c r="V987" s="4">
        <v>0.24566315568178421</v>
      </c>
      <c r="W987" s="4">
        <v>69.312921566130882</v>
      </c>
      <c r="X987" s="4">
        <v>2.7870784338691124</v>
      </c>
    </row>
    <row r="988" spans="11:24" x14ac:dyDescent="0.25">
      <c r="K988" s="3"/>
      <c r="L988" s="8">
        <v>89</v>
      </c>
      <c r="M988" s="4"/>
      <c r="N988" s="4"/>
      <c r="O988" s="4"/>
      <c r="P988" s="4"/>
      <c r="S988" s="3">
        <v>986</v>
      </c>
      <c r="T988" s="8">
        <v>0.59763493026076409</v>
      </c>
      <c r="U988" s="4">
        <v>73</v>
      </c>
      <c r="V988" s="4">
        <v>0.24723011587185462</v>
      </c>
      <c r="W988" s="4">
        <v>69.312921566130882</v>
      </c>
      <c r="X988" s="4">
        <v>2.5870784338691237</v>
      </c>
    </row>
    <row r="989" spans="11:24" x14ac:dyDescent="0.25">
      <c r="K989" s="3"/>
      <c r="L989" s="8">
        <v>89</v>
      </c>
      <c r="M989" s="4"/>
      <c r="N989" s="4"/>
      <c r="O989" s="4"/>
      <c r="P989" s="4"/>
      <c r="S989" s="3">
        <v>987</v>
      </c>
      <c r="T989" s="8">
        <v>0.5982413583990297</v>
      </c>
      <c r="U989" s="4">
        <v>73</v>
      </c>
      <c r="V989" s="4">
        <v>0.24879768333754884</v>
      </c>
      <c r="W989" s="4">
        <v>69.017017410357326</v>
      </c>
      <c r="X989" s="4">
        <v>2.482982589642674</v>
      </c>
    </row>
    <row r="990" spans="11:24" x14ac:dyDescent="0.25">
      <c r="K990" s="3"/>
      <c r="L990" s="8">
        <v>89</v>
      </c>
      <c r="M990" s="4"/>
      <c r="N990" s="4"/>
      <c r="O990" s="4"/>
      <c r="P990" s="4"/>
      <c r="S990" s="3">
        <v>988</v>
      </c>
      <c r="T990" s="8">
        <v>0.59884778653729531</v>
      </c>
      <c r="U990" s="4">
        <v>73</v>
      </c>
      <c r="V990" s="4">
        <v>0.25036586240468162</v>
      </c>
      <c r="W990" s="4">
        <v>68.77043061387937</v>
      </c>
      <c r="X990" s="4">
        <v>2.7295693861206303</v>
      </c>
    </row>
    <row r="991" spans="11:24" x14ac:dyDescent="0.25">
      <c r="K991" s="3"/>
      <c r="L991" s="8">
        <v>89</v>
      </c>
      <c r="M991" s="4"/>
      <c r="N991" s="4"/>
      <c r="O991" s="4"/>
      <c r="P991" s="4"/>
      <c r="S991" s="3">
        <v>989</v>
      </c>
      <c r="T991" s="8">
        <v>0.59945421467556093</v>
      </c>
      <c r="U991" s="4">
        <v>73</v>
      </c>
      <c r="V991" s="4">
        <v>0.25193465741015014</v>
      </c>
      <c r="W991" s="4">
        <v>68.869065332470541</v>
      </c>
      <c r="X991" s="4">
        <v>2.6309346675294591</v>
      </c>
    </row>
    <row r="992" spans="11:24" x14ac:dyDescent="0.25">
      <c r="K992" s="3"/>
      <c r="L992" s="8">
        <v>89</v>
      </c>
      <c r="M992" s="4"/>
      <c r="N992" s="4"/>
      <c r="O992" s="4"/>
      <c r="P992" s="4"/>
      <c r="S992" s="3">
        <v>990</v>
      </c>
      <c r="T992" s="8">
        <v>0.60006064281382654</v>
      </c>
      <c r="U992" s="4">
        <v>73</v>
      </c>
      <c r="V992" s="4">
        <v>0.25350407270202868</v>
      </c>
      <c r="W992" s="4">
        <v>68.869065332470541</v>
      </c>
      <c r="X992" s="4">
        <v>2.1309346675294591</v>
      </c>
    </row>
    <row r="993" spans="11:24" x14ac:dyDescent="0.25">
      <c r="K993" s="3"/>
      <c r="L993" s="8">
        <v>89</v>
      </c>
      <c r="M993" s="4"/>
      <c r="N993" s="4"/>
      <c r="O993" s="4"/>
      <c r="P993" s="4"/>
      <c r="S993" s="3">
        <v>991</v>
      </c>
      <c r="T993" s="8">
        <v>0.60066707095209215</v>
      </c>
      <c r="U993" s="4">
        <v>73</v>
      </c>
      <c r="V993" s="4">
        <v>0.25507411263966373</v>
      </c>
      <c r="W993" s="4">
        <v>71.581520093728145</v>
      </c>
      <c r="X993" s="4">
        <v>5.0184799062718497</v>
      </c>
    </row>
    <row r="994" spans="11:24" x14ac:dyDescent="0.25">
      <c r="K994" s="3"/>
      <c r="L994" s="8">
        <v>89</v>
      </c>
      <c r="M994" s="4"/>
      <c r="N994" s="4"/>
      <c r="O994" s="4"/>
      <c r="P994" s="4"/>
      <c r="S994" s="3">
        <v>992</v>
      </c>
      <c r="T994" s="8">
        <v>0.60127349909035777</v>
      </c>
      <c r="U994" s="4">
        <v>73</v>
      </c>
      <c r="V994" s="4">
        <v>0.25664478159376924</v>
      </c>
      <c r="W994" s="4">
        <v>77.006429616243352</v>
      </c>
      <c r="X994" s="4">
        <v>-0.40642961624335783</v>
      </c>
    </row>
    <row r="995" spans="11:24" x14ac:dyDescent="0.25">
      <c r="K995" s="3"/>
      <c r="L995" s="8">
        <v>89</v>
      </c>
      <c r="M995" s="4"/>
      <c r="N995" s="4"/>
      <c r="O995" s="4"/>
      <c r="P995" s="4"/>
      <c r="S995" s="3">
        <v>993</v>
      </c>
      <c r="T995" s="8">
        <v>0.60187992722862338</v>
      </c>
      <c r="U995" s="4">
        <v>73</v>
      </c>
      <c r="V995" s="4">
        <v>0.25821608394652318</v>
      </c>
      <c r="W995" s="4">
        <v>71.532202734432559</v>
      </c>
      <c r="X995" s="4">
        <v>4.7677972655674381</v>
      </c>
    </row>
    <row r="996" spans="11:24" x14ac:dyDescent="0.25">
      <c r="K996" s="3"/>
      <c r="L996" s="8">
        <v>89</v>
      </c>
      <c r="M996" s="4"/>
      <c r="N996" s="4"/>
      <c r="O996" s="4"/>
      <c r="P996" s="4"/>
      <c r="S996" s="3">
        <v>994</v>
      </c>
      <c r="T996" s="8">
        <v>0.60248635536688899</v>
      </c>
      <c r="U996" s="4">
        <v>73</v>
      </c>
      <c r="V996" s="4">
        <v>0.25978802409166379</v>
      </c>
      <c r="W996" s="4">
        <v>71.482885375136959</v>
      </c>
      <c r="X996" s="4">
        <v>4.617114624863035</v>
      </c>
    </row>
    <row r="997" spans="11:24" x14ac:dyDescent="0.25">
      <c r="K997" s="3"/>
      <c r="L997" s="8">
        <v>36.299999999999997</v>
      </c>
      <c r="M997" s="4"/>
      <c r="N997" s="4"/>
      <c r="O997" s="4"/>
      <c r="P997" s="4"/>
      <c r="S997" s="3">
        <v>995</v>
      </c>
      <c r="T997" s="8">
        <v>0.60309278350515461</v>
      </c>
      <c r="U997" s="4">
        <v>73</v>
      </c>
      <c r="V997" s="4">
        <v>0.26136060643458681</v>
      </c>
      <c r="W997" s="4">
        <v>71.334933297250188</v>
      </c>
      <c r="X997" s="4">
        <v>4.2650667027498059</v>
      </c>
    </row>
    <row r="998" spans="11:24" x14ac:dyDescent="0.25">
      <c r="K998" s="3"/>
      <c r="L998" s="8">
        <v>89</v>
      </c>
      <c r="M998" s="4"/>
      <c r="N998" s="4"/>
      <c r="O998" s="4"/>
      <c r="P998" s="4"/>
      <c r="S998" s="3">
        <v>996</v>
      </c>
      <c r="T998" s="8">
        <v>0.60369921164342022</v>
      </c>
      <c r="U998" s="4">
        <v>73</v>
      </c>
      <c r="V998" s="4">
        <v>0.26293383539244375</v>
      </c>
      <c r="W998" s="4">
        <v>76.957112256947752</v>
      </c>
      <c r="X998" s="4">
        <v>-1.2571122569477495</v>
      </c>
    </row>
    <row r="999" spans="11:24" x14ac:dyDescent="0.25">
      <c r="K999" s="3"/>
      <c r="L999" s="8">
        <v>89</v>
      </c>
      <c r="M999" s="4"/>
      <c r="N999" s="4"/>
      <c r="O999" s="4"/>
      <c r="P999" s="4"/>
      <c r="S999" s="3">
        <v>997</v>
      </c>
      <c r="T999" s="8">
        <v>0.60430563978168583</v>
      </c>
      <c r="U999" s="4">
        <v>73</v>
      </c>
      <c r="V999" s="4">
        <v>0.26450771539424006</v>
      </c>
      <c r="W999" s="4">
        <v>71.334933297250188</v>
      </c>
      <c r="X999" s="4">
        <v>4.2650667027498059</v>
      </c>
    </row>
    <row r="1000" spans="11:24" x14ac:dyDescent="0.25">
      <c r="K1000" s="3"/>
      <c r="L1000" s="8">
        <v>89</v>
      </c>
      <c r="M1000" s="4"/>
      <c r="N1000" s="4"/>
      <c r="O1000" s="4"/>
      <c r="P1000" s="4"/>
      <c r="S1000" s="3">
        <v>998</v>
      </c>
      <c r="T1000" s="8">
        <v>0.60491206791995145</v>
      </c>
      <c r="U1000" s="4">
        <v>73</v>
      </c>
      <c r="V1000" s="4">
        <v>0.26608225088093418</v>
      </c>
      <c r="W1000" s="4">
        <v>71.532202734432559</v>
      </c>
      <c r="X1000" s="4">
        <v>4.4677972655674409</v>
      </c>
    </row>
    <row r="1001" spans="11:24" x14ac:dyDescent="0.25">
      <c r="K1001" s="3"/>
      <c r="L1001" s="8">
        <v>89</v>
      </c>
      <c r="M1001" s="4"/>
      <c r="N1001" s="4"/>
      <c r="O1001" s="4"/>
      <c r="P1001" s="4"/>
      <c r="S1001" s="3">
        <v>999</v>
      </c>
      <c r="T1001" s="8">
        <v>0.60551849605821706</v>
      </c>
      <c r="U1001" s="4">
        <v>73</v>
      </c>
      <c r="V1001" s="4">
        <v>0.26765744630553695</v>
      </c>
      <c r="W1001" s="4">
        <v>71.433568015841374</v>
      </c>
      <c r="X1001" s="4">
        <v>4.3664319841586234</v>
      </c>
    </row>
    <row r="1002" spans="11:24" x14ac:dyDescent="0.25">
      <c r="K1002" s="3"/>
      <c r="L1002" s="8">
        <v>89</v>
      </c>
      <c r="M1002" s="4"/>
      <c r="N1002" s="4"/>
      <c r="O1002" s="4"/>
      <c r="P1002" s="4"/>
      <c r="S1002" s="3">
        <v>1000</v>
      </c>
      <c r="T1002" s="8">
        <v>0.60612492419648267</v>
      </c>
      <c r="U1002" s="4">
        <v>73</v>
      </c>
      <c r="V1002" s="4">
        <v>0.26923330613321217</v>
      </c>
      <c r="W1002" s="4">
        <v>71.384250656545774</v>
      </c>
      <c r="X1002" s="4">
        <v>3.9157493434542232</v>
      </c>
    </row>
    <row r="1003" spans="11:24" x14ac:dyDescent="0.25">
      <c r="K1003" s="3"/>
      <c r="L1003" s="8">
        <v>89</v>
      </c>
      <c r="M1003" s="4"/>
      <c r="N1003" s="4"/>
      <c r="O1003" s="4"/>
      <c r="P1003" s="4"/>
      <c r="S1003" s="3">
        <v>1001</v>
      </c>
      <c r="T1003" s="8">
        <v>0.60673135233474829</v>
      </c>
      <c r="U1003" s="4">
        <v>73</v>
      </c>
      <c r="V1003" s="4">
        <v>0.27080983484137744</v>
      </c>
      <c r="W1003" s="4">
        <v>71.482885375136959</v>
      </c>
      <c r="X1003" s="4">
        <v>3.9171146248630464</v>
      </c>
    </row>
    <row r="1004" spans="11:24" x14ac:dyDescent="0.25">
      <c r="K1004" s="3"/>
      <c r="L1004" s="8">
        <v>89</v>
      </c>
      <c r="M1004" s="4"/>
      <c r="N1004" s="4"/>
      <c r="O1004" s="4"/>
      <c r="P1004" s="4"/>
      <c r="S1004" s="3">
        <v>1002</v>
      </c>
      <c r="T1004" s="8">
        <v>0.6073377804730139</v>
      </c>
      <c r="U1004" s="4">
        <v>73</v>
      </c>
      <c r="V1004" s="4">
        <v>0.27238703691980543</v>
      </c>
      <c r="W1004" s="4">
        <v>71.334933297250188</v>
      </c>
      <c r="X1004" s="4">
        <v>3.6650667027498116</v>
      </c>
    </row>
    <row r="1005" spans="11:24" x14ac:dyDescent="0.25">
      <c r="K1005" s="3"/>
      <c r="L1005" s="8">
        <v>89</v>
      </c>
      <c r="M1005" s="4"/>
      <c r="N1005" s="4"/>
      <c r="O1005" s="4"/>
      <c r="P1005" s="4"/>
      <c r="S1005" s="3">
        <v>1003</v>
      </c>
      <c r="T1005" s="8">
        <v>0.60794420861127951</v>
      </c>
      <c r="U1005" s="4">
        <v>73</v>
      </c>
      <c r="V1005" s="4">
        <v>0.27396491687072561</v>
      </c>
      <c r="W1005" s="4">
        <v>71.334933297250188</v>
      </c>
      <c r="X1005" s="4">
        <v>3.6650667027498116</v>
      </c>
    </row>
    <row r="1006" spans="11:24" x14ac:dyDescent="0.25">
      <c r="K1006" s="3"/>
      <c r="L1006" s="8">
        <v>89</v>
      </c>
      <c r="M1006" s="4"/>
      <c r="N1006" s="4"/>
      <c r="O1006" s="4"/>
      <c r="P1006" s="4"/>
      <c r="S1006" s="3">
        <v>1004</v>
      </c>
      <c r="T1006" s="8">
        <v>0.60855063674954513</v>
      </c>
      <c r="U1006" s="4">
        <v>73</v>
      </c>
      <c r="V1006" s="4">
        <v>0.27554347920892791</v>
      </c>
      <c r="W1006" s="4">
        <v>71.384250656545774</v>
      </c>
      <c r="X1006" s="4">
        <v>3.6157493434542261</v>
      </c>
    </row>
    <row r="1007" spans="11:24" x14ac:dyDescent="0.25">
      <c r="K1007" s="3"/>
      <c r="L1007" s="8">
        <v>89</v>
      </c>
      <c r="M1007" s="4"/>
      <c r="N1007" s="4"/>
      <c r="O1007" s="4"/>
      <c r="P1007" s="4"/>
      <c r="S1007" s="3">
        <v>1005</v>
      </c>
      <c r="T1007" s="8">
        <v>0.60915706488781074</v>
      </c>
      <c r="U1007" s="4">
        <v>73</v>
      </c>
      <c r="V1007" s="4">
        <v>0.2771227284618652</v>
      </c>
      <c r="W1007" s="4">
        <v>71.236298578659003</v>
      </c>
      <c r="X1007" s="4">
        <v>3.5637014213409941</v>
      </c>
    </row>
    <row r="1008" spans="11:24" x14ac:dyDescent="0.25">
      <c r="K1008" s="3"/>
      <c r="L1008" s="8">
        <v>89</v>
      </c>
      <c r="M1008" s="4"/>
      <c r="N1008" s="4"/>
      <c r="O1008" s="4"/>
      <c r="P1008" s="4"/>
      <c r="S1008" s="3">
        <v>1006</v>
      </c>
      <c r="T1008" s="8">
        <v>0.60976349302607646</v>
      </c>
      <c r="U1008" s="4">
        <v>73.099999999999994</v>
      </c>
      <c r="V1008" s="4">
        <v>0.27870266916975805</v>
      </c>
      <c r="W1008" s="4">
        <v>66.501832086282093</v>
      </c>
      <c r="X1008" s="4">
        <v>1.8981679137179128</v>
      </c>
    </row>
    <row r="1009" spans="11:24" x14ac:dyDescent="0.25">
      <c r="K1009" s="3"/>
      <c r="L1009" s="8">
        <v>89</v>
      </c>
      <c r="M1009" s="4"/>
      <c r="N1009" s="4"/>
      <c r="O1009" s="4"/>
      <c r="P1009" s="4"/>
      <c r="S1009" s="3">
        <v>1007</v>
      </c>
      <c r="T1009" s="8">
        <v>0.61036992116434208</v>
      </c>
      <c r="U1009" s="4">
        <v>73.099999999999994</v>
      </c>
      <c r="V1009" s="4">
        <v>0.28028330588569794</v>
      </c>
      <c r="W1009" s="4">
        <v>66.403197367690908</v>
      </c>
      <c r="X1009" s="4">
        <v>1.6968026323090868</v>
      </c>
    </row>
    <row r="1010" spans="11:24" x14ac:dyDescent="0.25">
      <c r="K1010" s="3"/>
      <c r="L1010" s="8">
        <v>89</v>
      </c>
      <c r="M1010" s="4"/>
      <c r="N1010" s="4"/>
      <c r="O1010" s="4"/>
      <c r="P1010" s="4"/>
      <c r="S1010" s="3">
        <v>1008</v>
      </c>
      <c r="T1010" s="8">
        <v>0.61097634930260769</v>
      </c>
      <c r="U1010" s="4">
        <v>73.099999999999994</v>
      </c>
      <c r="V1010" s="4">
        <v>0.28186464317575427</v>
      </c>
      <c r="W1010" s="4">
        <v>66.205927930508537</v>
      </c>
      <c r="X1010" s="4">
        <v>1.5940720694914603</v>
      </c>
    </row>
    <row r="1011" spans="11:24" x14ac:dyDescent="0.25">
      <c r="K1011" s="3"/>
      <c r="L1011" s="8">
        <v>89</v>
      </c>
      <c r="M1011" s="4"/>
      <c r="N1011" s="4"/>
      <c r="O1011" s="4"/>
      <c r="P1011" s="4"/>
      <c r="S1011" s="3">
        <v>1009</v>
      </c>
      <c r="T1011" s="8">
        <v>0.6115827774408733</v>
      </c>
      <c r="U1011" s="4">
        <v>73.099999999999994</v>
      </c>
      <c r="V1011" s="4">
        <v>0.28344668561907971</v>
      </c>
      <c r="W1011" s="4">
        <v>66.008658493326166</v>
      </c>
      <c r="X1011" s="4">
        <v>1.291341506673831</v>
      </c>
    </row>
    <row r="1012" spans="11:24" x14ac:dyDescent="0.25">
      <c r="K1012" s="3"/>
      <c r="L1012" s="8">
        <v>89</v>
      </c>
      <c r="M1012" s="4"/>
      <c r="N1012" s="4"/>
      <c r="O1012" s="4"/>
      <c r="P1012" s="4"/>
      <c r="S1012" s="3">
        <v>1010</v>
      </c>
      <c r="T1012" s="8">
        <v>0.61218920557913892</v>
      </c>
      <c r="U1012" s="4">
        <v>73.099999999999994</v>
      </c>
      <c r="V1012" s="4">
        <v>0.28502943780801626</v>
      </c>
      <c r="W1012" s="4">
        <v>76.36530394540064</v>
      </c>
      <c r="X1012" s="4">
        <v>-10.065303945400643</v>
      </c>
    </row>
    <row r="1013" spans="11:24" x14ac:dyDescent="0.25">
      <c r="K1013" s="3"/>
      <c r="L1013" s="8">
        <v>36.299999999999997</v>
      </c>
      <c r="M1013" s="4"/>
      <c r="N1013" s="4"/>
      <c r="O1013" s="4"/>
      <c r="P1013" s="4"/>
      <c r="S1013" s="3">
        <v>1011</v>
      </c>
      <c r="T1013" s="8">
        <v>0.61279563371740453</v>
      </c>
      <c r="U1013" s="4">
        <v>73.099999999999994</v>
      </c>
      <c r="V1013" s="4">
        <v>0.28661290434820347</v>
      </c>
      <c r="W1013" s="4">
        <v>66.008658493326166</v>
      </c>
      <c r="X1013" s="4">
        <v>0.89134150667383949</v>
      </c>
    </row>
    <row r="1014" spans="11:24" x14ac:dyDescent="0.25">
      <c r="K1014" s="3"/>
      <c r="L1014" s="8">
        <v>89</v>
      </c>
      <c r="M1014" s="4"/>
      <c r="N1014" s="4"/>
      <c r="O1014" s="4"/>
      <c r="P1014" s="4"/>
      <c r="S1014" s="3">
        <v>1012</v>
      </c>
      <c r="T1014" s="8">
        <v>0.61340206185567014</v>
      </c>
      <c r="U1014" s="4">
        <v>73.099999999999994</v>
      </c>
      <c r="V1014" s="4">
        <v>0.28819708985868564</v>
      </c>
      <c r="W1014" s="4">
        <v>66.501832086282093</v>
      </c>
      <c r="X1014" s="4">
        <v>0.89816791371791282</v>
      </c>
    </row>
    <row r="1015" spans="11:24" x14ac:dyDescent="0.25">
      <c r="K1015" s="3"/>
      <c r="L1015" s="8">
        <v>89</v>
      </c>
      <c r="M1015" s="4"/>
      <c r="N1015" s="4"/>
      <c r="O1015" s="4"/>
      <c r="P1015" s="4"/>
      <c r="S1015" s="3">
        <v>1013</v>
      </c>
      <c r="T1015" s="8">
        <v>0.61400848999393576</v>
      </c>
      <c r="U1015" s="4">
        <v>73.099999999999994</v>
      </c>
      <c r="V1015" s="4">
        <v>0.28978199897202106</v>
      </c>
      <c r="W1015" s="4">
        <v>76.315986586105055</v>
      </c>
      <c r="X1015" s="4">
        <v>-10.415986586105049</v>
      </c>
    </row>
    <row r="1016" spans="11:24" x14ac:dyDescent="0.25">
      <c r="K1016" s="3"/>
      <c r="L1016" s="8">
        <v>89</v>
      </c>
      <c r="M1016" s="4"/>
      <c r="N1016" s="4"/>
      <c r="O1016" s="4"/>
      <c r="P1016" s="4"/>
      <c r="S1016" s="3">
        <v>1014</v>
      </c>
      <c r="T1016" s="8">
        <v>0.61461491813220137</v>
      </c>
      <c r="U1016" s="4">
        <v>73.099999999999994</v>
      </c>
      <c r="V1016" s="4">
        <v>0.29136763633439117</v>
      </c>
      <c r="W1016" s="4">
        <v>64.23323355868483</v>
      </c>
      <c r="X1016" s="4">
        <v>0.7667664413151698</v>
      </c>
    </row>
    <row r="1017" spans="11:24" x14ac:dyDescent="0.25">
      <c r="K1017" s="3"/>
      <c r="L1017" s="8">
        <v>89</v>
      </c>
      <c r="M1017" s="4"/>
      <c r="N1017" s="4"/>
      <c r="O1017" s="4"/>
      <c r="P1017" s="4"/>
      <c r="S1017" s="3">
        <v>1015</v>
      </c>
      <c r="T1017" s="8">
        <v>0.61522134627046698</v>
      </c>
      <c r="U1017" s="4">
        <v>73.2</v>
      </c>
      <c r="V1017" s="4">
        <v>0.29295400660571058</v>
      </c>
      <c r="W1017" s="4">
        <v>64.085281480798045</v>
      </c>
      <c r="X1017" s="4">
        <v>0.4147185192019549</v>
      </c>
    </row>
    <row r="1018" spans="11:24" x14ac:dyDescent="0.25">
      <c r="K1018" s="3"/>
      <c r="L1018" s="8">
        <v>89</v>
      </c>
      <c r="M1018" s="4"/>
      <c r="N1018" s="4"/>
      <c r="O1018" s="4"/>
      <c r="P1018" s="4"/>
      <c r="S1018" s="3">
        <v>1016</v>
      </c>
      <c r="T1018" s="8">
        <v>0.6158277744087326</v>
      </c>
      <c r="U1018" s="4">
        <v>73.2</v>
      </c>
      <c r="V1018" s="4">
        <v>0.29454111445973824</v>
      </c>
      <c r="W1018" s="4">
        <v>63.592107887842126</v>
      </c>
      <c r="X1018" s="4">
        <v>0.40789211215787446</v>
      </c>
    </row>
    <row r="1019" spans="11:24" x14ac:dyDescent="0.25">
      <c r="K1019" s="3"/>
      <c r="L1019" s="8">
        <v>89</v>
      </c>
      <c r="M1019" s="4"/>
      <c r="N1019" s="4"/>
      <c r="O1019" s="4"/>
      <c r="P1019" s="4"/>
      <c r="S1019" s="3">
        <v>1017</v>
      </c>
      <c r="T1019" s="8">
        <v>0.61643420254699821</v>
      </c>
      <c r="U1019" s="4">
        <v>73.2</v>
      </c>
      <c r="V1019" s="4">
        <v>0.29612896458418858</v>
      </c>
      <c r="W1019" s="4">
        <v>64.23323355868483</v>
      </c>
      <c r="X1019" s="4">
        <v>-0.2332335586848302</v>
      </c>
    </row>
    <row r="1020" spans="11:24" x14ac:dyDescent="0.25">
      <c r="K1020" s="3"/>
      <c r="L1020" s="8">
        <v>89</v>
      </c>
      <c r="M1020" s="4"/>
      <c r="N1020" s="4"/>
      <c r="O1020" s="4"/>
      <c r="P1020" s="4"/>
      <c r="S1020" s="3">
        <v>1018</v>
      </c>
      <c r="T1020" s="8">
        <v>0.61704063068526382</v>
      </c>
      <c r="U1020" s="4">
        <v>73.2</v>
      </c>
      <c r="V1020" s="4">
        <v>0.29771756168084368</v>
      </c>
      <c r="W1020" s="4">
        <v>64.627772433049572</v>
      </c>
      <c r="X1020" s="4">
        <v>-0.82777243304957437</v>
      </c>
    </row>
    <row r="1021" spans="11:24" x14ac:dyDescent="0.25">
      <c r="K1021" s="3"/>
      <c r="L1021" s="8">
        <v>89</v>
      </c>
      <c r="M1021" s="4"/>
      <c r="N1021" s="4"/>
      <c r="O1021" s="4"/>
      <c r="P1021" s="4"/>
      <c r="S1021" s="3">
        <v>1019</v>
      </c>
      <c r="T1021" s="8">
        <v>0.61764705882352944</v>
      </c>
      <c r="U1021" s="4">
        <v>73.2</v>
      </c>
      <c r="V1021" s="4">
        <v>0.29930691046566704</v>
      </c>
      <c r="W1021" s="4">
        <v>64.479820355162801</v>
      </c>
      <c r="X1021" s="4">
        <v>-1.2798203551627978</v>
      </c>
    </row>
    <row r="1022" spans="11:24" x14ac:dyDescent="0.25">
      <c r="K1022" s="3"/>
      <c r="L1022" s="8">
        <v>89</v>
      </c>
      <c r="M1022" s="4"/>
      <c r="N1022" s="4"/>
      <c r="O1022" s="4"/>
      <c r="P1022" s="4"/>
      <c r="S1022" s="3">
        <v>1020</v>
      </c>
      <c r="T1022" s="8">
        <v>0.61825348696179505</v>
      </c>
      <c r="U1022" s="4">
        <v>73.2</v>
      </c>
      <c r="V1022" s="4">
        <v>0.30089701566891658</v>
      </c>
      <c r="W1022" s="4">
        <v>64.085281480798045</v>
      </c>
      <c r="X1022" s="4">
        <v>-1.2852814807980479</v>
      </c>
    </row>
    <row r="1023" spans="11:24" x14ac:dyDescent="0.25">
      <c r="K1023" s="3"/>
      <c r="L1023" s="8">
        <v>89</v>
      </c>
      <c r="M1023" s="4"/>
      <c r="N1023" s="4"/>
      <c r="O1023" s="4"/>
      <c r="P1023" s="4"/>
      <c r="S1023" s="3">
        <v>1021</v>
      </c>
      <c r="T1023" s="8">
        <v>0.61885991510006066</v>
      </c>
      <c r="U1023" s="4">
        <v>73.2</v>
      </c>
      <c r="V1023" s="4">
        <v>0.30248788203525911</v>
      </c>
      <c r="W1023" s="4">
        <v>76.759842819765382</v>
      </c>
      <c r="X1023" s="4">
        <v>-0.85984281976537602</v>
      </c>
    </row>
    <row r="1024" spans="11:24" x14ac:dyDescent="0.25">
      <c r="K1024" s="3"/>
      <c r="L1024" s="8">
        <v>89</v>
      </c>
      <c r="M1024" s="4"/>
      <c r="N1024" s="4"/>
      <c r="O1024" s="4"/>
      <c r="P1024" s="4"/>
      <c r="S1024" s="3">
        <v>1022</v>
      </c>
      <c r="T1024" s="8">
        <v>0.61946634323832628</v>
      </c>
      <c r="U1024" s="4">
        <v>73.2</v>
      </c>
      <c r="V1024" s="4">
        <v>0.30407951432388597</v>
      </c>
      <c r="W1024" s="4">
        <v>76.661208101174196</v>
      </c>
      <c r="X1024" s="4">
        <v>-0.86120810117419921</v>
      </c>
    </row>
    <row r="1025" spans="11:24" x14ac:dyDescent="0.25">
      <c r="K1025" s="3"/>
      <c r="L1025" s="8">
        <v>89</v>
      </c>
      <c r="M1025" s="4"/>
      <c r="N1025" s="4"/>
      <c r="O1025" s="4"/>
      <c r="P1025" s="4"/>
      <c r="S1025" s="3">
        <v>1023</v>
      </c>
      <c r="T1025" s="8">
        <v>0.62007277137659189</v>
      </c>
      <c r="U1025" s="4">
        <v>73.2</v>
      </c>
      <c r="V1025" s="4">
        <v>0.30567191730862897</v>
      </c>
      <c r="W1025" s="4">
        <v>77.055746975538938</v>
      </c>
      <c r="X1025" s="4">
        <v>-1.4557469755389434</v>
      </c>
    </row>
    <row r="1026" spans="11:24" x14ac:dyDescent="0.25">
      <c r="K1026" s="3"/>
      <c r="L1026" s="8">
        <v>89</v>
      </c>
      <c r="M1026" s="4"/>
      <c r="N1026" s="4"/>
      <c r="O1026" s="4"/>
      <c r="P1026" s="4"/>
      <c r="S1026" s="3">
        <v>1024</v>
      </c>
      <c r="T1026" s="8">
        <v>0.6206791995148575</v>
      </c>
      <c r="U1026" s="4">
        <v>73.2</v>
      </c>
      <c r="V1026" s="4">
        <v>0.3072650957780772</v>
      </c>
      <c r="W1026" s="4">
        <v>72.025376327388486</v>
      </c>
      <c r="X1026" s="4">
        <v>3.37462367261152</v>
      </c>
    </row>
    <row r="1027" spans="11:24" x14ac:dyDescent="0.25">
      <c r="K1027" s="3"/>
      <c r="L1027" s="8">
        <v>36.299999999999997</v>
      </c>
      <c r="M1027" s="4"/>
      <c r="N1027" s="4"/>
      <c r="O1027" s="4"/>
      <c r="P1027" s="4"/>
      <c r="S1027" s="3">
        <v>1025</v>
      </c>
      <c r="T1027" s="8">
        <v>0.62128562765312312</v>
      </c>
      <c r="U1027" s="4">
        <v>73.2</v>
      </c>
      <c r="V1027" s="4">
        <v>0.30885905453569412</v>
      </c>
      <c r="W1027" s="4">
        <v>71.9267416087973</v>
      </c>
      <c r="X1027" s="4">
        <v>3.3732583912026968</v>
      </c>
    </row>
    <row r="1028" spans="11:24" x14ac:dyDescent="0.25">
      <c r="K1028" s="3"/>
      <c r="L1028" s="8">
        <v>36.299999999999997</v>
      </c>
      <c r="M1028" s="4"/>
      <c r="N1028" s="4"/>
      <c r="O1028" s="4"/>
      <c r="P1028" s="4"/>
      <c r="S1028" s="3">
        <v>1026</v>
      </c>
      <c r="T1028" s="8">
        <v>0.62189205579138873</v>
      </c>
      <c r="U1028" s="4">
        <v>73.2</v>
      </c>
      <c r="V1028" s="4">
        <v>0.31045379839993698</v>
      </c>
      <c r="W1028" s="4">
        <v>71.828106890206115</v>
      </c>
      <c r="X1028" s="4">
        <v>3.1718931097938849</v>
      </c>
    </row>
    <row r="1029" spans="11:24" x14ac:dyDescent="0.25">
      <c r="K1029" s="3"/>
      <c r="L1029" s="8">
        <v>36.299999999999997</v>
      </c>
      <c r="M1029" s="4"/>
      <c r="N1029" s="4"/>
      <c r="O1029" s="4"/>
      <c r="P1029" s="4"/>
      <c r="S1029" s="3">
        <v>1027</v>
      </c>
      <c r="T1029" s="8">
        <v>0.62249848392965434</v>
      </c>
      <c r="U1029" s="4">
        <v>73.2</v>
      </c>
      <c r="V1029" s="4">
        <v>0.3120493322043747</v>
      </c>
      <c r="W1029" s="4">
        <v>71.630837453023744</v>
      </c>
      <c r="X1029" s="4">
        <v>2.9691625469762499</v>
      </c>
    </row>
    <row r="1030" spans="11:24" x14ac:dyDescent="0.25">
      <c r="K1030" s="3"/>
      <c r="L1030" s="8">
        <v>89</v>
      </c>
      <c r="M1030" s="4"/>
      <c r="N1030" s="4"/>
      <c r="O1030" s="4"/>
      <c r="P1030" s="4"/>
      <c r="S1030" s="3">
        <v>1028</v>
      </c>
      <c r="T1030" s="8">
        <v>0.62310491206791996</v>
      </c>
      <c r="U1030" s="4">
        <v>73.2</v>
      </c>
      <c r="V1030" s="4">
        <v>0.31364566079780876</v>
      </c>
      <c r="W1030" s="4">
        <v>71.433568015841374</v>
      </c>
      <c r="X1030" s="4">
        <v>2.7664319841586291</v>
      </c>
    </row>
    <row r="1031" spans="11:24" x14ac:dyDescent="0.25">
      <c r="K1031" s="3"/>
      <c r="L1031" s="8">
        <v>89</v>
      </c>
      <c r="M1031" s="4"/>
      <c r="N1031" s="4"/>
      <c r="O1031" s="4"/>
      <c r="P1031" s="4"/>
      <c r="S1031" s="3">
        <v>1029</v>
      </c>
      <c r="T1031" s="8">
        <v>0.62371134020618557</v>
      </c>
      <c r="U1031" s="4">
        <v>73.3</v>
      </c>
      <c r="V1031" s="4">
        <v>0.31524278904439385</v>
      </c>
      <c r="W1031" s="4">
        <v>76.957112256947752</v>
      </c>
      <c r="X1031" s="4">
        <v>-3.1571122569477552</v>
      </c>
    </row>
    <row r="1032" spans="11:24" x14ac:dyDescent="0.25">
      <c r="K1032" s="3"/>
      <c r="L1032" s="8">
        <v>89</v>
      </c>
      <c r="M1032" s="4"/>
      <c r="N1032" s="4"/>
      <c r="O1032" s="4"/>
      <c r="P1032" s="4"/>
      <c r="S1032" s="3">
        <v>1030</v>
      </c>
      <c r="T1032" s="8">
        <v>0.62431776834445118</v>
      </c>
      <c r="U1032" s="4">
        <v>73.3</v>
      </c>
      <c r="V1032" s="4">
        <v>0.31684072182375905</v>
      </c>
      <c r="W1032" s="4">
        <v>72.863771435413554</v>
      </c>
      <c r="X1032" s="4">
        <v>1.2362285645864404</v>
      </c>
    </row>
    <row r="1033" spans="11:24" x14ac:dyDescent="0.25">
      <c r="K1033" s="3"/>
      <c r="L1033" s="8">
        <v>89</v>
      </c>
      <c r="M1033" s="4"/>
      <c r="N1033" s="4"/>
      <c r="O1033" s="4"/>
      <c r="P1033" s="4"/>
      <c r="S1033" s="3">
        <v>1031</v>
      </c>
      <c r="T1033" s="8">
        <v>0.6249241964827168</v>
      </c>
      <c r="U1033" s="4">
        <v>73.3</v>
      </c>
      <c r="V1033" s="4">
        <v>0.31843946403113088</v>
      </c>
      <c r="W1033" s="4">
        <v>72.814454076117968</v>
      </c>
      <c r="X1033" s="4">
        <v>1.0855459238820373</v>
      </c>
    </row>
    <row r="1034" spans="11:24" x14ac:dyDescent="0.25">
      <c r="K1034" s="3"/>
      <c r="L1034" s="8">
        <v>89</v>
      </c>
      <c r="M1034" s="4"/>
      <c r="N1034" s="4"/>
      <c r="O1034" s="4"/>
      <c r="P1034" s="4"/>
      <c r="S1034" s="3">
        <v>1032</v>
      </c>
      <c r="T1034" s="8">
        <v>0.62553062462098241</v>
      </c>
      <c r="U1034" s="4">
        <v>73.3</v>
      </c>
      <c r="V1034" s="4">
        <v>0.32003902057745615</v>
      </c>
      <c r="W1034" s="4">
        <v>72.715819357526783</v>
      </c>
      <c r="X1034" s="4">
        <v>0.88418064247321126</v>
      </c>
    </row>
    <row r="1035" spans="11:24" x14ac:dyDescent="0.25">
      <c r="K1035" s="3"/>
      <c r="L1035" s="8">
        <v>89</v>
      </c>
      <c r="M1035" s="4"/>
      <c r="N1035" s="4"/>
      <c r="O1035" s="4"/>
      <c r="P1035" s="4"/>
      <c r="S1035" s="3">
        <v>1033</v>
      </c>
      <c r="T1035" s="8">
        <v>0.62613705275924803</v>
      </c>
      <c r="U1035" s="4">
        <v>73.3</v>
      </c>
      <c r="V1035" s="4">
        <v>0.32163939638952627</v>
      </c>
      <c r="W1035" s="4">
        <v>76.907794897652167</v>
      </c>
      <c r="X1035" s="4">
        <v>-3.6077948976521697</v>
      </c>
    </row>
    <row r="1036" spans="11:24" x14ac:dyDescent="0.25">
      <c r="K1036" s="3"/>
      <c r="L1036" s="8">
        <v>89</v>
      </c>
      <c r="M1036" s="4"/>
      <c r="N1036" s="4"/>
      <c r="O1036" s="4"/>
      <c r="P1036" s="4"/>
      <c r="S1036" s="3">
        <v>1034</v>
      </c>
      <c r="T1036" s="8">
        <v>0.62674348089751364</v>
      </c>
      <c r="U1036" s="4">
        <v>73.3</v>
      </c>
      <c r="V1036" s="4">
        <v>0.32324059641010222</v>
      </c>
      <c r="W1036" s="4">
        <v>77.055746975538938</v>
      </c>
      <c r="X1036" s="4">
        <v>-4.2557469755389405</v>
      </c>
    </row>
    <row r="1037" spans="11:24" x14ac:dyDescent="0.25">
      <c r="K1037" s="3"/>
      <c r="L1037" s="8">
        <v>89</v>
      </c>
      <c r="M1037" s="4"/>
      <c r="N1037" s="4"/>
      <c r="O1037" s="4"/>
      <c r="P1037" s="4"/>
      <c r="S1037" s="3">
        <v>1035</v>
      </c>
      <c r="T1037" s="8">
        <v>0.62734990903577925</v>
      </c>
      <c r="U1037" s="4">
        <v>73.3</v>
      </c>
      <c r="V1037" s="4">
        <v>0.32484262559804022</v>
      </c>
      <c r="W1037" s="4">
        <v>71.877424249501701</v>
      </c>
      <c r="X1037" s="4">
        <v>0.42257575049829654</v>
      </c>
    </row>
    <row r="1038" spans="11:24" x14ac:dyDescent="0.25">
      <c r="K1038" s="3"/>
      <c r="L1038" s="8">
        <v>89</v>
      </c>
      <c r="M1038" s="4"/>
      <c r="N1038" s="4"/>
      <c r="O1038" s="4"/>
      <c r="P1038" s="4"/>
      <c r="S1038" s="3">
        <v>1036</v>
      </c>
      <c r="T1038" s="8">
        <v>0.62795633717404487</v>
      </c>
      <c r="U1038" s="4">
        <v>73.3</v>
      </c>
      <c r="V1038" s="4">
        <v>0.32644548892841924</v>
      </c>
      <c r="W1038" s="4">
        <v>71.532202734432559</v>
      </c>
      <c r="X1038" s="4">
        <v>0.2677972655674381</v>
      </c>
    </row>
    <row r="1039" spans="11:24" x14ac:dyDescent="0.25">
      <c r="K1039" s="3"/>
      <c r="L1039" s="8">
        <v>89</v>
      </c>
      <c r="M1039" s="4"/>
      <c r="N1039" s="4"/>
      <c r="O1039" s="4"/>
      <c r="P1039" s="4"/>
      <c r="S1039" s="3">
        <v>1037</v>
      </c>
      <c r="T1039" s="8">
        <v>0.62856276531231048</v>
      </c>
      <c r="U1039" s="4">
        <v>73.3</v>
      </c>
      <c r="V1039" s="4">
        <v>0.32804919139266758</v>
      </c>
      <c r="W1039" s="4">
        <v>71.285615937954589</v>
      </c>
      <c r="X1039" s="4">
        <v>0.11438406204541707</v>
      </c>
    </row>
    <row r="1040" spans="11:24" x14ac:dyDescent="0.25">
      <c r="K1040" s="3"/>
      <c r="L1040" s="8">
        <v>89</v>
      </c>
      <c r="M1040" s="4"/>
      <c r="N1040" s="4"/>
      <c r="O1040" s="4"/>
      <c r="P1040" s="4"/>
      <c r="S1040" s="3">
        <v>1038</v>
      </c>
      <c r="T1040" s="8">
        <v>0.62916919345057609</v>
      </c>
      <c r="U1040" s="4">
        <v>73.3</v>
      </c>
      <c r="V1040" s="4">
        <v>0.32965373799869191</v>
      </c>
      <c r="W1040" s="4">
        <v>71.039029141476632</v>
      </c>
      <c r="X1040" s="4">
        <v>-3.902914147663239E-2</v>
      </c>
    </row>
    <row r="1041" spans="11:24" x14ac:dyDescent="0.25">
      <c r="K1041" s="3"/>
      <c r="L1041" s="8">
        <v>89</v>
      </c>
      <c r="M1041" s="4"/>
      <c r="N1041" s="4"/>
      <c r="O1041" s="4"/>
      <c r="P1041" s="4"/>
      <c r="S1041" s="3">
        <v>1039</v>
      </c>
      <c r="T1041" s="8">
        <v>0.62977562158884171</v>
      </c>
      <c r="U1041" s="4">
        <v>73.3</v>
      </c>
      <c r="V1041" s="4">
        <v>0.33125913377100691</v>
      </c>
      <c r="W1041" s="4">
        <v>70.841759704294262</v>
      </c>
      <c r="X1041" s="4">
        <v>6.1582402957057383</v>
      </c>
    </row>
    <row r="1042" spans="11:24" x14ac:dyDescent="0.25">
      <c r="K1042" s="3"/>
      <c r="L1042" s="8">
        <v>89</v>
      </c>
      <c r="M1042" s="4"/>
      <c r="N1042" s="4"/>
      <c r="O1042" s="4"/>
      <c r="P1042" s="4"/>
      <c r="S1042" s="3">
        <v>1040</v>
      </c>
      <c r="T1042" s="8">
        <v>0.63038204972710732</v>
      </c>
      <c r="U1042" s="4">
        <v>73.400000000000006</v>
      </c>
      <c r="V1042" s="4">
        <v>0.33286538375086533</v>
      </c>
      <c r="W1042" s="4">
        <v>70.595172907816291</v>
      </c>
      <c r="X1042" s="4">
        <v>1.4048270921837087</v>
      </c>
    </row>
    <row r="1043" spans="11:24" x14ac:dyDescent="0.25">
      <c r="K1043" s="3"/>
      <c r="L1043" s="8">
        <v>89</v>
      </c>
      <c r="M1043" s="4"/>
      <c r="N1043" s="4"/>
      <c r="O1043" s="4"/>
      <c r="P1043" s="4"/>
      <c r="S1043" s="3">
        <v>1041</v>
      </c>
      <c r="T1043" s="8">
        <v>0.63098847786537293</v>
      </c>
      <c r="U1043" s="4">
        <v>73.400000000000006</v>
      </c>
      <c r="V1043" s="4">
        <v>0.33447249299638898</v>
      </c>
      <c r="W1043" s="4">
        <v>70.397903470633921</v>
      </c>
      <c r="X1043" s="4">
        <v>-0.49790347063391494</v>
      </c>
    </row>
    <row r="1044" spans="11:24" x14ac:dyDescent="0.25">
      <c r="K1044" s="3"/>
      <c r="L1044" s="8">
        <v>89</v>
      </c>
      <c r="M1044" s="4"/>
      <c r="N1044" s="4"/>
      <c r="O1044" s="4"/>
      <c r="P1044" s="4"/>
      <c r="S1044" s="3">
        <v>1042</v>
      </c>
      <c r="T1044" s="8">
        <v>0.63159490600363855</v>
      </c>
      <c r="U1044" s="4">
        <v>73.400000000000006</v>
      </c>
      <c r="V1044" s="4">
        <v>0.33608046658270169</v>
      </c>
      <c r="W1044" s="4">
        <v>76.858477538356567</v>
      </c>
      <c r="X1044" s="4">
        <v>-7.358477538356567</v>
      </c>
    </row>
    <row r="1045" spans="11:24" x14ac:dyDescent="0.25">
      <c r="K1045" s="3"/>
      <c r="L1045" s="8">
        <v>36.299999999999997</v>
      </c>
      <c r="M1045" s="4"/>
      <c r="N1045" s="4"/>
      <c r="O1045" s="4"/>
      <c r="P1045" s="4"/>
      <c r="S1045" s="3">
        <v>1043</v>
      </c>
      <c r="T1045" s="8">
        <v>0.63220133414190416</v>
      </c>
      <c r="U1045" s="4">
        <v>73.400000000000006</v>
      </c>
      <c r="V1045" s="4">
        <v>0.33768930960206195</v>
      </c>
      <c r="W1045" s="4">
        <v>69.954047236973594</v>
      </c>
      <c r="X1045" s="4">
        <v>-0.95404723697359373</v>
      </c>
    </row>
    <row r="1046" spans="11:24" x14ac:dyDescent="0.25">
      <c r="K1046" s="3"/>
      <c r="L1046" s="8">
        <v>36.299999999999997</v>
      </c>
      <c r="M1046" s="4"/>
      <c r="N1046" s="4"/>
      <c r="O1046" s="4"/>
      <c r="P1046" s="4"/>
      <c r="S1046" s="3">
        <v>1044</v>
      </c>
      <c r="T1046" s="8">
        <v>0.63280776228016977</v>
      </c>
      <c r="U1046" s="4">
        <v>73.400000000000006</v>
      </c>
      <c r="V1046" s="4">
        <v>0.33929902716399685</v>
      </c>
      <c r="W1046" s="4">
        <v>76.809160179060981</v>
      </c>
      <c r="X1046" s="4">
        <v>-8.2091601790609872</v>
      </c>
    </row>
    <row r="1047" spans="11:24" x14ac:dyDescent="0.25">
      <c r="K1047" s="3"/>
      <c r="L1047" s="8">
        <v>36.299999999999997</v>
      </c>
      <c r="M1047" s="4"/>
      <c r="N1047" s="4"/>
      <c r="O1047" s="4"/>
      <c r="P1047" s="4"/>
      <c r="S1047" s="3">
        <v>1045</v>
      </c>
      <c r="T1047" s="8">
        <v>0.63341419041843539</v>
      </c>
      <c r="U1047" s="4">
        <v>73.400000000000006</v>
      </c>
      <c r="V1047" s="4">
        <v>0.34090962439543748</v>
      </c>
      <c r="W1047" s="4">
        <v>59.104228191943186</v>
      </c>
      <c r="X1047" s="4">
        <v>-2.4042281919431829</v>
      </c>
    </row>
    <row r="1048" spans="11:24" x14ac:dyDescent="0.25">
      <c r="K1048" s="3"/>
      <c r="L1048" s="8">
        <v>36.299999999999997</v>
      </c>
      <c r="M1048" s="4"/>
      <c r="N1048" s="4"/>
      <c r="O1048" s="4"/>
      <c r="P1048" s="4"/>
      <c r="S1048" s="3">
        <v>1046</v>
      </c>
      <c r="T1048" s="8">
        <v>0.634020618556701</v>
      </c>
      <c r="U1048" s="4">
        <v>73.400000000000006</v>
      </c>
      <c r="V1048" s="4">
        <v>0.34252110644085487</v>
      </c>
      <c r="W1048" s="4">
        <v>75.329639400193201</v>
      </c>
      <c r="X1048" s="4">
        <v>-20.029639400193204</v>
      </c>
    </row>
    <row r="1049" spans="11:24" x14ac:dyDescent="0.25">
      <c r="K1049" s="3"/>
      <c r="L1049" s="8">
        <v>36.299999999999997</v>
      </c>
      <c r="M1049" s="4"/>
      <c r="N1049" s="4"/>
      <c r="O1049" s="4"/>
      <c r="P1049" s="4"/>
      <c r="S1049" s="3">
        <v>1047</v>
      </c>
      <c r="T1049" s="8">
        <v>0.63462704669496661</v>
      </c>
      <c r="U1049" s="4">
        <v>73.400000000000006</v>
      </c>
      <c r="V1049" s="4">
        <v>0.34413347846239695</v>
      </c>
      <c r="W1049" s="4">
        <v>75.231004681602016</v>
      </c>
      <c r="X1049" s="4">
        <v>-20.431004681602019</v>
      </c>
    </row>
    <row r="1050" spans="11:24" x14ac:dyDescent="0.25">
      <c r="K1050" s="3"/>
      <c r="L1050" s="8">
        <v>36.299999999999997</v>
      </c>
      <c r="M1050" s="4"/>
      <c r="N1050" s="4"/>
      <c r="O1050" s="4"/>
      <c r="P1050" s="4"/>
      <c r="S1050" s="3">
        <v>1048</v>
      </c>
      <c r="T1050" s="8">
        <v>0.63523347483323223</v>
      </c>
      <c r="U1050" s="4">
        <v>73.400000000000006</v>
      </c>
      <c r="V1050" s="4">
        <v>0.34574674564002639</v>
      </c>
      <c r="W1050" s="4">
        <v>75.280322040897602</v>
      </c>
      <c r="X1050" s="4">
        <v>-20.980322040897605</v>
      </c>
    </row>
    <row r="1051" spans="11:24" x14ac:dyDescent="0.25">
      <c r="K1051" s="3"/>
      <c r="L1051" s="8">
        <v>36.299999999999997</v>
      </c>
      <c r="M1051" s="4"/>
      <c r="N1051" s="4"/>
      <c r="O1051" s="4"/>
      <c r="P1051" s="4"/>
      <c r="S1051" s="3">
        <v>1049</v>
      </c>
      <c r="T1051" s="8">
        <v>0.63583990297149784</v>
      </c>
      <c r="U1051" s="4">
        <v>73.400000000000006</v>
      </c>
      <c r="V1051" s="4">
        <v>0.34736091317166029</v>
      </c>
      <c r="W1051" s="4">
        <v>75.280322040897602</v>
      </c>
      <c r="X1051" s="4">
        <v>-21.280322040897602</v>
      </c>
    </row>
    <row r="1052" spans="11:24" x14ac:dyDescent="0.25">
      <c r="K1052" s="3"/>
      <c r="L1052" s="8">
        <v>36.299999999999997</v>
      </c>
      <c r="M1052" s="4"/>
      <c r="N1052" s="4"/>
      <c r="O1052" s="4"/>
      <c r="P1052" s="4"/>
      <c r="S1052" s="3">
        <v>1050</v>
      </c>
      <c r="T1052" s="8">
        <v>0.63644633110976345</v>
      </c>
      <c r="U1052" s="4">
        <v>73.400000000000006</v>
      </c>
      <c r="V1052" s="4">
        <v>0.34897598627330911</v>
      </c>
      <c r="W1052" s="4">
        <v>77.400968490608093</v>
      </c>
      <c r="X1052" s="4">
        <v>-23.600968490608096</v>
      </c>
    </row>
    <row r="1053" spans="11:24" x14ac:dyDescent="0.25">
      <c r="K1053" s="3"/>
      <c r="L1053" s="8">
        <v>36.299999999999997</v>
      </c>
      <c r="M1053" s="4"/>
      <c r="N1053" s="4"/>
      <c r="O1053" s="4"/>
      <c r="P1053" s="4"/>
      <c r="S1053" s="3">
        <v>1051</v>
      </c>
      <c r="T1053" s="8">
        <v>0.63705275924802907</v>
      </c>
      <c r="U1053" s="4">
        <v>73.400000000000006</v>
      </c>
      <c r="V1053" s="4">
        <v>0.35059197017921895</v>
      </c>
      <c r="W1053" s="4">
        <v>75.378956759488787</v>
      </c>
      <c r="X1053" s="4">
        <v>-22.178956759488784</v>
      </c>
    </row>
    <row r="1054" spans="11:24" x14ac:dyDescent="0.25">
      <c r="K1054" s="3"/>
      <c r="L1054" s="8">
        <v>36.299999999999997</v>
      </c>
      <c r="M1054" s="4"/>
      <c r="N1054" s="4"/>
      <c r="O1054" s="4"/>
      <c r="P1054" s="4"/>
      <c r="S1054" s="3">
        <v>1052</v>
      </c>
      <c r="T1054" s="8">
        <v>0.63765918738629468</v>
      </c>
      <c r="U1054" s="4">
        <v>73.5</v>
      </c>
      <c r="V1054" s="4">
        <v>0.35220887014201208</v>
      </c>
      <c r="W1054" s="4">
        <v>56.638360227163545</v>
      </c>
      <c r="X1054" s="4">
        <v>-4.5383602271635439</v>
      </c>
    </row>
    <row r="1055" spans="11:24" x14ac:dyDescent="0.25">
      <c r="K1055" s="3"/>
      <c r="L1055" s="8">
        <v>36.299999999999997</v>
      </c>
      <c r="M1055" s="4"/>
      <c r="N1055" s="4"/>
      <c r="O1055" s="4"/>
      <c r="P1055" s="4"/>
      <c r="S1055" s="3">
        <v>1053</v>
      </c>
      <c r="T1055" s="8">
        <v>0.63826561552456029</v>
      </c>
      <c r="U1055" s="4">
        <v>73.5</v>
      </c>
      <c r="V1055" s="4">
        <v>0.35382669143283191</v>
      </c>
      <c r="W1055" s="4">
        <v>56.194503993503218</v>
      </c>
      <c r="X1055" s="4">
        <v>-4.9945039935032156</v>
      </c>
    </row>
    <row r="1056" spans="11:24" x14ac:dyDescent="0.25">
      <c r="K1056" s="3"/>
      <c r="L1056" s="8">
        <v>36.299999999999997</v>
      </c>
      <c r="M1056" s="4"/>
      <c r="N1056" s="4"/>
      <c r="O1056" s="4"/>
      <c r="P1056" s="4"/>
      <c r="S1056" s="3">
        <v>1054</v>
      </c>
      <c r="T1056" s="8">
        <v>0.63887204366282591</v>
      </c>
      <c r="U1056" s="4">
        <v>73.5</v>
      </c>
      <c r="V1056" s="4">
        <v>0.35544543934148576</v>
      </c>
      <c r="W1056" s="4">
        <v>56.194503993503218</v>
      </c>
      <c r="X1056" s="4">
        <v>1.8054960064967815</v>
      </c>
    </row>
    <row r="1057" spans="11:24" x14ac:dyDescent="0.25">
      <c r="K1057" s="3"/>
      <c r="L1057" s="8">
        <v>36.299999999999997</v>
      </c>
      <c r="M1057" s="4"/>
      <c r="N1057" s="4"/>
      <c r="O1057" s="4"/>
      <c r="P1057" s="4"/>
      <c r="S1057" s="3">
        <v>1055</v>
      </c>
      <c r="T1057" s="8">
        <v>0.63947847180109152</v>
      </c>
      <c r="U1057" s="4">
        <v>73.5</v>
      </c>
      <c r="V1057" s="4">
        <v>0.35706511917659045</v>
      </c>
      <c r="W1057" s="4">
        <v>56.441090789981175</v>
      </c>
      <c r="X1057" s="4">
        <v>-2.4410907899811747</v>
      </c>
    </row>
    <row r="1058" spans="11:24" x14ac:dyDescent="0.25">
      <c r="K1058" s="3"/>
      <c r="L1058" s="8">
        <v>36.299999999999997</v>
      </c>
      <c r="M1058" s="4"/>
      <c r="N1058" s="4"/>
      <c r="O1058" s="4"/>
      <c r="P1058" s="4"/>
      <c r="S1058" s="3">
        <v>1056</v>
      </c>
      <c r="T1058" s="8">
        <v>0.64008489993935713</v>
      </c>
      <c r="U1058" s="4">
        <v>73.5</v>
      </c>
      <c r="V1058" s="4">
        <v>0.35868573626571898</v>
      </c>
      <c r="W1058" s="4">
        <v>56.687677586459145</v>
      </c>
      <c r="X1058" s="4">
        <v>-5.6876775864591451</v>
      </c>
    </row>
    <row r="1059" spans="11:24" x14ac:dyDescent="0.25">
      <c r="K1059" s="3"/>
      <c r="L1059" s="8">
        <v>36.299999999999997</v>
      </c>
      <c r="M1059" s="4"/>
      <c r="N1059" s="4"/>
      <c r="O1059" s="4"/>
      <c r="P1059" s="4"/>
      <c r="S1059" s="3">
        <v>1057</v>
      </c>
      <c r="T1059" s="8">
        <v>0.64069132807762286</v>
      </c>
      <c r="U1059" s="4">
        <v>73.5</v>
      </c>
      <c r="V1059" s="4">
        <v>0.36030729595554811</v>
      </c>
      <c r="W1059" s="4">
        <v>57.082216460823886</v>
      </c>
      <c r="X1059" s="4">
        <v>-7.2822164608238893</v>
      </c>
    </row>
    <row r="1060" spans="11:24" x14ac:dyDescent="0.25">
      <c r="K1060" s="3"/>
      <c r="L1060" s="8">
        <v>36.299999999999997</v>
      </c>
      <c r="M1060" s="4"/>
      <c r="N1060" s="4"/>
      <c r="O1060" s="4"/>
      <c r="P1060" s="4"/>
      <c r="S1060" s="3">
        <v>1058</v>
      </c>
      <c r="T1060" s="8">
        <v>0.64129775621588847</v>
      </c>
      <c r="U1060" s="4">
        <v>73.5</v>
      </c>
      <c r="V1060" s="4">
        <v>0.36192980361200544</v>
      </c>
      <c r="W1060" s="4">
        <v>75.231004681602016</v>
      </c>
      <c r="X1060" s="4">
        <v>-25.731004681602016</v>
      </c>
    </row>
    <row r="1061" spans="11:24" x14ac:dyDescent="0.25">
      <c r="K1061" s="3"/>
      <c r="L1061" s="8">
        <v>36.299999999999997</v>
      </c>
      <c r="M1061" s="4"/>
      <c r="N1061" s="4"/>
      <c r="O1061" s="4"/>
      <c r="P1061" s="4"/>
      <c r="S1061" s="3">
        <v>1059</v>
      </c>
      <c r="T1061" s="8">
        <v>0.64190418435415408</v>
      </c>
      <c r="U1061" s="4">
        <v>73.5</v>
      </c>
      <c r="V1061" s="4">
        <v>0.36355326462042059</v>
      </c>
      <c r="W1061" s="4">
        <v>76.562573382583011</v>
      </c>
      <c r="X1061" s="4">
        <v>-10.162573382583005</v>
      </c>
    </row>
    <row r="1062" spans="11:24" x14ac:dyDescent="0.25">
      <c r="K1062" s="3"/>
      <c r="L1062" s="8">
        <v>89</v>
      </c>
      <c r="M1062" s="4"/>
      <c r="N1062" s="4"/>
      <c r="O1062" s="4"/>
      <c r="P1062" s="4"/>
      <c r="S1062" s="3">
        <v>1060</v>
      </c>
      <c r="T1062" s="8">
        <v>0.6425106124924197</v>
      </c>
      <c r="U1062" s="4">
        <v>73.5</v>
      </c>
      <c r="V1062" s="4">
        <v>0.36517768438567594</v>
      </c>
      <c r="W1062" s="4">
        <v>76.513256023287425</v>
      </c>
      <c r="X1062" s="4">
        <v>-10.313256023287423</v>
      </c>
    </row>
    <row r="1063" spans="11:24" x14ac:dyDescent="0.25">
      <c r="K1063" s="3"/>
      <c r="L1063" s="8">
        <v>89</v>
      </c>
      <c r="M1063" s="4"/>
      <c r="N1063" s="4"/>
      <c r="O1063" s="4"/>
      <c r="P1063" s="4"/>
      <c r="S1063" s="3">
        <v>1061</v>
      </c>
      <c r="T1063" s="8">
        <v>0.64311704063068531</v>
      </c>
      <c r="U1063" s="4">
        <v>73.5</v>
      </c>
      <c r="V1063" s="4">
        <v>0.36680306833235748</v>
      </c>
      <c r="W1063" s="4">
        <v>76.36530394540064</v>
      </c>
      <c r="X1063" s="4">
        <v>-10.465303945400635</v>
      </c>
    </row>
    <row r="1064" spans="11:24" x14ac:dyDescent="0.25">
      <c r="K1064" s="3"/>
      <c r="L1064" s="8">
        <v>89</v>
      </c>
      <c r="M1064" s="4"/>
      <c r="N1064" s="4"/>
      <c r="O1064" s="4"/>
      <c r="P1064" s="4"/>
      <c r="S1064" s="3">
        <v>1062</v>
      </c>
      <c r="T1064" s="8">
        <v>0.64372346876895092</v>
      </c>
      <c r="U1064" s="4">
        <v>73.5</v>
      </c>
      <c r="V1064" s="4">
        <v>0.36842942190490846</v>
      </c>
      <c r="W1064" s="4">
        <v>76.266669226809455</v>
      </c>
      <c r="X1064" s="4">
        <v>-10.666669226809461</v>
      </c>
    </row>
    <row r="1065" spans="11:24" x14ac:dyDescent="0.25">
      <c r="K1065" s="3"/>
      <c r="L1065" s="8">
        <v>89</v>
      </c>
      <c r="M1065" s="4"/>
      <c r="N1065" s="4"/>
      <c r="O1065" s="4"/>
      <c r="P1065" s="4"/>
      <c r="S1065" s="3">
        <v>1063</v>
      </c>
      <c r="T1065" s="8">
        <v>0.64432989690721654</v>
      </c>
      <c r="U1065" s="4">
        <v>73.5</v>
      </c>
      <c r="V1065" s="4">
        <v>0.37005675056778359</v>
      </c>
      <c r="W1065" s="4">
        <v>76.16803450821827</v>
      </c>
      <c r="X1065" s="4">
        <v>-10.768034508218264</v>
      </c>
    </row>
    <row r="1066" spans="11:24" x14ac:dyDescent="0.25">
      <c r="K1066" s="3"/>
      <c r="L1066" s="8">
        <v>89</v>
      </c>
      <c r="M1066" s="4"/>
      <c r="N1066" s="4"/>
      <c r="O1066" s="4"/>
      <c r="P1066" s="4"/>
      <c r="S1066" s="3">
        <v>1064</v>
      </c>
      <c r="T1066" s="8">
        <v>0.64493632504548215</v>
      </c>
      <c r="U1066" s="4">
        <v>73.599999999999994</v>
      </c>
      <c r="V1066" s="4">
        <v>0.37168505980560435</v>
      </c>
      <c r="W1066" s="4">
        <v>67.19227511642039</v>
      </c>
      <c r="X1066" s="4">
        <v>-1.9922751164203873</v>
      </c>
    </row>
    <row r="1067" spans="11:24" x14ac:dyDescent="0.25">
      <c r="K1067" s="3"/>
      <c r="L1067" s="8">
        <v>89</v>
      </c>
      <c r="M1067" s="4"/>
      <c r="N1067" s="4"/>
      <c r="O1067" s="4"/>
      <c r="P1067" s="4"/>
      <c r="S1067" s="3">
        <v>1065</v>
      </c>
      <c r="T1067" s="8">
        <v>0.64554275318374776</v>
      </c>
      <c r="U1067" s="4">
        <v>73.599999999999994</v>
      </c>
      <c r="V1067" s="4">
        <v>0.37331435512331557</v>
      </c>
      <c r="W1067" s="4">
        <v>63.000299576295014</v>
      </c>
      <c r="X1067" s="4">
        <v>-3.8002995762950107</v>
      </c>
    </row>
    <row r="1068" spans="11:24" x14ac:dyDescent="0.25">
      <c r="K1068" s="3"/>
      <c r="L1068" s="8">
        <v>89</v>
      </c>
      <c r="M1068" s="4"/>
      <c r="N1068" s="4"/>
      <c r="O1068" s="4"/>
      <c r="P1068" s="4"/>
      <c r="S1068" s="3">
        <v>1066</v>
      </c>
      <c r="T1068" s="8">
        <v>0.64614918132201338</v>
      </c>
      <c r="U1068" s="4">
        <v>73.599999999999994</v>
      </c>
      <c r="V1068" s="4">
        <v>0.37494464204634281</v>
      </c>
      <c r="W1068" s="4">
        <v>66.896370960646834</v>
      </c>
      <c r="X1068" s="4">
        <v>-2.3963709606468342</v>
      </c>
    </row>
    <row r="1069" spans="11:24" x14ac:dyDescent="0.25">
      <c r="K1069" s="3"/>
      <c r="L1069" s="8">
        <v>89</v>
      </c>
      <c r="M1069" s="4"/>
      <c r="N1069" s="4"/>
      <c r="O1069" s="4"/>
      <c r="P1069" s="4"/>
      <c r="S1069" s="3">
        <v>1067</v>
      </c>
      <c r="T1069" s="8">
        <v>0.64675560946027899</v>
      </c>
      <c r="U1069" s="4">
        <v>73.599999999999994</v>
      </c>
      <c r="V1069" s="4">
        <v>0.37657592612075225</v>
      </c>
      <c r="W1069" s="4">
        <v>76.513256023287425</v>
      </c>
      <c r="X1069" s="4">
        <v>-12.313256023287423</v>
      </c>
    </row>
    <row r="1070" spans="11:24" x14ac:dyDescent="0.25">
      <c r="K1070" s="3"/>
      <c r="L1070" s="8">
        <v>89</v>
      </c>
      <c r="M1070" s="4"/>
      <c r="N1070" s="4"/>
      <c r="O1070" s="4"/>
      <c r="P1070" s="4"/>
      <c r="S1070" s="3">
        <v>1068</v>
      </c>
      <c r="T1070" s="8">
        <v>0.6473620375985446</v>
      </c>
      <c r="U1070" s="4">
        <v>73.599999999999994</v>
      </c>
      <c r="V1070" s="4">
        <v>0.37820821291340967</v>
      </c>
      <c r="W1070" s="4">
        <v>66.551149445577693</v>
      </c>
      <c r="X1070" s="4">
        <v>-2.6511494455776941</v>
      </c>
    </row>
    <row r="1071" spans="11:24" x14ac:dyDescent="0.25">
      <c r="K1071" s="3"/>
      <c r="L1071" s="8">
        <v>89</v>
      </c>
      <c r="M1071" s="4"/>
      <c r="N1071" s="4"/>
      <c r="O1071" s="4"/>
      <c r="P1071" s="4"/>
      <c r="S1071" s="3">
        <v>1069</v>
      </c>
      <c r="T1071" s="8">
        <v>0.64796846573681022</v>
      </c>
      <c r="U1071" s="4">
        <v>73.599999999999994</v>
      </c>
      <c r="V1071" s="4">
        <v>0.37984150801214311</v>
      </c>
      <c r="W1071" s="4">
        <v>66.353880008395322</v>
      </c>
      <c r="X1071" s="4">
        <v>-2.853880008395322</v>
      </c>
    </row>
    <row r="1072" spans="11:24" x14ac:dyDescent="0.25">
      <c r="K1072" s="3"/>
      <c r="L1072" s="8">
        <v>36.299999999999997</v>
      </c>
      <c r="M1072" s="4"/>
      <c r="N1072" s="4"/>
      <c r="O1072" s="4"/>
      <c r="P1072" s="4"/>
      <c r="S1072" s="3">
        <v>1070</v>
      </c>
      <c r="T1072" s="8">
        <v>0.64857489387507583</v>
      </c>
      <c r="U1072" s="4">
        <v>73.599999999999994</v>
      </c>
      <c r="V1072" s="4">
        <v>0.38147581702590433</v>
      </c>
      <c r="W1072" s="4">
        <v>66.205927930508537</v>
      </c>
      <c r="X1072" s="4">
        <v>-3.005927930508534</v>
      </c>
    </row>
    <row r="1073" spans="11:24" x14ac:dyDescent="0.25">
      <c r="K1073" s="3"/>
      <c r="L1073" s="8">
        <v>36.299999999999997</v>
      </c>
      <c r="M1073" s="4"/>
      <c r="N1073" s="4"/>
      <c r="O1073" s="4"/>
      <c r="P1073" s="4"/>
      <c r="S1073" s="3">
        <v>1071</v>
      </c>
      <c r="T1073" s="8">
        <v>0.64918132201334144</v>
      </c>
      <c r="U1073" s="4">
        <v>73.599999999999994</v>
      </c>
      <c r="V1073" s="4">
        <v>0.38311114558493348</v>
      </c>
      <c r="W1073" s="4">
        <v>65.663436978257025</v>
      </c>
      <c r="X1073" s="4">
        <v>0.23656302174298105</v>
      </c>
    </row>
    <row r="1074" spans="11:24" x14ac:dyDescent="0.25">
      <c r="K1074" s="3"/>
      <c r="L1074" s="8">
        <v>36.299999999999997</v>
      </c>
      <c r="M1074" s="4"/>
      <c r="N1074" s="4"/>
      <c r="O1074" s="4"/>
      <c r="P1074" s="4"/>
      <c r="S1074" s="3">
        <v>1072</v>
      </c>
      <c r="T1074" s="8">
        <v>0.64978775015160706</v>
      </c>
      <c r="U1074" s="4">
        <v>73.599999999999994</v>
      </c>
      <c r="V1074" s="4">
        <v>0.38474749934092456</v>
      </c>
      <c r="W1074" s="4">
        <v>66.156610571212951</v>
      </c>
      <c r="X1074" s="4">
        <v>-5.6610571212956984E-2</v>
      </c>
    </row>
    <row r="1075" spans="11:24" x14ac:dyDescent="0.25">
      <c r="K1075" s="3"/>
      <c r="L1075" s="8">
        <v>36.299999999999997</v>
      </c>
      <c r="M1075" s="4"/>
      <c r="N1075" s="4"/>
      <c r="O1075" s="4"/>
      <c r="P1075" s="4"/>
      <c r="S1075" s="3">
        <v>1073</v>
      </c>
      <c r="T1075" s="8">
        <v>0.65039417828987267</v>
      </c>
      <c r="U1075" s="4">
        <v>73.599999999999994</v>
      </c>
      <c r="V1075" s="4">
        <v>0.38638488396719095</v>
      </c>
      <c r="W1075" s="4">
        <v>66.156610571212951</v>
      </c>
      <c r="X1075" s="4">
        <v>-0.35661057121295414</v>
      </c>
    </row>
    <row r="1076" spans="11:24" x14ac:dyDescent="0.25">
      <c r="K1076" s="3"/>
      <c r="L1076" s="8">
        <v>36.299999999999997</v>
      </c>
      <c r="M1076" s="4"/>
      <c r="N1076" s="4"/>
      <c r="O1076" s="4"/>
      <c r="P1076" s="4"/>
      <c r="S1076" s="3">
        <v>1074</v>
      </c>
      <c r="T1076" s="8">
        <v>0.65100060642813828</v>
      </c>
      <c r="U1076" s="4">
        <v>73.599999999999994</v>
      </c>
      <c r="V1076" s="4">
        <v>0.38802330515883399</v>
      </c>
      <c r="W1076" s="4">
        <v>64.381185636571615</v>
      </c>
      <c r="X1076" s="4">
        <v>-8.1185636571618147E-2</v>
      </c>
    </row>
    <row r="1077" spans="11:24" x14ac:dyDescent="0.25">
      <c r="K1077" s="3"/>
      <c r="L1077" s="8">
        <v>36.299999999999997</v>
      </c>
      <c r="M1077" s="4"/>
      <c r="N1077" s="4"/>
      <c r="O1077" s="4"/>
      <c r="P1077" s="4"/>
      <c r="S1077" s="3">
        <v>1075</v>
      </c>
      <c r="T1077" s="8">
        <v>0.6516070345664039</v>
      </c>
      <c r="U1077" s="4">
        <v>73.599999999999994</v>
      </c>
      <c r="V1077" s="4">
        <v>0.3896627686329121</v>
      </c>
      <c r="W1077" s="4">
        <v>62.852347498408236</v>
      </c>
      <c r="X1077" s="4">
        <v>0.14765250159176446</v>
      </c>
    </row>
    <row r="1078" spans="11:24" x14ac:dyDescent="0.25">
      <c r="K1078" s="3"/>
      <c r="L1078" s="8">
        <v>89</v>
      </c>
      <c r="M1078" s="4"/>
      <c r="N1078" s="4"/>
      <c r="O1078" s="4"/>
      <c r="P1078" s="4"/>
      <c r="S1078" s="3">
        <v>1076</v>
      </c>
      <c r="T1078" s="8">
        <v>0.65221346270466951</v>
      </c>
      <c r="U1078" s="4">
        <v>73.599999999999994</v>
      </c>
      <c r="V1078" s="4">
        <v>0.39130328012861049</v>
      </c>
      <c r="W1078" s="4">
        <v>69.806095159086809</v>
      </c>
      <c r="X1078" s="4">
        <v>-0.20609515908681431</v>
      </c>
    </row>
    <row r="1079" spans="11:24" x14ac:dyDescent="0.25">
      <c r="K1079" s="3"/>
      <c r="L1079" s="8">
        <v>89</v>
      </c>
      <c r="M1079" s="4"/>
      <c r="N1079" s="4"/>
      <c r="O1079" s="4"/>
      <c r="P1079" s="4"/>
      <c r="S1079" s="3">
        <v>1077</v>
      </c>
      <c r="T1079" s="8">
        <v>0.65281989084293512</v>
      </c>
      <c r="U1079" s="4">
        <v>73.599999999999994</v>
      </c>
      <c r="V1079" s="4">
        <v>0.3929448454074142</v>
      </c>
      <c r="W1079" s="4">
        <v>69.608825721904438</v>
      </c>
      <c r="X1079" s="4">
        <v>-0.3088257219044408</v>
      </c>
    </row>
    <row r="1080" spans="11:24" x14ac:dyDescent="0.25">
      <c r="K1080" s="3"/>
      <c r="L1080" s="8">
        <v>89</v>
      </c>
      <c r="M1080" s="4"/>
      <c r="N1080" s="4"/>
      <c r="O1080" s="4"/>
      <c r="P1080" s="4"/>
      <c r="S1080" s="3">
        <v>1078</v>
      </c>
      <c r="T1080" s="8">
        <v>0.65342631898120074</v>
      </c>
      <c r="U1080" s="4">
        <v>73.599999999999994</v>
      </c>
      <c r="V1080" s="4">
        <v>0.39458747025327945</v>
      </c>
      <c r="W1080" s="4">
        <v>69.362238925426482</v>
      </c>
      <c r="X1080" s="4">
        <v>-0.46223892542647604</v>
      </c>
    </row>
    <row r="1081" spans="11:24" x14ac:dyDescent="0.25">
      <c r="K1081" s="3"/>
      <c r="L1081" s="8">
        <v>89</v>
      </c>
      <c r="M1081" s="4"/>
      <c r="N1081" s="4"/>
      <c r="O1081" s="4"/>
      <c r="P1081" s="4"/>
      <c r="S1081" s="3">
        <v>1079</v>
      </c>
      <c r="T1081" s="8">
        <v>0.65403274711946635</v>
      </c>
      <c r="U1081" s="4">
        <v>73.599999999999994</v>
      </c>
      <c r="V1081" s="4">
        <v>0.39623116047281026</v>
      </c>
      <c r="W1081" s="4">
        <v>69.115652128948511</v>
      </c>
      <c r="X1081" s="4">
        <v>-0.71565212894850561</v>
      </c>
    </row>
    <row r="1082" spans="11:24" x14ac:dyDescent="0.25">
      <c r="K1082" s="3"/>
      <c r="L1082" s="8">
        <v>89</v>
      </c>
      <c r="M1082" s="4"/>
      <c r="N1082" s="4"/>
      <c r="O1082" s="4"/>
      <c r="P1082" s="4"/>
      <c r="S1082" s="3">
        <v>1080</v>
      </c>
      <c r="T1082" s="8">
        <v>0.65463917525773196</v>
      </c>
      <c r="U1082" s="4">
        <v>73.7</v>
      </c>
      <c r="V1082" s="4">
        <v>0.39787592189543264</v>
      </c>
      <c r="W1082" s="4">
        <v>68.819747973174955</v>
      </c>
      <c r="X1082" s="4">
        <v>-0.81974797317495529</v>
      </c>
    </row>
    <row r="1083" spans="11:24" x14ac:dyDescent="0.25">
      <c r="K1083" s="3"/>
      <c r="L1083" s="8">
        <v>89</v>
      </c>
      <c r="M1083" s="4"/>
      <c r="N1083" s="4"/>
      <c r="O1083" s="4"/>
      <c r="P1083" s="4"/>
      <c r="S1083" s="3">
        <v>1081</v>
      </c>
      <c r="T1083" s="8">
        <v>0.65524560339599758</v>
      </c>
      <c r="U1083" s="4">
        <v>73.7</v>
      </c>
      <c r="V1083" s="4">
        <v>0.39952176037357301</v>
      </c>
      <c r="W1083" s="4">
        <v>68.573161176696999</v>
      </c>
      <c r="X1083" s="4">
        <v>-1.0731611766969991</v>
      </c>
    </row>
    <row r="1084" spans="11:24" x14ac:dyDescent="0.25">
      <c r="K1084" s="3"/>
      <c r="L1084" s="8">
        <v>89</v>
      </c>
      <c r="M1084" s="4"/>
      <c r="N1084" s="4"/>
      <c r="O1084" s="4"/>
      <c r="P1084" s="4"/>
      <c r="S1084" s="3">
        <v>1082</v>
      </c>
      <c r="T1084" s="8">
        <v>0.65585203153426319</v>
      </c>
      <c r="U1084" s="4">
        <v>73.7</v>
      </c>
      <c r="V1084" s="4">
        <v>0.40116868178283638</v>
      </c>
      <c r="W1084" s="4">
        <v>68.277257020923429</v>
      </c>
      <c r="X1084" s="4">
        <v>-1.2772570209234289</v>
      </c>
    </row>
    <row r="1085" spans="11:24" x14ac:dyDescent="0.25">
      <c r="K1085" s="3"/>
      <c r="L1085" s="8">
        <v>89</v>
      </c>
      <c r="M1085" s="4"/>
      <c r="N1085" s="4"/>
      <c r="O1085" s="4"/>
      <c r="P1085" s="4"/>
      <c r="S1085" s="3">
        <v>1083</v>
      </c>
      <c r="T1085" s="8">
        <v>0.6564584596725288</v>
      </c>
      <c r="U1085" s="4">
        <v>73.7</v>
      </c>
      <c r="V1085" s="4">
        <v>0.40281669202218628</v>
      </c>
      <c r="W1085" s="4">
        <v>68.030670224445473</v>
      </c>
      <c r="X1085" s="4">
        <v>-1.4306702244454783</v>
      </c>
    </row>
    <row r="1086" spans="11:24" x14ac:dyDescent="0.25">
      <c r="K1086" s="3"/>
      <c r="L1086" s="8">
        <v>36.299999999999997</v>
      </c>
      <c r="M1086" s="4"/>
      <c r="N1086" s="4"/>
      <c r="O1086" s="4"/>
      <c r="P1086" s="4"/>
      <c r="S1086" s="3">
        <v>1084</v>
      </c>
      <c r="T1086" s="8">
        <v>0.65706488781079442</v>
      </c>
      <c r="U1086" s="4">
        <v>73.7</v>
      </c>
      <c r="V1086" s="4">
        <v>0.4044657970141271</v>
      </c>
      <c r="W1086" s="4">
        <v>76.562573382583011</v>
      </c>
      <c r="X1086" s="4">
        <v>-10.562573382583011</v>
      </c>
    </row>
    <row r="1087" spans="11:24" x14ac:dyDescent="0.25">
      <c r="K1087" s="3"/>
      <c r="L1087" s="8">
        <v>36.299999999999997</v>
      </c>
      <c r="M1087" s="4"/>
      <c r="N1087" s="4"/>
      <c r="O1087" s="4"/>
      <c r="P1087" s="4"/>
      <c r="S1087" s="3">
        <v>1085</v>
      </c>
      <c r="T1087" s="8">
        <v>0.65767131594906003</v>
      </c>
      <c r="U1087" s="4">
        <v>73.7</v>
      </c>
      <c r="V1087" s="4">
        <v>0.4061160027048869</v>
      </c>
      <c r="W1087" s="4">
        <v>76.217351867513869</v>
      </c>
      <c r="X1087" s="4">
        <v>-10.817351867513864</v>
      </c>
    </row>
    <row r="1088" spans="11:24" x14ac:dyDescent="0.25">
      <c r="K1088" s="3"/>
      <c r="L1088" s="8">
        <v>36.299999999999997</v>
      </c>
      <c r="M1088" s="4"/>
      <c r="N1088" s="4"/>
      <c r="O1088" s="4"/>
      <c r="P1088" s="4"/>
      <c r="S1088" s="3">
        <v>1086</v>
      </c>
      <c r="T1088" s="8">
        <v>0.65827774408732564</v>
      </c>
      <c r="U1088" s="4">
        <v>73.7</v>
      </c>
      <c r="V1088" s="4">
        <v>0.40776731506460151</v>
      </c>
      <c r="W1088" s="4">
        <v>66.847053601351249</v>
      </c>
      <c r="X1088" s="4">
        <v>-2.1470536013512458</v>
      </c>
    </row>
    <row r="1089" spans="11:24" x14ac:dyDescent="0.25">
      <c r="K1089" s="3"/>
      <c r="L1089" s="8">
        <v>36.299999999999997</v>
      </c>
      <c r="M1089" s="4"/>
      <c r="N1089" s="4"/>
      <c r="O1089" s="4"/>
      <c r="P1089" s="4"/>
      <c r="S1089" s="3">
        <v>1087</v>
      </c>
      <c r="T1089" s="8">
        <v>0.65888417222559126</v>
      </c>
      <c r="U1089" s="4">
        <v>73.7</v>
      </c>
      <c r="V1089" s="4">
        <v>0.40941974008750148</v>
      </c>
      <c r="W1089" s="4">
        <v>76.513256023287425</v>
      </c>
      <c r="X1089" s="4">
        <v>-12.213256023287428</v>
      </c>
    </row>
    <row r="1090" spans="11:24" x14ac:dyDescent="0.25">
      <c r="K1090" s="3"/>
      <c r="L1090" s="8">
        <v>36.299999999999997</v>
      </c>
      <c r="M1090" s="4"/>
      <c r="N1090" s="4"/>
      <c r="O1090" s="4"/>
      <c r="P1090" s="4"/>
      <c r="S1090" s="3">
        <v>1088</v>
      </c>
      <c r="T1090" s="8">
        <v>0.65949060036385687</v>
      </c>
      <c r="U1090" s="4">
        <v>73.7</v>
      </c>
      <c r="V1090" s="4">
        <v>0.41107328379209845</v>
      </c>
      <c r="W1090" s="4">
        <v>74.737831088646089</v>
      </c>
      <c r="X1090" s="4">
        <v>6.9621689113539134</v>
      </c>
    </row>
    <row r="1091" spans="11:24" x14ac:dyDescent="0.25">
      <c r="K1091" s="3"/>
      <c r="L1091" s="8">
        <v>36.299999999999997</v>
      </c>
      <c r="M1091" s="4"/>
      <c r="N1091" s="4"/>
      <c r="O1091" s="4"/>
      <c r="P1091" s="4"/>
      <c r="S1091" s="3">
        <v>1089</v>
      </c>
      <c r="T1091" s="8">
        <v>0.66009702850212248</v>
      </c>
      <c r="U1091" s="4">
        <v>73.7</v>
      </c>
      <c r="V1091" s="4">
        <v>0.41272795222137537</v>
      </c>
      <c r="W1091" s="4">
        <v>77.302333772016908</v>
      </c>
      <c r="X1091" s="4">
        <v>4.0976662279830975</v>
      </c>
    </row>
    <row r="1092" spans="11:24" x14ac:dyDescent="0.25">
      <c r="K1092" s="3"/>
      <c r="L1092" s="8">
        <v>36.299999999999997</v>
      </c>
      <c r="M1092" s="4"/>
      <c r="N1092" s="4"/>
      <c r="O1092" s="4"/>
      <c r="P1092" s="4"/>
      <c r="S1092" s="3">
        <v>1090</v>
      </c>
      <c r="T1092" s="8">
        <v>0.6607034566403881</v>
      </c>
      <c r="U1092" s="4">
        <v>73.8</v>
      </c>
      <c r="V1092" s="4">
        <v>0.41438375144297679</v>
      </c>
      <c r="W1092" s="4">
        <v>74.540561651463719</v>
      </c>
      <c r="X1092" s="4">
        <v>6.5594383485362755</v>
      </c>
    </row>
    <row r="1093" spans="11:24" x14ac:dyDescent="0.25">
      <c r="K1093" s="3"/>
      <c r="L1093" s="8">
        <v>36.299999999999997</v>
      </c>
      <c r="M1093" s="4"/>
      <c r="N1093" s="4"/>
      <c r="O1093" s="4"/>
      <c r="P1093" s="4"/>
      <c r="S1093" s="3">
        <v>1091</v>
      </c>
      <c r="T1093" s="8">
        <v>0.66130988477865371</v>
      </c>
      <c r="U1093" s="4">
        <v>73.8</v>
      </c>
      <c r="V1093" s="4">
        <v>0.41604068754940043</v>
      </c>
      <c r="W1093" s="4">
        <v>74.491244292168119</v>
      </c>
      <c r="X1093" s="4">
        <v>6.6087557078318753</v>
      </c>
    </row>
    <row r="1094" spans="11:24" x14ac:dyDescent="0.25">
      <c r="K1094" s="3"/>
      <c r="L1094" s="8">
        <v>89</v>
      </c>
      <c r="M1094" s="4"/>
      <c r="N1094" s="4"/>
      <c r="O1094" s="4"/>
      <c r="P1094" s="4"/>
      <c r="S1094" s="3">
        <v>1092</v>
      </c>
      <c r="T1094" s="8">
        <v>0.66191631291691932</v>
      </c>
      <c r="U1094" s="4">
        <v>73.8</v>
      </c>
      <c r="V1094" s="4">
        <v>0.417698766658192</v>
      </c>
      <c r="W1094" s="4">
        <v>70.299268752042735</v>
      </c>
      <c r="X1094" s="4">
        <v>4.2007312479572647</v>
      </c>
    </row>
    <row r="1095" spans="11:24" x14ac:dyDescent="0.25">
      <c r="K1095" s="3"/>
      <c r="L1095" s="8">
        <v>89</v>
      </c>
      <c r="M1095" s="4"/>
      <c r="N1095" s="4"/>
      <c r="O1095" s="4"/>
      <c r="P1095" s="4"/>
      <c r="S1095" s="3">
        <v>1093</v>
      </c>
      <c r="T1095" s="8">
        <v>0.66252274105518494</v>
      </c>
      <c r="U1095" s="4">
        <v>73.8</v>
      </c>
      <c r="V1095" s="4">
        <v>0.41935799491213971</v>
      </c>
      <c r="W1095" s="4">
        <v>69.855412518382408</v>
      </c>
      <c r="X1095" s="4">
        <v>4.0445874816175973</v>
      </c>
    </row>
    <row r="1096" spans="11:24" x14ac:dyDescent="0.25">
      <c r="K1096" s="3"/>
      <c r="L1096" s="8">
        <v>89</v>
      </c>
      <c r="M1096" s="4"/>
      <c r="N1096" s="4"/>
      <c r="O1096" s="4"/>
      <c r="P1096" s="4"/>
      <c r="S1096" s="3">
        <v>1094</v>
      </c>
      <c r="T1096" s="8">
        <v>0.66312916919345055</v>
      </c>
      <c r="U1096" s="4">
        <v>73.8</v>
      </c>
      <c r="V1096" s="4">
        <v>0.42101837847947188</v>
      </c>
      <c r="W1096" s="4">
        <v>69.855412518382408</v>
      </c>
      <c r="X1096" s="4">
        <v>4.0445874816175973</v>
      </c>
    </row>
    <row r="1097" spans="11:24" x14ac:dyDescent="0.25">
      <c r="K1097" s="3"/>
      <c r="L1097" s="8">
        <v>89</v>
      </c>
      <c r="M1097" s="4"/>
      <c r="N1097" s="4"/>
      <c r="O1097" s="4"/>
      <c r="P1097" s="4"/>
      <c r="S1097" s="3">
        <v>1095</v>
      </c>
      <c r="T1097" s="8">
        <v>0.66373559733171617</v>
      </c>
      <c r="U1097" s="4">
        <v>73.8</v>
      </c>
      <c r="V1097" s="4">
        <v>0.42267992355405537</v>
      </c>
      <c r="W1097" s="4">
        <v>70.348586111338335</v>
      </c>
      <c r="X1097" s="4">
        <v>4.1514138886616649</v>
      </c>
    </row>
    <row r="1098" spans="11:24" x14ac:dyDescent="0.25">
      <c r="K1098" s="3"/>
      <c r="L1098" s="8">
        <v>89</v>
      </c>
      <c r="M1098" s="4"/>
      <c r="N1098" s="4"/>
      <c r="O1098" s="4"/>
      <c r="P1098" s="4"/>
      <c r="S1098" s="3">
        <v>1096</v>
      </c>
      <c r="T1098" s="8">
        <v>0.66434202546998178</v>
      </c>
      <c r="U1098" s="4">
        <v>73.8</v>
      </c>
      <c r="V1098" s="4">
        <v>0.42434263635559549</v>
      </c>
      <c r="W1098" s="4">
        <v>70.003364596269179</v>
      </c>
      <c r="X1098" s="4">
        <v>3.1966354037308236</v>
      </c>
    </row>
    <row r="1099" spans="11:24" x14ac:dyDescent="0.25">
      <c r="K1099" s="3"/>
      <c r="L1099" s="8">
        <v>89</v>
      </c>
      <c r="M1099" s="4"/>
      <c r="N1099" s="4"/>
      <c r="O1099" s="4"/>
      <c r="P1099" s="4"/>
      <c r="S1099" s="3">
        <v>1097</v>
      </c>
      <c r="T1099" s="8">
        <v>0.66494845360824739</v>
      </c>
      <c r="U1099" s="4">
        <v>73.8</v>
      </c>
      <c r="V1099" s="4">
        <v>0.42600652312983839</v>
      </c>
      <c r="W1099" s="4">
        <v>69.559508362608852</v>
      </c>
      <c r="X1099" s="4">
        <v>3.6404916373911504</v>
      </c>
    </row>
    <row r="1100" spans="11:24" x14ac:dyDescent="0.25">
      <c r="K1100" s="3"/>
      <c r="L1100" s="8">
        <v>36.299999999999997</v>
      </c>
      <c r="M1100" s="4"/>
      <c r="N1100" s="4"/>
      <c r="O1100" s="4"/>
      <c r="P1100" s="4"/>
      <c r="S1100" s="3">
        <v>1098</v>
      </c>
      <c r="T1100" s="8">
        <v>0.66555488174651301</v>
      </c>
      <c r="U1100" s="4">
        <v>73.8</v>
      </c>
      <c r="V1100" s="4">
        <v>0.42767159014877482</v>
      </c>
      <c r="W1100" s="4">
        <v>69.263604206835296</v>
      </c>
      <c r="X1100" s="4">
        <v>3.2363957931647036</v>
      </c>
    </row>
    <row r="1101" spans="11:24" x14ac:dyDescent="0.25">
      <c r="K1101" s="3"/>
      <c r="L1101" s="8">
        <v>36.299999999999997</v>
      </c>
      <c r="M1101" s="4"/>
      <c r="N1101" s="4"/>
      <c r="O1101" s="4"/>
      <c r="P1101" s="4"/>
      <c r="S1101" s="3">
        <v>1099</v>
      </c>
      <c r="T1101" s="8">
        <v>0.66616130988477862</v>
      </c>
      <c r="U1101" s="4">
        <v>73.8</v>
      </c>
      <c r="V1101" s="4">
        <v>0.42933784371084455</v>
      </c>
      <c r="W1101" s="4">
        <v>69.066334769652926</v>
      </c>
      <c r="X1101" s="4">
        <v>3.4336652303470743</v>
      </c>
    </row>
    <row r="1102" spans="11:24" x14ac:dyDescent="0.25">
      <c r="K1102" s="3"/>
      <c r="L1102" s="8">
        <v>36.299999999999997</v>
      </c>
      <c r="M1102" s="4"/>
      <c r="N1102" s="4"/>
      <c r="O1102" s="4"/>
      <c r="P1102" s="4"/>
      <c r="S1102" s="3">
        <v>1100</v>
      </c>
      <c r="T1102" s="8">
        <v>0.66676773802304423</v>
      </c>
      <c r="U1102" s="4">
        <v>73.8</v>
      </c>
      <c r="V1102" s="4">
        <v>0.43100529014114453</v>
      </c>
      <c r="W1102" s="4">
        <v>76.759842819765382</v>
      </c>
      <c r="X1102" s="4">
        <v>-3.7598428197653817</v>
      </c>
    </row>
    <row r="1103" spans="11:24" x14ac:dyDescent="0.25">
      <c r="K1103" s="3"/>
      <c r="L1103" s="8">
        <v>36.299999999999997</v>
      </c>
      <c r="M1103" s="4"/>
      <c r="N1103" s="4"/>
      <c r="O1103" s="4"/>
      <c r="P1103" s="4"/>
      <c r="S1103" s="3">
        <v>1101</v>
      </c>
      <c r="T1103" s="8">
        <v>0.66737416616130985</v>
      </c>
      <c r="U1103" s="4">
        <v>73.8</v>
      </c>
      <c r="V1103" s="4">
        <v>0.43267393579163699</v>
      </c>
      <c r="W1103" s="4">
        <v>68.030670224445473</v>
      </c>
      <c r="X1103" s="4">
        <v>3.1693297755545302</v>
      </c>
    </row>
    <row r="1104" spans="11:24" x14ac:dyDescent="0.25">
      <c r="K1104" s="3"/>
      <c r="L1104" s="8">
        <v>36.299999999999997</v>
      </c>
      <c r="M1104" s="4"/>
      <c r="N1104" s="4"/>
      <c r="O1104" s="4"/>
      <c r="P1104" s="4"/>
      <c r="S1104" s="3">
        <v>1102</v>
      </c>
      <c r="T1104" s="8">
        <v>0.66798059429957546</v>
      </c>
      <c r="U1104" s="4">
        <v>73.900000000000006</v>
      </c>
      <c r="V1104" s="4">
        <v>0.43434378704136051</v>
      </c>
      <c r="W1104" s="4">
        <v>68.030670224445473</v>
      </c>
      <c r="X1104" s="4">
        <v>2.9693297755545274</v>
      </c>
    </row>
    <row r="1105" spans="11:24" x14ac:dyDescent="0.25">
      <c r="K1105" s="3"/>
      <c r="L1105" s="8">
        <v>36.299999999999997</v>
      </c>
      <c r="M1105" s="4"/>
      <c r="N1105" s="4"/>
      <c r="O1105" s="4"/>
      <c r="P1105" s="4"/>
      <c r="S1105" s="3">
        <v>1103</v>
      </c>
      <c r="T1105" s="8">
        <v>0.66858702243784107</v>
      </c>
      <c r="U1105" s="4">
        <v>73.900000000000006</v>
      </c>
      <c r="V1105" s="4">
        <v>0.43601485029664155</v>
      </c>
      <c r="W1105" s="4">
        <v>67.833400787263102</v>
      </c>
      <c r="X1105" s="4">
        <v>8.166599212736898</v>
      </c>
    </row>
    <row r="1106" spans="11:24" x14ac:dyDescent="0.25">
      <c r="K1106" s="3"/>
      <c r="L1106" s="8">
        <v>36.299999999999997</v>
      </c>
      <c r="M1106" s="4"/>
      <c r="N1106" s="4"/>
      <c r="O1106" s="4"/>
      <c r="P1106" s="4"/>
      <c r="S1106" s="3">
        <v>1104</v>
      </c>
      <c r="T1106" s="8">
        <v>0.66919345057610669</v>
      </c>
      <c r="U1106" s="4">
        <v>73.900000000000006</v>
      </c>
      <c r="V1106" s="4">
        <v>0.43768713199130949</v>
      </c>
      <c r="W1106" s="4">
        <v>67.882718146558688</v>
      </c>
      <c r="X1106" s="4">
        <v>7.1172818534413125</v>
      </c>
    </row>
    <row r="1107" spans="11:24" x14ac:dyDescent="0.25">
      <c r="K1107" s="3"/>
      <c r="L1107" s="8">
        <v>36.299999999999997</v>
      </c>
      <c r="M1107" s="4"/>
      <c r="N1107" s="4"/>
      <c r="O1107" s="4"/>
      <c r="P1107" s="4"/>
      <c r="S1107" s="3">
        <v>1105</v>
      </c>
      <c r="T1107" s="8">
        <v>0.6697998787143723</v>
      </c>
      <c r="U1107" s="4">
        <v>73.900000000000006</v>
      </c>
      <c r="V1107" s="4">
        <v>0.4393606385869121</v>
      </c>
      <c r="W1107" s="4">
        <v>68.079987583741058</v>
      </c>
      <c r="X1107" s="4">
        <v>4.9200124162589418</v>
      </c>
    </row>
    <row r="1108" spans="11:24" x14ac:dyDescent="0.25">
      <c r="K1108" s="3"/>
      <c r="L1108" s="8">
        <v>36.299999999999997</v>
      </c>
      <c r="M1108" s="4"/>
      <c r="N1108" s="4"/>
      <c r="O1108" s="4"/>
      <c r="P1108" s="4"/>
      <c r="S1108" s="3">
        <v>1106</v>
      </c>
      <c r="T1108" s="8">
        <v>0.67040630685263791</v>
      </c>
      <c r="U1108" s="4">
        <v>73.900000000000006</v>
      </c>
      <c r="V1108" s="4">
        <v>0.4410353765729329</v>
      </c>
      <c r="W1108" s="4">
        <v>68.129304943036658</v>
      </c>
      <c r="X1108" s="4">
        <v>4.870695056963342</v>
      </c>
    </row>
    <row r="1109" spans="11:24" x14ac:dyDescent="0.25">
      <c r="K1109" s="3"/>
      <c r="L1109" s="8">
        <v>36.299999999999997</v>
      </c>
      <c r="M1109" s="4"/>
      <c r="N1109" s="4"/>
      <c r="O1109" s="4"/>
      <c r="P1109" s="4"/>
      <c r="S1109" s="3">
        <v>1107</v>
      </c>
      <c r="T1109" s="8">
        <v>0.67101273499090353</v>
      </c>
      <c r="U1109" s="4">
        <v>73.900000000000006</v>
      </c>
      <c r="V1109" s="4">
        <v>0.4427113524670121</v>
      </c>
      <c r="W1109" s="4">
        <v>66.600466804873278</v>
      </c>
      <c r="X1109" s="4">
        <v>-5.2004668048732796</v>
      </c>
    </row>
    <row r="1110" spans="11:24" x14ac:dyDescent="0.25">
      <c r="K1110" s="3"/>
      <c r="L1110" s="8">
        <v>89</v>
      </c>
      <c r="M1110" s="4"/>
      <c r="N1110" s="4"/>
      <c r="O1110" s="4"/>
      <c r="P1110" s="4"/>
      <c r="S1110" s="3">
        <v>1108</v>
      </c>
      <c r="T1110" s="8">
        <v>0.67161916312916914</v>
      </c>
      <c r="U1110" s="4">
        <v>73.900000000000006</v>
      </c>
      <c r="V1110" s="4">
        <v>0.44438857281516692</v>
      </c>
      <c r="W1110" s="4">
        <v>66.403197367690908</v>
      </c>
      <c r="X1110" s="4">
        <v>2.5968026323090925</v>
      </c>
    </row>
    <row r="1111" spans="11:24" x14ac:dyDescent="0.25">
      <c r="K1111" s="3"/>
      <c r="L1111" s="8">
        <v>89</v>
      </c>
      <c r="M1111" s="4"/>
      <c r="N1111" s="4"/>
      <c r="O1111" s="4"/>
      <c r="P1111" s="4"/>
      <c r="S1111" s="3">
        <v>1109</v>
      </c>
      <c r="T1111" s="8">
        <v>0.67222559126743486</v>
      </c>
      <c r="U1111" s="4">
        <v>73.900000000000006</v>
      </c>
      <c r="V1111" s="4">
        <v>0.44606704419201565</v>
      </c>
      <c r="W1111" s="4">
        <v>66.156610571212951</v>
      </c>
      <c r="X1111" s="4">
        <v>-3.1566105712129513</v>
      </c>
    </row>
    <row r="1112" spans="11:24" x14ac:dyDescent="0.25">
      <c r="K1112" s="3"/>
      <c r="L1112" s="8">
        <v>89</v>
      </c>
      <c r="M1112" s="4"/>
      <c r="N1112" s="4"/>
      <c r="O1112" s="4"/>
      <c r="P1112" s="4"/>
      <c r="S1112" s="3">
        <v>1110</v>
      </c>
      <c r="T1112" s="8">
        <v>0.67283201940570048</v>
      </c>
      <c r="U1112" s="4">
        <v>73.900000000000006</v>
      </c>
      <c r="V1112" s="4">
        <v>0.44774677320100187</v>
      </c>
      <c r="W1112" s="4">
        <v>65.71275433755261</v>
      </c>
      <c r="X1112" s="4">
        <v>-6.3127543375526116</v>
      </c>
    </row>
    <row r="1113" spans="11:24" x14ac:dyDescent="0.25">
      <c r="K1113" s="3"/>
      <c r="L1113" s="8">
        <v>89</v>
      </c>
      <c r="M1113" s="4"/>
      <c r="N1113" s="4"/>
      <c r="O1113" s="4"/>
      <c r="P1113" s="4"/>
      <c r="S1113" s="3">
        <v>1111</v>
      </c>
      <c r="T1113" s="8">
        <v>0.67343844754396609</v>
      </c>
      <c r="U1113" s="4">
        <v>73.900000000000006</v>
      </c>
      <c r="V1113" s="4">
        <v>0.44942776647462396</v>
      </c>
      <c r="W1113" s="4">
        <v>65.170263385301098</v>
      </c>
      <c r="X1113" s="4">
        <v>-6.9702633853010951</v>
      </c>
    </row>
    <row r="1114" spans="11:24" x14ac:dyDescent="0.25">
      <c r="K1114" s="3"/>
      <c r="L1114" s="8">
        <v>89</v>
      </c>
      <c r="M1114" s="4"/>
      <c r="N1114" s="4"/>
      <c r="O1114" s="4"/>
      <c r="P1114" s="4"/>
      <c r="S1114" s="3">
        <v>1112</v>
      </c>
      <c r="T1114" s="8">
        <v>0.6740448756822317</v>
      </c>
      <c r="U1114" s="4">
        <v>73.900000000000006</v>
      </c>
      <c r="V1114" s="4">
        <v>0.45111003067466238</v>
      </c>
      <c r="W1114" s="4">
        <v>64.627772433049572</v>
      </c>
      <c r="X1114" s="4">
        <v>-7.5277724330495701</v>
      </c>
    </row>
    <row r="1115" spans="11:24" x14ac:dyDescent="0.25">
      <c r="K1115" s="3"/>
      <c r="L1115" s="8">
        <v>89</v>
      </c>
      <c r="M1115" s="4"/>
      <c r="N1115" s="4"/>
      <c r="O1115" s="4"/>
      <c r="P1115" s="4"/>
      <c r="S1115" s="3">
        <v>1113</v>
      </c>
      <c r="T1115" s="8">
        <v>0.67465130382049732</v>
      </c>
      <c r="U1115" s="4">
        <v>73.900000000000006</v>
      </c>
      <c r="V1115" s="4">
        <v>0.45279357249241164</v>
      </c>
      <c r="W1115" s="4">
        <v>59.74535386278589</v>
      </c>
      <c r="X1115" s="4">
        <v>-6.145353862785889</v>
      </c>
    </row>
    <row r="1116" spans="11:24" x14ac:dyDescent="0.25">
      <c r="K1116" s="3"/>
      <c r="L1116" s="8">
        <v>89</v>
      </c>
      <c r="M1116" s="4"/>
      <c r="N1116" s="4"/>
      <c r="O1116" s="4"/>
      <c r="P1116" s="4"/>
      <c r="S1116" s="3">
        <v>1114</v>
      </c>
      <c r="T1116" s="8">
        <v>0.67525773195876293</v>
      </c>
      <c r="U1116" s="4">
        <v>73.900000000000006</v>
      </c>
      <c r="V1116" s="4">
        <v>0.45447839864891404</v>
      </c>
      <c r="W1116" s="4">
        <v>59.498767066307927</v>
      </c>
      <c r="X1116" s="4">
        <v>-6.2987670663079243</v>
      </c>
    </row>
    <row r="1117" spans="11:24" x14ac:dyDescent="0.25">
      <c r="K1117" s="3"/>
      <c r="L1117" s="8">
        <v>89</v>
      </c>
      <c r="M1117" s="4"/>
      <c r="N1117" s="4"/>
      <c r="O1117" s="4"/>
      <c r="P1117" s="4"/>
      <c r="S1117" s="3">
        <v>1115</v>
      </c>
      <c r="T1117" s="8">
        <v>0.67586416009702854</v>
      </c>
      <c r="U1117" s="4">
        <v>73.900000000000006</v>
      </c>
      <c r="V1117" s="4">
        <v>0.45616451589519369</v>
      </c>
      <c r="W1117" s="4">
        <v>59.153545551238778</v>
      </c>
      <c r="X1117" s="4">
        <v>-6.4535455512387756</v>
      </c>
    </row>
    <row r="1118" spans="11:24" x14ac:dyDescent="0.25">
      <c r="K1118" s="3"/>
      <c r="L1118" s="8">
        <v>89</v>
      </c>
      <c r="M1118" s="4"/>
      <c r="N1118" s="4"/>
      <c r="O1118" s="4"/>
      <c r="P1118" s="4"/>
      <c r="S1118" s="3">
        <v>1116</v>
      </c>
      <c r="T1118" s="8">
        <v>0.67647058823529416</v>
      </c>
      <c r="U1118" s="4">
        <v>73.900000000000006</v>
      </c>
      <c r="V1118" s="4">
        <v>0.45785193101249505</v>
      </c>
      <c r="W1118" s="4">
        <v>59.104228191943186</v>
      </c>
      <c r="X1118" s="4">
        <v>-6.8042281919431886</v>
      </c>
    </row>
    <row r="1119" spans="11:24" x14ac:dyDescent="0.25">
      <c r="K1119" s="3"/>
      <c r="L1119" s="8">
        <v>89</v>
      </c>
      <c r="M1119" s="4"/>
      <c r="N1119" s="4"/>
      <c r="O1119" s="4"/>
      <c r="P1119" s="4"/>
      <c r="S1119" s="3">
        <v>1117</v>
      </c>
      <c r="T1119" s="8">
        <v>0.67707701637355977</v>
      </c>
      <c r="U1119" s="4">
        <v>73.900000000000006</v>
      </c>
      <c r="V1119" s="4">
        <v>0.45954065081252216</v>
      </c>
      <c r="W1119" s="4">
        <v>59.153545551238778</v>
      </c>
      <c r="X1119" s="4">
        <v>-7.1535455512387784</v>
      </c>
    </row>
    <row r="1120" spans="11:24" x14ac:dyDescent="0.25">
      <c r="K1120" s="3"/>
      <c r="L1120" s="8">
        <v>89</v>
      </c>
      <c r="M1120" s="4"/>
      <c r="N1120" s="4"/>
      <c r="O1120" s="4"/>
      <c r="P1120" s="4"/>
      <c r="S1120" s="3">
        <v>1118</v>
      </c>
      <c r="T1120" s="8">
        <v>0.67768344451182538</v>
      </c>
      <c r="U1120" s="4">
        <v>73.900000000000006</v>
      </c>
      <c r="V1120" s="4">
        <v>0.46123068213767932</v>
      </c>
      <c r="W1120" s="4">
        <v>59.054910832647593</v>
      </c>
      <c r="X1120" s="4">
        <v>-7.4549108326475917</v>
      </c>
    </row>
    <row r="1121" spans="11:24" x14ac:dyDescent="0.25">
      <c r="K1121" s="3"/>
      <c r="L1121" s="8">
        <v>89</v>
      </c>
      <c r="M1121" s="4"/>
      <c r="N1121" s="4"/>
      <c r="O1121" s="4"/>
      <c r="P1121" s="4"/>
      <c r="S1121" s="3">
        <v>1119</v>
      </c>
      <c r="T1121" s="8">
        <v>0.678289872650091</v>
      </c>
      <c r="U1121" s="4">
        <v>73.900000000000006</v>
      </c>
      <c r="V1121" s="4">
        <v>0.46292203186131581</v>
      </c>
      <c r="W1121" s="4">
        <v>58.561737239691666</v>
      </c>
      <c r="X1121" s="4">
        <v>0.43826276030833355</v>
      </c>
    </row>
    <row r="1122" spans="11:24" x14ac:dyDescent="0.25">
      <c r="K1122" s="3"/>
      <c r="L1122" s="8">
        <v>89</v>
      </c>
      <c r="M1122" s="4"/>
      <c r="N1122" s="4"/>
      <c r="O1122" s="4"/>
      <c r="P1122" s="4"/>
      <c r="S1122" s="3">
        <v>1120</v>
      </c>
      <c r="T1122" s="8">
        <v>0.67889630078835661</v>
      </c>
      <c r="U1122" s="4">
        <v>73.900000000000006</v>
      </c>
      <c r="V1122" s="4">
        <v>0.46461470688797152</v>
      </c>
      <c r="W1122" s="4">
        <v>58.463102521100481</v>
      </c>
      <c r="X1122" s="4">
        <v>-3.4631025211004811</v>
      </c>
    </row>
    <row r="1123" spans="11:24" x14ac:dyDescent="0.25">
      <c r="K1123" s="3"/>
      <c r="L1123" s="8">
        <v>89</v>
      </c>
      <c r="M1123" s="4"/>
      <c r="N1123" s="4"/>
      <c r="O1123" s="4"/>
      <c r="P1123" s="4"/>
      <c r="S1123" s="3">
        <v>1121</v>
      </c>
      <c r="T1123" s="8">
        <v>0.67950272892662222</v>
      </c>
      <c r="U1123" s="4">
        <v>74</v>
      </c>
      <c r="V1123" s="4">
        <v>0.46630871415362374</v>
      </c>
      <c r="W1123" s="4">
        <v>58.06856364673574</v>
      </c>
      <c r="X1123" s="4">
        <v>-8.2685636467357426</v>
      </c>
    </row>
    <row r="1124" spans="11:24" x14ac:dyDescent="0.25">
      <c r="K1124" s="3"/>
      <c r="L1124" s="8">
        <v>36.299999999999997</v>
      </c>
      <c r="M1124" s="4"/>
      <c r="N1124" s="4"/>
      <c r="O1124" s="4"/>
      <c r="P1124" s="4"/>
      <c r="S1124" s="3">
        <v>1122</v>
      </c>
      <c r="T1124" s="8">
        <v>0.68010915706488784</v>
      </c>
      <c r="U1124" s="4">
        <v>74</v>
      </c>
      <c r="V1124" s="4">
        <v>0.46800406062593941</v>
      </c>
      <c r="W1124" s="4">
        <v>77.400968490608093</v>
      </c>
      <c r="X1124" s="4">
        <v>-28.200968490608091</v>
      </c>
    </row>
    <row r="1125" spans="11:24" x14ac:dyDescent="0.25">
      <c r="K1125" s="3"/>
      <c r="L1125" s="8">
        <v>36.299999999999997</v>
      </c>
      <c r="M1125" s="4"/>
      <c r="N1125" s="4"/>
      <c r="O1125" s="4"/>
      <c r="P1125" s="4"/>
      <c r="S1125" s="3">
        <v>1123</v>
      </c>
      <c r="T1125" s="8">
        <v>0.68071558520315345</v>
      </c>
      <c r="U1125" s="4">
        <v>74</v>
      </c>
      <c r="V1125" s="4">
        <v>0.46970075330452543</v>
      </c>
      <c r="W1125" s="4">
        <v>69.608825721904438</v>
      </c>
      <c r="X1125" s="4">
        <v>-3.4088257219044351</v>
      </c>
    </row>
    <row r="1126" spans="11:24" x14ac:dyDescent="0.25">
      <c r="K1126" s="3"/>
      <c r="L1126" s="8">
        <v>89</v>
      </c>
      <c r="M1126" s="4"/>
      <c r="N1126" s="4"/>
      <c r="O1126" s="4"/>
      <c r="P1126" s="4"/>
      <c r="S1126" s="3">
        <v>1124</v>
      </c>
      <c r="T1126" s="8">
        <v>0.68132201334141906</v>
      </c>
      <c r="U1126" s="4">
        <v>74</v>
      </c>
      <c r="V1126" s="4">
        <v>0.47139879922118438</v>
      </c>
      <c r="W1126" s="4">
        <v>69.559508362608852</v>
      </c>
      <c r="X1126" s="4">
        <v>-3.5595083626088524</v>
      </c>
    </row>
    <row r="1127" spans="11:24" x14ac:dyDescent="0.25">
      <c r="K1127" s="3"/>
      <c r="L1127" s="8">
        <v>89</v>
      </c>
      <c r="M1127" s="4"/>
      <c r="N1127" s="4"/>
      <c r="O1127" s="4"/>
      <c r="P1127" s="4"/>
      <c r="S1127" s="3">
        <v>1125</v>
      </c>
      <c r="T1127" s="8">
        <v>0.68192844147968468</v>
      </c>
      <c r="U1127" s="4">
        <v>74</v>
      </c>
      <c r="V1127" s="4">
        <v>0.473098205440172</v>
      </c>
      <c r="W1127" s="4">
        <v>69.460873644017667</v>
      </c>
      <c r="X1127" s="4">
        <v>-3.7608736440176642</v>
      </c>
    </row>
    <row r="1128" spans="11:24" x14ac:dyDescent="0.25">
      <c r="K1128" s="3"/>
      <c r="L1128" s="8">
        <v>36.299999999999997</v>
      </c>
      <c r="M1128" s="4"/>
      <c r="N1128" s="4"/>
      <c r="O1128" s="4"/>
      <c r="P1128" s="4"/>
      <c r="S1128" s="3">
        <v>1126</v>
      </c>
      <c r="T1128" s="8">
        <v>0.68253486961795029</v>
      </c>
      <c r="U1128" s="4">
        <v>74</v>
      </c>
      <c r="V1128" s="4">
        <v>0.47479897905845475</v>
      </c>
      <c r="W1128" s="4">
        <v>69.362238925426482</v>
      </c>
      <c r="X1128" s="4">
        <v>-3.8622389254264817</v>
      </c>
    </row>
    <row r="1129" spans="11:24" x14ac:dyDescent="0.25">
      <c r="K1129" s="3"/>
      <c r="L1129" s="8">
        <v>36.299999999999997</v>
      </c>
      <c r="M1129" s="4"/>
      <c r="N1129" s="4"/>
      <c r="O1129" s="4"/>
      <c r="P1129" s="4"/>
      <c r="S1129" s="3">
        <v>1127</v>
      </c>
      <c r="T1129" s="8">
        <v>0.6831412977562159</v>
      </c>
      <c r="U1129" s="4">
        <v>74</v>
      </c>
      <c r="V1129" s="4">
        <v>0.47650112720597304</v>
      </c>
      <c r="W1129" s="4">
        <v>69.115652128948511</v>
      </c>
      <c r="X1129" s="4">
        <v>-4.015652128948517</v>
      </c>
    </row>
    <row r="1130" spans="11:24" x14ac:dyDescent="0.25">
      <c r="K1130" s="3"/>
      <c r="L1130" s="8">
        <v>36.299999999999997</v>
      </c>
      <c r="M1130" s="4"/>
      <c r="N1130" s="4"/>
      <c r="O1130" s="4"/>
      <c r="P1130" s="4"/>
      <c r="S1130" s="3">
        <v>1128</v>
      </c>
      <c r="T1130" s="8">
        <v>0.68374772589448152</v>
      </c>
      <c r="U1130" s="4">
        <v>74</v>
      </c>
      <c r="V1130" s="4">
        <v>0.4782046570459042</v>
      </c>
      <c r="W1130" s="4">
        <v>68.96770005106174</v>
      </c>
      <c r="X1130" s="4">
        <v>-4.1677000510617432</v>
      </c>
    </row>
    <row r="1131" spans="11:24" x14ac:dyDescent="0.25">
      <c r="K1131" s="3"/>
      <c r="L1131" s="8">
        <v>36.299999999999997</v>
      </c>
      <c r="M1131" s="4"/>
      <c r="N1131" s="4"/>
      <c r="O1131" s="4"/>
      <c r="P1131" s="4"/>
      <c r="S1131" s="3">
        <v>1129</v>
      </c>
      <c r="T1131" s="8">
        <v>0.68435415403274713</v>
      </c>
      <c r="U1131" s="4">
        <v>74</v>
      </c>
      <c r="V1131" s="4">
        <v>0.47990957577492888</v>
      </c>
      <c r="W1131" s="4">
        <v>68.869065332470541</v>
      </c>
      <c r="X1131" s="4">
        <v>-4.2690653324705465</v>
      </c>
    </row>
    <row r="1132" spans="11:24" x14ac:dyDescent="0.25">
      <c r="K1132" s="3"/>
      <c r="L1132" s="8">
        <v>36.299999999999997</v>
      </c>
      <c r="M1132" s="4"/>
      <c r="N1132" s="4"/>
      <c r="O1132" s="4"/>
      <c r="P1132" s="4"/>
      <c r="S1132" s="3">
        <v>1130</v>
      </c>
      <c r="T1132" s="8">
        <v>0.68496058217101274</v>
      </c>
      <c r="U1132" s="4">
        <v>74.099999999999994</v>
      </c>
      <c r="V1132" s="4">
        <v>0.48161589062349963</v>
      </c>
      <c r="W1132" s="4">
        <v>68.819747973174955</v>
      </c>
      <c r="X1132" s="4">
        <v>-4.4197479731749496</v>
      </c>
    </row>
    <row r="1133" spans="11:24" x14ac:dyDescent="0.25">
      <c r="K1133" s="3"/>
      <c r="L1133" s="8">
        <v>36.299999999999997</v>
      </c>
      <c r="M1133" s="4"/>
      <c r="N1133" s="4"/>
      <c r="O1133" s="4"/>
      <c r="P1133" s="4"/>
      <c r="S1133" s="3">
        <v>1131</v>
      </c>
      <c r="T1133" s="8">
        <v>0.68556701030927836</v>
      </c>
      <c r="U1133" s="4">
        <v>74.099999999999994</v>
      </c>
      <c r="V1133" s="4">
        <v>0.48332360885611281</v>
      </c>
      <c r="W1133" s="4">
        <v>68.77043061387937</v>
      </c>
      <c r="X1133" s="4">
        <v>-4.5704306138793669</v>
      </c>
    </row>
    <row r="1134" spans="11:24" x14ac:dyDescent="0.25">
      <c r="K1134" s="3"/>
      <c r="L1134" s="8">
        <v>36.299999999999997</v>
      </c>
      <c r="M1134" s="4"/>
      <c r="N1134" s="4"/>
      <c r="O1134" s="4"/>
      <c r="P1134" s="4"/>
      <c r="S1134" s="3">
        <v>1132</v>
      </c>
      <c r="T1134" s="8">
        <v>0.68617343844754397</v>
      </c>
      <c r="U1134" s="4">
        <v>74.099999999999994</v>
      </c>
      <c r="V1134" s="4">
        <v>0.48503273777158123</v>
      </c>
      <c r="W1134" s="4">
        <v>77.499603209199279</v>
      </c>
      <c r="X1134" s="4">
        <v>-14.59960320919928</v>
      </c>
    </row>
    <row r="1135" spans="11:24" x14ac:dyDescent="0.25">
      <c r="K1135" s="3"/>
      <c r="L1135" s="8">
        <v>36.299999999999997</v>
      </c>
      <c r="M1135" s="4"/>
      <c r="N1135" s="4"/>
      <c r="O1135" s="4"/>
      <c r="P1135" s="4"/>
      <c r="S1135" s="3">
        <v>1133</v>
      </c>
      <c r="T1135" s="8">
        <v>0.68677986658580958</v>
      </c>
      <c r="U1135" s="4">
        <v>74.099999999999994</v>
      </c>
      <c r="V1135" s="4">
        <v>0.48674328470331041</v>
      </c>
      <c r="W1135" s="4">
        <v>68.573161176696999</v>
      </c>
      <c r="X1135" s="4">
        <v>-4.8731611766969962</v>
      </c>
    </row>
    <row r="1136" spans="11:24" x14ac:dyDescent="0.25">
      <c r="K1136" s="3"/>
      <c r="L1136" s="8">
        <v>36.299999999999997</v>
      </c>
      <c r="M1136" s="4"/>
      <c r="N1136" s="4"/>
      <c r="O1136" s="4"/>
      <c r="P1136" s="4"/>
      <c r="S1136" s="3">
        <v>1134</v>
      </c>
      <c r="T1136" s="8">
        <v>0.6873862947240752</v>
      </c>
      <c r="U1136" s="4">
        <v>74.099999999999994</v>
      </c>
      <c r="V1136" s="4">
        <v>0.48845525701957754</v>
      </c>
      <c r="W1136" s="4">
        <v>68.4745264581058</v>
      </c>
      <c r="X1136" s="4">
        <v>-4.9745264581057995</v>
      </c>
    </row>
    <row r="1137" spans="11:24" x14ac:dyDescent="0.25">
      <c r="K1137" s="3"/>
      <c r="L1137" s="8">
        <v>36.299999999999997</v>
      </c>
      <c r="M1137" s="4"/>
      <c r="N1137" s="4"/>
      <c r="O1137" s="4"/>
      <c r="P1137" s="4"/>
      <c r="S1137" s="3">
        <v>1135</v>
      </c>
      <c r="T1137" s="8">
        <v>0.68799272286234081</v>
      </c>
      <c r="U1137" s="4">
        <v>74.099999999999994</v>
      </c>
      <c r="V1137" s="4">
        <v>0.4901686621238126</v>
      </c>
      <c r="W1137" s="4">
        <v>71.72947217161493</v>
      </c>
      <c r="X1137" s="4">
        <v>5.8705278283850646</v>
      </c>
    </row>
    <row r="1138" spans="11:24" x14ac:dyDescent="0.25">
      <c r="K1138" s="3"/>
      <c r="L1138" s="8">
        <v>36.299999999999997</v>
      </c>
      <c r="M1138" s="4"/>
      <c r="N1138" s="4"/>
      <c r="O1138" s="4"/>
      <c r="P1138" s="4"/>
      <c r="S1138" s="3">
        <v>1136</v>
      </c>
      <c r="T1138" s="8">
        <v>0.68859915100060642</v>
      </c>
      <c r="U1138" s="4">
        <v>74.099999999999994</v>
      </c>
      <c r="V1138" s="4">
        <v>0.49188350745488174</v>
      </c>
      <c r="W1138" s="4">
        <v>71.778789530910515</v>
      </c>
      <c r="X1138" s="4">
        <v>5.7212104690894847</v>
      </c>
    </row>
    <row r="1139" spans="11:24" x14ac:dyDescent="0.25">
      <c r="K1139" s="3"/>
      <c r="L1139" s="8">
        <v>36.299999999999997</v>
      </c>
      <c r="M1139" s="4"/>
      <c r="N1139" s="4"/>
      <c r="O1139" s="4"/>
      <c r="P1139" s="4"/>
      <c r="S1139" s="3">
        <v>1137</v>
      </c>
      <c r="T1139" s="8">
        <v>0.68920557913887204</v>
      </c>
      <c r="U1139" s="4">
        <v>74.099999999999994</v>
      </c>
      <c r="V1139" s="4">
        <v>0.49359980048737379</v>
      </c>
      <c r="W1139" s="4">
        <v>77.006429616243352</v>
      </c>
      <c r="X1139" s="4">
        <v>0.1935703837566507</v>
      </c>
    </row>
    <row r="1140" spans="11:24" x14ac:dyDescent="0.25">
      <c r="K1140" s="3"/>
      <c r="L1140" s="8">
        <v>36.299999999999997</v>
      </c>
      <c r="M1140" s="4"/>
      <c r="N1140" s="4"/>
      <c r="O1140" s="4"/>
      <c r="P1140" s="4"/>
      <c r="S1140" s="3">
        <v>1138</v>
      </c>
      <c r="T1140" s="8">
        <v>0.68981200727713765</v>
      </c>
      <c r="U1140" s="4">
        <v>74.099999999999994</v>
      </c>
      <c r="V1140" s="4">
        <v>0.49531754873188943</v>
      </c>
      <c r="W1140" s="4">
        <v>71.630837453023744</v>
      </c>
      <c r="X1140" s="4">
        <v>5.6691625469762528</v>
      </c>
    </row>
    <row r="1141" spans="11:24" x14ac:dyDescent="0.25">
      <c r="K1141" s="3"/>
      <c r="L1141" s="8">
        <v>36.299999999999997</v>
      </c>
      <c r="M1141" s="4"/>
      <c r="N1141" s="4"/>
      <c r="O1141" s="4"/>
      <c r="P1141" s="4"/>
      <c r="S1141" s="3">
        <v>1139</v>
      </c>
      <c r="T1141" s="8">
        <v>0.69041843541540326</v>
      </c>
      <c r="U1141" s="4">
        <v>74.099999999999994</v>
      </c>
      <c r="V1141" s="4">
        <v>0.49703675973533223</v>
      </c>
      <c r="W1141" s="4">
        <v>71.581520093728145</v>
      </c>
      <c r="X1141" s="4">
        <v>4.9184799062718554</v>
      </c>
    </row>
    <row r="1142" spans="11:24" x14ac:dyDescent="0.25">
      <c r="K1142" s="3"/>
      <c r="L1142" s="8">
        <v>89</v>
      </c>
      <c r="M1142" s="4"/>
      <c r="N1142" s="4"/>
      <c r="O1142" s="4"/>
      <c r="P1142" s="4"/>
      <c r="S1142" s="3">
        <v>1140</v>
      </c>
      <c r="T1142" s="8">
        <v>0.69102486355366888</v>
      </c>
      <c r="U1142" s="4">
        <v>74.099999999999994</v>
      </c>
      <c r="V1142" s="4">
        <v>0.49875744108120385</v>
      </c>
      <c r="W1142" s="4">
        <v>71.334933297250188</v>
      </c>
      <c r="X1142" s="4">
        <v>5.4650667027498088</v>
      </c>
    </row>
    <row r="1143" spans="11:24" x14ac:dyDescent="0.25">
      <c r="K1143" s="3"/>
      <c r="L1143" s="8">
        <v>89</v>
      </c>
      <c r="M1143" s="4"/>
      <c r="N1143" s="4"/>
      <c r="O1143" s="4"/>
      <c r="P1143" s="4"/>
      <c r="S1143" s="3">
        <v>1141</v>
      </c>
      <c r="T1143" s="8">
        <v>0.69163129169193449</v>
      </c>
      <c r="U1143" s="4">
        <v>74.099999999999994</v>
      </c>
      <c r="V1143" s="4">
        <v>0.50047960038990058</v>
      </c>
      <c r="W1143" s="4">
        <v>71.334933297250188</v>
      </c>
      <c r="X1143" s="4">
        <v>5.1650667027498116</v>
      </c>
    </row>
    <row r="1144" spans="11:24" x14ac:dyDescent="0.25">
      <c r="K1144" s="3"/>
      <c r="L1144" s="8">
        <v>89</v>
      </c>
      <c r="M1144" s="4"/>
      <c r="N1144" s="4"/>
      <c r="O1144" s="4"/>
      <c r="P1144" s="4"/>
      <c r="S1144" s="3">
        <v>1142</v>
      </c>
      <c r="T1144" s="8">
        <v>0.6922377198302001</v>
      </c>
      <c r="U1144" s="4">
        <v>74.099999999999994</v>
      </c>
      <c r="V1144" s="4">
        <v>0.50220324531901339</v>
      </c>
      <c r="W1144" s="4">
        <v>71.482885375136959</v>
      </c>
      <c r="X1144" s="4">
        <v>4.9171146248630464</v>
      </c>
    </row>
    <row r="1145" spans="11:24" x14ac:dyDescent="0.25">
      <c r="K1145" s="3"/>
      <c r="L1145" s="8">
        <v>89</v>
      </c>
      <c r="M1145" s="4"/>
      <c r="N1145" s="4"/>
      <c r="O1145" s="4"/>
      <c r="P1145" s="4"/>
      <c r="S1145" s="3">
        <v>1143</v>
      </c>
      <c r="T1145" s="8">
        <v>0.69284414796846572</v>
      </c>
      <c r="U1145" s="4">
        <v>74.2</v>
      </c>
      <c r="V1145" s="4">
        <v>0.5039283835636299</v>
      </c>
      <c r="W1145" s="4">
        <v>71.433568015841374</v>
      </c>
      <c r="X1145" s="4">
        <v>4.7664319841586291</v>
      </c>
    </row>
    <row r="1146" spans="11:24" x14ac:dyDescent="0.25">
      <c r="K1146" s="3"/>
      <c r="L1146" s="8">
        <v>89</v>
      </c>
      <c r="M1146" s="4"/>
      <c r="N1146" s="4"/>
      <c r="O1146" s="4"/>
      <c r="P1146" s="4"/>
      <c r="S1146" s="3">
        <v>1144</v>
      </c>
      <c r="T1146" s="8">
        <v>0.69345057610673133</v>
      </c>
      <c r="U1146" s="4">
        <v>74.2</v>
      </c>
      <c r="V1146" s="4">
        <v>0.50565502285664099</v>
      </c>
      <c r="W1146" s="4">
        <v>71.581520093728145</v>
      </c>
      <c r="X1146" s="4">
        <v>4.2184799062718525</v>
      </c>
    </row>
    <row r="1147" spans="11:24" x14ac:dyDescent="0.25">
      <c r="K1147" s="3"/>
      <c r="L1147" s="8">
        <v>89</v>
      </c>
      <c r="M1147" s="4"/>
      <c r="N1147" s="4"/>
      <c r="O1147" s="4"/>
      <c r="P1147" s="4"/>
      <c r="S1147" s="3">
        <v>1145</v>
      </c>
      <c r="T1147" s="8">
        <v>0.69405700424499694</v>
      </c>
      <c r="U1147" s="4">
        <v>74.2</v>
      </c>
      <c r="V1147" s="4">
        <v>0.50738317096904828</v>
      </c>
      <c r="W1147" s="4">
        <v>71.532202734432559</v>
      </c>
      <c r="X1147" s="4">
        <v>4.2677972655674381</v>
      </c>
    </row>
    <row r="1148" spans="11:24" x14ac:dyDescent="0.25">
      <c r="K1148" s="3"/>
      <c r="L1148" s="8">
        <v>89</v>
      </c>
      <c r="M1148" s="4"/>
      <c r="N1148" s="4"/>
      <c r="O1148" s="4"/>
      <c r="P1148" s="4"/>
      <c r="S1148" s="3">
        <v>1146</v>
      </c>
      <c r="T1148" s="8">
        <v>0.69466343238326256</v>
      </c>
      <c r="U1148" s="4">
        <v>74.2</v>
      </c>
      <c r="V1148" s="4">
        <v>0.50911283571027577</v>
      </c>
      <c r="W1148" s="4">
        <v>71.384250656545774</v>
      </c>
      <c r="X1148" s="4">
        <v>4.1157493434542261</v>
      </c>
    </row>
    <row r="1149" spans="11:24" x14ac:dyDescent="0.25">
      <c r="K1149" s="3"/>
      <c r="L1149" s="8">
        <v>89</v>
      </c>
      <c r="M1149" s="4"/>
      <c r="N1149" s="4"/>
      <c r="O1149" s="4"/>
      <c r="P1149" s="4"/>
      <c r="S1149" s="3">
        <v>1147</v>
      </c>
      <c r="T1149" s="8">
        <v>0.69526986052152817</v>
      </c>
      <c r="U1149" s="4">
        <v>74.2</v>
      </c>
      <c r="V1149" s="4">
        <v>0.51084402492848391</v>
      </c>
      <c r="W1149" s="4">
        <v>71.433568015841374</v>
      </c>
      <c r="X1149" s="4">
        <v>4.2664319841586291</v>
      </c>
    </row>
    <row r="1150" spans="11:24" x14ac:dyDescent="0.25">
      <c r="K1150" s="3"/>
      <c r="L1150" s="8">
        <v>89</v>
      </c>
      <c r="M1150" s="4"/>
      <c r="N1150" s="4"/>
      <c r="O1150" s="4"/>
      <c r="P1150" s="4"/>
      <c r="S1150" s="3">
        <v>1148</v>
      </c>
      <c r="T1150" s="8">
        <v>0.69587628865979378</v>
      </c>
      <c r="U1150" s="4">
        <v>74.2</v>
      </c>
      <c r="V1150" s="4">
        <v>0.51257674651088658</v>
      </c>
      <c r="W1150" s="4">
        <v>71.482885375136959</v>
      </c>
      <c r="X1150" s="4">
        <v>4.0171146248630407</v>
      </c>
    </row>
    <row r="1151" spans="11:24" x14ac:dyDescent="0.25">
      <c r="K1151" s="3"/>
      <c r="L1151" s="8">
        <v>89</v>
      </c>
      <c r="M1151" s="4"/>
      <c r="N1151" s="4"/>
      <c r="O1151" s="4"/>
      <c r="P1151" s="4"/>
      <c r="S1151" s="3">
        <v>1149</v>
      </c>
      <c r="T1151" s="8">
        <v>0.6964827167980594</v>
      </c>
      <c r="U1151" s="4">
        <v>74.2</v>
      </c>
      <c r="V1151" s="4">
        <v>0.51431100838407129</v>
      </c>
      <c r="W1151" s="4">
        <v>63.888012043615682</v>
      </c>
      <c r="X1151" s="4">
        <v>-1.1880120436156787</v>
      </c>
    </row>
    <row r="1152" spans="11:24" x14ac:dyDescent="0.25">
      <c r="K1152" s="3"/>
      <c r="L1152" s="8">
        <v>89</v>
      </c>
      <c r="M1152" s="4"/>
      <c r="N1152" s="4"/>
      <c r="O1152" s="4"/>
      <c r="P1152" s="4"/>
      <c r="S1152" s="3">
        <v>1150</v>
      </c>
      <c r="T1152" s="8">
        <v>0.69708914493632501</v>
      </c>
      <c r="U1152" s="4">
        <v>74.2</v>
      </c>
      <c r="V1152" s="4">
        <v>0.51604681851432233</v>
      </c>
      <c r="W1152" s="4">
        <v>63.740059965728904</v>
      </c>
      <c r="X1152" s="4">
        <v>-1.340059965728905</v>
      </c>
    </row>
    <row r="1153" spans="11:24" x14ac:dyDescent="0.25">
      <c r="K1153" s="3"/>
      <c r="L1153" s="8">
        <v>89</v>
      </c>
      <c r="M1153" s="4"/>
      <c r="N1153" s="4"/>
      <c r="O1153" s="4"/>
      <c r="P1153" s="4"/>
      <c r="S1153" s="3">
        <v>1151</v>
      </c>
      <c r="T1153" s="8">
        <v>0.69769557307459062</v>
      </c>
      <c r="U1153" s="4">
        <v>74.2</v>
      </c>
      <c r="V1153" s="4">
        <v>0.51778418490794731</v>
      </c>
      <c r="W1153" s="4">
        <v>63.592107887842126</v>
      </c>
      <c r="X1153" s="4">
        <v>-1.3921078878421227</v>
      </c>
    </row>
    <row r="1154" spans="11:24" x14ac:dyDescent="0.25">
      <c r="K1154" s="3"/>
      <c r="L1154" s="8">
        <v>89</v>
      </c>
      <c r="M1154" s="4"/>
      <c r="N1154" s="4"/>
      <c r="O1154" s="4"/>
      <c r="P1154" s="4"/>
      <c r="S1154" s="3">
        <v>1152</v>
      </c>
      <c r="T1154" s="8">
        <v>0.69830200121285624</v>
      </c>
      <c r="U1154" s="4">
        <v>74.2</v>
      </c>
      <c r="V1154" s="4">
        <v>0.5195231156116058</v>
      </c>
      <c r="W1154" s="4">
        <v>63.542790528546533</v>
      </c>
      <c r="X1154" s="4">
        <v>-1.5427905285465329</v>
      </c>
    </row>
    <row r="1155" spans="11:24" x14ac:dyDescent="0.25">
      <c r="K1155" s="3"/>
      <c r="L1155" s="8">
        <v>89</v>
      </c>
      <c r="M1155" s="4"/>
      <c r="N1155" s="4"/>
      <c r="O1155" s="4"/>
      <c r="P1155" s="4"/>
      <c r="S1155" s="3">
        <v>1153</v>
      </c>
      <c r="T1155" s="8">
        <v>0.69890842935112185</v>
      </c>
      <c r="U1155" s="4">
        <v>74.2</v>
      </c>
      <c r="V1155" s="4">
        <v>0.52126361871264293</v>
      </c>
      <c r="W1155" s="4">
        <v>63.49347316925094</v>
      </c>
      <c r="X1155" s="4">
        <v>-1.693473169250943</v>
      </c>
    </row>
    <row r="1156" spans="11:24" x14ac:dyDescent="0.25">
      <c r="K1156" s="3"/>
      <c r="L1156" s="8">
        <v>89</v>
      </c>
      <c r="M1156" s="4"/>
      <c r="N1156" s="4"/>
      <c r="O1156" s="4"/>
      <c r="P1156" s="4"/>
      <c r="S1156" s="3">
        <v>1154</v>
      </c>
      <c r="T1156" s="8">
        <v>0.69951485748938746</v>
      </c>
      <c r="U1156" s="4">
        <v>74.2</v>
      </c>
      <c r="V1156" s="4">
        <v>0.52300570233942378</v>
      </c>
      <c r="W1156" s="4">
        <v>63.394838450659755</v>
      </c>
      <c r="X1156" s="4">
        <v>-1.7948384506597534</v>
      </c>
    </row>
    <row r="1157" spans="11:24" x14ac:dyDescent="0.25">
      <c r="K1157" s="3"/>
      <c r="L1157" s="8">
        <v>36.299999999999997</v>
      </c>
      <c r="M1157" s="4"/>
      <c r="N1157" s="4"/>
      <c r="O1157" s="4"/>
      <c r="P1157" s="4"/>
      <c r="S1157" s="3">
        <v>1155</v>
      </c>
      <c r="T1157" s="8">
        <v>0.70012128562765308</v>
      </c>
      <c r="U1157" s="4">
        <v>74.2</v>
      </c>
      <c r="V1157" s="4">
        <v>0.52474937466167315</v>
      </c>
      <c r="W1157" s="4">
        <v>76.16803450821827</v>
      </c>
      <c r="X1157" s="4">
        <v>-14.768034508218271</v>
      </c>
    </row>
    <row r="1158" spans="11:24" x14ac:dyDescent="0.25">
      <c r="K1158" s="3"/>
      <c r="L1158" s="8">
        <v>36.299999999999997</v>
      </c>
      <c r="M1158" s="4"/>
      <c r="N1158" s="4"/>
      <c r="O1158" s="4"/>
      <c r="P1158" s="4"/>
      <c r="S1158" s="3">
        <v>1156</v>
      </c>
      <c r="T1158" s="8">
        <v>0.70072771376591869</v>
      </c>
      <c r="U1158" s="4">
        <v>74.2</v>
      </c>
      <c r="V1158" s="4">
        <v>0.5264946438908179</v>
      </c>
      <c r="W1158" s="4">
        <v>63.049616935590606</v>
      </c>
      <c r="X1158" s="4">
        <v>-1.9496169355906048</v>
      </c>
    </row>
    <row r="1159" spans="11:24" x14ac:dyDescent="0.25">
      <c r="K1159" s="3"/>
      <c r="L1159" s="8">
        <v>36.299999999999997</v>
      </c>
      <c r="M1159" s="4"/>
      <c r="N1159" s="4"/>
      <c r="O1159" s="4"/>
      <c r="P1159" s="4"/>
      <c r="S1159" s="3">
        <v>1157</v>
      </c>
      <c r="T1159" s="8">
        <v>0.70133414190418431</v>
      </c>
      <c r="U1159" s="4">
        <v>74.3</v>
      </c>
      <c r="V1159" s="4">
        <v>0.52824151828033106</v>
      </c>
      <c r="W1159" s="4">
        <v>62.852347498408236</v>
      </c>
      <c r="X1159" s="4">
        <v>5.1476525015917645</v>
      </c>
    </row>
    <row r="1160" spans="11:24" x14ac:dyDescent="0.25">
      <c r="K1160" s="3"/>
      <c r="L1160" s="8">
        <v>36.299999999999997</v>
      </c>
      <c r="M1160" s="4"/>
      <c r="N1160" s="4"/>
      <c r="O1160" s="4"/>
      <c r="P1160" s="4"/>
      <c r="S1160" s="3">
        <v>1158</v>
      </c>
      <c r="T1160" s="8">
        <v>0.70194057004244992</v>
      </c>
      <c r="U1160" s="4">
        <v>74.3</v>
      </c>
      <c r="V1160" s="4">
        <v>0.5299900061260826</v>
      </c>
      <c r="W1160" s="4">
        <v>75.773495633853528</v>
      </c>
      <c r="X1160" s="4">
        <v>-11.773495633853528</v>
      </c>
    </row>
    <row r="1161" spans="11:24" x14ac:dyDescent="0.25">
      <c r="K1161" s="3"/>
      <c r="L1161" s="8">
        <v>36.299999999999997</v>
      </c>
      <c r="M1161" s="4"/>
      <c r="N1161" s="4"/>
      <c r="O1161" s="4"/>
      <c r="P1161" s="4"/>
      <c r="S1161" s="3">
        <v>1159</v>
      </c>
      <c r="T1161" s="8">
        <v>0.70254699818071553</v>
      </c>
      <c r="U1161" s="4">
        <v>74.3</v>
      </c>
      <c r="V1161" s="4">
        <v>0.53174011576669011</v>
      </c>
      <c r="W1161" s="4">
        <v>62.112587108974346</v>
      </c>
      <c r="X1161" s="4">
        <v>-2.212587108974347</v>
      </c>
    </row>
    <row r="1162" spans="11:24" x14ac:dyDescent="0.25">
      <c r="K1162" s="3"/>
      <c r="L1162" s="8">
        <v>36.299999999999997</v>
      </c>
      <c r="M1162" s="4"/>
      <c r="N1162" s="4"/>
      <c r="O1162" s="4"/>
      <c r="P1162" s="4"/>
      <c r="S1162" s="3">
        <v>1160</v>
      </c>
      <c r="T1162" s="8">
        <v>0.70315342631898126</v>
      </c>
      <c r="U1162" s="4">
        <v>74.3</v>
      </c>
      <c r="V1162" s="4">
        <v>0.53349185558387502</v>
      </c>
      <c r="W1162" s="4">
        <v>61.767365593905197</v>
      </c>
      <c r="X1162" s="4">
        <v>-2.1673655939051955</v>
      </c>
    </row>
    <row r="1163" spans="11:24" x14ac:dyDescent="0.25">
      <c r="K1163" s="3"/>
      <c r="L1163" s="8">
        <v>36.299999999999997</v>
      </c>
      <c r="M1163" s="4"/>
      <c r="N1163" s="4"/>
      <c r="O1163" s="4"/>
      <c r="P1163" s="4"/>
      <c r="S1163" s="3">
        <v>1161</v>
      </c>
      <c r="T1163" s="8">
        <v>0.70375985445724687</v>
      </c>
      <c r="U1163" s="4">
        <v>74.3</v>
      </c>
      <c r="V1163" s="4">
        <v>0.53524523400282087</v>
      </c>
      <c r="W1163" s="4">
        <v>61.471461438131641</v>
      </c>
      <c r="X1163" s="4">
        <v>-2.1714614381316437</v>
      </c>
    </row>
    <row r="1164" spans="11:24" x14ac:dyDescent="0.25">
      <c r="K1164" s="3"/>
      <c r="L1164" s="8">
        <v>36.299999999999997</v>
      </c>
      <c r="M1164" s="4"/>
      <c r="N1164" s="4"/>
      <c r="O1164" s="4"/>
      <c r="P1164" s="4"/>
      <c r="S1164" s="3">
        <v>1162</v>
      </c>
      <c r="T1164" s="8">
        <v>0.70436628259551248</v>
      </c>
      <c r="U1164" s="4">
        <v>74.3</v>
      </c>
      <c r="V1164" s="4">
        <v>0.53700025949253782</v>
      </c>
      <c r="W1164" s="4">
        <v>61.27419200094927</v>
      </c>
      <c r="X1164" s="4">
        <v>-2.1741920009492688</v>
      </c>
    </row>
    <row r="1165" spans="11:24" x14ac:dyDescent="0.25">
      <c r="K1165" s="3"/>
      <c r="L1165" s="8">
        <v>36.299999999999997</v>
      </c>
      <c r="M1165" s="4"/>
      <c r="N1165" s="4"/>
      <c r="O1165" s="4"/>
      <c r="P1165" s="4"/>
      <c r="S1165" s="3">
        <v>1163</v>
      </c>
      <c r="T1165" s="8">
        <v>0.7049727107337781</v>
      </c>
      <c r="U1165" s="4">
        <v>74.3</v>
      </c>
      <c r="V1165" s="4">
        <v>0.53875694056622647</v>
      </c>
      <c r="W1165" s="4">
        <v>61.0769225637669</v>
      </c>
      <c r="X1165" s="4">
        <v>-2.176922563766901</v>
      </c>
    </row>
    <row r="1166" spans="11:24" x14ac:dyDescent="0.25">
      <c r="K1166" s="3"/>
      <c r="L1166" s="8">
        <v>36.299999999999997</v>
      </c>
      <c r="M1166" s="4"/>
      <c r="N1166" s="4"/>
      <c r="O1166" s="4"/>
      <c r="P1166" s="4"/>
      <c r="S1166" s="3">
        <v>1164</v>
      </c>
      <c r="T1166" s="8">
        <v>0.70557913887204371</v>
      </c>
      <c r="U1166" s="4">
        <v>74.400000000000006</v>
      </c>
      <c r="V1166" s="4">
        <v>0.54051528578164909</v>
      </c>
      <c r="W1166" s="4">
        <v>70.348586111338335</v>
      </c>
      <c r="X1166" s="4">
        <v>3.5514138886616706</v>
      </c>
    </row>
    <row r="1167" spans="11:24" x14ac:dyDescent="0.25">
      <c r="K1167" s="3"/>
      <c r="L1167" s="8">
        <v>36.299999999999997</v>
      </c>
      <c r="M1167" s="4"/>
      <c r="N1167" s="4"/>
      <c r="O1167" s="4"/>
      <c r="P1167" s="4"/>
      <c r="S1167" s="3">
        <v>1165</v>
      </c>
      <c r="T1167" s="8">
        <v>0.70618556701030932</v>
      </c>
      <c r="U1167" s="4">
        <v>74.400000000000006</v>
      </c>
      <c r="V1167" s="4">
        <v>0.54227530374150246</v>
      </c>
      <c r="W1167" s="4">
        <v>70.299268752042735</v>
      </c>
      <c r="X1167" s="4">
        <v>3.5007312479572619</v>
      </c>
    </row>
    <row r="1168" spans="11:24" x14ac:dyDescent="0.25">
      <c r="K1168" s="3"/>
      <c r="L1168" s="8">
        <v>36.299999999999997</v>
      </c>
      <c r="M1168" s="4"/>
      <c r="N1168" s="4"/>
      <c r="O1168" s="4"/>
      <c r="P1168" s="4"/>
      <c r="S1168" s="3">
        <v>1166</v>
      </c>
      <c r="T1168" s="8">
        <v>0.70679199514857494</v>
      </c>
      <c r="U1168" s="4">
        <v>74.400000000000006</v>
      </c>
      <c r="V1168" s="4">
        <v>0.54403700309379488</v>
      </c>
      <c r="W1168" s="4">
        <v>70.299268752042735</v>
      </c>
      <c r="X1168" s="4">
        <v>3.300731247957259</v>
      </c>
    </row>
    <row r="1169" spans="11:24" x14ac:dyDescent="0.25">
      <c r="K1169" s="3"/>
      <c r="L1169" s="8">
        <v>36.299999999999997</v>
      </c>
      <c r="M1169" s="4"/>
      <c r="N1169" s="4"/>
      <c r="O1169" s="4"/>
      <c r="P1169" s="4"/>
      <c r="S1169" s="3">
        <v>1167</v>
      </c>
      <c r="T1169" s="8">
        <v>0.70739842328684055</v>
      </c>
      <c r="U1169" s="4">
        <v>74.400000000000006</v>
      </c>
      <c r="V1169" s="4">
        <v>0.54580039253222701</v>
      </c>
      <c r="W1169" s="4">
        <v>76.858477538356567</v>
      </c>
      <c r="X1169" s="4">
        <v>-3.4584775383565614</v>
      </c>
    </row>
    <row r="1170" spans="11:24" x14ac:dyDescent="0.25">
      <c r="K1170" s="3"/>
      <c r="L1170" s="8">
        <v>36.299999999999997</v>
      </c>
      <c r="M1170" s="4"/>
      <c r="N1170" s="4"/>
      <c r="O1170" s="4"/>
      <c r="P1170" s="4"/>
      <c r="S1170" s="3">
        <v>1168</v>
      </c>
      <c r="T1170" s="8">
        <v>0.70800485142510616</v>
      </c>
      <c r="U1170" s="4">
        <v>74.400000000000006</v>
      </c>
      <c r="V1170" s="4">
        <v>0.54756548079657608</v>
      </c>
      <c r="W1170" s="4">
        <v>70.101999314860365</v>
      </c>
      <c r="X1170" s="4">
        <v>3.0980006851396382</v>
      </c>
    </row>
    <row r="1171" spans="11:24" x14ac:dyDescent="0.25">
      <c r="K1171" s="3"/>
      <c r="L1171" s="8">
        <v>36.299999999999997</v>
      </c>
      <c r="M1171" s="4"/>
      <c r="N1171" s="4"/>
      <c r="O1171" s="4"/>
      <c r="P1171" s="4"/>
      <c r="S1171" s="3">
        <v>1169</v>
      </c>
      <c r="T1171" s="8">
        <v>0.70861127956337178</v>
      </c>
      <c r="U1171" s="4">
        <v>74.400000000000006</v>
      </c>
      <c r="V1171" s="4">
        <v>0.54933227667308504</v>
      </c>
      <c r="W1171" s="4">
        <v>69.954047236973594</v>
      </c>
      <c r="X1171" s="4">
        <v>3.0459527630264063</v>
      </c>
    </row>
    <row r="1172" spans="11:24" x14ac:dyDescent="0.25">
      <c r="K1172" s="3"/>
      <c r="L1172" s="8">
        <v>36.299999999999997</v>
      </c>
      <c r="M1172" s="4"/>
      <c r="N1172" s="4"/>
      <c r="O1172" s="4"/>
      <c r="P1172" s="4"/>
      <c r="S1172" s="3">
        <v>1170</v>
      </c>
      <c r="T1172" s="8">
        <v>0.70921770770163739</v>
      </c>
      <c r="U1172" s="4">
        <v>74.400000000000006</v>
      </c>
      <c r="V1172" s="4">
        <v>0.55110078899485382</v>
      </c>
      <c r="W1172" s="4">
        <v>69.855412518382408</v>
      </c>
      <c r="X1172" s="4">
        <v>2.8445874816175944</v>
      </c>
    </row>
    <row r="1173" spans="11:24" x14ac:dyDescent="0.25">
      <c r="K1173" s="3"/>
      <c r="L1173" s="8">
        <v>36.299999999999997</v>
      </c>
      <c r="M1173" s="4"/>
      <c r="N1173" s="4"/>
      <c r="O1173" s="4"/>
      <c r="P1173" s="4"/>
      <c r="S1173" s="3">
        <v>1171</v>
      </c>
      <c r="T1173" s="8">
        <v>0.709824135839903</v>
      </c>
      <c r="U1173" s="4">
        <v>74.400000000000006</v>
      </c>
      <c r="V1173" s="4">
        <v>0.5528710266422362</v>
      </c>
      <c r="W1173" s="4">
        <v>69.756777799791223</v>
      </c>
      <c r="X1173" s="4">
        <v>2.7432222002087769</v>
      </c>
    </row>
    <row r="1174" spans="11:24" x14ac:dyDescent="0.25">
      <c r="K1174" s="3"/>
      <c r="L1174" s="8">
        <v>36.299999999999997</v>
      </c>
      <c r="M1174" s="4"/>
      <c r="N1174" s="4"/>
      <c r="O1174" s="4"/>
      <c r="P1174" s="4"/>
      <c r="S1174" s="3">
        <v>1172</v>
      </c>
      <c r="T1174" s="8">
        <v>0.71043056397816862</v>
      </c>
      <c r="U1174" s="4">
        <v>74.400000000000006</v>
      </c>
      <c r="V1174" s="4">
        <v>0.5546429985432394</v>
      </c>
      <c r="W1174" s="4">
        <v>69.658143081200038</v>
      </c>
      <c r="X1174" s="4">
        <v>2.6418569187999594</v>
      </c>
    </row>
    <row r="1175" spans="11:24" x14ac:dyDescent="0.25">
      <c r="K1175" s="3"/>
      <c r="L1175" s="8">
        <v>36.299999999999997</v>
      </c>
      <c r="M1175" s="4"/>
      <c r="N1175" s="4"/>
      <c r="O1175" s="4"/>
      <c r="P1175" s="4"/>
      <c r="S1175" s="3">
        <v>1173</v>
      </c>
      <c r="T1175" s="8">
        <v>0.71103699211643423</v>
      </c>
      <c r="U1175" s="4">
        <v>74.400000000000006</v>
      </c>
      <c r="V1175" s="4">
        <v>0.55641671367392787</v>
      </c>
      <c r="W1175" s="4">
        <v>69.559508362608852</v>
      </c>
      <c r="X1175" s="4">
        <v>2.5404916373911419</v>
      </c>
    </row>
    <row r="1176" spans="11:24" x14ac:dyDescent="0.25">
      <c r="K1176" s="3"/>
      <c r="L1176" s="8">
        <v>36.299999999999997</v>
      </c>
      <c r="M1176" s="4"/>
      <c r="N1176" s="4"/>
      <c r="O1176" s="4"/>
      <c r="P1176" s="4"/>
      <c r="S1176" s="3">
        <v>1174</v>
      </c>
      <c r="T1176" s="8">
        <v>0.71164342025469984</v>
      </c>
      <c r="U1176" s="4">
        <v>74.400000000000006</v>
      </c>
      <c r="V1176" s="4">
        <v>0.55819218105883273</v>
      </c>
      <c r="W1176" s="4">
        <v>69.460873644017667</v>
      </c>
      <c r="X1176" s="4">
        <v>2.4391263559823386</v>
      </c>
    </row>
    <row r="1177" spans="11:24" x14ac:dyDescent="0.25">
      <c r="K1177" s="3"/>
      <c r="L1177" s="8">
        <v>36.299999999999997</v>
      </c>
      <c r="M1177" s="4"/>
      <c r="N1177" s="4"/>
      <c r="O1177" s="4"/>
      <c r="P1177" s="4"/>
      <c r="S1177" s="3">
        <v>1175</v>
      </c>
      <c r="T1177" s="8">
        <v>0.71224984839296546</v>
      </c>
      <c r="U1177" s="4">
        <v>74.400000000000006</v>
      </c>
      <c r="V1177" s="4">
        <v>0.55996940977136256</v>
      </c>
      <c r="W1177" s="4">
        <v>69.411556284722067</v>
      </c>
      <c r="X1177" s="4">
        <v>2.2884437152779356</v>
      </c>
    </row>
    <row r="1178" spans="11:24" x14ac:dyDescent="0.25">
      <c r="K1178" s="3"/>
      <c r="L1178" s="8">
        <v>36.299999999999997</v>
      </c>
      <c r="M1178" s="4"/>
      <c r="N1178" s="4"/>
      <c r="O1178" s="4"/>
      <c r="P1178" s="4"/>
      <c r="S1178" s="3">
        <v>1176</v>
      </c>
      <c r="T1178" s="8">
        <v>0.71285627653123107</v>
      </c>
      <c r="U1178" s="4">
        <v>74.400000000000006</v>
      </c>
      <c r="V1178" s="4">
        <v>0.56174840893422062</v>
      </c>
      <c r="W1178" s="4">
        <v>71.433568015841374</v>
      </c>
      <c r="X1178" s="4">
        <v>3.8664319841586234</v>
      </c>
    </row>
    <row r="1179" spans="11:24" x14ac:dyDescent="0.25">
      <c r="K1179" s="3"/>
      <c r="L1179" s="8">
        <v>36.299999999999997</v>
      </c>
      <c r="M1179" s="4"/>
      <c r="N1179" s="4"/>
      <c r="O1179" s="4"/>
      <c r="P1179" s="4"/>
      <c r="S1179" s="3">
        <v>1177</v>
      </c>
      <c r="T1179" s="8">
        <v>0.71346270466949668</v>
      </c>
      <c r="U1179" s="4">
        <v>74.400000000000006</v>
      </c>
      <c r="V1179" s="4">
        <v>0.56352918771982574</v>
      </c>
      <c r="W1179" s="4">
        <v>71.433568015841374</v>
      </c>
      <c r="X1179" s="4">
        <v>3.8664319841586234</v>
      </c>
    </row>
    <row r="1180" spans="11:24" x14ac:dyDescent="0.25">
      <c r="K1180" s="3"/>
      <c r="L1180" s="8">
        <v>36.299999999999997</v>
      </c>
      <c r="M1180" s="4"/>
      <c r="N1180" s="4"/>
      <c r="O1180" s="4"/>
      <c r="P1180" s="4"/>
      <c r="S1180" s="3">
        <v>1178</v>
      </c>
      <c r="T1180" s="8">
        <v>0.7140691328077623</v>
      </c>
      <c r="U1180" s="4">
        <v>74.5</v>
      </c>
      <c r="V1180" s="4">
        <v>0.56531175535073541</v>
      </c>
      <c r="W1180" s="4">
        <v>71.236298578659003</v>
      </c>
      <c r="X1180" s="4">
        <v>3.6637014213410026</v>
      </c>
    </row>
    <row r="1181" spans="11:24" x14ac:dyDescent="0.25">
      <c r="K1181" s="3"/>
      <c r="L1181" s="8">
        <v>36.299999999999997</v>
      </c>
      <c r="M1181" s="4"/>
      <c r="N1181" s="4"/>
      <c r="O1181" s="4"/>
      <c r="P1181" s="4"/>
      <c r="S1181" s="3">
        <v>1179</v>
      </c>
      <c r="T1181" s="8">
        <v>0.71467556094602791</v>
      </c>
      <c r="U1181" s="4">
        <v>74.5</v>
      </c>
      <c r="V1181" s="4">
        <v>0.56709612110007845</v>
      </c>
      <c r="W1181" s="4">
        <v>71.039029141476632</v>
      </c>
      <c r="X1181" s="4">
        <v>3.4609708585233676</v>
      </c>
    </row>
    <row r="1182" spans="11:24" x14ac:dyDescent="0.25">
      <c r="K1182" s="3"/>
      <c r="L1182" s="8">
        <v>36.299999999999997</v>
      </c>
      <c r="M1182" s="4"/>
      <c r="N1182" s="4"/>
      <c r="O1182" s="4"/>
      <c r="P1182" s="4"/>
      <c r="S1182" s="3">
        <v>1180</v>
      </c>
      <c r="T1182" s="8">
        <v>0.71528198908429352</v>
      </c>
      <c r="U1182" s="4">
        <v>74.5</v>
      </c>
      <c r="V1182" s="4">
        <v>0.56888229429198423</v>
      </c>
      <c r="W1182" s="4">
        <v>76.907794897652167</v>
      </c>
      <c r="X1182" s="4">
        <v>-3.207794897652164</v>
      </c>
    </row>
    <row r="1183" spans="11:24" x14ac:dyDescent="0.25">
      <c r="K1183" s="3"/>
      <c r="L1183" s="8">
        <v>36.299999999999997</v>
      </c>
      <c r="M1183" s="4"/>
      <c r="N1183" s="4"/>
      <c r="O1183" s="4"/>
      <c r="P1183" s="4"/>
      <c r="S1183" s="3">
        <v>1181</v>
      </c>
      <c r="T1183" s="8">
        <v>0.71588841722255914</v>
      </c>
      <c r="U1183" s="4">
        <v>74.5</v>
      </c>
      <c r="V1183" s="4">
        <v>0.57067028430202493</v>
      </c>
      <c r="W1183" s="4">
        <v>76.907794897652167</v>
      </c>
      <c r="X1183" s="4">
        <v>-3.1077948976521697</v>
      </c>
    </row>
    <row r="1184" spans="11:24" x14ac:dyDescent="0.25">
      <c r="K1184" s="3"/>
      <c r="L1184" s="8">
        <v>36.299999999999997</v>
      </c>
      <c r="M1184" s="4"/>
      <c r="N1184" s="4"/>
      <c r="O1184" s="4"/>
      <c r="P1184" s="4"/>
      <c r="S1184" s="3">
        <v>1182</v>
      </c>
      <c r="T1184" s="8">
        <v>0.71649484536082475</v>
      </c>
      <c r="U1184" s="4">
        <v>74.5</v>
      </c>
      <c r="V1184" s="4">
        <v>0.57246010055765462</v>
      </c>
      <c r="W1184" s="4">
        <v>70.792442344998662</v>
      </c>
      <c r="X1184" s="4">
        <v>3.1075576550013437</v>
      </c>
    </row>
    <row r="1185" spans="11:24" x14ac:dyDescent="0.25">
      <c r="K1185" s="3"/>
      <c r="L1185" s="8">
        <v>36.299999999999997</v>
      </c>
      <c r="M1185" s="4"/>
      <c r="N1185" s="4"/>
      <c r="O1185" s="4"/>
      <c r="P1185" s="4"/>
      <c r="S1185" s="3">
        <v>1183</v>
      </c>
      <c r="T1185" s="8">
        <v>0.71710127349909036</v>
      </c>
      <c r="U1185" s="4">
        <v>74.5</v>
      </c>
      <c r="V1185" s="4">
        <v>0.57425175253865857</v>
      </c>
      <c r="W1185" s="4">
        <v>71.039029141476632</v>
      </c>
      <c r="X1185" s="4">
        <v>2.9609708585233676</v>
      </c>
    </row>
    <row r="1186" spans="11:24" x14ac:dyDescent="0.25">
      <c r="K1186" s="3"/>
      <c r="L1186" s="8">
        <v>36.299999999999997</v>
      </c>
      <c r="M1186" s="4"/>
      <c r="N1186" s="4"/>
      <c r="O1186" s="4"/>
      <c r="P1186" s="4"/>
      <c r="S1186" s="3">
        <v>1184</v>
      </c>
      <c r="T1186" s="8">
        <v>0.71770770163735598</v>
      </c>
      <c r="U1186" s="4">
        <v>74.5</v>
      </c>
      <c r="V1186" s="4">
        <v>0.57604524977760363</v>
      </c>
      <c r="W1186" s="4">
        <v>70.989711782181033</v>
      </c>
      <c r="X1186" s="4">
        <v>3.2102882178189702</v>
      </c>
    </row>
    <row r="1187" spans="11:24" x14ac:dyDescent="0.25">
      <c r="K1187" s="3"/>
      <c r="L1187" s="8">
        <v>36.299999999999997</v>
      </c>
      <c r="M1187" s="4"/>
      <c r="N1187" s="4"/>
      <c r="O1187" s="4"/>
      <c r="P1187" s="4"/>
      <c r="S1187" s="3">
        <v>1185</v>
      </c>
      <c r="T1187" s="8">
        <v>0.71831412977562159</v>
      </c>
      <c r="U1187" s="4">
        <v>74.5</v>
      </c>
      <c r="V1187" s="4">
        <v>0.5778406018602954</v>
      </c>
      <c r="W1187" s="4">
        <v>70.299268752042735</v>
      </c>
      <c r="X1187" s="4">
        <v>2.5007312479572619</v>
      </c>
    </row>
    <row r="1188" spans="11:24" x14ac:dyDescent="0.25">
      <c r="K1188" s="3"/>
      <c r="L1188" s="8">
        <v>36.299999999999997</v>
      </c>
      <c r="M1188" s="4"/>
      <c r="N1188" s="4"/>
      <c r="O1188" s="4"/>
      <c r="P1188" s="4"/>
      <c r="S1188" s="3">
        <v>1186</v>
      </c>
      <c r="T1188" s="8">
        <v>0.7189205579138872</v>
      </c>
      <c r="U1188" s="4">
        <v>74.5</v>
      </c>
      <c r="V1188" s="4">
        <v>0.57963781842623852</v>
      </c>
      <c r="W1188" s="4">
        <v>70.151316674155964</v>
      </c>
      <c r="X1188" s="4">
        <v>2.0486833258440384</v>
      </c>
    </row>
    <row r="1189" spans="11:24" x14ac:dyDescent="0.25">
      <c r="K1189" s="3"/>
      <c r="L1189" s="8">
        <v>36.299999999999997</v>
      </c>
      <c r="M1189" s="4"/>
      <c r="N1189" s="4"/>
      <c r="O1189" s="4"/>
      <c r="P1189" s="4"/>
      <c r="S1189" s="3">
        <v>1187</v>
      </c>
      <c r="T1189" s="8">
        <v>0.71952698605215282</v>
      </c>
      <c r="U1189" s="4">
        <v>74.5</v>
      </c>
      <c r="V1189" s="4">
        <v>0.58143690916910251</v>
      </c>
      <c r="W1189" s="4">
        <v>70.101999314860365</v>
      </c>
      <c r="X1189" s="4">
        <v>1.9980006851396297</v>
      </c>
    </row>
    <row r="1190" spans="11:24" x14ac:dyDescent="0.25">
      <c r="K1190" s="3"/>
      <c r="L1190" s="8">
        <v>89</v>
      </c>
      <c r="M1190" s="4"/>
      <c r="N1190" s="4"/>
      <c r="O1190" s="4"/>
      <c r="P1190" s="4"/>
      <c r="S1190" s="3">
        <v>1188</v>
      </c>
      <c r="T1190" s="8">
        <v>0.72013341419041843</v>
      </c>
      <c r="U1190" s="4">
        <v>74.5</v>
      </c>
      <c r="V1190" s="4">
        <v>0.58323788383719311</v>
      </c>
      <c r="W1190" s="4">
        <v>67.044323038533619</v>
      </c>
      <c r="X1190" s="4">
        <v>1.3556769614663864</v>
      </c>
    </row>
    <row r="1191" spans="11:24" x14ac:dyDescent="0.25">
      <c r="K1191" s="3"/>
      <c r="L1191" s="8">
        <v>89</v>
      </c>
      <c r="M1191" s="4"/>
      <c r="N1191" s="4"/>
      <c r="O1191" s="4"/>
      <c r="P1191" s="4"/>
      <c r="S1191" s="3">
        <v>1189</v>
      </c>
      <c r="T1191" s="8">
        <v>0.72073984232868404</v>
      </c>
      <c r="U1191" s="4">
        <v>74.5</v>
      </c>
      <c r="V1191" s="4">
        <v>0.58504075223392726</v>
      </c>
      <c r="W1191" s="4">
        <v>66.797736242055649</v>
      </c>
      <c r="X1191" s="4">
        <v>1.3022637579443455</v>
      </c>
    </row>
    <row r="1192" spans="11:24" x14ac:dyDescent="0.25">
      <c r="K1192" s="3"/>
      <c r="L1192" s="8">
        <v>89</v>
      </c>
      <c r="M1192" s="4"/>
      <c r="N1192" s="4"/>
      <c r="O1192" s="4"/>
      <c r="P1192" s="4"/>
      <c r="S1192" s="3">
        <v>1190</v>
      </c>
      <c r="T1192" s="8">
        <v>0.72134627046694966</v>
      </c>
      <c r="U1192" s="4">
        <v>74.5</v>
      </c>
      <c r="V1192" s="4">
        <v>0.58684552421831371</v>
      </c>
      <c r="W1192" s="4">
        <v>66.896370960646834</v>
      </c>
      <c r="X1192" s="4">
        <v>1.2036290393531601</v>
      </c>
    </row>
    <row r="1193" spans="11:24" x14ac:dyDescent="0.25">
      <c r="K1193" s="3"/>
      <c r="L1193" s="8">
        <v>89</v>
      </c>
      <c r="M1193" s="4"/>
      <c r="N1193" s="4"/>
      <c r="O1193" s="4"/>
      <c r="P1193" s="4"/>
      <c r="S1193" s="3">
        <v>1191</v>
      </c>
      <c r="T1193" s="8">
        <v>0.72195269860521527</v>
      </c>
      <c r="U1193" s="4">
        <v>74.5</v>
      </c>
      <c r="V1193" s="4">
        <v>0.58865220970543808</v>
      </c>
      <c r="W1193" s="4">
        <v>66.847053601351249</v>
      </c>
      <c r="X1193" s="4">
        <v>1.1529463986487514</v>
      </c>
    </row>
    <row r="1194" spans="11:24" x14ac:dyDescent="0.25">
      <c r="K1194" s="3"/>
      <c r="L1194" s="8">
        <v>89</v>
      </c>
      <c r="M1194" s="4"/>
      <c r="N1194" s="4"/>
      <c r="O1194" s="4"/>
      <c r="P1194" s="4"/>
      <c r="S1194" s="3">
        <v>1192</v>
      </c>
      <c r="T1194" s="8">
        <v>0.72255912674348088</v>
      </c>
      <c r="U1194" s="4">
        <v>74.5</v>
      </c>
      <c r="V1194" s="4">
        <v>0.59046081866695432</v>
      </c>
      <c r="W1194" s="4">
        <v>66.847053601351249</v>
      </c>
      <c r="X1194" s="4">
        <v>1.0529463986487571</v>
      </c>
    </row>
    <row r="1195" spans="11:24" x14ac:dyDescent="0.25">
      <c r="K1195" s="3"/>
      <c r="L1195" s="8">
        <v>89</v>
      </c>
      <c r="M1195" s="4"/>
      <c r="N1195" s="4"/>
      <c r="O1195" s="4"/>
      <c r="P1195" s="4"/>
      <c r="S1195" s="3">
        <v>1193</v>
      </c>
      <c r="T1195" s="8">
        <v>0.7231655548817465</v>
      </c>
      <c r="U1195" s="4">
        <v>74.5</v>
      </c>
      <c r="V1195" s="4">
        <v>0.5922713611315803</v>
      </c>
      <c r="W1195" s="4">
        <v>66.797736242055649</v>
      </c>
      <c r="X1195" s="4">
        <v>1.2022637579443511</v>
      </c>
    </row>
    <row r="1196" spans="11:24" x14ac:dyDescent="0.25">
      <c r="K1196" s="3"/>
      <c r="L1196" s="8">
        <v>89</v>
      </c>
      <c r="M1196" s="4"/>
      <c r="N1196" s="4"/>
      <c r="O1196" s="4"/>
      <c r="P1196" s="4"/>
      <c r="S1196" s="3">
        <v>1194</v>
      </c>
      <c r="T1196" s="8">
        <v>0.72377198302001211</v>
      </c>
      <c r="U1196" s="4">
        <v>74.5</v>
      </c>
      <c r="V1196" s="4">
        <v>0.59408384718559781</v>
      </c>
      <c r="W1196" s="4">
        <v>66.896370960646834</v>
      </c>
      <c r="X1196" s="4">
        <v>0.60362903935316581</v>
      </c>
    </row>
    <row r="1197" spans="11:24" x14ac:dyDescent="0.25">
      <c r="K1197" s="3"/>
      <c r="L1197" s="8">
        <v>89</v>
      </c>
      <c r="M1197" s="4"/>
      <c r="N1197" s="4"/>
      <c r="O1197" s="4"/>
      <c r="P1197" s="4"/>
      <c r="S1197" s="3">
        <v>1195</v>
      </c>
      <c r="T1197" s="8">
        <v>0.72437841115827772</v>
      </c>
      <c r="U1197" s="4">
        <v>74.599999999999994</v>
      </c>
      <c r="V1197" s="4">
        <v>0.59589828697336023</v>
      </c>
      <c r="W1197" s="4">
        <v>66.945688319942434</v>
      </c>
      <c r="X1197" s="4">
        <v>0.55431168005756604</v>
      </c>
    </row>
    <row r="1198" spans="11:24" x14ac:dyDescent="0.25">
      <c r="K1198" s="3"/>
      <c r="L1198" s="8">
        <v>89</v>
      </c>
      <c r="M1198" s="4"/>
      <c r="N1198" s="4"/>
      <c r="O1198" s="4"/>
      <c r="P1198" s="4"/>
      <c r="S1198" s="3">
        <v>1196</v>
      </c>
      <c r="T1198" s="8">
        <v>0.72498483929654334</v>
      </c>
      <c r="U1198" s="4">
        <v>74.599999999999994</v>
      </c>
      <c r="V1198" s="4">
        <v>0.59771469069780314</v>
      </c>
      <c r="W1198" s="4">
        <v>66.797736242055649</v>
      </c>
      <c r="X1198" s="4">
        <v>0.5022637579443483</v>
      </c>
    </row>
    <row r="1199" spans="11:24" x14ac:dyDescent="0.25">
      <c r="K1199" s="3"/>
      <c r="L1199" s="8">
        <v>89</v>
      </c>
      <c r="M1199" s="4"/>
      <c r="N1199" s="4"/>
      <c r="O1199" s="4"/>
      <c r="P1199" s="4"/>
      <c r="S1199" s="3">
        <v>1197</v>
      </c>
      <c r="T1199" s="8">
        <v>0.72559126743480895</v>
      </c>
      <c r="U1199" s="4">
        <v>74.599999999999994</v>
      </c>
      <c r="V1199" s="4">
        <v>0.59953306862096245</v>
      </c>
      <c r="W1199" s="4">
        <v>66.600466804873278</v>
      </c>
      <c r="X1199" s="4">
        <v>0.39953319512672181</v>
      </c>
    </row>
    <row r="1200" spans="11:24" x14ac:dyDescent="0.25">
      <c r="K1200" s="3"/>
      <c r="L1200" s="8">
        <v>89</v>
      </c>
      <c r="M1200" s="4"/>
      <c r="N1200" s="4"/>
      <c r="O1200" s="4"/>
      <c r="P1200" s="4"/>
      <c r="S1200" s="3">
        <v>1198</v>
      </c>
      <c r="T1200" s="8">
        <v>0.72619769557307456</v>
      </c>
      <c r="U1200" s="4">
        <v>74.599999999999994</v>
      </c>
      <c r="V1200" s="4">
        <v>0.6013534310644959</v>
      </c>
      <c r="W1200" s="4">
        <v>66.847053601351249</v>
      </c>
      <c r="X1200" s="4">
        <v>0.45294639864874853</v>
      </c>
    </row>
    <row r="1201" spans="11:24" x14ac:dyDescent="0.25">
      <c r="K1201" s="3"/>
      <c r="L1201" s="8">
        <v>36.299999999999997</v>
      </c>
      <c r="M1201" s="4"/>
      <c r="N1201" s="4"/>
      <c r="O1201" s="4"/>
      <c r="P1201" s="4"/>
      <c r="S1201" s="3">
        <v>1199</v>
      </c>
      <c r="T1201" s="8">
        <v>0.72680412371134018</v>
      </c>
      <c r="U1201" s="4">
        <v>74.599999999999994</v>
      </c>
      <c r="V1201" s="4">
        <v>0.60317578841021102</v>
      </c>
      <c r="W1201" s="4">
        <v>66.896370960646834</v>
      </c>
      <c r="X1201" s="4">
        <v>0.30362903935316865</v>
      </c>
    </row>
    <row r="1202" spans="11:24" x14ac:dyDescent="0.25">
      <c r="K1202" s="3"/>
      <c r="L1202" s="8">
        <v>36.299999999999997</v>
      </c>
      <c r="M1202" s="4"/>
      <c r="N1202" s="4"/>
      <c r="O1202" s="4"/>
      <c r="P1202" s="4"/>
      <c r="S1202" s="3">
        <v>1200</v>
      </c>
      <c r="T1202" s="8">
        <v>0.72741055184960579</v>
      </c>
      <c r="U1202" s="4">
        <v>74.599999999999994</v>
      </c>
      <c r="V1202" s="4">
        <v>0.60500015110060057</v>
      </c>
      <c r="W1202" s="4">
        <v>66.699101523464464</v>
      </c>
      <c r="X1202" s="4">
        <v>0.10089847653553363</v>
      </c>
    </row>
    <row r="1203" spans="11:24" x14ac:dyDescent="0.25">
      <c r="K1203" s="3"/>
      <c r="L1203" s="8">
        <v>36.299999999999997</v>
      </c>
      <c r="M1203" s="4"/>
      <c r="N1203" s="4"/>
      <c r="O1203" s="4"/>
      <c r="P1203" s="4"/>
      <c r="S1203" s="3">
        <v>1201</v>
      </c>
      <c r="T1203" s="8">
        <v>0.7280169799878714</v>
      </c>
      <c r="U1203" s="4">
        <v>74.599999999999994</v>
      </c>
      <c r="V1203" s="4">
        <v>0.60682652963938088</v>
      </c>
      <c r="W1203" s="4">
        <v>66.699101523464464</v>
      </c>
      <c r="X1203" s="4">
        <v>0.10089847653553363</v>
      </c>
    </row>
    <row r="1204" spans="11:24" x14ac:dyDescent="0.25">
      <c r="K1204" s="3"/>
      <c r="L1204" s="8">
        <v>36.299999999999997</v>
      </c>
      <c r="M1204" s="4"/>
      <c r="N1204" s="4"/>
      <c r="O1204" s="4"/>
      <c r="P1204" s="4"/>
      <c r="S1204" s="3">
        <v>1202</v>
      </c>
      <c r="T1204" s="8">
        <v>0.72862340812613702</v>
      </c>
      <c r="U1204" s="4">
        <v>74.599999999999994</v>
      </c>
      <c r="V1204" s="4">
        <v>0.60865493459203712</v>
      </c>
      <c r="W1204" s="4">
        <v>66.797736242055649</v>
      </c>
      <c r="X1204" s="4">
        <v>2.2637579443482991E-3</v>
      </c>
    </row>
    <row r="1205" spans="11:24" x14ac:dyDescent="0.25">
      <c r="K1205" s="3"/>
      <c r="L1205" s="8">
        <v>36.299999999999997</v>
      </c>
      <c r="M1205" s="4"/>
      <c r="N1205" s="4"/>
      <c r="O1205" s="4"/>
      <c r="P1205" s="4"/>
      <c r="S1205" s="3">
        <v>1203</v>
      </c>
      <c r="T1205" s="8">
        <v>0.72922983626440263</v>
      </c>
      <c r="U1205" s="4">
        <v>74.599999999999994</v>
      </c>
      <c r="V1205" s="4">
        <v>0.61048537658637492</v>
      </c>
      <c r="W1205" s="4">
        <v>77.006429616243352</v>
      </c>
      <c r="X1205" s="4">
        <v>0.29357038375664501</v>
      </c>
    </row>
    <row r="1206" spans="11:24" x14ac:dyDescent="0.25">
      <c r="K1206" s="3"/>
      <c r="L1206" s="8">
        <v>89</v>
      </c>
      <c r="M1206" s="4"/>
      <c r="N1206" s="4"/>
      <c r="O1206" s="4"/>
      <c r="P1206" s="4"/>
      <c r="S1206" s="3">
        <v>1204</v>
      </c>
      <c r="T1206" s="8">
        <v>0.72983626440266824</v>
      </c>
      <c r="U1206" s="4">
        <v>74.599999999999994</v>
      </c>
      <c r="V1206" s="4">
        <v>0.61231786631307694</v>
      </c>
      <c r="W1206" s="4">
        <v>77.006429616243352</v>
      </c>
      <c r="X1206" s="4">
        <v>9.3570383756642173E-2</v>
      </c>
    </row>
    <row r="1207" spans="11:24" x14ac:dyDescent="0.25">
      <c r="K1207" s="3"/>
      <c r="L1207" s="8">
        <v>89</v>
      </c>
      <c r="M1207" s="4"/>
      <c r="N1207" s="4"/>
      <c r="O1207" s="4"/>
      <c r="P1207" s="4"/>
      <c r="S1207" s="3">
        <v>1205</v>
      </c>
      <c r="T1207" s="8">
        <v>0.73044269254093386</v>
      </c>
      <c r="U1207" s="4">
        <v>74.7</v>
      </c>
      <c r="V1207" s="4">
        <v>0.61415241452626623</v>
      </c>
      <c r="W1207" s="4">
        <v>71.433568015841374</v>
      </c>
      <c r="X1207" s="4">
        <v>5.3664319841586234</v>
      </c>
    </row>
    <row r="1208" spans="11:24" x14ac:dyDescent="0.25">
      <c r="K1208" s="3"/>
      <c r="L1208" s="8">
        <v>89</v>
      </c>
      <c r="M1208" s="4"/>
      <c r="N1208" s="4"/>
      <c r="O1208" s="4"/>
      <c r="P1208" s="4"/>
      <c r="S1208" s="3">
        <v>1206</v>
      </c>
      <c r="T1208" s="8">
        <v>0.73104912067919947</v>
      </c>
      <c r="U1208" s="4">
        <v>74.7</v>
      </c>
      <c r="V1208" s="4">
        <v>0.61598903204407673</v>
      </c>
      <c r="W1208" s="4">
        <v>71.285615937954589</v>
      </c>
      <c r="X1208" s="4">
        <v>5.4143840620454142</v>
      </c>
    </row>
    <row r="1209" spans="11:24" x14ac:dyDescent="0.25">
      <c r="K1209" s="3"/>
      <c r="L1209" s="8">
        <v>89</v>
      </c>
      <c r="M1209" s="4"/>
      <c r="N1209" s="4"/>
      <c r="O1209" s="4"/>
      <c r="P1209" s="4"/>
      <c r="S1209" s="3">
        <v>1207</v>
      </c>
      <c r="T1209" s="8">
        <v>0.73165554881746508</v>
      </c>
      <c r="U1209" s="4">
        <v>74.7</v>
      </c>
      <c r="V1209" s="4">
        <v>0.6178277297492264</v>
      </c>
      <c r="W1209" s="4">
        <v>76.957112256947752</v>
      </c>
      <c r="X1209" s="4">
        <v>-0.65711225694775521</v>
      </c>
    </row>
    <row r="1210" spans="11:24" x14ac:dyDescent="0.25">
      <c r="K1210" s="3"/>
      <c r="L1210" s="8">
        <v>89</v>
      </c>
      <c r="M1210" s="4"/>
      <c r="N1210" s="4"/>
      <c r="O1210" s="4"/>
      <c r="P1210" s="4"/>
      <c r="S1210" s="3">
        <v>1208</v>
      </c>
      <c r="T1210" s="8">
        <v>0.7322619769557307</v>
      </c>
      <c r="U1210" s="4">
        <v>74.7</v>
      </c>
      <c r="V1210" s="4">
        <v>0.61966851858960126</v>
      </c>
      <c r="W1210" s="4">
        <v>70.891077063589847</v>
      </c>
      <c r="X1210" s="4">
        <v>4.8089229364101556</v>
      </c>
    </row>
    <row r="1211" spans="11:24" x14ac:dyDescent="0.25">
      <c r="K1211" s="3"/>
      <c r="L1211" s="8">
        <v>89</v>
      </c>
      <c r="M1211" s="4"/>
      <c r="N1211" s="4"/>
      <c r="O1211" s="4"/>
      <c r="P1211" s="4"/>
      <c r="S1211" s="3">
        <v>1209</v>
      </c>
      <c r="T1211" s="8">
        <v>0.73286840509399631</v>
      </c>
      <c r="U1211" s="4">
        <v>74.7</v>
      </c>
      <c r="V1211" s="4">
        <v>0.62151140957884243</v>
      </c>
      <c r="W1211" s="4">
        <v>76.907794897652167</v>
      </c>
      <c r="X1211" s="4">
        <v>-1.4077948976521668</v>
      </c>
    </row>
    <row r="1212" spans="11:24" x14ac:dyDescent="0.25">
      <c r="K1212" s="3"/>
      <c r="L1212" s="8">
        <v>89</v>
      </c>
      <c r="M1212" s="4"/>
      <c r="N1212" s="4"/>
      <c r="O1212" s="4"/>
      <c r="P1212" s="4"/>
      <c r="S1212" s="3">
        <v>1210</v>
      </c>
      <c r="T1212" s="8">
        <v>0.73347483323226192</v>
      </c>
      <c r="U1212" s="4">
        <v>74.7</v>
      </c>
      <c r="V1212" s="4">
        <v>0.62335641379693951</v>
      </c>
      <c r="W1212" s="4">
        <v>70.496538189225106</v>
      </c>
      <c r="X1212" s="4">
        <v>4.8034618107748912</v>
      </c>
    </row>
    <row r="1213" spans="11:24" x14ac:dyDescent="0.25">
      <c r="K1213" s="3"/>
      <c r="L1213" s="8">
        <v>89</v>
      </c>
      <c r="M1213" s="4"/>
      <c r="N1213" s="4"/>
      <c r="O1213" s="4"/>
      <c r="P1213" s="4"/>
      <c r="S1213" s="3">
        <v>1211</v>
      </c>
      <c r="T1213" s="8">
        <v>0.73408126137052754</v>
      </c>
      <c r="U1213" s="4">
        <v>74.7</v>
      </c>
      <c r="V1213" s="4">
        <v>0.62520354239083475</v>
      </c>
      <c r="W1213" s="4">
        <v>70.496538189225106</v>
      </c>
      <c r="X1213" s="4">
        <v>4.7034618107748969</v>
      </c>
    </row>
    <row r="1214" spans="11:24" x14ac:dyDescent="0.25">
      <c r="K1214" s="3"/>
      <c r="L1214" s="8">
        <v>89</v>
      </c>
      <c r="M1214" s="4"/>
      <c r="N1214" s="4"/>
      <c r="O1214" s="4"/>
      <c r="P1214" s="4"/>
      <c r="S1214" s="3">
        <v>1212</v>
      </c>
      <c r="T1214" s="8">
        <v>0.73468768950879326</v>
      </c>
      <c r="U1214" s="4">
        <v>74.7</v>
      </c>
      <c r="V1214" s="4">
        <v>0.62705280657502749</v>
      </c>
      <c r="W1214" s="4">
        <v>70.496538189225106</v>
      </c>
      <c r="X1214" s="4">
        <v>4.503461810774894</v>
      </c>
    </row>
    <row r="1215" spans="11:24" x14ac:dyDescent="0.25">
      <c r="K1215" s="3"/>
      <c r="L1215" s="8">
        <v>89</v>
      </c>
      <c r="M1215" s="4"/>
      <c r="N1215" s="4"/>
      <c r="O1215" s="4"/>
      <c r="P1215" s="4"/>
      <c r="S1215" s="3">
        <v>1213</v>
      </c>
      <c r="T1215" s="8">
        <v>0.73529411764705888</v>
      </c>
      <c r="U1215" s="4">
        <v>74.7</v>
      </c>
      <c r="V1215" s="4">
        <v>0.62890421763219018</v>
      </c>
      <c r="W1215" s="4">
        <v>70.545855548520706</v>
      </c>
      <c r="X1215" s="4">
        <v>4.3541444514793</v>
      </c>
    </row>
    <row r="1216" spans="11:24" x14ac:dyDescent="0.25">
      <c r="K1216" s="3"/>
      <c r="L1216" s="8">
        <v>89</v>
      </c>
      <c r="M1216" s="4"/>
      <c r="N1216" s="4"/>
      <c r="O1216" s="4"/>
      <c r="P1216" s="4"/>
      <c r="S1216" s="3">
        <v>1214</v>
      </c>
      <c r="T1216" s="8">
        <v>0.73590054578532449</v>
      </c>
      <c r="U1216" s="4">
        <v>74.7</v>
      </c>
      <c r="V1216" s="4">
        <v>0.63075778691378914</v>
      </c>
      <c r="W1216" s="4">
        <v>70.595172907816291</v>
      </c>
      <c r="X1216" s="4">
        <v>4.1048270921837116</v>
      </c>
    </row>
    <row r="1217" spans="11:24" x14ac:dyDescent="0.25">
      <c r="K1217" s="3"/>
      <c r="L1217" s="8">
        <v>89</v>
      </c>
      <c r="M1217" s="4"/>
      <c r="N1217" s="4"/>
      <c r="O1217" s="4"/>
      <c r="P1217" s="4"/>
      <c r="S1217" s="3">
        <v>1215</v>
      </c>
      <c r="T1217" s="8">
        <v>0.7365069739235901</v>
      </c>
      <c r="U1217" s="4">
        <v>74.8</v>
      </c>
      <c r="V1217" s="4">
        <v>0.63261352584071395</v>
      </c>
      <c r="W1217" s="4">
        <v>70.44722082992952</v>
      </c>
      <c r="X1217" s="4">
        <v>4.0527791700704796</v>
      </c>
    </row>
    <row r="1218" spans="11:24" x14ac:dyDescent="0.25">
      <c r="K1218" s="3"/>
      <c r="L1218" s="8">
        <v>89</v>
      </c>
      <c r="M1218" s="4"/>
      <c r="N1218" s="4"/>
      <c r="O1218" s="4"/>
      <c r="P1218" s="4"/>
      <c r="S1218" s="3">
        <v>1216</v>
      </c>
      <c r="T1218" s="8">
        <v>0.73711340206185572</v>
      </c>
      <c r="U1218" s="4">
        <v>74.8</v>
      </c>
      <c r="V1218" s="4">
        <v>0.63447144590391014</v>
      </c>
      <c r="W1218" s="4">
        <v>70.24995139274715</v>
      </c>
      <c r="X1218" s="4">
        <v>3.9500486072528531</v>
      </c>
    </row>
    <row r="1219" spans="11:24" x14ac:dyDescent="0.25">
      <c r="K1219" s="3"/>
      <c r="L1219" s="8">
        <v>89</v>
      </c>
      <c r="M1219" s="4"/>
      <c r="N1219" s="4"/>
      <c r="O1219" s="4"/>
      <c r="P1219" s="4"/>
      <c r="S1219" s="3">
        <v>1217</v>
      </c>
      <c r="T1219" s="8">
        <v>0.73771983020012133</v>
      </c>
      <c r="U1219" s="4">
        <v>74.8</v>
      </c>
      <c r="V1219" s="4">
        <v>0.63633155866502333</v>
      </c>
      <c r="W1219" s="4">
        <v>70.052681955564779</v>
      </c>
      <c r="X1219" s="4">
        <v>3.6473180444352238</v>
      </c>
    </row>
    <row r="1220" spans="11:24" x14ac:dyDescent="0.25">
      <c r="K1220" s="3"/>
      <c r="L1220" s="8">
        <v>89</v>
      </c>
      <c r="M1220" s="4"/>
      <c r="N1220" s="4"/>
      <c r="O1220" s="4"/>
      <c r="P1220" s="4"/>
      <c r="S1220" s="3">
        <v>1218</v>
      </c>
      <c r="T1220" s="8">
        <v>0.73832625833838694</v>
      </c>
      <c r="U1220" s="4">
        <v>74.8</v>
      </c>
      <c r="V1220" s="4">
        <v>0.63819387575704722</v>
      </c>
      <c r="W1220" s="4">
        <v>73.751483902734236</v>
      </c>
      <c r="X1220" s="4">
        <v>15.248516097265764</v>
      </c>
    </row>
    <row r="1221" spans="11:24" x14ac:dyDescent="0.25">
      <c r="K1221" s="3"/>
      <c r="L1221" s="8">
        <v>36.299999999999997</v>
      </c>
      <c r="M1221" s="4"/>
      <c r="N1221" s="4"/>
      <c r="O1221" s="4"/>
      <c r="P1221" s="4"/>
      <c r="S1221" s="3">
        <v>1219</v>
      </c>
      <c r="T1221" s="8">
        <v>0.73893268647665256</v>
      </c>
      <c r="U1221" s="4">
        <v>74.8</v>
      </c>
      <c r="V1221" s="4">
        <v>0.64005840888498122</v>
      </c>
      <c r="W1221" s="4">
        <v>73.702166543438636</v>
      </c>
      <c r="X1221" s="4">
        <v>12.297833456561364</v>
      </c>
    </row>
    <row r="1222" spans="11:24" x14ac:dyDescent="0.25">
      <c r="K1222" s="3"/>
      <c r="L1222" s="8">
        <v>36.299999999999997</v>
      </c>
      <c r="M1222" s="4"/>
      <c r="N1222" s="4"/>
      <c r="O1222" s="4"/>
      <c r="P1222" s="4"/>
      <c r="S1222" s="3">
        <v>1220</v>
      </c>
      <c r="T1222" s="8">
        <v>0.73953911461491817</v>
      </c>
      <c r="U1222" s="4">
        <v>74.8</v>
      </c>
      <c r="V1222" s="4">
        <v>0.64192516982649417</v>
      </c>
      <c r="W1222" s="4">
        <v>73.603531824847451</v>
      </c>
      <c r="X1222" s="4">
        <v>9.396468175152549</v>
      </c>
    </row>
    <row r="1223" spans="11:24" x14ac:dyDescent="0.25">
      <c r="K1223" s="3"/>
      <c r="L1223" s="8">
        <v>36.299999999999997</v>
      </c>
      <c r="M1223" s="4"/>
      <c r="N1223" s="4"/>
      <c r="O1223" s="4"/>
      <c r="P1223" s="4"/>
      <c r="S1223" s="3">
        <v>1221</v>
      </c>
      <c r="T1223" s="8">
        <v>0.74014554275318378</v>
      </c>
      <c r="U1223" s="4">
        <v>74.8</v>
      </c>
      <c r="V1223" s="4">
        <v>0.64379417043259435</v>
      </c>
      <c r="W1223" s="4">
        <v>73.40626238766508</v>
      </c>
      <c r="X1223" s="4">
        <v>8.5937376123349196</v>
      </c>
    </row>
    <row r="1224" spans="11:24" x14ac:dyDescent="0.25">
      <c r="K1224" s="3"/>
      <c r="L1224" s="8">
        <v>36.299999999999997</v>
      </c>
      <c r="M1224" s="4"/>
      <c r="N1224" s="4"/>
      <c r="O1224" s="4"/>
      <c r="P1224" s="4"/>
      <c r="S1224" s="3">
        <v>1222</v>
      </c>
      <c r="T1224" s="8">
        <v>0.7407519708914494</v>
      </c>
      <c r="U1224" s="4">
        <v>74.8</v>
      </c>
      <c r="V1224" s="4">
        <v>0.64566542262831106</v>
      </c>
      <c r="W1224" s="4">
        <v>73.258310309778295</v>
      </c>
      <c r="X1224" s="4">
        <v>6.341689690221699</v>
      </c>
    </row>
    <row r="1225" spans="11:24" x14ac:dyDescent="0.25">
      <c r="K1225" s="3"/>
      <c r="L1225" s="8">
        <v>36.299999999999997</v>
      </c>
      <c r="M1225" s="4"/>
      <c r="N1225" s="4"/>
      <c r="O1225" s="4"/>
      <c r="P1225" s="4"/>
      <c r="S1225" s="3">
        <v>1223</v>
      </c>
      <c r="T1225" s="8">
        <v>0.74135839902971501</v>
      </c>
      <c r="U1225" s="4">
        <v>74.8</v>
      </c>
      <c r="V1225" s="4">
        <v>0.64753893841337951</v>
      </c>
      <c r="W1225" s="4">
        <v>77.154381694130123</v>
      </c>
      <c r="X1225" s="4">
        <v>2.1456183058698741</v>
      </c>
    </row>
    <row r="1226" spans="11:24" x14ac:dyDescent="0.25">
      <c r="K1226" s="3"/>
      <c r="L1226" s="8">
        <v>36.299999999999997</v>
      </c>
      <c r="M1226" s="4"/>
      <c r="N1226" s="4"/>
      <c r="O1226" s="4"/>
      <c r="P1226" s="4"/>
      <c r="S1226" s="3">
        <v>1224</v>
      </c>
      <c r="T1226" s="8">
        <v>0.74196482716798062</v>
      </c>
      <c r="U1226" s="4">
        <v>74.900000000000006</v>
      </c>
      <c r="V1226" s="4">
        <v>0.64941472986293536</v>
      </c>
      <c r="W1226" s="4">
        <v>73.061040872595925</v>
      </c>
      <c r="X1226" s="4">
        <v>5.9389591274040754</v>
      </c>
    </row>
    <row r="1227" spans="11:24" x14ac:dyDescent="0.25">
      <c r="K1227" s="3"/>
      <c r="L1227" s="8">
        <v>36.299999999999997</v>
      </c>
      <c r="M1227" s="4"/>
      <c r="N1227" s="4"/>
      <c r="O1227" s="4"/>
      <c r="P1227" s="4"/>
      <c r="S1227" s="3">
        <v>1225</v>
      </c>
      <c r="T1227" s="8">
        <v>0.74257125530624624</v>
      </c>
      <c r="U1227" s="4">
        <v>74.900000000000006</v>
      </c>
      <c r="V1227" s="4">
        <v>0.65129280912821741</v>
      </c>
      <c r="W1227" s="4">
        <v>72.962406154004753</v>
      </c>
      <c r="X1227" s="4">
        <v>5.7375938459952494</v>
      </c>
    </row>
    <row r="1228" spans="11:24" x14ac:dyDescent="0.25">
      <c r="K1228" s="3"/>
      <c r="L1228" s="8">
        <v>36.299999999999997</v>
      </c>
      <c r="M1228" s="4"/>
      <c r="N1228" s="4"/>
      <c r="O1228" s="4"/>
      <c r="P1228" s="4"/>
      <c r="S1228" s="3">
        <v>1226</v>
      </c>
      <c r="T1228" s="8">
        <v>0.74317768344451185</v>
      </c>
      <c r="U1228" s="4">
        <v>74.900000000000006</v>
      </c>
      <c r="V1228" s="4">
        <v>0.65317318843727912</v>
      </c>
      <c r="W1228" s="4">
        <v>72.863771435413554</v>
      </c>
      <c r="X1228" s="4">
        <v>5.6362285645864461</v>
      </c>
    </row>
    <row r="1229" spans="11:24" x14ac:dyDescent="0.25">
      <c r="K1229" s="3"/>
      <c r="L1229" s="8">
        <v>36.299999999999997</v>
      </c>
      <c r="M1229" s="4"/>
      <c r="N1229" s="4"/>
      <c r="O1229" s="4"/>
      <c r="P1229" s="4"/>
      <c r="S1229" s="3">
        <v>1227</v>
      </c>
      <c r="T1229" s="8">
        <v>0.74378411158277746</v>
      </c>
      <c r="U1229" s="4">
        <v>74.900000000000006</v>
      </c>
      <c r="V1229" s="4">
        <v>0.65505588009570492</v>
      </c>
      <c r="W1229" s="4">
        <v>77.055746975538938</v>
      </c>
      <c r="X1229" s="4">
        <v>0.64425302446106514</v>
      </c>
    </row>
    <row r="1230" spans="11:24" x14ac:dyDescent="0.25">
      <c r="K1230" s="3"/>
      <c r="L1230" s="8">
        <v>36.299999999999997</v>
      </c>
      <c r="M1230" s="4"/>
      <c r="N1230" s="4"/>
      <c r="O1230" s="4"/>
      <c r="P1230" s="4"/>
      <c r="S1230" s="3">
        <v>1228</v>
      </c>
      <c r="T1230" s="8">
        <v>0.74439053972104308</v>
      </c>
      <c r="U1230" s="4">
        <v>74.900000000000006</v>
      </c>
      <c r="V1230" s="4">
        <v>0.65694089648733833</v>
      </c>
      <c r="W1230" s="4">
        <v>72.715819357526783</v>
      </c>
      <c r="X1230" s="4">
        <v>5.2841806424732169</v>
      </c>
    </row>
    <row r="1231" spans="11:24" x14ac:dyDescent="0.25">
      <c r="K1231" s="3"/>
      <c r="L1231" s="8">
        <v>36.299999999999997</v>
      </c>
      <c r="M1231" s="4"/>
      <c r="N1231" s="4"/>
      <c r="O1231" s="4"/>
      <c r="P1231" s="4"/>
      <c r="S1231" s="3">
        <v>1229</v>
      </c>
      <c r="T1231" s="8">
        <v>0.74499696785930869</v>
      </c>
      <c r="U1231" s="4">
        <v>74.900000000000006</v>
      </c>
      <c r="V1231" s="4">
        <v>0.65882825007501644</v>
      </c>
      <c r="W1231" s="4">
        <v>76.858477538356567</v>
      </c>
      <c r="X1231" s="4">
        <v>0.44152246164343012</v>
      </c>
    </row>
    <row r="1232" spans="11:24" x14ac:dyDescent="0.25">
      <c r="K1232" s="3"/>
      <c r="L1232" s="8">
        <v>36.299999999999997</v>
      </c>
      <c r="M1232" s="4"/>
      <c r="N1232" s="4"/>
      <c r="O1232" s="4"/>
      <c r="P1232" s="4"/>
      <c r="S1232" s="3">
        <v>1230</v>
      </c>
      <c r="T1232" s="8">
        <v>0.7456033959975743</v>
      </c>
      <c r="U1232" s="4">
        <v>74.900000000000006</v>
      </c>
      <c r="V1232" s="4">
        <v>0.66071795340131489</v>
      </c>
      <c r="W1232" s="4">
        <v>76.759842819765382</v>
      </c>
      <c r="X1232" s="4">
        <v>0.44015718023462114</v>
      </c>
    </row>
    <row r="1233" spans="11:24" x14ac:dyDescent="0.25">
      <c r="K1233" s="3"/>
      <c r="L1233" s="8">
        <v>36.299999999999997</v>
      </c>
      <c r="M1233" s="4"/>
      <c r="N1233" s="4"/>
      <c r="O1233" s="4"/>
      <c r="P1233" s="4"/>
      <c r="S1233" s="3">
        <v>1231</v>
      </c>
      <c r="T1233" s="8">
        <v>0.74620982413583992</v>
      </c>
      <c r="U1233" s="4">
        <v>74.900000000000006</v>
      </c>
      <c r="V1233" s="4">
        <v>0.66261001908929729</v>
      </c>
      <c r="W1233" s="4">
        <v>77.055746975538938</v>
      </c>
      <c r="X1233" s="4">
        <v>-0.15574697553893202</v>
      </c>
    </row>
    <row r="1234" spans="11:24" x14ac:dyDescent="0.25">
      <c r="K1234" s="3"/>
      <c r="L1234" s="8">
        <v>36.299999999999997</v>
      </c>
      <c r="M1234" s="4"/>
      <c r="N1234" s="4"/>
      <c r="O1234" s="4"/>
      <c r="P1234" s="4"/>
      <c r="S1234" s="3">
        <v>1232</v>
      </c>
      <c r="T1234" s="8">
        <v>0.74681625227410553</v>
      </c>
      <c r="U1234" s="4">
        <v>74.900000000000006</v>
      </c>
      <c r="V1234" s="4">
        <v>0.66450445984327855</v>
      </c>
      <c r="W1234" s="4">
        <v>77.055746975538938</v>
      </c>
      <c r="X1234" s="4">
        <v>-0.45574697553894339</v>
      </c>
    </row>
    <row r="1235" spans="11:24" x14ac:dyDescent="0.25">
      <c r="K1235" s="3"/>
      <c r="L1235" s="8">
        <v>36.299999999999997</v>
      </c>
      <c r="M1235" s="4"/>
      <c r="N1235" s="4"/>
      <c r="O1235" s="4"/>
      <c r="P1235" s="4"/>
      <c r="S1235" s="3">
        <v>1233</v>
      </c>
      <c r="T1235" s="8">
        <v>0.74742268041237114</v>
      </c>
      <c r="U1235" s="4">
        <v>74.900000000000006</v>
      </c>
      <c r="V1235" s="4">
        <v>0.66640128844959323</v>
      </c>
      <c r="W1235" s="4">
        <v>70.940394422885447</v>
      </c>
      <c r="X1235" s="4">
        <v>3.8596055771145501</v>
      </c>
    </row>
    <row r="1236" spans="11:24" x14ac:dyDescent="0.25">
      <c r="K1236" s="3"/>
      <c r="L1236" s="8">
        <v>36.299999999999997</v>
      </c>
      <c r="M1236" s="4"/>
      <c r="N1236" s="4"/>
      <c r="O1236" s="4"/>
      <c r="P1236" s="4"/>
      <c r="S1236" s="3">
        <v>1234</v>
      </c>
      <c r="T1236" s="8">
        <v>0.74802910855063676</v>
      </c>
      <c r="U1236" s="4">
        <v>74.900000000000006</v>
      </c>
      <c r="V1236" s="4">
        <v>0.6683005177773742</v>
      </c>
      <c r="W1236" s="4">
        <v>70.792442344998662</v>
      </c>
      <c r="X1236" s="4">
        <v>3.8075576550013324</v>
      </c>
    </row>
    <row r="1237" spans="11:24" x14ac:dyDescent="0.25">
      <c r="K1237" s="3"/>
      <c r="L1237" s="8">
        <v>36.299999999999997</v>
      </c>
      <c r="M1237" s="4"/>
      <c r="N1237" s="4"/>
      <c r="O1237" s="4"/>
      <c r="P1237" s="4"/>
      <c r="S1237" s="3">
        <v>1235</v>
      </c>
      <c r="T1237" s="8">
        <v>0.74863553668890237</v>
      </c>
      <c r="U1237" s="4">
        <v>75</v>
      </c>
      <c r="V1237" s="4">
        <v>0.67020216077934092</v>
      </c>
      <c r="W1237" s="4">
        <v>70.792442344998662</v>
      </c>
      <c r="X1237" s="4">
        <v>3.6075576550013437</v>
      </c>
    </row>
    <row r="1238" spans="11:24" x14ac:dyDescent="0.25">
      <c r="K1238" s="3"/>
      <c r="L1238" s="8">
        <v>89</v>
      </c>
      <c r="M1238" s="4"/>
      <c r="N1238" s="4"/>
      <c r="O1238" s="4"/>
      <c r="P1238" s="4"/>
      <c r="S1238" s="3">
        <v>1236</v>
      </c>
      <c r="T1238" s="8">
        <v>0.74924196482716798</v>
      </c>
      <c r="U1238" s="4">
        <v>75</v>
      </c>
      <c r="V1238" s="4">
        <v>0.67210623049259577</v>
      </c>
      <c r="W1238" s="4">
        <v>70.743124985703076</v>
      </c>
      <c r="X1238" s="4">
        <v>3.5568750142969208</v>
      </c>
    </row>
    <row r="1239" spans="11:24" x14ac:dyDescent="0.25">
      <c r="K1239" s="3"/>
      <c r="L1239" s="8">
        <v>89</v>
      </c>
      <c r="M1239" s="4"/>
      <c r="N1239" s="4"/>
      <c r="O1239" s="4"/>
      <c r="P1239" s="4"/>
      <c r="S1239" s="3">
        <v>1237</v>
      </c>
      <c r="T1239" s="8">
        <v>0.7498483929654336</v>
      </c>
      <c r="U1239" s="4">
        <v>75</v>
      </c>
      <c r="V1239" s="4">
        <v>0.67401274003943046</v>
      </c>
      <c r="W1239" s="4">
        <v>70.052681955564779</v>
      </c>
      <c r="X1239" s="4">
        <v>3.3473180444352266</v>
      </c>
    </row>
    <row r="1240" spans="11:24" x14ac:dyDescent="0.25">
      <c r="K1240" s="3"/>
      <c r="L1240" s="8">
        <v>89</v>
      </c>
      <c r="M1240" s="4"/>
      <c r="N1240" s="4"/>
      <c r="O1240" s="4"/>
      <c r="P1240" s="4"/>
      <c r="S1240" s="3">
        <v>1238</v>
      </c>
      <c r="T1240" s="8">
        <v>0.75045482110369921</v>
      </c>
      <c r="U1240" s="4">
        <v>75</v>
      </c>
      <c r="V1240" s="4">
        <v>0.67592170262814155</v>
      </c>
      <c r="W1240" s="4">
        <v>69.806095159086809</v>
      </c>
      <c r="X1240" s="4">
        <v>3.2939048409131857</v>
      </c>
    </row>
    <row r="1241" spans="11:24" x14ac:dyDescent="0.25">
      <c r="K1241" s="3"/>
      <c r="L1241" s="8">
        <v>89</v>
      </c>
      <c r="M1241" s="4"/>
      <c r="N1241" s="4"/>
      <c r="O1241" s="4"/>
      <c r="P1241" s="4"/>
      <c r="S1241" s="3">
        <v>1239</v>
      </c>
      <c r="T1241" s="8">
        <v>0.75106124924196482</v>
      </c>
      <c r="U1241" s="4">
        <v>75</v>
      </c>
      <c r="V1241" s="4">
        <v>0.67783313155385549</v>
      </c>
      <c r="W1241" s="4">
        <v>69.756777799791223</v>
      </c>
      <c r="X1241" s="4">
        <v>3.3432222002087713</v>
      </c>
    </row>
    <row r="1242" spans="11:24" x14ac:dyDescent="0.25">
      <c r="K1242" s="3"/>
      <c r="L1242" s="8">
        <v>89</v>
      </c>
      <c r="M1242" s="4"/>
      <c r="N1242" s="4"/>
      <c r="O1242" s="4"/>
      <c r="P1242" s="4"/>
      <c r="S1242" s="3">
        <v>1240</v>
      </c>
      <c r="T1242" s="8">
        <v>0.75166767738023044</v>
      </c>
      <c r="U1242" s="4">
        <v>75</v>
      </c>
      <c r="V1242" s="4">
        <v>0.67974704019936438</v>
      </c>
      <c r="W1242" s="4">
        <v>70.003364596269179</v>
      </c>
      <c r="X1242" s="4">
        <v>2.8966354037308264</v>
      </c>
    </row>
    <row r="1243" spans="11:24" x14ac:dyDescent="0.25">
      <c r="K1243" s="3"/>
      <c r="L1243" s="8">
        <v>89</v>
      </c>
      <c r="M1243" s="4"/>
      <c r="N1243" s="4"/>
      <c r="O1243" s="4"/>
      <c r="P1243" s="4"/>
      <c r="S1243" s="3">
        <v>1241</v>
      </c>
      <c r="T1243" s="8">
        <v>0.75227410551849605</v>
      </c>
      <c r="U1243" s="4">
        <v>75</v>
      </c>
      <c r="V1243" s="4">
        <v>0.68166344203597062</v>
      </c>
      <c r="W1243" s="4">
        <v>69.855412518382408</v>
      </c>
      <c r="X1243" s="4">
        <v>2.6445874816175916</v>
      </c>
    </row>
    <row r="1244" spans="11:24" x14ac:dyDescent="0.25">
      <c r="K1244" s="3"/>
      <c r="L1244" s="8">
        <v>89</v>
      </c>
      <c r="M1244" s="4"/>
      <c r="N1244" s="4"/>
      <c r="O1244" s="4"/>
      <c r="P1244" s="4"/>
      <c r="S1244" s="3">
        <v>1242</v>
      </c>
      <c r="T1244" s="8">
        <v>0.75288053365676166</v>
      </c>
      <c r="U1244" s="4">
        <v>75</v>
      </c>
      <c r="V1244" s="4">
        <v>0.68358235062434125</v>
      </c>
      <c r="W1244" s="4">
        <v>69.608825721904438</v>
      </c>
      <c r="X1244" s="4">
        <v>2.2911742780955677</v>
      </c>
    </row>
    <row r="1245" spans="11:24" x14ac:dyDescent="0.25">
      <c r="K1245" s="3"/>
      <c r="L1245" s="8">
        <v>89</v>
      </c>
      <c r="M1245" s="4"/>
      <c r="N1245" s="4"/>
      <c r="O1245" s="4"/>
      <c r="P1245" s="4"/>
      <c r="S1245" s="3">
        <v>1243</v>
      </c>
      <c r="T1245" s="8">
        <v>0.75348696179502728</v>
      </c>
      <c r="U1245" s="4">
        <v>75</v>
      </c>
      <c r="V1245" s="4">
        <v>0.6855037796153739</v>
      </c>
      <c r="W1245" s="4">
        <v>69.460873644017667</v>
      </c>
      <c r="X1245" s="4">
        <v>2.2391263559823358</v>
      </c>
    </row>
    <row r="1246" spans="11:24" x14ac:dyDescent="0.25">
      <c r="K1246" s="3"/>
      <c r="L1246" s="8">
        <v>89</v>
      </c>
      <c r="M1246" s="4"/>
      <c r="N1246" s="4"/>
      <c r="O1246" s="4"/>
      <c r="P1246" s="4"/>
      <c r="S1246" s="3">
        <v>1244</v>
      </c>
      <c r="T1246" s="8">
        <v>0.75409338993329289</v>
      </c>
      <c r="U1246" s="4">
        <v>75</v>
      </c>
      <c r="V1246" s="4">
        <v>0.68742774275107121</v>
      </c>
      <c r="W1246" s="4">
        <v>69.017017410357326</v>
      </c>
      <c r="X1246" s="4">
        <v>2.0829825896426684</v>
      </c>
    </row>
    <row r="1247" spans="11:24" x14ac:dyDescent="0.25">
      <c r="K1247" s="3"/>
      <c r="L1247" s="8">
        <v>89</v>
      </c>
      <c r="M1247" s="4"/>
      <c r="N1247" s="4"/>
      <c r="O1247" s="4"/>
      <c r="P1247" s="4"/>
      <c r="S1247" s="3">
        <v>1245</v>
      </c>
      <c r="T1247" s="8">
        <v>0.7546998180715585</v>
      </c>
      <c r="U1247" s="4">
        <v>75</v>
      </c>
      <c r="V1247" s="4">
        <v>0.68935425386542826</v>
      </c>
      <c r="W1247" s="4">
        <v>68.819747973174955</v>
      </c>
      <c r="X1247" s="4">
        <v>8.1802520268250447</v>
      </c>
    </row>
    <row r="1248" spans="11:24" x14ac:dyDescent="0.25">
      <c r="K1248" s="3"/>
      <c r="L1248" s="8">
        <v>89</v>
      </c>
      <c r="M1248" s="4"/>
      <c r="N1248" s="4"/>
      <c r="O1248" s="4"/>
      <c r="P1248" s="4"/>
      <c r="S1248" s="3">
        <v>1246</v>
      </c>
      <c r="T1248" s="8">
        <v>0.75530624620982412</v>
      </c>
      <c r="U1248" s="4">
        <v>75</v>
      </c>
      <c r="V1248" s="4">
        <v>0.69128332688532701</v>
      </c>
      <c r="W1248" s="4">
        <v>68.77043061387937</v>
      </c>
      <c r="X1248" s="4">
        <v>9.2295693861206303</v>
      </c>
    </row>
    <row r="1249" spans="11:24" x14ac:dyDescent="0.25">
      <c r="K1249" s="3"/>
      <c r="L1249" s="8">
        <v>36.299999999999997</v>
      </c>
      <c r="M1249" s="4"/>
      <c r="N1249" s="4"/>
      <c r="O1249" s="4"/>
      <c r="P1249" s="4"/>
      <c r="S1249" s="3">
        <v>1247</v>
      </c>
      <c r="T1249" s="8">
        <v>0.75591267434808973</v>
      </c>
      <c r="U1249" s="4">
        <v>75</v>
      </c>
      <c r="V1249" s="4">
        <v>0.69321497583144598</v>
      </c>
      <c r="W1249" s="4">
        <v>68.96770005106174</v>
      </c>
      <c r="X1249" s="4">
        <v>8.0322999489382596</v>
      </c>
    </row>
    <row r="1250" spans="11:24" x14ac:dyDescent="0.25">
      <c r="K1250" s="3"/>
      <c r="L1250" s="8">
        <v>36.299999999999997</v>
      </c>
      <c r="M1250" s="4"/>
      <c r="N1250" s="4"/>
      <c r="O1250" s="4"/>
      <c r="P1250" s="4"/>
      <c r="S1250" s="3">
        <v>1248</v>
      </c>
      <c r="T1250" s="8">
        <v>0.75651910248635534</v>
      </c>
      <c r="U1250" s="4">
        <v>75</v>
      </c>
      <c r="V1250" s="4">
        <v>0.69514921481917591</v>
      </c>
      <c r="W1250" s="4">
        <v>66.501832086282093</v>
      </c>
      <c r="X1250" s="4">
        <v>6.4981679137179071</v>
      </c>
    </row>
    <row r="1251" spans="11:24" x14ac:dyDescent="0.25">
      <c r="K1251" s="3"/>
      <c r="L1251" s="8">
        <v>36.299999999999997</v>
      </c>
      <c r="M1251" s="4"/>
      <c r="N1251" s="4"/>
      <c r="O1251" s="4"/>
      <c r="P1251" s="4"/>
      <c r="S1251" s="3">
        <v>1249</v>
      </c>
      <c r="T1251" s="8">
        <v>0.75712553062462096</v>
      </c>
      <c r="U1251" s="4">
        <v>75</v>
      </c>
      <c r="V1251" s="4">
        <v>0.69708605805955171</v>
      </c>
      <c r="W1251" s="4">
        <v>66.304562649099722</v>
      </c>
      <c r="X1251" s="4">
        <v>3.6954373509002778</v>
      </c>
    </row>
    <row r="1252" spans="11:24" x14ac:dyDescent="0.25">
      <c r="K1252" s="3"/>
      <c r="L1252" s="8">
        <v>36.299999999999997</v>
      </c>
      <c r="M1252" s="4"/>
      <c r="N1252" s="4"/>
      <c r="O1252" s="4"/>
      <c r="P1252" s="4"/>
      <c r="S1252" s="3">
        <v>1250</v>
      </c>
      <c r="T1252" s="8">
        <v>0.75773195876288657</v>
      </c>
      <c r="U1252" s="4">
        <v>75</v>
      </c>
      <c r="V1252" s="4">
        <v>0.6990255198601909</v>
      </c>
      <c r="W1252" s="4">
        <v>65.910023774734981</v>
      </c>
      <c r="X1252" s="4">
        <v>3.6899762252650135</v>
      </c>
    </row>
    <row r="1253" spans="11:24" x14ac:dyDescent="0.25">
      <c r="K1253" s="3"/>
      <c r="L1253" s="8">
        <v>36.299999999999997</v>
      </c>
      <c r="M1253" s="4"/>
      <c r="N1253" s="4"/>
      <c r="O1253" s="4"/>
      <c r="P1253" s="4"/>
      <c r="S1253" s="3">
        <v>1251</v>
      </c>
      <c r="T1253" s="8">
        <v>0.75833838690115218</v>
      </c>
      <c r="U1253" s="4">
        <v>75</v>
      </c>
      <c r="V1253" s="4">
        <v>0.70096761462624635</v>
      </c>
      <c r="W1253" s="4">
        <v>65.663436978257025</v>
      </c>
      <c r="X1253" s="4">
        <v>3.7365630217429811</v>
      </c>
    </row>
    <row r="1254" spans="11:24" x14ac:dyDescent="0.25">
      <c r="K1254" s="3"/>
      <c r="L1254" s="8">
        <v>89</v>
      </c>
      <c r="M1254" s="4"/>
      <c r="N1254" s="4"/>
      <c r="O1254" s="4"/>
      <c r="P1254" s="4"/>
      <c r="S1254" s="3">
        <v>1252</v>
      </c>
      <c r="T1254" s="8">
        <v>0.7589448150394178</v>
      </c>
      <c r="U1254" s="4">
        <v>75</v>
      </c>
      <c r="V1254" s="4">
        <v>0.70291235686137066</v>
      </c>
      <c r="W1254" s="4">
        <v>64.972993948118727</v>
      </c>
      <c r="X1254" s="4">
        <v>3.4270060518812784</v>
      </c>
    </row>
    <row r="1255" spans="11:24" x14ac:dyDescent="0.25">
      <c r="K1255" s="3"/>
      <c r="L1255" s="8">
        <v>89</v>
      </c>
      <c r="M1255" s="4"/>
      <c r="N1255" s="4"/>
      <c r="O1255" s="4"/>
      <c r="P1255" s="4"/>
      <c r="S1255" s="3">
        <v>1253</v>
      </c>
      <c r="T1255" s="8">
        <v>0.75955124317768341</v>
      </c>
      <c r="U1255" s="4">
        <v>75</v>
      </c>
      <c r="V1255" s="4">
        <v>0.70485976116869054</v>
      </c>
      <c r="W1255" s="4">
        <v>64.726407151640757</v>
      </c>
      <c r="X1255" s="4">
        <v>3.473592848359246</v>
      </c>
    </row>
    <row r="1256" spans="11:24" x14ac:dyDescent="0.25">
      <c r="K1256" s="3"/>
      <c r="L1256" s="8">
        <v>89</v>
      </c>
      <c r="M1256" s="4"/>
      <c r="N1256" s="4"/>
      <c r="O1256" s="4"/>
      <c r="P1256" s="4"/>
      <c r="S1256" s="3">
        <v>1254</v>
      </c>
      <c r="T1256" s="8">
        <v>0.76015767131594902</v>
      </c>
      <c r="U1256" s="4">
        <v>75</v>
      </c>
      <c r="V1256" s="4">
        <v>0.70680984225179433</v>
      </c>
      <c r="W1256" s="4">
        <v>63.888012043615682</v>
      </c>
      <c r="X1256" s="4">
        <v>3.6119879563843185</v>
      </c>
    </row>
    <row r="1257" spans="11:24" x14ac:dyDescent="0.25">
      <c r="K1257" s="3"/>
      <c r="L1257" s="8">
        <v>89</v>
      </c>
      <c r="M1257" s="4"/>
      <c r="N1257" s="4"/>
      <c r="O1257" s="4"/>
      <c r="P1257" s="4"/>
      <c r="S1257" s="3">
        <v>1255</v>
      </c>
      <c r="T1257" s="8">
        <v>0.76076409945421464</v>
      </c>
      <c r="U1257" s="4">
        <v>75.099999999999994</v>
      </c>
      <c r="V1257" s="4">
        <v>0.70876261491573145</v>
      </c>
      <c r="W1257" s="4">
        <v>63.690742606433311</v>
      </c>
      <c r="X1257" s="4">
        <v>3.6092573935666863</v>
      </c>
    </row>
    <row r="1258" spans="11:24" x14ac:dyDescent="0.25">
      <c r="K1258" s="3"/>
      <c r="L1258" s="8">
        <v>89</v>
      </c>
      <c r="M1258" s="4"/>
      <c r="N1258" s="4"/>
      <c r="O1258" s="4"/>
      <c r="P1258" s="4"/>
      <c r="S1258" s="3">
        <v>1256</v>
      </c>
      <c r="T1258" s="8">
        <v>0.76137052759248025</v>
      </c>
      <c r="U1258" s="4">
        <v>75.099999999999994</v>
      </c>
      <c r="V1258" s="4">
        <v>0.71071809406802411</v>
      </c>
      <c r="W1258" s="4">
        <v>77.450285849903679</v>
      </c>
      <c r="X1258" s="4">
        <v>-11.050285849903673</v>
      </c>
    </row>
    <row r="1259" spans="11:24" x14ac:dyDescent="0.25">
      <c r="K1259" s="3"/>
      <c r="L1259" s="8">
        <v>36.299999999999997</v>
      </c>
      <c r="M1259" s="4"/>
      <c r="N1259" s="4"/>
      <c r="O1259" s="4"/>
      <c r="P1259" s="4"/>
      <c r="S1259" s="3">
        <v>1257</v>
      </c>
      <c r="T1259" s="8">
        <v>0.76197695573074586</v>
      </c>
      <c r="U1259" s="4">
        <v>75.099999999999994</v>
      </c>
      <c r="V1259" s="4">
        <v>0.71267629471969218</v>
      </c>
      <c r="W1259" s="4">
        <v>61.471461438131641</v>
      </c>
      <c r="X1259" s="4">
        <v>3.5285385618683591</v>
      </c>
    </row>
    <row r="1260" spans="11:24" x14ac:dyDescent="0.25">
      <c r="K1260" s="3"/>
      <c r="L1260" s="8">
        <v>36.299999999999997</v>
      </c>
      <c r="M1260" s="4"/>
      <c r="N1260" s="4"/>
      <c r="O1260" s="4"/>
      <c r="P1260" s="4"/>
      <c r="S1260" s="3">
        <v>1258</v>
      </c>
      <c r="T1260" s="8">
        <v>0.76258338386901148</v>
      </c>
      <c r="U1260" s="4">
        <v>75.099999999999994</v>
      </c>
      <c r="V1260" s="4">
        <v>0.71463723198628926</v>
      </c>
      <c r="W1260" s="4">
        <v>61.767365593905197</v>
      </c>
      <c r="X1260" s="4">
        <v>3.1326344060948088</v>
      </c>
    </row>
    <row r="1261" spans="11:24" x14ac:dyDescent="0.25">
      <c r="K1261" s="3"/>
      <c r="L1261" s="8">
        <v>36.299999999999997</v>
      </c>
      <c r="M1261" s="4"/>
      <c r="N1261" s="4"/>
      <c r="O1261" s="4"/>
      <c r="P1261" s="4"/>
      <c r="S1261" s="3">
        <v>1259</v>
      </c>
      <c r="T1261" s="8">
        <v>0.76318981200727709</v>
      </c>
      <c r="U1261" s="4">
        <v>75.2</v>
      </c>
      <c r="V1261" s="4">
        <v>0.71660092108895157</v>
      </c>
      <c r="W1261" s="4">
        <v>61.718048234609597</v>
      </c>
      <c r="X1261" s="4">
        <v>2.8819517653903972</v>
      </c>
    </row>
    <row r="1262" spans="11:24" x14ac:dyDescent="0.25">
      <c r="K1262" s="3"/>
      <c r="L1262" s="8">
        <v>36.299999999999997</v>
      </c>
      <c r="M1262" s="4"/>
      <c r="N1262" s="4"/>
      <c r="O1262" s="4"/>
      <c r="P1262" s="4"/>
      <c r="S1262" s="3">
        <v>1260</v>
      </c>
      <c r="T1262" s="8">
        <v>0.7637962401455427</v>
      </c>
      <c r="U1262" s="4">
        <v>75.2</v>
      </c>
      <c r="V1262" s="4">
        <v>0.71856737735546383</v>
      </c>
      <c r="W1262" s="4">
        <v>62.161904468269938</v>
      </c>
      <c r="X1262" s="4">
        <v>2.638095531730059</v>
      </c>
    </row>
    <row r="1263" spans="11:24" x14ac:dyDescent="0.25">
      <c r="K1263" s="3"/>
      <c r="L1263" s="8">
        <v>36.299999999999997</v>
      </c>
      <c r="M1263" s="4"/>
      <c r="N1263" s="4"/>
      <c r="O1263" s="4"/>
      <c r="P1263" s="4"/>
      <c r="S1263" s="3">
        <v>1261</v>
      </c>
      <c r="T1263" s="8">
        <v>0.76440266828380832</v>
      </c>
      <c r="U1263" s="4">
        <v>75.2</v>
      </c>
      <c r="V1263" s="4">
        <v>0.72053661622133169</v>
      </c>
      <c r="W1263" s="4">
        <v>75.724178274557943</v>
      </c>
      <c r="X1263" s="4">
        <v>-10.624178274557948</v>
      </c>
    </row>
    <row r="1264" spans="11:24" x14ac:dyDescent="0.25">
      <c r="K1264" s="3"/>
      <c r="L1264" s="8">
        <v>36.299999999999997</v>
      </c>
      <c r="M1264" s="4"/>
      <c r="N1264" s="4"/>
      <c r="O1264" s="4"/>
      <c r="P1264" s="4"/>
      <c r="S1264" s="3">
        <v>1262</v>
      </c>
      <c r="T1264" s="8">
        <v>0.76500909642207393</v>
      </c>
      <c r="U1264" s="4">
        <v>75.2</v>
      </c>
      <c r="V1264" s="4">
        <v>0.72250865323087365</v>
      </c>
      <c r="W1264" s="4">
        <v>76.463938663991826</v>
      </c>
      <c r="X1264" s="4">
        <v>-10.763938663991823</v>
      </c>
    </row>
    <row r="1265" spans="11:24" x14ac:dyDescent="0.25">
      <c r="K1265" s="3"/>
      <c r="L1265" s="8">
        <v>36.299999999999997</v>
      </c>
      <c r="M1265" s="4"/>
      <c r="N1265" s="4"/>
      <c r="O1265" s="4"/>
      <c r="P1265" s="4"/>
      <c r="S1265" s="3">
        <v>1263</v>
      </c>
      <c r="T1265" s="8">
        <v>0.76561552456033954</v>
      </c>
      <c r="U1265" s="4">
        <v>75.2</v>
      </c>
      <c r="V1265" s="4">
        <v>0.72448350403832262</v>
      </c>
      <c r="W1265" s="4">
        <v>66.107293211917352</v>
      </c>
      <c r="X1265" s="4">
        <v>-0.90729321191734869</v>
      </c>
    </row>
    <row r="1266" spans="11:24" x14ac:dyDescent="0.25">
      <c r="K1266" s="3"/>
      <c r="L1266" s="8">
        <v>36.299999999999997</v>
      </c>
      <c r="M1266" s="4"/>
      <c r="N1266" s="4"/>
      <c r="O1266" s="4"/>
      <c r="P1266" s="4"/>
      <c r="S1266" s="3">
        <v>1264</v>
      </c>
      <c r="T1266" s="8">
        <v>0.76622195269860527</v>
      </c>
      <c r="U1266" s="4">
        <v>75.2</v>
      </c>
      <c r="V1266" s="4">
        <v>0.72646118440894536</v>
      </c>
      <c r="W1266" s="4">
        <v>65.811389056143796</v>
      </c>
      <c r="X1266" s="4">
        <v>-1.2113890561438012</v>
      </c>
    </row>
    <row r="1267" spans="11:24" x14ac:dyDescent="0.25">
      <c r="K1267" s="3"/>
      <c r="L1267" s="8">
        <v>36.299999999999997</v>
      </c>
      <c r="M1267" s="4"/>
      <c r="N1267" s="4"/>
      <c r="O1267" s="4"/>
      <c r="P1267" s="4"/>
      <c r="S1267" s="3">
        <v>1265</v>
      </c>
      <c r="T1267" s="8">
        <v>0.76682838083687088</v>
      </c>
      <c r="U1267" s="4">
        <v>75.3</v>
      </c>
      <c r="V1267" s="4">
        <v>0.72844171022016924</v>
      </c>
      <c r="W1267" s="4">
        <v>65.416850181779054</v>
      </c>
      <c r="X1267" s="4">
        <v>-1.616850181779057</v>
      </c>
    </row>
    <row r="1268" spans="11:24" x14ac:dyDescent="0.25">
      <c r="K1268" s="3"/>
      <c r="L1268" s="8">
        <v>36.299999999999997</v>
      </c>
      <c r="M1268" s="4"/>
      <c r="N1268" s="4"/>
      <c r="O1268" s="4"/>
      <c r="P1268" s="4"/>
      <c r="S1268" s="3">
        <v>1266</v>
      </c>
      <c r="T1268" s="8">
        <v>0.7674348089751365</v>
      </c>
      <c r="U1268" s="4">
        <v>75.3</v>
      </c>
      <c r="V1268" s="4">
        <v>0.73042509746273332</v>
      </c>
      <c r="W1268" s="4">
        <v>76.315986586105055</v>
      </c>
      <c r="X1268" s="4">
        <v>-13.515986586105058</v>
      </c>
    </row>
    <row r="1269" spans="11:24" x14ac:dyDescent="0.25">
      <c r="K1269" s="3"/>
      <c r="L1269" s="8">
        <v>36.299999999999997</v>
      </c>
      <c r="M1269" s="4"/>
      <c r="N1269" s="4"/>
      <c r="O1269" s="4"/>
      <c r="P1269" s="4"/>
      <c r="S1269" s="3">
        <v>1267</v>
      </c>
      <c r="T1269" s="8">
        <v>0.76804123711340211</v>
      </c>
      <c r="U1269" s="4">
        <v>75.3</v>
      </c>
      <c r="V1269" s="4">
        <v>0.73241136224184333</v>
      </c>
      <c r="W1269" s="4">
        <v>63.394838450659755</v>
      </c>
      <c r="X1269" s="4">
        <v>-2.3948384506597549</v>
      </c>
    </row>
    <row r="1270" spans="11:24" x14ac:dyDescent="0.25">
      <c r="K1270" s="3"/>
      <c r="L1270" s="8">
        <v>89</v>
      </c>
      <c r="M1270" s="4"/>
      <c r="N1270" s="4"/>
      <c r="O1270" s="4"/>
      <c r="P1270" s="4"/>
      <c r="S1270" s="3">
        <v>1268</v>
      </c>
      <c r="T1270" s="8">
        <v>0.76864766525166772</v>
      </c>
      <c r="U1270" s="4">
        <v>75.3</v>
      </c>
      <c r="V1270" s="4">
        <v>0.73440052077834928</v>
      </c>
      <c r="W1270" s="4">
        <v>63.690742606433311</v>
      </c>
      <c r="X1270" s="4">
        <v>4.3092573935666891</v>
      </c>
    </row>
    <row r="1271" spans="11:24" x14ac:dyDescent="0.25">
      <c r="K1271" s="3"/>
      <c r="L1271" s="8">
        <v>89</v>
      </c>
      <c r="M1271" s="4"/>
      <c r="N1271" s="4"/>
      <c r="O1271" s="4"/>
      <c r="P1271" s="4"/>
      <c r="S1271" s="3">
        <v>1269</v>
      </c>
      <c r="T1271" s="8">
        <v>0.76925409338993334</v>
      </c>
      <c r="U1271" s="4">
        <v>75.3</v>
      </c>
      <c r="V1271" s="4">
        <v>0.73639258940993368</v>
      </c>
      <c r="W1271" s="4">
        <v>63.049616935590606</v>
      </c>
      <c r="X1271" s="4">
        <v>-3.4496169355906048</v>
      </c>
    </row>
    <row r="1272" spans="11:24" x14ac:dyDescent="0.25">
      <c r="K1272" s="3"/>
      <c r="L1272" s="8">
        <v>89</v>
      </c>
      <c r="M1272" s="4"/>
      <c r="N1272" s="4"/>
      <c r="O1272" s="4"/>
      <c r="P1272" s="4"/>
      <c r="S1272" s="3">
        <v>1270</v>
      </c>
      <c r="T1272" s="8">
        <v>0.76986052152819895</v>
      </c>
      <c r="U1272" s="4">
        <v>75.3</v>
      </c>
      <c r="V1272" s="4">
        <v>0.7383875845923169</v>
      </c>
      <c r="W1272" s="4">
        <v>61.422144078836041</v>
      </c>
      <c r="X1272" s="4">
        <v>-3.8221440788360397</v>
      </c>
    </row>
    <row r="1273" spans="11:24" x14ac:dyDescent="0.25">
      <c r="K1273" s="3"/>
      <c r="L1273" s="8">
        <v>89</v>
      </c>
      <c r="M1273" s="4"/>
      <c r="N1273" s="4"/>
      <c r="O1273" s="4"/>
      <c r="P1273" s="4"/>
      <c r="S1273" s="3">
        <v>1271</v>
      </c>
      <c r="T1273" s="8">
        <v>0.77046694966646456</v>
      </c>
      <c r="U1273" s="4">
        <v>75.3</v>
      </c>
      <c r="V1273" s="4">
        <v>0.74038552290047788</v>
      </c>
      <c r="W1273" s="4">
        <v>75.773495633853528</v>
      </c>
      <c r="X1273" s="4">
        <v>-20.473495633853531</v>
      </c>
    </row>
    <row r="1274" spans="11:24" x14ac:dyDescent="0.25">
      <c r="K1274" s="3"/>
      <c r="L1274" s="8">
        <v>89</v>
      </c>
      <c r="M1274" s="4"/>
      <c r="N1274" s="4"/>
      <c r="O1274" s="4"/>
      <c r="P1274" s="4"/>
      <c r="S1274" s="3">
        <v>1272</v>
      </c>
      <c r="T1274" s="8">
        <v>0.77107337780473018</v>
      </c>
      <c r="U1274" s="4">
        <v>75.3</v>
      </c>
      <c r="V1274" s="4">
        <v>0.74238642102988839</v>
      </c>
      <c r="W1274" s="4">
        <v>58.01924628744014</v>
      </c>
      <c r="X1274" s="4">
        <v>-4.6192462874401414</v>
      </c>
    </row>
    <row r="1275" spans="11:24" x14ac:dyDescent="0.25">
      <c r="K1275" s="3"/>
      <c r="L1275" s="8">
        <v>89</v>
      </c>
      <c r="M1275" s="4"/>
      <c r="N1275" s="4"/>
      <c r="O1275" s="4"/>
      <c r="P1275" s="4"/>
      <c r="S1275" s="3">
        <v>1273</v>
      </c>
      <c r="T1275" s="8">
        <v>0.77167980594299579</v>
      </c>
      <c r="U1275" s="4">
        <v>75.3</v>
      </c>
      <c r="V1275" s="4">
        <v>0.74439029579776672</v>
      </c>
      <c r="W1275" s="4">
        <v>75.231004681602016</v>
      </c>
      <c r="X1275" s="4">
        <v>-23.231004681602016</v>
      </c>
    </row>
    <row r="1276" spans="11:24" x14ac:dyDescent="0.25">
      <c r="K1276" s="3"/>
      <c r="L1276" s="8">
        <v>89</v>
      </c>
      <c r="M1276" s="4"/>
      <c r="N1276" s="4"/>
      <c r="O1276" s="4"/>
      <c r="P1276" s="4"/>
      <c r="S1276" s="3">
        <v>1274</v>
      </c>
      <c r="T1276" s="8">
        <v>0.7722862340812614</v>
      </c>
      <c r="U1276" s="4">
        <v>75.3</v>
      </c>
      <c r="V1276" s="4">
        <v>0.74639716414434476</v>
      </c>
      <c r="W1276" s="4">
        <v>57.131533820119472</v>
      </c>
      <c r="X1276" s="4">
        <v>-0.13153382011947201</v>
      </c>
    </row>
    <row r="1277" spans="11:24" x14ac:dyDescent="0.25">
      <c r="K1277" s="3"/>
      <c r="L1277" s="8">
        <v>89</v>
      </c>
      <c r="M1277" s="4"/>
      <c r="N1277" s="4"/>
      <c r="O1277" s="4"/>
      <c r="P1277" s="4"/>
      <c r="S1277" s="3">
        <v>1275</v>
      </c>
      <c r="T1277" s="8">
        <v>0.77289266221952702</v>
      </c>
      <c r="U1277" s="4">
        <v>75.400000000000006</v>
      </c>
      <c r="V1277" s="4">
        <v>0.74840704313415274</v>
      </c>
      <c r="W1277" s="4">
        <v>71.285615937954589</v>
      </c>
      <c r="X1277" s="4">
        <v>2.5143840620454085</v>
      </c>
    </row>
    <row r="1278" spans="11:24" x14ac:dyDescent="0.25">
      <c r="K1278" s="3"/>
      <c r="L1278" s="8">
        <v>89</v>
      </c>
      <c r="M1278" s="4"/>
      <c r="N1278" s="4"/>
      <c r="O1278" s="4"/>
      <c r="P1278" s="4"/>
      <c r="S1278" s="3">
        <v>1276</v>
      </c>
      <c r="T1278" s="8">
        <v>0.77349909035779263</v>
      </c>
      <c r="U1278" s="4">
        <v>75.400000000000006</v>
      </c>
      <c r="V1278" s="4">
        <v>0.75041994995731953</v>
      </c>
      <c r="W1278" s="4">
        <v>71.137663860067818</v>
      </c>
      <c r="X1278" s="4">
        <v>2.4623361399321766</v>
      </c>
    </row>
    <row r="1279" spans="11:24" x14ac:dyDescent="0.25">
      <c r="K1279" s="3"/>
      <c r="L1279" s="8">
        <v>89</v>
      </c>
      <c r="M1279" s="4"/>
      <c r="N1279" s="4"/>
      <c r="O1279" s="4"/>
      <c r="P1279" s="4"/>
      <c r="S1279" s="3">
        <v>1277</v>
      </c>
      <c r="T1279" s="8">
        <v>0.77410551849605824</v>
      </c>
      <c r="U1279" s="4">
        <v>75.400000000000006</v>
      </c>
      <c r="V1279" s="4">
        <v>0.75243590193089294</v>
      </c>
      <c r="W1279" s="4">
        <v>70.891077063589847</v>
      </c>
      <c r="X1279" s="4">
        <v>2.3089229364101556</v>
      </c>
    </row>
    <row r="1280" spans="11:24" x14ac:dyDescent="0.25">
      <c r="K1280" s="3"/>
      <c r="L1280" s="8">
        <v>89</v>
      </c>
      <c r="M1280" s="4"/>
      <c r="N1280" s="4"/>
      <c r="O1280" s="4"/>
      <c r="P1280" s="4"/>
      <c r="S1280" s="3">
        <v>1278</v>
      </c>
      <c r="T1280" s="8">
        <v>0.77471194663432386</v>
      </c>
      <c r="U1280" s="4">
        <v>75.400000000000006</v>
      </c>
      <c r="V1280" s="4">
        <v>0.75445491650017127</v>
      </c>
      <c r="W1280" s="4">
        <v>70.743124985703076</v>
      </c>
      <c r="X1280" s="4">
        <v>2.2568750142969236</v>
      </c>
    </row>
    <row r="1281" spans="11:24" x14ac:dyDescent="0.25">
      <c r="K1281" s="3"/>
      <c r="L1281" s="8">
        <v>89</v>
      </c>
      <c r="M1281" s="4"/>
      <c r="N1281" s="4"/>
      <c r="O1281" s="4"/>
      <c r="P1281" s="4"/>
      <c r="S1281" s="3">
        <v>1279</v>
      </c>
      <c r="T1281" s="8">
        <v>0.77531837477258947</v>
      </c>
      <c r="U1281" s="4">
        <v>75.400000000000006</v>
      </c>
      <c r="V1281" s="4">
        <v>0.75647701124006006</v>
      </c>
      <c r="W1281" s="4">
        <v>70.496538189225106</v>
      </c>
      <c r="X1281" s="4">
        <v>2.1034618107748884</v>
      </c>
    </row>
    <row r="1282" spans="11:24" x14ac:dyDescent="0.25">
      <c r="K1282" s="3"/>
      <c r="L1282" s="8">
        <v>89</v>
      </c>
      <c r="M1282" s="4"/>
      <c r="N1282" s="4"/>
      <c r="O1282" s="4"/>
      <c r="P1282" s="4"/>
      <c r="S1282" s="3">
        <v>1280</v>
      </c>
      <c r="T1282" s="8">
        <v>0.77592480291085508</v>
      </c>
      <c r="U1282" s="4">
        <v>75.400000000000006</v>
      </c>
      <c r="V1282" s="4">
        <v>0.75850220385643974</v>
      </c>
      <c r="W1282" s="4">
        <v>69.115652128948511</v>
      </c>
      <c r="X1282" s="4">
        <v>6.8843478710514887</v>
      </c>
    </row>
    <row r="1283" spans="11:24" x14ac:dyDescent="0.25">
      <c r="K1283" s="3"/>
      <c r="L1283" s="8">
        <v>89</v>
      </c>
      <c r="M1283" s="4"/>
      <c r="N1283" s="4"/>
      <c r="O1283" s="4"/>
      <c r="P1283" s="4"/>
      <c r="S1283" s="3">
        <v>1281</v>
      </c>
      <c r="T1283" s="8">
        <v>0.7765312310491207</v>
      </c>
      <c r="U1283" s="4">
        <v>75.400000000000006</v>
      </c>
      <c r="V1283" s="4">
        <v>0.7605305121875553</v>
      </c>
      <c r="W1283" s="4">
        <v>70.397903470633921</v>
      </c>
      <c r="X1283" s="4">
        <v>2.1020965293660794</v>
      </c>
    </row>
    <row r="1284" spans="11:24" x14ac:dyDescent="0.25">
      <c r="K1284" s="3"/>
      <c r="L1284" s="8">
        <v>89</v>
      </c>
      <c r="M1284" s="4"/>
      <c r="N1284" s="4"/>
      <c r="O1284" s="4"/>
      <c r="P1284" s="4"/>
      <c r="S1284" s="3">
        <v>1282</v>
      </c>
      <c r="T1284" s="8">
        <v>0.77713765918738631</v>
      </c>
      <c r="U1284" s="4">
        <v>75.400000000000006</v>
      </c>
      <c r="V1284" s="4">
        <v>0.76256195420542305</v>
      </c>
      <c r="W1284" s="4">
        <v>70.24995139274715</v>
      </c>
      <c r="X1284" s="4">
        <v>1.9500486072528531</v>
      </c>
    </row>
    <row r="1285" spans="11:24" x14ac:dyDescent="0.25">
      <c r="K1285" s="3"/>
      <c r="L1285" s="8">
        <v>36.299999999999997</v>
      </c>
      <c r="M1285" s="4"/>
      <c r="N1285" s="4"/>
      <c r="O1285" s="4"/>
      <c r="P1285" s="4"/>
      <c r="S1285" s="3">
        <v>1283</v>
      </c>
      <c r="T1285" s="8">
        <v>0.77774408732565192</v>
      </c>
      <c r="U1285" s="4">
        <v>75.400000000000006</v>
      </c>
      <c r="V1285" s="4">
        <v>0.76459654801725674</v>
      </c>
      <c r="W1285" s="4">
        <v>70.052681955564779</v>
      </c>
      <c r="X1285" s="4">
        <v>1.9473180444352209</v>
      </c>
    </row>
    <row r="1286" spans="11:24" x14ac:dyDescent="0.25">
      <c r="K1286" s="3"/>
      <c r="L1286" s="8">
        <v>89</v>
      </c>
      <c r="M1286" s="4"/>
      <c r="N1286" s="4"/>
      <c r="O1286" s="4"/>
      <c r="P1286" s="4"/>
      <c r="S1286" s="3">
        <v>1284</v>
      </c>
      <c r="T1286" s="8">
        <v>0.77835051546391754</v>
      </c>
      <c r="U1286" s="4">
        <v>75.400000000000006</v>
      </c>
      <c r="V1286" s="4">
        <v>0.76663431186691</v>
      </c>
      <c r="W1286" s="4">
        <v>76.809160179060981</v>
      </c>
      <c r="X1286" s="4">
        <v>-5.2091601790609872</v>
      </c>
    </row>
    <row r="1287" spans="11:24" x14ac:dyDescent="0.25">
      <c r="K1287" s="3"/>
      <c r="L1287" s="8">
        <v>89</v>
      </c>
      <c r="M1287" s="4"/>
      <c r="N1287" s="4"/>
      <c r="O1287" s="4"/>
      <c r="P1287" s="4"/>
      <c r="S1287" s="3">
        <v>1285</v>
      </c>
      <c r="T1287" s="8">
        <v>0.77895694360218315</v>
      </c>
      <c r="U1287" s="4">
        <v>75.400000000000006</v>
      </c>
      <c r="V1287" s="4">
        <v>0.76867526413634302</v>
      </c>
      <c r="W1287" s="4">
        <v>69.608825721904438</v>
      </c>
      <c r="X1287" s="4">
        <v>1.7911742780955677</v>
      </c>
    </row>
    <row r="1288" spans="11:24" x14ac:dyDescent="0.25">
      <c r="K1288" s="3"/>
      <c r="L1288" s="8">
        <v>89</v>
      </c>
      <c r="M1288" s="4"/>
      <c r="N1288" s="4"/>
      <c r="O1288" s="4"/>
      <c r="P1288" s="4"/>
      <c r="S1288" s="3">
        <v>1286</v>
      </c>
      <c r="T1288" s="8">
        <v>0.77956337174044876</v>
      </c>
      <c r="U1288" s="4">
        <v>75.400000000000006</v>
      </c>
      <c r="V1288" s="4">
        <v>0.77071942334710253</v>
      </c>
      <c r="W1288" s="4">
        <v>69.263604206835296</v>
      </c>
      <c r="X1288" s="4">
        <v>9.7363957931647036</v>
      </c>
    </row>
    <row r="1289" spans="11:24" x14ac:dyDescent="0.25">
      <c r="K1289" s="3"/>
      <c r="L1289" s="8">
        <v>89</v>
      </c>
      <c r="M1289" s="4"/>
      <c r="N1289" s="4"/>
      <c r="O1289" s="4"/>
      <c r="P1289" s="4"/>
      <c r="S1289" s="3">
        <v>1287</v>
      </c>
      <c r="T1289" s="8">
        <v>0.78016979987871438</v>
      </c>
      <c r="U1289" s="4">
        <v>75.5</v>
      </c>
      <c r="V1289" s="4">
        <v>0.77276680816182786</v>
      </c>
      <c r="W1289" s="4">
        <v>69.017017410357326</v>
      </c>
      <c r="X1289" s="4">
        <v>6.982982589642674</v>
      </c>
    </row>
    <row r="1290" spans="11:24" x14ac:dyDescent="0.25">
      <c r="K1290" s="3"/>
      <c r="L1290" s="8">
        <v>89</v>
      </c>
      <c r="M1290" s="4"/>
      <c r="N1290" s="4"/>
      <c r="O1290" s="4"/>
      <c r="P1290" s="4"/>
      <c r="S1290" s="3">
        <v>1288</v>
      </c>
      <c r="T1290" s="8">
        <v>0.78077622801697999</v>
      </c>
      <c r="U1290" s="4">
        <v>75.5</v>
      </c>
      <c r="V1290" s="4">
        <v>0.77481743738577169</v>
      </c>
      <c r="W1290" s="4">
        <v>68.96770005106174</v>
      </c>
      <c r="X1290" s="4">
        <v>6.0322999489382596</v>
      </c>
    </row>
    <row r="1291" spans="11:24" x14ac:dyDescent="0.25">
      <c r="K1291" s="3"/>
      <c r="L1291" s="8">
        <v>89</v>
      </c>
      <c r="M1291" s="4"/>
      <c r="N1291" s="4"/>
      <c r="O1291" s="4"/>
      <c r="P1291" s="4"/>
      <c r="S1291" s="3">
        <v>1289</v>
      </c>
      <c r="T1291" s="8">
        <v>0.7813826561552456</v>
      </c>
      <c r="U1291" s="4">
        <v>75.5</v>
      </c>
      <c r="V1291" s="4">
        <v>0.7768713299683454</v>
      </c>
      <c r="W1291" s="4">
        <v>76.710525460469796</v>
      </c>
      <c r="X1291" s="4">
        <v>-4.7105254604697961</v>
      </c>
    </row>
    <row r="1292" spans="11:24" x14ac:dyDescent="0.25">
      <c r="K1292" s="3"/>
      <c r="L1292" s="8">
        <v>89</v>
      </c>
      <c r="M1292" s="4"/>
      <c r="N1292" s="4"/>
      <c r="O1292" s="4"/>
      <c r="P1292" s="4"/>
      <c r="S1292" s="3">
        <v>1290</v>
      </c>
      <c r="T1292" s="8">
        <v>0.78198908429351122</v>
      </c>
      <c r="U1292" s="4">
        <v>75.5</v>
      </c>
      <c r="V1292" s="4">
        <v>0.77892850500468358</v>
      </c>
      <c r="W1292" s="4">
        <v>68.178622302332258</v>
      </c>
      <c r="X1292" s="4">
        <v>-0.87862230233226057</v>
      </c>
    </row>
    <row r="1293" spans="11:24" x14ac:dyDescent="0.25">
      <c r="K1293" s="3"/>
      <c r="L1293" s="8">
        <v>89</v>
      </c>
      <c r="M1293" s="4"/>
      <c r="N1293" s="4"/>
      <c r="O1293" s="4"/>
      <c r="P1293" s="4"/>
      <c r="S1293" s="3">
        <v>1291</v>
      </c>
      <c r="T1293" s="8">
        <v>0.78259551243177683</v>
      </c>
      <c r="U1293" s="4">
        <v>75.5</v>
      </c>
      <c r="V1293" s="4">
        <v>0.78098898173722786</v>
      </c>
      <c r="W1293" s="4">
        <v>68.129304943036658</v>
      </c>
      <c r="X1293" s="4">
        <v>-1.0293049430366636</v>
      </c>
    </row>
    <row r="1294" spans="11:24" x14ac:dyDescent="0.25">
      <c r="K1294" s="3"/>
      <c r="L1294" s="8">
        <v>89</v>
      </c>
      <c r="M1294" s="4"/>
      <c r="N1294" s="4"/>
      <c r="O1294" s="4"/>
      <c r="P1294" s="4"/>
      <c r="S1294" s="3">
        <v>1292</v>
      </c>
      <c r="T1294" s="8">
        <v>0.78320194057004244</v>
      </c>
      <c r="U1294" s="4">
        <v>75.5</v>
      </c>
      <c r="V1294" s="4">
        <v>0.78305277955733732</v>
      </c>
      <c r="W1294" s="4">
        <v>68.030670224445473</v>
      </c>
      <c r="X1294" s="4">
        <v>-1.1306702244454669</v>
      </c>
    </row>
    <row r="1295" spans="11:24" x14ac:dyDescent="0.25">
      <c r="K1295" s="3"/>
      <c r="L1295" s="8">
        <v>89</v>
      </c>
      <c r="M1295" s="4"/>
      <c r="N1295" s="4"/>
      <c r="O1295" s="4"/>
      <c r="P1295" s="4"/>
      <c r="S1295" s="3">
        <v>1293</v>
      </c>
      <c r="T1295" s="8">
        <v>0.78380836870830806</v>
      </c>
      <c r="U1295" s="4">
        <v>75.5</v>
      </c>
      <c r="V1295" s="4">
        <v>0.78511991800691594</v>
      </c>
      <c r="W1295" s="4">
        <v>67.833400787263102</v>
      </c>
      <c r="X1295" s="4">
        <v>-1.2334007872631076</v>
      </c>
    </row>
    <row r="1296" spans="11:24" x14ac:dyDescent="0.25">
      <c r="K1296" s="3"/>
      <c r="L1296" s="8">
        <v>89</v>
      </c>
      <c r="M1296" s="4"/>
      <c r="N1296" s="4"/>
      <c r="O1296" s="4"/>
      <c r="P1296" s="4"/>
      <c r="S1296" s="3">
        <v>1294</v>
      </c>
      <c r="T1296" s="8">
        <v>0.78441479684657367</v>
      </c>
      <c r="U1296" s="4">
        <v>75.599999999999994</v>
      </c>
      <c r="V1296" s="4">
        <v>0.7871904167800633</v>
      </c>
      <c r="W1296" s="4">
        <v>76.41462130469624</v>
      </c>
      <c r="X1296" s="4">
        <v>-10.214621304696237</v>
      </c>
    </row>
    <row r="1297" spans="11:24" x14ac:dyDescent="0.25">
      <c r="K1297" s="3"/>
      <c r="L1297" s="8">
        <v>89</v>
      </c>
      <c r="M1297" s="4"/>
      <c r="N1297" s="4"/>
      <c r="O1297" s="4"/>
      <c r="P1297" s="4"/>
      <c r="S1297" s="3">
        <v>1295</v>
      </c>
      <c r="T1297" s="8">
        <v>0.78502122498483928</v>
      </c>
      <c r="U1297" s="4">
        <v>75.599999999999994</v>
      </c>
      <c r="V1297" s="4">
        <v>0.78926429572475043</v>
      </c>
      <c r="W1297" s="4">
        <v>76.562573382583011</v>
      </c>
      <c r="X1297" s="4">
        <v>-10.762573382583014</v>
      </c>
    </row>
    <row r="1298" spans="11:24" x14ac:dyDescent="0.25">
      <c r="K1298" s="3"/>
      <c r="L1298" s="8">
        <v>89</v>
      </c>
      <c r="M1298" s="4"/>
      <c r="N1298" s="4"/>
      <c r="O1298" s="4"/>
      <c r="P1298" s="4"/>
      <c r="S1298" s="3">
        <v>1296</v>
      </c>
      <c r="T1298" s="8">
        <v>0.7856276531231049</v>
      </c>
      <c r="U1298" s="4">
        <v>75.599999999999994</v>
      </c>
      <c r="V1298" s="4">
        <v>0.79134157484451606</v>
      </c>
      <c r="W1298" s="4">
        <v>66.99500567923802</v>
      </c>
      <c r="X1298" s="4">
        <v>-1.5950056792380138</v>
      </c>
    </row>
    <row r="1299" spans="11:24" x14ac:dyDescent="0.25">
      <c r="K1299" s="3"/>
      <c r="L1299" s="8">
        <v>89</v>
      </c>
      <c r="M1299" s="4"/>
      <c r="N1299" s="4"/>
      <c r="O1299" s="4"/>
      <c r="P1299" s="4"/>
      <c r="S1299" s="3">
        <v>1297</v>
      </c>
      <c r="T1299" s="8">
        <v>0.78623408126137051</v>
      </c>
      <c r="U1299" s="4">
        <v>75.599999999999994</v>
      </c>
      <c r="V1299" s="4">
        <v>0.79342227430018664</v>
      </c>
      <c r="W1299" s="4">
        <v>66.896370960646834</v>
      </c>
      <c r="X1299" s="4">
        <v>-1.7963709606468399</v>
      </c>
    </row>
    <row r="1300" spans="11:24" x14ac:dyDescent="0.25">
      <c r="K1300" s="3"/>
      <c r="L1300" s="8">
        <v>89</v>
      </c>
      <c r="M1300" s="4"/>
      <c r="N1300" s="4"/>
      <c r="O1300" s="4"/>
      <c r="P1300" s="4"/>
      <c r="S1300" s="3">
        <v>1298</v>
      </c>
      <c r="T1300" s="8">
        <v>0.78684050939963612</v>
      </c>
      <c r="U1300" s="4">
        <v>75.599999999999994</v>
      </c>
      <c r="V1300" s="4">
        <v>0.79550641441162162</v>
      </c>
      <c r="W1300" s="4">
        <v>76.513256023287425</v>
      </c>
      <c r="X1300" s="4">
        <v>-11.813256023287423</v>
      </c>
    </row>
    <row r="1301" spans="11:24" x14ac:dyDescent="0.25">
      <c r="K1301" s="3"/>
      <c r="L1301" s="8">
        <v>36.299999999999997</v>
      </c>
      <c r="M1301" s="4"/>
      <c r="N1301" s="4"/>
      <c r="O1301" s="4"/>
      <c r="P1301" s="4"/>
      <c r="S1301" s="3">
        <v>1299</v>
      </c>
      <c r="T1301" s="8">
        <v>0.78744693753790174</v>
      </c>
      <c r="U1301" s="4">
        <v>75.599999999999994</v>
      </c>
      <c r="V1301" s="4">
        <v>0.7975940156594804</v>
      </c>
      <c r="W1301" s="4">
        <v>66.649784164168878</v>
      </c>
      <c r="X1301" s="4">
        <v>-2.3497841641688808</v>
      </c>
    </row>
    <row r="1302" spans="11:24" x14ac:dyDescent="0.25">
      <c r="K1302" s="3"/>
      <c r="L1302" s="8">
        <v>89</v>
      </c>
      <c r="M1302" s="4"/>
      <c r="N1302" s="4"/>
      <c r="O1302" s="4"/>
      <c r="P1302" s="4"/>
      <c r="S1302" s="3">
        <v>1300</v>
      </c>
      <c r="T1302" s="8">
        <v>0.78805336567616735</v>
      </c>
      <c r="U1302" s="4">
        <v>75.599999999999994</v>
      </c>
      <c r="V1302" s="4">
        <v>0.79968509868701754</v>
      </c>
      <c r="W1302" s="4">
        <v>66.551149445577693</v>
      </c>
      <c r="X1302" s="4">
        <v>-2.7511494455776955</v>
      </c>
    </row>
    <row r="1303" spans="11:24" x14ac:dyDescent="0.25">
      <c r="K1303" s="3"/>
      <c r="L1303" s="8">
        <v>89</v>
      </c>
      <c r="M1303" s="4"/>
      <c r="N1303" s="4"/>
      <c r="O1303" s="4"/>
      <c r="P1303" s="4"/>
      <c r="S1303" s="3">
        <v>1301</v>
      </c>
      <c r="T1303" s="8">
        <v>0.78865979381443296</v>
      </c>
      <c r="U1303" s="4">
        <v>75.7</v>
      </c>
      <c r="V1303" s="4">
        <v>0.80177968430189805</v>
      </c>
      <c r="W1303" s="4">
        <v>66.501832086282093</v>
      </c>
      <c r="X1303" s="4">
        <v>-3.1018320862820943</v>
      </c>
    </row>
    <row r="1304" spans="11:24" x14ac:dyDescent="0.25">
      <c r="K1304" s="3"/>
      <c r="L1304" s="8">
        <v>89</v>
      </c>
      <c r="M1304" s="4"/>
      <c r="N1304" s="4"/>
      <c r="O1304" s="4"/>
      <c r="P1304" s="4"/>
      <c r="S1304" s="3">
        <v>1302</v>
      </c>
      <c r="T1304" s="8">
        <v>0.78926622195269858</v>
      </c>
      <c r="U1304" s="4">
        <v>75.7</v>
      </c>
      <c r="V1304" s="4">
        <v>0.80387779347804178</v>
      </c>
      <c r="W1304" s="4">
        <v>68.129304943036658</v>
      </c>
      <c r="X1304" s="4">
        <v>-1.7293049430366523</v>
      </c>
    </row>
    <row r="1305" spans="11:24" x14ac:dyDescent="0.25">
      <c r="K1305" s="3"/>
      <c r="L1305" s="8">
        <v>89</v>
      </c>
      <c r="M1305" s="4"/>
      <c r="N1305" s="4"/>
      <c r="O1305" s="4"/>
      <c r="P1305" s="4"/>
      <c r="S1305" s="3">
        <v>1303</v>
      </c>
      <c r="T1305" s="8">
        <v>0.78987265009096419</v>
      </c>
      <c r="U1305" s="4">
        <v>75.7</v>
      </c>
      <c r="V1305" s="4">
        <v>0.8059794473574946</v>
      </c>
      <c r="W1305" s="4">
        <v>67.932035505854287</v>
      </c>
      <c r="X1305" s="4">
        <v>-1.9320355058542873</v>
      </c>
    </row>
    <row r="1306" spans="11:24" x14ac:dyDescent="0.25">
      <c r="K1306" s="3"/>
      <c r="L1306" s="8">
        <v>89</v>
      </c>
      <c r="M1306" s="4"/>
      <c r="N1306" s="4"/>
      <c r="O1306" s="4"/>
      <c r="P1306" s="4"/>
      <c r="S1306" s="3">
        <v>1304</v>
      </c>
      <c r="T1306" s="8">
        <v>0.7904790782292298</v>
      </c>
      <c r="U1306" s="4">
        <v>75.7</v>
      </c>
      <c r="V1306" s="4">
        <v>0.8080846672523202</v>
      </c>
      <c r="W1306" s="4">
        <v>77.499603209199279</v>
      </c>
      <c r="X1306" s="4">
        <v>-11.899603209199284</v>
      </c>
    </row>
    <row r="1307" spans="11:24" x14ac:dyDescent="0.25">
      <c r="K1307" s="3"/>
      <c r="L1307" s="8">
        <v>89</v>
      </c>
      <c r="M1307" s="4"/>
      <c r="N1307" s="4"/>
      <c r="O1307" s="4"/>
      <c r="P1307" s="4"/>
      <c r="S1307" s="3">
        <v>1305</v>
      </c>
      <c r="T1307" s="8">
        <v>0.79108550636749542</v>
      </c>
      <c r="U1307" s="4">
        <v>75.7</v>
      </c>
      <c r="V1307" s="4">
        <v>0.81019347464652547</v>
      </c>
      <c r="W1307" s="4">
        <v>76.315986586105055</v>
      </c>
      <c r="X1307" s="4">
        <v>-11.415986586105049</v>
      </c>
    </row>
    <row r="1308" spans="11:24" x14ac:dyDescent="0.25">
      <c r="K1308" s="3"/>
      <c r="L1308" s="8">
        <v>89</v>
      </c>
      <c r="M1308" s="4"/>
      <c r="N1308" s="4"/>
      <c r="O1308" s="4"/>
      <c r="P1308" s="4"/>
      <c r="S1308" s="3">
        <v>1306</v>
      </c>
      <c r="T1308" s="8">
        <v>0.79169193450576103</v>
      </c>
      <c r="U1308" s="4">
        <v>75.7</v>
      </c>
      <c r="V1308" s="4">
        <v>0.81230589119800833</v>
      </c>
      <c r="W1308" s="4">
        <v>67.142957757124805</v>
      </c>
      <c r="X1308" s="4">
        <v>-2.8429577571248075</v>
      </c>
    </row>
    <row r="1309" spans="11:24" x14ac:dyDescent="0.25">
      <c r="K1309" s="3"/>
      <c r="L1309" s="8">
        <v>89</v>
      </c>
      <c r="M1309" s="4"/>
      <c r="N1309" s="4"/>
      <c r="O1309" s="4"/>
      <c r="P1309" s="4"/>
      <c r="S1309" s="3">
        <v>1307</v>
      </c>
      <c r="T1309" s="8">
        <v>0.79229836264402664</v>
      </c>
      <c r="U1309" s="4">
        <v>75.8</v>
      </c>
      <c r="V1309" s="4">
        <v>0.81442193874053515</v>
      </c>
      <c r="W1309" s="4">
        <v>66.797736242055649</v>
      </c>
      <c r="X1309" s="4">
        <v>-3.2977362420556489</v>
      </c>
    </row>
    <row r="1310" spans="11:24" x14ac:dyDescent="0.25">
      <c r="K1310" s="3"/>
      <c r="L1310" s="8">
        <v>89</v>
      </c>
      <c r="M1310" s="4"/>
      <c r="N1310" s="4"/>
      <c r="O1310" s="4"/>
      <c r="P1310" s="4"/>
      <c r="S1310" s="3">
        <v>1308</v>
      </c>
      <c r="T1310" s="8">
        <v>0.79290479078229226</v>
      </c>
      <c r="U1310" s="4">
        <v>75.8</v>
      </c>
      <c r="V1310" s="4">
        <v>0.8165416392857463</v>
      </c>
      <c r="W1310" s="4">
        <v>66.501832086282093</v>
      </c>
      <c r="X1310" s="4">
        <v>-3.7018320862820957</v>
      </c>
    </row>
    <row r="1311" spans="11:24" x14ac:dyDescent="0.25">
      <c r="K1311" s="3"/>
      <c r="L1311" s="8">
        <v>89</v>
      </c>
      <c r="M1311" s="4"/>
      <c r="N1311" s="4"/>
      <c r="O1311" s="4"/>
      <c r="P1311" s="4"/>
      <c r="S1311" s="3">
        <v>1309</v>
      </c>
      <c r="T1311" s="8">
        <v>0.79351121892055787</v>
      </c>
      <c r="U1311" s="4">
        <v>75.8</v>
      </c>
      <c r="V1311" s="4">
        <v>0.81866501502518874</v>
      </c>
      <c r="W1311" s="4">
        <v>76.463938663991826</v>
      </c>
      <c r="X1311" s="4">
        <v>-14.363938663991824</v>
      </c>
    </row>
    <row r="1312" spans="11:24" x14ac:dyDescent="0.25">
      <c r="K1312" s="3"/>
      <c r="L1312" s="8">
        <v>89</v>
      </c>
      <c r="M1312" s="4"/>
      <c r="N1312" s="4"/>
      <c r="O1312" s="4"/>
      <c r="P1312" s="4"/>
      <c r="S1312" s="3">
        <v>1310</v>
      </c>
      <c r="T1312" s="8">
        <v>0.79411764705882348</v>
      </c>
      <c r="U1312" s="4">
        <v>75.8</v>
      </c>
      <c r="V1312" s="4">
        <v>0.82079208833238038</v>
      </c>
      <c r="W1312" s="4">
        <v>65.959341134030581</v>
      </c>
      <c r="X1312" s="4">
        <v>-4.6593411340305835</v>
      </c>
    </row>
    <row r="1313" spans="11:24" x14ac:dyDescent="0.25">
      <c r="K1313" s="3"/>
      <c r="L1313" s="8">
        <v>89</v>
      </c>
      <c r="M1313" s="4"/>
      <c r="N1313" s="4"/>
      <c r="O1313" s="4"/>
      <c r="P1313" s="4"/>
      <c r="S1313" s="3">
        <v>1311</v>
      </c>
      <c r="T1313" s="8">
        <v>0.7947240751970891</v>
      </c>
      <c r="U1313" s="4">
        <v>75.8</v>
      </c>
      <c r="V1313" s="4">
        <v>0.82292288176490169</v>
      </c>
      <c r="W1313" s="4">
        <v>65.663436978257025</v>
      </c>
      <c r="X1313" s="4">
        <v>-0.66343697825702463</v>
      </c>
    </row>
    <row r="1314" spans="11:24" x14ac:dyDescent="0.25">
      <c r="K1314" s="3"/>
      <c r="L1314" s="8">
        <v>36.299999999999997</v>
      </c>
      <c r="M1314" s="4"/>
      <c r="N1314" s="4"/>
      <c r="O1314" s="4"/>
      <c r="P1314" s="4"/>
      <c r="S1314" s="3">
        <v>1312</v>
      </c>
      <c r="T1314" s="8">
        <v>0.79533050333535471</v>
      </c>
      <c r="U1314" s="4">
        <v>75.8</v>
      </c>
      <c r="V1314" s="4">
        <v>0.82505741806651922</v>
      </c>
      <c r="W1314" s="4">
        <v>65.416850181779054</v>
      </c>
      <c r="X1314" s="4">
        <v>-5.7168501817790514</v>
      </c>
    </row>
    <row r="1315" spans="11:24" x14ac:dyDescent="0.25">
      <c r="K1315" s="3"/>
      <c r="L1315" s="8">
        <v>36.299999999999997</v>
      </c>
      <c r="M1315" s="4"/>
      <c r="N1315" s="4"/>
      <c r="O1315" s="4"/>
      <c r="P1315" s="4"/>
      <c r="S1315" s="3">
        <v>1313</v>
      </c>
      <c r="T1315" s="8">
        <v>0.79593693147362032</v>
      </c>
      <c r="U1315" s="4">
        <v>75.8</v>
      </c>
      <c r="V1315" s="4">
        <v>0.8271957201693374</v>
      </c>
      <c r="W1315" s="4">
        <v>71.532202734432559</v>
      </c>
      <c r="X1315" s="4">
        <v>3.8677972655674466</v>
      </c>
    </row>
    <row r="1316" spans="11:24" x14ac:dyDescent="0.25">
      <c r="K1316" s="3"/>
      <c r="L1316" s="8">
        <v>36.299999999999997</v>
      </c>
      <c r="M1316" s="4"/>
      <c r="N1316" s="4"/>
      <c r="O1316" s="4"/>
      <c r="P1316" s="4"/>
      <c r="S1316" s="3">
        <v>1314</v>
      </c>
      <c r="T1316" s="8">
        <v>0.79654335961188594</v>
      </c>
      <c r="U1316" s="4">
        <v>75.900000000000006</v>
      </c>
      <c r="V1316" s="4">
        <v>0.82933781119598471</v>
      </c>
      <c r="W1316" s="4">
        <v>71.581520093728145</v>
      </c>
      <c r="X1316" s="4">
        <v>3.7184799062718525</v>
      </c>
    </row>
    <row r="1317" spans="11:24" x14ac:dyDescent="0.25">
      <c r="K1317" s="3"/>
      <c r="L1317" s="8">
        <v>36.299999999999997</v>
      </c>
      <c r="M1317" s="4"/>
      <c r="N1317" s="4"/>
      <c r="O1317" s="4"/>
      <c r="P1317" s="4"/>
      <c r="S1317" s="3">
        <v>1315</v>
      </c>
      <c r="T1317" s="8">
        <v>0.79714978775015166</v>
      </c>
      <c r="U1317" s="4">
        <v>75.900000000000006</v>
      </c>
      <c r="V1317" s="4">
        <v>0.83148371446182867</v>
      </c>
      <c r="W1317" s="4">
        <v>71.384250656545774</v>
      </c>
      <c r="X1317" s="4">
        <v>3.5157493434542317</v>
      </c>
    </row>
    <row r="1318" spans="11:24" x14ac:dyDescent="0.25">
      <c r="K1318" s="3"/>
      <c r="L1318" s="8">
        <v>36.299999999999997</v>
      </c>
      <c r="M1318" s="4"/>
      <c r="N1318" s="4"/>
      <c r="O1318" s="4"/>
      <c r="P1318" s="4"/>
      <c r="S1318" s="3">
        <v>1316</v>
      </c>
      <c r="T1318" s="8">
        <v>0.79775621588841727</v>
      </c>
      <c r="U1318" s="4">
        <v>75.900000000000006</v>
      </c>
      <c r="V1318" s="4">
        <v>0.83363345347722428</v>
      </c>
      <c r="W1318" s="4">
        <v>71.334933297250188</v>
      </c>
      <c r="X1318" s="4">
        <v>3.2650667027498059</v>
      </c>
    </row>
    <row r="1319" spans="11:24" x14ac:dyDescent="0.25">
      <c r="K1319" s="3"/>
      <c r="L1319" s="8">
        <v>36.299999999999997</v>
      </c>
      <c r="M1319" s="4"/>
      <c r="N1319" s="4"/>
      <c r="O1319" s="4"/>
      <c r="P1319" s="4"/>
      <c r="S1319" s="3">
        <v>1317</v>
      </c>
      <c r="T1319" s="8">
        <v>0.79836264402668289</v>
      </c>
      <c r="U1319" s="4">
        <v>75.900000000000006</v>
      </c>
      <c r="V1319" s="4">
        <v>0.83578705194979719</v>
      </c>
      <c r="W1319" s="4">
        <v>71.285615937954589</v>
      </c>
      <c r="X1319" s="4">
        <v>3.1143840620454171</v>
      </c>
    </row>
    <row r="1320" spans="11:24" x14ac:dyDescent="0.25">
      <c r="K1320" s="3"/>
      <c r="L1320" s="8">
        <v>36.299999999999997</v>
      </c>
      <c r="M1320" s="4"/>
      <c r="N1320" s="4"/>
      <c r="O1320" s="4"/>
      <c r="P1320" s="4"/>
      <c r="S1320" s="3">
        <v>1318</v>
      </c>
      <c r="T1320" s="8">
        <v>0.7989690721649485</v>
      </c>
      <c r="U1320" s="4">
        <v>76</v>
      </c>
      <c r="V1320" s="4">
        <v>0.83794453378675637</v>
      </c>
      <c r="W1320" s="4">
        <v>71.137663860067818</v>
      </c>
      <c r="X1320" s="4">
        <v>2.9623361399321766</v>
      </c>
    </row>
    <row r="1321" spans="11:24" x14ac:dyDescent="0.25">
      <c r="K1321" s="3"/>
      <c r="L1321" s="8">
        <v>36.299999999999997</v>
      </c>
      <c r="M1321" s="4"/>
      <c r="N1321" s="4"/>
      <c r="O1321" s="4"/>
      <c r="P1321" s="4"/>
      <c r="S1321" s="3">
        <v>1319</v>
      </c>
      <c r="T1321" s="8">
        <v>0.79957550030321412</v>
      </c>
      <c r="U1321" s="4">
        <v>76</v>
      </c>
      <c r="V1321" s="4">
        <v>0.84010592309724386</v>
      </c>
      <c r="W1321" s="4">
        <v>71.088346500772218</v>
      </c>
      <c r="X1321" s="4">
        <v>2.911653499227782</v>
      </c>
    </row>
    <row r="1322" spans="11:24" x14ac:dyDescent="0.25">
      <c r="K1322" s="3"/>
      <c r="L1322" s="8">
        <v>36.299999999999997</v>
      </c>
      <c r="M1322" s="4"/>
      <c r="N1322" s="4"/>
      <c r="O1322" s="4"/>
      <c r="P1322" s="4"/>
      <c r="S1322" s="3">
        <v>1320</v>
      </c>
      <c r="T1322" s="8">
        <v>0.80018192844147973</v>
      </c>
      <c r="U1322" s="4">
        <v>76</v>
      </c>
      <c r="V1322" s="4">
        <v>0.84227124419471899</v>
      </c>
      <c r="W1322" s="4">
        <v>71.088346500772218</v>
      </c>
      <c r="X1322" s="4">
        <v>2.7116534992277792</v>
      </c>
    </row>
    <row r="1323" spans="11:24" x14ac:dyDescent="0.25">
      <c r="K1323" s="3"/>
      <c r="L1323" s="8">
        <v>36.299999999999997</v>
      </c>
      <c r="M1323" s="4"/>
      <c r="N1323" s="4"/>
      <c r="O1323" s="4"/>
      <c r="P1323" s="4"/>
      <c r="S1323" s="3">
        <v>1321</v>
      </c>
      <c r="T1323" s="8">
        <v>0.80078835657974534</v>
      </c>
      <c r="U1323" s="4">
        <v>76</v>
      </c>
      <c r="V1323" s="4">
        <v>0.84444052159937599</v>
      </c>
      <c r="W1323" s="4">
        <v>71.039029141476632</v>
      </c>
      <c r="X1323" s="4">
        <v>2.5609708585233619</v>
      </c>
    </row>
    <row r="1324" spans="11:24" x14ac:dyDescent="0.25">
      <c r="K1324" s="3"/>
      <c r="L1324" s="8">
        <v>36.299999999999997</v>
      </c>
      <c r="M1324" s="4"/>
      <c r="N1324" s="4"/>
      <c r="O1324" s="4"/>
      <c r="P1324" s="4"/>
      <c r="S1324" s="3">
        <v>1322</v>
      </c>
      <c r="T1324" s="8">
        <v>0.80139478471801096</v>
      </c>
      <c r="U1324" s="4">
        <v>76</v>
      </c>
      <c r="V1324" s="4">
        <v>0.84661378004059906</v>
      </c>
      <c r="W1324" s="4">
        <v>70.940394422885447</v>
      </c>
      <c r="X1324" s="4">
        <v>2.0596055771145529</v>
      </c>
    </row>
    <row r="1325" spans="11:24" x14ac:dyDescent="0.25">
      <c r="K1325" s="3"/>
      <c r="L1325" s="8">
        <v>36.299999999999997</v>
      </c>
      <c r="M1325" s="4"/>
      <c r="N1325" s="4"/>
      <c r="O1325" s="4"/>
      <c r="P1325" s="4"/>
      <c r="S1325" s="3">
        <v>1323</v>
      </c>
      <c r="T1325" s="8">
        <v>0.80200121285627657</v>
      </c>
      <c r="U1325" s="4">
        <v>76</v>
      </c>
      <c r="V1325" s="4">
        <v>0.84879104445945452</v>
      </c>
      <c r="W1325" s="4">
        <v>70.989711782181033</v>
      </c>
      <c r="X1325" s="4">
        <v>2.0102882178189674</v>
      </c>
    </row>
    <row r="1326" spans="11:24" x14ac:dyDescent="0.25">
      <c r="K1326" s="3"/>
      <c r="L1326" s="8">
        <v>36.299999999999997</v>
      </c>
      <c r="M1326" s="4"/>
      <c r="N1326" s="4"/>
      <c r="O1326" s="4"/>
      <c r="P1326" s="4"/>
      <c r="S1326" s="3">
        <v>1324</v>
      </c>
      <c r="T1326" s="8">
        <v>0.80260764099454218</v>
      </c>
      <c r="U1326" s="4">
        <v>76</v>
      </c>
      <c r="V1326" s="4">
        <v>0.8509723400112178</v>
      </c>
      <c r="W1326" s="4">
        <v>76.759842819765382</v>
      </c>
      <c r="X1326" s="4">
        <v>-3.7598428197653817</v>
      </c>
    </row>
    <row r="1327" spans="11:24" x14ac:dyDescent="0.25">
      <c r="K1327" s="3"/>
      <c r="L1327" s="8">
        <v>36.299999999999997</v>
      </c>
      <c r="M1327" s="4"/>
      <c r="N1327" s="4"/>
      <c r="O1327" s="4"/>
      <c r="P1327" s="4"/>
      <c r="S1327" s="3">
        <v>1325</v>
      </c>
      <c r="T1327" s="8">
        <v>0.8032140691328078</v>
      </c>
      <c r="U1327" s="4">
        <v>76</v>
      </c>
      <c r="V1327" s="4">
        <v>0.85315769206794101</v>
      </c>
      <c r="W1327" s="4">
        <v>69.115652128948511</v>
      </c>
      <c r="X1327" s="4">
        <v>3.7843478710514944</v>
      </c>
    </row>
    <row r="1328" spans="11:24" x14ac:dyDescent="0.25">
      <c r="K1328" s="3"/>
      <c r="L1328" s="8">
        <v>36.299999999999997</v>
      </c>
      <c r="M1328" s="4"/>
      <c r="N1328" s="4"/>
      <c r="O1328" s="4"/>
      <c r="P1328" s="4"/>
      <c r="S1328" s="3">
        <v>1326</v>
      </c>
      <c r="T1328" s="8">
        <v>0.80382049727107341</v>
      </c>
      <c r="U1328" s="4">
        <v>76</v>
      </c>
      <c r="V1328" s="4">
        <v>0.85534712622105691</v>
      </c>
      <c r="W1328" s="4">
        <v>69.017017410357326</v>
      </c>
      <c r="X1328" s="4">
        <v>3.6829825896426769</v>
      </c>
    </row>
    <row r="1329" spans="11:24" x14ac:dyDescent="0.25">
      <c r="K1329" s="3"/>
      <c r="L1329" s="8">
        <v>36.299999999999997</v>
      </c>
      <c r="M1329" s="4"/>
      <c r="N1329" s="4"/>
      <c r="O1329" s="4"/>
      <c r="P1329" s="4"/>
      <c r="S1329" s="3">
        <v>1327</v>
      </c>
      <c r="T1329" s="8">
        <v>0.80442692540933902</v>
      </c>
      <c r="U1329" s="4">
        <v>76</v>
      </c>
      <c r="V1329" s="4">
        <v>0.85754066828402398</v>
      </c>
      <c r="W1329" s="4">
        <v>68.869065332470541</v>
      </c>
      <c r="X1329" s="4">
        <v>3.7309346675294535</v>
      </c>
    </row>
    <row r="1330" spans="11:24" x14ac:dyDescent="0.25">
      <c r="K1330" s="3"/>
      <c r="L1330" s="8">
        <v>36.299999999999997</v>
      </c>
      <c r="M1330" s="4"/>
      <c r="N1330" s="4"/>
      <c r="O1330" s="4"/>
      <c r="P1330" s="4"/>
      <c r="S1330" s="3">
        <v>1328</v>
      </c>
      <c r="T1330" s="8">
        <v>0.80503335354760464</v>
      </c>
      <c r="U1330" s="4">
        <v>76</v>
      </c>
      <c r="V1330" s="4">
        <v>0.85973834429500995</v>
      </c>
      <c r="W1330" s="4">
        <v>76.710525460469796</v>
      </c>
      <c r="X1330" s="4">
        <v>-4.3105254604697905</v>
      </c>
    </row>
    <row r="1331" spans="11:24" x14ac:dyDescent="0.25">
      <c r="K1331" s="3"/>
      <c r="L1331" s="8">
        <v>36.299999999999997</v>
      </c>
      <c r="M1331" s="4"/>
      <c r="N1331" s="4"/>
      <c r="O1331" s="4"/>
      <c r="P1331" s="4"/>
      <c r="S1331" s="3">
        <v>1329</v>
      </c>
      <c r="T1331" s="8">
        <v>0.80563978168587025</v>
      </c>
      <c r="U1331" s="4">
        <v>76</v>
      </c>
      <c r="V1331" s="4">
        <v>0.86194018051961641</v>
      </c>
      <c r="W1331" s="4">
        <v>68.622478535992585</v>
      </c>
      <c r="X1331" s="4">
        <v>3.6775214640074125</v>
      </c>
    </row>
    <row r="1332" spans="11:24" x14ac:dyDescent="0.25">
      <c r="K1332" s="3"/>
      <c r="L1332" s="8">
        <v>36.299999999999997</v>
      </c>
      <c r="M1332" s="4"/>
      <c r="N1332" s="4"/>
      <c r="O1332" s="4"/>
      <c r="P1332" s="4"/>
      <c r="S1332" s="3">
        <v>1330</v>
      </c>
      <c r="T1332" s="8">
        <v>0.80624620982413586</v>
      </c>
      <c r="U1332" s="4">
        <v>76</v>
      </c>
      <c r="V1332" s="4">
        <v>0.86414620345364657</v>
      </c>
      <c r="W1332" s="4">
        <v>68.523843817401399</v>
      </c>
      <c r="X1332" s="4">
        <v>3.6761561825986036</v>
      </c>
    </row>
    <row r="1333" spans="11:24" x14ac:dyDescent="0.25">
      <c r="K1333" s="3"/>
      <c r="L1333" s="8">
        <v>36.299999999999997</v>
      </c>
      <c r="M1333" s="4"/>
      <c r="N1333" s="4"/>
      <c r="O1333" s="4"/>
      <c r="P1333" s="4"/>
      <c r="S1333" s="3">
        <v>1331</v>
      </c>
      <c r="T1333" s="8">
        <v>0.80685263796240148</v>
      </c>
      <c r="U1333" s="4">
        <v>76</v>
      </c>
      <c r="V1333" s="4">
        <v>0.86635643982591226</v>
      </c>
      <c r="W1333" s="4">
        <v>68.4745264581058</v>
      </c>
      <c r="X1333" s="4">
        <v>3.7254735418942033</v>
      </c>
    </row>
    <row r="1334" spans="11:24" x14ac:dyDescent="0.25">
      <c r="K1334" s="3"/>
      <c r="L1334" s="8">
        <v>89</v>
      </c>
      <c r="M1334" s="4"/>
      <c r="N1334" s="4"/>
      <c r="O1334" s="4"/>
      <c r="P1334" s="4"/>
      <c r="S1334" s="3">
        <v>1332</v>
      </c>
      <c r="T1334" s="8">
        <v>0.80745906610066709</v>
      </c>
      <c r="U1334" s="4">
        <v>76</v>
      </c>
      <c r="V1334" s="4">
        <v>0.86857091660108621</v>
      </c>
      <c r="W1334" s="4">
        <v>68.4745264581058</v>
      </c>
      <c r="X1334" s="4">
        <v>3.7254735418942033</v>
      </c>
    </row>
    <row r="1335" spans="11:24" x14ac:dyDescent="0.25">
      <c r="K1335" s="3"/>
      <c r="L1335" s="8">
        <v>89</v>
      </c>
      <c r="M1335" s="4"/>
      <c r="N1335" s="4"/>
      <c r="O1335" s="4"/>
      <c r="P1335" s="4"/>
      <c r="S1335" s="3">
        <v>1333</v>
      </c>
      <c r="T1335" s="8">
        <v>0.8080654942389327</v>
      </c>
      <c r="U1335" s="4">
        <v>76</v>
      </c>
      <c r="V1335" s="4">
        <v>0.87078966098259791</v>
      </c>
      <c r="W1335" s="4">
        <v>68.4745264581058</v>
      </c>
      <c r="X1335" s="4">
        <v>3.7254735418942033</v>
      </c>
    </row>
    <row r="1336" spans="11:24" x14ac:dyDescent="0.25">
      <c r="K1336" s="3"/>
      <c r="L1336" s="8">
        <v>89</v>
      </c>
      <c r="M1336" s="4"/>
      <c r="N1336" s="4"/>
      <c r="O1336" s="4"/>
      <c r="P1336" s="4"/>
      <c r="S1336" s="3">
        <v>1334</v>
      </c>
      <c r="T1336" s="8">
        <v>0.80867192237719832</v>
      </c>
      <c r="U1336" s="4">
        <v>76.099999999999994</v>
      </c>
      <c r="V1336" s="4">
        <v>0.87301270041557288</v>
      </c>
      <c r="W1336" s="4">
        <v>68.425209098810214</v>
      </c>
      <c r="X1336" s="4">
        <v>3.6747909011897804</v>
      </c>
    </row>
    <row r="1337" spans="11:24" x14ac:dyDescent="0.25">
      <c r="K1337" s="3"/>
      <c r="L1337" s="8">
        <v>89</v>
      </c>
      <c r="M1337" s="4"/>
      <c r="N1337" s="4"/>
      <c r="O1337" s="4"/>
      <c r="P1337" s="4"/>
      <c r="S1337" s="3">
        <v>1335</v>
      </c>
      <c r="T1337" s="8">
        <v>0.80927835051546393</v>
      </c>
      <c r="U1337" s="4">
        <v>76.099999999999994</v>
      </c>
      <c r="V1337" s="4">
        <v>0.87524006258981835</v>
      </c>
      <c r="W1337" s="4">
        <v>68.4745264581058</v>
      </c>
      <c r="X1337" s="4">
        <v>3.6254735418941948</v>
      </c>
    </row>
    <row r="1338" spans="11:24" x14ac:dyDescent="0.25">
      <c r="K1338" s="3"/>
      <c r="L1338" s="8">
        <v>89</v>
      </c>
      <c r="M1338" s="4"/>
      <c r="N1338" s="4"/>
      <c r="O1338" s="4"/>
      <c r="P1338" s="4"/>
      <c r="S1338" s="3">
        <v>1336</v>
      </c>
      <c r="T1338" s="8">
        <v>0.80988477865372954</v>
      </c>
      <c r="U1338" s="4">
        <v>76.099999999999994</v>
      </c>
      <c r="V1338" s="4">
        <v>0.87747177544285548</v>
      </c>
      <c r="W1338" s="4">
        <v>68.425209098810214</v>
      </c>
      <c r="X1338" s="4">
        <v>3.6747909011897804</v>
      </c>
    </row>
    <row r="1339" spans="11:24" x14ac:dyDescent="0.25">
      <c r="K1339" s="3"/>
      <c r="L1339" s="8">
        <v>89</v>
      </c>
      <c r="M1339" s="4"/>
      <c r="N1339" s="4"/>
      <c r="O1339" s="4"/>
      <c r="P1339" s="4"/>
      <c r="S1339" s="3">
        <v>1337</v>
      </c>
      <c r="T1339" s="8">
        <v>0.81049120679199516</v>
      </c>
      <c r="U1339" s="4">
        <v>76.099999999999994</v>
      </c>
      <c r="V1339" s="4">
        <v>0.87970786716299842</v>
      </c>
      <c r="W1339" s="4">
        <v>68.375891739514628</v>
      </c>
      <c r="X1339" s="4">
        <v>3.6241082604853716</v>
      </c>
    </row>
    <row r="1340" spans="11:24" x14ac:dyDescent="0.25">
      <c r="K1340" s="3"/>
      <c r="L1340" s="8">
        <v>89</v>
      </c>
      <c r="M1340" s="4"/>
      <c r="N1340" s="4"/>
      <c r="O1340" s="4"/>
      <c r="P1340" s="4"/>
      <c r="S1340" s="3">
        <v>1338</v>
      </c>
      <c r="T1340" s="8">
        <v>0.81109763493026077</v>
      </c>
      <c r="U1340" s="4">
        <v>76.2</v>
      </c>
      <c r="V1340" s="4">
        <v>0.8819483661924804</v>
      </c>
      <c r="W1340" s="4">
        <v>68.326574380219029</v>
      </c>
      <c r="X1340" s="4">
        <v>3.4734256197809685</v>
      </c>
    </row>
    <row r="1341" spans="11:24" x14ac:dyDescent="0.25">
      <c r="K1341" s="3"/>
      <c r="L1341" s="8">
        <v>89</v>
      </c>
      <c r="M1341" s="4"/>
      <c r="N1341" s="4"/>
      <c r="O1341" s="4"/>
      <c r="P1341" s="4"/>
      <c r="S1341" s="3">
        <v>1339</v>
      </c>
      <c r="T1341" s="8">
        <v>0.81170406306852638</v>
      </c>
      <c r="U1341" s="4">
        <v>76.2</v>
      </c>
      <c r="V1341" s="4">
        <v>0.88419330123063111</v>
      </c>
      <c r="W1341" s="4">
        <v>54.764300573931024</v>
      </c>
      <c r="X1341" s="4">
        <v>-6.6643005739310226</v>
      </c>
    </row>
    <row r="1342" spans="11:24" x14ac:dyDescent="0.25">
      <c r="K1342" s="3"/>
      <c r="L1342" s="8">
        <v>89</v>
      </c>
      <c r="M1342" s="4"/>
      <c r="N1342" s="4"/>
      <c r="O1342" s="4"/>
      <c r="P1342" s="4"/>
      <c r="S1342" s="3">
        <v>1340</v>
      </c>
      <c r="T1342" s="8">
        <v>0.812310491206792</v>
      </c>
      <c r="U1342" s="4">
        <v>76.2</v>
      </c>
      <c r="V1342" s="4">
        <v>0.88644270123710212</v>
      </c>
      <c r="W1342" s="4">
        <v>75.280322040897602</v>
      </c>
      <c r="X1342" s="4">
        <v>-21.280322040897602</v>
      </c>
    </row>
    <row r="1343" spans="11:24" x14ac:dyDescent="0.25">
      <c r="K1343" s="3"/>
      <c r="L1343" s="8">
        <v>89</v>
      </c>
      <c r="M1343" s="4"/>
      <c r="N1343" s="4"/>
      <c r="O1343" s="4"/>
      <c r="P1343" s="4"/>
      <c r="S1343" s="3">
        <v>1341</v>
      </c>
      <c r="T1343" s="8">
        <v>0.81291691934505761</v>
      </c>
      <c r="U1343" s="4">
        <v>76.2</v>
      </c>
      <c r="V1343" s="4">
        <v>0.88869659543514301</v>
      </c>
      <c r="W1343" s="4">
        <v>57.328803257301843</v>
      </c>
      <c r="X1343" s="4">
        <v>-7.6288032573018398</v>
      </c>
    </row>
    <row r="1344" spans="11:24" x14ac:dyDescent="0.25">
      <c r="K1344" s="3"/>
      <c r="L1344" s="8">
        <v>89</v>
      </c>
      <c r="M1344" s="4"/>
      <c r="N1344" s="4"/>
      <c r="O1344" s="4"/>
      <c r="P1344" s="4"/>
      <c r="S1344" s="3">
        <v>1342</v>
      </c>
      <c r="T1344" s="8">
        <v>0.81352334748332322</v>
      </c>
      <c r="U1344" s="4">
        <v>76.3</v>
      </c>
      <c r="V1344" s="4">
        <v>0.89095501331493165</v>
      </c>
      <c r="W1344" s="4">
        <v>56.983581742232701</v>
      </c>
      <c r="X1344" s="4">
        <v>-8.0835817422327025</v>
      </c>
    </row>
    <row r="1345" spans="11:24" x14ac:dyDescent="0.25">
      <c r="K1345" s="3"/>
      <c r="L1345" s="8">
        <v>89</v>
      </c>
      <c r="M1345" s="4"/>
      <c r="N1345" s="4"/>
      <c r="O1345" s="4"/>
      <c r="P1345" s="4"/>
      <c r="S1345" s="3">
        <v>1343</v>
      </c>
      <c r="T1345" s="8">
        <v>0.81412977562158884</v>
      </c>
      <c r="U1345" s="4">
        <v>76.3</v>
      </c>
      <c r="V1345" s="4">
        <v>0.89321798463695368</v>
      </c>
      <c r="W1345" s="4">
        <v>56.687677586459145</v>
      </c>
      <c r="X1345" s="4">
        <v>-8.5876775864591437</v>
      </c>
    </row>
    <row r="1346" spans="11:24" x14ac:dyDescent="0.25">
      <c r="K1346" s="3"/>
      <c r="L1346" s="8">
        <v>89</v>
      </c>
      <c r="M1346" s="4"/>
      <c r="N1346" s="4"/>
      <c r="O1346" s="4"/>
      <c r="P1346" s="4"/>
      <c r="S1346" s="3">
        <v>1344</v>
      </c>
      <c r="T1346" s="8">
        <v>0.81473620375985445</v>
      </c>
      <c r="U1346" s="4">
        <v>76.3</v>
      </c>
      <c r="V1346" s="4">
        <v>0.89548553943544029</v>
      </c>
      <c r="W1346" s="4">
        <v>56.243821352798804</v>
      </c>
      <c r="X1346" s="4">
        <v>-9.1438213527988026</v>
      </c>
    </row>
    <row r="1347" spans="11:24" x14ac:dyDescent="0.25">
      <c r="K1347" s="3"/>
      <c r="L1347" s="8">
        <v>89</v>
      </c>
      <c r="M1347" s="4"/>
      <c r="N1347" s="4"/>
      <c r="O1347" s="4"/>
      <c r="P1347" s="4"/>
      <c r="S1347" s="3">
        <v>1345</v>
      </c>
      <c r="T1347" s="8">
        <v>0.81534263189812006</v>
      </c>
      <c r="U1347" s="4">
        <v>76.3</v>
      </c>
      <c r="V1347" s="4">
        <v>0.89775770802185595</v>
      </c>
      <c r="W1347" s="4">
        <v>55.849282478434063</v>
      </c>
      <c r="X1347" s="4">
        <v>-9.6492824784340598</v>
      </c>
    </row>
    <row r="1348" spans="11:24" x14ac:dyDescent="0.25">
      <c r="K1348" s="3"/>
      <c r="L1348" s="8">
        <v>89</v>
      </c>
      <c r="M1348" s="4"/>
      <c r="N1348" s="4"/>
      <c r="O1348" s="4"/>
      <c r="P1348" s="4"/>
      <c r="S1348" s="3">
        <v>1346</v>
      </c>
      <c r="T1348" s="8">
        <v>0.81594906003638568</v>
      </c>
      <c r="U1348" s="4">
        <v>76.3</v>
      </c>
      <c r="V1348" s="4">
        <v>0.90003452098844638</v>
      </c>
      <c r="W1348" s="4">
        <v>75.378956759488787</v>
      </c>
      <c r="X1348" s="4">
        <v>-30.07895675948879</v>
      </c>
    </row>
    <row r="1349" spans="11:24" x14ac:dyDescent="0.25">
      <c r="K1349" s="3"/>
      <c r="L1349" s="8">
        <v>36.299999999999997</v>
      </c>
      <c r="M1349" s="4"/>
      <c r="N1349" s="4"/>
      <c r="O1349" s="4"/>
      <c r="P1349" s="4"/>
      <c r="S1349" s="3">
        <v>1347</v>
      </c>
      <c r="T1349" s="8">
        <v>0.81655548817465129</v>
      </c>
      <c r="U1349" s="4">
        <v>76.3</v>
      </c>
      <c r="V1349" s="4">
        <v>0.90231600921184096</v>
      </c>
      <c r="W1349" s="4">
        <v>68.573161176696999</v>
      </c>
      <c r="X1349" s="4">
        <v>0.22683882330299809</v>
      </c>
    </row>
    <row r="1350" spans="11:24" x14ac:dyDescent="0.25">
      <c r="K1350" s="3"/>
      <c r="L1350" s="8">
        <v>89</v>
      </c>
      <c r="M1350" s="4"/>
      <c r="N1350" s="4"/>
      <c r="O1350" s="4"/>
      <c r="P1350" s="4"/>
      <c r="S1350" s="3">
        <v>1348</v>
      </c>
      <c r="T1350" s="8">
        <v>0.8171619163129169</v>
      </c>
      <c r="U1350" s="4">
        <v>76.400000000000006</v>
      </c>
      <c r="V1350" s="4">
        <v>0.90460220385671386</v>
      </c>
      <c r="W1350" s="4">
        <v>68.622478535992585</v>
      </c>
      <c r="X1350" s="4">
        <v>0.17752146400741253</v>
      </c>
    </row>
    <row r="1351" spans="11:24" x14ac:dyDescent="0.25">
      <c r="K1351" s="3"/>
      <c r="L1351" s="8">
        <v>89</v>
      </c>
      <c r="M1351" s="4"/>
      <c r="N1351" s="4"/>
      <c r="O1351" s="4"/>
      <c r="P1351" s="4"/>
      <c r="S1351" s="3">
        <v>1349</v>
      </c>
      <c r="T1351" s="8">
        <v>0.81776834445118252</v>
      </c>
      <c r="U1351" s="4">
        <v>76.400000000000006</v>
      </c>
      <c r="V1351" s="4">
        <v>0.9068931363795053</v>
      </c>
      <c r="W1351" s="4">
        <v>68.523843817401399</v>
      </c>
      <c r="X1351" s="4">
        <v>0.17615618259860355</v>
      </c>
    </row>
    <row r="1352" spans="11:24" x14ac:dyDescent="0.25">
      <c r="K1352" s="3"/>
      <c r="L1352" s="8">
        <v>89</v>
      </c>
      <c r="M1352" s="4"/>
      <c r="N1352" s="4"/>
      <c r="O1352" s="4"/>
      <c r="P1352" s="4"/>
      <c r="S1352" s="3">
        <v>1350</v>
      </c>
      <c r="T1352" s="8">
        <v>0.81837477258944813</v>
      </c>
      <c r="U1352" s="4">
        <v>76.400000000000006</v>
      </c>
      <c r="V1352" s="4">
        <v>0.90918883853220256</v>
      </c>
      <c r="W1352" s="4">
        <v>68.425209098810214</v>
      </c>
      <c r="X1352" s="4">
        <v>7.4790901189786041E-2</v>
      </c>
    </row>
    <row r="1353" spans="11:24" x14ac:dyDescent="0.25">
      <c r="K1353" s="3"/>
      <c r="L1353" s="8">
        <v>89</v>
      </c>
      <c r="M1353" s="4"/>
      <c r="N1353" s="4"/>
      <c r="O1353" s="4"/>
      <c r="P1353" s="4"/>
      <c r="S1353" s="3">
        <v>1351</v>
      </c>
      <c r="T1353" s="8">
        <v>0.81898120072771374</v>
      </c>
      <c r="U1353" s="4">
        <v>76.5</v>
      </c>
      <c r="V1353" s="4">
        <v>0.91148934236618206</v>
      </c>
      <c r="W1353" s="4">
        <v>68.326574380219029</v>
      </c>
      <c r="X1353" s="4">
        <v>-2.6574380219031468E-2</v>
      </c>
    </row>
    <row r="1354" spans="11:24" x14ac:dyDescent="0.25">
      <c r="K1354" s="3"/>
      <c r="L1354" s="8">
        <v>89</v>
      </c>
      <c r="M1354" s="4"/>
      <c r="N1354" s="4"/>
      <c r="O1354" s="4"/>
      <c r="P1354" s="4"/>
      <c r="S1354" s="3">
        <v>1352</v>
      </c>
      <c r="T1354" s="8">
        <v>0.81958762886597936</v>
      </c>
      <c r="U1354" s="4">
        <v>76.5</v>
      </c>
      <c r="V1354" s="4">
        <v>0.91379468023611521</v>
      </c>
      <c r="W1354" s="4">
        <v>68.129304943036658</v>
      </c>
      <c r="X1354" s="4">
        <v>-2.9304943036663644E-2</v>
      </c>
    </row>
    <row r="1355" spans="11:24" x14ac:dyDescent="0.25">
      <c r="K1355" s="3"/>
      <c r="L1355" s="8">
        <v>89</v>
      </c>
      <c r="M1355" s="4"/>
      <c r="N1355" s="4"/>
      <c r="O1355" s="4"/>
      <c r="P1355" s="4"/>
      <c r="S1355" s="3">
        <v>1353</v>
      </c>
      <c r="T1355" s="8">
        <v>0.82019405700424497</v>
      </c>
      <c r="U1355" s="4">
        <v>76.5</v>
      </c>
      <c r="V1355" s="4">
        <v>0.91610488480393792</v>
      </c>
      <c r="W1355" s="4">
        <v>68.079987583741058</v>
      </c>
      <c r="X1355" s="4">
        <v>-7.9987583741058188E-2</v>
      </c>
    </row>
    <row r="1356" spans="11:24" x14ac:dyDescent="0.25">
      <c r="K1356" s="3"/>
      <c r="L1356" s="8">
        <v>89</v>
      </c>
      <c r="M1356" s="4"/>
      <c r="N1356" s="4"/>
      <c r="O1356" s="4"/>
      <c r="P1356" s="4"/>
      <c r="S1356" s="3">
        <v>1354</v>
      </c>
      <c r="T1356" s="8">
        <v>0.82080048514251058</v>
      </c>
      <c r="U1356" s="4">
        <v>76.599999999999994</v>
      </c>
      <c r="V1356" s="4">
        <v>0.91841998904288635</v>
      </c>
      <c r="W1356" s="4">
        <v>77.499603209199279</v>
      </c>
      <c r="X1356" s="4">
        <v>-9.8996032091992845</v>
      </c>
    </row>
    <row r="1357" spans="11:24" x14ac:dyDescent="0.25">
      <c r="K1357" s="3"/>
      <c r="L1357" s="8">
        <v>89</v>
      </c>
      <c r="M1357" s="4"/>
      <c r="N1357" s="4"/>
      <c r="O1357" s="4"/>
      <c r="P1357" s="4"/>
      <c r="S1357" s="3">
        <v>1355</v>
      </c>
      <c r="T1357" s="8">
        <v>0.8214069132807762</v>
      </c>
      <c r="U1357" s="4">
        <v>76.599999999999994</v>
      </c>
      <c r="V1357" s="4">
        <v>0.92074002624159657</v>
      </c>
      <c r="W1357" s="4">
        <v>77.499603209199279</v>
      </c>
      <c r="X1357" s="4">
        <v>-9.8996032091992845</v>
      </c>
    </row>
    <row r="1358" spans="11:24" x14ac:dyDescent="0.25">
      <c r="K1358" s="3"/>
      <c r="L1358" s="8">
        <v>89</v>
      </c>
      <c r="M1358" s="4"/>
      <c r="N1358" s="4"/>
      <c r="O1358" s="4"/>
      <c r="P1358" s="4"/>
      <c r="S1358" s="3">
        <v>1356</v>
      </c>
      <c r="T1358" s="8">
        <v>0.82201334141904181</v>
      </c>
      <c r="U1358" s="4">
        <v>76.599999999999994</v>
      </c>
      <c r="V1358" s="4">
        <v>0.923065030008277</v>
      </c>
      <c r="W1358" s="4">
        <v>76.41462130469624</v>
      </c>
      <c r="X1358" s="4">
        <v>-9.0146213046962345</v>
      </c>
    </row>
    <row r="1359" spans="11:24" x14ac:dyDescent="0.25">
      <c r="K1359" s="3"/>
      <c r="L1359" s="8">
        <v>89</v>
      </c>
      <c r="M1359" s="4"/>
      <c r="N1359" s="4"/>
      <c r="O1359" s="4"/>
      <c r="P1359" s="4"/>
      <c r="S1359" s="3">
        <v>1357</v>
      </c>
      <c r="T1359" s="8">
        <v>0.82261976955730742</v>
      </c>
      <c r="U1359" s="4">
        <v>76.599999999999994</v>
      </c>
      <c r="V1359" s="4">
        <v>0.92539503427494518</v>
      </c>
      <c r="W1359" s="4">
        <v>76.16803450821827</v>
      </c>
      <c r="X1359" s="4">
        <v>-9.0680345082182754</v>
      </c>
    </row>
    <row r="1360" spans="11:24" x14ac:dyDescent="0.25">
      <c r="K1360" s="3"/>
      <c r="L1360" s="8">
        <v>89</v>
      </c>
      <c r="M1360" s="4"/>
      <c r="N1360" s="4"/>
      <c r="O1360" s="4"/>
      <c r="P1360" s="4"/>
      <c r="S1360" s="3">
        <v>1358</v>
      </c>
      <c r="T1360" s="8">
        <v>0.82322619769557304</v>
      </c>
      <c r="U1360" s="4">
        <v>76.599999999999994</v>
      </c>
      <c r="V1360" s="4">
        <v>0.92773007330173762</v>
      </c>
      <c r="W1360" s="4">
        <v>66.99500567923802</v>
      </c>
      <c r="X1360" s="4">
        <v>-0.19500567923802237</v>
      </c>
    </row>
    <row r="1361" spans="11:24" x14ac:dyDescent="0.25">
      <c r="K1361" s="3"/>
      <c r="L1361" s="8">
        <v>89</v>
      </c>
      <c r="M1361" s="4"/>
      <c r="N1361" s="4"/>
      <c r="O1361" s="4"/>
      <c r="P1361" s="4"/>
      <c r="S1361" s="3">
        <v>1359</v>
      </c>
      <c r="T1361" s="8">
        <v>0.82383262583383865</v>
      </c>
      <c r="U1361" s="4">
        <v>76.599999999999994</v>
      </c>
      <c r="V1361" s="4">
        <v>0.9300701816812933</v>
      </c>
      <c r="W1361" s="4">
        <v>76.513256023287425</v>
      </c>
      <c r="X1361" s="4">
        <v>-10.013256023287425</v>
      </c>
    </row>
    <row r="1362" spans="11:24" x14ac:dyDescent="0.25">
      <c r="K1362" s="3"/>
      <c r="L1362" s="8">
        <v>89</v>
      </c>
      <c r="M1362" s="4"/>
      <c r="N1362" s="4"/>
      <c r="O1362" s="4"/>
      <c r="P1362" s="4"/>
      <c r="S1362" s="3">
        <v>1360</v>
      </c>
      <c r="T1362" s="8">
        <v>0.82443905397210426</v>
      </c>
      <c r="U1362" s="4">
        <v>76.7</v>
      </c>
      <c r="V1362" s="4">
        <v>0.93241539434320808</v>
      </c>
      <c r="W1362" s="4">
        <v>66.403197367690908</v>
      </c>
      <c r="X1362" s="4">
        <v>-0.20319736769090468</v>
      </c>
    </row>
    <row r="1363" spans="11:24" x14ac:dyDescent="0.25">
      <c r="K1363" s="3"/>
      <c r="L1363" s="8">
        <v>89</v>
      </c>
      <c r="M1363" s="4"/>
      <c r="N1363" s="4"/>
      <c r="O1363" s="4"/>
      <c r="P1363" s="4"/>
      <c r="S1363" s="3">
        <v>1361</v>
      </c>
      <c r="T1363" s="8">
        <v>0.82504548211036988</v>
      </c>
      <c r="U1363" s="4">
        <v>76.7</v>
      </c>
      <c r="V1363" s="4">
        <v>0.93476574655856581</v>
      </c>
      <c r="W1363" s="4">
        <v>66.008658493326166</v>
      </c>
      <c r="X1363" s="4">
        <v>-0.20865849332616904</v>
      </c>
    </row>
    <row r="1364" spans="11:24" x14ac:dyDescent="0.25">
      <c r="K1364" s="3"/>
      <c r="L1364" s="8">
        <v>89</v>
      </c>
      <c r="M1364" s="4"/>
      <c r="N1364" s="4"/>
      <c r="O1364" s="4"/>
      <c r="P1364" s="4"/>
      <c r="S1364" s="3">
        <v>1362</v>
      </c>
      <c r="T1364" s="8">
        <v>0.82565191024863549</v>
      </c>
      <c r="U1364" s="4">
        <v>76.8</v>
      </c>
      <c r="V1364" s="4">
        <v>0.9371212739445447</v>
      </c>
      <c r="W1364" s="4">
        <v>60.485114252219788</v>
      </c>
      <c r="X1364" s="4">
        <v>1.5148857477802125</v>
      </c>
    </row>
    <row r="1365" spans="11:24" x14ac:dyDescent="0.25">
      <c r="K1365" s="3"/>
      <c r="L1365" s="8">
        <v>36.299999999999997</v>
      </c>
      <c r="M1365" s="4"/>
      <c r="N1365" s="4"/>
      <c r="O1365" s="4"/>
      <c r="P1365" s="4"/>
      <c r="S1365" s="3">
        <v>1363</v>
      </c>
      <c r="T1365" s="8">
        <v>0.8262583383869011</v>
      </c>
      <c r="U1365" s="4">
        <v>76.8</v>
      </c>
      <c r="V1365" s="4">
        <v>0.93948201246910557</v>
      </c>
      <c r="W1365" s="4">
        <v>59.301497629125556</v>
      </c>
      <c r="X1365" s="4">
        <v>9.6985023708744436</v>
      </c>
    </row>
    <row r="1366" spans="11:24" x14ac:dyDescent="0.25">
      <c r="K1366" s="3"/>
      <c r="L1366" s="8">
        <v>89</v>
      </c>
      <c r="M1366" s="4"/>
      <c r="N1366" s="4"/>
      <c r="O1366" s="4"/>
      <c r="P1366" s="4"/>
      <c r="S1366" s="3">
        <v>1364</v>
      </c>
      <c r="T1366" s="8">
        <v>0.82686476652516672</v>
      </c>
      <c r="U1366" s="4">
        <v>76.8</v>
      </c>
      <c r="V1366" s="4">
        <v>0.94184799845575462</v>
      </c>
      <c r="W1366" s="4">
        <v>75.231004681602016</v>
      </c>
      <c r="X1366" s="4">
        <v>-16.031004681602013</v>
      </c>
    </row>
    <row r="1367" spans="11:24" x14ac:dyDescent="0.25">
      <c r="K1367" s="3"/>
      <c r="L1367" s="8">
        <v>89</v>
      </c>
      <c r="M1367" s="4"/>
      <c r="N1367" s="4"/>
      <c r="O1367" s="4"/>
      <c r="P1367" s="4"/>
      <c r="S1367" s="3">
        <v>1365</v>
      </c>
      <c r="T1367" s="8">
        <v>0.82747119466343233</v>
      </c>
      <c r="U1367" s="4">
        <v>76.8</v>
      </c>
      <c r="V1367" s="4">
        <v>0.94421926858839278</v>
      </c>
      <c r="W1367" s="4">
        <v>57.230168538710657</v>
      </c>
      <c r="X1367" s="4">
        <v>1.6698314612893412</v>
      </c>
    </row>
    <row r="1368" spans="11:24" x14ac:dyDescent="0.25">
      <c r="K1368" s="3"/>
      <c r="L1368" s="8">
        <v>89</v>
      </c>
      <c r="M1368" s="4"/>
      <c r="N1368" s="4"/>
      <c r="O1368" s="4"/>
      <c r="P1368" s="4"/>
      <c r="S1368" s="3">
        <v>1366</v>
      </c>
      <c r="T1368" s="8">
        <v>0.82807762280169794</v>
      </c>
      <c r="U1368" s="4">
        <v>76.8</v>
      </c>
      <c r="V1368" s="4">
        <v>0.94659585991624384</v>
      </c>
      <c r="W1368" s="4">
        <v>56.490408149276774</v>
      </c>
      <c r="X1368" s="4">
        <v>1.5095918507232255</v>
      </c>
    </row>
    <row r="1369" spans="11:24" x14ac:dyDescent="0.25">
      <c r="K1369" s="3"/>
      <c r="L1369" s="8">
        <v>89</v>
      </c>
      <c r="M1369" s="4"/>
      <c r="N1369" s="4"/>
      <c r="O1369" s="4"/>
      <c r="P1369" s="4"/>
      <c r="S1369" s="3">
        <v>1367</v>
      </c>
      <c r="T1369" s="8">
        <v>0.82868405093996367</v>
      </c>
      <c r="U1369" s="4">
        <v>76.900000000000006</v>
      </c>
      <c r="V1369" s="4">
        <v>0.94897780985887237</v>
      </c>
      <c r="W1369" s="4">
        <v>55.454743604069321</v>
      </c>
      <c r="X1369" s="4">
        <v>1.0452563959306787</v>
      </c>
    </row>
    <row r="1370" spans="11:24" x14ac:dyDescent="0.25">
      <c r="K1370" s="3"/>
      <c r="L1370" s="8">
        <v>89</v>
      </c>
      <c r="M1370" s="4"/>
      <c r="N1370" s="4"/>
      <c r="O1370" s="4"/>
      <c r="P1370" s="4"/>
      <c r="S1370" s="3">
        <v>1368</v>
      </c>
      <c r="T1370" s="8">
        <v>0.82929047907822928</v>
      </c>
      <c r="U1370" s="4">
        <v>76.900000000000006</v>
      </c>
      <c r="V1370" s="4">
        <v>0.95136515621128204</v>
      </c>
      <c r="W1370" s="4">
        <v>54.271126980975097</v>
      </c>
      <c r="X1370" s="4">
        <v>1.0288730190248998</v>
      </c>
    </row>
    <row r="1371" spans="11:24" x14ac:dyDescent="0.25">
      <c r="K1371" s="3"/>
      <c r="L1371" s="8">
        <v>89</v>
      </c>
      <c r="M1371" s="4"/>
      <c r="N1371" s="4"/>
      <c r="O1371" s="4"/>
      <c r="P1371" s="4"/>
      <c r="S1371" s="3">
        <v>1369</v>
      </c>
      <c r="T1371" s="8">
        <v>0.82989690721649489</v>
      </c>
      <c r="U1371" s="4">
        <v>76.900000000000006</v>
      </c>
      <c r="V1371" s="4">
        <v>0.9537579371491105</v>
      </c>
      <c r="W1371" s="4">
        <v>53.630001310132393</v>
      </c>
      <c r="X1371" s="4">
        <v>0.86999868986760731</v>
      </c>
    </row>
    <row r="1372" spans="11:24" x14ac:dyDescent="0.25">
      <c r="K1372" s="3"/>
      <c r="L1372" s="8">
        <v>89</v>
      </c>
      <c r="M1372" s="4"/>
      <c r="N1372" s="4"/>
      <c r="O1372" s="4"/>
      <c r="P1372" s="4"/>
      <c r="S1372" s="3">
        <v>1370</v>
      </c>
      <c r="T1372" s="8">
        <v>0.83050333535476051</v>
      </c>
      <c r="U1372" s="4">
        <v>76.900000000000006</v>
      </c>
      <c r="V1372" s="4">
        <v>0.95615619123390649</v>
      </c>
      <c r="W1372" s="4">
        <v>53.136827717176459</v>
      </c>
      <c r="X1372" s="4">
        <v>0.86317228282354108</v>
      </c>
    </row>
    <row r="1373" spans="11:24" x14ac:dyDescent="0.25">
      <c r="K1373" s="3"/>
      <c r="L1373" s="8">
        <v>89</v>
      </c>
      <c r="M1373" s="4"/>
      <c r="N1373" s="4"/>
      <c r="O1373" s="4"/>
      <c r="P1373" s="4"/>
      <c r="S1373" s="3">
        <v>1371</v>
      </c>
      <c r="T1373" s="8">
        <v>0.83110976349302612</v>
      </c>
      <c r="U1373" s="4">
        <v>77</v>
      </c>
      <c r="V1373" s="4">
        <v>0.95855995741850542</v>
      </c>
      <c r="W1373" s="4">
        <v>53.038192998585274</v>
      </c>
      <c r="X1373" s="4">
        <v>0.76180700141472357</v>
      </c>
    </row>
    <row r="1374" spans="11:24" x14ac:dyDescent="0.25">
      <c r="K1374" s="3"/>
      <c r="L1374" s="8">
        <v>89</v>
      </c>
      <c r="M1374" s="4"/>
      <c r="N1374" s="4"/>
      <c r="O1374" s="4"/>
      <c r="P1374" s="4"/>
      <c r="S1374" s="3">
        <v>1372</v>
      </c>
      <c r="T1374" s="8">
        <v>0.83171619163129173</v>
      </c>
      <c r="U1374" s="4">
        <v>77</v>
      </c>
      <c r="V1374" s="4">
        <v>0.96096927505249541</v>
      </c>
      <c r="W1374" s="4">
        <v>53.087510357880873</v>
      </c>
      <c r="X1374" s="4">
        <v>0.61248964211912948</v>
      </c>
    </row>
    <row r="1375" spans="11:24" x14ac:dyDescent="0.25">
      <c r="K1375" s="3"/>
      <c r="L1375" s="8">
        <v>89</v>
      </c>
      <c r="M1375" s="4"/>
      <c r="N1375" s="4"/>
      <c r="O1375" s="4"/>
      <c r="P1375" s="4"/>
      <c r="S1375" s="3">
        <v>1373</v>
      </c>
      <c r="T1375" s="8">
        <v>0.83232261976955735</v>
      </c>
      <c r="U1375" s="4">
        <v>77</v>
      </c>
      <c r="V1375" s="4">
        <v>0.96338418388778135</v>
      </c>
      <c r="W1375" s="4">
        <v>53.679318669427985</v>
      </c>
      <c r="X1375" s="4">
        <v>0.32068133057201464</v>
      </c>
    </row>
    <row r="1376" spans="11:24" x14ac:dyDescent="0.25">
      <c r="K1376" s="3"/>
      <c r="L1376" s="8">
        <v>89</v>
      </c>
      <c r="M1376" s="4"/>
      <c r="N1376" s="4"/>
      <c r="O1376" s="4"/>
      <c r="P1376" s="4"/>
      <c r="S1376" s="3">
        <v>1374</v>
      </c>
      <c r="T1376" s="8">
        <v>0.83292904790782296</v>
      </c>
      <c r="U1376" s="4">
        <v>77</v>
      </c>
      <c r="V1376" s="4">
        <v>0.965804724084247</v>
      </c>
      <c r="W1376" s="4">
        <v>54.961570011113395</v>
      </c>
      <c r="X1376" s="4">
        <v>-6.1570011113396106E-2</v>
      </c>
    </row>
    <row r="1377" spans="11:24" x14ac:dyDescent="0.25">
      <c r="K1377" s="3"/>
      <c r="L1377" s="8">
        <v>89</v>
      </c>
      <c r="M1377" s="4"/>
      <c r="N1377" s="4"/>
      <c r="O1377" s="4"/>
      <c r="P1377" s="4"/>
      <c r="S1377" s="3">
        <v>1375</v>
      </c>
      <c r="T1377" s="8">
        <v>0.83353547604608857</v>
      </c>
      <c r="U1377" s="4">
        <v>77</v>
      </c>
      <c r="V1377" s="4">
        <v>0.96823093621551692</v>
      </c>
      <c r="W1377" s="4">
        <v>56.441090789981175</v>
      </c>
      <c r="X1377" s="4">
        <v>-0.44109078998117468</v>
      </c>
    </row>
    <row r="1378" spans="11:24" x14ac:dyDescent="0.25">
      <c r="K1378" s="3"/>
      <c r="L1378" s="8">
        <v>89</v>
      </c>
      <c r="M1378" s="4"/>
      <c r="N1378" s="4"/>
      <c r="O1378" s="4"/>
      <c r="P1378" s="4"/>
      <c r="S1378" s="3">
        <v>1376</v>
      </c>
      <c r="T1378" s="8">
        <v>0.83414190418435419</v>
      </c>
      <c r="U1378" s="4">
        <v>77</v>
      </c>
      <c r="V1378" s="4">
        <v>0.97066286127482204</v>
      </c>
      <c r="W1378" s="4">
        <v>58.01924628744014</v>
      </c>
      <c r="X1378" s="4">
        <v>-0.71924628744014285</v>
      </c>
    </row>
    <row r="1379" spans="11:24" x14ac:dyDescent="0.25">
      <c r="K1379" s="3"/>
      <c r="L1379" s="8">
        <v>36.299999999999997</v>
      </c>
      <c r="M1379" s="4"/>
      <c r="N1379" s="4"/>
      <c r="O1379" s="4"/>
      <c r="P1379" s="4"/>
      <c r="S1379" s="3">
        <v>1377</v>
      </c>
      <c r="T1379" s="8">
        <v>0.8347483323226198</v>
      </c>
      <c r="U1379" s="4">
        <v>77</v>
      </c>
      <c r="V1379" s="4">
        <v>0.97310054068096929</v>
      </c>
      <c r="W1379" s="4">
        <v>74.737831088646089</v>
      </c>
      <c r="X1379" s="4">
        <v>7.8621689113539048</v>
      </c>
    </row>
    <row r="1380" spans="11:24" x14ac:dyDescent="0.25">
      <c r="K1380" s="3"/>
      <c r="L1380" s="8">
        <v>36.299999999999997</v>
      </c>
      <c r="M1380" s="4"/>
      <c r="N1380" s="4"/>
      <c r="O1380" s="4"/>
      <c r="P1380" s="4"/>
      <c r="S1380" s="3">
        <v>1378</v>
      </c>
      <c r="T1380" s="8">
        <v>0.83535476046088541</v>
      </c>
      <c r="U1380" s="4">
        <v>77</v>
      </c>
      <c r="V1380" s="4">
        <v>0.97554401628441723</v>
      </c>
      <c r="W1380" s="4">
        <v>77.302333772016908</v>
      </c>
      <c r="X1380" s="4">
        <v>5.0976662279830975</v>
      </c>
    </row>
    <row r="1381" spans="11:24" x14ac:dyDescent="0.25">
      <c r="K1381" s="3"/>
      <c r="L1381" s="8">
        <v>36.299999999999997</v>
      </c>
      <c r="M1381" s="4"/>
      <c r="N1381" s="4"/>
      <c r="O1381" s="4"/>
      <c r="P1381" s="4"/>
      <c r="S1381" s="3">
        <v>1379</v>
      </c>
      <c r="T1381" s="8">
        <v>0.83596118859915103</v>
      </c>
      <c r="U1381" s="4">
        <v>77</v>
      </c>
      <c r="V1381" s="4">
        <v>0.97799333037346281</v>
      </c>
      <c r="W1381" s="4">
        <v>74.589879010759304</v>
      </c>
      <c r="X1381" s="4">
        <v>7.4101209892406956</v>
      </c>
    </row>
    <row r="1382" spans="11:24" x14ac:dyDescent="0.25">
      <c r="K1382" s="3"/>
      <c r="L1382" s="8">
        <v>89</v>
      </c>
      <c r="M1382" s="4"/>
      <c r="N1382" s="4"/>
      <c r="O1382" s="4"/>
      <c r="P1382" s="4"/>
      <c r="S1382" s="3">
        <v>1380</v>
      </c>
      <c r="T1382" s="8">
        <v>0.83656761673741664</v>
      </c>
      <c r="U1382" s="4">
        <v>77</v>
      </c>
      <c r="V1382" s="4">
        <v>0.98044852568054008</v>
      </c>
      <c r="W1382" s="4">
        <v>74.491244292168119</v>
      </c>
      <c r="X1382" s="4">
        <v>7.6087557078318753</v>
      </c>
    </row>
    <row r="1383" spans="11:24" x14ac:dyDescent="0.25">
      <c r="K1383" s="3"/>
      <c r="L1383" s="8">
        <v>89</v>
      </c>
      <c r="M1383" s="4"/>
      <c r="N1383" s="4"/>
      <c r="O1383" s="4"/>
      <c r="P1383" s="4"/>
      <c r="S1383" s="3">
        <v>1381</v>
      </c>
      <c r="T1383" s="8">
        <v>0.83717404487568226</v>
      </c>
      <c r="U1383" s="4">
        <v>77</v>
      </c>
      <c r="V1383" s="4">
        <v>0.9829096453886309</v>
      </c>
      <c r="W1383" s="4">
        <v>74.441926932872533</v>
      </c>
      <c r="X1383" s="4">
        <v>7.4580730671274722</v>
      </c>
    </row>
    <row r="1384" spans="11:24" x14ac:dyDescent="0.25">
      <c r="K1384" s="3"/>
      <c r="L1384" s="8">
        <v>89</v>
      </c>
      <c r="M1384" s="4"/>
      <c r="N1384" s="4"/>
      <c r="O1384" s="4"/>
      <c r="P1384" s="4"/>
      <c r="S1384" s="3">
        <v>1382</v>
      </c>
      <c r="T1384" s="8">
        <v>0.83778047301394787</v>
      </c>
      <c r="U1384" s="4">
        <v>77.099999999999994</v>
      </c>
      <c r="V1384" s="4">
        <v>0.98537673313779361</v>
      </c>
      <c r="W1384" s="4">
        <v>74.343292214281348</v>
      </c>
      <c r="X1384" s="4">
        <v>7.2567077857186462</v>
      </c>
    </row>
    <row r="1385" spans="11:24" x14ac:dyDescent="0.25">
      <c r="K1385" s="3"/>
      <c r="L1385" s="8">
        <v>89</v>
      </c>
      <c r="M1385" s="4"/>
      <c r="N1385" s="4"/>
      <c r="O1385" s="4"/>
      <c r="P1385" s="4"/>
      <c r="S1385" s="3">
        <v>1383</v>
      </c>
      <c r="T1385" s="8">
        <v>0.83838690115221348</v>
      </c>
      <c r="U1385" s="4">
        <v>77.099999999999994</v>
      </c>
      <c r="V1385" s="4">
        <v>0.98784983303181106</v>
      </c>
      <c r="W1385" s="4">
        <v>77.253016412721308</v>
      </c>
      <c r="X1385" s="4">
        <v>4.0469835872786888</v>
      </c>
    </row>
    <row r="1386" spans="11:24" x14ac:dyDescent="0.25">
      <c r="K1386" s="3"/>
      <c r="L1386" s="8">
        <v>89</v>
      </c>
      <c r="M1386" s="4"/>
      <c r="N1386" s="4"/>
      <c r="O1386" s="4"/>
      <c r="P1386" s="4"/>
      <c r="S1386" s="3">
        <v>1384</v>
      </c>
      <c r="T1386" s="8">
        <v>0.8389933292904791</v>
      </c>
      <c r="U1386" s="4">
        <v>77.2</v>
      </c>
      <c r="V1386" s="4">
        <v>0.99032898964496219</v>
      </c>
      <c r="W1386" s="4">
        <v>74.047388058507792</v>
      </c>
      <c r="X1386" s="4">
        <v>14.952611941492208</v>
      </c>
    </row>
    <row r="1387" spans="11:24" x14ac:dyDescent="0.25">
      <c r="K1387" s="3"/>
      <c r="L1387" s="8">
        <v>89</v>
      </c>
      <c r="M1387" s="4"/>
      <c r="N1387" s="4"/>
      <c r="O1387" s="4"/>
      <c r="P1387" s="4"/>
      <c r="S1387" s="3">
        <v>1385</v>
      </c>
      <c r="T1387" s="8">
        <v>0.83959975742874471</v>
      </c>
      <c r="U1387" s="4">
        <v>77.2</v>
      </c>
      <c r="V1387" s="4">
        <v>0.9928142480289136</v>
      </c>
      <c r="W1387" s="4">
        <v>73.998070699212192</v>
      </c>
      <c r="X1387" s="4">
        <v>14.001929300787808</v>
      </c>
    </row>
    <row r="1388" spans="11:24" x14ac:dyDescent="0.25">
      <c r="K1388" s="3"/>
      <c r="L1388" s="8">
        <v>89</v>
      </c>
      <c r="M1388" s="4"/>
      <c r="N1388" s="4"/>
      <c r="O1388" s="4"/>
      <c r="P1388" s="4"/>
      <c r="S1388" s="3">
        <v>1386</v>
      </c>
      <c r="T1388" s="8">
        <v>0.84020618556701032</v>
      </c>
      <c r="U1388" s="4">
        <v>77.2</v>
      </c>
      <c r="V1388" s="4">
        <v>0.99530565371974344</v>
      </c>
      <c r="W1388" s="4">
        <v>73.800801262029822</v>
      </c>
      <c r="X1388" s="4">
        <v>7.1991987379701783</v>
      </c>
    </row>
    <row r="1389" spans="11:24" x14ac:dyDescent="0.25">
      <c r="K1389" s="3"/>
      <c r="L1389" s="8">
        <v>89</v>
      </c>
      <c r="M1389" s="4"/>
      <c r="N1389" s="4"/>
      <c r="O1389" s="4"/>
      <c r="P1389" s="4"/>
      <c r="S1389" s="3">
        <v>1387</v>
      </c>
      <c r="T1389" s="8">
        <v>0.84081261370527594</v>
      </c>
      <c r="U1389" s="4">
        <v>77.2</v>
      </c>
      <c r="V1389" s="4">
        <v>0.99780325274509285</v>
      </c>
      <c r="W1389" s="4">
        <v>73.702166543438636</v>
      </c>
      <c r="X1389" s="4">
        <v>7.2978334565613636</v>
      </c>
    </row>
    <row r="1390" spans="11:24" x14ac:dyDescent="0.25">
      <c r="K1390" s="3"/>
      <c r="L1390" s="8">
        <v>89</v>
      </c>
      <c r="M1390" s="4"/>
      <c r="N1390" s="4"/>
      <c r="O1390" s="4"/>
      <c r="P1390" s="4"/>
      <c r="S1390" s="3">
        <v>1388</v>
      </c>
      <c r="T1390" s="8">
        <v>0.84141904184354155</v>
      </c>
      <c r="U1390" s="4">
        <v>77.3</v>
      </c>
      <c r="V1390" s="4">
        <v>1.0003070916314496</v>
      </c>
      <c r="W1390" s="4">
        <v>73.504897106256266</v>
      </c>
      <c r="X1390" s="4">
        <v>5.89510289374374</v>
      </c>
    </row>
    <row r="1391" spans="11:24" x14ac:dyDescent="0.25">
      <c r="K1391" s="3"/>
      <c r="L1391" s="8">
        <v>89</v>
      </c>
      <c r="M1391" s="4"/>
      <c r="N1391" s="4"/>
      <c r="O1391" s="4"/>
      <c r="P1391" s="4"/>
      <c r="S1391" s="3">
        <v>1389</v>
      </c>
      <c r="T1391" s="8">
        <v>0.84202546998180716</v>
      </c>
      <c r="U1391" s="4">
        <v>77.3</v>
      </c>
      <c r="V1391" s="4">
        <v>1.0028172174115739</v>
      </c>
      <c r="W1391" s="4">
        <v>73.504897106256266</v>
      </c>
      <c r="X1391" s="4">
        <v>5.9951028937437343</v>
      </c>
    </row>
    <row r="1392" spans="11:24" x14ac:dyDescent="0.25">
      <c r="K1392" s="3"/>
      <c r="L1392" s="8">
        <v>89</v>
      </c>
      <c r="M1392" s="4"/>
      <c r="N1392" s="4"/>
      <c r="O1392" s="4"/>
      <c r="P1392" s="4"/>
      <c r="S1392" s="3">
        <v>1390</v>
      </c>
      <c r="T1392" s="8">
        <v>0.84263189812007278</v>
      </c>
      <c r="U1392" s="4">
        <v>77.3</v>
      </c>
      <c r="V1392" s="4">
        <v>1.0053336776320525</v>
      </c>
      <c r="W1392" s="4">
        <v>73.45557974696068</v>
      </c>
      <c r="X1392" s="4">
        <v>5.9444202530393255</v>
      </c>
    </row>
    <row r="1393" spans="11:24" x14ac:dyDescent="0.25">
      <c r="K1393" s="3"/>
      <c r="L1393" s="8">
        <v>89</v>
      </c>
      <c r="M1393" s="4"/>
      <c r="N1393" s="4"/>
      <c r="O1393" s="4"/>
      <c r="P1393" s="4"/>
      <c r="S1393" s="3">
        <v>1391</v>
      </c>
      <c r="T1393" s="8">
        <v>0.84323832625833839</v>
      </c>
      <c r="U1393" s="4">
        <v>77.3</v>
      </c>
      <c r="V1393" s="4">
        <v>1.0078565203610084</v>
      </c>
      <c r="W1393" s="4">
        <v>73.356945028369495</v>
      </c>
      <c r="X1393" s="4">
        <v>5.7430549716304995</v>
      </c>
    </row>
    <row r="1394" spans="11:24" x14ac:dyDescent="0.25">
      <c r="K1394" s="3"/>
      <c r="L1394" s="8">
        <v>89</v>
      </c>
      <c r="M1394" s="4"/>
      <c r="N1394" s="4"/>
      <c r="O1394" s="4"/>
      <c r="P1394" s="4"/>
      <c r="S1394" s="3">
        <v>1392</v>
      </c>
      <c r="T1394" s="8">
        <v>0.843844754396604</v>
      </c>
      <c r="U1394" s="4">
        <v>77.3</v>
      </c>
      <c r="V1394" s="4">
        <v>1.0103857941959435</v>
      </c>
      <c r="W1394" s="4">
        <v>70.644490267111891</v>
      </c>
      <c r="X1394" s="4">
        <v>4.0555097328881118</v>
      </c>
    </row>
    <row r="1395" spans="11:24" x14ac:dyDescent="0.25">
      <c r="K1395" s="3"/>
      <c r="L1395" s="8">
        <v>89</v>
      </c>
      <c r="M1395" s="4"/>
      <c r="N1395" s="4"/>
      <c r="O1395" s="4"/>
      <c r="P1395" s="4"/>
      <c r="S1395" s="3">
        <v>1393</v>
      </c>
      <c r="T1395" s="8">
        <v>0.84445118253486962</v>
      </c>
      <c r="U1395" s="4">
        <v>77.5</v>
      </c>
      <c r="V1395" s="4">
        <v>1.0129215482717409</v>
      </c>
      <c r="W1395" s="4">
        <v>70.595172907816291</v>
      </c>
      <c r="X1395" s="4">
        <v>4.004827092183703</v>
      </c>
    </row>
    <row r="1396" spans="11:24" x14ac:dyDescent="0.25">
      <c r="K1396" s="3"/>
      <c r="L1396" s="8">
        <v>89</v>
      </c>
      <c r="M1396" s="4"/>
      <c r="N1396" s="4"/>
      <c r="O1396" s="4"/>
      <c r="P1396" s="4"/>
      <c r="S1396" s="3">
        <v>1394</v>
      </c>
      <c r="T1396" s="8">
        <v>0.84505761067313523</v>
      </c>
      <c r="U1396" s="4">
        <v>77.5</v>
      </c>
      <c r="V1396" s="4">
        <v>1.0154638322688128</v>
      </c>
      <c r="W1396" s="4">
        <v>70.545855548520706</v>
      </c>
      <c r="X1396" s="4">
        <v>3.9541444514792943</v>
      </c>
    </row>
    <row r="1397" spans="11:24" x14ac:dyDescent="0.25">
      <c r="K1397" s="3"/>
      <c r="L1397" s="8">
        <v>36.299999999999997</v>
      </c>
      <c r="M1397" s="4"/>
      <c r="N1397" s="4"/>
      <c r="O1397" s="4"/>
      <c r="P1397" s="4"/>
      <c r="S1397" s="3">
        <v>1395</v>
      </c>
      <c r="T1397" s="8">
        <v>0.84566403881140084</v>
      </c>
      <c r="U1397" s="4">
        <v>77.5</v>
      </c>
      <c r="V1397" s="4">
        <v>1.018012696421406</v>
      </c>
      <c r="W1397" s="4">
        <v>70.644490267111891</v>
      </c>
      <c r="X1397" s="4">
        <v>3.8555097328881089</v>
      </c>
    </row>
    <row r="1398" spans="11:24" x14ac:dyDescent="0.25">
      <c r="K1398" s="3"/>
      <c r="L1398" s="8">
        <v>36.299999999999997</v>
      </c>
      <c r="M1398" s="4"/>
      <c r="N1398" s="4"/>
      <c r="O1398" s="4"/>
      <c r="P1398" s="4"/>
      <c r="S1398" s="3">
        <v>1396</v>
      </c>
      <c r="T1398" s="8">
        <v>0.84627046694966646</v>
      </c>
      <c r="U1398" s="4">
        <v>77.599999999999994</v>
      </c>
      <c r="V1398" s="4">
        <v>1.0205681915260691</v>
      </c>
      <c r="W1398" s="4">
        <v>70.792442344998662</v>
      </c>
      <c r="X1398" s="4">
        <v>3.707557655001338</v>
      </c>
    </row>
    <row r="1399" spans="11:24" x14ac:dyDescent="0.25">
      <c r="K1399" s="3"/>
      <c r="L1399" s="8">
        <v>36.299999999999997</v>
      </c>
      <c r="M1399" s="4"/>
      <c r="N1399" s="4"/>
      <c r="O1399" s="4"/>
      <c r="P1399" s="4"/>
      <c r="S1399" s="3">
        <v>1397</v>
      </c>
      <c r="T1399" s="8">
        <v>0.84687689508793207</v>
      </c>
      <c r="U1399" s="4">
        <v>77.599999999999994</v>
      </c>
      <c r="V1399" s="4">
        <v>1.0231303689502789</v>
      </c>
      <c r="W1399" s="4">
        <v>68.573161176696999</v>
      </c>
      <c r="X1399" s="4">
        <v>3.2268388233029981</v>
      </c>
    </row>
    <row r="1400" spans="11:24" x14ac:dyDescent="0.25">
      <c r="K1400" s="3"/>
      <c r="L1400" s="8">
        <v>36.299999999999997</v>
      </c>
      <c r="M1400" s="4"/>
      <c r="N1400" s="4"/>
      <c r="O1400" s="4"/>
      <c r="P1400" s="4"/>
      <c r="S1400" s="3">
        <v>1398</v>
      </c>
      <c r="T1400" s="8">
        <v>0.84748332322619768</v>
      </c>
      <c r="U1400" s="4">
        <v>77.599999999999994</v>
      </c>
      <c r="V1400" s="4">
        <v>1.0256992806412388</v>
      </c>
      <c r="W1400" s="4">
        <v>69.115652128948511</v>
      </c>
      <c r="X1400" s="4">
        <v>3.1843478710514859</v>
      </c>
    </row>
    <row r="1401" spans="11:24" x14ac:dyDescent="0.25">
      <c r="K1401" s="3"/>
      <c r="L1401" s="8">
        <v>36.299999999999997</v>
      </c>
      <c r="M1401" s="4"/>
      <c r="N1401" s="4"/>
      <c r="O1401" s="4"/>
      <c r="P1401" s="4"/>
      <c r="S1401" s="3">
        <v>1399</v>
      </c>
      <c r="T1401" s="8">
        <v>0.8480897513644633</v>
      </c>
      <c r="U1401" s="4">
        <v>77.599999999999994</v>
      </c>
      <c r="V1401" s="4">
        <v>1.0282749791348438</v>
      </c>
      <c r="W1401" s="4">
        <v>70.397903470633921</v>
      </c>
      <c r="X1401" s="4">
        <v>3.3020965293660822</v>
      </c>
    </row>
    <row r="1402" spans="11:24" x14ac:dyDescent="0.25">
      <c r="K1402" s="3"/>
      <c r="L1402" s="8">
        <v>36.299999999999997</v>
      </c>
      <c r="M1402" s="4"/>
      <c r="N1402" s="4"/>
      <c r="O1402" s="4"/>
      <c r="P1402" s="4"/>
      <c r="S1402" s="3">
        <v>1400</v>
      </c>
      <c r="T1402" s="8">
        <v>0.84869617950272891</v>
      </c>
      <c r="U1402" s="4">
        <v>77.7</v>
      </c>
      <c r="V1402" s="4">
        <v>1.0308575175648229</v>
      </c>
      <c r="W1402" s="4">
        <v>70.44722082992952</v>
      </c>
      <c r="X1402" s="4">
        <v>3.3527791700704768</v>
      </c>
    </row>
    <row r="1403" spans="11:24" x14ac:dyDescent="0.25">
      <c r="K1403" s="3"/>
      <c r="L1403" s="8">
        <v>36.299999999999997</v>
      </c>
      <c r="M1403" s="4"/>
      <c r="N1403" s="4"/>
      <c r="O1403" s="4"/>
      <c r="P1403" s="4"/>
      <c r="S1403" s="3">
        <v>1401</v>
      </c>
      <c r="T1403" s="8">
        <v>0.84930260764099452</v>
      </c>
      <c r="U1403" s="4">
        <v>77.7</v>
      </c>
      <c r="V1403" s="4">
        <v>1.0334469496720604</v>
      </c>
      <c r="W1403" s="4">
        <v>70.792442344998662</v>
      </c>
      <c r="X1403" s="4">
        <v>3.4075576550013409</v>
      </c>
    </row>
    <row r="1404" spans="11:24" x14ac:dyDescent="0.25">
      <c r="K1404" s="3"/>
      <c r="L1404" s="8">
        <v>36.299999999999997</v>
      </c>
      <c r="M1404" s="4"/>
      <c r="N1404" s="4"/>
      <c r="O1404" s="4"/>
      <c r="P1404" s="4"/>
      <c r="S1404" s="3">
        <v>1402</v>
      </c>
      <c r="T1404" s="8">
        <v>0.84990903577926014</v>
      </c>
      <c r="U1404" s="4">
        <v>77.7</v>
      </c>
      <c r="V1404" s="4">
        <v>1.0360433298140987</v>
      </c>
      <c r="W1404" s="4">
        <v>67.882718146558688</v>
      </c>
      <c r="X1404" s="4">
        <v>1.2172818534413068</v>
      </c>
    </row>
    <row r="1405" spans="11:24" x14ac:dyDescent="0.25">
      <c r="K1405" s="3"/>
      <c r="L1405" s="8">
        <v>36.299999999999997</v>
      </c>
      <c r="M1405" s="4"/>
      <c r="N1405" s="4"/>
      <c r="O1405" s="4"/>
      <c r="P1405" s="4"/>
      <c r="S1405" s="3">
        <v>1403</v>
      </c>
      <c r="T1405" s="8">
        <v>0.85051546391752575</v>
      </c>
      <c r="U1405" s="4">
        <v>77.8</v>
      </c>
      <c r="V1405" s="4">
        <v>1.0386467129748327</v>
      </c>
      <c r="W1405" s="4">
        <v>70.397903470633921</v>
      </c>
      <c r="X1405" s="4">
        <v>3.5020965293660851</v>
      </c>
    </row>
    <row r="1406" spans="11:24" x14ac:dyDescent="0.25">
      <c r="K1406" s="3"/>
      <c r="L1406" s="8">
        <v>36.299999999999997</v>
      </c>
      <c r="M1406" s="4"/>
      <c r="N1406" s="4"/>
      <c r="O1406" s="4"/>
      <c r="P1406" s="4"/>
      <c r="S1406" s="3">
        <v>1404</v>
      </c>
      <c r="T1406" s="8">
        <v>0.85112189205579136</v>
      </c>
      <c r="U1406" s="4">
        <v>77.8</v>
      </c>
      <c r="V1406" s="4">
        <v>1.0412571547743916</v>
      </c>
      <c r="W1406" s="4">
        <v>68.819747973174955</v>
      </c>
      <c r="X1406" s="4">
        <v>2.5802520268250504</v>
      </c>
    </row>
    <row r="1407" spans="11:24" x14ac:dyDescent="0.25">
      <c r="K1407" s="3"/>
      <c r="L1407" s="8">
        <v>36.299999999999997</v>
      </c>
      <c r="M1407" s="4"/>
      <c r="N1407" s="4"/>
      <c r="O1407" s="4"/>
      <c r="P1407" s="4"/>
      <c r="S1407" s="3">
        <v>1405</v>
      </c>
      <c r="T1407" s="8">
        <v>0.85172832019405698</v>
      </c>
      <c r="U1407" s="4">
        <v>77.8</v>
      </c>
      <c r="V1407" s="4">
        <v>1.0438747114792224</v>
      </c>
      <c r="W1407" s="4">
        <v>68.77043061387937</v>
      </c>
      <c r="X1407" s="4">
        <v>2.4295693861206331</v>
      </c>
    </row>
    <row r="1408" spans="11:24" x14ac:dyDescent="0.25">
      <c r="K1408" s="3"/>
      <c r="L1408" s="8">
        <v>36.299999999999997</v>
      </c>
      <c r="M1408" s="4"/>
      <c r="N1408" s="4"/>
      <c r="O1408" s="4"/>
      <c r="P1408" s="4"/>
      <c r="S1408" s="3">
        <v>1406</v>
      </c>
      <c r="T1408" s="8">
        <v>0.85233474833232259</v>
      </c>
      <c r="U1408" s="4">
        <v>77.900000000000006</v>
      </c>
      <c r="V1408" s="4">
        <v>1.0464994400123706</v>
      </c>
      <c r="W1408" s="4">
        <v>68.819747973174955</v>
      </c>
      <c r="X1408" s="4">
        <v>2.4802520268250419</v>
      </c>
    </row>
    <row r="1409" spans="11:24" x14ac:dyDescent="0.25">
      <c r="K1409" s="3"/>
      <c r="L1409" s="8">
        <v>36.299999999999997</v>
      </c>
      <c r="M1409" s="4"/>
      <c r="N1409" s="4"/>
      <c r="O1409" s="4"/>
      <c r="P1409" s="4"/>
      <c r="S1409" s="3">
        <v>1407</v>
      </c>
      <c r="T1409" s="8">
        <v>0.8529411764705882</v>
      </c>
      <c r="U1409" s="4">
        <v>78</v>
      </c>
      <c r="V1409" s="4">
        <v>1.0491313979639711</v>
      </c>
      <c r="W1409" s="4">
        <v>68.375891739514628</v>
      </c>
      <c r="X1409" s="4">
        <v>7.6241082604853716</v>
      </c>
    </row>
    <row r="1410" spans="11:24" x14ac:dyDescent="0.25">
      <c r="K1410" s="3"/>
      <c r="L1410" s="8">
        <v>36.299999999999997</v>
      </c>
      <c r="M1410" s="4"/>
      <c r="N1410" s="4"/>
      <c r="O1410" s="4"/>
      <c r="P1410" s="4"/>
      <c r="S1410" s="3">
        <v>1408</v>
      </c>
      <c r="T1410" s="8">
        <v>0.85354760460885382</v>
      </c>
      <c r="U1410" s="4">
        <v>78</v>
      </c>
      <c r="V1410" s="4">
        <v>1.0517706436019481</v>
      </c>
      <c r="W1410" s="4">
        <v>76.661208101174196</v>
      </c>
      <c r="X1410" s="4">
        <v>-3.6612081011741964</v>
      </c>
    </row>
    <row r="1411" spans="11:24" x14ac:dyDescent="0.25">
      <c r="K1411" s="3"/>
      <c r="L1411" s="8">
        <v>36.299999999999997</v>
      </c>
      <c r="M1411" s="4"/>
      <c r="N1411" s="4"/>
      <c r="O1411" s="4"/>
      <c r="P1411" s="4"/>
      <c r="S1411" s="3">
        <v>1409</v>
      </c>
      <c r="T1411" s="8">
        <v>0.85415403274711943</v>
      </c>
      <c r="U1411" s="4">
        <v>78</v>
      </c>
      <c r="V1411" s="4">
        <v>1.0544172358829325</v>
      </c>
      <c r="W1411" s="4">
        <v>67.932035505854287</v>
      </c>
      <c r="X1411" s="4">
        <v>2.0679644941457127</v>
      </c>
    </row>
    <row r="1412" spans="11:24" x14ac:dyDescent="0.25">
      <c r="K1412" s="3"/>
      <c r="L1412" s="8">
        <v>36.299999999999997</v>
      </c>
      <c r="M1412" s="4"/>
      <c r="N1412" s="4"/>
      <c r="O1412" s="4"/>
      <c r="P1412" s="4"/>
      <c r="S1412" s="3">
        <v>1410</v>
      </c>
      <c r="T1412" s="8">
        <v>0.85476046088538504</v>
      </c>
      <c r="U1412" s="4">
        <v>78</v>
      </c>
      <c r="V1412" s="4">
        <v>1.0570712344634026</v>
      </c>
      <c r="W1412" s="4">
        <v>67.932035505854287</v>
      </c>
      <c r="X1412" s="4">
        <v>1.8679644941457099</v>
      </c>
    </row>
    <row r="1413" spans="11:24" x14ac:dyDescent="0.25">
      <c r="K1413" s="3"/>
      <c r="L1413" s="8">
        <v>36.299999999999997</v>
      </c>
      <c r="M1413" s="4"/>
      <c r="N1413" s="4"/>
      <c r="O1413" s="4"/>
      <c r="P1413" s="4"/>
      <c r="S1413" s="3">
        <v>1411</v>
      </c>
      <c r="T1413" s="8">
        <v>0.85536688902365066</v>
      </c>
      <c r="U1413" s="4">
        <v>78</v>
      </c>
      <c r="V1413" s="4">
        <v>1.0597326997110486</v>
      </c>
      <c r="W1413" s="4">
        <v>76.513256023287425</v>
      </c>
      <c r="X1413" s="4">
        <v>-7.0132560232874255</v>
      </c>
    </row>
    <row r="1414" spans="11:24" x14ac:dyDescent="0.25">
      <c r="K1414" s="3"/>
      <c r="L1414" s="8">
        <v>36.299999999999997</v>
      </c>
      <c r="M1414" s="4"/>
      <c r="N1414" s="4"/>
      <c r="O1414" s="4"/>
      <c r="P1414" s="4"/>
      <c r="S1414" s="3">
        <v>1412</v>
      </c>
      <c r="T1414" s="8">
        <v>0.85597331716191627</v>
      </c>
      <c r="U1414" s="4">
        <v>78</v>
      </c>
      <c r="V1414" s="4">
        <v>1.0624016927163757</v>
      </c>
      <c r="W1414" s="4">
        <v>67.784083427967502</v>
      </c>
      <c r="X1414" s="4">
        <v>1.515916572032495</v>
      </c>
    </row>
    <row r="1415" spans="11:24" x14ac:dyDescent="0.25">
      <c r="K1415" s="3"/>
      <c r="L1415" s="8">
        <v>36.299999999999997</v>
      </c>
      <c r="M1415" s="4"/>
      <c r="N1415" s="4"/>
      <c r="O1415" s="4"/>
      <c r="P1415" s="4"/>
      <c r="S1415" s="3">
        <v>1413</v>
      </c>
      <c r="T1415" s="8">
        <v>0.85657974530018188</v>
      </c>
      <c r="U1415" s="4">
        <v>78</v>
      </c>
      <c r="V1415" s="4">
        <v>1.06507827530454</v>
      </c>
      <c r="W1415" s="4">
        <v>76.36530394540064</v>
      </c>
      <c r="X1415" s="4">
        <v>-7.4653039454006347</v>
      </c>
    </row>
    <row r="1416" spans="11:24" x14ac:dyDescent="0.25">
      <c r="K1416" s="3"/>
      <c r="L1416" s="8">
        <v>36.299999999999997</v>
      </c>
      <c r="M1416" s="4"/>
      <c r="N1416" s="4"/>
      <c r="O1416" s="4"/>
      <c r="P1416" s="4"/>
      <c r="S1416" s="3">
        <v>1414</v>
      </c>
      <c r="T1416" s="8">
        <v>0.8571861734384475</v>
      </c>
      <c r="U1416" s="4">
        <v>78</v>
      </c>
      <c r="V1416" s="4">
        <v>1.0677625100474346</v>
      </c>
      <c r="W1416" s="4">
        <v>58.759006676874037</v>
      </c>
      <c r="X1416" s="4">
        <v>-0.35900667687403853</v>
      </c>
    </row>
    <row r="1417" spans="11:24" x14ac:dyDescent="0.25">
      <c r="K1417" s="3"/>
      <c r="L1417" s="8">
        <v>36.299999999999997</v>
      </c>
      <c r="M1417" s="4"/>
      <c r="N1417" s="4"/>
      <c r="O1417" s="4"/>
      <c r="P1417" s="4"/>
      <c r="S1417" s="3">
        <v>1415</v>
      </c>
      <c r="T1417" s="8">
        <v>0.85779260157671311</v>
      </c>
      <c r="U1417" s="4">
        <v>78</v>
      </c>
      <c r="V1417" s="4">
        <v>1.0704544602760229</v>
      </c>
      <c r="W1417" s="4">
        <v>58.216515724622518</v>
      </c>
      <c r="X1417" s="4">
        <v>-0.61651572462251636</v>
      </c>
    </row>
    <row r="1418" spans="11:24" x14ac:dyDescent="0.25">
      <c r="K1418" s="3"/>
      <c r="L1418" s="8">
        <v>36.299999999999997</v>
      </c>
      <c r="M1418" s="4"/>
      <c r="N1418" s="4"/>
      <c r="O1418" s="4"/>
      <c r="P1418" s="4"/>
      <c r="S1418" s="3">
        <v>1416</v>
      </c>
      <c r="T1418" s="8">
        <v>0.85839902971497872</v>
      </c>
      <c r="U1418" s="4">
        <v>78</v>
      </c>
      <c r="V1418" s="4">
        <v>1.0731541900929304</v>
      </c>
      <c r="W1418" s="4">
        <v>57.279485898006257</v>
      </c>
      <c r="X1418" s="4">
        <v>-0.77948589800625712</v>
      </c>
    </row>
    <row r="1419" spans="11:24" x14ac:dyDescent="0.25">
      <c r="K1419" s="3"/>
      <c r="L1419" s="8">
        <v>36.299999999999997</v>
      </c>
      <c r="M1419" s="4"/>
      <c r="N1419" s="4"/>
      <c r="O1419" s="4"/>
      <c r="P1419" s="4"/>
      <c r="S1419" s="3">
        <v>1417</v>
      </c>
      <c r="T1419" s="8">
        <v>0.85900545785324434</v>
      </c>
      <c r="U1419" s="4">
        <v>78</v>
      </c>
      <c r="V1419" s="4">
        <v>1.0758617643853019</v>
      </c>
      <c r="W1419" s="4">
        <v>55.997234556320848</v>
      </c>
      <c r="X1419" s="4">
        <v>-0.99723455632084779</v>
      </c>
    </row>
    <row r="1420" spans="11:24" x14ac:dyDescent="0.25">
      <c r="K1420" s="3"/>
      <c r="L1420" s="8">
        <v>36.299999999999997</v>
      </c>
      <c r="M1420" s="4"/>
      <c r="N1420" s="4"/>
      <c r="O1420" s="4"/>
      <c r="P1420" s="4"/>
      <c r="S1420" s="3">
        <v>1418</v>
      </c>
      <c r="T1420" s="8">
        <v>0.85961188599151006</v>
      </c>
      <c r="U1420" s="4">
        <v>78</v>
      </c>
      <c r="V1420" s="4">
        <v>1.0785772488379262</v>
      </c>
      <c r="W1420" s="4">
        <v>54.961570011113395</v>
      </c>
      <c r="X1420" s="4">
        <v>-1.3615700111133933</v>
      </c>
    </row>
    <row r="1421" spans="11:24" x14ac:dyDescent="0.25">
      <c r="K1421" s="3"/>
      <c r="L1421" s="8">
        <v>36.299999999999997</v>
      </c>
      <c r="M1421" s="4"/>
      <c r="N1421" s="4"/>
      <c r="O1421" s="4"/>
      <c r="P1421" s="4"/>
      <c r="S1421" s="3">
        <v>1419</v>
      </c>
      <c r="T1421" s="8">
        <v>0.86021831412977567</v>
      </c>
      <c r="U1421" s="4">
        <v>78</v>
      </c>
      <c r="V1421" s="4">
        <v>1.0813007099466392</v>
      </c>
      <c r="W1421" s="4">
        <v>75.329639400193201</v>
      </c>
      <c r="X1421" s="4">
        <v>-22.7296394001932</v>
      </c>
    </row>
    <row r="1422" spans="11:24" x14ac:dyDescent="0.25">
      <c r="K1422" s="3"/>
      <c r="L1422" s="8">
        <v>36.299999999999997</v>
      </c>
      <c r="M1422" s="4"/>
      <c r="N1422" s="4"/>
      <c r="O1422" s="4"/>
      <c r="P1422" s="4"/>
      <c r="S1422" s="3">
        <v>1420</v>
      </c>
      <c r="T1422" s="8">
        <v>0.86082474226804129</v>
      </c>
      <c r="U1422" s="4">
        <v>78</v>
      </c>
      <c r="V1422" s="4">
        <v>1.0840322150320143</v>
      </c>
      <c r="W1422" s="4">
        <v>54.073857543792727</v>
      </c>
      <c r="X1422" s="4">
        <v>-2.6738575437927281</v>
      </c>
    </row>
    <row r="1423" spans="11:24" x14ac:dyDescent="0.25">
      <c r="K1423" s="3"/>
      <c r="L1423" s="8">
        <v>36.299999999999997</v>
      </c>
      <c r="M1423" s="4"/>
      <c r="N1423" s="4"/>
      <c r="O1423" s="4"/>
      <c r="P1423" s="4"/>
      <c r="S1423" s="3">
        <v>1421</v>
      </c>
      <c r="T1423" s="8">
        <v>0.8614311704063069</v>
      </c>
      <c r="U1423" s="4">
        <v>78</v>
      </c>
      <c r="V1423" s="4">
        <v>1.0867718322533395</v>
      </c>
      <c r="W1423" s="4">
        <v>75.083052603715231</v>
      </c>
      <c r="X1423" s="4">
        <v>-25.083052603715231</v>
      </c>
    </row>
    <row r="1424" spans="11:24" x14ac:dyDescent="0.25">
      <c r="K1424" s="3"/>
      <c r="L1424" s="8">
        <v>36.299999999999997</v>
      </c>
      <c r="M1424" s="4"/>
      <c r="N1424" s="4"/>
      <c r="O1424" s="4"/>
      <c r="P1424" s="4"/>
      <c r="S1424" s="3">
        <v>1422</v>
      </c>
      <c r="T1424" s="8">
        <v>0.86203759854457251</v>
      </c>
      <c r="U1424" s="4">
        <v>78</v>
      </c>
      <c r="V1424" s="4">
        <v>1.0895196306228985</v>
      </c>
      <c r="W1424" s="4">
        <v>49.783247285076158</v>
      </c>
      <c r="X1424" s="4">
        <v>-1.9832472850761604</v>
      </c>
    </row>
    <row r="1425" spans="11:24" x14ac:dyDescent="0.25">
      <c r="K1425" s="3"/>
      <c r="L1425" s="8">
        <v>36.299999999999997</v>
      </c>
      <c r="M1425" s="4"/>
      <c r="N1425" s="4"/>
      <c r="O1425" s="4"/>
      <c r="P1425" s="4"/>
      <c r="S1425" s="3">
        <v>1423</v>
      </c>
      <c r="T1425" s="8">
        <v>0.86264402668283813</v>
      </c>
      <c r="U1425" s="4">
        <v>78</v>
      </c>
      <c r="V1425" s="4">
        <v>1.0922756800205551</v>
      </c>
      <c r="W1425" s="4">
        <v>74.491244292168119</v>
      </c>
      <c r="X1425" s="4">
        <v>-28.491244292168119</v>
      </c>
    </row>
    <row r="1426" spans="11:24" x14ac:dyDescent="0.25">
      <c r="K1426" s="3"/>
      <c r="L1426" s="8">
        <v>36.299999999999997</v>
      </c>
      <c r="M1426" s="4"/>
      <c r="N1426" s="4"/>
      <c r="O1426" s="4"/>
      <c r="P1426" s="4"/>
      <c r="S1426" s="3">
        <v>1424</v>
      </c>
      <c r="T1426" s="8">
        <v>0.86325045482110374</v>
      </c>
      <c r="U1426" s="4">
        <v>78.099999999999994</v>
      </c>
      <c r="V1426" s="4">
        <v>1.0950400512086553</v>
      </c>
      <c r="W1426" s="4">
        <v>74.195340136394563</v>
      </c>
      <c r="X1426" s="4">
        <v>-28.595340136394562</v>
      </c>
    </row>
    <row r="1427" spans="11:24" x14ac:dyDescent="0.25">
      <c r="K1427" s="3"/>
      <c r="L1427" s="8">
        <v>36.299999999999997</v>
      </c>
      <c r="M1427" s="4"/>
      <c r="N1427" s="4"/>
      <c r="O1427" s="4"/>
      <c r="P1427" s="4"/>
      <c r="S1427" s="3">
        <v>1425</v>
      </c>
      <c r="T1427" s="8">
        <v>0.86385688295936935</v>
      </c>
      <c r="U1427" s="4">
        <v>78.099999999999994</v>
      </c>
      <c r="V1427" s="4">
        <v>1.0978128158472511</v>
      </c>
      <c r="W1427" s="4">
        <v>77.302333772016908</v>
      </c>
      <c r="X1427" s="4">
        <v>-31.40233377201691</v>
      </c>
    </row>
    <row r="1428" spans="11:24" x14ac:dyDescent="0.25">
      <c r="K1428" s="3"/>
      <c r="L1428" s="8">
        <v>36.299999999999997</v>
      </c>
      <c r="M1428" s="4"/>
      <c r="N1428" s="4"/>
      <c r="O1428" s="4"/>
      <c r="P1428" s="4"/>
      <c r="S1428" s="3">
        <v>1426</v>
      </c>
      <c r="T1428" s="8">
        <v>0.86446331109763497</v>
      </c>
      <c r="U1428" s="4">
        <v>78.099999999999994</v>
      </c>
      <c r="V1428" s="4">
        <v>1.1005940465096582</v>
      </c>
      <c r="W1428" s="4">
        <v>48.648948021277519</v>
      </c>
      <c r="X1428" s="4">
        <v>-2.2489480212775206</v>
      </c>
    </row>
    <row r="1429" spans="11:24" x14ac:dyDescent="0.25">
      <c r="K1429" s="3"/>
      <c r="L1429" s="8">
        <v>36.299999999999997</v>
      </c>
      <c r="M1429" s="4"/>
      <c r="N1429" s="4"/>
      <c r="O1429" s="4"/>
      <c r="P1429" s="4"/>
      <c r="S1429" s="3">
        <v>1427</v>
      </c>
      <c r="T1429" s="8">
        <v>0.86506973923590058</v>
      </c>
      <c r="U1429" s="4">
        <v>78.2</v>
      </c>
      <c r="V1429" s="4">
        <v>1.1033838166983496</v>
      </c>
      <c r="W1429" s="4">
        <v>49.585977847893787</v>
      </c>
      <c r="X1429" s="4">
        <v>-2.4859778478937855</v>
      </c>
    </row>
    <row r="1430" spans="11:24" x14ac:dyDescent="0.25">
      <c r="K1430" s="3"/>
      <c r="L1430" s="8">
        <v>36.299999999999997</v>
      </c>
      <c r="M1430" s="4"/>
      <c r="N1430" s="4"/>
      <c r="O1430" s="4"/>
      <c r="P1430" s="4"/>
      <c r="S1430" s="3">
        <v>1428</v>
      </c>
      <c r="T1430" s="8">
        <v>0.86567616737416619</v>
      </c>
      <c r="U1430" s="4">
        <v>78.2</v>
      </c>
      <c r="V1430" s="4">
        <v>1.1061822008612072</v>
      </c>
      <c r="W1430" s="4">
        <v>51.164133345352752</v>
      </c>
      <c r="X1430" s="4">
        <v>-2.7641333453527537</v>
      </c>
    </row>
    <row r="1431" spans="11:24" x14ac:dyDescent="0.25">
      <c r="K1431" s="3"/>
      <c r="L1431" s="8">
        <v>36.299999999999997</v>
      </c>
      <c r="M1431" s="4"/>
      <c r="N1431" s="4"/>
      <c r="O1431" s="4"/>
      <c r="P1431" s="4"/>
      <c r="S1431" s="3">
        <v>1429</v>
      </c>
      <c r="T1431" s="8">
        <v>0.86628259551243181</v>
      </c>
      <c r="U1431" s="4">
        <v>78.2</v>
      </c>
      <c r="V1431" s="4">
        <v>1.1089892744081202</v>
      </c>
      <c r="W1431" s="4">
        <v>74.93510052582846</v>
      </c>
      <c r="X1431" s="4">
        <v>7.364899474171537</v>
      </c>
    </row>
    <row r="1432" spans="11:24" x14ac:dyDescent="0.25">
      <c r="K1432" s="3"/>
      <c r="L1432" s="8">
        <v>36.299999999999997</v>
      </c>
      <c r="M1432" s="4"/>
      <c r="N1432" s="4"/>
      <c r="O1432" s="4"/>
      <c r="P1432" s="4"/>
      <c r="S1432" s="3">
        <v>1430</v>
      </c>
      <c r="T1432" s="8">
        <v>0.86688902365069742</v>
      </c>
      <c r="U1432" s="4">
        <v>78.3</v>
      </c>
      <c r="V1432" s="4">
        <v>1.1118051137279643</v>
      </c>
      <c r="W1432" s="4">
        <v>74.787148447941675</v>
      </c>
      <c r="X1432" s="4">
        <v>7.1128515520583306</v>
      </c>
    </row>
    <row r="1433" spans="11:24" x14ac:dyDescent="0.25">
      <c r="K1433" s="3"/>
      <c r="L1433" s="8">
        <v>36.299999999999997</v>
      </c>
      <c r="M1433" s="4"/>
      <c r="N1433" s="4"/>
      <c r="O1433" s="4"/>
      <c r="P1433" s="4"/>
      <c r="S1433" s="3">
        <v>1431</v>
      </c>
      <c r="T1433" s="8">
        <v>0.86749545178896303</v>
      </c>
      <c r="U1433" s="4">
        <v>78.3</v>
      </c>
      <c r="V1433" s="4">
        <v>1.1146297962059522</v>
      </c>
      <c r="W1433" s="4">
        <v>74.787148447941675</v>
      </c>
      <c r="X1433" s="4">
        <v>6.9128515520583278</v>
      </c>
    </row>
    <row r="1434" spans="11:24" x14ac:dyDescent="0.25">
      <c r="K1434" s="3"/>
      <c r="L1434" s="8">
        <v>36.299999999999997</v>
      </c>
      <c r="M1434" s="4"/>
      <c r="N1434" s="4"/>
      <c r="O1434" s="4"/>
      <c r="P1434" s="4"/>
      <c r="S1434" s="3">
        <v>1432</v>
      </c>
      <c r="T1434" s="8">
        <v>0.86810187992722865</v>
      </c>
      <c r="U1434" s="4">
        <v>78.3</v>
      </c>
      <c r="V1434" s="4">
        <v>1.1174634002413724</v>
      </c>
      <c r="W1434" s="4">
        <v>74.737831088646089</v>
      </c>
      <c r="X1434" s="4">
        <v>6.9621689113539134</v>
      </c>
    </row>
    <row r="1435" spans="11:24" x14ac:dyDescent="0.25">
      <c r="K1435" s="3"/>
      <c r="L1435" s="8">
        <v>36.299999999999997</v>
      </c>
      <c r="M1435" s="4"/>
      <c r="N1435" s="4"/>
      <c r="O1435" s="4"/>
      <c r="P1435" s="4"/>
      <c r="S1435" s="3">
        <v>1433</v>
      </c>
      <c r="T1435" s="8">
        <v>0.86870830806549426</v>
      </c>
      <c r="U1435" s="4">
        <v>78.3</v>
      </c>
      <c r="V1435" s="4">
        <v>1.1203060052657317</v>
      </c>
      <c r="W1435" s="4">
        <v>71.630837453023744</v>
      </c>
      <c r="X1435" s="4">
        <v>2.1691625469762528</v>
      </c>
    </row>
    <row r="1436" spans="11:24" x14ac:dyDescent="0.25">
      <c r="K1436" s="3"/>
      <c r="L1436" s="8">
        <v>36.299999999999997</v>
      </c>
      <c r="M1436" s="4"/>
      <c r="N1436" s="4"/>
      <c r="O1436" s="4"/>
      <c r="P1436" s="4"/>
      <c r="S1436" s="3">
        <v>1434</v>
      </c>
      <c r="T1436" s="8">
        <v>0.86931473620375987</v>
      </c>
      <c r="U1436" s="4">
        <v>78.400000000000006</v>
      </c>
      <c r="V1436" s="4">
        <v>1.1231576917613035</v>
      </c>
      <c r="W1436" s="4">
        <v>71.532202734432559</v>
      </c>
      <c r="X1436" s="4">
        <v>2.1677972655674438</v>
      </c>
    </row>
    <row r="1437" spans="11:24" x14ac:dyDescent="0.25">
      <c r="K1437" s="3"/>
      <c r="L1437" s="8">
        <v>36.299999999999997</v>
      </c>
      <c r="M1437" s="4"/>
      <c r="N1437" s="4"/>
      <c r="O1437" s="4"/>
      <c r="P1437" s="4"/>
      <c r="S1437" s="3">
        <v>1435</v>
      </c>
      <c r="T1437" s="8">
        <v>0.86992116434202549</v>
      </c>
      <c r="U1437" s="4">
        <v>78.400000000000006</v>
      </c>
      <c r="V1437" s="4">
        <v>1.1260185412800998</v>
      </c>
      <c r="W1437" s="4">
        <v>71.334933297250188</v>
      </c>
      <c r="X1437" s="4">
        <v>2.1650667027498116</v>
      </c>
    </row>
    <row r="1438" spans="11:24" x14ac:dyDescent="0.25">
      <c r="K1438" s="3"/>
      <c r="L1438" s="8">
        <v>36.299999999999997</v>
      </c>
      <c r="M1438" s="4"/>
      <c r="N1438" s="4"/>
      <c r="O1438" s="4"/>
      <c r="P1438" s="4"/>
      <c r="S1438" s="3">
        <v>1436</v>
      </c>
      <c r="T1438" s="8">
        <v>0.8705275924802911</v>
      </c>
      <c r="U1438" s="4">
        <v>78.5</v>
      </c>
      <c r="V1438" s="4">
        <v>1.128888636463274</v>
      </c>
      <c r="W1438" s="4">
        <v>71.137663860067818</v>
      </c>
      <c r="X1438" s="4">
        <v>2.0623361399321851</v>
      </c>
    </row>
    <row r="1439" spans="11:24" x14ac:dyDescent="0.25">
      <c r="K1439" s="3"/>
      <c r="L1439" s="8">
        <v>36.299999999999997</v>
      </c>
      <c r="M1439" s="4"/>
      <c r="N1439" s="4"/>
      <c r="O1439" s="4"/>
      <c r="P1439" s="4"/>
      <c r="S1439" s="3">
        <v>1437</v>
      </c>
      <c r="T1439" s="8">
        <v>0.87113402061855671</v>
      </c>
      <c r="U1439" s="4">
        <v>78.5</v>
      </c>
      <c r="V1439" s="4">
        <v>1.1317680610609704</v>
      </c>
      <c r="W1439" s="4">
        <v>70.989711782181033</v>
      </c>
      <c r="X1439" s="4">
        <v>2.0102882178189674</v>
      </c>
    </row>
    <row r="1440" spans="11:24" x14ac:dyDescent="0.25">
      <c r="K1440" s="3"/>
      <c r="L1440" s="8">
        <v>36.299999999999997</v>
      </c>
      <c r="M1440" s="4"/>
      <c r="N1440" s="4"/>
      <c r="O1440" s="4"/>
      <c r="P1440" s="4"/>
      <c r="S1440" s="3">
        <v>1438</v>
      </c>
      <c r="T1440" s="8">
        <v>0.87174044875682233</v>
      </c>
      <c r="U1440" s="4">
        <v>78.5</v>
      </c>
      <c r="V1440" s="4">
        <v>1.1346568999526305</v>
      </c>
      <c r="W1440" s="4">
        <v>70.940394422885447</v>
      </c>
      <c r="X1440" s="4">
        <v>1.8596055771145501</v>
      </c>
    </row>
    <row r="1441" spans="11:24" x14ac:dyDescent="0.25">
      <c r="K1441" s="3"/>
      <c r="L1441" s="8">
        <v>36.299999999999997</v>
      </c>
      <c r="M1441" s="4"/>
      <c r="N1441" s="4"/>
      <c r="O1441" s="4"/>
      <c r="P1441" s="4"/>
      <c r="S1441" s="3">
        <v>1439</v>
      </c>
      <c r="T1441" s="8">
        <v>0.87234687689508794</v>
      </c>
      <c r="U1441" s="4">
        <v>78.5</v>
      </c>
      <c r="V1441" s="4">
        <v>1.1375552391677677</v>
      </c>
      <c r="W1441" s="4">
        <v>70.940394422885447</v>
      </c>
      <c r="X1441" s="4">
        <v>1.7596055771145558</v>
      </c>
    </row>
    <row r="1442" spans="11:24" x14ac:dyDescent="0.25">
      <c r="K1442" s="3"/>
      <c r="L1442" s="8">
        <v>36.299999999999997</v>
      </c>
      <c r="M1442" s="4"/>
      <c r="N1442" s="4"/>
      <c r="O1442" s="4"/>
      <c r="P1442" s="4"/>
      <c r="S1442" s="3">
        <v>1440</v>
      </c>
      <c r="T1442" s="8">
        <v>0.87295330503335355</v>
      </c>
      <c r="U1442" s="4">
        <v>78.599999999999994</v>
      </c>
      <c r="V1442" s="4">
        <v>1.1404631659072275</v>
      </c>
      <c r="W1442" s="4">
        <v>70.891077063589847</v>
      </c>
      <c r="X1442" s="4">
        <v>1.708922936410147</v>
      </c>
    </row>
    <row r="1443" spans="11:24" x14ac:dyDescent="0.25">
      <c r="K1443" s="3"/>
      <c r="L1443" s="8">
        <v>36.299999999999997</v>
      </c>
      <c r="M1443" s="4"/>
      <c r="N1443" s="4"/>
      <c r="O1443" s="4"/>
      <c r="P1443" s="4"/>
      <c r="S1443" s="3">
        <v>1441</v>
      </c>
      <c r="T1443" s="8">
        <v>0.87355973317161917</v>
      </c>
      <c r="U1443" s="4">
        <v>78.599999999999994</v>
      </c>
      <c r="V1443" s="4">
        <v>1.1433807685649418</v>
      </c>
      <c r="W1443" s="4">
        <v>69.608825721904438</v>
      </c>
      <c r="X1443" s="4">
        <v>-8.8257219044436397E-3</v>
      </c>
    </row>
    <row r="1444" spans="11:24" x14ac:dyDescent="0.25">
      <c r="K1444" s="3"/>
      <c r="L1444" s="8">
        <v>36.299999999999997</v>
      </c>
      <c r="M1444" s="4"/>
      <c r="N1444" s="4"/>
      <c r="O1444" s="4"/>
      <c r="P1444" s="4"/>
      <c r="S1444" s="3">
        <v>1442</v>
      </c>
      <c r="T1444" s="8">
        <v>0.87416616130988478</v>
      </c>
      <c r="U1444" s="4">
        <v>78.599999999999994</v>
      </c>
      <c r="V1444" s="4">
        <v>1.1463081367501959</v>
      </c>
      <c r="W1444" s="4">
        <v>69.559508362608852</v>
      </c>
      <c r="X1444" s="4">
        <v>-0.25950836260885524</v>
      </c>
    </row>
    <row r="1445" spans="11:24" x14ac:dyDescent="0.25">
      <c r="K1445" s="3"/>
      <c r="L1445" s="8">
        <v>36.299999999999997</v>
      </c>
      <c r="M1445" s="4"/>
      <c r="N1445" s="4"/>
      <c r="O1445" s="4"/>
      <c r="P1445" s="4"/>
      <c r="S1445" s="3">
        <v>1443</v>
      </c>
      <c r="T1445" s="8">
        <v>0.87477258944815039</v>
      </c>
      <c r="U1445" s="4">
        <v>78.599999999999994</v>
      </c>
      <c r="V1445" s="4">
        <v>1.1492453613104205</v>
      </c>
      <c r="W1445" s="4">
        <v>69.510191003313253</v>
      </c>
      <c r="X1445" s="4">
        <v>-0.71019100331325546</v>
      </c>
    </row>
    <row r="1446" spans="11:24" x14ac:dyDescent="0.25">
      <c r="K1446" s="3"/>
      <c r="L1446" s="8">
        <v>89</v>
      </c>
      <c r="M1446" s="4"/>
      <c r="N1446" s="4"/>
      <c r="O1446" s="4"/>
      <c r="P1446" s="4"/>
      <c r="S1446" s="3">
        <v>1444</v>
      </c>
      <c r="T1446" s="8">
        <v>0.87537901758641601</v>
      </c>
      <c r="U1446" s="4">
        <v>78.7</v>
      </c>
      <c r="V1446" s="4">
        <v>1.1521925343545225</v>
      </c>
      <c r="W1446" s="4">
        <v>69.411556284722067</v>
      </c>
      <c r="X1446" s="4">
        <v>-1.311556284722073</v>
      </c>
    </row>
    <row r="1447" spans="11:24" x14ac:dyDescent="0.25">
      <c r="K1447" s="3"/>
      <c r="L1447" s="8">
        <v>89</v>
      </c>
      <c r="M1447" s="4"/>
      <c r="N1447" s="4"/>
      <c r="O1447" s="4"/>
      <c r="P1447" s="4"/>
      <c r="S1447" s="3">
        <v>1445</v>
      </c>
      <c r="T1447" s="8">
        <v>0.87598544572468162</v>
      </c>
      <c r="U1447" s="4">
        <v>78.7</v>
      </c>
      <c r="V1447" s="4">
        <v>1.1551497492767731</v>
      </c>
      <c r="W1447" s="4">
        <v>69.164969488244111</v>
      </c>
      <c r="X1447" s="4">
        <v>-1.8649694882441139</v>
      </c>
    </row>
    <row r="1448" spans="11:24" x14ac:dyDescent="0.25">
      <c r="K1448" s="3"/>
      <c r="L1448" s="8">
        <v>89</v>
      </c>
      <c r="M1448" s="4"/>
      <c r="N1448" s="4"/>
      <c r="O1448" s="4"/>
      <c r="P1448" s="4"/>
      <c r="S1448" s="3">
        <v>1446</v>
      </c>
      <c r="T1448" s="8">
        <v>0.87659187386294724</v>
      </c>
      <c r="U1448" s="4">
        <v>78.7</v>
      </c>
      <c r="V1448" s="4">
        <v>1.1581171007812683</v>
      </c>
      <c r="W1448" s="4">
        <v>69.017017410357326</v>
      </c>
      <c r="X1448" s="4">
        <v>-2.3170174103573231</v>
      </c>
    </row>
    <row r="1449" spans="11:24" x14ac:dyDescent="0.25">
      <c r="K1449" s="3"/>
      <c r="L1449" s="8">
        <v>89</v>
      </c>
      <c r="M1449" s="4"/>
      <c r="N1449" s="4"/>
      <c r="O1449" s="4"/>
      <c r="P1449" s="4"/>
      <c r="S1449" s="3">
        <v>1447</v>
      </c>
      <c r="T1449" s="8">
        <v>0.87719830200121285</v>
      </c>
      <c r="U1449" s="4">
        <v>78.7</v>
      </c>
      <c r="V1449" s="4">
        <v>1.1610946849069748</v>
      </c>
      <c r="W1449" s="4">
        <v>68.819747973174955</v>
      </c>
      <c r="X1449" s="4">
        <v>-2.4197479731749496</v>
      </c>
    </row>
    <row r="1450" spans="11:24" x14ac:dyDescent="0.25">
      <c r="K1450" s="3"/>
      <c r="L1450" s="8">
        <v>89</v>
      </c>
      <c r="M1450" s="4"/>
      <c r="N1450" s="4"/>
      <c r="O1450" s="4"/>
      <c r="P1450" s="4"/>
      <c r="S1450" s="3">
        <v>1448</v>
      </c>
      <c r="T1450" s="8">
        <v>0.87780473013947846</v>
      </c>
      <c r="U1450" s="4">
        <v>78.7</v>
      </c>
      <c r="V1450" s="4">
        <v>1.1640825990533858</v>
      </c>
      <c r="W1450" s="4">
        <v>68.67179589528817</v>
      </c>
      <c r="X1450" s="4">
        <v>-2.5717958952881759</v>
      </c>
    </row>
    <row r="1451" spans="11:24" x14ac:dyDescent="0.25">
      <c r="K1451" s="3"/>
      <c r="L1451" s="8">
        <v>89</v>
      </c>
      <c r="M1451" s="4"/>
      <c r="N1451" s="4"/>
      <c r="O1451" s="4"/>
      <c r="P1451" s="4"/>
      <c r="S1451" s="3">
        <v>1449</v>
      </c>
      <c r="T1451" s="8">
        <v>0.87841115827774408</v>
      </c>
      <c r="U1451" s="4">
        <v>78.7</v>
      </c>
      <c r="V1451" s="4">
        <v>1.1670809420067962</v>
      </c>
      <c r="W1451" s="4">
        <v>68.573161176696999</v>
      </c>
      <c r="X1451" s="4">
        <v>-2.6731611766969934</v>
      </c>
    </row>
    <row r="1452" spans="11:24" x14ac:dyDescent="0.25">
      <c r="K1452" s="3"/>
      <c r="L1452" s="8">
        <v>89</v>
      </c>
      <c r="M1452" s="4"/>
      <c r="N1452" s="4"/>
      <c r="O1452" s="4"/>
      <c r="P1452" s="4"/>
      <c r="S1452" s="3">
        <v>1450</v>
      </c>
      <c r="T1452" s="8">
        <v>0.87901758641600969</v>
      </c>
      <c r="U1452" s="4">
        <v>78.8</v>
      </c>
      <c r="V1452" s="4">
        <v>1.1700898139672216</v>
      </c>
      <c r="W1452" s="4">
        <v>68.030670224445473</v>
      </c>
      <c r="X1452" s="4">
        <v>-2.5306702244454726</v>
      </c>
    </row>
    <row r="1453" spans="11:24" x14ac:dyDescent="0.25">
      <c r="K1453" s="3"/>
      <c r="L1453" s="8">
        <v>89</v>
      </c>
      <c r="M1453" s="4"/>
      <c r="N1453" s="4"/>
      <c r="O1453" s="4"/>
      <c r="P1453" s="4"/>
      <c r="S1453" s="3">
        <v>1451</v>
      </c>
      <c r="T1453" s="8">
        <v>0.8796240145542753</v>
      </c>
      <c r="U1453" s="4">
        <v>78.8</v>
      </c>
      <c r="V1453" s="4">
        <v>1.1731093165759769</v>
      </c>
      <c r="W1453" s="4">
        <v>68.869065332470541</v>
      </c>
      <c r="X1453" s="4">
        <v>-2.9690653324705352</v>
      </c>
    </row>
    <row r="1454" spans="11:24" x14ac:dyDescent="0.25">
      <c r="K1454" s="3"/>
      <c r="L1454" s="8">
        <v>89</v>
      </c>
      <c r="M1454" s="4"/>
      <c r="N1454" s="4"/>
      <c r="O1454" s="4"/>
      <c r="P1454" s="4"/>
      <c r="S1454" s="3">
        <v>1452</v>
      </c>
      <c r="T1454" s="8">
        <v>0.88023044269254092</v>
      </c>
      <c r="U1454" s="4">
        <v>78.8</v>
      </c>
      <c r="V1454" s="4">
        <v>1.1761395529439369</v>
      </c>
      <c r="W1454" s="4">
        <v>68.622478535992585</v>
      </c>
      <c r="X1454" s="4">
        <v>-3.4224785359925818</v>
      </c>
    </row>
    <row r="1455" spans="11:24" x14ac:dyDescent="0.25">
      <c r="K1455" s="3"/>
      <c r="L1455" s="8">
        <v>89</v>
      </c>
      <c r="M1455" s="4"/>
      <c r="N1455" s="4"/>
      <c r="O1455" s="4"/>
      <c r="P1455" s="4"/>
      <c r="S1455" s="3">
        <v>1453</v>
      </c>
      <c r="T1455" s="8">
        <v>0.88083687083080653</v>
      </c>
      <c r="U1455" s="4">
        <v>78.8</v>
      </c>
      <c r="V1455" s="4">
        <v>1.1791806276804957</v>
      </c>
      <c r="W1455" s="4">
        <v>68.079987583741058</v>
      </c>
      <c r="X1455" s="4">
        <v>-3.779987583741061</v>
      </c>
    </row>
    <row r="1456" spans="11:24" x14ac:dyDescent="0.25">
      <c r="K1456" s="3"/>
      <c r="L1456" s="8">
        <v>89</v>
      </c>
      <c r="M1456" s="4"/>
      <c r="N1456" s="4"/>
      <c r="O1456" s="4"/>
      <c r="P1456" s="4"/>
      <c r="S1456" s="3">
        <v>1454</v>
      </c>
      <c r="T1456" s="8">
        <v>0.88144329896907214</v>
      </c>
      <c r="U1456" s="4">
        <v>78.8</v>
      </c>
      <c r="V1456" s="4">
        <v>1.1822326469232478</v>
      </c>
      <c r="W1456" s="4">
        <v>70.101999314860365</v>
      </c>
      <c r="X1456" s="4">
        <v>4.4980006851396297</v>
      </c>
    </row>
    <row r="1457" spans="11:24" x14ac:dyDescent="0.25">
      <c r="K1457" s="3"/>
      <c r="L1457" s="8">
        <v>89</v>
      </c>
      <c r="M1457" s="4"/>
      <c r="N1457" s="4"/>
      <c r="O1457" s="4"/>
      <c r="P1457" s="4"/>
      <c r="S1457" s="3">
        <v>1455</v>
      </c>
      <c r="T1457" s="8">
        <v>0.88204972710733776</v>
      </c>
      <c r="U1457" s="4">
        <v>78.900000000000006</v>
      </c>
      <c r="V1457" s="4">
        <v>1.1852957183684141</v>
      </c>
      <c r="W1457" s="4">
        <v>70.052681955564779</v>
      </c>
      <c r="X1457" s="4">
        <v>4.4473180444352209</v>
      </c>
    </row>
    <row r="1458" spans="11:24" x14ac:dyDescent="0.25">
      <c r="K1458" s="3"/>
      <c r="L1458" s="8">
        <v>89</v>
      </c>
      <c r="M1458" s="4"/>
      <c r="N1458" s="4"/>
      <c r="O1458" s="4"/>
      <c r="P1458" s="4"/>
      <c r="S1458" s="3">
        <v>1456</v>
      </c>
      <c r="T1458" s="8">
        <v>0.88265615524560337</v>
      </c>
      <c r="U1458" s="4">
        <v>78.900000000000006</v>
      </c>
      <c r="V1458" s="4">
        <v>1.188369951302032</v>
      </c>
      <c r="W1458" s="4">
        <v>70.003364596269179</v>
      </c>
      <c r="X1458" s="4">
        <v>4.2966354037308179</v>
      </c>
    </row>
    <row r="1459" spans="11:24" x14ac:dyDescent="0.25">
      <c r="K1459" s="3"/>
      <c r="L1459" s="8">
        <v>89</v>
      </c>
      <c r="M1459" s="4"/>
      <c r="N1459" s="4"/>
      <c r="O1459" s="4"/>
      <c r="P1459" s="4"/>
      <c r="S1459" s="3">
        <v>1457</v>
      </c>
      <c r="T1459" s="8">
        <v>0.88326258338386898</v>
      </c>
      <c r="U1459" s="4">
        <v>78.900000000000006</v>
      </c>
      <c r="V1459" s="4">
        <v>1.1914554566319384</v>
      </c>
      <c r="W1459" s="4">
        <v>69.954047236973594</v>
      </c>
      <c r="X1459" s="4">
        <v>4.1459527630264006</v>
      </c>
    </row>
    <row r="1460" spans="11:24" x14ac:dyDescent="0.25">
      <c r="K1460" s="3"/>
      <c r="L1460" s="8">
        <v>89</v>
      </c>
      <c r="M1460" s="4"/>
      <c r="N1460" s="4"/>
      <c r="O1460" s="4"/>
      <c r="P1460" s="4"/>
      <c r="S1460" s="3">
        <v>1458</v>
      </c>
      <c r="T1460" s="8">
        <v>0.8838690115221346</v>
      </c>
      <c r="U1460" s="4">
        <v>78.900000000000006</v>
      </c>
      <c r="V1460" s="4">
        <v>1.1945523469205603</v>
      </c>
      <c r="W1460" s="4">
        <v>69.806095159086809</v>
      </c>
      <c r="X1460" s="4">
        <v>4.0939048409131971</v>
      </c>
    </row>
    <row r="1461" spans="11:24" x14ac:dyDescent="0.25">
      <c r="K1461" s="3"/>
      <c r="L1461" s="8">
        <v>36.299999999999997</v>
      </c>
      <c r="M1461" s="4"/>
      <c r="N1461" s="4"/>
      <c r="O1461" s="4"/>
      <c r="P1461" s="4"/>
      <c r="S1461" s="3">
        <v>1459</v>
      </c>
      <c r="T1461" s="8">
        <v>0.88447543966040021</v>
      </c>
      <c r="U1461" s="4">
        <v>78.900000000000006</v>
      </c>
      <c r="V1461" s="4">
        <v>1.1976607364185514</v>
      </c>
      <c r="W1461" s="4">
        <v>76.809160179060981</v>
      </c>
      <c r="X1461" s="4">
        <v>-3.1091601790609786</v>
      </c>
    </row>
    <row r="1462" spans="11:24" x14ac:dyDescent="0.25">
      <c r="K1462" s="3"/>
      <c r="L1462" s="8">
        <v>89</v>
      </c>
      <c r="M1462" s="4"/>
      <c r="N1462" s="4"/>
      <c r="O1462" s="4"/>
      <c r="P1462" s="4"/>
      <c r="S1462" s="3">
        <v>1460</v>
      </c>
      <c r="T1462" s="8">
        <v>0.88508186779866582</v>
      </c>
      <c r="U1462" s="4">
        <v>78.900000000000006</v>
      </c>
      <c r="V1462" s="4">
        <v>1.2007807410992868</v>
      </c>
      <c r="W1462" s="4">
        <v>69.608825721904438</v>
      </c>
      <c r="X1462" s="4">
        <v>3.891174278095562</v>
      </c>
    </row>
    <row r="1463" spans="11:24" x14ac:dyDescent="0.25">
      <c r="K1463" s="3"/>
      <c r="L1463" s="8">
        <v>89</v>
      </c>
      <c r="M1463" s="4"/>
      <c r="N1463" s="4"/>
      <c r="O1463" s="4"/>
      <c r="P1463" s="4"/>
      <c r="S1463" s="3">
        <v>1461</v>
      </c>
      <c r="T1463" s="8">
        <v>0.88568829593693144</v>
      </c>
      <c r="U1463" s="4">
        <v>78.900000000000006</v>
      </c>
      <c r="V1463" s="4">
        <v>1.2039124786942534</v>
      </c>
      <c r="W1463" s="4">
        <v>69.460873644017667</v>
      </c>
      <c r="X1463" s="4">
        <v>3.8391263559823301</v>
      </c>
    </row>
    <row r="1464" spans="11:24" x14ac:dyDescent="0.25">
      <c r="K1464" s="3"/>
      <c r="L1464" s="8">
        <v>89</v>
      </c>
      <c r="M1464" s="4"/>
      <c r="N1464" s="4"/>
      <c r="O1464" s="4"/>
      <c r="P1464" s="4"/>
      <c r="S1464" s="3">
        <v>1462</v>
      </c>
      <c r="T1464" s="8">
        <v>0.88629472407519705</v>
      </c>
      <c r="U1464" s="4">
        <v>79</v>
      </c>
      <c r="V1464" s="4">
        <v>1.2070560687293583</v>
      </c>
      <c r="W1464" s="4">
        <v>69.312921566130882</v>
      </c>
      <c r="X1464" s="4">
        <v>3.687078433869118</v>
      </c>
    </row>
    <row r="1465" spans="11:24" x14ac:dyDescent="0.25">
      <c r="K1465" s="3"/>
      <c r="L1465" s="8">
        <v>89</v>
      </c>
      <c r="M1465" s="4"/>
      <c r="N1465" s="4"/>
      <c r="O1465" s="4"/>
      <c r="P1465" s="4"/>
      <c r="S1465" s="3">
        <v>1463</v>
      </c>
      <c r="T1465" s="8">
        <v>0.88690115221346266</v>
      </c>
      <c r="U1465" s="4">
        <v>79</v>
      </c>
      <c r="V1465" s="4">
        <v>1.210211632562187</v>
      </c>
      <c r="W1465" s="4">
        <v>68.869065332470541</v>
      </c>
      <c r="X1465" s="4">
        <v>3.6309346675294591</v>
      </c>
    </row>
    <row r="1466" spans="11:24" x14ac:dyDescent="0.25">
      <c r="K1466" s="3"/>
      <c r="L1466" s="8">
        <v>89</v>
      </c>
      <c r="M1466" s="4"/>
      <c r="N1466" s="4"/>
      <c r="O1466" s="4"/>
      <c r="P1466" s="4"/>
      <c r="S1466" s="3">
        <v>1464</v>
      </c>
      <c r="T1466" s="8">
        <v>0.88750758035172828</v>
      </c>
      <c r="U1466" s="4">
        <v>79</v>
      </c>
      <c r="V1466" s="4">
        <v>1.2133792934202372</v>
      </c>
      <c r="W1466" s="4">
        <v>68.277257020923429</v>
      </c>
      <c r="X1466" s="4">
        <v>3.3227429790765655</v>
      </c>
    </row>
    <row r="1467" spans="11:24" x14ac:dyDescent="0.25">
      <c r="K1467" s="3"/>
      <c r="L1467" s="8">
        <v>89</v>
      </c>
      <c r="M1467" s="4"/>
      <c r="N1467" s="4"/>
      <c r="O1467" s="4"/>
      <c r="P1467" s="4"/>
      <c r="S1467" s="3">
        <v>1465</v>
      </c>
      <c r="T1467" s="8">
        <v>0.88811400848999389</v>
      </c>
      <c r="U1467" s="4">
        <v>79</v>
      </c>
      <c r="V1467" s="4">
        <v>1.2165591764401669</v>
      </c>
      <c r="W1467" s="4">
        <v>68.277257020923429</v>
      </c>
      <c r="X1467" s="4">
        <v>3.422742979076574</v>
      </c>
    </row>
    <row r="1468" spans="11:24" x14ac:dyDescent="0.25">
      <c r="K1468" s="3"/>
      <c r="L1468" s="8">
        <v>89</v>
      </c>
      <c r="M1468" s="4"/>
      <c r="N1468" s="4"/>
      <c r="O1468" s="4"/>
      <c r="P1468" s="4"/>
      <c r="S1468" s="3">
        <v>1466</v>
      </c>
      <c r="T1468" s="8">
        <v>0.8887204366282595</v>
      </c>
      <c r="U1468" s="4">
        <v>79</v>
      </c>
      <c r="V1468" s="4">
        <v>1.2197514087080785</v>
      </c>
      <c r="W1468" s="4">
        <v>68.129304943036658</v>
      </c>
      <c r="X1468" s="4">
        <v>3.2706950569633477</v>
      </c>
    </row>
    <row r="1469" spans="11:24" x14ac:dyDescent="0.25">
      <c r="K1469" s="3"/>
      <c r="L1469" s="8">
        <v>89</v>
      </c>
      <c r="M1469" s="4"/>
      <c r="N1469" s="4"/>
      <c r="O1469" s="4"/>
      <c r="P1469" s="4"/>
      <c r="S1469" s="3">
        <v>1467</v>
      </c>
      <c r="T1469" s="8">
        <v>0.88932686476652512</v>
      </c>
      <c r="U1469" s="4">
        <v>79</v>
      </c>
      <c r="V1469" s="4">
        <v>1.2229561193008847</v>
      </c>
      <c r="W1469" s="4">
        <v>68.030670224445473</v>
      </c>
      <c r="X1469" s="4">
        <v>3.1693297755545302</v>
      </c>
    </row>
    <row r="1470" spans="11:24" x14ac:dyDescent="0.25">
      <c r="K1470" s="3"/>
      <c r="L1470" s="8">
        <v>89</v>
      </c>
      <c r="M1470" s="4"/>
      <c r="N1470" s="4"/>
      <c r="O1470" s="4"/>
      <c r="P1470" s="4"/>
      <c r="S1470" s="3">
        <v>1468</v>
      </c>
      <c r="T1470" s="8">
        <v>0.88993329290479073</v>
      </c>
      <c r="U1470" s="4">
        <v>79</v>
      </c>
      <c r="V1470" s="4">
        <v>1.2261734393287811</v>
      </c>
      <c r="W1470" s="4">
        <v>68.030670224445473</v>
      </c>
      <c r="X1470" s="4">
        <v>3.0693297755545217</v>
      </c>
    </row>
    <row r="1471" spans="11:24" x14ac:dyDescent="0.25">
      <c r="K1471" s="3"/>
      <c r="L1471" s="8">
        <v>89</v>
      </c>
      <c r="M1471" s="4"/>
      <c r="N1471" s="4"/>
      <c r="O1471" s="4"/>
      <c r="P1471" s="4"/>
      <c r="S1471" s="3">
        <v>1469</v>
      </c>
      <c r="T1471" s="8">
        <v>0.89053972104305634</v>
      </c>
      <c r="U1471" s="4">
        <v>79.099999999999994</v>
      </c>
      <c r="V1471" s="4">
        <v>1.2294035019788649</v>
      </c>
      <c r="W1471" s="4">
        <v>69.954047236973594</v>
      </c>
      <c r="X1471" s="4">
        <v>-1.9540472369735937</v>
      </c>
    </row>
    <row r="1472" spans="11:24" x14ac:dyDescent="0.25">
      <c r="K1472" s="3"/>
      <c r="L1472" s="8">
        <v>89</v>
      </c>
      <c r="M1472" s="4"/>
      <c r="N1472" s="4"/>
      <c r="O1472" s="4"/>
      <c r="P1472" s="4"/>
      <c r="S1472" s="3">
        <v>1470</v>
      </c>
      <c r="T1472" s="8">
        <v>0.89114614918132207</v>
      </c>
      <c r="U1472" s="4">
        <v>79.099999999999994</v>
      </c>
      <c r="V1472" s="4">
        <v>1.2326464425599397</v>
      </c>
      <c r="W1472" s="4">
        <v>69.806095159086809</v>
      </c>
      <c r="X1472" s="4">
        <v>-2.1060951590868058</v>
      </c>
    </row>
    <row r="1473" spans="11:24" x14ac:dyDescent="0.25">
      <c r="K1473" s="3"/>
      <c r="L1473" s="8">
        <v>89</v>
      </c>
      <c r="M1473" s="4"/>
      <c r="N1473" s="4"/>
      <c r="O1473" s="4"/>
      <c r="P1473" s="4"/>
      <c r="S1473" s="3">
        <v>1471</v>
      </c>
      <c r="T1473" s="8">
        <v>0.89175257731958768</v>
      </c>
      <c r="U1473" s="4">
        <v>79.099999999999994</v>
      </c>
      <c r="V1473" s="4">
        <v>1.2359023985485402</v>
      </c>
      <c r="W1473" s="4">
        <v>69.756777799791223</v>
      </c>
      <c r="X1473" s="4">
        <v>-2.3567777997912174</v>
      </c>
    </row>
    <row r="1474" spans="11:24" x14ac:dyDescent="0.25">
      <c r="K1474" s="3"/>
      <c r="L1474" s="8">
        <v>89</v>
      </c>
      <c r="M1474" s="4"/>
      <c r="N1474" s="4"/>
      <c r="O1474" s="4"/>
      <c r="P1474" s="4"/>
      <c r="S1474" s="3">
        <v>1472</v>
      </c>
      <c r="T1474" s="8">
        <v>0.89235900545785329</v>
      </c>
      <c r="U1474" s="4">
        <v>79.099999999999994</v>
      </c>
      <c r="V1474" s="4">
        <v>1.2391715096362261</v>
      </c>
      <c r="W1474" s="4">
        <v>69.658143081200038</v>
      </c>
      <c r="X1474" s="4">
        <v>-2.4581430812000349</v>
      </c>
    </row>
    <row r="1475" spans="11:24" x14ac:dyDescent="0.25">
      <c r="K1475" s="3"/>
      <c r="L1475" s="8">
        <v>89</v>
      </c>
      <c r="M1475" s="4"/>
      <c r="N1475" s="4"/>
      <c r="O1475" s="4"/>
      <c r="P1475" s="4"/>
      <c r="S1475" s="3">
        <v>1473</v>
      </c>
      <c r="T1475" s="8">
        <v>0.89296543359611891</v>
      </c>
      <c r="U1475" s="4">
        <v>79.099999999999994</v>
      </c>
      <c r="V1475" s="4">
        <v>1.2424539177781739</v>
      </c>
      <c r="W1475" s="4">
        <v>69.559508362608852</v>
      </c>
      <c r="X1475" s="4">
        <v>-2.6595083626088467</v>
      </c>
    </row>
    <row r="1476" spans="11:24" x14ac:dyDescent="0.25">
      <c r="K1476" s="3"/>
      <c r="L1476" s="8">
        <v>89</v>
      </c>
      <c r="M1476" s="4"/>
      <c r="N1476" s="4"/>
      <c r="O1476" s="4"/>
      <c r="P1476" s="4"/>
      <c r="S1476" s="3">
        <v>1474</v>
      </c>
      <c r="T1476" s="8">
        <v>0.89357186173438452</v>
      </c>
      <c r="U1476" s="4">
        <v>79.2</v>
      </c>
      <c r="V1476" s="4">
        <v>1.2457497672431226</v>
      </c>
      <c r="W1476" s="4">
        <v>69.460873644017667</v>
      </c>
      <c r="X1476" s="4">
        <v>-2.8608736440176727</v>
      </c>
    </row>
    <row r="1477" spans="11:24" x14ac:dyDescent="0.25">
      <c r="K1477" s="3"/>
      <c r="L1477" s="8">
        <v>36.299999999999997</v>
      </c>
      <c r="M1477" s="4"/>
      <c r="N1477" s="4"/>
      <c r="O1477" s="4"/>
      <c r="P1477" s="4"/>
      <c r="S1477" s="3">
        <v>1475</v>
      </c>
      <c r="T1477" s="8">
        <v>0.89417828987265013</v>
      </c>
      <c r="U1477" s="4">
        <v>79.2</v>
      </c>
      <c r="V1477" s="4">
        <v>1.2490592046647147</v>
      </c>
      <c r="W1477" s="4">
        <v>69.312921566130882</v>
      </c>
      <c r="X1477" s="4">
        <v>-3.1129215661308791</v>
      </c>
    </row>
    <row r="1478" spans="11:24" x14ac:dyDescent="0.25">
      <c r="K1478" s="3"/>
      <c r="L1478" s="8">
        <v>89</v>
      </c>
      <c r="M1478" s="4"/>
      <c r="N1478" s="4"/>
      <c r="O1478" s="4"/>
      <c r="P1478" s="4"/>
      <c r="S1478" s="3">
        <v>1476</v>
      </c>
      <c r="T1478" s="8">
        <v>0.89478471801091575</v>
      </c>
      <c r="U1478" s="4">
        <v>79.2</v>
      </c>
      <c r="V1478" s="4">
        <v>1.2523823790942725</v>
      </c>
      <c r="W1478" s="4">
        <v>63.542790528546533</v>
      </c>
      <c r="X1478" s="4">
        <v>-3.84279052854653</v>
      </c>
    </row>
    <row r="1479" spans="11:24" x14ac:dyDescent="0.25">
      <c r="K1479" s="3"/>
      <c r="L1479" s="8">
        <v>89</v>
      </c>
      <c r="M1479" s="4"/>
      <c r="N1479" s="4"/>
      <c r="O1479" s="4"/>
      <c r="P1479" s="4"/>
      <c r="S1479" s="3">
        <v>1477</v>
      </c>
      <c r="T1479" s="8">
        <v>0.89539114614918136</v>
      </c>
      <c r="U1479" s="4">
        <v>79.2</v>
      </c>
      <c r="V1479" s="4">
        <v>1.2557194420550744</v>
      </c>
      <c r="W1479" s="4">
        <v>63.444155809955348</v>
      </c>
      <c r="X1479" s="4">
        <v>-4.044155809955349</v>
      </c>
    </row>
    <row r="1480" spans="11:24" x14ac:dyDescent="0.25">
      <c r="K1480" s="3"/>
      <c r="L1480" s="8">
        <v>89</v>
      </c>
      <c r="M1480" s="4"/>
      <c r="N1480" s="4"/>
      <c r="O1480" s="4"/>
      <c r="P1480" s="4"/>
      <c r="S1480" s="3">
        <v>1478</v>
      </c>
      <c r="T1480" s="8">
        <v>0.89599757428744697</v>
      </c>
      <c r="U1480" s="4">
        <v>79.2</v>
      </c>
      <c r="V1480" s="4">
        <v>1.2590705475981667</v>
      </c>
      <c r="W1480" s="4">
        <v>63.098934294886199</v>
      </c>
      <c r="X1480" s="4">
        <v>-4.1989342948862003</v>
      </c>
    </row>
    <row r="1481" spans="11:24" x14ac:dyDescent="0.25">
      <c r="K1481" s="3"/>
      <c r="L1481" s="8">
        <v>89</v>
      </c>
      <c r="M1481" s="4"/>
      <c r="N1481" s="4"/>
      <c r="O1481" s="4"/>
      <c r="P1481" s="4"/>
      <c r="S1481" s="3">
        <v>1479</v>
      </c>
      <c r="T1481" s="8">
        <v>0.89660400242571259</v>
      </c>
      <c r="U1481" s="4">
        <v>79.3</v>
      </c>
      <c r="V1481" s="4">
        <v>1.262435852359769</v>
      </c>
      <c r="W1481" s="4">
        <v>75.921447711740313</v>
      </c>
      <c r="X1481" s="4">
        <v>-17.621447711740316</v>
      </c>
    </row>
    <row r="1482" spans="11:24" x14ac:dyDescent="0.25">
      <c r="K1482" s="3"/>
      <c r="L1482" s="8">
        <v>89</v>
      </c>
      <c r="M1482" s="4"/>
      <c r="N1482" s="4"/>
      <c r="O1482" s="4"/>
      <c r="P1482" s="4"/>
      <c r="S1482" s="3">
        <v>1480</v>
      </c>
      <c r="T1482" s="8">
        <v>0.8972104305639782</v>
      </c>
      <c r="U1482" s="4">
        <v>79.3</v>
      </c>
      <c r="V1482" s="4">
        <v>1.2658155156203386</v>
      </c>
      <c r="W1482" s="4">
        <v>61.668730875314012</v>
      </c>
      <c r="X1482" s="4">
        <v>-4.268730875314013</v>
      </c>
    </row>
    <row r="1483" spans="11:24" x14ac:dyDescent="0.25">
      <c r="K1483" s="3"/>
      <c r="L1483" s="8">
        <v>89</v>
      </c>
      <c r="M1483" s="4"/>
      <c r="N1483" s="4"/>
      <c r="O1483" s="4"/>
      <c r="P1483" s="4"/>
      <c r="S1483" s="3">
        <v>1481</v>
      </c>
      <c r="T1483" s="8">
        <v>0.89781685870224381</v>
      </c>
      <c r="U1483" s="4">
        <v>79.3</v>
      </c>
      <c r="V1483" s="4">
        <v>1.2692096993653319</v>
      </c>
      <c r="W1483" s="4">
        <v>61.0276052044713</v>
      </c>
      <c r="X1483" s="4">
        <v>-4.3276052044712969</v>
      </c>
    </row>
    <row r="1484" spans="11:24" x14ac:dyDescent="0.25">
      <c r="K1484" s="3"/>
      <c r="L1484" s="8">
        <v>89</v>
      </c>
      <c r="M1484" s="4"/>
      <c r="N1484" s="4"/>
      <c r="O1484" s="4"/>
      <c r="P1484" s="4"/>
      <c r="S1484" s="3">
        <v>1482</v>
      </c>
      <c r="T1484" s="8">
        <v>0.89842328684050943</v>
      </c>
      <c r="U1484" s="4">
        <v>79.3</v>
      </c>
      <c r="V1484" s="4">
        <v>1.27261856834774</v>
      </c>
      <c r="W1484" s="4">
        <v>60.633066330106558</v>
      </c>
      <c r="X1484" s="4">
        <v>-4.4330663301065556</v>
      </c>
    </row>
    <row r="1485" spans="11:24" x14ac:dyDescent="0.25">
      <c r="K1485" s="3"/>
      <c r="L1485" s="8">
        <v>89</v>
      </c>
      <c r="M1485" s="4"/>
      <c r="N1485" s="4"/>
      <c r="O1485" s="4"/>
      <c r="P1485" s="4"/>
      <c r="S1485" s="3">
        <v>1483</v>
      </c>
      <c r="T1485" s="8">
        <v>0.89902971497877504</v>
      </c>
      <c r="U1485" s="4">
        <v>79.3</v>
      </c>
      <c r="V1485" s="4">
        <v>1.2760422901524533</v>
      </c>
      <c r="W1485" s="4">
        <v>70.940394422885447</v>
      </c>
      <c r="X1485" s="4">
        <v>2.3596055771145501</v>
      </c>
    </row>
    <row r="1486" spans="11:24" x14ac:dyDescent="0.25">
      <c r="K1486" s="3"/>
      <c r="L1486" s="8">
        <v>89</v>
      </c>
      <c r="M1486" s="4"/>
      <c r="N1486" s="4"/>
      <c r="O1486" s="4"/>
      <c r="P1486" s="4"/>
      <c r="S1486" s="3">
        <v>1484</v>
      </c>
      <c r="T1486" s="8">
        <v>0.89963614311704065</v>
      </c>
      <c r="U1486" s="4">
        <v>79.3</v>
      </c>
      <c r="V1486" s="4">
        <v>1.2794810352625205</v>
      </c>
      <c r="W1486" s="4">
        <v>70.841759704294262</v>
      </c>
      <c r="X1486" s="4">
        <v>2.3582402957057411</v>
      </c>
    </row>
    <row r="1487" spans="11:24" x14ac:dyDescent="0.25">
      <c r="K1487" s="3"/>
      <c r="L1487" s="8">
        <v>89</v>
      </c>
      <c r="M1487" s="4"/>
      <c r="N1487" s="4"/>
      <c r="O1487" s="4"/>
      <c r="P1487" s="4"/>
      <c r="S1487" s="3">
        <v>1485</v>
      </c>
      <c r="T1487" s="8">
        <v>0.90024257125530627</v>
      </c>
      <c r="U1487" s="4">
        <v>79.3</v>
      </c>
      <c r="V1487" s="4">
        <v>1.2829349771273673</v>
      </c>
      <c r="W1487" s="4">
        <v>70.792442344998662</v>
      </c>
      <c r="X1487" s="4">
        <v>2.207557655001338</v>
      </c>
    </row>
    <row r="1488" spans="11:24" x14ac:dyDescent="0.25">
      <c r="K1488" s="3"/>
      <c r="L1488" s="8">
        <v>89</v>
      </c>
      <c r="M1488" s="4"/>
      <c r="N1488" s="4"/>
      <c r="O1488" s="4"/>
      <c r="P1488" s="4"/>
      <c r="S1488" s="3">
        <v>1486</v>
      </c>
      <c r="T1488" s="8">
        <v>0.90084899939357188</v>
      </c>
      <c r="U1488" s="4">
        <v>79.3</v>
      </c>
      <c r="V1488" s="4">
        <v>1.2864042922330534</v>
      </c>
      <c r="W1488" s="4">
        <v>76.907794897652167</v>
      </c>
      <c r="X1488" s="4">
        <v>-4.0077948976521611</v>
      </c>
    </row>
    <row r="1489" spans="11:24" x14ac:dyDescent="0.25">
      <c r="K1489" s="3"/>
      <c r="L1489" s="8">
        <v>89</v>
      </c>
      <c r="M1489" s="4"/>
      <c r="N1489" s="4"/>
      <c r="O1489" s="4"/>
      <c r="P1489" s="4"/>
      <c r="S1489" s="3">
        <v>1487</v>
      </c>
      <c r="T1489" s="8">
        <v>0.90145542753183749</v>
      </c>
      <c r="U1489" s="4">
        <v>79.3</v>
      </c>
      <c r="V1489" s="4">
        <v>1.2898891601746336</v>
      </c>
      <c r="W1489" s="4">
        <v>70.595172907816291</v>
      </c>
      <c r="X1489" s="4">
        <v>2.2048270921837059</v>
      </c>
    </row>
    <row r="1490" spans="11:24" x14ac:dyDescent="0.25">
      <c r="K1490" s="3"/>
      <c r="L1490" s="8">
        <v>36.299999999999997</v>
      </c>
      <c r="M1490" s="4"/>
      <c r="N1490" s="4"/>
      <c r="O1490" s="4"/>
      <c r="P1490" s="4"/>
      <c r="S1490" s="3">
        <v>1488</v>
      </c>
      <c r="T1490" s="8">
        <v>0.90206185567010311</v>
      </c>
      <c r="U1490" s="4">
        <v>79.400000000000006</v>
      </c>
      <c r="V1490" s="4">
        <v>1.2933897637306986</v>
      </c>
      <c r="W1490" s="4">
        <v>70.348586111338335</v>
      </c>
      <c r="X1490" s="4">
        <v>2.1514138886616649</v>
      </c>
    </row>
    <row r="1491" spans="11:24" x14ac:dyDescent="0.25">
      <c r="K1491" s="3"/>
      <c r="L1491" s="8">
        <v>36.299999999999997</v>
      </c>
      <c r="M1491" s="4"/>
      <c r="N1491" s="4"/>
      <c r="O1491" s="4"/>
      <c r="P1491" s="4"/>
      <c r="S1491" s="3">
        <v>1489</v>
      </c>
      <c r="T1491" s="8">
        <v>0.90266828380836872</v>
      </c>
      <c r="U1491" s="4">
        <v>79.400000000000006</v>
      </c>
      <c r="V1491" s="4">
        <v>1.2969062889401861</v>
      </c>
      <c r="W1491" s="4">
        <v>70.44722082992952</v>
      </c>
      <c r="X1491" s="4">
        <v>2.1527791700704739</v>
      </c>
    </row>
    <row r="1492" spans="11:24" x14ac:dyDescent="0.25">
      <c r="K1492" s="3"/>
      <c r="L1492" s="8">
        <v>36.299999999999997</v>
      </c>
      <c r="M1492" s="4"/>
      <c r="N1492" s="4"/>
      <c r="O1492" s="4"/>
      <c r="P1492" s="4"/>
      <c r="S1492" s="3">
        <v>1490</v>
      </c>
      <c r="T1492" s="8">
        <v>0.90327471194663433</v>
      </c>
      <c r="U1492" s="4">
        <v>79.400000000000006</v>
      </c>
      <c r="V1492" s="4">
        <v>1.3004389251815309</v>
      </c>
      <c r="W1492" s="4">
        <v>70.397903470633921</v>
      </c>
      <c r="X1492" s="4">
        <v>2.1020965293660794</v>
      </c>
    </row>
    <row r="1493" spans="11:24" x14ac:dyDescent="0.25">
      <c r="K1493" s="3"/>
      <c r="L1493" s="8">
        <v>36.299999999999997</v>
      </c>
      <c r="M1493" s="4"/>
      <c r="N1493" s="4"/>
      <c r="O1493" s="4"/>
      <c r="P1493" s="4"/>
      <c r="S1493" s="3">
        <v>1491</v>
      </c>
      <c r="T1493" s="8">
        <v>0.90388114008489995</v>
      </c>
      <c r="U1493" s="4">
        <v>79.400000000000006</v>
      </c>
      <c r="V1493" s="4">
        <v>1.3039878652542529</v>
      </c>
      <c r="W1493" s="4">
        <v>70.299268752042735</v>
      </c>
      <c r="X1493" s="4">
        <v>2.1007312479572704</v>
      </c>
    </row>
    <row r="1494" spans="11:24" x14ac:dyDescent="0.25">
      <c r="K1494" s="3"/>
      <c r="L1494" s="8">
        <v>89</v>
      </c>
      <c r="M1494" s="4"/>
      <c r="N1494" s="4"/>
      <c r="O1494" s="4"/>
      <c r="P1494" s="4"/>
      <c r="S1494" s="3">
        <v>1492</v>
      </c>
      <c r="T1494" s="8">
        <v>0.90448756822316556</v>
      </c>
      <c r="U1494" s="4">
        <v>79.400000000000006</v>
      </c>
      <c r="V1494" s="4">
        <v>1.3075533054630668</v>
      </c>
      <c r="W1494" s="4">
        <v>76.858477538356567</v>
      </c>
      <c r="X1494" s="4">
        <v>-4.5584775383565699</v>
      </c>
    </row>
    <row r="1495" spans="11:24" x14ac:dyDescent="0.25">
      <c r="K1495" s="3"/>
      <c r="L1495" s="8">
        <v>89</v>
      </c>
      <c r="M1495" s="4"/>
      <c r="N1495" s="4"/>
      <c r="O1495" s="4"/>
      <c r="P1495" s="4"/>
      <c r="S1495" s="3">
        <v>1493</v>
      </c>
      <c r="T1495" s="8">
        <v>0.90509399636143117</v>
      </c>
      <c r="U1495" s="4">
        <v>79.400000000000006</v>
      </c>
      <c r="V1495" s="4">
        <v>1.3111354457046123</v>
      </c>
      <c r="W1495" s="4">
        <v>70.151316674155964</v>
      </c>
      <c r="X1495" s="4">
        <v>2.0486833258440384</v>
      </c>
    </row>
    <row r="1496" spans="11:24" x14ac:dyDescent="0.25">
      <c r="K1496" s="3"/>
      <c r="L1496" s="8">
        <v>89</v>
      </c>
      <c r="M1496" s="4"/>
      <c r="N1496" s="4"/>
      <c r="O1496" s="4"/>
      <c r="P1496" s="4"/>
      <c r="S1496" s="3">
        <v>1494</v>
      </c>
      <c r="T1496" s="8">
        <v>0.90570042449969679</v>
      </c>
      <c r="U1496" s="4">
        <v>79.400000000000006</v>
      </c>
      <c r="V1496" s="4">
        <v>1.3147344895568989</v>
      </c>
      <c r="W1496" s="4">
        <v>70.052681955564779</v>
      </c>
      <c r="X1496" s="4">
        <v>1.9473180444352209</v>
      </c>
    </row>
    <row r="1497" spans="11:24" x14ac:dyDescent="0.25">
      <c r="K1497" s="3"/>
      <c r="L1497" s="8">
        <v>89</v>
      </c>
      <c r="M1497" s="4"/>
      <c r="N1497" s="4"/>
      <c r="O1497" s="4"/>
      <c r="P1497" s="4"/>
      <c r="S1497" s="3">
        <v>1495</v>
      </c>
      <c r="T1497" s="8">
        <v>0.9063068526379624</v>
      </c>
      <c r="U1497" s="4">
        <v>79.400000000000006</v>
      </c>
      <c r="V1497" s="4">
        <v>1.3183506443715751</v>
      </c>
      <c r="W1497" s="4">
        <v>69.954047236973594</v>
      </c>
      <c r="X1497" s="4">
        <v>1.945952763026412</v>
      </c>
    </row>
    <row r="1498" spans="11:24" x14ac:dyDescent="0.25">
      <c r="K1498" s="3"/>
      <c r="L1498" s="8">
        <v>89</v>
      </c>
      <c r="M1498" s="4"/>
      <c r="N1498" s="4"/>
      <c r="O1498" s="4"/>
      <c r="P1498" s="4"/>
      <c r="S1498" s="3">
        <v>1496</v>
      </c>
      <c r="T1498" s="8">
        <v>0.90691328077622801</v>
      </c>
      <c r="U1498" s="4">
        <v>79.5</v>
      </c>
      <c r="V1498" s="4">
        <v>1.3219841213691252</v>
      </c>
      <c r="W1498" s="4">
        <v>69.855412518382408</v>
      </c>
      <c r="X1498" s="4">
        <v>1.9445874816175888</v>
      </c>
    </row>
    <row r="1499" spans="11:24" x14ac:dyDescent="0.25">
      <c r="K1499" s="3"/>
      <c r="L1499" s="8">
        <v>89</v>
      </c>
      <c r="M1499" s="4"/>
      <c r="N1499" s="4"/>
      <c r="O1499" s="4"/>
      <c r="P1499" s="4"/>
      <c r="S1499" s="3">
        <v>1497</v>
      </c>
      <c r="T1499" s="8">
        <v>0.90751970891449363</v>
      </c>
      <c r="U1499" s="4">
        <v>79.5</v>
      </c>
      <c r="V1499" s="4">
        <v>1.3256351357371041</v>
      </c>
      <c r="W1499" s="4">
        <v>69.806095159086809</v>
      </c>
      <c r="X1499" s="4">
        <v>1.7939048409131857</v>
      </c>
    </row>
    <row r="1500" spans="11:24" x14ac:dyDescent="0.25">
      <c r="K1500" s="3"/>
      <c r="L1500" s="8">
        <v>89</v>
      </c>
      <c r="M1500" s="4"/>
      <c r="N1500" s="4"/>
      <c r="O1500" s="4"/>
      <c r="P1500" s="4"/>
      <c r="S1500" s="3">
        <v>1498</v>
      </c>
      <c r="T1500" s="8">
        <v>0.90812613705275924</v>
      </c>
      <c r="U1500" s="4">
        <v>79.5</v>
      </c>
      <c r="V1500" s="4">
        <v>1.329303906731538</v>
      </c>
      <c r="W1500" s="4">
        <v>69.164969488244111</v>
      </c>
      <c r="X1500" s="4">
        <v>1.9350305117558833</v>
      </c>
    </row>
    <row r="1501" spans="11:24" x14ac:dyDescent="0.25">
      <c r="K1501" s="3"/>
      <c r="L1501" s="8">
        <v>36.299999999999997</v>
      </c>
      <c r="M1501" s="4"/>
      <c r="N1501" s="4"/>
      <c r="O1501" s="4"/>
      <c r="P1501" s="4"/>
      <c r="S1501" s="3">
        <v>1499</v>
      </c>
      <c r="T1501" s="8">
        <v>0.90873256519102485</v>
      </c>
      <c r="U1501" s="4">
        <v>79.5</v>
      </c>
      <c r="V1501" s="4">
        <v>1.3329906577816031</v>
      </c>
      <c r="W1501" s="4">
        <v>69.115652128948511</v>
      </c>
      <c r="X1501" s="4">
        <v>1.8843478710514887</v>
      </c>
    </row>
    <row r="1502" spans="11:24" x14ac:dyDescent="0.25">
      <c r="K1502" s="3"/>
      <c r="L1502" s="8">
        <v>36.299999999999997</v>
      </c>
      <c r="M1502" s="4"/>
      <c r="N1502" s="4"/>
      <c r="O1502" s="4"/>
      <c r="P1502" s="4"/>
      <c r="S1502" s="3">
        <v>1500</v>
      </c>
      <c r="T1502" s="8">
        <v>0.90933899332929047</v>
      </c>
      <c r="U1502" s="4">
        <v>79.5</v>
      </c>
      <c r="V1502" s="4">
        <v>1.3366956165977169</v>
      </c>
      <c r="W1502" s="4">
        <v>69.017017410357326</v>
      </c>
      <c r="X1502" s="4">
        <v>8.982982589642674</v>
      </c>
    </row>
    <row r="1503" spans="11:24" x14ac:dyDescent="0.25">
      <c r="K1503" s="3"/>
      <c r="L1503" s="8">
        <v>36.299999999999997</v>
      </c>
      <c r="M1503" s="4"/>
      <c r="N1503" s="4"/>
      <c r="O1503" s="4"/>
      <c r="P1503" s="4"/>
      <c r="S1503" s="3">
        <v>1501</v>
      </c>
      <c r="T1503" s="8">
        <v>0.90994542146755608</v>
      </c>
      <c r="U1503" s="4">
        <v>79.599999999999994</v>
      </c>
      <c r="V1503" s="4">
        <v>1.340419015283177</v>
      </c>
      <c r="W1503" s="4">
        <v>68.918382691766141</v>
      </c>
      <c r="X1503" s="4">
        <v>7.0816173082338594</v>
      </c>
    </row>
    <row r="1504" spans="11:24" x14ac:dyDescent="0.25">
      <c r="K1504" s="3"/>
      <c r="L1504" s="8">
        <v>36.299999999999997</v>
      </c>
      <c r="M1504" s="4"/>
      <c r="N1504" s="4"/>
      <c r="O1504" s="4"/>
      <c r="P1504" s="4"/>
      <c r="S1504" s="3">
        <v>1502</v>
      </c>
      <c r="T1504" s="8">
        <v>0.91055184960582169</v>
      </c>
      <c r="U1504" s="4">
        <v>79.599999999999994</v>
      </c>
      <c r="V1504" s="4">
        <v>1.3441610904494867</v>
      </c>
      <c r="W1504" s="4">
        <v>68.77043061387937</v>
      </c>
      <c r="X1504" s="4">
        <v>5.2295693861206303</v>
      </c>
    </row>
    <row r="1505" spans="11:24" x14ac:dyDescent="0.25">
      <c r="K1505" s="3"/>
      <c r="L1505" s="8">
        <v>36.299999999999997</v>
      </c>
      <c r="M1505" s="4"/>
      <c r="N1505" s="4"/>
      <c r="O1505" s="4"/>
      <c r="P1505" s="4"/>
      <c r="S1505" s="3">
        <v>1503</v>
      </c>
      <c r="T1505" s="8">
        <v>0.91115827774408731</v>
      </c>
      <c r="U1505" s="4">
        <v>79.599999999999994</v>
      </c>
      <c r="V1505" s="4">
        <v>1.3479220833355179</v>
      </c>
      <c r="W1505" s="4">
        <v>68.573161176696999</v>
      </c>
      <c r="X1505" s="4">
        <v>2.4268388233030009</v>
      </c>
    </row>
    <row r="1506" spans="11:24" x14ac:dyDescent="0.25">
      <c r="K1506" s="3"/>
      <c r="L1506" s="8">
        <v>36.299999999999997</v>
      </c>
      <c r="M1506" s="4"/>
      <c r="N1506" s="4"/>
      <c r="O1506" s="4"/>
      <c r="P1506" s="4"/>
      <c r="S1506" s="3">
        <v>1504</v>
      </c>
      <c r="T1506" s="8">
        <v>0.91176470588235292</v>
      </c>
      <c r="U1506" s="4">
        <v>79.599999999999994</v>
      </c>
      <c r="V1506" s="4">
        <v>1.3517022399306613</v>
      </c>
      <c r="W1506" s="4">
        <v>68.4745264581058</v>
      </c>
      <c r="X1506" s="4">
        <v>1.4254735418942062</v>
      </c>
    </row>
    <row r="1507" spans="11:24" x14ac:dyDescent="0.25">
      <c r="K1507" s="3"/>
      <c r="L1507" s="8">
        <v>36.299999999999997</v>
      </c>
      <c r="M1507" s="4"/>
      <c r="N1507" s="4"/>
      <c r="O1507" s="4"/>
      <c r="P1507" s="4"/>
      <c r="S1507" s="3">
        <v>1505</v>
      </c>
      <c r="T1507" s="8">
        <v>0.91237113402061853</v>
      </c>
      <c r="U1507" s="4">
        <v>79.7</v>
      </c>
      <c r="V1507" s="4">
        <v>1.3555018111021335</v>
      </c>
      <c r="W1507" s="4">
        <v>68.375891739514628</v>
      </c>
      <c r="X1507" s="4">
        <v>1.3241082604853744</v>
      </c>
    </row>
    <row r="1508" spans="11:24" x14ac:dyDescent="0.25">
      <c r="K1508" s="3"/>
      <c r="L1508" s="8">
        <v>36.299999999999997</v>
      </c>
      <c r="M1508" s="4"/>
      <c r="N1508" s="4"/>
      <c r="O1508" s="4"/>
      <c r="P1508" s="4"/>
      <c r="S1508" s="3">
        <v>1506</v>
      </c>
      <c r="T1508" s="8">
        <v>0.91297756215888415</v>
      </c>
      <c r="U1508" s="4">
        <v>79.7</v>
      </c>
      <c r="V1508" s="4">
        <v>1.3593210527266015</v>
      </c>
      <c r="W1508" s="4">
        <v>68.326574380219029</v>
      </c>
      <c r="X1508" s="4">
        <v>1.2734256197809657</v>
      </c>
    </row>
    <row r="1509" spans="11:24" x14ac:dyDescent="0.25">
      <c r="K1509" s="3"/>
      <c r="L1509" s="8">
        <v>36.299999999999997</v>
      </c>
      <c r="M1509" s="4"/>
      <c r="N1509" s="4"/>
      <c r="O1509" s="4"/>
      <c r="P1509" s="4"/>
      <c r="S1509" s="3">
        <v>1507</v>
      </c>
      <c r="T1509" s="8">
        <v>0.91358399029714976</v>
      </c>
      <c r="U1509" s="4">
        <v>79.7</v>
      </c>
      <c r="V1509" s="4">
        <v>1.3631602258263122</v>
      </c>
      <c r="W1509" s="4">
        <v>68.277257020923429</v>
      </c>
      <c r="X1509" s="4">
        <v>1.2227429790765711</v>
      </c>
    </row>
    <row r="1510" spans="11:24" x14ac:dyDescent="0.25">
      <c r="K1510" s="3"/>
      <c r="L1510" s="8">
        <v>36.299999999999997</v>
      </c>
      <c r="M1510" s="4"/>
      <c r="N1510" s="4"/>
      <c r="O1510" s="4"/>
      <c r="P1510" s="4"/>
      <c r="S1510" s="3">
        <v>1508</v>
      </c>
      <c r="T1510" s="8">
        <v>0.91419041843541538</v>
      </c>
      <c r="U1510" s="4">
        <v>79.7</v>
      </c>
      <c r="V1510" s="4">
        <v>1.3670195967099068</v>
      </c>
      <c r="W1510" s="4">
        <v>76.661208101174196</v>
      </c>
      <c r="X1510" s="4">
        <v>-7.2612081011741907</v>
      </c>
    </row>
    <row r="1511" spans="11:24" x14ac:dyDescent="0.25">
      <c r="K1511" s="3"/>
      <c r="L1511" s="8">
        <v>36.299999999999997</v>
      </c>
      <c r="M1511" s="4"/>
      <c r="N1511" s="4"/>
      <c r="O1511" s="4"/>
      <c r="P1511" s="4"/>
      <c r="S1511" s="3">
        <v>1509</v>
      </c>
      <c r="T1511" s="8">
        <v>0.91479684657368099</v>
      </c>
      <c r="U1511" s="4">
        <v>79.7</v>
      </c>
      <c r="V1511" s="4">
        <v>1.3708994371181191</v>
      </c>
      <c r="W1511" s="4">
        <v>68.178622302332258</v>
      </c>
      <c r="X1511" s="4">
        <v>1.1213776976677394</v>
      </c>
    </row>
    <row r="1512" spans="11:24" x14ac:dyDescent="0.25">
      <c r="K1512" s="3"/>
      <c r="L1512" s="8">
        <v>36.299999999999997</v>
      </c>
      <c r="M1512" s="4"/>
      <c r="N1512" s="4"/>
      <c r="O1512" s="4"/>
      <c r="P1512" s="4"/>
      <c r="S1512" s="3">
        <v>1510</v>
      </c>
      <c r="T1512" s="8">
        <v>0.9154032747119466</v>
      </c>
      <c r="U1512" s="4">
        <v>79.8</v>
      </c>
      <c r="V1512" s="4">
        <v>1.3748000243745635</v>
      </c>
      <c r="W1512" s="4">
        <v>68.129304943036658</v>
      </c>
      <c r="X1512" s="4">
        <v>1.0706950569633449</v>
      </c>
    </row>
    <row r="1513" spans="11:24" x14ac:dyDescent="0.25">
      <c r="K1513" s="3"/>
      <c r="L1513" s="8">
        <v>36.299999999999997</v>
      </c>
      <c r="M1513" s="4"/>
      <c r="N1513" s="4"/>
      <c r="O1513" s="4"/>
      <c r="P1513" s="4"/>
      <c r="S1513" s="3">
        <v>1511</v>
      </c>
      <c r="T1513" s="8">
        <v>0.91600970285021222</v>
      </c>
      <c r="U1513" s="4">
        <v>79.8</v>
      </c>
      <c r="V1513" s="4">
        <v>1.3787216415418253</v>
      </c>
      <c r="W1513" s="4">
        <v>77.006429616243352</v>
      </c>
      <c r="X1513" s="4">
        <v>-1.9064296162433578</v>
      </c>
    </row>
    <row r="1514" spans="11:24" x14ac:dyDescent="0.25">
      <c r="K1514" s="3"/>
      <c r="L1514" s="8">
        <v>36.299999999999997</v>
      </c>
      <c r="M1514" s="4"/>
      <c r="N1514" s="4"/>
      <c r="O1514" s="4"/>
      <c r="P1514" s="4"/>
      <c r="S1514" s="3">
        <v>1512</v>
      </c>
      <c r="T1514" s="8">
        <v>0.91661613098847783</v>
      </c>
      <c r="U1514" s="4">
        <v>79.8</v>
      </c>
      <c r="V1514" s="4">
        <v>1.3826645775830844</v>
      </c>
      <c r="W1514" s="4">
        <v>76.957112256947752</v>
      </c>
      <c r="X1514" s="4">
        <v>-2.0571122569477467</v>
      </c>
    </row>
    <row r="1515" spans="11:24" x14ac:dyDescent="0.25">
      <c r="K1515" s="3"/>
      <c r="L1515" s="8">
        <v>36.299999999999997</v>
      </c>
      <c r="M1515" s="4"/>
      <c r="N1515" s="4"/>
      <c r="O1515" s="4"/>
      <c r="P1515" s="4"/>
      <c r="S1515" s="3">
        <v>1513</v>
      </c>
      <c r="T1515" s="8">
        <v>0.91722255912674344</v>
      </c>
      <c r="U1515" s="4">
        <v>79.8</v>
      </c>
      <c r="V1515" s="4">
        <v>1.3866291275295084</v>
      </c>
      <c r="W1515" s="4">
        <v>76.957112256947752</v>
      </c>
      <c r="X1515" s="4">
        <v>-2.0571122569477467</v>
      </c>
    </row>
    <row r="1516" spans="11:24" x14ac:dyDescent="0.25">
      <c r="K1516" s="3"/>
      <c r="L1516" s="8">
        <v>36.299999999999997</v>
      </c>
      <c r="M1516" s="4"/>
      <c r="N1516" s="4"/>
      <c r="O1516" s="4"/>
      <c r="P1516" s="4"/>
      <c r="S1516" s="3">
        <v>1514</v>
      </c>
      <c r="T1516" s="8">
        <v>0.91782898726500906</v>
      </c>
      <c r="U1516" s="4">
        <v>79.8</v>
      </c>
      <c r="V1516" s="4">
        <v>1.3906155926536605</v>
      </c>
      <c r="W1516" s="4">
        <v>76.957112256947752</v>
      </c>
      <c r="X1516" s="4">
        <v>-2.1571122569477552</v>
      </c>
    </row>
    <row r="1517" spans="11:24" x14ac:dyDescent="0.25">
      <c r="K1517" s="3"/>
      <c r="L1517" s="8">
        <v>36.299999999999997</v>
      </c>
      <c r="M1517" s="4"/>
      <c r="N1517" s="4"/>
      <c r="O1517" s="4"/>
      <c r="P1517" s="4"/>
      <c r="S1517" s="3">
        <v>1515</v>
      </c>
      <c r="T1517" s="8">
        <v>0.91843541540327467</v>
      </c>
      <c r="U1517" s="4">
        <v>79.900000000000006</v>
      </c>
      <c r="V1517" s="4">
        <v>1.3946242806491955</v>
      </c>
      <c r="W1517" s="4">
        <v>77.006429616243352</v>
      </c>
      <c r="X1517" s="4">
        <v>-2.206429616243355</v>
      </c>
    </row>
    <row r="1518" spans="11:24" x14ac:dyDescent="0.25">
      <c r="K1518" s="3"/>
      <c r="L1518" s="8">
        <v>36.299999999999997</v>
      </c>
      <c r="M1518" s="4"/>
      <c r="N1518" s="4"/>
      <c r="O1518" s="4"/>
      <c r="P1518" s="4"/>
      <c r="S1518" s="3">
        <v>1516</v>
      </c>
      <c r="T1518" s="8">
        <v>0.91904184354154028</v>
      </c>
      <c r="U1518" s="4">
        <v>79.900000000000006</v>
      </c>
      <c r="V1518" s="4">
        <v>1.3986555058171068</v>
      </c>
      <c r="W1518" s="4">
        <v>77.006429616243352</v>
      </c>
      <c r="X1518" s="4">
        <v>-2.3064296162433493</v>
      </c>
    </row>
    <row r="1519" spans="11:24" x14ac:dyDescent="0.25">
      <c r="K1519" s="3"/>
      <c r="L1519" s="8">
        <v>36.299999999999997</v>
      </c>
      <c r="M1519" s="4"/>
      <c r="N1519" s="4"/>
      <c r="O1519" s="4"/>
      <c r="P1519" s="4"/>
      <c r="S1519" s="3">
        <v>1517</v>
      </c>
      <c r="T1519" s="8">
        <v>0.9196482716798059</v>
      </c>
      <c r="U1519" s="4">
        <v>79.900000000000006</v>
      </c>
      <c r="V1519" s="4">
        <v>1.4027095892588297</v>
      </c>
      <c r="W1519" s="4">
        <v>77.006429616243352</v>
      </c>
      <c r="X1519" s="4">
        <v>-2.3064296162433493</v>
      </c>
    </row>
    <row r="1520" spans="11:24" x14ac:dyDescent="0.25">
      <c r="K1520" s="3"/>
      <c r="L1520" s="8">
        <v>36.299999999999997</v>
      </c>
      <c r="M1520" s="4"/>
      <c r="N1520" s="4"/>
      <c r="O1520" s="4"/>
      <c r="P1520" s="4"/>
      <c r="S1520" s="3">
        <v>1518</v>
      </c>
      <c r="T1520" s="8">
        <v>0.92025469981807151</v>
      </c>
      <c r="U1520" s="4">
        <v>79.900000000000006</v>
      </c>
      <c r="V1520" s="4">
        <v>1.406786859076492</v>
      </c>
      <c r="W1520" s="4">
        <v>77.006429616243352</v>
      </c>
      <c r="X1520" s="4">
        <v>-2.4064296162433578</v>
      </c>
    </row>
    <row r="1521" spans="11:24" x14ac:dyDescent="0.25">
      <c r="K1521" s="3"/>
      <c r="L1521" s="8">
        <v>36.299999999999997</v>
      </c>
      <c r="M1521" s="4"/>
      <c r="N1521" s="4"/>
      <c r="O1521" s="4"/>
      <c r="P1521" s="4"/>
      <c r="S1521" s="3">
        <v>1519</v>
      </c>
      <c r="T1521" s="8">
        <v>0.92086112795633712</v>
      </c>
      <c r="U1521" s="4">
        <v>79.900000000000006</v>
      </c>
      <c r="V1521" s="4">
        <v>1.4108876505806465</v>
      </c>
      <c r="W1521" s="4">
        <v>77.006429616243352</v>
      </c>
      <c r="X1521" s="4">
        <v>-2.6064296162433465</v>
      </c>
    </row>
    <row r="1522" spans="11:24" x14ac:dyDescent="0.25">
      <c r="K1522" s="3"/>
      <c r="L1522" s="8">
        <v>36.299999999999997</v>
      </c>
      <c r="M1522" s="4"/>
      <c r="N1522" s="4"/>
      <c r="O1522" s="4"/>
      <c r="P1522" s="4"/>
      <c r="S1522" s="3">
        <v>1520</v>
      </c>
      <c r="T1522" s="8">
        <v>0.92146755609460274</v>
      </c>
      <c r="U1522" s="4">
        <v>79.900000000000006</v>
      </c>
      <c r="V1522" s="4">
        <v>1.415012306505814</v>
      </c>
      <c r="W1522" s="4">
        <v>76.907794897652167</v>
      </c>
      <c r="X1522" s="4">
        <v>-2.707794897652164</v>
      </c>
    </row>
    <row r="1523" spans="11:24" x14ac:dyDescent="0.25">
      <c r="K1523" s="3"/>
      <c r="L1523" s="8">
        <v>36.299999999999997</v>
      </c>
      <c r="M1523" s="4"/>
      <c r="N1523" s="4"/>
      <c r="O1523" s="4"/>
      <c r="P1523" s="4"/>
      <c r="S1523" s="3">
        <v>1521</v>
      </c>
      <c r="T1523" s="8">
        <v>0.92207398423286846</v>
      </c>
      <c r="U1523" s="4">
        <v>80</v>
      </c>
      <c r="V1523" s="4">
        <v>1.419161177234205</v>
      </c>
      <c r="W1523" s="4">
        <v>76.858477538356567</v>
      </c>
      <c r="X1523" s="4">
        <v>-2.858477538356567</v>
      </c>
    </row>
    <row r="1524" spans="11:24" x14ac:dyDescent="0.25">
      <c r="K1524" s="3"/>
      <c r="L1524" s="8">
        <v>36.299999999999997</v>
      </c>
      <c r="M1524" s="4"/>
      <c r="N1524" s="4"/>
      <c r="O1524" s="4"/>
      <c r="P1524" s="4"/>
      <c r="S1524" s="3">
        <v>1522</v>
      </c>
      <c r="T1524" s="8">
        <v>0.92268041237113407</v>
      </c>
      <c r="U1524" s="4">
        <v>80</v>
      </c>
      <c r="V1524" s="4">
        <v>1.4233346210279803</v>
      </c>
      <c r="W1524" s="4">
        <v>76.759842819765382</v>
      </c>
      <c r="X1524" s="4">
        <v>-3.0598428197653789</v>
      </c>
    </row>
    <row r="1525" spans="11:24" x14ac:dyDescent="0.25">
      <c r="K1525" s="3"/>
      <c r="L1525" s="8">
        <v>36.299999999999997</v>
      </c>
      <c r="M1525" s="4"/>
      <c r="N1525" s="4"/>
      <c r="O1525" s="4"/>
      <c r="P1525" s="4"/>
      <c r="S1525" s="3">
        <v>1523</v>
      </c>
      <c r="T1525" s="8">
        <v>0.92328684050939969</v>
      </c>
      <c r="U1525" s="4">
        <v>80</v>
      </c>
      <c r="V1525" s="4">
        <v>1.4275330042704704</v>
      </c>
      <c r="W1525" s="4">
        <v>76.661208101174196</v>
      </c>
      <c r="X1525" s="4">
        <v>-3.1612081011741964</v>
      </c>
    </row>
    <row r="1526" spans="11:24" x14ac:dyDescent="0.25">
      <c r="K1526" s="3"/>
      <c r="L1526" s="8">
        <v>89</v>
      </c>
      <c r="M1526" s="4"/>
      <c r="N1526" s="4"/>
      <c r="O1526" s="4"/>
      <c r="P1526" s="4"/>
      <c r="S1526" s="3">
        <v>1524</v>
      </c>
      <c r="T1526" s="8">
        <v>0.9238932686476653</v>
      </c>
      <c r="U1526" s="4">
        <v>80</v>
      </c>
      <c r="V1526" s="4">
        <v>1.4317567017167454</v>
      </c>
      <c r="W1526" s="4">
        <v>77.055746975538938</v>
      </c>
      <c r="X1526" s="4">
        <v>-3.8557469755389349</v>
      </c>
    </row>
    <row r="1527" spans="11:24" x14ac:dyDescent="0.25">
      <c r="K1527" s="3"/>
      <c r="L1527" s="8">
        <v>89</v>
      </c>
      <c r="M1527" s="4"/>
      <c r="N1527" s="4"/>
      <c r="O1527" s="4"/>
      <c r="P1527" s="4"/>
      <c r="S1527" s="3">
        <v>1525</v>
      </c>
      <c r="T1527" s="8">
        <v>0.92449969678593091</v>
      </c>
      <c r="U1527" s="4">
        <v>80</v>
      </c>
      <c r="V1527" s="4">
        <v>1.4360060967540009</v>
      </c>
      <c r="W1527" s="4">
        <v>72.074693686684071</v>
      </c>
      <c r="X1527" s="4">
        <v>0.8253063133159344</v>
      </c>
    </row>
    <row r="1528" spans="11:24" x14ac:dyDescent="0.25">
      <c r="K1528" s="3"/>
      <c r="L1528" s="8">
        <v>89</v>
      </c>
      <c r="M1528" s="4"/>
      <c r="N1528" s="4"/>
      <c r="O1528" s="4"/>
      <c r="P1528" s="4"/>
      <c r="S1528" s="3">
        <v>1526</v>
      </c>
      <c r="T1528" s="8">
        <v>0.92510612492419653</v>
      </c>
      <c r="U1528" s="4">
        <v>80</v>
      </c>
      <c r="V1528" s="4">
        <v>1.4402815816722085</v>
      </c>
      <c r="W1528" s="4">
        <v>76.759842819765382</v>
      </c>
      <c r="X1528" s="4">
        <v>-1.2598428197653817</v>
      </c>
    </row>
    <row r="1529" spans="11:24" x14ac:dyDescent="0.25">
      <c r="K1529" s="3"/>
      <c r="L1529" s="8">
        <v>89</v>
      </c>
      <c r="M1529" s="4"/>
      <c r="N1529" s="4"/>
      <c r="O1529" s="4"/>
      <c r="P1529" s="4"/>
      <c r="S1529" s="3">
        <v>1527</v>
      </c>
      <c r="T1529" s="8">
        <v>0.92571255306246214</v>
      </c>
      <c r="U1529" s="4">
        <v>80</v>
      </c>
      <c r="V1529" s="4">
        <v>1.4445835579455351</v>
      </c>
      <c r="W1529" s="4">
        <v>76.661208101174196</v>
      </c>
      <c r="X1529" s="4">
        <v>-1.4612081011741935</v>
      </c>
    </row>
    <row r="1530" spans="11:24" x14ac:dyDescent="0.25">
      <c r="K1530" s="3"/>
      <c r="L1530" s="8">
        <v>89</v>
      </c>
      <c r="M1530" s="4"/>
      <c r="N1530" s="4"/>
      <c r="O1530" s="4"/>
      <c r="P1530" s="4"/>
      <c r="S1530" s="3">
        <v>1528</v>
      </c>
      <c r="T1530" s="8">
        <v>0.92631898120072775</v>
      </c>
      <c r="U1530" s="4">
        <v>80</v>
      </c>
      <c r="V1530" s="4">
        <v>1.4489124365250414</v>
      </c>
      <c r="W1530" s="4">
        <v>72.074693686684071</v>
      </c>
      <c r="X1530" s="4">
        <v>2.7253063133159259</v>
      </c>
    </row>
    <row r="1531" spans="11:24" x14ac:dyDescent="0.25">
      <c r="K1531" s="3"/>
      <c r="L1531" s="8">
        <v>89</v>
      </c>
      <c r="M1531" s="4"/>
      <c r="N1531" s="4"/>
      <c r="O1531" s="4"/>
      <c r="P1531" s="4"/>
      <c r="S1531" s="3">
        <v>1529</v>
      </c>
      <c r="T1531" s="8">
        <v>0.92692540933899337</v>
      </c>
      <c r="U1531" s="4">
        <v>80</v>
      </c>
      <c r="V1531" s="4">
        <v>1.4532686381432205</v>
      </c>
      <c r="W1531" s="4">
        <v>71.976058968092886</v>
      </c>
      <c r="X1531" s="4">
        <v>2.5239410319071141</v>
      </c>
    </row>
    <row r="1532" spans="11:24" x14ac:dyDescent="0.25">
      <c r="K1532" s="3"/>
      <c r="L1532" s="8">
        <v>89</v>
      </c>
      <c r="M1532" s="4"/>
      <c r="N1532" s="4"/>
      <c r="O1532" s="4"/>
      <c r="P1532" s="4"/>
      <c r="S1532" s="3">
        <v>1530</v>
      </c>
      <c r="T1532" s="8">
        <v>0.92753183747725898</v>
      </c>
      <c r="U1532" s="4">
        <v>81</v>
      </c>
      <c r="V1532" s="4">
        <v>1.4576525936309466</v>
      </c>
      <c r="W1532" s="4">
        <v>71.877424249501701</v>
      </c>
      <c r="X1532" s="4">
        <v>2.3225757504983022</v>
      </c>
    </row>
    <row r="1533" spans="11:24" x14ac:dyDescent="0.25">
      <c r="K1533" s="3"/>
      <c r="L1533" s="8">
        <v>89</v>
      </c>
      <c r="M1533" s="4"/>
      <c r="N1533" s="4"/>
      <c r="O1533" s="4"/>
      <c r="P1533" s="4"/>
      <c r="S1533" s="3">
        <v>1531</v>
      </c>
      <c r="T1533" s="8">
        <v>0.92813826561552459</v>
      </c>
      <c r="U1533" s="4">
        <v>81</v>
      </c>
      <c r="V1533" s="4">
        <v>1.462064744247453</v>
      </c>
      <c r="W1533" s="4">
        <v>71.778789530910515</v>
      </c>
      <c r="X1533" s="4">
        <v>2.1212104690894904</v>
      </c>
    </row>
    <row r="1534" spans="11:24" x14ac:dyDescent="0.25">
      <c r="K1534" s="3"/>
      <c r="L1534" s="8">
        <v>89</v>
      </c>
      <c r="M1534" s="4"/>
      <c r="N1534" s="4"/>
      <c r="O1534" s="4"/>
      <c r="P1534" s="4"/>
      <c r="S1534" s="3">
        <v>1532</v>
      </c>
      <c r="T1534" s="8">
        <v>0.92874469375379021</v>
      </c>
      <c r="U1534" s="4">
        <v>81</v>
      </c>
      <c r="V1534" s="4">
        <v>1.4665055420239985</v>
      </c>
      <c r="W1534" s="4">
        <v>71.630837453023744</v>
      </c>
      <c r="X1534" s="4">
        <v>1.8691625469762556</v>
      </c>
    </row>
    <row r="1535" spans="11:24" x14ac:dyDescent="0.25">
      <c r="K1535" s="3"/>
      <c r="L1535" s="8">
        <v>89</v>
      </c>
      <c r="M1535" s="4"/>
      <c r="N1535" s="4"/>
      <c r="O1535" s="4"/>
      <c r="P1535" s="4"/>
      <c r="S1535" s="3">
        <v>1533</v>
      </c>
      <c r="T1535" s="8">
        <v>0.92935112189205582</v>
      </c>
      <c r="U1535" s="4">
        <v>81</v>
      </c>
      <c r="V1535" s="4">
        <v>1.4709754501218946</v>
      </c>
      <c r="W1535" s="4">
        <v>71.482885375136959</v>
      </c>
      <c r="X1535" s="4">
        <v>1.7171146248630436</v>
      </c>
    </row>
    <row r="1536" spans="11:24" x14ac:dyDescent="0.25">
      <c r="K1536" s="3"/>
      <c r="L1536" s="8">
        <v>89</v>
      </c>
      <c r="M1536" s="4"/>
      <c r="N1536" s="4"/>
      <c r="O1536" s="4"/>
      <c r="P1536" s="4"/>
      <c r="S1536" s="3">
        <v>1534</v>
      </c>
      <c r="T1536" s="8">
        <v>0.92995755003032143</v>
      </c>
      <c r="U1536" s="4">
        <v>81</v>
      </c>
      <c r="V1536" s="4">
        <v>1.4754749432056431</v>
      </c>
      <c r="W1536" s="4">
        <v>71.384250656545774</v>
      </c>
      <c r="X1536" s="4">
        <v>1.4157493434542232</v>
      </c>
    </row>
    <row r="1537" spans="11:24" x14ac:dyDescent="0.25">
      <c r="K1537" s="3"/>
      <c r="L1537" s="8">
        <v>89</v>
      </c>
      <c r="M1537" s="4"/>
      <c r="N1537" s="4"/>
      <c r="O1537" s="4"/>
      <c r="P1537" s="4"/>
      <c r="S1537" s="3">
        <v>1535</v>
      </c>
      <c r="T1537" s="8">
        <v>0.93056397816858705</v>
      </c>
      <c r="U1537" s="4">
        <v>81</v>
      </c>
      <c r="V1537" s="4">
        <v>1.480004507831941</v>
      </c>
      <c r="W1537" s="4">
        <v>71.236298578659003</v>
      </c>
      <c r="X1537" s="4">
        <v>1.1637014213410026</v>
      </c>
    </row>
    <row r="1538" spans="11:24" x14ac:dyDescent="0.25">
      <c r="K1538" s="3"/>
      <c r="L1538" s="8">
        <v>89</v>
      </c>
      <c r="M1538" s="4"/>
      <c r="N1538" s="4"/>
      <c r="O1538" s="4"/>
      <c r="P1538" s="4"/>
      <c r="S1538" s="3">
        <v>1536</v>
      </c>
      <c r="T1538" s="8">
        <v>0.93117040630685266</v>
      </c>
      <c r="U1538" s="4">
        <v>81</v>
      </c>
      <c r="V1538" s="4">
        <v>1.484564642855386</v>
      </c>
      <c r="W1538" s="4">
        <v>71.088346500772218</v>
      </c>
      <c r="X1538" s="4">
        <v>0.91165349922778205</v>
      </c>
    </row>
    <row r="1539" spans="11:24" x14ac:dyDescent="0.25">
      <c r="K1539" s="3"/>
      <c r="L1539" s="8">
        <v>89</v>
      </c>
      <c r="M1539" s="4"/>
      <c r="N1539" s="4"/>
      <c r="O1539" s="4"/>
      <c r="P1539" s="4"/>
      <c r="S1539" s="3">
        <v>1537</v>
      </c>
      <c r="T1539" s="8">
        <v>0.93177683444511827</v>
      </c>
      <c r="U1539" s="4">
        <v>81</v>
      </c>
      <c r="V1539" s="4">
        <v>1.489155859851746</v>
      </c>
      <c r="W1539" s="4">
        <v>70.940394422885447</v>
      </c>
      <c r="X1539" s="4">
        <v>0.65960557711454726</v>
      </c>
    </row>
    <row r="1540" spans="11:24" x14ac:dyDescent="0.25">
      <c r="K1540" s="3"/>
      <c r="L1540" s="8">
        <v>89</v>
      </c>
      <c r="M1540" s="4"/>
      <c r="N1540" s="4"/>
      <c r="O1540" s="4"/>
      <c r="P1540" s="4"/>
      <c r="S1540" s="3">
        <v>1538</v>
      </c>
      <c r="T1540" s="8">
        <v>0.93238326258338389</v>
      </c>
      <c r="U1540" s="4">
        <v>81</v>
      </c>
      <c r="V1540" s="4">
        <v>1.4937786835597284</v>
      </c>
      <c r="W1540" s="4">
        <v>70.792442344998662</v>
      </c>
      <c r="X1540" s="4">
        <v>0.40755765500134089</v>
      </c>
    </row>
    <row r="1541" spans="11:24" x14ac:dyDescent="0.25">
      <c r="K1541" s="3"/>
      <c r="L1541" s="8">
        <v>36.299999999999997</v>
      </c>
      <c r="M1541" s="4"/>
      <c r="N1541" s="4"/>
      <c r="O1541" s="4"/>
      <c r="P1541" s="4"/>
      <c r="S1541" s="3">
        <v>1539</v>
      </c>
      <c r="T1541" s="8">
        <v>0.9329896907216495</v>
      </c>
      <c r="U1541" s="4">
        <v>81</v>
      </c>
      <c r="V1541" s="4">
        <v>1.4984336523422108</v>
      </c>
      <c r="W1541" s="4">
        <v>76.907794897652167</v>
      </c>
      <c r="X1541" s="4">
        <v>1.0922051023478332</v>
      </c>
    </row>
    <row r="1542" spans="11:24" x14ac:dyDescent="0.25">
      <c r="K1542" s="3"/>
      <c r="L1542" s="8">
        <v>89</v>
      </c>
      <c r="M1542" s="4"/>
      <c r="N1542" s="4"/>
      <c r="O1542" s="4"/>
      <c r="P1542" s="4"/>
      <c r="S1542" s="3">
        <v>1540</v>
      </c>
      <c r="T1542" s="8">
        <v>0.93359611885991511</v>
      </c>
      <c r="U1542" s="4">
        <v>81</v>
      </c>
      <c r="V1542" s="4">
        <v>1.5031213186680006</v>
      </c>
      <c r="W1542" s="4">
        <v>70.545855548520706</v>
      </c>
      <c r="X1542" s="4">
        <v>3.4541444514792943</v>
      </c>
    </row>
    <row r="1543" spans="11:24" x14ac:dyDescent="0.25">
      <c r="K1543" s="3"/>
      <c r="L1543" s="8">
        <v>89</v>
      </c>
      <c r="M1543" s="4"/>
      <c r="N1543" s="4"/>
      <c r="O1543" s="4"/>
      <c r="P1543" s="4"/>
      <c r="S1543" s="3">
        <v>1541</v>
      </c>
      <c r="T1543" s="8">
        <v>0.93420254699818073</v>
      </c>
      <c r="U1543" s="4">
        <v>81</v>
      </c>
      <c r="V1543" s="4">
        <v>1.5078422496152202</v>
      </c>
      <c r="W1543" s="4">
        <v>66.896370960646834</v>
      </c>
      <c r="X1543" s="4">
        <v>-0.89637096064683419</v>
      </c>
    </row>
    <row r="1544" spans="11:24" x14ac:dyDescent="0.25">
      <c r="K1544" s="3"/>
      <c r="L1544" s="8">
        <v>89</v>
      </c>
      <c r="M1544" s="4"/>
      <c r="N1544" s="4"/>
      <c r="O1544" s="4"/>
      <c r="P1544" s="4"/>
      <c r="S1544" s="3">
        <v>1542</v>
      </c>
      <c r="T1544" s="8">
        <v>0.93480897513644634</v>
      </c>
      <c r="U1544" s="4">
        <v>81</v>
      </c>
      <c r="V1544" s="4">
        <v>1.5125970273974985</v>
      </c>
      <c r="W1544" s="4">
        <v>66.353880008395322</v>
      </c>
      <c r="X1544" s="4">
        <v>-0.95388000839531628</v>
      </c>
    </row>
    <row r="1545" spans="11:24" x14ac:dyDescent="0.25">
      <c r="K1545" s="3"/>
      <c r="L1545" s="8">
        <v>89</v>
      </c>
      <c r="M1545" s="4"/>
      <c r="N1545" s="4"/>
      <c r="O1545" s="4"/>
      <c r="P1545" s="4"/>
      <c r="S1545" s="3">
        <v>1543</v>
      </c>
      <c r="T1545" s="8">
        <v>0.93541540327471195</v>
      </c>
      <c r="U1545" s="4">
        <v>81</v>
      </c>
      <c r="V1545" s="4">
        <v>1.5173862499142299</v>
      </c>
      <c r="W1545" s="4">
        <v>76.513256023287425</v>
      </c>
      <c r="X1545" s="4">
        <v>-10.913256023287431</v>
      </c>
    </row>
    <row r="1546" spans="11:24" x14ac:dyDescent="0.25">
      <c r="K1546" s="3"/>
      <c r="L1546" s="8">
        <v>89</v>
      </c>
      <c r="M1546" s="4"/>
      <c r="N1546" s="4"/>
      <c r="O1546" s="4"/>
      <c r="P1546" s="4"/>
      <c r="S1546" s="3">
        <v>1544</v>
      </c>
      <c r="T1546" s="8">
        <v>0.93602183141297757</v>
      </c>
      <c r="U1546" s="4">
        <v>81.099999999999994</v>
      </c>
      <c r="V1546" s="4">
        <v>1.5222105313262395</v>
      </c>
      <c r="W1546" s="4">
        <v>66.896370960646834</v>
      </c>
      <c r="X1546" s="4">
        <v>-1.2963709606468399</v>
      </c>
    </row>
    <row r="1547" spans="11:24" x14ac:dyDescent="0.25">
      <c r="K1547" s="3"/>
      <c r="L1547" s="8">
        <v>89</v>
      </c>
      <c r="M1547" s="4"/>
      <c r="N1547" s="4"/>
      <c r="O1547" s="4"/>
      <c r="P1547" s="4"/>
      <c r="S1547" s="3">
        <v>1545</v>
      </c>
      <c r="T1547" s="8">
        <v>0.93662825955124318</v>
      </c>
      <c r="U1547" s="4">
        <v>81.099999999999994</v>
      </c>
      <c r="V1547" s="4">
        <v>1.5270705026582772</v>
      </c>
      <c r="W1547" s="4">
        <v>67.19227511642039</v>
      </c>
      <c r="X1547" s="4">
        <v>-1.392275116420393</v>
      </c>
    </row>
    <row r="1548" spans="11:24" x14ac:dyDescent="0.25">
      <c r="K1548" s="3"/>
      <c r="L1548" s="8">
        <v>89</v>
      </c>
      <c r="M1548" s="4"/>
      <c r="N1548" s="4"/>
      <c r="O1548" s="4"/>
      <c r="P1548" s="4"/>
      <c r="S1548" s="3">
        <v>1546</v>
      </c>
      <c r="T1548" s="8">
        <v>0.93723468768950879</v>
      </c>
      <c r="U1548" s="4">
        <v>81.099999999999994</v>
      </c>
      <c r="V1548" s="4">
        <v>1.5319668124298669</v>
      </c>
      <c r="W1548" s="4">
        <v>66.99500567923802</v>
      </c>
      <c r="X1548" s="4">
        <v>-1.3950056792380252</v>
      </c>
    </row>
    <row r="1549" spans="11:24" x14ac:dyDescent="0.25">
      <c r="K1549" s="3"/>
      <c r="L1549" s="8">
        <v>89</v>
      </c>
      <c r="M1549" s="4"/>
      <c r="N1549" s="4"/>
      <c r="O1549" s="4"/>
      <c r="P1549" s="4"/>
      <c r="S1549" s="3">
        <v>1547</v>
      </c>
      <c r="T1549" s="8">
        <v>0.93784111582777441</v>
      </c>
      <c r="U1549" s="4">
        <v>81.099999999999994</v>
      </c>
      <c r="V1549" s="4">
        <v>1.5369001273161307</v>
      </c>
      <c r="W1549" s="4">
        <v>66.008658493326166</v>
      </c>
      <c r="X1549" s="4">
        <v>-1.5086584933261662</v>
      </c>
    </row>
    <row r="1550" spans="11:24" x14ac:dyDescent="0.25">
      <c r="K1550" s="3"/>
      <c r="L1550" s="8">
        <v>89</v>
      </c>
      <c r="M1550" s="4"/>
      <c r="N1550" s="4"/>
      <c r="O1550" s="4"/>
      <c r="P1550" s="4"/>
      <c r="S1550" s="3">
        <v>1548</v>
      </c>
      <c r="T1550" s="8">
        <v>0.93844754396604002</v>
      </c>
      <c r="U1550" s="4">
        <v>81.099999999999994</v>
      </c>
      <c r="V1550" s="4">
        <v>1.5418711328403236</v>
      </c>
      <c r="W1550" s="4">
        <v>65.71275433755261</v>
      </c>
      <c r="X1550" s="4">
        <v>-1.6127543375526159</v>
      </c>
    </row>
    <row r="1551" spans="11:24" x14ac:dyDescent="0.25">
      <c r="K1551" s="3"/>
      <c r="L1551" s="8">
        <v>89</v>
      </c>
      <c r="M1551" s="4"/>
      <c r="N1551" s="4"/>
      <c r="O1551" s="4"/>
      <c r="P1551" s="4"/>
      <c r="S1551" s="3">
        <v>1549</v>
      </c>
      <c r="T1551" s="8">
        <v>0.93905397210430563</v>
      </c>
      <c r="U1551" s="4">
        <v>81.099999999999994</v>
      </c>
      <c r="V1551" s="4">
        <v>1.5468805340999254</v>
      </c>
      <c r="W1551" s="4">
        <v>65.51548490037024</v>
      </c>
      <c r="X1551" s="4">
        <v>-1.8154849003702367</v>
      </c>
    </row>
    <row r="1552" spans="11:24" x14ac:dyDescent="0.25">
      <c r="K1552" s="3"/>
      <c r="L1552" s="8">
        <v>89</v>
      </c>
      <c r="M1552" s="4"/>
      <c r="N1552" s="4"/>
      <c r="O1552" s="4"/>
      <c r="P1552" s="4"/>
      <c r="S1552" s="3">
        <v>1550</v>
      </c>
      <c r="T1552" s="8">
        <v>0.93966040024257125</v>
      </c>
      <c r="U1552" s="4">
        <v>81.2</v>
      </c>
      <c r="V1552" s="4">
        <v>1.5519290565282795</v>
      </c>
      <c r="W1552" s="4">
        <v>65.367532822483469</v>
      </c>
      <c r="X1552" s="4">
        <v>-2.0675328224834715</v>
      </c>
    </row>
    <row r="1553" spans="11:24" x14ac:dyDescent="0.25">
      <c r="K1553" s="3"/>
      <c r="L1553" s="8">
        <v>89</v>
      </c>
      <c r="M1553" s="4"/>
      <c r="N1553" s="4"/>
      <c r="O1553" s="4"/>
      <c r="P1553" s="4"/>
      <c r="S1553" s="3">
        <v>1551</v>
      </c>
      <c r="T1553" s="8">
        <v>0.94026682838083686</v>
      </c>
      <c r="U1553" s="4">
        <v>81.2</v>
      </c>
      <c r="V1553" s="4">
        <v>1.5570174466938811</v>
      </c>
      <c r="W1553" s="4">
        <v>65.860706415439395</v>
      </c>
      <c r="X1553" s="4">
        <v>-2.3607064154393953</v>
      </c>
    </row>
    <row r="1554" spans="11:24" x14ac:dyDescent="0.25">
      <c r="K1554" s="3"/>
      <c r="L1554" s="8">
        <v>89</v>
      </c>
      <c r="M1554" s="4"/>
      <c r="N1554" s="4"/>
      <c r="O1554" s="4"/>
      <c r="P1554" s="4"/>
      <c r="S1554" s="3">
        <v>1552</v>
      </c>
      <c r="T1554" s="8">
        <v>0.94087325651910247</v>
      </c>
      <c r="U1554" s="4">
        <v>81.2</v>
      </c>
      <c r="V1554" s="4">
        <v>1.5621464731395975</v>
      </c>
      <c r="W1554" s="4">
        <v>66.205927930508537</v>
      </c>
      <c r="X1554" s="4">
        <v>-2.8059279305085383</v>
      </c>
    </row>
    <row r="1555" spans="11:24" x14ac:dyDescent="0.25">
      <c r="K1555" s="3"/>
      <c r="L1555" s="8">
        <v>89</v>
      </c>
      <c r="M1555" s="4"/>
      <c r="N1555" s="4"/>
      <c r="O1555" s="4"/>
      <c r="P1555" s="4"/>
      <c r="S1555" s="3">
        <v>1553</v>
      </c>
      <c r="T1555" s="8">
        <v>0.94147968465736809</v>
      </c>
      <c r="U1555" s="4">
        <v>81.2</v>
      </c>
      <c r="V1555" s="4">
        <v>1.5673169272642289</v>
      </c>
      <c r="W1555" s="4">
        <v>66.304562649099722</v>
      </c>
      <c r="X1555" s="4">
        <v>-3.004562649099725</v>
      </c>
    </row>
    <row r="1556" spans="11:24" x14ac:dyDescent="0.25">
      <c r="K1556" s="3"/>
      <c r="L1556" s="8">
        <v>89</v>
      </c>
      <c r="M1556" s="4"/>
      <c r="N1556" s="4"/>
      <c r="O1556" s="4"/>
      <c r="P1556" s="4"/>
      <c r="S1556" s="3">
        <v>1554</v>
      </c>
      <c r="T1556" s="8">
        <v>0.9420861127956337</v>
      </c>
      <c r="U1556" s="4">
        <v>81.3</v>
      </c>
      <c r="V1556" s="4">
        <v>1.5725296242490356</v>
      </c>
      <c r="W1556" s="4">
        <v>75.724178274557943</v>
      </c>
      <c r="X1556" s="4">
        <v>-14.224178274557943</v>
      </c>
    </row>
    <row r="1557" spans="11:24" x14ac:dyDescent="0.25">
      <c r="K1557" s="3"/>
      <c r="L1557" s="8">
        <v>36.299999999999997</v>
      </c>
      <c r="M1557" s="4"/>
      <c r="N1557" s="4"/>
      <c r="O1557" s="4"/>
      <c r="P1557" s="4"/>
      <c r="S1557" s="3">
        <v>1555</v>
      </c>
      <c r="T1557" s="8">
        <v>0.94269254093389931</v>
      </c>
      <c r="U1557" s="4">
        <v>81.3</v>
      </c>
      <c r="V1557" s="4">
        <v>1.5777854040319945</v>
      </c>
      <c r="W1557" s="4">
        <v>61.570096156722826</v>
      </c>
      <c r="X1557" s="4">
        <v>5.4299038432771738</v>
      </c>
    </row>
    <row r="1558" spans="11:24" x14ac:dyDescent="0.25">
      <c r="K1558" s="3"/>
      <c r="L1558" s="8">
        <v>89</v>
      </c>
      <c r="M1558" s="4"/>
      <c r="N1558" s="4"/>
      <c r="O1558" s="4"/>
      <c r="P1558" s="4"/>
      <c r="S1558" s="3">
        <v>1556</v>
      </c>
      <c r="T1558" s="8">
        <v>0.94329896907216493</v>
      </c>
      <c r="U1558" s="4">
        <v>81.3</v>
      </c>
      <c r="V1558" s="4">
        <v>1.5830851323328081</v>
      </c>
      <c r="W1558" s="4">
        <v>60.879653126584529</v>
      </c>
      <c r="X1558" s="4">
        <v>-0.87965312658452888</v>
      </c>
    </row>
    <row r="1559" spans="11:24" x14ac:dyDescent="0.25">
      <c r="K1559" s="3"/>
      <c r="L1559" s="8">
        <v>89</v>
      </c>
      <c r="M1559" s="4"/>
      <c r="N1559" s="4"/>
      <c r="O1559" s="4"/>
      <c r="P1559" s="4"/>
      <c r="S1559" s="3">
        <v>1557</v>
      </c>
      <c r="T1559" s="8">
        <v>0.94390539721043054</v>
      </c>
      <c r="U1559" s="4">
        <v>81.3</v>
      </c>
      <c r="V1559" s="4">
        <v>1.5884297017318652</v>
      </c>
      <c r="W1559" s="4">
        <v>60.485114252219788</v>
      </c>
      <c r="X1559" s="4">
        <v>-1.1851142522197904</v>
      </c>
    </row>
    <row r="1560" spans="11:24" x14ac:dyDescent="0.25">
      <c r="K1560" s="3"/>
      <c r="L1560" s="8">
        <v>89</v>
      </c>
      <c r="M1560" s="4"/>
      <c r="N1560" s="4"/>
      <c r="O1560" s="4"/>
      <c r="P1560" s="4"/>
      <c r="S1560" s="3">
        <v>1558</v>
      </c>
      <c r="T1560" s="8">
        <v>0.94451182534869615</v>
      </c>
      <c r="U1560" s="4">
        <v>81.3</v>
      </c>
      <c r="V1560" s="4">
        <v>1.5938200328066188</v>
      </c>
      <c r="W1560" s="4">
        <v>59.74535386278589</v>
      </c>
      <c r="X1560" s="4">
        <v>-1.3453538627858919</v>
      </c>
    </row>
    <row r="1561" spans="11:24" x14ac:dyDescent="0.25">
      <c r="K1561" s="3"/>
      <c r="L1561" s="8">
        <v>89</v>
      </c>
      <c r="M1561" s="4"/>
      <c r="N1561" s="4"/>
      <c r="O1561" s="4"/>
      <c r="P1561" s="4"/>
      <c r="S1561" s="3">
        <v>1559</v>
      </c>
      <c r="T1561" s="8">
        <v>0.94511825348696177</v>
      </c>
      <c r="U1561" s="4">
        <v>81.400000000000006</v>
      </c>
      <c r="V1561" s="4">
        <v>1.5992570753291051</v>
      </c>
      <c r="W1561" s="4">
        <v>58.956276114056408</v>
      </c>
      <c r="X1561" s="4">
        <v>-1.4562761140564078</v>
      </c>
    </row>
    <row r="1562" spans="11:24" x14ac:dyDescent="0.25">
      <c r="K1562" s="3"/>
      <c r="L1562" s="8">
        <v>89</v>
      </c>
      <c r="M1562" s="4"/>
      <c r="N1562" s="4"/>
      <c r="O1562" s="4"/>
      <c r="P1562" s="4"/>
      <c r="S1562" s="3">
        <v>1560</v>
      </c>
      <c r="T1562" s="8">
        <v>0.94572468162522738</v>
      </c>
      <c r="U1562" s="4">
        <v>81.400000000000006</v>
      </c>
      <c r="V1562" s="4">
        <v>1.6047418095286119</v>
      </c>
      <c r="W1562" s="4">
        <v>75.576226196671158</v>
      </c>
      <c r="X1562" s="4">
        <v>-19.276226196671161</v>
      </c>
    </row>
    <row r="1563" spans="11:24" x14ac:dyDescent="0.25">
      <c r="K1563" s="3"/>
      <c r="L1563" s="8">
        <v>89</v>
      </c>
      <c r="M1563" s="4"/>
      <c r="N1563" s="4"/>
      <c r="O1563" s="4"/>
      <c r="P1563" s="4"/>
      <c r="S1563" s="3">
        <v>1561</v>
      </c>
      <c r="T1563" s="8">
        <v>0.94633110976349299</v>
      </c>
      <c r="U1563" s="4">
        <v>81.400000000000006</v>
      </c>
      <c r="V1563" s="4">
        <v>1.6102752474238053</v>
      </c>
      <c r="W1563" s="4">
        <v>75.576226196671158</v>
      </c>
      <c r="X1563" s="4">
        <v>-20.076226196671158</v>
      </c>
    </row>
    <row r="1564" spans="11:24" x14ac:dyDescent="0.25">
      <c r="K1564" s="3"/>
      <c r="L1564" s="8">
        <v>89</v>
      </c>
      <c r="M1564" s="4"/>
      <c r="N1564" s="4"/>
      <c r="O1564" s="4"/>
      <c r="P1564" s="4"/>
      <c r="S1564" s="3">
        <v>1562</v>
      </c>
      <c r="T1564" s="8">
        <v>0.94693753790175861</v>
      </c>
      <c r="U1564" s="4">
        <v>81.400000000000006</v>
      </c>
      <c r="V1564" s="4">
        <v>1.6158584342289826</v>
      </c>
      <c r="W1564" s="4">
        <v>75.576226196671158</v>
      </c>
      <c r="X1564" s="4">
        <v>-20.676226196671159</v>
      </c>
    </row>
    <row r="1565" spans="11:24" x14ac:dyDescent="0.25">
      <c r="K1565" s="3"/>
      <c r="L1565" s="8">
        <v>89</v>
      </c>
      <c r="M1565" s="4"/>
      <c r="N1565" s="4"/>
      <c r="O1565" s="4"/>
      <c r="P1565" s="4"/>
      <c r="S1565" s="3">
        <v>1563</v>
      </c>
      <c r="T1565" s="8">
        <v>0.94754396604002422</v>
      </c>
      <c r="U1565" s="4">
        <v>81.5</v>
      </c>
      <c r="V1565" s="4">
        <v>1.6214924498394727</v>
      </c>
      <c r="W1565" s="4">
        <v>55.602695681956099</v>
      </c>
      <c r="X1565" s="4">
        <v>-2.4026956819560965</v>
      </c>
    </row>
    <row r="1566" spans="11:24" x14ac:dyDescent="0.25">
      <c r="K1566" s="3"/>
      <c r="L1566" s="8">
        <v>89</v>
      </c>
      <c r="M1566" s="4"/>
      <c r="N1566" s="4"/>
      <c r="O1566" s="4"/>
      <c r="P1566" s="4"/>
      <c r="S1566" s="3">
        <v>1564</v>
      </c>
      <c r="T1566" s="8">
        <v>0.94815039417828983</v>
      </c>
      <c r="U1566" s="4">
        <v>81.5</v>
      </c>
      <c r="V1566" s="4">
        <v>1.6271784104016083</v>
      </c>
      <c r="W1566" s="4">
        <v>53.679318669427985</v>
      </c>
      <c r="X1566" s="4">
        <v>-2.3793186694279882</v>
      </c>
    </row>
    <row r="1567" spans="11:24" x14ac:dyDescent="0.25">
      <c r="K1567" s="3"/>
      <c r="L1567" s="8">
        <v>89</v>
      </c>
      <c r="M1567" s="4"/>
      <c r="N1567" s="4"/>
      <c r="O1567" s="4"/>
      <c r="P1567" s="4"/>
      <c r="S1567" s="3">
        <v>1565</v>
      </c>
      <c r="T1567" s="8">
        <v>0.94875682231655545</v>
      </c>
      <c r="U1567" s="4">
        <v>81.5</v>
      </c>
      <c r="V1567" s="4">
        <v>1.6329174699731521</v>
      </c>
      <c r="W1567" s="4">
        <v>74.984417885124046</v>
      </c>
      <c r="X1567" s="4">
        <v>-23.984417885124046</v>
      </c>
    </row>
    <row r="1568" spans="11:24" x14ac:dyDescent="0.25">
      <c r="K1568" s="3"/>
      <c r="L1568" s="8">
        <v>89</v>
      </c>
      <c r="M1568" s="4"/>
      <c r="N1568" s="4"/>
      <c r="O1568" s="4"/>
      <c r="P1568" s="4"/>
      <c r="S1568" s="3">
        <v>1566</v>
      </c>
      <c r="T1568" s="8">
        <v>0.94936325045482106</v>
      </c>
      <c r="U1568" s="4">
        <v>81.5</v>
      </c>
      <c r="V1568" s="4">
        <v>1.6387108222805176</v>
      </c>
      <c r="W1568" s="4">
        <v>51.805259016195464</v>
      </c>
      <c r="X1568" s="4">
        <v>-3.0052590161954669</v>
      </c>
    </row>
    <row r="1569" spans="11:24" x14ac:dyDescent="0.25">
      <c r="K1569" s="3"/>
      <c r="L1569" s="8">
        <v>89</v>
      </c>
      <c r="M1569" s="4"/>
      <c r="N1569" s="4"/>
      <c r="O1569" s="4"/>
      <c r="P1569" s="4"/>
      <c r="S1569" s="3">
        <v>1567</v>
      </c>
      <c r="T1569" s="8">
        <v>0.94996967859308667</v>
      </c>
      <c r="U1569" s="4">
        <v>81.599999999999994</v>
      </c>
      <c r="V1569" s="4">
        <v>1.6445597025796697</v>
      </c>
      <c r="W1569" s="4">
        <v>76.463938663991826</v>
      </c>
      <c r="X1569" s="4">
        <v>1.5360613360081743</v>
      </c>
    </row>
    <row r="1570" spans="11:24" x14ac:dyDescent="0.25">
      <c r="K1570" s="3"/>
      <c r="L1570" s="8">
        <v>89</v>
      </c>
      <c r="M1570" s="4"/>
      <c r="N1570" s="4"/>
      <c r="O1570" s="4"/>
      <c r="P1570" s="4"/>
      <c r="S1570" s="3">
        <v>1568</v>
      </c>
      <c r="T1570" s="8">
        <v>0.95057610673135229</v>
      </c>
      <c r="U1570" s="4">
        <v>81.599999999999994</v>
      </c>
      <c r="V1570" s="4">
        <v>1.6504653896281691</v>
      </c>
      <c r="W1570" s="4">
        <v>67.833400787263102</v>
      </c>
      <c r="X1570" s="4">
        <v>3.166599212736898</v>
      </c>
    </row>
    <row r="1571" spans="11:24" x14ac:dyDescent="0.25">
      <c r="K1571" s="3"/>
      <c r="L1571" s="8">
        <v>36.299999999999997</v>
      </c>
      <c r="M1571" s="4"/>
      <c r="N1571" s="4"/>
      <c r="O1571" s="4"/>
      <c r="P1571" s="4"/>
      <c r="S1571" s="3">
        <v>1569</v>
      </c>
      <c r="T1571" s="8">
        <v>0.9511825348696179</v>
      </c>
      <c r="U1571" s="4">
        <v>81.599999999999994</v>
      </c>
      <c r="V1571" s="4">
        <v>1.6564292077764511</v>
      </c>
      <c r="W1571" s="4">
        <v>76.36530394540064</v>
      </c>
      <c r="X1571" s="4">
        <v>0.63469605459935963</v>
      </c>
    </row>
    <row r="1572" spans="11:24" x14ac:dyDescent="0.25">
      <c r="K1572" s="3"/>
      <c r="L1572" s="8">
        <v>36.299999999999997</v>
      </c>
      <c r="M1572" s="4"/>
      <c r="N1572" s="4"/>
      <c r="O1572" s="4"/>
      <c r="P1572" s="4"/>
      <c r="S1572" s="3">
        <v>1570</v>
      </c>
      <c r="T1572" s="8">
        <v>0.95178896300788352</v>
      </c>
      <c r="U1572" s="4">
        <v>81.7</v>
      </c>
      <c r="V1572" s="4">
        <v>1.6624525291871317</v>
      </c>
      <c r="W1572" s="4">
        <v>76.41462130469624</v>
      </c>
      <c r="X1572" s="4">
        <v>-1.4146213046962401</v>
      </c>
    </row>
    <row r="1573" spans="11:24" x14ac:dyDescent="0.25">
      <c r="K1573" s="3"/>
      <c r="L1573" s="8">
        <v>36.299999999999997</v>
      </c>
      <c r="M1573" s="4"/>
      <c r="N1573" s="4"/>
      <c r="O1573" s="4"/>
      <c r="P1573" s="4"/>
      <c r="S1573" s="3">
        <v>1571</v>
      </c>
      <c r="T1573" s="8">
        <v>0.95239539114614913</v>
      </c>
      <c r="U1573" s="4">
        <v>81.7</v>
      </c>
      <c r="V1573" s="4">
        <v>1.6685367761919099</v>
      </c>
      <c r="W1573" s="4">
        <v>67.142957757124805</v>
      </c>
      <c r="X1573" s="4">
        <v>2.6570422428751925</v>
      </c>
    </row>
    <row r="1574" spans="11:24" x14ac:dyDescent="0.25">
      <c r="K1574" s="3"/>
      <c r="L1574" s="8">
        <v>89</v>
      </c>
      <c r="M1574" s="4"/>
      <c r="N1574" s="4"/>
      <c r="O1574" s="4"/>
      <c r="P1574" s="4"/>
      <c r="S1574" s="3">
        <v>1572</v>
      </c>
      <c r="T1574" s="8">
        <v>0.95300181928441474</v>
      </c>
      <c r="U1574" s="4">
        <v>81.7</v>
      </c>
      <c r="V1574" s="4">
        <v>1.6746834237964698</v>
      </c>
      <c r="W1574" s="4">
        <v>66.205927930508537</v>
      </c>
      <c r="X1574" s="4">
        <v>2.994072069491466</v>
      </c>
    </row>
    <row r="1575" spans="11:24" x14ac:dyDescent="0.25">
      <c r="K1575" s="3"/>
      <c r="L1575" s="8">
        <v>89</v>
      </c>
      <c r="M1575" s="4"/>
      <c r="N1575" s="4"/>
      <c r="O1575" s="4"/>
      <c r="P1575" s="4"/>
      <c r="S1575" s="3">
        <v>1573</v>
      </c>
      <c r="T1575" s="8">
        <v>0.95360824742268047</v>
      </c>
      <c r="U1575" s="4">
        <v>81.7</v>
      </c>
      <c r="V1575" s="4">
        <v>1.6808940023447283</v>
      </c>
      <c r="W1575" s="4">
        <v>64.134598840093645</v>
      </c>
      <c r="X1575" s="4">
        <v>3.565401159906358</v>
      </c>
    </row>
    <row r="1576" spans="11:24" x14ac:dyDescent="0.25">
      <c r="K1576" s="3"/>
      <c r="L1576" s="8">
        <v>89</v>
      </c>
      <c r="M1576" s="4"/>
      <c r="N1576" s="4"/>
      <c r="O1576" s="4"/>
      <c r="P1576" s="4"/>
      <c r="S1576" s="3">
        <v>1574</v>
      </c>
      <c r="T1576" s="8">
        <v>0.95421467556094608</v>
      </c>
      <c r="U1576" s="4">
        <v>81.7</v>
      </c>
      <c r="V1576" s="4">
        <v>1.6871701003547859</v>
      </c>
      <c r="W1576" s="4">
        <v>63.937329402911274</v>
      </c>
      <c r="X1576" s="4">
        <v>3.5626705970887258</v>
      </c>
    </row>
    <row r="1577" spans="11:24" x14ac:dyDescent="0.25">
      <c r="K1577" s="3"/>
      <c r="L1577" s="8">
        <v>89</v>
      </c>
      <c r="M1577" s="4"/>
      <c r="N1577" s="4"/>
      <c r="O1577" s="4"/>
      <c r="P1577" s="4"/>
      <c r="S1577" s="3">
        <v>1575</v>
      </c>
      <c r="T1577" s="8">
        <v>0.95482110369921169</v>
      </c>
      <c r="U1577" s="4">
        <v>81.7</v>
      </c>
      <c r="V1577" s="4">
        <v>1.693513367540125</v>
      </c>
      <c r="W1577" s="4">
        <v>64.430502995867201</v>
      </c>
      <c r="X1577" s="4">
        <v>3.269497004132802</v>
      </c>
    </row>
    <row r="1578" spans="11:24" x14ac:dyDescent="0.25">
      <c r="K1578" s="3"/>
      <c r="L1578" s="8">
        <v>89</v>
      </c>
      <c r="M1578" s="4"/>
      <c r="N1578" s="4"/>
      <c r="O1578" s="4"/>
      <c r="P1578" s="4"/>
      <c r="S1578" s="3">
        <v>1576</v>
      </c>
      <c r="T1578" s="8">
        <v>0.95542753183747731</v>
      </c>
      <c r="U1578" s="4">
        <v>81.7</v>
      </c>
      <c r="V1578" s="4">
        <v>1.6999255180307871</v>
      </c>
      <c r="W1578" s="4">
        <v>63.888012043615682</v>
      </c>
      <c r="X1578" s="4">
        <v>3.1119879563843185</v>
      </c>
    </row>
    <row r="1579" spans="11:24" x14ac:dyDescent="0.25">
      <c r="K1579" s="3"/>
      <c r="L1579" s="8">
        <v>89</v>
      </c>
      <c r="M1579" s="4"/>
      <c r="N1579" s="4"/>
      <c r="O1579" s="4"/>
      <c r="P1579" s="4"/>
      <c r="S1579" s="3">
        <v>1577</v>
      </c>
      <c r="T1579" s="8">
        <v>0.95603395997574292</v>
      </c>
      <c r="U1579" s="4">
        <v>81.8</v>
      </c>
      <c r="V1579" s="4">
        <v>1.7064083338107217</v>
      </c>
      <c r="W1579" s="4">
        <v>64.430502995867201</v>
      </c>
      <c r="X1579" s="4">
        <v>2.9694970041328048</v>
      </c>
    </row>
    <row r="1580" spans="11:24" x14ac:dyDescent="0.25">
      <c r="K1580" s="3"/>
      <c r="L1580" s="8">
        <v>89</v>
      </c>
      <c r="M1580" s="4"/>
      <c r="N1580" s="4"/>
      <c r="O1580" s="4"/>
      <c r="P1580" s="4"/>
      <c r="S1580" s="3">
        <v>1578</v>
      </c>
      <c r="T1580" s="8">
        <v>0.95664038811400853</v>
      </c>
      <c r="U1580" s="4">
        <v>81.8</v>
      </c>
      <c r="V1580" s="4">
        <v>1.7129636683890181</v>
      </c>
      <c r="W1580" s="4">
        <v>64.972993948118727</v>
      </c>
      <c r="X1580" s="4">
        <v>2.627006051881267</v>
      </c>
    </row>
    <row r="1581" spans="11:24" x14ac:dyDescent="0.25">
      <c r="K1581" s="3"/>
      <c r="L1581" s="8">
        <v>89</v>
      </c>
      <c r="M1581" s="4"/>
      <c r="N1581" s="4"/>
      <c r="O1581" s="4"/>
      <c r="P1581" s="4"/>
      <c r="S1581" s="3">
        <v>1579</v>
      </c>
      <c r="T1581" s="8">
        <v>0.95724681625227415</v>
      </c>
      <c r="U1581" s="4">
        <v>81.8</v>
      </c>
      <c r="V1581" s="4">
        <v>1.7195934507244628</v>
      </c>
      <c r="W1581" s="4">
        <v>64.972993948118727</v>
      </c>
      <c r="X1581" s="4">
        <v>2.627006051881267</v>
      </c>
    </row>
    <row r="1582" spans="11:24" x14ac:dyDescent="0.25">
      <c r="K1582" s="3"/>
      <c r="L1582" s="8">
        <v>89</v>
      </c>
      <c r="M1582" s="4"/>
      <c r="N1582" s="4"/>
      <c r="O1582" s="4"/>
      <c r="P1582" s="4"/>
      <c r="S1582" s="3">
        <v>1580</v>
      </c>
      <c r="T1582" s="8">
        <v>0.95785324439053976</v>
      </c>
      <c r="U1582" s="4">
        <v>81.8</v>
      </c>
      <c r="V1582" s="4">
        <v>1.7262996894247771</v>
      </c>
      <c r="W1582" s="4">
        <v>65.120946026005498</v>
      </c>
      <c r="X1582" s="4">
        <v>2.5790539739945046</v>
      </c>
    </row>
    <row r="1583" spans="11:24" x14ac:dyDescent="0.25">
      <c r="K1583" s="3"/>
      <c r="L1583" s="8">
        <v>89</v>
      </c>
      <c r="M1583" s="4"/>
      <c r="N1583" s="4"/>
      <c r="O1583" s="4"/>
      <c r="P1583" s="4"/>
      <c r="S1583" s="3">
        <v>1581</v>
      </c>
      <c r="T1583" s="8">
        <v>0.95845967252880537</v>
      </c>
      <c r="U1583" s="4">
        <v>81.900000000000006</v>
      </c>
      <c r="V1583" s="4">
        <v>1.7330844772440364</v>
      </c>
      <c r="W1583" s="4">
        <v>64.923676588823128</v>
      </c>
      <c r="X1583" s="4">
        <v>2.5763234111768725</v>
      </c>
    </row>
    <row r="1584" spans="11:24" x14ac:dyDescent="0.25">
      <c r="K1584" s="3"/>
      <c r="L1584" s="8">
        <v>89</v>
      </c>
      <c r="M1584" s="4"/>
      <c r="N1584" s="4"/>
      <c r="O1584" s="4"/>
      <c r="P1584" s="4"/>
      <c r="S1584" s="3">
        <v>1582</v>
      </c>
      <c r="T1584" s="8">
        <v>0.95906610066707099</v>
      </c>
      <c r="U1584" s="4">
        <v>81.900000000000006</v>
      </c>
      <c r="V1584" s="4">
        <v>1.7399499959041487</v>
      </c>
      <c r="W1584" s="4">
        <v>71.828106890206115</v>
      </c>
      <c r="X1584" s="4">
        <v>4.9718931097938821</v>
      </c>
    </row>
    <row r="1585" spans="11:24" x14ac:dyDescent="0.25">
      <c r="K1585" s="3"/>
      <c r="L1585" s="8">
        <v>89</v>
      </c>
      <c r="M1585" s="4"/>
      <c r="N1585" s="4"/>
      <c r="O1585" s="4"/>
      <c r="P1585" s="4"/>
      <c r="S1585" s="3">
        <v>1583</v>
      </c>
      <c r="T1585" s="8">
        <v>0.9596725288053366</v>
      </c>
      <c r="U1585" s="4">
        <v>81.900000000000006</v>
      </c>
      <c r="V1585" s="4">
        <v>1.7468985212689383</v>
      </c>
      <c r="W1585" s="4">
        <v>71.828106890206115</v>
      </c>
      <c r="X1585" s="4">
        <v>4.9718931097938821</v>
      </c>
    </row>
    <row r="1586" spans="11:24" x14ac:dyDescent="0.25">
      <c r="K1586" s="3"/>
      <c r="L1586" s="8">
        <v>89</v>
      </c>
      <c r="M1586" s="4"/>
      <c r="N1586" s="4"/>
      <c r="O1586" s="4"/>
      <c r="P1586" s="4"/>
      <c r="S1586" s="3">
        <v>1584</v>
      </c>
      <c r="T1586" s="8">
        <v>0.96027895694360221</v>
      </c>
      <c r="U1586" s="4">
        <v>82</v>
      </c>
      <c r="V1586" s="4">
        <v>1.753932428902379</v>
      </c>
      <c r="W1586" s="4">
        <v>71.778789530910515</v>
      </c>
      <c r="X1586" s="4">
        <v>4.7212104690894847</v>
      </c>
    </row>
    <row r="1587" spans="11:24" x14ac:dyDescent="0.25">
      <c r="K1587" s="3"/>
      <c r="L1587" s="8">
        <v>36.299999999999997</v>
      </c>
      <c r="M1587" s="4"/>
      <c r="N1587" s="4"/>
      <c r="O1587" s="4"/>
      <c r="P1587" s="4"/>
      <c r="S1587" s="3">
        <v>1585</v>
      </c>
      <c r="T1587" s="8">
        <v>0.96088538508186783</v>
      </c>
      <c r="U1587" s="4">
        <v>82</v>
      </c>
      <c r="V1587" s="4">
        <v>1.7610542000458453</v>
      </c>
      <c r="W1587" s="4">
        <v>72.124011045979671</v>
      </c>
      <c r="X1587" s="4">
        <v>4.8759889540203289</v>
      </c>
    </row>
    <row r="1588" spans="11:24" x14ac:dyDescent="0.25">
      <c r="K1588" s="3"/>
      <c r="L1588" s="8">
        <v>36.299999999999997</v>
      </c>
      <c r="M1588" s="4"/>
      <c r="N1588" s="4"/>
      <c r="O1588" s="4"/>
      <c r="P1588" s="4"/>
      <c r="S1588" s="3">
        <v>1586</v>
      </c>
      <c r="T1588" s="8">
        <v>0.96149181322013344</v>
      </c>
      <c r="U1588" s="4">
        <v>82</v>
      </c>
      <c r="V1588" s="4">
        <v>1.7682664280530505</v>
      </c>
      <c r="W1588" s="4">
        <v>71.778789530910515</v>
      </c>
      <c r="X1588" s="4">
        <v>4.5212104690894819</v>
      </c>
    </row>
    <row r="1589" spans="11:24" x14ac:dyDescent="0.25">
      <c r="K1589" s="3"/>
      <c r="L1589" s="8">
        <v>36.299999999999997</v>
      </c>
      <c r="M1589" s="4"/>
      <c r="N1589" s="4"/>
      <c r="O1589" s="4"/>
      <c r="P1589" s="4"/>
      <c r="S1589" s="3">
        <v>1587</v>
      </c>
      <c r="T1589" s="8">
        <v>0.96209824135839905</v>
      </c>
      <c r="U1589" s="4">
        <v>82</v>
      </c>
      <c r="V1589" s="4">
        <v>1.775571825325537</v>
      </c>
      <c r="W1589" s="4">
        <v>71.778789530910515</v>
      </c>
      <c r="X1589" s="4">
        <v>4.821210469089479</v>
      </c>
    </row>
    <row r="1590" spans="11:24" x14ac:dyDescent="0.25">
      <c r="K1590" s="3"/>
      <c r="L1590" s="8">
        <v>89</v>
      </c>
      <c r="M1590" s="4"/>
      <c r="N1590" s="4"/>
      <c r="O1590" s="4"/>
      <c r="P1590" s="4"/>
      <c r="S1590" s="3">
        <v>1588</v>
      </c>
      <c r="T1590" s="8">
        <v>0.96270466949666467</v>
      </c>
      <c r="U1590" s="4">
        <v>82</v>
      </c>
      <c r="V1590" s="4">
        <v>1.782973230796389</v>
      </c>
      <c r="W1590" s="4">
        <v>71.72947217161493</v>
      </c>
      <c r="X1590" s="4">
        <v>4.670527828385076</v>
      </c>
    </row>
    <row r="1591" spans="11:24" x14ac:dyDescent="0.25">
      <c r="K1591" s="3"/>
      <c r="L1591" s="8">
        <v>89</v>
      </c>
      <c r="M1591" s="4"/>
      <c r="N1591" s="4"/>
      <c r="O1591" s="4"/>
      <c r="P1591" s="4"/>
      <c r="S1591" s="3">
        <v>1589</v>
      </c>
      <c r="T1591" s="8">
        <v>0.96331109763493028</v>
      </c>
      <c r="U1591" s="4">
        <v>82</v>
      </c>
      <c r="V1591" s="4">
        <v>1.7904736180152268</v>
      </c>
      <c r="W1591" s="4">
        <v>71.482885375136959</v>
      </c>
      <c r="X1591" s="4">
        <v>3.9171146248630464</v>
      </c>
    </row>
    <row r="1592" spans="11:24" x14ac:dyDescent="0.25">
      <c r="K1592" s="3"/>
      <c r="L1592" s="8">
        <v>89</v>
      </c>
      <c r="M1592" s="4"/>
      <c r="N1592" s="4"/>
      <c r="O1592" s="4"/>
      <c r="P1592" s="4"/>
      <c r="S1592" s="3">
        <v>1590</v>
      </c>
      <c r="T1592" s="8">
        <v>0.96391752577319589</v>
      </c>
      <c r="U1592" s="4">
        <v>82</v>
      </c>
      <c r="V1592" s="4">
        <v>1.7980761038936308</v>
      </c>
      <c r="W1592" s="4">
        <v>71.828106890206115</v>
      </c>
      <c r="X1592" s="4">
        <v>4.3718931097938878</v>
      </c>
    </row>
    <row r="1593" spans="11:24" x14ac:dyDescent="0.25">
      <c r="K1593" s="3"/>
      <c r="L1593" s="8">
        <v>89</v>
      </c>
      <c r="M1593" s="4"/>
      <c r="N1593" s="4"/>
      <c r="O1593" s="4"/>
      <c r="P1593" s="4"/>
      <c r="S1593" s="3">
        <v>1591</v>
      </c>
      <c r="T1593" s="8">
        <v>0.96452395391146151</v>
      </c>
      <c r="U1593" s="4">
        <v>82</v>
      </c>
      <c r="V1593" s="4">
        <v>1.8057839581771002</v>
      </c>
      <c r="W1593" s="4">
        <v>71.532202734432559</v>
      </c>
      <c r="X1593" s="4">
        <v>4.1677972655674438</v>
      </c>
    </row>
    <row r="1594" spans="11:24" x14ac:dyDescent="0.25">
      <c r="K1594" s="3"/>
      <c r="L1594" s="8">
        <v>89</v>
      </c>
      <c r="M1594" s="4"/>
      <c r="N1594" s="4"/>
      <c r="O1594" s="4"/>
      <c r="P1594" s="4"/>
      <c r="S1594" s="3">
        <v>1592</v>
      </c>
      <c r="T1594" s="8">
        <v>0.96513038204972712</v>
      </c>
      <c r="U1594" s="4">
        <v>82</v>
      </c>
      <c r="V1594" s="4">
        <v>1.8136006137174883</v>
      </c>
      <c r="W1594" s="4">
        <v>71.581520093728145</v>
      </c>
      <c r="X1594" s="4">
        <v>3.8184799062718611</v>
      </c>
    </row>
    <row r="1595" spans="11:24" x14ac:dyDescent="0.25">
      <c r="K1595" s="3"/>
      <c r="L1595" s="8">
        <v>89</v>
      </c>
      <c r="M1595" s="4"/>
      <c r="N1595" s="4"/>
      <c r="O1595" s="4"/>
      <c r="P1595" s="4"/>
      <c r="S1595" s="3">
        <v>1593</v>
      </c>
      <c r="T1595" s="8">
        <v>0.96573681018799273</v>
      </c>
      <c r="U1595" s="4">
        <v>82</v>
      </c>
      <c r="V1595" s="4">
        <v>1.8215296776288319</v>
      </c>
      <c r="W1595" s="4">
        <v>71.630837453023744</v>
      </c>
      <c r="X1595" s="4">
        <v>3.7691625469762613</v>
      </c>
    </row>
    <row r="1596" spans="11:24" x14ac:dyDescent="0.25">
      <c r="K1596" s="3"/>
      <c r="L1596" s="8">
        <v>89</v>
      </c>
      <c r="M1596" s="4"/>
      <c r="N1596" s="4"/>
      <c r="O1596" s="4"/>
      <c r="P1596" s="4"/>
      <c r="S1596" s="3">
        <v>1594</v>
      </c>
      <c r="T1596" s="8">
        <v>0.96634323832625835</v>
      </c>
      <c r="U1596" s="4">
        <v>82.1</v>
      </c>
      <c r="V1596" s="4">
        <v>1.8295749434197284</v>
      </c>
      <c r="W1596" s="4">
        <v>71.482885375136959</v>
      </c>
      <c r="X1596" s="4">
        <v>3.9171146248630464</v>
      </c>
    </row>
    <row r="1597" spans="11:24" x14ac:dyDescent="0.25">
      <c r="K1597" s="3"/>
      <c r="L1597" s="8">
        <v>89</v>
      </c>
      <c r="M1597" s="4"/>
      <c r="N1597" s="4"/>
      <c r="O1597" s="4"/>
      <c r="P1597" s="4"/>
      <c r="S1597" s="3">
        <v>1595</v>
      </c>
      <c r="T1597" s="8">
        <v>0.96694966646452396</v>
      </c>
      <c r="U1597" s="4">
        <v>82.1</v>
      </c>
      <c r="V1597" s="4">
        <v>1.8377404042070804</v>
      </c>
      <c r="W1597" s="4">
        <v>71.532202734432559</v>
      </c>
      <c r="X1597" s="4">
        <v>3.6677972655674438</v>
      </c>
    </row>
    <row r="1598" spans="11:24" x14ac:dyDescent="0.25">
      <c r="K1598" s="3"/>
      <c r="L1598" s="8">
        <v>89</v>
      </c>
      <c r="M1598" s="4"/>
      <c r="N1598" s="4"/>
      <c r="O1598" s="4"/>
      <c r="P1598" s="4"/>
      <c r="S1598" s="3">
        <v>1596</v>
      </c>
      <c r="T1598" s="8">
        <v>0.96755609460278957</v>
      </c>
      <c r="U1598" s="4">
        <v>82.2</v>
      </c>
      <c r="V1598" s="4">
        <v>1.8460302671294702</v>
      </c>
      <c r="W1598" s="4">
        <v>71.137663860067818</v>
      </c>
      <c r="X1598" s="4">
        <v>3.9623361399321766</v>
      </c>
    </row>
    <row r="1599" spans="11:24" x14ac:dyDescent="0.25">
      <c r="K1599" s="3"/>
      <c r="L1599" s="8">
        <v>89</v>
      </c>
      <c r="M1599" s="4"/>
      <c r="N1599" s="4"/>
      <c r="O1599" s="4"/>
      <c r="P1599" s="4"/>
      <c r="S1599" s="3">
        <v>1597</v>
      </c>
      <c r="T1599" s="8">
        <v>0.96816252274105519</v>
      </c>
      <c r="U1599" s="4">
        <v>82.2</v>
      </c>
      <c r="V1599" s="4">
        <v>1.8544489690938102</v>
      </c>
      <c r="W1599" s="4">
        <v>68.523843817401399</v>
      </c>
      <c r="X1599" s="4">
        <v>0.67615618259860355</v>
      </c>
    </row>
    <row r="1600" spans="11:24" x14ac:dyDescent="0.25">
      <c r="K1600" s="3"/>
      <c r="L1600" s="8">
        <v>89</v>
      </c>
      <c r="M1600" s="4"/>
      <c r="N1600" s="4"/>
      <c r="O1600" s="4"/>
      <c r="P1600" s="4"/>
      <c r="S1600" s="3">
        <v>1598</v>
      </c>
      <c r="T1600" s="8">
        <v>0.9687689508793208</v>
      </c>
      <c r="U1600" s="4">
        <v>82.3</v>
      </c>
      <c r="V1600" s="4">
        <v>1.8630011940066851</v>
      </c>
      <c r="W1600" s="4">
        <v>68.4745264581058</v>
      </c>
      <c r="X1600" s="4">
        <v>0.6254735418941948</v>
      </c>
    </row>
    <row r="1601" spans="11:24" x14ac:dyDescent="0.25">
      <c r="K1601" s="3"/>
      <c r="L1601" s="8">
        <v>89</v>
      </c>
      <c r="M1601" s="4"/>
      <c r="N1601" s="4"/>
      <c r="O1601" s="4"/>
      <c r="P1601" s="4"/>
      <c r="S1601" s="3">
        <v>1599</v>
      </c>
      <c r="T1601" s="8">
        <v>0.96937537901758641</v>
      </c>
      <c r="U1601" s="4">
        <v>82.3</v>
      </c>
      <c r="V1601" s="4">
        <v>1.8716918916622953</v>
      </c>
      <c r="W1601" s="4">
        <v>68.523843817401399</v>
      </c>
      <c r="X1601" s="4">
        <v>0.27615618259859787</v>
      </c>
    </row>
    <row r="1602" spans="11:24" x14ac:dyDescent="0.25">
      <c r="K1602" s="3"/>
      <c r="L1602" s="8">
        <v>89</v>
      </c>
      <c r="M1602" s="4"/>
      <c r="N1602" s="4"/>
      <c r="O1602" s="4"/>
      <c r="P1602" s="4"/>
      <c r="S1602" s="3">
        <v>1600</v>
      </c>
      <c r="T1602" s="8">
        <v>0.96998180715585203</v>
      </c>
      <c r="U1602" s="4">
        <v>82.3</v>
      </c>
      <c r="V1602" s="4">
        <v>1.8805262984826756</v>
      </c>
      <c r="W1602" s="4">
        <v>68.573161176696999</v>
      </c>
      <c r="X1602" s="4">
        <v>-7.3161176696999064E-2</v>
      </c>
    </row>
    <row r="1603" spans="11:24" x14ac:dyDescent="0.25">
      <c r="K1603" s="3"/>
      <c r="L1603" s="8">
        <v>89</v>
      </c>
      <c r="M1603" s="4"/>
      <c r="N1603" s="4"/>
      <c r="O1603" s="4"/>
      <c r="P1603" s="4"/>
      <c r="S1603" s="3">
        <v>1601</v>
      </c>
      <c r="T1603" s="8">
        <v>0.97058823529411764</v>
      </c>
      <c r="U1603" s="4">
        <v>82.4</v>
      </c>
      <c r="V1603" s="4">
        <v>1.8895099603334296</v>
      </c>
      <c r="W1603" s="4">
        <v>68.573161176696999</v>
      </c>
      <c r="X1603" s="4">
        <v>-0.27316117669700191</v>
      </c>
    </row>
    <row r="1604" spans="11:24" x14ac:dyDescent="0.25">
      <c r="K1604" s="3"/>
      <c r="L1604" s="8">
        <v>89</v>
      </c>
      <c r="M1604" s="4"/>
      <c r="N1604" s="4"/>
      <c r="O1604" s="4"/>
      <c r="P1604" s="4"/>
      <c r="S1604" s="3">
        <v>1602</v>
      </c>
      <c r="T1604" s="8">
        <v>0.97119466343238325</v>
      </c>
      <c r="U1604" s="4">
        <v>82.5</v>
      </c>
      <c r="V1604" s="4">
        <v>1.898648757670367</v>
      </c>
      <c r="W1604" s="4">
        <v>68.573161176696999</v>
      </c>
      <c r="X1604" s="4">
        <v>-0.57316117669699906</v>
      </c>
    </row>
    <row r="1605" spans="11:24" x14ac:dyDescent="0.25">
      <c r="K1605" s="3"/>
      <c r="L1605" s="8">
        <v>36.299999999999997</v>
      </c>
      <c r="M1605" s="4"/>
      <c r="N1605" s="4"/>
      <c r="O1605" s="4"/>
      <c r="P1605" s="4"/>
      <c r="S1605" s="3">
        <v>1603</v>
      </c>
      <c r="T1605" s="8">
        <v>0.97180109157064887</v>
      </c>
      <c r="U1605" s="4">
        <v>82.5</v>
      </c>
      <c r="V1605" s="4">
        <v>1.907948933309944</v>
      </c>
      <c r="W1605" s="4">
        <v>68.523843817401399</v>
      </c>
      <c r="X1605" s="4">
        <v>-0.62384381740139361</v>
      </c>
    </row>
    <row r="1606" spans="11:24" x14ac:dyDescent="0.25">
      <c r="K1606" s="3"/>
      <c r="L1606" s="8">
        <v>89</v>
      </c>
      <c r="M1606" s="4"/>
      <c r="N1606" s="4"/>
      <c r="O1606" s="4"/>
      <c r="P1606" s="4"/>
      <c r="S1606" s="3">
        <v>1604</v>
      </c>
      <c r="T1606" s="8">
        <v>0.97240751970891448</v>
      </c>
      <c r="U1606" s="4">
        <v>82.6</v>
      </c>
      <c r="V1606" s="4">
        <v>1.917417123160428</v>
      </c>
      <c r="W1606" s="4">
        <v>68.523843817401399</v>
      </c>
      <c r="X1606" s="4">
        <v>-0.72384381740140213</v>
      </c>
    </row>
    <row r="1607" spans="11:24" x14ac:dyDescent="0.25">
      <c r="K1607" s="3"/>
      <c r="L1607" s="8">
        <v>89</v>
      </c>
      <c r="M1607" s="4"/>
      <c r="N1607" s="4"/>
      <c r="O1607" s="4"/>
      <c r="P1607" s="4"/>
      <c r="S1607" s="3">
        <v>1605</v>
      </c>
      <c r="T1607" s="8">
        <v>0.97301394784718009</v>
      </c>
      <c r="U1607" s="4">
        <v>82.7</v>
      </c>
      <c r="V1607" s="4">
        <v>1.9270603903023944</v>
      </c>
      <c r="W1607" s="4">
        <v>68.4745264581058</v>
      </c>
      <c r="X1607" s="4">
        <v>-0.8745264581058052</v>
      </c>
    </row>
    <row r="1608" spans="11:24" x14ac:dyDescent="0.25">
      <c r="K1608" s="3"/>
      <c r="L1608" s="8">
        <v>89</v>
      </c>
      <c r="M1608" s="4"/>
      <c r="N1608" s="4"/>
      <c r="O1608" s="4"/>
      <c r="P1608" s="4"/>
      <c r="S1608" s="3">
        <v>1606</v>
      </c>
      <c r="T1608" s="8">
        <v>0.97362037598544571</v>
      </c>
      <c r="U1608" s="4">
        <v>83</v>
      </c>
      <c r="V1608" s="4">
        <v>1.9368862628682144</v>
      </c>
      <c r="W1608" s="4">
        <v>68.129304943036658</v>
      </c>
      <c r="X1608" s="4">
        <v>-0.8293049430366608</v>
      </c>
    </row>
    <row r="1609" spans="11:24" x14ac:dyDescent="0.25">
      <c r="K1609" s="3"/>
      <c r="L1609" s="8">
        <v>89</v>
      </c>
      <c r="M1609" s="4"/>
      <c r="N1609" s="4"/>
      <c r="O1609" s="4"/>
      <c r="P1609" s="4"/>
      <c r="S1609" s="3">
        <v>1607</v>
      </c>
      <c r="T1609" s="8">
        <v>0.97422680412371132</v>
      </c>
      <c r="U1609" s="4">
        <v>83</v>
      </c>
      <c r="V1609" s="4">
        <v>1.9469027762424198</v>
      </c>
      <c r="W1609" s="4">
        <v>68.573161176696999</v>
      </c>
      <c r="X1609" s="4">
        <v>-0.77316117669700191</v>
      </c>
    </row>
    <row r="1610" spans="11:24" x14ac:dyDescent="0.25">
      <c r="K1610" s="3"/>
      <c r="L1610" s="8">
        <v>89</v>
      </c>
      <c r="M1610" s="4"/>
      <c r="N1610" s="4"/>
      <c r="O1610" s="4"/>
      <c r="P1610" s="4"/>
      <c r="S1610" s="3">
        <v>1608</v>
      </c>
      <c r="T1610" s="8">
        <v>0.97483323226197693</v>
      </c>
      <c r="U1610" s="4">
        <v>83</v>
      </c>
      <c r="V1610" s="4">
        <v>1.9571185201906935</v>
      </c>
      <c r="W1610" s="4">
        <v>68.573161176696999</v>
      </c>
      <c r="X1610" s="4">
        <v>-1.3731611766969962</v>
      </c>
    </row>
    <row r="1611" spans="11:24" x14ac:dyDescent="0.25">
      <c r="K1611" s="3"/>
      <c r="L1611" s="8">
        <v>89</v>
      </c>
      <c r="M1611" s="4"/>
      <c r="N1611" s="4"/>
      <c r="O1611" s="4"/>
      <c r="P1611" s="4"/>
      <c r="S1611" s="3">
        <v>1609</v>
      </c>
      <c r="T1611" s="8">
        <v>0.97543966040024255</v>
      </c>
      <c r="U1611" s="4">
        <v>83</v>
      </c>
      <c r="V1611" s="4">
        <v>1.9675426916276535</v>
      </c>
      <c r="W1611" s="4">
        <v>68.425209098810214</v>
      </c>
      <c r="X1611" s="4">
        <v>-1.3252090988102196</v>
      </c>
    </row>
    <row r="1612" spans="11:24" x14ac:dyDescent="0.25">
      <c r="K1612" s="3"/>
      <c r="L1612" s="8">
        <v>89</v>
      </c>
      <c r="M1612" s="4"/>
      <c r="N1612" s="4"/>
      <c r="O1612" s="4"/>
      <c r="P1612" s="4"/>
      <c r="S1612" s="3">
        <v>1610</v>
      </c>
      <c r="T1612" s="8">
        <v>0.97604608853850816</v>
      </c>
      <c r="U1612" s="4">
        <v>83</v>
      </c>
      <c r="V1612" s="4">
        <v>1.978185153856272</v>
      </c>
      <c r="W1612" s="4">
        <v>70.989711782181033</v>
      </c>
      <c r="X1612" s="4">
        <v>0.71028821781897022</v>
      </c>
    </row>
    <row r="1613" spans="11:24" x14ac:dyDescent="0.25">
      <c r="K1613" s="3"/>
      <c r="L1613" s="8">
        <v>89</v>
      </c>
      <c r="M1613" s="4"/>
      <c r="N1613" s="4"/>
      <c r="O1613" s="4"/>
      <c r="P1613" s="4"/>
      <c r="S1613" s="3">
        <v>1611</v>
      </c>
      <c r="T1613" s="8">
        <v>0.97665251667677377</v>
      </c>
      <c r="U1613" s="4">
        <v>83</v>
      </c>
      <c r="V1613" s="4">
        <v>1.989056503259333</v>
      </c>
      <c r="W1613" s="4">
        <v>70.940394422885447</v>
      </c>
      <c r="X1613" s="4">
        <v>0.65960557711454726</v>
      </c>
    </row>
    <row r="1614" spans="11:24" x14ac:dyDescent="0.25">
      <c r="K1614" s="3"/>
      <c r="L1614" s="8">
        <v>89</v>
      </c>
      <c r="M1614" s="4"/>
      <c r="N1614" s="4"/>
      <c r="O1614" s="4"/>
      <c r="P1614" s="4"/>
      <c r="S1614" s="3">
        <v>1612</v>
      </c>
      <c r="T1614" s="8">
        <v>0.97725894481503939</v>
      </c>
      <c r="U1614" s="4">
        <v>83</v>
      </c>
      <c r="V1614" s="4">
        <v>2.0001681446016235</v>
      </c>
      <c r="W1614" s="4">
        <v>70.792442344998662</v>
      </c>
      <c r="X1614" s="4">
        <v>0.60755765500134373</v>
      </c>
    </row>
    <row r="1615" spans="11:24" x14ac:dyDescent="0.25">
      <c r="K1615" s="3"/>
      <c r="L1615" s="8">
        <v>89</v>
      </c>
      <c r="M1615" s="4"/>
      <c r="N1615" s="4"/>
      <c r="O1615" s="4"/>
      <c r="P1615" s="4"/>
      <c r="S1615" s="3">
        <v>1613</v>
      </c>
      <c r="T1615" s="8">
        <v>0.977865372953305</v>
      </c>
      <c r="U1615" s="4">
        <v>83</v>
      </c>
      <c r="V1615" s="4">
        <v>2.011532376317954</v>
      </c>
      <c r="W1615" s="4">
        <v>70.644490267111891</v>
      </c>
      <c r="X1615" s="4">
        <v>0.55550973288811178</v>
      </c>
    </row>
    <row r="1616" spans="11:24" x14ac:dyDescent="0.25">
      <c r="K1616" s="3"/>
      <c r="L1616" s="8">
        <v>89</v>
      </c>
      <c r="M1616" s="4"/>
      <c r="N1616" s="4"/>
      <c r="O1616" s="4"/>
      <c r="P1616" s="4"/>
      <c r="S1616" s="3">
        <v>1614</v>
      </c>
      <c r="T1616" s="8">
        <v>0.97847180109157061</v>
      </c>
      <c r="U1616" s="4">
        <v>83</v>
      </c>
      <c r="V1616" s="4">
        <v>2.0231624874260841</v>
      </c>
      <c r="W1616" s="4">
        <v>70.44722082992952</v>
      </c>
      <c r="X1616" s="4">
        <v>0.55277917007047961</v>
      </c>
    </row>
    <row r="1617" spans="11:24" x14ac:dyDescent="0.25">
      <c r="K1617" s="3"/>
      <c r="L1617" s="8">
        <v>89</v>
      </c>
      <c r="M1617" s="4"/>
      <c r="N1617" s="4"/>
      <c r="O1617" s="4"/>
      <c r="P1617" s="4"/>
      <c r="S1617" s="3">
        <v>1615</v>
      </c>
      <c r="T1617" s="8">
        <v>0.97907822922983623</v>
      </c>
      <c r="U1617" s="4">
        <v>84</v>
      </c>
      <c r="V1617" s="4">
        <v>2.0350728680272758</v>
      </c>
      <c r="W1617" s="4">
        <v>70.24995139274715</v>
      </c>
      <c r="X1617" s="4">
        <v>7.7500486072528503</v>
      </c>
    </row>
    <row r="1618" spans="11:24" x14ac:dyDescent="0.25">
      <c r="K1618" s="3"/>
      <c r="L1618" s="8">
        <v>89</v>
      </c>
      <c r="M1618" s="4"/>
      <c r="N1618" s="4"/>
      <c r="O1618" s="4"/>
      <c r="P1618" s="4"/>
      <c r="S1618" s="3">
        <v>1616</v>
      </c>
      <c r="T1618" s="8">
        <v>0.97968465736810184</v>
      </c>
      <c r="U1618" s="4">
        <v>84</v>
      </c>
      <c r="V1618" s="4">
        <v>2.0472791357561886</v>
      </c>
      <c r="W1618" s="4">
        <v>70.052681955564779</v>
      </c>
      <c r="X1618" s="4">
        <v>4.9473180444352209</v>
      </c>
    </row>
    <row r="1619" spans="11:24" x14ac:dyDescent="0.25">
      <c r="K1619" s="3"/>
      <c r="L1619" s="8">
        <v>89</v>
      </c>
      <c r="M1619" s="4"/>
      <c r="N1619" s="4"/>
      <c r="O1619" s="4"/>
      <c r="P1619" s="4"/>
      <c r="S1619" s="3">
        <v>1617</v>
      </c>
      <c r="T1619" s="8">
        <v>0.98029108550636745</v>
      </c>
      <c r="U1619" s="4">
        <v>84</v>
      </c>
      <c r="V1619" s="4">
        <v>2.0597982810364504</v>
      </c>
      <c r="W1619" s="4">
        <v>69.855412518382408</v>
      </c>
      <c r="X1619" s="4">
        <v>3.1445874816175916</v>
      </c>
    </row>
    <row r="1620" spans="11:24" x14ac:dyDescent="0.25">
      <c r="K1620" s="3"/>
      <c r="L1620" s="8">
        <v>89</v>
      </c>
      <c r="M1620" s="4"/>
      <c r="N1620" s="4"/>
      <c r="O1620" s="4"/>
      <c r="P1620" s="4"/>
      <c r="S1620" s="3">
        <v>1618</v>
      </c>
      <c r="T1620" s="8">
        <v>0.98089751364463307</v>
      </c>
      <c r="U1620" s="4">
        <v>84</v>
      </c>
      <c r="V1620" s="4">
        <v>2.0726488346152596</v>
      </c>
      <c r="W1620" s="4">
        <v>69.658143081200038</v>
      </c>
      <c r="X1620" s="4">
        <v>1.3418569187999623</v>
      </c>
    </row>
    <row r="1621" spans="11:24" x14ac:dyDescent="0.25">
      <c r="K1621" s="3"/>
      <c r="L1621" s="8">
        <v>36.299999999999997</v>
      </c>
      <c r="M1621" s="4"/>
      <c r="N1621" s="4"/>
      <c r="O1621" s="4"/>
      <c r="P1621" s="4"/>
      <c r="S1621" s="3">
        <v>1619</v>
      </c>
      <c r="T1621" s="8">
        <v>0.98150394178289868</v>
      </c>
      <c r="U1621" s="4">
        <v>84</v>
      </c>
      <c r="V1621" s="4">
        <v>2.0858510616248176</v>
      </c>
      <c r="W1621" s="4">
        <v>69.460873644017667</v>
      </c>
      <c r="X1621" s="4">
        <v>0.43912635598233862</v>
      </c>
    </row>
    <row r="1622" spans="11:24" x14ac:dyDescent="0.25">
      <c r="K1622" s="3"/>
      <c r="L1622" s="8">
        <v>89</v>
      </c>
      <c r="M1622" s="4"/>
      <c r="N1622" s="4"/>
      <c r="O1622" s="4"/>
      <c r="P1622" s="4"/>
      <c r="S1622" s="3">
        <v>1620</v>
      </c>
      <c r="T1622" s="8">
        <v>0.98211036992116429</v>
      </c>
      <c r="U1622" s="4">
        <v>84</v>
      </c>
      <c r="V1622" s="4">
        <v>2.0994271873972412</v>
      </c>
      <c r="W1622" s="4">
        <v>69.263604206835296</v>
      </c>
      <c r="X1622" s="4">
        <v>0.33639579316469792</v>
      </c>
    </row>
    <row r="1623" spans="11:24" x14ac:dyDescent="0.25">
      <c r="K1623" s="3"/>
      <c r="L1623" s="8">
        <v>89</v>
      </c>
      <c r="M1623" s="4"/>
      <c r="N1623" s="4"/>
      <c r="O1623" s="4"/>
      <c r="P1623" s="4"/>
      <c r="S1623" s="3">
        <v>1621</v>
      </c>
      <c r="T1623" s="8">
        <v>0.98271679805942991</v>
      </c>
      <c r="U1623" s="4">
        <v>85</v>
      </c>
      <c r="V1623" s="4">
        <v>2.1134016615055304</v>
      </c>
      <c r="W1623" s="4">
        <v>69.066334769652926</v>
      </c>
      <c r="X1623" s="4">
        <v>0.33366523034707996</v>
      </c>
    </row>
    <row r="1624" spans="11:24" x14ac:dyDescent="0.25">
      <c r="K1624" s="3"/>
      <c r="L1624" s="8">
        <v>89</v>
      </c>
      <c r="M1624" s="4"/>
      <c r="N1624" s="4"/>
      <c r="O1624" s="4"/>
      <c r="P1624" s="4"/>
      <c r="S1624" s="3">
        <v>1622</v>
      </c>
      <c r="T1624" s="8">
        <v>0.98332322619769552</v>
      </c>
      <c r="U1624" s="4">
        <v>85</v>
      </c>
      <c r="V1624" s="4">
        <v>2.1278014681013535</v>
      </c>
      <c r="W1624" s="4">
        <v>68.918382691766141</v>
      </c>
      <c r="X1624" s="4">
        <v>0.38161730823385653</v>
      </c>
    </row>
    <row r="1625" spans="11:24" x14ac:dyDescent="0.25">
      <c r="K1625" s="3"/>
      <c r="L1625" s="8">
        <v>89</v>
      </c>
      <c r="M1625" s="4"/>
      <c r="N1625" s="4"/>
      <c r="O1625" s="4"/>
      <c r="P1625" s="4"/>
      <c r="S1625" s="3">
        <v>1623</v>
      </c>
      <c r="T1625" s="8">
        <v>0.98392965433596113</v>
      </c>
      <c r="U1625" s="4">
        <v>85</v>
      </c>
      <c r="V1625" s="4">
        <v>2.1426564926871308</v>
      </c>
      <c r="W1625" s="4">
        <v>68.77043061387937</v>
      </c>
      <c r="X1625" s="4">
        <v>0.32956938612062459</v>
      </c>
    </row>
    <row r="1626" spans="11:24" x14ac:dyDescent="0.25">
      <c r="K1626" s="3"/>
      <c r="L1626" s="8">
        <v>89</v>
      </c>
      <c r="M1626" s="4"/>
      <c r="N1626" s="4"/>
      <c r="O1626" s="4"/>
      <c r="P1626" s="4"/>
      <c r="S1626" s="3">
        <v>1624</v>
      </c>
      <c r="T1626" s="8">
        <v>0.98453608247422686</v>
      </c>
      <c r="U1626" s="4">
        <v>85</v>
      </c>
      <c r="V1626" s="4">
        <v>2.157999958155886</v>
      </c>
      <c r="W1626" s="4">
        <v>76.710525460469796</v>
      </c>
      <c r="X1626" s="4">
        <v>-7.7105254604697961</v>
      </c>
    </row>
    <row r="1627" spans="11:24" x14ac:dyDescent="0.25">
      <c r="K1627" s="3"/>
      <c r="L1627" s="8">
        <v>89</v>
      </c>
      <c r="M1627" s="4"/>
      <c r="N1627" s="4"/>
      <c r="O1627" s="4"/>
      <c r="P1627" s="4"/>
      <c r="S1627" s="3">
        <v>1625</v>
      </c>
      <c r="T1627" s="8">
        <v>0.98514251061249247</v>
      </c>
      <c r="U1627" s="4">
        <v>85</v>
      </c>
      <c r="V1627" s="4">
        <v>2.1738689464820595</v>
      </c>
      <c r="W1627" s="4">
        <v>62.112587108974346</v>
      </c>
      <c r="X1627" s="4">
        <v>-1.0125871089743441</v>
      </c>
    </row>
    <row r="1628" spans="11:24" x14ac:dyDescent="0.25">
      <c r="K1628" s="3"/>
      <c r="L1628" s="8">
        <v>89</v>
      </c>
      <c r="M1628" s="4"/>
      <c r="N1628" s="4"/>
      <c r="O1628" s="4"/>
      <c r="P1628" s="4"/>
      <c r="S1628" s="3">
        <v>1626</v>
      </c>
      <c r="T1628" s="8">
        <v>0.98574893875075809</v>
      </c>
      <c r="U1628" s="4">
        <v>86</v>
      </c>
      <c r="V1628" s="4">
        <v>2.190305027167327</v>
      </c>
      <c r="W1628" s="4">
        <v>61.422144078836041</v>
      </c>
      <c r="X1628" s="4">
        <v>1.5778559211639589</v>
      </c>
    </row>
    <row r="1629" spans="11:24" x14ac:dyDescent="0.25">
      <c r="K1629" s="3"/>
      <c r="L1629" s="8">
        <v>89</v>
      </c>
      <c r="M1629" s="4"/>
      <c r="N1629" s="4"/>
      <c r="O1629" s="4"/>
      <c r="P1629" s="4"/>
      <c r="S1629" s="3">
        <v>1627</v>
      </c>
      <c r="T1629" s="8">
        <v>0.9863553668890237</v>
      </c>
      <c r="U1629" s="4">
        <v>86</v>
      </c>
      <c r="V1629" s="4">
        <v>2.2073550198913581</v>
      </c>
      <c r="W1629" s="4">
        <v>60.386479533628602</v>
      </c>
      <c r="X1629" s="4">
        <v>-1.1864795336285994</v>
      </c>
    </row>
    <row r="1630" spans="11:24" x14ac:dyDescent="0.25">
      <c r="K1630" s="3"/>
      <c r="L1630" s="8">
        <v>89</v>
      </c>
      <c r="M1630" s="4"/>
      <c r="N1630" s="4"/>
      <c r="O1630" s="4"/>
      <c r="P1630" s="4"/>
      <c r="S1630" s="3">
        <v>1628</v>
      </c>
      <c r="T1630" s="8">
        <v>0.98696179502728931</v>
      </c>
      <c r="U1630" s="4">
        <v>86</v>
      </c>
      <c r="V1630" s="4">
        <v>2.2250719274478694</v>
      </c>
      <c r="W1630" s="4">
        <v>59.54808442560352</v>
      </c>
      <c r="X1630" s="4">
        <v>-1.3480844256035169</v>
      </c>
    </row>
    <row r="1631" spans="11:24" x14ac:dyDescent="0.25">
      <c r="K1631" s="3"/>
      <c r="L1631" s="8">
        <v>89</v>
      </c>
      <c r="M1631" s="4"/>
      <c r="N1631" s="4"/>
      <c r="O1631" s="4"/>
      <c r="P1631" s="4"/>
      <c r="S1631" s="3">
        <v>1629</v>
      </c>
      <c r="T1631" s="8">
        <v>0.98756822316555493</v>
      </c>
      <c r="U1631" s="4">
        <v>86</v>
      </c>
      <c r="V1631" s="4">
        <v>2.2435160869312214</v>
      </c>
      <c r="W1631" s="4">
        <v>59.696036503490298</v>
      </c>
      <c r="X1631" s="4">
        <v>-1.6960365034902978</v>
      </c>
    </row>
    <row r="1632" spans="11:24" x14ac:dyDescent="0.25">
      <c r="K1632" s="3"/>
      <c r="L1632" s="8">
        <v>89</v>
      </c>
      <c r="M1632" s="4"/>
      <c r="N1632" s="4"/>
      <c r="O1632" s="4"/>
      <c r="P1632" s="4"/>
      <c r="S1632" s="3">
        <v>1630</v>
      </c>
      <c r="T1632" s="8">
        <v>0.98817465130382054</v>
      </c>
      <c r="U1632" s="4">
        <v>86</v>
      </c>
      <c r="V1632" s="4">
        <v>2.2627566037307947</v>
      </c>
      <c r="W1632" s="4">
        <v>59.449449707012334</v>
      </c>
      <c r="X1632" s="4">
        <v>-2.0494497070123359</v>
      </c>
    </row>
    <row r="1633" spans="11:24" x14ac:dyDescent="0.25">
      <c r="K1633" s="3"/>
      <c r="L1633" s="8">
        <v>89</v>
      </c>
      <c r="M1633" s="4"/>
      <c r="N1633" s="4"/>
      <c r="O1633" s="4"/>
      <c r="P1633" s="4"/>
      <c r="S1633" s="3">
        <v>1631</v>
      </c>
      <c r="T1633" s="8">
        <v>0.98878107944208615</v>
      </c>
      <c r="U1633" s="4">
        <v>86</v>
      </c>
      <c r="V1633" s="4">
        <v>2.2828731564000071</v>
      </c>
      <c r="W1633" s="4">
        <v>75.378956759488787</v>
      </c>
      <c r="X1633" s="4">
        <v>-19.678956759488784</v>
      </c>
    </row>
    <row r="1634" spans="11:24" x14ac:dyDescent="0.25">
      <c r="K1634" s="3"/>
      <c r="L1634" s="8">
        <v>36.299999999999997</v>
      </c>
      <c r="M1634" s="4"/>
      <c r="N1634" s="4"/>
      <c r="O1634" s="4"/>
      <c r="P1634" s="4"/>
      <c r="S1634" s="3">
        <v>1632</v>
      </c>
      <c r="T1634" s="8">
        <v>0.98938750758035177</v>
      </c>
      <c r="U1634" s="4">
        <v>86</v>
      </c>
      <c r="V1634" s="4">
        <v>2.3039582943245955</v>
      </c>
      <c r="W1634" s="4">
        <v>53.5806839508368</v>
      </c>
      <c r="X1634" s="4">
        <v>-0.9806839508367986</v>
      </c>
    </row>
    <row r="1635" spans="11:24" x14ac:dyDescent="0.25">
      <c r="K1635" s="3"/>
      <c r="L1635" s="8">
        <v>36.299999999999997</v>
      </c>
      <c r="M1635" s="4"/>
      <c r="N1635" s="4"/>
      <c r="O1635" s="4"/>
      <c r="P1635" s="4"/>
      <c r="S1635" s="3">
        <v>1633</v>
      </c>
      <c r="T1635" s="8">
        <v>0.98999393571861738</v>
      </c>
      <c r="U1635" s="4">
        <v>86</v>
      </c>
      <c r="V1635" s="4">
        <v>2.3261203997549531</v>
      </c>
      <c r="W1635" s="4">
        <v>51.657306938308679</v>
      </c>
      <c r="X1635" s="4">
        <v>6.3426930616913211</v>
      </c>
    </row>
    <row r="1636" spans="11:24" x14ac:dyDescent="0.25">
      <c r="K1636" s="3"/>
      <c r="L1636" s="8">
        <v>36.299999999999997</v>
      </c>
      <c r="M1636" s="4"/>
      <c r="N1636" s="4"/>
      <c r="O1636" s="4"/>
      <c r="P1636" s="4"/>
      <c r="S1636" s="3">
        <v>1634</v>
      </c>
      <c r="T1636" s="8">
        <v>0.99060036385688299</v>
      </c>
      <c r="U1636" s="4">
        <v>87</v>
      </c>
      <c r="V1636" s="4">
        <v>2.349487559997844</v>
      </c>
      <c r="W1636" s="4">
        <v>50.276420878032084</v>
      </c>
      <c r="X1636" s="4">
        <v>-0.9764208780320871</v>
      </c>
    </row>
    <row r="1637" spans="11:24" x14ac:dyDescent="0.25">
      <c r="K1637" s="3"/>
      <c r="L1637" s="8">
        <v>36.299999999999997</v>
      </c>
      <c r="M1637" s="4"/>
      <c r="N1637" s="4"/>
      <c r="O1637" s="4"/>
      <c r="P1637" s="4"/>
      <c r="S1637" s="3">
        <v>1635</v>
      </c>
      <c r="T1637" s="8">
        <v>0.99120679199514861</v>
      </c>
      <c r="U1637" s="4">
        <v>87</v>
      </c>
      <c r="V1637" s="4">
        <v>2.3742127090260086</v>
      </c>
      <c r="W1637" s="4">
        <v>59.301497629125556</v>
      </c>
      <c r="X1637" s="4">
        <v>-0.1014976291255536</v>
      </c>
    </row>
    <row r="1638" spans="11:24" x14ac:dyDescent="0.25">
      <c r="K1638" s="3"/>
      <c r="L1638" s="8">
        <v>89</v>
      </c>
      <c r="M1638" s="4"/>
      <c r="N1638" s="4"/>
      <c r="O1638" s="4"/>
      <c r="P1638" s="4"/>
      <c r="S1638" s="3">
        <v>1636</v>
      </c>
      <c r="T1638" s="8">
        <v>0.99181322013341422</v>
      </c>
      <c r="U1638" s="4">
        <v>87</v>
      </c>
      <c r="V1638" s="4">
        <v>2.4004805754973506</v>
      </c>
      <c r="W1638" s="4">
        <v>57.920611568848955</v>
      </c>
      <c r="X1638" s="4">
        <v>7.9388431151045324E-2</v>
      </c>
    </row>
    <row r="1639" spans="11:24" x14ac:dyDescent="0.25">
      <c r="K1639" s="3"/>
      <c r="L1639" s="8">
        <v>89</v>
      </c>
      <c r="M1639" s="4"/>
      <c r="N1639" s="4"/>
      <c r="O1639" s="4"/>
      <c r="P1639" s="4"/>
      <c r="S1639" s="3">
        <v>1637</v>
      </c>
      <c r="T1639" s="8">
        <v>0.99241964827167983</v>
      </c>
      <c r="U1639" s="4">
        <v>88</v>
      </c>
      <c r="V1639" s="4">
        <v>2.428517260365656</v>
      </c>
      <c r="W1639" s="4">
        <v>56.441090789981175</v>
      </c>
      <c r="X1639" s="4">
        <v>0.15890921001882674</v>
      </c>
    </row>
    <row r="1640" spans="11:24" x14ac:dyDescent="0.25">
      <c r="K1640" s="3"/>
      <c r="L1640" s="8">
        <v>89</v>
      </c>
      <c r="M1640" s="4"/>
      <c r="N1640" s="4"/>
      <c r="O1640" s="4"/>
      <c r="P1640" s="4"/>
      <c r="S1640" s="3">
        <v>1638</v>
      </c>
      <c r="T1640" s="8">
        <v>0.99302607640994545</v>
      </c>
      <c r="U1640" s="4">
        <v>88</v>
      </c>
      <c r="V1640" s="4">
        <v>2.4586037427301957</v>
      </c>
      <c r="W1640" s="4">
        <v>54.714983214635431</v>
      </c>
      <c r="X1640" s="4">
        <v>0.18501678536456723</v>
      </c>
    </row>
    <row r="1641" spans="11:24" x14ac:dyDescent="0.25">
      <c r="K1641" s="3"/>
      <c r="L1641" s="8">
        <v>89</v>
      </c>
      <c r="M1641" s="4"/>
      <c r="N1641" s="4"/>
      <c r="O1641" s="4"/>
      <c r="P1641" s="4"/>
      <c r="S1641" s="3">
        <v>1639</v>
      </c>
      <c r="T1641" s="8">
        <v>0.99363250454821106</v>
      </c>
      <c r="U1641" s="4">
        <v>88</v>
      </c>
      <c r="V1641" s="4">
        <v>2.491095431263759</v>
      </c>
      <c r="W1641" s="4">
        <v>51.607989579013093</v>
      </c>
      <c r="X1641" s="4">
        <v>0.79201042098690522</v>
      </c>
    </row>
    <row r="1642" spans="11:24" x14ac:dyDescent="0.25">
      <c r="K1642" s="3"/>
      <c r="L1642" s="8">
        <v>89</v>
      </c>
      <c r="M1642" s="4"/>
      <c r="N1642" s="4"/>
      <c r="O1642" s="4"/>
      <c r="P1642" s="4"/>
      <c r="S1642" s="3">
        <v>1640</v>
      </c>
      <c r="T1642" s="8">
        <v>0.99423893268647667</v>
      </c>
      <c r="U1642" s="4">
        <v>88</v>
      </c>
      <c r="V1642" s="4">
        <v>2.5264513477970278</v>
      </c>
      <c r="W1642" s="4">
        <v>48.648948021277519</v>
      </c>
      <c r="X1642" s="4">
        <v>1.3510519787224808</v>
      </c>
    </row>
    <row r="1643" spans="11:24" x14ac:dyDescent="0.25">
      <c r="K1643" s="3"/>
      <c r="L1643" s="8">
        <v>89</v>
      </c>
      <c r="M1643" s="4"/>
      <c r="N1643" s="4"/>
      <c r="O1643" s="4"/>
      <c r="P1643" s="4"/>
      <c r="S1643" s="3">
        <v>1641</v>
      </c>
      <c r="T1643" s="8">
        <v>0.99484536082474229</v>
      </c>
      <c r="U1643" s="4">
        <v>88</v>
      </c>
      <c r="V1643" s="4">
        <v>2.5652792972685252</v>
      </c>
      <c r="W1643" s="4">
        <v>46.429666852975849</v>
      </c>
      <c r="X1643" s="4">
        <v>1.7703331470241537</v>
      </c>
    </row>
    <row r="1644" spans="11:24" x14ac:dyDescent="0.25">
      <c r="K1644" s="3"/>
      <c r="L1644" s="8">
        <v>89</v>
      </c>
      <c r="M1644" s="4"/>
      <c r="N1644" s="4"/>
      <c r="O1644" s="4"/>
      <c r="P1644" s="4"/>
      <c r="S1644" s="3">
        <v>1642</v>
      </c>
      <c r="T1644" s="8">
        <v>0.9954517889630079</v>
      </c>
      <c r="U1644" s="4">
        <v>88</v>
      </c>
      <c r="V1644" s="4">
        <v>2.6084089008518836</v>
      </c>
      <c r="W1644" s="4">
        <v>74.293974854985748</v>
      </c>
      <c r="X1644" s="4">
        <v>-27.693974854985747</v>
      </c>
    </row>
    <row r="1645" spans="11:24" x14ac:dyDescent="0.25">
      <c r="K1645" s="3"/>
      <c r="L1645" s="8">
        <v>89</v>
      </c>
      <c r="M1645" s="4"/>
      <c r="N1645" s="4"/>
      <c r="O1645" s="4"/>
      <c r="P1645" s="4"/>
      <c r="S1645" s="3">
        <v>1643</v>
      </c>
      <c r="T1645" s="8">
        <v>0.99605821710127351</v>
      </c>
      <c r="U1645" s="4">
        <v>89</v>
      </c>
      <c r="V1645" s="4">
        <v>2.6570161854420777</v>
      </c>
      <c r="W1645" s="4">
        <v>77.253016412721308</v>
      </c>
      <c r="X1645" s="4">
        <v>-31.85301641272131</v>
      </c>
    </row>
    <row r="1646" spans="11:24" x14ac:dyDescent="0.25">
      <c r="K1646" s="3"/>
      <c r="L1646" s="8">
        <v>89</v>
      </c>
      <c r="M1646" s="4"/>
      <c r="N1646" s="4"/>
      <c r="O1646" s="4"/>
      <c r="P1646" s="4"/>
      <c r="S1646" s="3">
        <v>1644</v>
      </c>
      <c r="T1646" s="8">
        <v>0.99666464523953913</v>
      </c>
      <c r="U1646" s="4">
        <v>89</v>
      </c>
      <c r="V1646" s="4">
        <v>2.7128509909300074</v>
      </c>
      <c r="W1646" s="4">
        <v>42.237691312850465</v>
      </c>
      <c r="X1646" s="4">
        <v>2.362308687149536</v>
      </c>
    </row>
    <row r="1647" spans="11:24" x14ac:dyDescent="0.25">
      <c r="K1647" s="3"/>
      <c r="L1647" s="8">
        <v>89</v>
      </c>
      <c r="M1647" s="4"/>
      <c r="N1647" s="4"/>
      <c r="O1647" s="4"/>
      <c r="P1647" s="4"/>
      <c r="S1647" s="3">
        <v>1645</v>
      </c>
      <c r="T1647" s="8">
        <v>0.99727107337780474</v>
      </c>
      <c r="U1647" s="4">
        <v>89</v>
      </c>
      <c r="V1647" s="4">
        <v>2.7786903070508329</v>
      </c>
      <c r="W1647" s="4">
        <v>41.941787157076909</v>
      </c>
      <c r="X1647" s="4">
        <v>2.3582128429230877</v>
      </c>
    </row>
    <row r="1648" spans="11:24" x14ac:dyDescent="0.25">
      <c r="K1648" s="3"/>
      <c r="L1648" s="8">
        <v>89</v>
      </c>
      <c r="M1648" s="4"/>
      <c r="N1648" s="4"/>
      <c r="O1648" s="4"/>
      <c r="P1648" s="4"/>
      <c r="S1648" s="3">
        <v>1646</v>
      </c>
      <c r="T1648" s="8">
        <v>0.99787750151607035</v>
      </c>
      <c r="U1648" s="4">
        <v>89</v>
      </c>
      <c r="V1648" s="4">
        <v>2.8593577939488108</v>
      </c>
      <c r="W1648" s="4">
        <v>42.336326031441651</v>
      </c>
      <c r="X1648" s="4">
        <v>2.1636739685583493</v>
      </c>
    </row>
    <row r="1649" spans="11:24" x14ac:dyDescent="0.25">
      <c r="K1649" s="3"/>
      <c r="L1649" s="8">
        <v>89</v>
      </c>
      <c r="M1649" s="4"/>
      <c r="N1649" s="4"/>
      <c r="O1649" s="4"/>
      <c r="P1649" s="4"/>
      <c r="S1649" s="3">
        <v>1647</v>
      </c>
      <c r="T1649" s="8">
        <v>0.99848392965433597</v>
      </c>
      <c r="U1649" s="4">
        <v>89</v>
      </c>
      <c r="V1649" s="4">
        <v>2.9644605992605735</v>
      </c>
      <c r="W1649" s="4">
        <v>73.998070699212192</v>
      </c>
      <c r="X1649" s="4">
        <v>-29.198070699212195</v>
      </c>
    </row>
    <row r="1650" spans="11:24" x14ac:dyDescent="0.25">
      <c r="K1650" s="3"/>
      <c r="L1650" s="8">
        <v>36.299999999999997</v>
      </c>
      <c r="M1650" s="4"/>
      <c r="N1650" s="4"/>
      <c r="O1650" s="4"/>
      <c r="P1650" s="4"/>
      <c r="S1650" s="3">
        <v>1648</v>
      </c>
      <c r="T1650" s="8">
        <v>0.99909035779260158</v>
      </c>
      <c r="U1650" s="4">
        <v>89</v>
      </c>
      <c r="V1650" s="4">
        <v>3.1182499532527688</v>
      </c>
      <c r="W1650" s="4">
        <v>43.766529451013845</v>
      </c>
      <c r="X1650" s="4">
        <v>1.533470548986152</v>
      </c>
    </row>
    <row r="1651" spans="11:24" x14ac:dyDescent="0.25">
      <c r="K1651" s="3"/>
      <c r="L1651" s="8">
        <v>36.299999999999997</v>
      </c>
      <c r="M1651" s="4"/>
      <c r="N1651" s="4"/>
      <c r="O1651" s="4"/>
      <c r="P1651" s="4"/>
      <c r="S1651" s="3">
        <v>1649</v>
      </c>
      <c r="T1651" s="8">
        <v>0.99969678593086719</v>
      </c>
      <c r="U1651" s="4">
        <v>89</v>
      </c>
      <c r="V1651" s="4">
        <v>3.4287229888501027</v>
      </c>
      <c r="W1651" s="4">
        <v>44.802193996221291</v>
      </c>
      <c r="X1651" s="4">
        <v>1.1978060037787088</v>
      </c>
    </row>
    <row r="1652" spans="11:24" x14ac:dyDescent="0.25">
      <c r="L1652">
        <v>36.299999999999997</v>
      </c>
    </row>
    <row r="1653" spans="11:24" x14ac:dyDescent="0.25">
      <c r="L1653">
        <v>36.299999999999997</v>
      </c>
    </row>
    <row r="1654" spans="11:24" x14ac:dyDescent="0.25">
      <c r="L1654">
        <v>36.299999999999997</v>
      </c>
    </row>
    <row r="1655" spans="11:24" x14ac:dyDescent="0.25">
      <c r="L1655">
        <v>89</v>
      </c>
    </row>
    <row r="1656" spans="11:24" x14ac:dyDescent="0.25">
      <c r="L1656">
        <v>89</v>
      </c>
    </row>
    <row r="1657" spans="11:24" x14ac:dyDescent="0.25">
      <c r="L1657">
        <v>89</v>
      </c>
    </row>
    <row r="1658" spans="11:24" x14ac:dyDescent="0.25">
      <c r="L1658">
        <v>89</v>
      </c>
    </row>
    <row r="1659" spans="11:24" x14ac:dyDescent="0.25">
      <c r="L1659">
        <v>89</v>
      </c>
    </row>
    <row r="1660" spans="11:24" x14ac:dyDescent="0.25">
      <c r="L1660">
        <v>89</v>
      </c>
    </row>
    <row r="1661" spans="11:24" x14ac:dyDescent="0.25">
      <c r="L1661">
        <v>89</v>
      </c>
    </row>
    <row r="1662" spans="11:24" x14ac:dyDescent="0.25">
      <c r="L1662">
        <v>89</v>
      </c>
    </row>
    <row r="1663" spans="11:24" x14ac:dyDescent="0.25">
      <c r="L1663">
        <v>89</v>
      </c>
    </row>
    <row r="1664" spans="11:24" x14ac:dyDescent="0.25">
      <c r="L1664">
        <v>89</v>
      </c>
    </row>
    <row r="1665" spans="12:12" x14ac:dyDescent="0.25">
      <c r="L1665">
        <v>36.299999999999997</v>
      </c>
    </row>
    <row r="1666" spans="12:12" x14ac:dyDescent="0.25">
      <c r="L1666">
        <v>36.299999999999997</v>
      </c>
    </row>
    <row r="1667" spans="12:12" x14ac:dyDescent="0.25">
      <c r="L1667">
        <v>36.299999999999997</v>
      </c>
    </row>
    <row r="1668" spans="12:12" x14ac:dyDescent="0.25">
      <c r="L1668">
        <v>36.299999999999997</v>
      </c>
    </row>
    <row r="1669" spans="12:12" x14ac:dyDescent="0.25">
      <c r="L1669">
        <v>36.299999999999997</v>
      </c>
    </row>
    <row r="1670" spans="12:12" x14ac:dyDescent="0.25">
      <c r="L1670">
        <v>36.299999999999997</v>
      </c>
    </row>
    <row r="1671" spans="12:12" x14ac:dyDescent="0.25">
      <c r="L1671">
        <v>89</v>
      </c>
    </row>
    <row r="1672" spans="12:12" x14ac:dyDescent="0.25">
      <c r="L1672">
        <v>89</v>
      </c>
    </row>
    <row r="1673" spans="12:12" x14ac:dyDescent="0.25">
      <c r="L1673">
        <v>89</v>
      </c>
    </row>
    <row r="1674" spans="12:12" x14ac:dyDescent="0.25">
      <c r="L1674">
        <v>89</v>
      </c>
    </row>
    <row r="1675" spans="12:12" x14ac:dyDescent="0.25">
      <c r="L1675">
        <v>89</v>
      </c>
    </row>
    <row r="1676" spans="12:12" x14ac:dyDescent="0.25">
      <c r="L1676">
        <v>89</v>
      </c>
    </row>
    <row r="1677" spans="12:12" x14ac:dyDescent="0.25">
      <c r="L1677">
        <v>89</v>
      </c>
    </row>
    <row r="1678" spans="12:12" x14ac:dyDescent="0.25">
      <c r="L1678">
        <v>89</v>
      </c>
    </row>
    <row r="1679" spans="12:12" x14ac:dyDescent="0.25">
      <c r="L1679">
        <v>89</v>
      </c>
    </row>
    <row r="1680" spans="12:12" x14ac:dyDescent="0.25">
      <c r="L1680">
        <v>89</v>
      </c>
    </row>
    <row r="1681" spans="12:12" x14ac:dyDescent="0.25">
      <c r="L1681">
        <v>89</v>
      </c>
    </row>
    <row r="1682" spans="12:12" x14ac:dyDescent="0.25">
      <c r="L1682">
        <v>89</v>
      </c>
    </row>
    <row r="1683" spans="12:12" x14ac:dyDescent="0.25">
      <c r="L1683">
        <v>89</v>
      </c>
    </row>
    <row r="1684" spans="12:12" x14ac:dyDescent="0.25">
      <c r="L1684">
        <v>89</v>
      </c>
    </row>
    <row r="1685" spans="12:12" x14ac:dyDescent="0.25">
      <c r="L1685">
        <v>89</v>
      </c>
    </row>
    <row r="1686" spans="12:12" x14ac:dyDescent="0.25">
      <c r="L1686">
        <v>36.299999999999997</v>
      </c>
    </row>
    <row r="1687" spans="12:12" x14ac:dyDescent="0.25">
      <c r="L1687">
        <v>89</v>
      </c>
    </row>
    <row r="1688" spans="12:12" x14ac:dyDescent="0.25">
      <c r="L1688">
        <v>89</v>
      </c>
    </row>
    <row r="1689" spans="12:12" x14ac:dyDescent="0.25">
      <c r="L1689">
        <v>89</v>
      </c>
    </row>
    <row r="1690" spans="12:12" x14ac:dyDescent="0.25">
      <c r="L1690">
        <v>89</v>
      </c>
    </row>
    <row r="1691" spans="12:12" x14ac:dyDescent="0.25">
      <c r="L1691">
        <v>89</v>
      </c>
    </row>
    <row r="1692" spans="12:12" x14ac:dyDescent="0.25">
      <c r="L1692">
        <v>89</v>
      </c>
    </row>
    <row r="1693" spans="12:12" x14ac:dyDescent="0.25">
      <c r="L1693">
        <v>89</v>
      </c>
    </row>
    <row r="1694" spans="12:12" x14ac:dyDescent="0.25">
      <c r="L1694">
        <v>89</v>
      </c>
    </row>
    <row r="1695" spans="12:12" x14ac:dyDescent="0.25">
      <c r="L1695">
        <v>89</v>
      </c>
    </row>
    <row r="1696" spans="12:12" x14ac:dyDescent="0.25">
      <c r="L1696">
        <v>89</v>
      </c>
    </row>
    <row r="1697" spans="12:12" x14ac:dyDescent="0.25">
      <c r="L1697">
        <v>89</v>
      </c>
    </row>
    <row r="1698" spans="12:12" x14ac:dyDescent="0.25">
      <c r="L1698">
        <v>89</v>
      </c>
    </row>
    <row r="1699" spans="12:12" x14ac:dyDescent="0.25">
      <c r="L1699">
        <v>89</v>
      </c>
    </row>
    <row r="1700" spans="12:12" x14ac:dyDescent="0.25">
      <c r="L1700">
        <v>89</v>
      </c>
    </row>
    <row r="1701" spans="12:12" x14ac:dyDescent="0.25">
      <c r="L1701">
        <v>89</v>
      </c>
    </row>
    <row r="1702" spans="12:12" x14ac:dyDescent="0.25">
      <c r="L1702">
        <v>36.299999999999997</v>
      </c>
    </row>
    <row r="1703" spans="12:12" x14ac:dyDescent="0.25">
      <c r="L1703">
        <v>36.299999999999997</v>
      </c>
    </row>
    <row r="1704" spans="12:12" x14ac:dyDescent="0.25">
      <c r="L1704">
        <v>36.299999999999997</v>
      </c>
    </row>
    <row r="1705" spans="12:12" x14ac:dyDescent="0.25">
      <c r="L1705">
        <v>36.299999999999997</v>
      </c>
    </row>
    <row r="1706" spans="12:12" x14ac:dyDescent="0.25">
      <c r="L1706">
        <v>36.299999999999997</v>
      </c>
    </row>
    <row r="1707" spans="12:12" x14ac:dyDescent="0.25">
      <c r="L1707">
        <v>36.299999999999997</v>
      </c>
    </row>
    <row r="1708" spans="12:12" x14ac:dyDescent="0.25">
      <c r="L1708">
        <v>36.299999999999997</v>
      </c>
    </row>
    <row r="1709" spans="12:12" x14ac:dyDescent="0.25">
      <c r="L1709">
        <v>36.299999999999997</v>
      </c>
    </row>
    <row r="1710" spans="12:12" x14ac:dyDescent="0.25">
      <c r="L1710">
        <v>36.299999999999997</v>
      </c>
    </row>
    <row r="1711" spans="12:12" x14ac:dyDescent="0.25">
      <c r="L1711">
        <v>36.299999999999997</v>
      </c>
    </row>
    <row r="1712" spans="12:12" x14ac:dyDescent="0.25">
      <c r="L1712">
        <v>36.299999999999997</v>
      </c>
    </row>
    <row r="1713" spans="12:12" x14ac:dyDescent="0.25">
      <c r="L1713">
        <v>36.299999999999997</v>
      </c>
    </row>
    <row r="1714" spans="12:12" x14ac:dyDescent="0.25">
      <c r="L1714">
        <v>36.299999999999997</v>
      </c>
    </row>
    <row r="1715" spans="12:12" x14ac:dyDescent="0.25">
      <c r="L1715">
        <v>36.299999999999997</v>
      </c>
    </row>
    <row r="1716" spans="12:12" x14ac:dyDescent="0.25">
      <c r="L1716">
        <v>36.299999999999997</v>
      </c>
    </row>
    <row r="1717" spans="12:12" x14ac:dyDescent="0.25">
      <c r="L1717">
        <v>36.299999999999997</v>
      </c>
    </row>
    <row r="1718" spans="12:12" x14ac:dyDescent="0.25">
      <c r="L1718">
        <v>36.299999999999997</v>
      </c>
    </row>
    <row r="1719" spans="12:12" x14ac:dyDescent="0.25">
      <c r="L1719">
        <v>36.299999999999997</v>
      </c>
    </row>
    <row r="1720" spans="12:12" x14ac:dyDescent="0.25">
      <c r="L1720">
        <v>89</v>
      </c>
    </row>
    <row r="1721" spans="12:12" x14ac:dyDescent="0.25">
      <c r="L1721">
        <v>89</v>
      </c>
    </row>
    <row r="1722" spans="12:12" x14ac:dyDescent="0.25">
      <c r="L1722">
        <v>89</v>
      </c>
    </row>
    <row r="1723" spans="12:12" x14ac:dyDescent="0.25">
      <c r="L1723">
        <v>89</v>
      </c>
    </row>
    <row r="1724" spans="12:12" x14ac:dyDescent="0.25">
      <c r="L1724">
        <v>89</v>
      </c>
    </row>
    <row r="1725" spans="12:12" x14ac:dyDescent="0.25">
      <c r="L1725">
        <v>89</v>
      </c>
    </row>
    <row r="1726" spans="12:12" x14ac:dyDescent="0.25">
      <c r="L1726">
        <v>89</v>
      </c>
    </row>
    <row r="1727" spans="12:12" x14ac:dyDescent="0.25">
      <c r="L1727">
        <v>89</v>
      </c>
    </row>
    <row r="1728" spans="12:12" x14ac:dyDescent="0.25">
      <c r="L1728">
        <v>89</v>
      </c>
    </row>
    <row r="1729" spans="12:12" x14ac:dyDescent="0.25">
      <c r="L1729">
        <v>89</v>
      </c>
    </row>
    <row r="1730" spans="12:12" x14ac:dyDescent="0.25">
      <c r="L1730">
        <v>89</v>
      </c>
    </row>
    <row r="1731" spans="12:12" x14ac:dyDescent="0.25">
      <c r="L1731">
        <v>89</v>
      </c>
    </row>
    <row r="1732" spans="12:12" x14ac:dyDescent="0.25">
      <c r="L1732">
        <v>89</v>
      </c>
    </row>
    <row r="1733" spans="12:12" x14ac:dyDescent="0.25">
      <c r="L1733">
        <v>89</v>
      </c>
    </row>
    <row r="1734" spans="12:12" x14ac:dyDescent="0.25">
      <c r="L1734">
        <v>89</v>
      </c>
    </row>
    <row r="1735" spans="12:12" x14ac:dyDescent="0.25">
      <c r="L1735">
        <v>36.299999999999997</v>
      </c>
    </row>
    <row r="1736" spans="12:12" x14ac:dyDescent="0.25">
      <c r="L1736">
        <v>89</v>
      </c>
    </row>
    <row r="1737" spans="12:12" x14ac:dyDescent="0.25">
      <c r="L1737">
        <v>89</v>
      </c>
    </row>
    <row r="1738" spans="12:12" x14ac:dyDescent="0.25">
      <c r="L1738">
        <v>89</v>
      </c>
    </row>
    <row r="1739" spans="12:12" x14ac:dyDescent="0.25">
      <c r="L1739">
        <v>89</v>
      </c>
    </row>
    <row r="1740" spans="12:12" x14ac:dyDescent="0.25">
      <c r="L1740">
        <v>89</v>
      </c>
    </row>
    <row r="1741" spans="12:12" x14ac:dyDescent="0.25">
      <c r="L1741">
        <v>89</v>
      </c>
    </row>
    <row r="1742" spans="12:12" x14ac:dyDescent="0.25">
      <c r="L1742">
        <v>89</v>
      </c>
    </row>
    <row r="1743" spans="12:12" x14ac:dyDescent="0.25">
      <c r="L1743">
        <v>89</v>
      </c>
    </row>
    <row r="1744" spans="12:12" x14ac:dyDescent="0.25">
      <c r="L1744">
        <v>89</v>
      </c>
    </row>
    <row r="1745" spans="12:12" x14ac:dyDescent="0.25">
      <c r="L1745">
        <v>36.299999999999997</v>
      </c>
    </row>
    <row r="1746" spans="12:12" x14ac:dyDescent="0.25">
      <c r="L1746">
        <v>36.299999999999997</v>
      </c>
    </row>
    <row r="1747" spans="12:12" x14ac:dyDescent="0.25">
      <c r="L1747">
        <v>36.299999999999997</v>
      </c>
    </row>
    <row r="1748" spans="12:12" x14ac:dyDescent="0.25">
      <c r="L1748">
        <v>36.299999999999997</v>
      </c>
    </row>
    <row r="1749" spans="12:12" x14ac:dyDescent="0.25">
      <c r="L1749">
        <v>36.299999999999997</v>
      </c>
    </row>
    <row r="1750" spans="12:12" x14ac:dyDescent="0.25">
      <c r="L1750">
        <v>36.299999999999997</v>
      </c>
    </row>
    <row r="1751" spans="12:12" x14ac:dyDescent="0.25">
      <c r="L1751">
        <v>36.299999999999997</v>
      </c>
    </row>
    <row r="1752" spans="12:12" x14ac:dyDescent="0.25">
      <c r="L1752">
        <v>89</v>
      </c>
    </row>
    <row r="1753" spans="12:12" x14ac:dyDescent="0.25">
      <c r="L1753">
        <v>89</v>
      </c>
    </row>
    <row r="1754" spans="12:12" x14ac:dyDescent="0.25">
      <c r="L1754">
        <v>89</v>
      </c>
    </row>
    <row r="1755" spans="12:12" x14ac:dyDescent="0.25">
      <c r="L1755">
        <v>89</v>
      </c>
    </row>
    <row r="1756" spans="12:12" x14ac:dyDescent="0.25">
      <c r="L1756">
        <v>89</v>
      </c>
    </row>
    <row r="1757" spans="12:12" x14ac:dyDescent="0.25">
      <c r="L1757">
        <v>89</v>
      </c>
    </row>
    <row r="1758" spans="12:12" x14ac:dyDescent="0.25">
      <c r="L1758">
        <v>89</v>
      </c>
    </row>
    <row r="1759" spans="12:12" x14ac:dyDescent="0.25">
      <c r="L1759">
        <v>89</v>
      </c>
    </row>
    <row r="1760" spans="12:12" x14ac:dyDescent="0.25">
      <c r="L1760">
        <v>89</v>
      </c>
    </row>
    <row r="1761" spans="12:12" x14ac:dyDescent="0.25">
      <c r="L1761">
        <v>89</v>
      </c>
    </row>
    <row r="1762" spans="12:12" x14ac:dyDescent="0.25">
      <c r="L1762">
        <v>89</v>
      </c>
    </row>
    <row r="1763" spans="12:12" x14ac:dyDescent="0.25">
      <c r="L1763">
        <v>89</v>
      </c>
    </row>
    <row r="1764" spans="12:12" x14ac:dyDescent="0.25">
      <c r="L1764">
        <v>89</v>
      </c>
    </row>
    <row r="1765" spans="12:12" x14ac:dyDescent="0.25">
      <c r="L1765">
        <v>89</v>
      </c>
    </row>
    <row r="1766" spans="12:12" x14ac:dyDescent="0.25">
      <c r="L1766">
        <v>89</v>
      </c>
    </row>
    <row r="1767" spans="12:12" x14ac:dyDescent="0.25">
      <c r="L1767">
        <v>36.299999999999997</v>
      </c>
    </row>
    <row r="1768" spans="12:12" x14ac:dyDescent="0.25">
      <c r="L1768">
        <v>89</v>
      </c>
    </row>
    <row r="1769" spans="12:12" x14ac:dyDescent="0.25">
      <c r="L1769">
        <v>89</v>
      </c>
    </row>
    <row r="1770" spans="12:12" x14ac:dyDescent="0.25">
      <c r="L1770">
        <v>89</v>
      </c>
    </row>
    <row r="1771" spans="12:12" x14ac:dyDescent="0.25">
      <c r="L1771">
        <v>89</v>
      </c>
    </row>
    <row r="1772" spans="12:12" x14ac:dyDescent="0.25">
      <c r="L1772">
        <v>89</v>
      </c>
    </row>
    <row r="1773" spans="12:12" x14ac:dyDescent="0.25">
      <c r="L1773">
        <v>89</v>
      </c>
    </row>
    <row r="1774" spans="12:12" x14ac:dyDescent="0.25">
      <c r="L1774">
        <v>89</v>
      </c>
    </row>
    <row r="1775" spans="12:12" x14ac:dyDescent="0.25">
      <c r="L1775">
        <v>89</v>
      </c>
    </row>
    <row r="1776" spans="12:12" x14ac:dyDescent="0.25">
      <c r="L1776">
        <v>89</v>
      </c>
    </row>
    <row r="1777" spans="12:12" x14ac:dyDescent="0.25">
      <c r="L1777">
        <v>89</v>
      </c>
    </row>
    <row r="1778" spans="12:12" x14ac:dyDescent="0.25">
      <c r="L1778">
        <v>89</v>
      </c>
    </row>
    <row r="1779" spans="12:12" x14ac:dyDescent="0.25">
      <c r="L1779">
        <v>89</v>
      </c>
    </row>
    <row r="1780" spans="12:12" x14ac:dyDescent="0.25">
      <c r="L1780">
        <v>89</v>
      </c>
    </row>
    <row r="1781" spans="12:12" x14ac:dyDescent="0.25">
      <c r="L1781">
        <v>89</v>
      </c>
    </row>
    <row r="1782" spans="12:12" x14ac:dyDescent="0.25">
      <c r="L1782">
        <v>36.299999999999997</v>
      </c>
    </row>
    <row r="1783" spans="12:12" x14ac:dyDescent="0.25">
      <c r="L1783">
        <v>36.299999999999997</v>
      </c>
    </row>
    <row r="1784" spans="12:12" x14ac:dyDescent="0.25">
      <c r="L1784">
        <v>89</v>
      </c>
    </row>
    <row r="1785" spans="12:12" x14ac:dyDescent="0.25">
      <c r="L1785">
        <v>89</v>
      </c>
    </row>
    <row r="1786" spans="12:12" x14ac:dyDescent="0.25">
      <c r="L1786">
        <v>89</v>
      </c>
    </row>
    <row r="1787" spans="12:12" x14ac:dyDescent="0.25">
      <c r="L1787">
        <v>89</v>
      </c>
    </row>
    <row r="1788" spans="12:12" x14ac:dyDescent="0.25">
      <c r="L1788">
        <v>89</v>
      </c>
    </row>
    <row r="1789" spans="12:12" x14ac:dyDescent="0.25">
      <c r="L1789">
        <v>89</v>
      </c>
    </row>
    <row r="1790" spans="12:12" x14ac:dyDescent="0.25">
      <c r="L1790">
        <v>89</v>
      </c>
    </row>
    <row r="1791" spans="12:12" x14ac:dyDescent="0.25">
      <c r="L1791">
        <v>89</v>
      </c>
    </row>
    <row r="1792" spans="12:12" x14ac:dyDescent="0.25">
      <c r="L1792">
        <v>89</v>
      </c>
    </row>
    <row r="1793" spans="12:12" x14ac:dyDescent="0.25">
      <c r="L1793">
        <v>89</v>
      </c>
    </row>
    <row r="1794" spans="12:12" x14ac:dyDescent="0.25">
      <c r="L1794">
        <v>89</v>
      </c>
    </row>
    <row r="1795" spans="12:12" x14ac:dyDescent="0.25">
      <c r="L1795">
        <v>89</v>
      </c>
    </row>
    <row r="1796" spans="12:12" x14ac:dyDescent="0.25">
      <c r="L1796">
        <v>36.299999999999997</v>
      </c>
    </row>
    <row r="1797" spans="12:12" x14ac:dyDescent="0.25">
      <c r="L1797">
        <v>36.299999999999997</v>
      </c>
    </row>
    <row r="1798" spans="12:12" x14ac:dyDescent="0.25">
      <c r="L1798">
        <v>36.299999999999997</v>
      </c>
    </row>
    <row r="1799" spans="12:12" x14ac:dyDescent="0.25">
      <c r="L1799">
        <v>36.299999999999997</v>
      </c>
    </row>
    <row r="1800" spans="12:12" x14ac:dyDescent="0.25">
      <c r="L1800">
        <v>89</v>
      </c>
    </row>
    <row r="1801" spans="12:12" x14ac:dyDescent="0.25">
      <c r="L1801">
        <v>89</v>
      </c>
    </row>
    <row r="1802" spans="12:12" x14ac:dyDescent="0.25">
      <c r="L1802">
        <v>89</v>
      </c>
    </row>
    <row r="1803" spans="12:12" x14ac:dyDescent="0.25">
      <c r="L1803">
        <v>89</v>
      </c>
    </row>
    <row r="1804" spans="12:12" x14ac:dyDescent="0.25">
      <c r="L1804">
        <v>89</v>
      </c>
    </row>
    <row r="1805" spans="12:12" x14ac:dyDescent="0.25">
      <c r="L1805">
        <v>36.299999999999997</v>
      </c>
    </row>
    <row r="1806" spans="12:12" x14ac:dyDescent="0.25">
      <c r="L1806">
        <v>36.299999999999997</v>
      </c>
    </row>
    <row r="1807" spans="12:12" x14ac:dyDescent="0.25">
      <c r="L1807">
        <v>36.299999999999997</v>
      </c>
    </row>
    <row r="1808" spans="12:12" x14ac:dyDescent="0.25">
      <c r="L1808">
        <v>36.299999999999997</v>
      </c>
    </row>
    <row r="1809" spans="12:12" x14ac:dyDescent="0.25">
      <c r="L1809">
        <v>36.299999999999997</v>
      </c>
    </row>
    <row r="1810" spans="12:12" x14ac:dyDescent="0.25">
      <c r="L1810">
        <v>36.299999999999997</v>
      </c>
    </row>
    <row r="1811" spans="12:12" x14ac:dyDescent="0.25">
      <c r="L1811">
        <v>36.299999999999997</v>
      </c>
    </row>
    <row r="1812" spans="12:12" x14ac:dyDescent="0.25">
      <c r="L1812">
        <v>36.299999999999997</v>
      </c>
    </row>
    <row r="1813" spans="12:12" x14ac:dyDescent="0.25">
      <c r="L1813">
        <v>36.299999999999997</v>
      </c>
    </row>
    <row r="1814" spans="12:12" x14ac:dyDescent="0.25">
      <c r="L1814">
        <v>36.299999999999997</v>
      </c>
    </row>
    <row r="1815" spans="12:12" x14ac:dyDescent="0.25">
      <c r="L1815">
        <v>36.299999999999997</v>
      </c>
    </row>
    <row r="1816" spans="12:12" x14ac:dyDescent="0.25">
      <c r="L1816">
        <v>36.299999999999997</v>
      </c>
    </row>
    <row r="1817" spans="12:12" x14ac:dyDescent="0.25">
      <c r="L1817">
        <v>89</v>
      </c>
    </row>
    <row r="1818" spans="12:12" x14ac:dyDescent="0.25">
      <c r="L1818">
        <v>89</v>
      </c>
    </row>
    <row r="1819" spans="12:12" x14ac:dyDescent="0.25">
      <c r="L1819">
        <v>89</v>
      </c>
    </row>
    <row r="1820" spans="12:12" x14ac:dyDescent="0.25">
      <c r="L1820">
        <v>89</v>
      </c>
    </row>
    <row r="1821" spans="12:12" x14ac:dyDescent="0.25">
      <c r="L1821">
        <v>89</v>
      </c>
    </row>
    <row r="1822" spans="12:12" x14ac:dyDescent="0.25">
      <c r="L1822">
        <v>89</v>
      </c>
    </row>
    <row r="1823" spans="12:12" x14ac:dyDescent="0.25">
      <c r="L1823">
        <v>89</v>
      </c>
    </row>
    <row r="1824" spans="12:12" x14ac:dyDescent="0.25">
      <c r="L1824">
        <v>89</v>
      </c>
    </row>
    <row r="1825" spans="12:12" x14ac:dyDescent="0.25">
      <c r="L1825">
        <v>89</v>
      </c>
    </row>
    <row r="1826" spans="12:12" x14ac:dyDescent="0.25">
      <c r="L1826">
        <v>89</v>
      </c>
    </row>
    <row r="1827" spans="12:12" x14ac:dyDescent="0.25">
      <c r="L1827">
        <v>89</v>
      </c>
    </row>
    <row r="1828" spans="12:12" x14ac:dyDescent="0.25">
      <c r="L1828">
        <v>89</v>
      </c>
    </row>
    <row r="1829" spans="12:12" x14ac:dyDescent="0.25">
      <c r="L1829">
        <v>36.299999999999997</v>
      </c>
    </row>
    <row r="1830" spans="12:12" x14ac:dyDescent="0.25">
      <c r="L1830">
        <v>36.299999999999997</v>
      </c>
    </row>
    <row r="1831" spans="12:12" x14ac:dyDescent="0.25">
      <c r="L1831">
        <v>36.299999999999997</v>
      </c>
    </row>
    <row r="1832" spans="12:12" x14ac:dyDescent="0.25">
      <c r="L1832">
        <v>36.299999999999997</v>
      </c>
    </row>
    <row r="1833" spans="12:12" x14ac:dyDescent="0.25">
      <c r="L1833">
        <v>89</v>
      </c>
    </row>
    <row r="1834" spans="12:12" x14ac:dyDescent="0.25">
      <c r="L1834">
        <v>89</v>
      </c>
    </row>
    <row r="1835" spans="12:12" x14ac:dyDescent="0.25">
      <c r="L1835">
        <v>89</v>
      </c>
    </row>
    <row r="1836" spans="12:12" x14ac:dyDescent="0.25">
      <c r="L1836">
        <v>89</v>
      </c>
    </row>
    <row r="1837" spans="12:12" x14ac:dyDescent="0.25">
      <c r="L1837">
        <v>36.299999999999997</v>
      </c>
    </row>
    <row r="1838" spans="12:12" x14ac:dyDescent="0.25">
      <c r="L1838">
        <v>36.299999999999997</v>
      </c>
    </row>
    <row r="1839" spans="12:12" x14ac:dyDescent="0.25">
      <c r="L1839">
        <v>36.299999999999997</v>
      </c>
    </row>
    <row r="1840" spans="12:12" x14ac:dyDescent="0.25">
      <c r="L1840">
        <v>36.299999999999997</v>
      </c>
    </row>
    <row r="1841" spans="12:12" x14ac:dyDescent="0.25">
      <c r="L1841">
        <v>36.299999999999997</v>
      </c>
    </row>
    <row r="1842" spans="12:12" x14ac:dyDescent="0.25">
      <c r="L1842">
        <v>36.299999999999997</v>
      </c>
    </row>
    <row r="1843" spans="12:12" x14ac:dyDescent="0.25">
      <c r="L1843">
        <v>36.299999999999997</v>
      </c>
    </row>
    <row r="1844" spans="12:12" x14ac:dyDescent="0.25">
      <c r="L1844">
        <v>36.299999999999997</v>
      </c>
    </row>
    <row r="1845" spans="12:12" x14ac:dyDescent="0.25">
      <c r="L1845">
        <v>36.299999999999997</v>
      </c>
    </row>
    <row r="1846" spans="12:12" x14ac:dyDescent="0.25">
      <c r="L1846">
        <v>36.299999999999997</v>
      </c>
    </row>
    <row r="1847" spans="12:12" x14ac:dyDescent="0.25">
      <c r="L1847">
        <v>36.299999999999997</v>
      </c>
    </row>
    <row r="1848" spans="12:12" x14ac:dyDescent="0.25">
      <c r="L1848">
        <v>36.299999999999997</v>
      </c>
    </row>
    <row r="1849" spans="12:12" x14ac:dyDescent="0.25">
      <c r="L1849">
        <v>36.299999999999997</v>
      </c>
    </row>
    <row r="1850" spans="12:12" x14ac:dyDescent="0.25">
      <c r="L1850">
        <v>36.299999999999997</v>
      </c>
    </row>
    <row r="1851" spans="12:12" x14ac:dyDescent="0.25">
      <c r="L1851">
        <v>36.299999999999997</v>
      </c>
    </row>
    <row r="1852" spans="12:12" x14ac:dyDescent="0.25">
      <c r="L1852">
        <v>36.299999999999997</v>
      </c>
    </row>
    <row r="1853" spans="12:12" x14ac:dyDescent="0.25">
      <c r="L1853">
        <v>36.299999999999997</v>
      </c>
    </row>
    <row r="1854" spans="12:12" x14ac:dyDescent="0.25">
      <c r="L1854">
        <v>36.299999999999997</v>
      </c>
    </row>
    <row r="1855" spans="12:12" x14ac:dyDescent="0.25">
      <c r="L1855">
        <v>36.299999999999997</v>
      </c>
    </row>
    <row r="1856" spans="12:12" x14ac:dyDescent="0.25">
      <c r="L1856">
        <v>36.299999999999997</v>
      </c>
    </row>
    <row r="1857" spans="12:12" x14ac:dyDescent="0.25">
      <c r="L1857">
        <v>36.299999999999997</v>
      </c>
    </row>
    <row r="1858" spans="12:12" x14ac:dyDescent="0.25">
      <c r="L1858">
        <v>36.299999999999997</v>
      </c>
    </row>
    <row r="1859" spans="12:12" x14ac:dyDescent="0.25">
      <c r="L1859">
        <v>36.299999999999997</v>
      </c>
    </row>
    <row r="1860" spans="12:12" x14ac:dyDescent="0.25">
      <c r="L1860">
        <v>36.299999999999997</v>
      </c>
    </row>
    <row r="1861" spans="12:12" x14ac:dyDescent="0.25">
      <c r="L1861">
        <v>36.299999999999997</v>
      </c>
    </row>
    <row r="1862" spans="12:12" x14ac:dyDescent="0.25">
      <c r="L1862">
        <v>36.299999999999997</v>
      </c>
    </row>
    <row r="1863" spans="12:12" x14ac:dyDescent="0.25">
      <c r="L1863">
        <v>36.299999999999997</v>
      </c>
    </row>
    <row r="1864" spans="12:12" x14ac:dyDescent="0.25">
      <c r="L1864">
        <v>36.299999999999997</v>
      </c>
    </row>
    <row r="1865" spans="12:12" x14ac:dyDescent="0.25">
      <c r="L1865">
        <v>89</v>
      </c>
    </row>
    <row r="1866" spans="12:12" x14ac:dyDescent="0.25">
      <c r="L1866">
        <v>89</v>
      </c>
    </row>
    <row r="1867" spans="12:12" x14ac:dyDescent="0.25">
      <c r="L1867">
        <v>89</v>
      </c>
    </row>
    <row r="1868" spans="12:12" x14ac:dyDescent="0.25">
      <c r="L1868">
        <v>89</v>
      </c>
    </row>
    <row r="1869" spans="12:12" x14ac:dyDescent="0.25">
      <c r="L1869">
        <v>89</v>
      </c>
    </row>
    <row r="1870" spans="12:12" x14ac:dyDescent="0.25">
      <c r="L1870">
        <v>89</v>
      </c>
    </row>
    <row r="1871" spans="12:12" x14ac:dyDescent="0.25">
      <c r="L1871">
        <v>89</v>
      </c>
    </row>
    <row r="1872" spans="12:12" x14ac:dyDescent="0.25">
      <c r="L1872">
        <v>89</v>
      </c>
    </row>
    <row r="1873" spans="12:12" x14ac:dyDescent="0.25">
      <c r="L1873">
        <v>89</v>
      </c>
    </row>
    <row r="1874" spans="12:12" x14ac:dyDescent="0.25">
      <c r="L1874">
        <v>89</v>
      </c>
    </row>
    <row r="1875" spans="12:12" x14ac:dyDescent="0.25">
      <c r="L1875">
        <v>89</v>
      </c>
    </row>
    <row r="1876" spans="12:12" x14ac:dyDescent="0.25">
      <c r="L1876">
        <v>89</v>
      </c>
    </row>
    <row r="1877" spans="12:12" x14ac:dyDescent="0.25">
      <c r="L1877">
        <v>89</v>
      </c>
    </row>
    <row r="1878" spans="12:12" x14ac:dyDescent="0.25">
      <c r="L1878">
        <v>89</v>
      </c>
    </row>
    <row r="1879" spans="12:12" x14ac:dyDescent="0.25">
      <c r="L1879">
        <v>89</v>
      </c>
    </row>
    <row r="1880" spans="12:12" x14ac:dyDescent="0.25">
      <c r="L1880">
        <v>36.299999999999997</v>
      </c>
    </row>
    <row r="1881" spans="12:12" x14ac:dyDescent="0.25">
      <c r="L1881">
        <v>89</v>
      </c>
    </row>
    <row r="1882" spans="12:12" x14ac:dyDescent="0.25">
      <c r="L1882">
        <v>89</v>
      </c>
    </row>
    <row r="1883" spans="12:12" x14ac:dyDescent="0.25">
      <c r="L1883">
        <v>89</v>
      </c>
    </row>
    <row r="1884" spans="12:12" x14ac:dyDescent="0.25">
      <c r="L1884">
        <v>89</v>
      </c>
    </row>
    <row r="1885" spans="12:12" x14ac:dyDescent="0.25">
      <c r="L1885">
        <v>89</v>
      </c>
    </row>
    <row r="1886" spans="12:12" x14ac:dyDescent="0.25">
      <c r="L1886">
        <v>89</v>
      </c>
    </row>
    <row r="1887" spans="12:12" x14ac:dyDescent="0.25">
      <c r="L1887">
        <v>36.299999999999997</v>
      </c>
    </row>
    <row r="1888" spans="12:12" x14ac:dyDescent="0.25">
      <c r="L1888">
        <v>36.299999999999997</v>
      </c>
    </row>
    <row r="1889" spans="12:12" x14ac:dyDescent="0.25">
      <c r="L1889">
        <v>36.299999999999997</v>
      </c>
    </row>
    <row r="1890" spans="12:12" x14ac:dyDescent="0.25">
      <c r="L1890">
        <v>36.299999999999997</v>
      </c>
    </row>
    <row r="1891" spans="12:12" x14ac:dyDescent="0.25">
      <c r="L1891">
        <v>36.299999999999997</v>
      </c>
    </row>
    <row r="1892" spans="12:12" x14ac:dyDescent="0.25">
      <c r="L1892">
        <v>36.299999999999997</v>
      </c>
    </row>
    <row r="1893" spans="12:12" x14ac:dyDescent="0.25">
      <c r="L1893">
        <v>36.299999999999997</v>
      </c>
    </row>
    <row r="1894" spans="12:12" x14ac:dyDescent="0.25">
      <c r="L1894">
        <v>36.299999999999997</v>
      </c>
    </row>
    <row r="1895" spans="12:12" x14ac:dyDescent="0.25">
      <c r="L1895">
        <v>36.299999999999997</v>
      </c>
    </row>
    <row r="1896" spans="12:12" x14ac:dyDescent="0.25">
      <c r="L1896">
        <v>36.299999999999997</v>
      </c>
    </row>
    <row r="1897" spans="12:12" x14ac:dyDescent="0.25">
      <c r="L1897">
        <v>89</v>
      </c>
    </row>
    <row r="1898" spans="12:12" x14ac:dyDescent="0.25">
      <c r="L1898">
        <v>89</v>
      </c>
    </row>
    <row r="1899" spans="12:12" x14ac:dyDescent="0.25">
      <c r="L1899">
        <v>89</v>
      </c>
    </row>
    <row r="1900" spans="12:12" x14ac:dyDescent="0.25">
      <c r="L1900">
        <v>89</v>
      </c>
    </row>
    <row r="1901" spans="12:12" x14ac:dyDescent="0.25">
      <c r="L1901">
        <v>89</v>
      </c>
    </row>
    <row r="1902" spans="12:12" x14ac:dyDescent="0.25">
      <c r="L1902">
        <v>89</v>
      </c>
    </row>
    <row r="1903" spans="12:12" x14ac:dyDescent="0.25">
      <c r="L1903">
        <v>89</v>
      </c>
    </row>
    <row r="1904" spans="12:12" x14ac:dyDescent="0.25">
      <c r="L1904">
        <v>89</v>
      </c>
    </row>
    <row r="1905" spans="12:12" x14ac:dyDescent="0.25">
      <c r="L1905">
        <v>89</v>
      </c>
    </row>
    <row r="1906" spans="12:12" x14ac:dyDescent="0.25">
      <c r="L1906">
        <v>89</v>
      </c>
    </row>
    <row r="1907" spans="12:12" x14ac:dyDescent="0.25">
      <c r="L1907">
        <v>36.299999999999997</v>
      </c>
    </row>
    <row r="1908" spans="12:12" x14ac:dyDescent="0.25">
      <c r="L1908">
        <v>36.299999999999997</v>
      </c>
    </row>
    <row r="1909" spans="12:12" x14ac:dyDescent="0.25">
      <c r="L1909">
        <v>36.299999999999997</v>
      </c>
    </row>
    <row r="1910" spans="12:12" x14ac:dyDescent="0.25">
      <c r="L1910">
        <v>36.299999999999997</v>
      </c>
    </row>
    <row r="1911" spans="12:12" x14ac:dyDescent="0.25">
      <c r="L1911">
        <v>36.299999999999997</v>
      </c>
    </row>
    <row r="1912" spans="12:12" x14ac:dyDescent="0.25">
      <c r="L1912">
        <v>36.299999999999997</v>
      </c>
    </row>
    <row r="1913" spans="12:12" x14ac:dyDescent="0.25">
      <c r="L1913">
        <v>36.299999999999997</v>
      </c>
    </row>
    <row r="1914" spans="12:12" x14ac:dyDescent="0.25">
      <c r="L1914">
        <v>36.299999999999997</v>
      </c>
    </row>
    <row r="1915" spans="12:12" x14ac:dyDescent="0.25">
      <c r="L1915">
        <v>36.299999999999997</v>
      </c>
    </row>
    <row r="1916" spans="12:12" x14ac:dyDescent="0.25">
      <c r="L1916">
        <v>36.299999999999997</v>
      </c>
    </row>
    <row r="1917" spans="12:12" x14ac:dyDescent="0.25">
      <c r="L1917">
        <v>36.299999999999997</v>
      </c>
    </row>
    <row r="1918" spans="12:12" x14ac:dyDescent="0.25">
      <c r="L1918">
        <v>36.299999999999997</v>
      </c>
    </row>
    <row r="1919" spans="12:12" x14ac:dyDescent="0.25">
      <c r="L1919">
        <v>36.299999999999997</v>
      </c>
    </row>
    <row r="1920" spans="12:12" x14ac:dyDescent="0.25">
      <c r="L1920">
        <v>36.299999999999997</v>
      </c>
    </row>
    <row r="1921" spans="12:12" x14ac:dyDescent="0.25">
      <c r="L1921">
        <v>36.299999999999997</v>
      </c>
    </row>
    <row r="1922" spans="12:12" x14ac:dyDescent="0.25">
      <c r="L1922">
        <v>36.299999999999997</v>
      </c>
    </row>
    <row r="1923" spans="12:12" x14ac:dyDescent="0.25">
      <c r="L1923">
        <v>36.299999999999997</v>
      </c>
    </row>
    <row r="1924" spans="12:12" x14ac:dyDescent="0.25">
      <c r="L1924">
        <v>36.299999999999997</v>
      </c>
    </row>
    <row r="1925" spans="12:12" x14ac:dyDescent="0.25">
      <c r="L1925">
        <v>36.299999999999997</v>
      </c>
    </row>
    <row r="1926" spans="12:12" x14ac:dyDescent="0.25">
      <c r="L1926">
        <v>36.299999999999997</v>
      </c>
    </row>
    <row r="1927" spans="12:12" x14ac:dyDescent="0.25">
      <c r="L1927">
        <v>36.299999999999997</v>
      </c>
    </row>
    <row r="1928" spans="12:12" x14ac:dyDescent="0.25">
      <c r="L1928">
        <v>36.299999999999997</v>
      </c>
    </row>
    <row r="1929" spans="12:12" x14ac:dyDescent="0.25">
      <c r="L1929">
        <v>36.299999999999997</v>
      </c>
    </row>
    <row r="1930" spans="12:12" x14ac:dyDescent="0.25">
      <c r="L1930">
        <v>36.299999999999997</v>
      </c>
    </row>
    <row r="1931" spans="12:12" x14ac:dyDescent="0.25">
      <c r="L1931">
        <v>36.299999999999997</v>
      </c>
    </row>
    <row r="1932" spans="12:12" x14ac:dyDescent="0.25">
      <c r="L1932">
        <v>36.299999999999997</v>
      </c>
    </row>
    <row r="1933" spans="12:12" x14ac:dyDescent="0.25">
      <c r="L1933">
        <v>36.299999999999997</v>
      </c>
    </row>
    <row r="1934" spans="12:12" x14ac:dyDescent="0.25">
      <c r="L1934">
        <v>36.299999999999997</v>
      </c>
    </row>
    <row r="1935" spans="12:12" x14ac:dyDescent="0.25">
      <c r="L1935">
        <v>36.299999999999997</v>
      </c>
    </row>
    <row r="1936" spans="12:12" x14ac:dyDescent="0.25">
      <c r="L1936">
        <v>36.299999999999997</v>
      </c>
    </row>
    <row r="1937" spans="12:12" x14ac:dyDescent="0.25">
      <c r="L1937">
        <v>36.299999999999997</v>
      </c>
    </row>
    <row r="1938" spans="12:12" x14ac:dyDescent="0.25">
      <c r="L1938">
        <v>36.299999999999997</v>
      </c>
    </row>
    <row r="1939" spans="12:12" x14ac:dyDescent="0.25">
      <c r="L1939">
        <v>36.299999999999997</v>
      </c>
    </row>
    <row r="1940" spans="12:12" x14ac:dyDescent="0.25">
      <c r="L1940">
        <v>36.299999999999997</v>
      </c>
    </row>
    <row r="1941" spans="12:12" x14ac:dyDescent="0.25">
      <c r="L1941">
        <v>36.299999999999997</v>
      </c>
    </row>
    <row r="1942" spans="12:12" x14ac:dyDescent="0.25">
      <c r="L1942">
        <v>36.299999999999997</v>
      </c>
    </row>
    <row r="1943" spans="12:12" x14ac:dyDescent="0.25">
      <c r="L1943">
        <v>36.299999999999997</v>
      </c>
    </row>
    <row r="1944" spans="12:12" x14ac:dyDescent="0.25">
      <c r="L1944">
        <v>36.299999999999997</v>
      </c>
    </row>
    <row r="1945" spans="12:12" x14ac:dyDescent="0.25">
      <c r="L1945">
        <v>36.299999999999997</v>
      </c>
    </row>
    <row r="1946" spans="12:12" x14ac:dyDescent="0.25">
      <c r="L1946">
        <v>89</v>
      </c>
    </row>
    <row r="1947" spans="12:12" x14ac:dyDescent="0.25">
      <c r="L1947">
        <v>89</v>
      </c>
    </row>
    <row r="1948" spans="12:12" x14ac:dyDescent="0.25">
      <c r="L1948">
        <v>89</v>
      </c>
    </row>
    <row r="1949" spans="12:12" x14ac:dyDescent="0.25">
      <c r="L1949">
        <v>89</v>
      </c>
    </row>
    <row r="1950" spans="12:12" x14ac:dyDescent="0.25">
      <c r="L1950">
        <v>89</v>
      </c>
    </row>
    <row r="1951" spans="12:12" x14ac:dyDescent="0.25">
      <c r="L1951">
        <v>89</v>
      </c>
    </row>
    <row r="1952" spans="12:12" x14ac:dyDescent="0.25">
      <c r="L1952">
        <v>89</v>
      </c>
    </row>
    <row r="1953" spans="12:12" x14ac:dyDescent="0.25">
      <c r="L1953">
        <v>89</v>
      </c>
    </row>
    <row r="1954" spans="12:12" x14ac:dyDescent="0.25">
      <c r="L1954">
        <v>89</v>
      </c>
    </row>
    <row r="1955" spans="12:12" x14ac:dyDescent="0.25">
      <c r="L1955">
        <v>89</v>
      </c>
    </row>
    <row r="1956" spans="12:12" x14ac:dyDescent="0.25">
      <c r="L1956">
        <v>89</v>
      </c>
    </row>
    <row r="1957" spans="12:12" x14ac:dyDescent="0.25">
      <c r="L1957">
        <v>89</v>
      </c>
    </row>
    <row r="1958" spans="12:12" x14ac:dyDescent="0.25">
      <c r="L1958">
        <v>36.299999999999997</v>
      </c>
    </row>
    <row r="1959" spans="12:12" x14ac:dyDescent="0.25">
      <c r="L1959">
        <v>36.299999999999997</v>
      </c>
    </row>
    <row r="1960" spans="12:12" x14ac:dyDescent="0.25">
      <c r="L1960">
        <v>36.299999999999997</v>
      </c>
    </row>
    <row r="1961" spans="12:12" x14ac:dyDescent="0.25">
      <c r="L1961">
        <v>36.299999999999997</v>
      </c>
    </row>
    <row r="1962" spans="12:12" x14ac:dyDescent="0.25">
      <c r="L1962">
        <v>36.299999999999997</v>
      </c>
    </row>
    <row r="1963" spans="12:12" x14ac:dyDescent="0.25">
      <c r="L1963">
        <v>89</v>
      </c>
    </row>
    <row r="1964" spans="12:12" x14ac:dyDescent="0.25">
      <c r="L1964">
        <v>89</v>
      </c>
    </row>
    <row r="1965" spans="12:12" x14ac:dyDescent="0.25">
      <c r="L1965">
        <v>89</v>
      </c>
    </row>
    <row r="1966" spans="12:12" x14ac:dyDescent="0.25">
      <c r="L1966">
        <v>89</v>
      </c>
    </row>
    <row r="1967" spans="12:12" x14ac:dyDescent="0.25">
      <c r="L1967">
        <v>89</v>
      </c>
    </row>
    <row r="1968" spans="12:12" x14ac:dyDescent="0.25">
      <c r="L1968">
        <v>89</v>
      </c>
    </row>
    <row r="1969" spans="12:12" x14ac:dyDescent="0.25">
      <c r="L1969">
        <v>89</v>
      </c>
    </row>
    <row r="1970" spans="12:12" x14ac:dyDescent="0.25">
      <c r="L1970">
        <v>89</v>
      </c>
    </row>
    <row r="1971" spans="12:12" x14ac:dyDescent="0.25">
      <c r="L1971">
        <v>89</v>
      </c>
    </row>
    <row r="1972" spans="12:12" x14ac:dyDescent="0.25">
      <c r="L1972">
        <v>89</v>
      </c>
    </row>
    <row r="1973" spans="12:12" x14ac:dyDescent="0.25">
      <c r="L1973">
        <v>89</v>
      </c>
    </row>
    <row r="1974" spans="12:12" x14ac:dyDescent="0.25">
      <c r="L1974">
        <v>89</v>
      </c>
    </row>
    <row r="1975" spans="12:12" x14ac:dyDescent="0.25">
      <c r="L1975">
        <v>89</v>
      </c>
    </row>
    <row r="1976" spans="12:12" x14ac:dyDescent="0.25">
      <c r="L1976">
        <v>89</v>
      </c>
    </row>
    <row r="1977" spans="12:12" x14ac:dyDescent="0.25">
      <c r="L1977">
        <v>36.299999999999997</v>
      </c>
    </row>
    <row r="1978" spans="12:12" x14ac:dyDescent="0.25">
      <c r="L1978">
        <v>36.299999999999997</v>
      </c>
    </row>
    <row r="1979" spans="12:12" x14ac:dyDescent="0.25">
      <c r="L1979">
        <v>89</v>
      </c>
    </row>
    <row r="1980" spans="12:12" x14ac:dyDescent="0.25">
      <c r="L1980">
        <v>89</v>
      </c>
    </row>
    <row r="1981" spans="12:12" x14ac:dyDescent="0.25">
      <c r="L1981">
        <v>89</v>
      </c>
    </row>
    <row r="1982" spans="12:12" x14ac:dyDescent="0.25">
      <c r="L1982">
        <v>89</v>
      </c>
    </row>
    <row r="1983" spans="12:12" x14ac:dyDescent="0.25">
      <c r="L1983">
        <v>89</v>
      </c>
    </row>
    <row r="1984" spans="12:12" x14ac:dyDescent="0.25">
      <c r="L1984">
        <v>89</v>
      </c>
    </row>
    <row r="1985" spans="12:12" x14ac:dyDescent="0.25">
      <c r="L1985">
        <v>89</v>
      </c>
    </row>
    <row r="1986" spans="12:12" x14ac:dyDescent="0.25">
      <c r="L1986">
        <v>89</v>
      </c>
    </row>
    <row r="1987" spans="12:12" x14ac:dyDescent="0.25">
      <c r="L1987">
        <v>89</v>
      </c>
    </row>
    <row r="1988" spans="12:12" x14ac:dyDescent="0.25">
      <c r="L1988">
        <v>89</v>
      </c>
    </row>
    <row r="1989" spans="12:12" x14ac:dyDescent="0.25">
      <c r="L1989">
        <v>89</v>
      </c>
    </row>
    <row r="1990" spans="12:12" x14ac:dyDescent="0.25">
      <c r="L1990">
        <v>89</v>
      </c>
    </row>
    <row r="1991" spans="12:12" x14ac:dyDescent="0.25">
      <c r="L1991">
        <v>89</v>
      </c>
    </row>
    <row r="1992" spans="12:12" x14ac:dyDescent="0.25">
      <c r="L1992">
        <v>89</v>
      </c>
    </row>
    <row r="1993" spans="12:12" x14ac:dyDescent="0.25">
      <c r="L1993">
        <v>89</v>
      </c>
    </row>
    <row r="1994" spans="12:12" x14ac:dyDescent="0.25">
      <c r="L1994">
        <v>36.299999999999997</v>
      </c>
    </row>
    <row r="1995" spans="12:12" x14ac:dyDescent="0.25">
      <c r="L1995">
        <v>89</v>
      </c>
    </row>
    <row r="1996" spans="12:12" x14ac:dyDescent="0.25">
      <c r="L1996">
        <v>89</v>
      </c>
    </row>
    <row r="1997" spans="12:12" x14ac:dyDescent="0.25">
      <c r="L1997">
        <v>89</v>
      </c>
    </row>
    <row r="1998" spans="12:12" x14ac:dyDescent="0.25">
      <c r="L1998">
        <v>89</v>
      </c>
    </row>
    <row r="1999" spans="12:12" x14ac:dyDescent="0.25">
      <c r="L1999">
        <v>89</v>
      </c>
    </row>
    <row r="2000" spans="12:12" x14ac:dyDescent="0.25">
      <c r="L2000">
        <v>89</v>
      </c>
    </row>
    <row r="2001" spans="12:12" x14ac:dyDescent="0.25">
      <c r="L2001">
        <v>89</v>
      </c>
    </row>
    <row r="2002" spans="12:12" x14ac:dyDescent="0.25">
      <c r="L2002">
        <v>89</v>
      </c>
    </row>
    <row r="2003" spans="12:12" x14ac:dyDescent="0.25">
      <c r="L2003">
        <v>89</v>
      </c>
    </row>
    <row r="2004" spans="12:12" x14ac:dyDescent="0.25">
      <c r="L2004">
        <v>89</v>
      </c>
    </row>
    <row r="2005" spans="12:12" x14ac:dyDescent="0.25">
      <c r="L2005">
        <v>89</v>
      </c>
    </row>
    <row r="2006" spans="12:12" x14ac:dyDescent="0.25">
      <c r="L2006">
        <v>89</v>
      </c>
    </row>
    <row r="2007" spans="12:12" x14ac:dyDescent="0.25">
      <c r="L2007">
        <v>36.299999999999997</v>
      </c>
    </row>
    <row r="2008" spans="12:12" x14ac:dyDescent="0.25">
      <c r="L2008">
        <v>36.299999999999997</v>
      </c>
    </row>
    <row r="2009" spans="12:12" x14ac:dyDescent="0.25">
      <c r="L2009">
        <v>36.299999999999997</v>
      </c>
    </row>
    <row r="2010" spans="12:12" x14ac:dyDescent="0.25">
      <c r="L2010">
        <v>36.299999999999997</v>
      </c>
    </row>
    <row r="2011" spans="12:12" x14ac:dyDescent="0.25">
      <c r="L2011">
        <v>89</v>
      </c>
    </row>
    <row r="2012" spans="12:12" x14ac:dyDescent="0.25">
      <c r="L2012">
        <v>89</v>
      </c>
    </row>
    <row r="2013" spans="12:12" x14ac:dyDescent="0.25">
      <c r="L2013">
        <v>89</v>
      </c>
    </row>
    <row r="2014" spans="12:12" x14ac:dyDescent="0.25">
      <c r="L2014">
        <v>89</v>
      </c>
    </row>
    <row r="2015" spans="12:12" x14ac:dyDescent="0.25">
      <c r="L2015">
        <v>89</v>
      </c>
    </row>
    <row r="2016" spans="12:12" x14ac:dyDescent="0.25">
      <c r="L2016">
        <v>89</v>
      </c>
    </row>
    <row r="2017" spans="12:12" x14ac:dyDescent="0.25">
      <c r="L2017">
        <v>89</v>
      </c>
    </row>
    <row r="2018" spans="12:12" x14ac:dyDescent="0.25">
      <c r="L2018">
        <v>89</v>
      </c>
    </row>
    <row r="2019" spans="12:12" x14ac:dyDescent="0.25">
      <c r="L2019">
        <v>89</v>
      </c>
    </row>
    <row r="2020" spans="12:12" x14ac:dyDescent="0.25">
      <c r="L2020">
        <v>89</v>
      </c>
    </row>
    <row r="2021" spans="12:12" x14ac:dyDescent="0.25">
      <c r="L2021">
        <v>89</v>
      </c>
    </row>
    <row r="2022" spans="12:12" x14ac:dyDescent="0.25">
      <c r="L2022">
        <v>89</v>
      </c>
    </row>
    <row r="2023" spans="12:12" x14ac:dyDescent="0.25">
      <c r="L2023">
        <v>36.299999999999997</v>
      </c>
    </row>
    <row r="2024" spans="12:12" x14ac:dyDescent="0.25">
      <c r="L2024">
        <v>36.299999999999997</v>
      </c>
    </row>
    <row r="2025" spans="12:12" x14ac:dyDescent="0.25">
      <c r="L2025">
        <v>36.299999999999997</v>
      </c>
    </row>
    <row r="2026" spans="12:12" x14ac:dyDescent="0.25">
      <c r="L2026">
        <v>36.299999999999997</v>
      </c>
    </row>
    <row r="2027" spans="12:12" x14ac:dyDescent="0.25">
      <c r="L2027">
        <v>89</v>
      </c>
    </row>
    <row r="2028" spans="12:12" x14ac:dyDescent="0.25">
      <c r="L2028">
        <v>89</v>
      </c>
    </row>
    <row r="2029" spans="12:12" x14ac:dyDescent="0.25">
      <c r="L2029">
        <v>89</v>
      </c>
    </row>
    <row r="2030" spans="12:12" x14ac:dyDescent="0.25">
      <c r="L2030">
        <v>89</v>
      </c>
    </row>
    <row r="2031" spans="12:12" x14ac:dyDescent="0.25">
      <c r="L2031">
        <v>89</v>
      </c>
    </row>
    <row r="2032" spans="12:12" x14ac:dyDescent="0.25">
      <c r="L2032">
        <v>89</v>
      </c>
    </row>
    <row r="2033" spans="12:12" x14ac:dyDescent="0.25">
      <c r="L2033">
        <v>89</v>
      </c>
    </row>
    <row r="2034" spans="12:12" x14ac:dyDescent="0.25">
      <c r="L2034">
        <v>89</v>
      </c>
    </row>
    <row r="2035" spans="12:12" x14ac:dyDescent="0.25">
      <c r="L2035">
        <v>89</v>
      </c>
    </row>
    <row r="2036" spans="12:12" x14ac:dyDescent="0.25">
      <c r="L2036">
        <v>89</v>
      </c>
    </row>
    <row r="2037" spans="12:12" x14ac:dyDescent="0.25">
      <c r="L2037">
        <v>89</v>
      </c>
    </row>
    <row r="2038" spans="12:12" x14ac:dyDescent="0.25">
      <c r="L2038">
        <v>89</v>
      </c>
    </row>
    <row r="2039" spans="12:12" x14ac:dyDescent="0.25">
      <c r="L2039">
        <v>89</v>
      </c>
    </row>
    <row r="2040" spans="12:12" x14ac:dyDescent="0.25">
      <c r="L2040">
        <v>89</v>
      </c>
    </row>
    <row r="2041" spans="12:12" x14ac:dyDescent="0.25">
      <c r="L2041">
        <v>89</v>
      </c>
    </row>
    <row r="2042" spans="12:12" x14ac:dyDescent="0.25">
      <c r="L2042">
        <v>36.299999999999997</v>
      </c>
    </row>
    <row r="2043" spans="12:12" x14ac:dyDescent="0.25">
      <c r="L2043">
        <v>89</v>
      </c>
    </row>
    <row r="2044" spans="12:12" x14ac:dyDescent="0.25">
      <c r="L2044">
        <v>89</v>
      </c>
    </row>
    <row r="2045" spans="12:12" x14ac:dyDescent="0.25">
      <c r="L2045">
        <v>89</v>
      </c>
    </row>
    <row r="2046" spans="12:12" x14ac:dyDescent="0.25">
      <c r="L2046">
        <v>89</v>
      </c>
    </row>
    <row r="2047" spans="12:12" x14ac:dyDescent="0.25">
      <c r="L2047">
        <v>89</v>
      </c>
    </row>
    <row r="2048" spans="12:12" x14ac:dyDescent="0.25">
      <c r="L2048">
        <v>89</v>
      </c>
    </row>
    <row r="2049" spans="12:12" x14ac:dyDescent="0.25">
      <c r="L2049">
        <v>89</v>
      </c>
    </row>
    <row r="2050" spans="12:12" x14ac:dyDescent="0.25">
      <c r="L2050">
        <v>89</v>
      </c>
    </row>
    <row r="2051" spans="12:12" x14ac:dyDescent="0.25">
      <c r="L2051">
        <v>89</v>
      </c>
    </row>
    <row r="2052" spans="12:12" x14ac:dyDescent="0.25">
      <c r="L2052">
        <v>89</v>
      </c>
    </row>
    <row r="2053" spans="12:12" x14ac:dyDescent="0.25">
      <c r="L2053">
        <v>89</v>
      </c>
    </row>
    <row r="2054" spans="12:12" x14ac:dyDescent="0.25">
      <c r="L2054">
        <v>89</v>
      </c>
    </row>
    <row r="2055" spans="12:12" x14ac:dyDescent="0.25">
      <c r="L2055">
        <v>89</v>
      </c>
    </row>
    <row r="2056" spans="12:12" x14ac:dyDescent="0.25">
      <c r="L2056">
        <v>89</v>
      </c>
    </row>
    <row r="2057" spans="12:12" x14ac:dyDescent="0.25">
      <c r="L2057">
        <v>89</v>
      </c>
    </row>
    <row r="2058" spans="12:12" x14ac:dyDescent="0.25">
      <c r="L2058">
        <v>36.299999999999997</v>
      </c>
    </row>
    <row r="2059" spans="12:12" x14ac:dyDescent="0.25">
      <c r="L2059">
        <v>89</v>
      </c>
    </row>
    <row r="2060" spans="12:12" x14ac:dyDescent="0.25">
      <c r="L2060">
        <v>89</v>
      </c>
    </row>
    <row r="2061" spans="12:12" x14ac:dyDescent="0.25">
      <c r="L2061">
        <v>89</v>
      </c>
    </row>
    <row r="2062" spans="12:12" x14ac:dyDescent="0.25">
      <c r="L2062">
        <v>89</v>
      </c>
    </row>
    <row r="2063" spans="12:12" x14ac:dyDescent="0.25">
      <c r="L2063">
        <v>89</v>
      </c>
    </row>
    <row r="2064" spans="12:12" x14ac:dyDescent="0.25">
      <c r="L2064">
        <v>89</v>
      </c>
    </row>
    <row r="2065" spans="12:12" x14ac:dyDescent="0.25">
      <c r="L2065">
        <v>89</v>
      </c>
    </row>
    <row r="2066" spans="12:12" x14ac:dyDescent="0.25">
      <c r="L2066">
        <v>89</v>
      </c>
    </row>
    <row r="2067" spans="12:12" x14ac:dyDescent="0.25">
      <c r="L2067">
        <v>89</v>
      </c>
    </row>
    <row r="2068" spans="12:12" x14ac:dyDescent="0.25">
      <c r="L2068">
        <v>89</v>
      </c>
    </row>
    <row r="2069" spans="12:12" x14ac:dyDescent="0.25">
      <c r="L2069">
        <v>89</v>
      </c>
    </row>
    <row r="2070" spans="12:12" x14ac:dyDescent="0.25">
      <c r="L2070">
        <v>89</v>
      </c>
    </row>
    <row r="2071" spans="12:12" x14ac:dyDescent="0.25">
      <c r="L2071">
        <v>89</v>
      </c>
    </row>
    <row r="2072" spans="12:12" x14ac:dyDescent="0.25">
      <c r="L2072">
        <v>89</v>
      </c>
    </row>
    <row r="2073" spans="12:12" x14ac:dyDescent="0.25">
      <c r="L2073">
        <v>89</v>
      </c>
    </row>
    <row r="2074" spans="12:12" x14ac:dyDescent="0.25">
      <c r="L2074">
        <v>36.299999999999997</v>
      </c>
    </row>
    <row r="2075" spans="12:12" x14ac:dyDescent="0.25">
      <c r="L2075">
        <v>36.299999999999997</v>
      </c>
    </row>
    <row r="2076" spans="12:12" x14ac:dyDescent="0.25">
      <c r="L2076">
        <v>36.299999999999997</v>
      </c>
    </row>
    <row r="2077" spans="12:12" x14ac:dyDescent="0.25">
      <c r="L2077">
        <v>36.299999999999997</v>
      </c>
    </row>
    <row r="2078" spans="12:12" x14ac:dyDescent="0.25">
      <c r="L2078">
        <v>36.299999999999997</v>
      </c>
    </row>
    <row r="2079" spans="12:12" x14ac:dyDescent="0.25">
      <c r="L2079">
        <v>36.299999999999997</v>
      </c>
    </row>
    <row r="2080" spans="12:12" x14ac:dyDescent="0.25">
      <c r="L2080">
        <v>36.299999999999997</v>
      </c>
    </row>
    <row r="2081" spans="12:12" x14ac:dyDescent="0.25">
      <c r="L2081">
        <v>36.299999999999997</v>
      </c>
    </row>
    <row r="2082" spans="12:12" x14ac:dyDescent="0.25">
      <c r="L2082">
        <v>36.299999999999997</v>
      </c>
    </row>
    <row r="2083" spans="12:12" x14ac:dyDescent="0.25">
      <c r="L2083">
        <v>36.299999999999997</v>
      </c>
    </row>
    <row r="2084" spans="12:12" x14ac:dyDescent="0.25">
      <c r="L2084">
        <v>36.299999999999997</v>
      </c>
    </row>
    <row r="2085" spans="12:12" x14ac:dyDescent="0.25">
      <c r="L2085">
        <v>36.299999999999997</v>
      </c>
    </row>
    <row r="2086" spans="12:12" x14ac:dyDescent="0.25">
      <c r="L2086">
        <v>36.299999999999997</v>
      </c>
    </row>
    <row r="2087" spans="12:12" x14ac:dyDescent="0.25">
      <c r="L2087">
        <v>36.299999999999997</v>
      </c>
    </row>
    <row r="2088" spans="12:12" x14ac:dyDescent="0.25">
      <c r="L2088">
        <v>36.299999999999997</v>
      </c>
    </row>
    <row r="2089" spans="12:12" x14ac:dyDescent="0.25">
      <c r="L2089">
        <v>36.299999999999997</v>
      </c>
    </row>
    <row r="2090" spans="12:12" x14ac:dyDescent="0.25">
      <c r="L2090">
        <v>36.299999999999997</v>
      </c>
    </row>
    <row r="2091" spans="12:12" x14ac:dyDescent="0.25">
      <c r="L2091">
        <v>36.299999999999997</v>
      </c>
    </row>
    <row r="2092" spans="12:12" x14ac:dyDescent="0.25">
      <c r="L2092">
        <v>36.299999999999997</v>
      </c>
    </row>
    <row r="2093" spans="12:12" x14ac:dyDescent="0.25">
      <c r="L2093">
        <v>36.299999999999997</v>
      </c>
    </row>
    <row r="2094" spans="12:12" x14ac:dyDescent="0.25">
      <c r="L2094">
        <v>36.299999999999997</v>
      </c>
    </row>
    <row r="2095" spans="12:12" x14ac:dyDescent="0.25">
      <c r="L2095">
        <v>36.299999999999997</v>
      </c>
    </row>
    <row r="2096" spans="12:12" x14ac:dyDescent="0.25">
      <c r="L2096">
        <v>36.299999999999997</v>
      </c>
    </row>
    <row r="2097" spans="12:12" x14ac:dyDescent="0.25">
      <c r="L2097">
        <v>36.299999999999997</v>
      </c>
    </row>
    <row r="2098" spans="12:12" x14ac:dyDescent="0.25">
      <c r="L2098">
        <v>36.299999999999997</v>
      </c>
    </row>
    <row r="2099" spans="12:12" x14ac:dyDescent="0.25">
      <c r="L2099">
        <v>36.299999999999997</v>
      </c>
    </row>
    <row r="2100" spans="12:12" x14ac:dyDescent="0.25">
      <c r="L2100">
        <v>36.299999999999997</v>
      </c>
    </row>
    <row r="2101" spans="12:12" x14ac:dyDescent="0.25">
      <c r="L2101">
        <v>36.299999999999997</v>
      </c>
    </row>
    <row r="2102" spans="12:12" x14ac:dyDescent="0.25">
      <c r="L2102">
        <v>36.299999999999997</v>
      </c>
    </row>
    <row r="2103" spans="12:12" x14ac:dyDescent="0.25">
      <c r="L2103">
        <v>36.299999999999997</v>
      </c>
    </row>
    <row r="2104" spans="12:12" x14ac:dyDescent="0.25">
      <c r="L2104">
        <v>36.299999999999997</v>
      </c>
    </row>
    <row r="2105" spans="12:12" x14ac:dyDescent="0.25">
      <c r="L2105">
        <v>36.299999999999997</v>
      </c>
    </row>
    <row r="2106" spans="12:12" x14ac:dyDescent="0.25">
      <c r="L2106">
        <v>36.299999999999997</v>
      </c>
    </row>
    <row r="2107" spans="12:12" x14ac:dyDescent="0.25">
      <c r="L2107">
        <v>36.299999999999997</v>
      </c>
    </row>
    <row r="2108" spans="12:12" x14ac:dyDescent="0.25">
      <c r="L2108">
        <v>36.299999999999997</v>
      </c>
    </row>
    <row r="2109" spans="12:12" x14ac:dyDescent="0.25">
      <c r="L2109">
        <v>36.299999999999997</v>
      </c>
    </row>
    <row r="2110" spans="12:12" x14ac:dyDescent="0.25">
      <c r="L2110">
        <v>36.299999999999997</v>
      </c>
    </row>
    <row r="2111" spans="12:12" x14ac:dyDescent="0.25">
      <c r="L2111">
        <v>36.299999999999997</v>
      </c>
    </row>
    <row r="2112" spans="12:12" x14ac:dyDescent="0.25">
      <c r="L2112">
        <v>36.299999999999997</v>
      </c>
    </row>
    <row r="2113" spans="12:12" x14ac:dyDescent="0.25">
      <c r="L2113">
        <v>36.299999999999997</v>
      </c>
    </row>
    <row r="2114" spans="12:12" x14ac:dyDescent="0.25">
      <c r="L2114">
        <v>36.299999999999997</v>
      </c>
    </row>
    <row r="2115" spans="12:12" x14ac:dyDescent="0.25">
      <c r="L2115">
        <v>36.299999999999997</v>
      </c>
    </row>
    <row r="2116" spans="12:12" x14ac:dyDescent="0.25">
      <c r="L2116">
        <v>36.299999999999997</v>
      </c>
    </row>
    <row r="2117" spans="12:12" x14ac:dyDescent="0.25">
      <c r="L2117">
        <v>36.299999999999997</v>
      </c>
    </row>
    <row r="2118" spans="12:12" x14ac:dyDescent="0.25">
      <c r="L2118">
        <v>36.299999999999997</v>
      </c>
    </row>
    <row r="2119" spans="12:12" x14ac:dyDescent="0.25">
      <c r="L2119">
        <v>36.299999999999997</v>
      </c>
    </row>
    <row r="2120" spans="12:12" x14ac:dyDescent="0.25">
      <c r="L2120">
        <v>36.299999999999997</v>
      </c>
    </row>
    <row r="2121" spans="12:12" x14ac:dyDescent="0.25">
      <c r="L2121">
        <v>36.299999999999997</v>
      </c>
    </row>
    <row r="2122" spans="12:12" x14ac:dyDescent="0.25">
      <c r="L2122">
        <v>36.299999999999997</v>
      </c>
    </row>
    <row r="2123" spans="12:12" x14ac:dyDescent="0.25">
      <c r="L2123">
        <v>89</v>
      </c>
    </row>
    <row r="2124" spans="12:12" x14ac:dyDescent="0.25">
      <c r="L2124">
        <v>89</v>
      </c>
    </row>
    <row r="2125" spans="12:12" x14ac:dyDescent="0.25">
      <c r="L2125">
        <v>89</v>
      </c>
    </row>
    <row r="2126" spans="12:12" x14ac:dyDescent="0.25">
      <c r="L2126">
        <v>89</v>
      </c>
    </row>
    <row r="2127" spans="12:12" x14ac:dyDescent="0.25">
      <c r="L2127">
        <v>89</v>
      </c>
    </row>
    <row r="2128" spans="12:12" x14ac:dyDescent="0.25">
      <c r="L2128">
        <v>89</v>
      </c>
    </row>
    <row r="2129" spans="12:12" x14ac:dyDescent="0.25">
      <c r="L2129">
        <v>89</v>
      </c>
    </row>
    <row r="2130" spans="12:12" x14ac:dyDescent="0.25">
      <c r="L2130">
        <v>89</v>
      </c>
    </row>
    <row r="2131" spans="12:12" x14ac:dyDescent="0.25">
      <c r="L2131">
        <v>89</v>
      </c>
    </row>
    <row r="2132" spans="12:12" x14ac:dyDescent="0.25">
      <c r="L2132">
        <v>89</v>
      </c>
    </row>
    <row r="2133" spans="12:12" x14ac:dyDescent="0.25">
      <c r="L2133">
        <v>89</v>
      </c>
    </row>
    <row r="2134" spans="12:12" x14ac:dyDescent="0.25">
      <c r="L2134">
        <v>89</v>
      </c>
    </row>
    <row r="2135" spans="12:12" x14ac:dyDescent="0.25">
      <c r="L2135">
        <v>89</v>
      </c>
    </row>
    <row r="2136" spans="12:12" x14ac:dyDescent="0.25">
      <c r="L2136">
        <v>89</v>
      </c>
    </row>
    <row r="2137" spans="12:12" x14ac:dyDescent="0.25">
      <c r="L2137">
        <v>89</v>
      </c>
    </row>
    <row r="2138" spans="12:12" x14ac:dyDescent="0.25">
      <c r="L2138">
        <v>36.299999999999997</v>
      </c>
    </row>
    <row r="2139" spans="12:12" x14ac:dyDescent="0.25">
      <c r="L2139">
        <v>89</v>
      </c>
    </row>
    <row r="2140" spans="12:12" x14ac:dyDescent="0.25">
      <c r="L2140">
        <v>89</v>
      </c>
    </row>
    <row r="2141" spans="12:12" x14ac:dyDescent="0.25">
      <c r="L2141">
        <v>89</v>
      </c>
    </row>
    <row r="2142" spans="12:12" x14ac:dyDescent="0.25">
      <c r="L2142">
        <v>89</v>
      </c>
    </row>
    <row r="2143" spans="12:12" x14ac:dyDescent="0.25">
      <c r="L2143">
        <v>89</v>
      </c>
    </row>
    <row r="2144" spans="12:12" x14ac:dyDescent="0.25">
      <c r="L2144">
        <v>89</v>
      </c>
    </row>
    <row r="2145" spans="12:12" x14ac:dyDescent="0.25">
      <c r="L2145">
        <v>89</v>
      </c>
    </row>
    <row r="2146" spans="12:12" x14ac:dyDescent="0.25">
      <c r="L2146">
        <v>89</v>
      </c>
    </row>
    <row r="2147" spans="12:12" x14ac:dyDescent="0.25">
      <c r="L2147">
        <v>89</v>
      </c>
    </row>
    <row r="2148" spans="12:12" x14ac:dyDescent="0.25">
      <c r="L2148">
        <v>89</v>
      </c>
    </row>
    <row r="2149" spans="12:12" x14ac:dyDescent="0.25">
      <c r="L2149">
        <v>89</v>
      </c>
    </row>
    <row r="2150" spans="12:12" x14ac:dyDescent="0.25">
      <c r="L2150">
        <v>89</v>
      </c>
    </row>
    <row r="2151" spans="12:12" x14ac:dyDescent="0.25">
      <c r="L2151">
        <v>89</v>
      </c>
    </row>
    <row r="2152" spans="12:12" x14ac:dyDescent="0.25">
      <c r="L2152">
        <v>89</v>
      </c>
    </row>
    <row r="2153" spans="12:12" x14ac:dyDescent="0.25">
      <c r="L2153">
        <v>36.299999999999997</v>
      </c>
    </row>
    <row r="2154" spans="12:12" x14ac:dyDescent="0.25">
      <c r="L2154">
        <v>36.299999999999997</v>
      </c>
    </row>
    <row r="2155" spans="12:12" x14ac:dyDescent="0.25">
      <c r="L2155">
        <v>89</v>
      </c>
    </row>
    <row r="2156" spans="12:12" x14ac:dyDescent="0.25">
      <c r="L2156">
        <v>89</v>
      </c>
    </row>
    <row r="2157" spans="12:12" x14ac:dyDescent="0.25">
      <c r="L2157">
        <v>89</v>
      </c>
    </row>
    <row r="2158" spans="12:12" x14ac:dyDescent="0.25">
      <c r="L2158">
        <v>89</v>
      </c>
    </row>
    <row r="2159" spans="12:12" x14ac:dyDescent="0.25">
      <c r="L2159">
        <v>89</v>
      </c>
    </row>
    <row r="2160" spans="12:12" x14ac:dyDescent="0.25">
      <c r="L2160">
        <v>89</v>
      </c>
    </row>
    <row r="2161" spans="12:12" x14ac:dyDescent="0.25">
      <c r="L2161">
        <v>89</v>
      </c>
    </row>
    <row r="2162" spans="12:12" x14ac:dyDescent="0.25">
      <c r="L2162">
        <v>89</v>
      </c>
    </row>
    <row r="2163" spans="12:12" x14ac:dyDescent="0.25">
      <c r="L2163">
        <v>89</v>
      </c>
    </row>
    <row r="2164" spans="12:12" x14ac:dyDescent="0.25">
      <c r="L2164">
        <v>89</v>
      </c>
    </row>
    <row r="2165" spans="12:12" x14ac:dyDescent="0.25">
      <c r="L2165">
        <v>89</v>
      </c>
    </row>
    <row r="2166" spans="12:12" x14ac:dyDescent="0.25">
      <c r="L2166">
        <v>89</v>
      </c>
    </row>
    <row r="2167" spans="12:12" x14ac:dyDescent="0.25">
      <c r="L2167">
        <v>89</v>
      </c>
    </row>
    <row r="2168" spans="12:12" x14ac:dyDescent="0.25">
      <c r="L2168">
        <v>36.299999999999997</v>
      </c>
    </row>
    <row r="2169" spans="12:12" x14ac:dyDescent="0.25">
      <c r="L2169">
        <v>36.299999999999997</v>
      </c>
    </row>
    <row r="2170" spans="12:12" x14ac:dyDescent="0.25">
      <c r="L2170">
        <v>36.299999999999997</v>
      </c>
    </row>
    <row r="2171" spans="12:12" x14ac:dyDescent="0.25">
      <c r="L2171">
        <v>36.299999999999997</v>
      </c>
    </row>
    <row r="2172" spans="12:12" x14ac:dyDescent="0.25">
      <c r="L2172">
        <v>36.299999999999997</v>
      </c>
    </row>
    <row r="2173" spans="12:12" x14ac:dyDescent="0.25">
      <c r="L2173">
        <v>36.299999999999997</v>
      </c>
    </row>
    <row r="2174" spans="12:12" x14ac:dyDescent="0.25">
      <c r="L2174">
        <v>36.299999999999997</v>
      </c>
    </row>
    <row r="2175" spans="12:12" x14ac:dyDescent="0.25">
      <c r="L2175">
        <v>36.299999999999997</v>
      </c>
    </row>
    <row r="2176" spans="12:12" x14ac:dyDescent="0.25">
      <c r="L2176">
        <v>36.299999999999997</v>
      </c>
    </row>
    <row r="2177" spans="12:12" x14ac:dyDescent="0.25">
      <c r="L2177">
        <v>36.299999999999997</v>
      </c>
    </row>
    <row r="2178" spans="12:12" x14ac:dyDescent="0.25">
      <c r="L2178">
        <v>36.299999999999997</v>
      </c>
    </row>
    <row r="2179" spans="12:12" x14ac:dyDescent="0.25">
      <c r="L2179">
        <v>36.299999999999997</v>
      </c>
    </row>
    <row r="2180" spans="12:12" x14ac:dyDescent="0.25">
      <c r="L2180">
        <v>36.299999999999997</v>
      </c>
    </row>
    <row r="2181" spans="12:12" x14ac:dyDescent="0.25">
      <c r="L2181">
        <v>36.299999999999997</v>
      </c>
    </row>
    <row r="2182" spans="12:12" x14ac:dyDescent="0.25">
      <c r="L2182">
        <v>36.299999999999997</v>
      </c>
    </row>
    <row r="2183" spans="12:12" x14ac:dyDescent="0.25">
      <c r="L2183">
        <v>36.299999999999997</v>
      </c>
    </row>
    <row r="2184" spans="12:12" x14ac:dyDescent="0.25">
      <c r="L2184">
        <v>36.299999999999997</v>
      </c>
    </row>
    <row r="2185" spans="12:12" x14ac:dyDescent="0.25">
      <c r="L2185">
        <v>36.299999999999997</v>
      </c>
    </row>
    <row r="2186" spans="12:12" x14ac:dyDescent="0.25">
      <c r="L2186">
        <v>36.299999999999997</v>
      </c>
    </row>
    <row r="2187" spans="12:12" x14ac:dyDescent="0.25">
      <c r="L2187">
        <v>36.299999999999997</v>
      </c>
    </row>
    <row r="2188" spans="12:12" x14ac:dyDescent="0.25">
      <c r="L2188">
        <v>36.299999999999997</v>
      </c>
    </row>
    <row r="2189" spans="12:12" x14ac:dyDescent="0.25">
      <c r="L2189">
        <v>36.299999999999997</v>
      </c>
    </row>
    <row r="2190" spans="12:12" x14ac:dyDescent="0.25">
      <c r="L2190">
        <v>36.299999999999997</v>
      </c>
    </row>
    <row r="2191" spans="12:12" x14ac:dyDescent="0.25">
      <c r="L2191">
        <v>36.299999999999997</v>
      </c>
    </row>
    <row r="2192" spans="12:12" x14ac:dyDescent="0.25">
      <c r="L2192">
        <v>36.299999999999997</v>
      </c>
    </row>
    <row r="2193" spans="12:12" x14ac:dyDescent="0.25">
      <c r="L2193">
        <v>36.299999999999997</v>
      </c>
    </row>
    <row r="2194" spans="12:12" x14ac:dyDescent="0.25">
      <c r="L2194">
        <v>36.299999999999997</v>
      </c>
    </row>
    <row r="2195" spans="12:12" x14ac:dyDescent="0.25">
      <c r="L2195">
        <v>36.299999999999997</v>
      </c>
    </row>
    <row r="2196" spans="12:12" x14ac:dyDescent="0.25">
      <c r="L2196">
        <v>36.299999999999997</v>
      </c>
    </row>
    <row r="2197" spans="12:12" x14ac:dyDescent="0.25">
      <c r="L2197">
        <v>36.299999999999997</v>
      </c>
    </row>
    <row r="2198" spans="12:12" x14ac:dyDescent="0.25">
      <c r="L2198">
        <v>36.299999999999997</v>
      </c>
    </row>
    <row r="2199" spans="12:12" x14ac:dyDescent="0.25">
      <c r="L2199">
        <v>36.299999999999997</v>
      </c>
    </row>
    <row r="2200" spans="12:12" x14ac:dyDescent="0.25">
      <c r="L2200">
        <v>36.299999999999997</v>
      </c>
    </row>
    <row r="2201" spans="12:12" x14ac:dyDescent="0.25">
      <c r="L2201">
        <v>36.299999999999997</v>
      </c>
    </row>
    <row r="2202" spans="12:12" x14ac:dyDescent="0.25">
      <c r="L2202">
        <v>36.299999999999997</v>
      </c>
    </row>
    <row r="2203" spans="12:12" x14ac:dyDescent="0.25">
      <c r="L2203">
        <v>36.299999999999997</v>
      </c>
    </row>
    <row r="2204" spans="12:12" x14ac:dyDescent="0.25">
      <c r="L2204">
        <v>89</v>
      </c>
    </row>
    <row r="2205" spans="12:12" x14ac:dyDescent="0.25">
      <c r="L2205">
        <v>89</v>
      </c>
    </row>
    <row r="2206" spans="12:12" x14ac:dyDescent="0.25">
      <c r="L2206">
        <v>89</v>
      </c>
    </row>
    <row r="2207" spans="12:12" x14ac:dyDescent="0.25">
      <c r="L2207">
        <v>89</v>
      </c>
    </row>
    <row r="2208" spans="12:12" x14ac:dyDescent="0.25">
      <c r="L2208">
        <v>89</v>
      </c>
    </row>
    <row r="2209" spans="12:12" x14ac:dyDescent="0.25">
      <c r="L2209">
        <v>89</v>
      </c>
    </row>
    <row r="2210" spans="12:12" x14ac:dyDescent="0.25">
      <c r="L2210">
        <v>89</v>
      </c>
    </row>
    <row r="2211" spans="12:12" x14ac:dyDescent="0.25">
      <c r="L2211">
        <v>89</v>
      </c>
    </row>
    <row r="2212" spans="12:12" x14ac:dyDescent="0.25">
      <c r="L2212">
        <v>89</v>
      </c>
    </row>
    <row r="2213" spans="12:12" x14ac:dyDescent="0.25">
      <c r="L2213">
        <v>89</v>
      </c>
    </row>
    <row r="2214" spans="12:12" x14ac:dyDescent="0.25">
      <c r="L2214">
        <v>89</v>
      </c>
    </row>
    <row r="2215" spans="12:12" x14ac:dyDescent="0.25">
      <c r="L2215">
        <v>89</v>
      </c>
    </row>
    <row r="2216" spans="12:12" x14ac:dyDescent="0.25">
      <c r="L2216">
        <v>89</v>
      </c>
    </row>
    <row r="2217" spans="12:12" x14ac:dyDescent="0.25">
      <c r="L2217">
        <v>89</v>
      </c>
    </row>
    <row r="2218" spans="12:12" x14ac:dyDescent="0.25">
      <c r="L2218">
        <v>89</v>
      </c>
    </row>
    <row r="2219" spans="12:12" x14ac:dyDescent="0.25">
      <c r="L2219">
        <v>36.299999999999997</v>
      </c>
    </row>
    <row r="2220" spans="12:12" x14ac:dyDescent="0.25">
      <c r="L2220">
        <v>36.299999999999997</v>
      </c>
    </row>
    <row r="2221" spans="12:12" x14ac:dyDescent="0.25">
      <c r="L2221">
        <v>89</v>
      </c>
    </row>
    <row r="2222" spans="12:12" x14ac:dyDescent="0.25">
      <c r="L2222">
        <v>89</v>
      </c>
    </row>
    <row r="2223" spans="12:12" x14ac:dyDescent="0.25">
      <c r="L2223">
        <v>89</v>
      </c>
    </row>
    <row r="2224" spans="12:12" x14ac:dyDescent="0.25">
      <c r="L2224">
        <v>89</v>
      </c>
    </row>
    <row r="2225" spans="12:12" x14ac:dyDescent="0.25">
      <c r="L2225">
        <v>89</v>
      </c>
    </row>
    <row r="2226" spans="12:12" x14ac:dyDescent="0.25">
      <c r="L2226">
        <v>89</v>
      </c>
    </row>
    <row r="2227" spans="12:12" x14ac:dyDescent="0.25">
      <c r="L2227">
        <v>89</v>
      </c>
    </row>
    <row r="2228" spans="12:12" x14ac:dyDescent="0.25">
      <c r="L2228">
        <v>89</v>
      </c>
    </row>
    <row r="2229" spans="12:12" x14ac:dyDescent="0.25">
      <c r="L2229">
        <v>89</v>
      </c>
    </row>
    <row r="2230" spans="12:12" x14ac:dyDescent="0.25">
      <c r="L2230">
        <v>89</v>
      </c>
    </row>
    <row r="2231" spans="12:12" x14ac:dyDescent="0.25">
      <c r="L2231">
        <v>89</v>
      </c>
    </row>
    <row r="2232" spans="12:12" x14ac:dyDescent="0.25">
      <c r="L2232">
        <v>89</v>
      </c>
    </row>
    <row r="2233" spans="12:12" x14ac:dyDescent="0.25">
      <c r="L2233">
        <v>36.299999999999997</v>
      </c>
    </row>
    <row r="2234" spans="12:12" x14ac:dyDescent="0.25">
      <c r="L2234">
        <v>36.299999999999997</v>
      </c>
    </row>
    <row r="2235" spans="12:12" x14ac:dyDescent="0.25">
      <c r="L2235">
        <v>36.299999999999997</v>
      </c>
    </row>
    <row r="2236" spans="12:12" x14ac:dyDescent="0.25">
      <c r="L2236">
        <v>36.299999999999997</v>
      </c>
    </row>
    <row r="2237" spans="12:12" x14ac:dyDescent="0.25">
      <c r="L2237">
        <v>36.299999999999997</v>
      </c>
    </row>
    <row r="2238" spans="12:12" x14ac:dyDescent="0.25">
      <c r="L2238">
        <v>36.299999999999997</v>
      </c>
    </row>
    <row r="2239" spans="12:12" x14ac:dyDescent="0.25">
      <c r="L2239">
        <v>36.299999999999997</v>
      </c>
    </row>
    <row r="2240" spans="12:12" x14ac:dyDescent="0.25">
      <c r="L2240">
        <v>36.299999999999997</v>
      </c>
    </row>
    <row r="2241" spans="12:12" x14ac:dyDescent="0.25">
      <c r="L2241">
        <v>36.299999999999997</v>
      </c>
    </row>
    <row r="2242" spans="12:12" x14ac:dyDescent="0.25">
      <c r="L2242">
        <v>36.299999999999997</v>
      </c>
    </row>
    <row r="2243" spans="12:12" x14ac:dyDescent="0.25">
      <c r="L2243">
        <v>36.299999999999997</v>
      </c>
    </row>
    <row r="2244" spans="12:12" x14ac:dyDescent="0.25">
      <c r="L2244">
        <v>36.299999999999997</v>
      </c>
    </row>
    <row r="2245" spans="12:12" x14ac:dyDescent="0.25">
      <c r="L2245">
        <v>36.299999999999997</v>
      </c>
    </row>
    <row r="2246" spans="12:12" x14ac:dyDescent="0.25">
      <c r="L2246">
        <v>36.299999999999997</v>
      </c>
    </row>
    <row r="2247" spans="12:12" x14ac:dyDescent="0.25">
      <c r="L2247">
        <v>36.299999999999997</v>
      </c>
    </row>
    <row r="2248" spans="12:12" x14ac:dyDescent="0.25">
      <c r="L2248">
        <v>36.299999999999997</v>
      </c>
    </row>
    <row r="2249" spans="12:12" x14ac:dyDescent="0.25">
      <c r="L2249">
        <v>36.299999999999997</v>
      </c>
    </row>
    <row r="2250" spans="12:12" x14ac:dyDescent="0.25">
      <c r="L2250">
        <v>36.299999999999997</v>
      </c>
    </row>
    <row r="2251" spans="12:12" x14ac:dyDescent="0.25">
      <c r="L2251">
        <v>36.299999999999997</v>
      </c>
    </row>
    <row r="2252" spans="12:12" x14ac:dyDescent="0.25">
      <c r="L2252">
        <v>36.299999999999997</v>
      </c>
    </row>
    <row r="2253" spans="12:12" x14ac:dyDescent="0.25">
      <c r="L2253">
        <v>89</v>
      </c>
    </row>
    <row r="2254" spans="12:12" x14ac:dyDescent="0.25">
      <c r="L2254">
        <v>89</v>
      </c>
    </row>
    <row r="2255" spans="12:12" x14ac:dyDescent="0.25">
      <c r="L2255">
        <v>89</v>
      </c>
    </row>
    <row r="2256" spans="12:12" x14ac:dyDescent="0.25">
      <c r="L2256">
        <v>89</v>
      </c>
    </row>
    <row r="2257" spans="12:12" x14ac:dyDescent="0.25">
      <c r="L2257">
        <v>89</v>
      </c>
    </row>
    <row r="2258" spans="12:12" x14ac:dyDescent="0.25">
      <c r="L2258">
        <v>89</v>
      </c>
    </row>
    <row r="2259" spans="12:12" x14ac:dyDescent="0.25">
      <c r="L2259">
        <v>89</v>
      </c>
    </row>
    <row r="2260" spans="12:12" x14ac:dyDescent="0.25">
      <c r="L2260">
        <v>89</v>
      </c>
    </row>
    <row r="2261" spans="12:12" x14ac:dyDescent="0.25">
      <c r="L2261">
        <v>89</v>
      </c>
    </row>
    <row r="2262" spans="12:12" x14ac:dyDescent="0.25">
      <c r="L2262">
        <v>89</v>
      </c>
    </row>
    <row r="2263" spans="12:12" x14ac:dyDescent="0.25">
      <c r="L2263">
        <v>89</v>
      </c>
    </row>
    <row r="2264" spans="12:12" x14ac:dyDescent="0.25">
      <c r="L2264">
        <v>36.299999999999997</v>
      </c>
    </row>
    <row r="2265" spans="12:12" x14ac:dyDescent="0.25">
      <c r="L2265">
        <v>36.299999999999997</v>
      </c>
    </row>
    <row r="2266" spans="12:12" x14ac:dyDescent="0.25">
      <c r="L2266">
        <v>36.299999999999997</v>
      </c>
    </row>
    <row r="2267" spans="12:12" x14ac:dyDescent="0.25">
      <c r="L2267">
        <v>36.299999999999997</v>
      </c>
    </row>
    <row r="2268" spans="12:12" x14ac:dyDescent="0.25">
      <c r="L2268">
        <v>36.299999999999997</v>
      </c>
    </row>
    <row r="2269" spans="12:12" x14ac:dyDescent="0.25">
      <c r="L2269">
        <v>89</v>
      </c>
    </row>
    <row r="2270" spans="12:12" x14ac:dyDescent="0.25">
      <c r="L2270">
        <v>89</v>
      </c>
    </row>
    <row r="2271" spans="12:12" x14ac:dyDescent="0.25">
      <c r="L2271">
        <v>89</v>
      </c>
    </row>
    <row r="2272" spans="12:12" x14ac:dyDescent="0.25">
      <c r="L2272">
        <v>89</v>
      </c>
    </row>
    <row r="2273" spans="12:12" x14ac:dyDescent="0.25">
      <c r="L2273">
        <v>89</v>
      </c>
    </row>
    <row r="2274" spans="12:12" x14ac:dyDescent="0.25">
      <c r="L2274">
        <v>89</v>
      </c>
    </row>
    <row r="2275" spans="12:12" x14ac:dyDescent="0.25">
      <c r="L2275">
        <v>89</v>
      </c>
    </row>
    <row r="2276" spans="12:12" x14ac:dyDescent="0.25">
      <c r="L2276">
        <v>89</v>
      </c>
    </row>
    <row r="2277" spans="12:12" x14ac:dyDescent="0.25">
      <c r="L2277">
        <v>89</v>
      </c>
    </row>
    <row r="2278" spans="12:12" x14ac:dyDescent="0.25">
      <c r="L2278">
        <v>89</v>
      </c>
    </row>
    <row r="2279" spans="12:12" x14ac:dyDescent="0.25">
      <c r="L2279">
        <v>89</v>
      </c>
    </row>
    <row r="2280" spans="12:12" x14ac:dyDescent="0.25">
      <c r="L2280">
        <v>36.299999999999997</v>
      </c>
    </row>
    <row r="2281" spans="12:12" x14ac:dyDescent="0.25">
      <c r="L2281">
        <v>36.299999999999997</v>
      </c>
    </row>
    <row r="2282" spans="12:12" x14ac:dyDescent="0.25">
      <c r="L2282">
        <v>36.299999999999997</v>
      </c>
    </row>
    <row r="2283" spans="12:12" x14ac:dyDescent="0.25">
      <c r="L2283">
        <v>36.299999999999997</v>
      </c>
    </row>
    <row r="2284" spans="12:12" x14ac:dyDescent="0.25">
      <c r="L2284">
        <v>36.299999999999997</v>
      </c>
    </row>
    <row r="2285" spans="12:12" x14ac:dyDescent="0.25">
      <c r="L2285">
        <v>89</v>
      </c>
    </row>
    <row r="2286" spans="12:12" x14ac:dyDescent="0.25">
      <c r="L2286">
        <v>89</v>
      </c>
    </row>
    <row r="2287" spans="12:12" x14ac:dyDescent="0.25">
      <c r="L2287">
        <v>89</v>
      </c>
    </row>
    <row r="2288" spans="12:12" x14ac:dyDescent="0.25">
      <c r="L2288">
        <v>89</v>
      </c>
    </row>
    <row r="2289" spans="12:12" x14ac:dyDescent="0.25">
      <c r="L2289">
        <v>89</v>
      </c>
    </row>
    <row r="2290" spans="12:12" x14ac:dyDescent="0.25">
      <c r="L2290">
        <v>89</v>
      </c>
    </row>
    <row r="2291" spans="12:12" x14ac:dyDescent="0.25">
      <c r="L2291">
        <v>89</v>
      </c>
    </row>
    <row r="2292" spans="12:12" x14ac:dyDescent="0.25">
      <c r="L2292">
        <v>89</v>
      </c>
    </row>
    <row r="2293" spans="12:12" x14ac:dyDescent="0.25">
      <c r="L2293">
        <v>89</v>
      </c>
    </row>
    <row r="2294" spans="12:12" x14ac:dyDescent="0.25">
      <c r="L2294">
        <v>89</v>
      </c>
    </row>
    <row r="2295" spans="12:12" x14ac:dyDescent="0.25">
      <c r="L2295">
        <v>89</v>
      </c>
    </row>
    <row r="2296" spans="12:12" x14ac:dyDescent="0.25">
      <c r="L2296">
        <v>89</v>
      </c>
    </row>
    <row r="2297" spans="12:12" x14ac:dyDescent="0.25">
      <c r="L2297">
        <v>89</v>
      </c>
    </row>
    <row r="2298" spans="12:12" x14ac:dyDescent="0.25">
      <c r="L2298">
        <v>89</v>
      </c>
    </row>
    <row r="2299" spans="12:12" x14ac:dyDescent="0.25">
      <c r="L2299">
        <v>89</v>
      </c>
    </row>
    <row r="2300" spans="12:12" x14ac:dyDescent="0.25">
      <c r="L2300">
        <v>36.299999999999997</v>
      </c>
    </row>
    <row r="2301" spans="12:12" x14ac:dyDescent="0.25">
      <c r="L2301">
        <v>89</v>
      </c>
    </row>
    <row r="2302" spans="12:12" x14ac:dyDescent="0.25">
      <c r="L2302">
        <v>89</v>
      </c>
    </row>
    <row r="2303" spans="12:12" x14ac:dyDescent="0.25">
      <c r="L2303">
        <v>89</v>
      </c>
    </row>
    <row r="2304" spans="12:12" x14ac:dyDescent="0.25">
      <c r="L2304">
        <v>89</v>
      </c>
    </row>
    <row r="2305" spans="12:12" x14ac:dyDescent="0.25">
      <c r="L2305">
        <v>89</v>
      </c>
    </row>
    <row r="2306" spans="12:12" x14ac:dyDescent="0.25">
      <c r="L2306">
        <v>89</v>
      </c>
    </row>
    <row r="2307" spans="12:12" x14ac:dyDescent="0.25">
      <c r="L2307">
        <v>89</v>
      </c>
    </row>
    <row r="2308" spans="12:12" x14ac:dyDescent="0.25">
      <c r="L2308">
        <v>89</v>
      </c>
    </row>
    <row r="2309" spans="12:12" x14ac:dyDescent="0.25">
      <c r="L2309">
        <v>36.299999999999997</v>
      </c>
    </row>
    <row r="2310" spans="12:12" x14ac:dyDescent="0.25">
      <c r="L2310">
        <v>36.299999999999997</v>
      </c>
    </row>
    <row r="2311" spans="12:12" x14ac:dyDescent="0.25">
      <c r="L2311">
        <v>36.299999999999997</v>
      </c>
    </row>
    <row r="2312" spans="12:12" x14ac:dyDescent="0.25">
      <c r="L2312">
        <v>36.299999999999997</v>
      </c>
    </row>
    <row r="2313" spans="12:12" x14ac:dyDescent="0.25">
      <c r="L2313">
        <v>36.299999999999997</v>
      </c>
    </row>
    <row r="2314" spans="12:12" x14ac:dyDescent="0.25">
      <c r="L2314">
        <v>36.299999999999997</v>
      </c>
    </row>
    <row r="2315" spans="12:12" x14ac:dyDescent="0.25">
      <c r="L2315">
        <v>36.299999999999997</v>
      </c>
    </row>
    <row r="2316" spans="12:12" x14ac:dyDescent="0.25">
      <c r="L2316">
        <v>36.299999999999997</v>
      </c>
    </row>
    <row r="2317" spans="12:12" x14ac:dyDescent="0.25">
      <c r="L2317">
        <v>36.299999999999997</v>
      </c>
    </row>
    <row r="2318" spans="12:12" x14ac:dyDescent="0.25">
      <c r="L2318">
        <v>36.299999999999997</v>
      </c>
    </row>
    <row r="2319" spans="12:12" x14ac:dyDescent="0.25">
      <c r="L2319">
        <v>36.299999999999997</v>
      </c>
    </row>
    <row r="2320" spans="12:12" x14ac:dyDescent="0.25">
      <c r="L2320">
        <v>36.299999999999997</v>
      </c>
    </row>
    <row r="2321" spans="12:12" x14ac:dyDescent="0.25">
      <c r="L2321">
        <v>36.299999999999997</v>
      </c>
    </row>
    <row r="2322" spans="12:12" x14ac:dyDescent="0.25">
      <c r="L2322">
        <v>36.299999999999997</v>
      </c>
    </row>
    <row r="2323" spans="12:12" x14ac:dyDescent="0.25">
      <c r="L2323">
        <v>36.299999999999997</v>
      </c>
    </row>
    <row r="2324" spans="12:12" x14ac:dyDescent="0.25">
      <c r="L2324">
        <v>36.299999999999997</v>
      </c>
    </row>
    <row r="2325" spans="12:12" x14ac:dyDescent="0.25">
      <c r="L2325">
        <v>36.299999999999997</v>
      </c>
    </row>
    <row r="2326" spans="12:12" x14ac:dyDescent="0.25">
      <c r="L2326">
        <v>36.299999999999997</v>
      </c>
    </row>
    <row r="2327" spans="12:12" x14ac:dyDescent="0.25">
      <c r="L2327">
        <v>36.299999999999997</v>
      </c>
    </row>
    <row r="2328" spans="12:12" x14ac:dyDescent="0.25">
      <c r="L2328">
        <v>36.299999999999997</v>
      </c>
    </row>
    <row r="2329" spans="12:12" x14ac:dyDescent="0.25">
      <c r="L2329">
        <v>36.299999999999997</v>
      </c>
    </row>
    <row r="2330" spans="12:12" x14ac:dyDescent="0.25">
      <c r="L2330">
        <v>36.299999999999997</v>
      </c>
    </row>
    <row r="2331" spans="12:12" x14ac:dyDescent="0.25">
      <c r="L2331">
        <v>36.299999999999997</v>
      </c>
    </row>
    <row r="2332" spans="12:12" x14ac:dyDescent="0.25">
      <c r="L2332">
        <v>36.299999999999997</v>
      </c>
    </row>
    <row r="2333" spans="12:12" x14ac:dyDescent="0.25">
      <c r="L2333">
        <v>36.299999999999997</v>
      </c>
    </row>
    <row r="2334" spans="12:12" x14ac:dyDescent="0.25">
      <c r="L2334">
        <v>36.299999999999997</v>
      </c>
    </row>
    <row r="2335" spans="12:12" x14ac:dyDescent="0.25">
      <c r="L2335">
        <v>36.299999999999997</v>
      </c>
    </row>
    <row r="2336" spans="12:12" x14ac:dyDescent="0.25">
      <c r="L2336">
        <v>36.299999999999997</v>
      </c>
    </row>
    <row r="2337" spans="12:12" x14ac:dyDescent="0.25">
      <c r="L2337">
        <v>36.299999999999997</v>
      </c>
    </row>
    <row r="2338" spans="12:12" x14ac:dyDescent="0.25">
      <c r="L2338">
        <v>36.299999999999997</v>
      </c>
    </row>
    <row r="2339" spans="12:12" x14ac:dyDescent="0.25">
      <c r="L2339">
        <v>36.299999999999997</v>
      </c>
    </row>
    <row r="2340" spans="12:12" x14ac:dyDescent="0.25">
      <c r="L2340">
        <v>36.299999999999997</v>
      </c>
    </row>
    <row r="2341" spans="12:12" x14ac:dyDescent="0.25">
      <c r="L2341">
        <v>36.299999999999997</v>
      </c>
    </row>
    <row r="2342" spans="12:12" x14ac:dyDescent="0.25">
      <c r="L2342">
        <v>36.299999999999997</v>
      </c>
    </row>
    <row r="2343" spans="12:12" x14ac:dyDescent="0.25">
      <c r="L2343">
        <v>36.299999999999997</v>
      </c>
    </row>
    <row r="2344" spans="12:12" x14ac:dyDescent="0.25">
      <c r="L2344">
        <v>36.299999999999997</v>
      </c>
    </row>
    <row r="2345" spans="12:12" x14ac:dyDescent="0.25">
      <c r="L2345">
        <v>36.299999999999997</v>
      </c>
    </row>
    <row r="2346" spans="12:12" x14ac:dyDescent="0.25">
      <c r="L2346">
        <v>36.299999999999997</v>
      </c>
    </row>
    <row r="2347" spans="12:12" x14ac:dyDescent="0.25">
      <c r="L2347">
        <v>36.299999999999997</v>
      </c>
    </row>
    <row r="2348" spans="12:12" x14ac:dyDescent="0.25">
      <c r="L2348">
        <v>36.299999999999997</v>
      </c>
    </row>
    <row r="2349" spans="12:12" x14ac:dyDescent="0.25">
      <c r="L2349">
        <v>36.299999999999997</v>
      </c>
    </row>
    <row r="2350" spans="12:12" x14ac:dyDescent="0.25">
      <c r="L2350">
        <v>36.299999999999997</v>
      </c>
    </row>
    <row r="2351" spans="12:12" x14ac:dyDescent="0.25">
      <c r="L2351">
        <v>36.299999999999997</v>
      </c>
    </row>
    <row r="2352" spans="12:12" x14ac:dyDescent="0.25">
      <c r="L2352">
        <v>36.299999999999997</v>
      </c>
    </row>
    <row r="2353" spans="12:12" x14ac:dyDescent="0.25">
      <c r="L2353">
        <v>36.299999999999997</v>
      </c>
    </row>
    <row r="2354" spans="12:12" x14ac:dyDescent="0.25">
      <c r="L2354">
        <v>36.299999999999997</v>
      </c>
    </row>
    <row r="2355" spans="12:12" x14ac:dyDescent="0.25">
      <c r="L2355">
        <v>36.299999999999997</v>
      </c>
    </row>
    <row r="2356" spans="12:12" x14ac:dyDescent="0.25">
      <c r="L2356">
        <v>36.299999999999997</v>
      </c>
    </row>
    <row r="2357" spans="12:12" x14ac:dyDescent="0.25">
      <c r="L2357">
        <v>36.299999999999997</v>
      </c>
    </row>
    <row r="2358" spans="12:12" x14ac:dyDescent="0.25">
      <c r="L2358">
        <v>36.299999999999997</v>
      </c>
    </row>
    <row r="2359" spans="12:12" x14ac:dyDescent="0.25">
      <c r="L2359">
        <v>36.299999999999997</v>
      </c>
    </row>
    <row r="2360" spans="12:12" x14ac:dyDescent="0.25">
      <c r="L2360">
        <v>36.299999999999997</v>
      </c>
    </row>
    <row r="2361" spans="12:12" x14ac:dyDescent="0.25">
      <c r="L2361">
        <v>36.299999999999997</v>
      </c>
    </row>
    <row r="2362" spans="12:12" x14ac:dyDescent="0.25">
      <c r="L2362">
        <v>36.299999999999997</v>
      </c>
    </row>
    <row r="2363" spans="12:12" x14ac:dyDescent="0.25">
      <c r="L2363">
        <v>36.299999999999997</v>
      </c>
    </row>
    <row r="2364" spans="12:12" x14ac:dyDescent="0.25">
      <c r="L2364">
        <v>36.299999999999997</v>
      </c>
    </row>
    <row r="2365" spans="12:12" x14ac:dyDescent="0.25">
      <c r="L2365">
        <v>89</v>
      </c>
    </row>
    <row r="2366" spans="12:12" x14ac:dyDescent="0.25">
      <c r="L2366">
        <v>89</v>
      </c>
    </row>
    <row r="2367" spans="12:12" x14ac:dyDescent="0.25">
      <c r="L2367">
        <v>89</v>
      </c>
    </row>
    <row r="2368" spans="12:12" x14ac:dyDescent="0.25">
      <c r="L2368">
        <v>89</v>
      </c>
    </row>
    <row r="2369" spans="12:12" x14ac:dyDescent="0.25">
      <c r="L2369">
        <v>89</v>
      </c>
    </row>
    <row r="2370" spans="12:12" x14ac:dyDescent="0.25">
      <c r="L2370">
        <v>89</v>
      </c>
    </row>
    <row r="2371" spans="12:12" x14ac:dyDescent="0.25">
      <c r="L2371">
        <v>89</v>
      </c>
    </row>
    <row r="2372" spans="12:12" x14ac:dyDescent="0.25">
      <c r="L2372">
        <v>89</v>
      </c>
    </row>
    <row r="2373" spans="12:12" x14ac:dyDescent="0.25">
      <c r="L2373">
        <v>89</v>
      </c>
    </row>
    <row r="2374" spans="12:12" x14ac:dyDescent="0.25">
      <c r="L2374">
        <v>89</v>
      </c>
    </row>
    <row r="2375" spans="12:12" x14ac:dyDescent="0.25">
      <c r="L2375">
        <v>89</v>
      </c>
    </row>
    <row r="2376" spans="12:12" x14ac:dyDescent="0.25">
      <c r="L2376">
        <v>89</v>
      </c>
    </row>
    <row r="2377" spans="12:12" x14ac:dyDescent="0.25">
      <c r="L2377">
        <v>89</v>
      </c>
    </row>
    <row r="2378" spans="12:12" x14ac:dyDescent="0.25">
      <c r="L2378">
        <v>89</v>
      </c>
    </row>
    <row r="2379" spans="12:12" x14ac:dyDescent="0.25">
      <c r="L2379">
        <v>89</v>
      </c>
    </row>
    <row r="2380" spans="12:12" x14ac:dyDescent="0.25">
      <c r="L2380">
        <v>36.299999999999997</v>
      </c>
    </row>
    <row r="2381" spans="12:12" x14ac:dyDescent="0.25">
      <c r="L2381">
        <v>36.299999999999997</v>
      </c>
    </row>
    <row r="2382" spans="12:12" x14ac:dyDescent="0.25">
      <c r="L2382">
        <v>36.299999999999997</v>
      </c>
    </row>
    <row r="2383" spans="12:12" x14ac:dyDescent="0.25">
      <c r="L2383">
        <v>36.299999999999997</v>
      </c>
    </row>
    <row r="2384" spans="12:12" x14ac:dyDescent="0.25">
      <c r="L2384">
        <v>36.299999999999997</v>
      </c>
    </row>
    <row r="2385" spans="12:12" x14ac:dyDescent="0.25">
      <c r="L2385">
        <v>36.299999999999997</v>
      </c>
    </row>
    <row r="2386" spans="12:12" x14ac:dyDescent="0.25">
      <c r="L2386">
        <v>36.299999999999997</v>
      </c>
    </row>
    <row r="2387" spans="12:12" x14ac:dyDescent="0.25">
      <c r="L2387">
        <v>36.299999999999997</v>
      </c>
    </row>
    <row r="2388" spans="12:12" x14ac:dyDescent="0.25">
      <c r="L2388">
        <v>36.299999999999997</v>
      </c>
    </row>
    <row r="2389" spans="12:12" x14ac:dyDescent="0.25">
      <c r="L2389">
        <v>36.299999999999997</v>
      </c>
    </row>
    <row r="2390" spans="12:12" x14ac:dyDescent="0.25">
      <c r="L2390">
        <v>36.299999999999997</v>
      </c>
    </row>
    <row r="2391" spans="12:12" x14ac:dyDescent="0.25">
      <c r="L2391">
        <v>36.299999999999997</v>
      </c>
    </row>
    <row r="2392" spans="12:12" x14ac:dyDescent="0.25">
      <c r="L2392">
        <v>36.299999999999997</v>
      </c>
    </row>
    <row r="2393" spans="12:12" x14ac:dyDescent="0.25">
      <c r="L2393">
        <v>36.299999999999997</v>
      </c>
    </row>
    <row r="2394" spans="12:12" x14ac:dyDescent="0.25">
      <c r="L2394">
        <v>36.299999999999997</v>
      </c>
    </row>
    <row r="2395" spans="12:12" x14ac:dyDescent="0.25">
      <c r="L2395">
        <v>36.299999999999997</v>
      </c>
    </row>
    <row r="2396" spans="12:12" x14ac:dyDescent="0.25">
      <c r="L2396">
        <v>36.299999999999997</v>
      </c>
    </row>
    <row r="2397" spans="12:12" x14ac:dyDescent="0.25">
      <c r="L2397">
        <v>89</v>
      </c>
    </row>
    <row r="2398" spans="12:12" x14ac:dyDescent="0.25">
      <c r="L2398">
        <v>89</v>
      </c>
    </row>
    <row r="2399" spans="12:12" x14ac:dyDescent="0.25">
      <c r="L2399">
        <v>89</v>
      </c>
    </row>
    <row r="2400" spans="12:12" x14ac:dyDescent="0.25">
      <c r="L2400">
        <v>89</v>
      </c>
    </row>
    <row r="2401" spans="12:12" x14ac:dyDescent="0.25">
      <c r="L2401">
        <v>89</v>
      </c>
    </row>
    <row r="2402" spans="12:12" x14ac:dyDescent="0.25">
      <c r="L2402">
        <v>89</v>
      </c>
    </row>
    <row r="2403" spans="12:12" x14ac:dyDescent="0.25">
      <c r="L2403">
        <v>89</v>
      </c>
    </row>
    <row r="2404" spans="12:12" x14ac:dyDescent="0.25">
      <c r="L2404">
        <v>89</v>
      </c>
    </row>
    <row r="2405" spans="12:12" x14ac:dyDescent="0.25">
      <c r="L2405">
        <v>89</v>
      </c>
    </row>
    <row r="2406" spans="12:12" x14ac:dyDescent="0.25">
      <c r="L2406">
        <v>89</v>
      </c>
    </row>
    <row r="2407" spans="12:12" x14ac:dyDescent="0.25">
      <c r="L2407">
        <v>89</v>
      </c>
    </row>
    <row r="2408" spans="12:12" x14ac:dyDescent="0.25">
      <c r="L2408">
        <v>89</v>
      </c>
    </row>
    <row r="2409" spans="12:12" x14ac:dyDescent="0.25">
      <c r="L2409">
        <v>89</v>
      </c>
    </row>
    <row r="2410" spans="12:12" x14ac:dyDescent="0.25">
      <c r="L2410">
        <v>89</v>
      </c>
    </row>
    <row r="2411" spans="12:12" x14ac:dyDescent="0.25">
      <c r="L2411">
        <v>89</v>
      </c>
    </row>
    <row r="2412" spans="12:12" x14ac:dyDescent="0.25">
      <c r="L2412">
        <v>36.299999999999997</v>
      </c>
    </row>
    <row r="2413" spans="12:12" x14ac:dyDescent="0.25">
      <c r="L2413">
        <v>36.299999999999997</v>
      </c>
    </row>
    <row r="2414" spans="12:12" x14ac:dyDescent="0.25">
      <c r="L2414">
        <v>36.299999999999997</v>
      </c>
    </row>
    <row r="2415" spans="12:12" x14ac:dyDescent="0.25">
      <c r="L2415">
        <v>36.299999999999997</v>
      </c>
    </row>
    <row r="2416" spans="12:12" x14ac:dyDescent="0.25">
      <c r="L2416">
        <v>36.299999999999997</v>
      </c>
    </row>
    <row r="2417" spans="12:12" x14ac:dyDescent="0.25">
      <c r="L2417">
        <v>36.299999999999997</v>
      </c>
    </row>
    <row r="2418" spans="12:12" x14ac:dyDescent="0.25">
      <c r="L2418">
        <v>36.299999999999997</v>
      </c>
    </row>
    <row r="2419" spans="12:12" x14ac:dyDescent="0.25">
      <c r="L2419">
        <v>36.299999999999997</v>
      </c>
    </row>
    <row r="2420" spans="12:12" x14ac:dyDescent="0.25">
      <c r="L2420">
        <v>36.299999999999997</v>
      </c>
    </row>
    <row r="2421" spans="12:12" x14ac:dyDescent="0.25">
      <c r="L2421">
        <v>36.299999999999997</v>
      </c>
    </row>
    <row r="2422" spans="12:12" x14ac:dyDescent="0.25">
      <c r="L2422">
        <v>36.299999999999997</v>
      </c>
    </row>
    <row r="2423" spans="12:12" x14ac:dyDescent="0.25">
      <c r="L2423">
        <v>36.299999999999997</v>
      </c>
    </row>
    <row r="2424" spans="12:12" x14ac:dyDescent="0.25">
      <c r="L2424">
        <v>36.299999999999997</v>
      </c>
    </row>
    <row r="2425" spans="12:12" x14ac:dyDescent="0.25">
      <c r="L2425">
        <v>36.299999999999997</v>
      </c>
    </row>
    <row r="2426" spans="12:12" x14ac:dyDescent="0.25">
      <c r="L2426">
        <v>36.299999999999997</v>
      </c>
    </row>
    <row r="2427" spans="12:12" x14ac:dyDescent="0.25">
      <c r="L2427">
        <v>36.299999999999997</v>
      </c>
    </row>
    <row r="2428" spans="12:12" x14ac:dyDescent="0.25">
      <c r="L2428">
        <v>36.299999999999997</v>
      </c>
    </row>
    <row r="2429" spans="12:12" x14ac:dyDescent="0.25">
      <c r="L2429">
        <v>89</v>
      </c>
    </row>
    <row r="2430" spans="12:12" x14ac:dyDescent="0.25">
      <c r="L2430">
        <v>89</v>
      </c>
    </row>
    <row r="2431" spans="12:12" x14ac:dyDescent="0.25">
      <c r="L2431">
        <v>89</v>
      </c>
    </row>
    <row r="2432" spans="12:12" x14ac:dyDescent="0.25">
      <c r="L2432">
        <v>89</v>
      </c>
    </row>
    <row r="2433" spans="12:12" x14ac:dyDescent="0.25">
      <c r="L2433">
        <v>89</v>
      </c>
    </row>
    <row r="2434" spans="12:12" x14ac:dyDescent="0.25">
      <c r="L2434">
        <v>89</v>
      </c>
    </row>
    <row r="2435" spans="12:12" x14ac:dyDescent="0.25">
      <c r="L2435">
        <v>89</v>
      </c>
    </row>
    <row r="2436" spans="12:12" x14ac:dyDescent="0.25">
      <c r="L2436">
        <v>89</v>
      </c>
    </row>
    <row r="2437" spans="12:12" x14ac:dyDescent="0.25">
      <c r="L2437">
        <v>89</v>
      </c>
    </row>
    <row r="2438" spans="12:12" x14ac:dyDescent="0.25">
      <c r="L2438">
        <v>89</v>
      </c>
    </row>
    <row r="2439" spans="12:12" x14ac:dyDescent="0.25">
      <c r="L2439">
        <v>89</v>
      </c>
    </row>
    <row r="2440" spans="12:12" x14ac:dyDescent="0.25">
      <c r="L2440">
        <v>89</v>
      </c>
    </row>
    <row r="2441" spans="12:12" x14ac:dyDescent="0.25">
      <c r="L2441">
        <v>89</v>
      </c>
    </row>
    <row r="2442" spans="12:12" x14ac:dyDescent="0.25">
      <c r="L2442">
        <v>89</v>
      </c>
    </row>
    <row r="2443" spans="12:12" x14ac:dyDescent="0.25">
      <c r="L2443">
        <v>89</v>
      </c>
    </row>
    <row r="2444" spans="12:12" x14ac:dyDescent="0.25">
      <c r="L2444">
        <v>36.299999999999997</v>
      </c>
    </row>
    <row r="2445" spans="12:12" x14ac:dyDescent="0.25">
      <c r="L2445">
        <v>89</v>
      </c>
    </row>
    <row r="2446" spans="12:12" x14ac:dyDescent="0.25">
      <c r="L2446">
        <v>89</v>
      </c>
    </row>
    <row r="2447" spans="12:12" x14ac:dyDescent="0.25">
      <c r="L2447">
        <v>89</v>
      </c>
    </row>
    <row r="2448" spans="12:12" x14ac:dyDescent="0.25">
      <c r="L2448">
        <v>89</v>
      </c>
    </row>
    <row r="2449" spans="12:12" x14ac:dyDescent="0.25">
      <c r="L2449">
        <v>89</v>
      </c>
    </row>
    <row r="2450" spans="12:12" x14ac:dyDescent="0.25">
      <c r="L2450">
        <v>89</v>
      </c>
    </row>
    <row r="2451" spans="12:12" x14ac:dyDescent="0.25">
      <c r="L2451">
        <v>89</v>
      </c>
    </row>
    <row r="2452" spans="12:12" x14ac:dyDescent="0.25">
      <c r="L2452">
        <v>89</v>
      </c>
    </row>
    <row r="2453" spans="12:12" x14ac:dyDescent="0.25">
      <c r="L2453">
        <v>89</v>
      </c>
    </row>
    <row r="2454" spans="12:12" x14ac:dyDescent="0.25">
      <c r="L2454">
        <v>89</v>
      </c>
    </row>
    <row r="2455" spans="12:12" x14ac:dyDescent="0.25">
      <c r="L2455">
        <v>89</v>
      </c>
    </row>
    <row r="2456" spans="12:12" x14ac:dyDescent="0.25">
      <c r="L2456">
        <v>89</v>
      </c>
    </row>
    <row r="2457" spans="12:12" x14ac:dyDescent="0.25">
      <c r="L2457">
        <v>36.299999999999997</v>
      </c>
    </row>
    <row r="2458" spans="12:12" x14ac:dyDescent="0.25">
      <c r="L2458">
        <v>36.299999999999997</v>
      </c>
    </row>
    <row r="2459" spans="12:12" x14ac:dyDescent="0.25">
      <c r="L2459">
        <v>36.299999999999997</v>
      </c>
    </row>
    <row r="2460" spans="12:12" x14ac:dyDescent="0.25">
      <c r="L2460">
        <v>36.299999999999997</v>
      </c>
    </row>
    <row r="2461" spans="12:12" x14ac:dyDescent="0.25">
      <c r="L2461">
        <v>36.299999999999997</v>
      </c>
    </row>
    <row r="2462" spans="12:12" x14ac:dyDescent="0.25">
      <c r="L2462">
        <v>36.299999999999997</v>
      </c>
    </row>
    <row r="2463" spans="12:12" x14ac:dyDescent="0.25">
      <c r="L2463">
        <v>36.299999999999997</v>
      </c>
    </row>
    <row r="2464" spans="12:12" x14ac:dyDescent="0.25">
      <c r="L2464">
        <v>36.299999999999997</v>
      </c>
    </row>
    <row r="2465" spans="12:12" x14ac:dyDescent="0.25">
      <c r="L2465">
        <v>36.299999999999997</v>
      </c>
    </row>
    <row r="2466" spans="12:12" x14ac:dyDescent="0.25">
      <c r="L2466">
        <v>36.299999999999997</v>
      </c>
    </row>
    <row r="2467" spans="12:12" x14ac:dyDescent="0.25">
      <c r="L2467">
        <v>36.299999999999997</v>
      </c>
    </row>
    <row r="2468" spans="12:12" x14ac:dyDescent="0.25">
      <c r="L2468">
        <v>36.299999999999997</v>
      </c>
    </row>
    <row r="2469" spans="12:12" x14ac:dyDescent="0.25">
      <c r="L2469">
        <v>36.299999999999997</v>
      </c>
    </row>
    <row r="2470" spans="12:12" x14ac:dyDescent="0.25">
      <c r="L2470">
        <v>36.299999999999997</v>
      </c>
    </row>
    <row r="2471" spans="12:12" x14ac:dyDescent="0.25">
      <c r="L2471">
        <v>36.299999999999997</v>
      </c>
    </row>
    <row r="2472" spans="12:12" x14ac:dyDescent="0.25">
      <c r="L2472">
        <v>36.299999999999997</v>
      </c>
    </row>
    <row r="2473" spans="12:12" x14ac:dyDescent="0.25">
      <c r="L2473">
        <v>36.299999999999997</v>
      </c>
    </row>
    <row r="2474" spans="12:12" x14ac:dyDescent="0.25">
      <c r="L2474">
        <v>36.299999999999997</v>
      </c>
    </row>
    <row r="2475" spans="12:12" x14ac:dyDescent="0.25">
      <c r="L2475">
        <v>36.299999999999997</v>
      </c>
    </row>
    <row r="2476" spans="12:12" x14ac:dyDescent="0.25">
      <c r="L2476">
        <v>36.299999999999997</v>
      </c>
    </row>
    <row r="2477" spans="12:12" x14ac:dyDescent="0.25">
      <c r="L2477">
        <v>89</v>
      </c>
    </row>
    <row r="2478" spans="12:12" x14ac:dyDescent="0.25">
      <c r="L2478">
        <v>89</v>
      </c>
    </row>
    <row r="2479" spans="12:12" x14ac:dyDescent="0.25">
      <c r="L2479">
        <v>89</v>
      </c>
    </row>
    <row r="2480" spans="12:12" x14ac:dyDescent="0.25">
      <c r="L2480">
        <v>89</v>
      </c>
    </row>
    <row r="2481" spans="12:12" x14ac:dyDescent="0.25">
      <c r="L2481">
        <v>89</v>
      </c>
    </row>
    <row r="2482" spans="12:12" x14ac:dyDescent="0.25">
      <c r="L2482">
        <v>89</v>
      </c>
    </row>
    <row r="2483" spans="12:12" x14ac:dyDescent="0.25">
      <c r="L2483">
        <v>89</v>
      </c>
    </row>
    <row r="2484" spans="12:12" x14ac:dyDescent="0.25">
      <c r="L2484">
        <v>89</v>
      </c>
    </row>
    <row r="2485" spans="12:12" x14ac:dyDescent="0.25">
      <c r="L2485">
        <v>89</v>
      </c>
    </row>
    <row r="2486" spans="12:12" x14ac:dyDescent="0.25">
      <c r="L2486">
        <v>89</v>
      </c>
    </row>
    <row r="2487" spans="12:12" x14ac:dyDescent="0.25">
      <c r="L2487">
        <v>36.299999999999997</v>
      </c>
    </row>
    <row r="2488" spans="12:12" x14ac:dyDescent="0.25">
      <c r="L2488">
        <v>36.299999999999997</v>
      </c>
    </row>
    <row r="2489" spans="12:12" x14ac:dyDescent="0.25">
      <c r="L2489">
        <v>36.299999999999997</v>
      </c>
    </row>
    <row r="2490" spans="12:12" x14ac:dyDescent="0.25">
      <c r="L2490">
        <v>36.299999999999997</v>
      </c>
    </row>
    <row r="2491" spans="12:12" x14ac:dyDescent="0.25">
      <c r="L2491">
        <v>36.299999999999997</v>
      </c>
    </row>
    <row r="2492" spans="12:12" x14ac:dyDescent="0.25">
      <c r="L2492">
        <v>36.299999999999997</v>
      </c>
    </row>
    <row r="2493" spans="12:12" x14ac:dyDescent="0.25">
      <c r="L2493">
        <v>89</v>
      </c>
    </row>
    <row r="2494" spans="12:12" x14ac:dyDescent="0.25">
      <c r="L2494">
        <v>89</v>
      </c>
    </row>
    <row r="2495" spans="12:12" x14ac:dyDescent="0.25">
      <c r="L2495">
        <v>89</v>
      </c>
    </row>
    <row r="2496" spans="12:12" x14ac:dyDescent="0.25">
      <c r="L2496">
        <v>89</v>
      </c>
    </row>
    <row r="2497" spans="12:12" x14ac:dyDescent="0.25">
      <c r="L2497">
        <v>89</v>
      </c>
    </row>
    <row r="2498" spans="12:12" x14ac:dyDescent="0.25">
      <c r="L2498">
        <v>89</v>
      </c>
    </row>
    <row r="2499" spans="12:12" x14ac:dyDescent="0.25">
      <c r="L2499">
        <v>89</v>
      </c>
    </row>
    <row r="2500" spans="12:12" x14ac:dyDescent="0.25">
      <c r="L2500">
        <v>89</v>
      </c>
    </row>
    <row r="2501" spans="12:12" x14ac:dyDescent="0.25">
      <c r="L2501">
        <v>89</v>
      </c>
    </row>
    <row r="2502" spans="12:12" x14ac:dyDescent="0.25">
      <c r="L2502">
        <v>89</v>
      </c>
    </row>
    <row r="2503" spans="12:12" x14ac:dyDescent="0.25">
      <c r="L2503">
        <v>89</v>
      </c>
    </row>
    <row r="2504" spans="12:12" x14ac:dyDescent="0.25">
      <c r="L2504">
        <v>89</v>
      </c>
    </row>
    <row r="2505" spans="12:12" x14ac:dyDescent="0.25">
      <c r="L2505">
        <v>89</v>
      </c>
    </row>
    <row r="2506" spans="12:12" x14ac:dyDescent="0.25">
      <c r="L2506">
        <v>89</v>
      </c>
    </row>
    <row r="2507" spans="12:12" x14ac:dyDescent="0.25">
      <c r="L2507">
        <v>89</v>
      </c>
    </row>
    <row r="2508" spans="12:12" x14ac:dyDescent="0.25">
      <c r="L2508">
        <v>36.299999999999997</v>
      </c>
    </row>
    <row r="2509" spans="12:12" x14ac:dyDescent="0.25">
      <c r="L2509">
        <v>89</v>
      </c>
    </row>
    <row r="2510" spans="12:12" x14ac:dyDescent="0.25">
      <c r="L2510">
        <v>89</v>
      </c>
    </row>
    <row r="2511" spans="12:12" x14ac:dyDescent="0.25">
      <c r="L2511">
        <v>89</v>
      </c>
    </row>
    <row r="2512" spans="12:12" x14ac:dyDescent="0.25">
      <c r="L2512">
        <v>89</v>
      </c>
    </row>
    <row r="2513" spans="12:12" x14ac:dyDescent="0.25">
      <c r="L2513">
        <v>36.299999999999997</v>
      </c>
    </row>
    <row r="2514" spans="12:12" x14ac:dyDescent="0.25">
      <c r="L2514">
        <v>36.299999999999997</v>
      </c>
    </row>
    <row r="2515" spans="12:12" x14ac:dyDescent="0.25">
      <c r="L2515">
        <v>36.299999999999997</v>
      </c>
    </row>
    <row r="2516" spans="12:12" x14ac:dyDescent="0.25">
      <c r="L2516">
        <v>36.299999999999997</v>
      </c>
    </row>
    <row r="2517" spans="12:12" x14ac:dyDescent="0.25">
      <c r="L2517">
        <v>36.299999999999997</v>
      </c>
    </row>
    <row r="2518" spans="12:12" x14ac:dyDescent="0.25">
      <c r="L2518">
        <v>36.299999999999997</v>
      </c>
    </row>
    <row r="2519" spans="12:12" x14ac:dyDescent="0.25">
      <c r="L2519">
        <v>36.299999999999997</v>
      </c>
    </row>
    <row r="2520" spans="12:12" x14ac:dyDescent="0.25">
      <c r="L2520">
        <v>36.299999999999997</v>
      </c>
    </row>
    <row r="2521" spans="12:12" x14ac:dyDescent="0.25">
      <c r="L2521">
        <v>36.299999999999997</v>
      </c>
    </row>
    <row r="2522" spans="12:12" x14ac:dyDescent="0.25">
      <c r="L2522">
        <v>36.299999999999997</v>
      </c>
    </row>
    <row r="2523" spans="12:12" x14ac:dyDescent="0.25">
      <c r="L2523">
        <v>36.299999999999997</v>
      </c>
    </row>
    <row r="2524" spans="12:12" x14ac:dyDescent="0.25">
      <c r="L2524">
        <v>36.299999999999997</v>
      </c>
    </row>
    <row r="2525" spans="12:12" x14ac:dyDescent="0.25">
      <c r="L2525">
        <v>36.299999999999997</v>
      </c>
    </row>
    <row r="2526" spans="12:12" x14ac:dyDescent="0.25">
      <c r="L2526">
        <v>36.299999999999997</v>
      </c>
    </row>
    <row r="2527" spans="12:12" x14ac:dyDescent="0.25">
      <c r="L2527">
        <v>36.299999999999997</v>
      </c>
    </row>
    <row r="2528" spans="12:12" x14ac:dyDescent="0.25">
      <c r="L2528">
        <v>36.299999999999997</v>
      </c>
    </row>
    <row r="2529" spans="12:12" x14ac:dyDescent="0.25">
      <c r="L2529">
        <v>36.299999999999997</v>
      </c>
    </row>
    <row r="2530" spans="12:12" x14ac:dyDescent="0.25">
      <c r="L2530">
        <v>36.299999999999997</v>
      </c>
    </row>
    <row r="2531" spans="12:12" x14ac:dyDescent="0.25">
      <c r="L2531">
        <v>36.299999999999997</v>
      </c>
    </row>
    <row r="2532" spans="12:12" x14ac:dyDescent="0.25">
      <c r="L2532">
        <v>36.299999999999997</v>
      </c>
    </row>
    <row r="2533" spans="12:12" x14ac:dyDescent="0.25">
      <c r="L2533">
        <v>36.299999999999997</v>
      </c>
    </row>
    <row r="2534" spans="12:12" x14ac:dyDescent="0.25">
      <c r="L2534">
        <v>36.299999999999997</v>
      </c>
    </row>
    <row r="2535" spans="12:12" x14ac:dyDescent="0.25">
      <c r="L2535">
        <v>36.299999999999997</v>
      </c>
    </row>
    <row r="2536" spans="12:12" x14ac:dyDescent="0.25">
      <c r="L2536">
        <v>36.299999999999997</v>
      </c>
    </row>
    <row r="2537" spans="12:12" x14ac:dyDescent="0.25">
      <c r="L2537">
        <v>36.299999999999997</v>
      </c>
    </row>
    <row r="2538" spans="12:12" x14ac:dyDescent="0.25">
      <c r="L2538">
        <v>36.299999999999997</v>
      </c>
    </row>
    <row r="2539" spans="12:12" x14ac:dyDescent="0.25">
      <c r="L2539">
        <v>36.299999999999997</v>
      </c>
    </row>
    <row r="2540" spans="12:12" x14ac:dyDescent="0.25">
      <c r="L2540">
        <v>36.299999999999997</v>
      </c>
    </row>
    <row r="2541" spans="12:12" x14ac:dyDescent="0.25">
      <c r="L2541">
        <v>36.299999999999997</v>
      </c>
    </row>
    <row r="2542" spans="12:12" x14ac:dyDescent="0.25">
      <c r="L2542">
        <v>36.299999999999997</v>
      </c>
    </row>
    <row r="2543" spans="12:12" x14ac:dyDescent="0.25">
      <c r="L2543">
        <v>36.299999999999997</v>
      </c>
    </row>
    <row r="2544" spans="12:12" x14ac:dyDescent="0.25">
      <c r="L2544">
        <v>36.299999999999997</v>
      </c>
    </row>
    <row r="2545" spans="12:12" x14ac:dyDescent="0.25">
      <c r="L2545">
        <v>36.299999999999997</v>
      </c>
    </row>
    <row r="2546" spans="12:12" x14ac:dyDescent="0.25">
      <c r="L2546">
        <v>36.299999999999997</v>
      </c>
    </row>
    <row r="2547" spans="12:12" x14ac:dyDescent="0.25">
      <c r="L2547">
        <v>36.299999999999997</v>
      </c>
    </row>
    <row r="2548" spans="12:12" x14ac:dyDescent="0.25">
      <c r="L2548">
        <v>89</v>
      </c>
    </row>
    <row r="2549" spans="12:12" x14ac:dyDescent="0.25">
      <c r="L2549">
        <v>89</v>
      </c>
    </row>
    <row r="2550" spans="12:12" x14ac:dyDescent="0.25">
      <c r="L2550">
        <v>89</v>
      </c>
    </row>
    <row r="2551" spans="12:12" x14ac:dyDescent="0.25">
      <c r="L2551">
        <v>89</v>
      </c>
    </row>
    <row r="2552" spans="12:12" x14ac:dyDescent="0.25">
      <c r="L2552">
        <v>89</v>
      </c>
    </row>
    <row r="2553" spans="12:12" x14ac:dyDescent="0.25">
      <c r="L2553">
        <v>89</v>
      </c>
    </row>
    <row r="2554" spans="12:12" x14ac:dyDescent="0.25">
      <c r="L2554">
        <v>89</v>
      </c>
    </row>
    <row r="2555" spans="12:12" x14ac:dyDescent="0.25">
      <c r="L2555">
        <v>89</v>
      </c>
    </row>
    <row r="2556" spans="12:12" x14ac:dyDescent="0.25">
      <c r="L2556">
        <v>36.299999999999997</v>
      </c>
    </row>
    <row r="2557" spans="12:12" x14ac:dyDescent="0.25">
      <c r="L2557">
        <v>89</v>
      </c>
    </row>
    <row r="2558" spans="12:12" x14ac:dyDescent="0.25">
      <c r="L2558">
        <v>89</v>
      </c>
    </row>
    <row r="2559" spans="12:12" x14ac:dyDescent="0.25">
      <c r="L2559">
        <v>89</v>
      </c>
    </row>
    <row r="2560" spans="12:12" x14ac:dyDescent="0.25">
      <c r="L2560">
        <v>89</v>
      </c>
    </row>
    <row r="2561" spans="12:12" x14ac:dyDescent="0.25">
      <c r="L2561">
        <v>89</v>
      </c>
    </row>
    <row r="2562" spans="12:12" x14ac:dyDescent="0.25">
      <c r="L2562">
        <v>89</v>
      </c>
    </row>
    <row r="2563" spans="12:12" x14ac:dyDescent="0.25">
      <c r="L2563">
        <v>89</v>
      </c>
    </row>
    <row r="2564" spans="12:12" x14ac:dyDescent="0.25">
      <c r="L2564">
        <v>89</v>
      </c>
    </row>
    <row r="2565" spans="12:12" x14ac:dyDescent="0.25">
      <c r="L2565">
        <v>89</v>
      </c>
    </row>
    <row r="2566" spans="12:12" x14ac:dyDescent="0.25">
      <c r="L2566">
        <v>89</v>
      </c>
    </row>
    <row r="2567" spans="12:12" x14ac:dyDescent="0.25">
      <c r="L2567">
        <v>89</v>
      </c>
    </row>
    <row r="2568" spans="12:12" x14ac:dyDescent="0.25">
      <c r="L2568">
        <v>89</v>
      </c>
    </row>
    <row r="2569" spans="12:12" x14ac:dyDescent="0.25">
      <c r="L2569">
        <v>89</v>
      </c>
    </row>
    <row r="2570" spans="12:12" x14ac:dyDescent="0.25">
      <c r="L2570">
        <v>36.299999999999997</v>
      </c>
    </row>
    <row r="2571" spans="12:12" x14ac:dyDescent="0.25">
      <c r="L2571">
        <v>36.299999999999997</v>
      </c>
    </row>
    <row r="2572" spans="12:12" x14ac:dyDescent="0.25">
      <c r="L2572">
        <v>36.299999999999997</v>
      </c>
    </row>
    <row r="2573" spans="12:12" x14ac:dyDescent="0.25">
      <c r="L2573">
        <v>89</v>
      </c>
    </row>
    <row r="2574" spans="12:12" x14ac:dyDescent="0.25">
      <c r="L2574">
        <v>89</v>
      </c>
    </row>
    <row r="2575" spans="12:12" x14ac:dyDescent="0.25">
      <c r="L2575">
        <v>89</v>
      </c>
    </row>
    <row r="2576" spans="12:12" x14ac:dyDescent="0.25">
      <c r="L2576">
        <v>89</v>
      </c>
    </row>
    <row r="2577" spans="12:12" x14ac:dyDescent="0.25">
      <c r="L2577">
        <v>89</v>
      </c>
    </row>
    <row r="2578" spans="12:12" x14ac:dyDescent="0.25">
      <c r="L2578">
        <v>89</v>
      </c>
    </row>
    <row r="2579" spans="12:12" x14ac:dyDescent="0.25">
      <c r="L2579">
        <v>89</v>
      </c>
    </row>
    <row r="2580" spans="12:12" x14ac:dyDescent="0.25">
      <c r="L2580">
        <v>89</v>
      </c>
    </row>
    <row r="2581" spans="12:12" x14ac:dyDescent="0.25">
      <c r="L2581">
        <v>89</v>
      </c>
    </row>
    <row r="2582" spans="12:12" x14ac:dyDescent="0.25">
      <c r="L2582">
        <v>89</v>
      </c>
    </row>
    <row r="2583" spans="12:12" x14ac:dyDescent="0.25">
      <c r="L2583">
        <v>89</v>
      </c>
    </row>
    <row r="2584" spans="12:12" x14ac:dyDescent="0.25">
      <c r="L2584">
        <v>89</v>
      </c>
    </row>
    <row r="2585" spans="12:12" x14ac:dyDescent="0.25">
      <c r="L2585">
        <v>89</v>
      </c>
    </row>
    <row r="2586" spans="12:12" x14ac:dyDescent="0.25">
      <c r="L2586">
        <v>89</v>
      </c>
    </row>
    <row r="2587" spans="12:12" x14ac:dyDescent="0.25">
      <c r="L2587">
        <v>89</v>
      </c>
    </row>
    <row r="2588" spans="12:12" x14ac:dyDescent="0.25">
      <c r="L2588">
        <v>36.299999999999997</v>
      </c>
    </row>
    <row r="2589" spans="12:12" x14ac:dyDescent="0.25">
      <c r="L2589">
        <v>36.299999999999997</v>
      </c>
    </row>
    <row r="2590" spans="12:12" x14ac:dyDescent="0.25">
      <c r="L2590">
        <v>36.299999999999997</v>
      </c>
    </row>
    <row r="2591" spans="12:12" x14ac:dyDescent="0.25">
      <c r="L2591">
        <v>36.299999999999997</v>
      </c>
    </row>
    <row r="2592" spans="12:12" x14ac:dyDescent="0.25">
      <c r="L2592">
        <v>36.299999999999997</v>
      </c>
    </row>
    <row r="2593" spans="12:12" x14ac:dyDescent="0.25">
      <c r="L2593">
        <v>36.299999999999997</v>
      </c>
    </row>
    <row r="2594" spans="12:12" x14ac:dyDescent="0.25">
      <c r="L2594">
        <v>36.299999999999997</v>
      </c>
    </row>
    <row r="2595" spans="12:12" x14ac:dyDescent="0.25">
      <c r="L2595">
        <v>36.299999999999997</v>
      </c>
    </row>
    <row r="2596" spans="12:12" x14ac:dyDescent="0.25">
      <c r="L2596">
        <v>36.299999999999997</v>
      </c>
    </row>
    <row r="2597" spans="12:12" x14ac:dyDescent="0.25">
      <c r="L2597">
        <v>36.299999999999997</v>
      </c>
    </row>
    <row r="2598" spans="12:12" x14ac:dyDescent="0.25">
      <c r="L2598">
        <v>36.299999999999997</v>
      </c>
    </row>
    <row r="2599" spans="12:12" x14ac:dyDescent="0.25">
      <c r="L2599">
        <v>36.299999999999997</v>
      </c>
    </row>
    <row r="2600" spans="12:12" x14ac:dyDescent="0.25">
      <c r="L2600">
        <v>36.299999999999997</v>
      </c>
    </row>
    <row r="2601" spans="12:12" x14ac:dyDescent="0.25">
      <c r="L2601">
        <v>36.299999999999997</v>
      </c>
    </row>
    <row r="2602" spans="12:12" x14ac:dyDescent="0.25">
      <c r="L2602">
        <v>36.299999999999997</v>
      </c>
    </row>
    <row r="2603" spans="12:12" x14ac:dyDescent="0.25">
      <c r="L2603">
        <v>36.299999999999997</v>
      </c>
    </row>
    <row r="2604" spans="12:12" x14ac:dyDescent="0.25">
      <c r="L2604">
        <v>36.299999999999997</v>
      </c>
    </row>
    <row r="2605" spans="12:12" x14ac:dyDescent="0.25">
      <c r="L2605">
        <v>89</v>
      </c>
    </row>
    <row r="2606" spans="12:12" x14ac:dyDescent="0.25">
      <c r="L2606">
        <v>89</v>
      </c>
    </row>
    <row r="2607" spans="12:12" x14ac:dyDescent="0.25">
      <c r="L2607">
        <v>89</v>
      </c>
    </row>
    <row r="2608" spans="12:12" x14ac:dyDescent="0.25">
      <c r="L2608">
        <v>89</v>
      </c>
    </row>
    <row r="2609" spans="12:12" x14ac:dyDescent="0.25">
      <c r="L2609">
        <v>89</v>
      </c>
    </row>
    <row r="2610" spans="12:12" x14ac:dyDescent="0.25">
      <c r="L2610">
        <v>89</v>
      </c>
    </row>
    <row r="2611" spans="12:12" x14ac:dyDescent="0.25">
      <c r="L2611">
        <v>89</v>
      </c>
    </row>
    <row r="2612" spans="12:12" x14ac:dyDescent="0.25">
      <c r="L2612">
        <v>36.299999999999997</v>
      </c>
    </row>
    <row r="2613" spans="12:12" x14ac:dyDescent="0.25">
      <c r="L2613">
        <v>36.299999999999997</v>
      </c>
    </row>
    <row r="2614" spans="12:12" x14ac:dyDescent="0.25">
      <c r="L2614">
        <v>36.299999999999997</v>
      </c>
    </row>
    <row r="2615" spans="12:12" x14ac:dyDescent="0.25">
      <c r="L2615">
        <v>36.299999999999997</v>
      </c>
    </row>
    <row r="2616" spans="12:12" x14ac:dyDescent="0.25">
      <c r="L2616">
        <v>36.299999999999997</v>
      </c>
    </row>
    <row r="2617" spans="12:12" x14ac:dyDescent="0.25">
      <c r="L2617">
        <v>36.299999999999997</v>
      </c>
    </row>
    <row r="2618" spans="12:12" x14ac:dyDescent="0.25">
      <c r="L2618">
        <v>36.299999999999997</v>
      </c>
    </row>
    <row r="2619" spans="12:12" x14ac:dyDescent="0.25">
      <c r="L2619">
        <v>36.299999999999997</v>
      </c>
    </row>
    <row r="2620" spans="12:12" x14ac:dyDescent="0.25">
      <c r="L2620">
        <v>36.299999999999997</v>
      </c>
    </row>
    <row r="2621" spans="12:12" x14ac:dyDescent="0.25">
      <c r="L2621">
        <v>89</v>
      </c>
    </row>
    <row r="2622" spans="12:12" x14ac:dyDescent="0.25">
      <c r="L2622">
        <v>89</v>
      </c>
    </row>
    <row r="2623" spans="12:12" x14ac:dyDescent="0.25">
      <c r="L2623">
        <v>89</v>
      </c>
    </row>
    <row r="2624" spans="12:12" x14ac:dyDescent="0.25">
      <c r="L2624">
        <v>89</v>
      </c>
    </row>
    <row r="2625" spans="12:12" x14ac:dyDescent="0.25">
      <c r="L2625">
        <v>89</v>
      </c>
    </row>
    <row r="2626" spans="12:12" x14ac:dyDescent="0.25">
      <c r="L2626">
        <v>89</v>
      </c>
    </row>
    <row r="2627" spans="12:12" x14ac:dyDescent="0.25">
      <c r="L2627">
        <v>89</v>
      </c>
    </row>
    <row r="2628" spans="12:12" x14ac:dyDescent="0.25">
      <c r="L2628">
        <v>36.299999999999997</v>
      </c>
    </row>
    <row r="2629" spans="12:12" x14ac:dyDescent="0.25">
      <c r="L2629">
        <v>36.299999999999997</v>
      </c>
    </row>
    <row r="2630" spans="12:12" x14ac:dyDescent="0.25">
      <c r="L2630">
        <v>36.299999999999997</v>
      </c>
    </row>
    <row r="2631" spans="12:12" x14ac:dyDescent="0.25">
      <c r="L2631">
        <v>36.299999999999997</v>
      </c>
    </row>
    <row r="2632" spans="12:12" x14ac:dyDescent="0.25">
      <c r="L2632">
        <v>36.299999999999997</v>
      </c>
    </row>
    <row r="2633" spans="12:12" x14ac:dyDescent="0.25">
      <c r="L2633">
        <v>36.299999999999997</v>
      </c>
    </row>
    <row r="2634" spans="12:12" x14ac:dyDescent="0.25">
      <c r="L2634">
        <v>36.299999999999997</v>
      </c>
    </row>
    <row r="2635" spans="12:12" x14ac:dyDescent="0.25">
      <c r="L2635">
        <v>36.299999999999997</v>
      </c>
    </row>
    <row r="2636" spans="12:12" x14ac:dyDescent="0.25">
      <c r="L2636">
        <v>36.299999999999997</v>
      </c>
    </row>
    <row r="2637" spans="12:12" x14ac:dyDescent="0.25">
      <c r="L2637">
        <v>89</v>
      </c>
    </row>
    <row r="2638" spans="12:12" x14ac:dyDescent="0.25">
      <c r="L2638">
        <v>89</v>
      </c>
    </row>
    <row r="2639" spans="12:12" x14ac:dyDescent="0.25">
      <c r="L2639">
        <v>89</v>
      </c>
    </row>
    <row r="2640" spans="12:12" x14ac:dyDescent="0.25">
      <c r="L2640">
        <v>89</v>
      </c>
    </row>
    <row r="2641" spans="12:12" x14ac:dyDescent="0.25">
      <c r="L2641">
        <v>89</v>
      </c>
    </row>
    <row r="2642" spans="12:12" x14ac:dyDescent="0.25">
      <c r="L2642">
        <v>89</v>
      </c>
    </row>
    <row r="2643" spans="12:12" x14ac:dyDescent="0.25">
      <c r="L2643">
        <v>89</v>
      </c>
    </row>
    <row r="2644" spans="12:12" x14ac:dyDescent="0.25">
      <c r="L2644">
        <v>89</v>
      </c>
    </row>
    <row r="2645" spans="12:12" x14ac:dyDescent="0.25">
      <c r="L2645">
        <v>89</v>
      </c>
    </row>
    <row r="2646" spans="12:12" x14ac:dyDescent="0.25">
      <c r="L2646">
        <v>89</v>
      </c>
    </row>
    <row r="2647" spans="12:12" x14ac:dyDescent="0.25">
      <c r="L2647">
        <v>89</v>
      </c>
    </row>
    <row r="2648" spans="12:12" x14ac:dyDescent="0.25">
      <c r="L2648">
        <v>89</v>
      </c>
    </row>
    <row r="2649" spans="12:12" x14ac:dyDescent="0.25">
      <c r="L2649">
        <v>89</v>
      </c>
    </row>
    <row r="2650" spans="12:12" x14ac:dyDescent="0.25">
      <c r="L2650">
        <v>89</v>
      </c>
    </row>
    <row r="2651" spans="12:12" x14ac:dyDescent="0.25">
      <c r="L2651">
        <v>89</v>
      </c>
    </row>
    <row r="2652" spans="12:12" x14ac:dyDescent="0.25">
      <c r="L2652">
        <v>36.299999999999997</v>
      </c>
    </row>
    <row r="2653" spans="12:12" x14ac:dyDescent="0.25">
      <c r="L2653">
        <v>89</v>
      </c>
    </row>
    <row r="2654" spans="12:12" x14ac:dyDescent="0.25">
      <c r="L2654">
        <v>89</v>
      </c>
    </row>
    <row r="2655" spans="12:12" x14ac:dyDescent="0.25">
      <c r="L2655">
        <v>89</v>
      </c>
    </row>
    <row r="2656" spans="12:12" x14ac:dyDescent="0.25">
      <c r="L2656">
        <v>89</v>
      </c>
    </row>
    <row r="2657" spans="12:12" x14ac:dyDescent="0.25">
      <c r="L2657">
        <v>89</v>
      </c>
    </row>
    <row r="2658" spans="12:12" x14ac:dyDescent="0.25">
      <c r="L2658">
        <v>89</v>
      </c>
    </row>
    <row r="2659" spans="12:12" x14ac:dyDescent="0.25">
      <c r="L2659">
        <v>89</v>
      </c>
    </row>
    <row r="2660" spans="12:12" x14ac:dyDescent="0.25">
      <c r="L2660">
        <v>89</v>
      </c>
    </row>
    <row r="2661" spans="12:12" x14ac:dyDescent="0.25">
      <c r="L2661">
        <v>89</v>
      </c>
    </row>
    <row r="2662" spans="12:12" x14ac:dyDescent="0.25">
      <c r="L2662">
        <v>89</v>
      </c>
    </row>
    <row r="2663" spans="12:12" x14ac:dyDescent="0.25">
      <c r="L2663">
        <v>89</v>
      </c>
    </row>
    <row r="2664" spans="12:12" x14ac:dyDescent="0.25">
      <c r="L2664">
        <v>89</v>
      </c>
    </row>
    <row r="2665" spans="12:12" x14ac:dyDescent="0.25">
      <c r="L2665">
        <v>89</v>
      </c>
    </row>
    <row r="2666" spans="12:12" x14ac:dyDescent="0.25">
      <c r="L2666">
        <v>36.299999999999997</v>
      </c>
    </row>
    <row r="2667" spans="12:12" x14ac:dyDescent="0.25">
      <c r="L2667">
        <v>36.299999999999997</v>
      </c>
    </row>
    <row r="2668" spans="12:12" x14ac:dyDescent="0.25">
      <c r="L2668">
        <v>36.299999999999997</v>
      </c>
    </row>
    <row r="2669" spans="12:12" x14ac:dyDescent="0.25">
      <c r="L2669">
        <v>89</v>
      </c>
    </row>
    <row r="2670" spans="12:12" x14ac:dyDescent="0.25">
      <c r="L2670">
        <v>89</v>
      </c>
    </row>
    <row r="2671" spans="12:12" x14ac:dyDescent="0.25">
      <c r="L2671">
        <v>89</v>
      </c>
    </row>
    <row r="2672" spans="12:12" x14ac:dyDescent="0.25">
      <c r="L2672">
        <v>89</v>
      </c>
    </row>
    <row r="2673" spans="12:12" x14ac:dyDescent="0.25">
      <c r="L2673">
        <v>89</v>
      </c>
    </row>
    <row r="2674" spans="12:12" x14ac:dyDescent="0.25">
      <c r="L2674">
        <v>89</v>
      </c>
    </row>
    <row r="2675" spans="12:12" x14ac:dyDescent="0.25">
      <c r="L2675">
        <v>89</v>
      </c>
    </row>
    <row r="2676" spans="12:12" x14ac:dyDescent="0.25">
      <c r="L2676">
        <v>89</v>
      </c>
    </row>
    <row r="2677" spans="12:12" x14ac:dyDescent="0.25">
      <c r="L2677">
        <v>89</v>
      </c>
    </row>
    <row r="2678" spans="12:12" x14ac:dyDescent="0.25">
      <c r="L2678">
        <v>89</v>
      </c>
    </row>
    <row r="2679" spans="12:12" x14ac:dyDescent="0.25">
      <c r="L2679">
        <v>89</v>
      </c>
    </row>
    <row r="2680" spans="12:12" x14ac:dyDescent="0.25">
      <c r="L2680">
        <v>89</v>
      </c>
    </row>
    <row r="2681" spans="12:12" x14ac:dyDescent="0.25">
      <c r="L2681">
        <v>89</v>
      </c>
    </row>
    <row r="2682" spans="12:12" x14ac:dyDescent="0.25">
      <c r="L2682">
        <v>89</v>
      </c>
    </row>
    <row r="2683" spans="12:12" x14ac:dyDescent="0.25">
      <c r="L2683">
        <v>89</v>
      </c>
    </row>
    <row r="2684" spans="12:12" x14ac:dyDescent="0.25">
      <c r="L2684">
        <v>36.299999999999997</v>
      </c>
    </row>
    <row r="2685" spans="12:12" x14ac:dyDescent="0.25">
      <c r="L2685">
        <v>89</v>
      </c>
    </row>
    <row r="2686" spans="12:12" x14ac:dyDescent="0.25">
      <c r="L2686">
        <v>89</v>
      </c>
    </row>
    <row r="2687" spans="12:12" x14ac:dyDescent="0.25">
      <c r="L2687">
        <v>89</v>
      </c>
    </row>
    <row r="2688" spans="12:12" x14ac:dyDescent="0.25">
      <c r="L2688">
        <v>89</v>
      </c>
    </row>
    <row r="2689" spans="12:12" x14ac:dyDescent="0.25">
      <c r="L2689">
        <v>89</v>
      </c>
    </row>
    <row r="2690" spans="12:12" x14ac:dyDescent="0.25">
      <c r="L2690">
        <v>89</v>
      </c>
    </row>
    <row r="2691" spans="12:12" x14ac:dyDescent="0.25">
      <c r="L2691">
        <v>89</v>
      </c>
    </row>
    <row r="2692" spans="12:12" x14ac:dyDescent="0.25">
      <c r="L2692">
        <v>89</v>
      </c>
    </row>
    <row r="2693" spans="12:12" x14ac:dyDescent="0.25">
      <c r="L2693">
        <v>89</v>
      </c>
    </row>
    <row r="2694" spans="12:12" x14ac:dyDescent="0.25">
      <c r="L2694">
        <v>89</v>
      </c>
    </row>
    <row r="2695" spans="12:12" x14ac:dyDescent="0.25">
      <c r="L2695">
        <v>89</v>
      </c>
    </row>
    <row r="2696" spans="12:12" x14ac:dyDescent="0.25">
      <c r="L2696">
        <v>89</v>
      </c>
    </row>
    <row r="2697" spans="12:12" x14ac:dyDescent="0.25">
      <c r="L2697">
        <v>89</v>
      </c>
    </row>
    <row r="2698" spans="12:12" x14ac:dyDescent="0.25">
      <c r="L2698">
        <v>89</v>
      </c>
    </row>
    <row r="2699" spans="12:12" x14ac:dyDescent="0.25">
      <c r="L2699">
        <v>89</v>
      </c>
    </row>
    <row r="2700" spans="12:12" x14ac:dyDescent="0.25">
      <c r="L2700">
        <v>36.299999999999997</v>
      </c>
    </row>
    <row r="2701" spans="12:12" x14ac:dyDescent="0.25">
      <c r="L2701">
        <v>89</v>
      </c>
    </row>
    <row r="2702" spans="12:12" x14ac:dyDescent="0.25">
      <c r="L2702">
        <v>89</v>
      </c>
    </row>
    <row r="2703" spans="12:12" x14ac:dyDescent="0.25">
      <c r="L2703">
        <v>89</v>
      </c>
    </row>
    <row r="2704" spans="12:12" x14ac:dyDescent="0.25">
      <c r="L2704">
        <v>89</v>
      </c>
    </row>
    <row r="2705" spans="12:12" x14ac:dyDescent="0.25">
      <c r="L2705">
        <v>89</v>
      </c>
    </row>
    <row r="2706" spans="12:12" x14ac:dyDescent="0.25">
      <c r="L2706">
        <v>89</v>
      </c>
    </row>
    <row r="2707" spans="12:12" x14ac:dyDescent="0.25">
      <c r="L2707">
        <v>89</v>
      </c>
    </row>
    <row r="2708" spans="12:12" x14ac:dyDescent="0.25">
      <c r="L2708">
        <v>89</v>
      </c>
    </row>
    <row r="2709" spans="12:12" x14ac:dyDescent="0.25">
      <c r="L2709">
        <v>89</v>
      </c>
    </row>
    <row r="2710" spans="12:12" x14ac:dyDescent="0.25">
      <c r="L2710">
        <v>89</v>
      </c>
    </row>
    <row r="2711" spans="12:12" x14ac:dyDescent="0.25">
      <c r="L2711">
        <v>89</v>
      </c>
    </row>
    <row r="2712" spans="12:12" x14ac:dyDescent="0.25">
      <c r="L2712">
        <v>89</v>
      </c>
    </row>
    <row r="2713" spans="12:12" x14ac:dyDescent="0.25">
      <c r="L2713">
        <v>89</v>
      </c>
    </row>
    <row r="2714" spans="12:12" x14ac:dyDescent="0.25">
      <c r="L2714">
        <v>36.299999999999997</v>
      </c>
    </row>
    <row r="2715" spans="12:12" x14ac:dyDescent="0.25">
      <c r="L2715">
        <v>36.299999999999997</v>
      </c>
    </row>
    <row r="2716" spans="12:12" x14ac:dyDescent="0.25">
      <c r="L2716">
        <v>36.299999999999997</v>
      </c>
    </row>
    <row r="2717" spans="12:12" x14ac:dyDescent="0.25">
      <c r="L2717">
        <v>36.299999999999997</v>
      </c>
    </row>
    <row r="2718" spans="12:12" x14ac:dyDescent="0.25">
      <c r="L2718">
        <v>89</v>
      </c>
    </row>
    <row r="2719" spans="12:12" x14ac:dyDescent="0.25">
      <c r="L2719">
        <v>89</v>
      </c>
    </row>
    <row r="2720" spans="12:12" x14ac:dyDescent="0.25">
      <c r="L2720">
        <v>89</v>
      </c>
    </row>
    <row r="2721" spans="12:12" x14ac:dyDescent="0.25">
      <c r="L2721">
        <v>89</v>
      </c>
    </row>
    <row r="2722" spans="12:12" x14ac:dyDescent="0.25">
      <c r="L2722">
        <v>89</v>
      </c>
    </row>
    <row r="2723" spans="12:12" x14ac:dyDescent="0.25">
      <c r="L2723">
        <v>89</v>
      </c>
    </row>
    <row r="2724" spans="12:12" x14ac:dyDescent="0.25">
      <c r="L2724">
        <v>89</v>
      </c>
    </row>
    <row r="2725" spans="12:12" x14ac:dyDescent="0.25">
      <c r="L2725">
        <v>89</v>
      </c>
    </row>
    <row r="2726" spans="12:12" x14ac:dyDescent="0.25">
      <c r="L2726">
        <v>89</v>
      </c>
    </row>
    <row r="2727" spans="12:12" x14ac:dyDescent="0.25">
      <c r="L2727">
        <v>89</v>
      </c>
    </row>
    <row r="2728" spans="12:12" x14ac:dyDescent="0.25">
      <c r="L2728">
        <v>89</v>
      </c>
    </row>
    <row r="2729" spans="12:12" x14ac:dyDescent="0.25">
      <c r="L2729">
        <v>89</v>
      </c>
    </row>
    <row r="2730" spans="12:12" x14ac:dyDescent="0.25">
      <c r="L2730">
        <v>89</v>
      </c>
    </row>
    <row r="2731" spans="12:12" x14ac:dyDescent="0.25">
      <c r="L2731">
        <v>36.299999999999997</v>
      </c>
    </row>
    <row r="2732" spans="12:12" x14ac:dyDescent="0.25">
      <c r="L2732">
        <v>36.299999999999997</v>
      </c>
    </row>
    <row r="2733" spans="12:12" x14ac:dyDescent="0.25">
      <c r="L2733">
        <v>36.299999999999997</v>
      </c>
    </row>
    <row r="2734" spans="12:12" x14ac:dyDescent="0.25">
      <c r="L2734">
        <v>89</v>
      </c>
    </row>
    <row r="2735" spans="12:12" x14ac:dyDescent="0.25">
      <c r="L2735">
        <v>89</v>
      </c>
    </row>
    <row r="2736" spans="12:12" x14ac:dyDescent="0.25">
      <c r="L2736">
        <v>89</v>
      </c>
    </row>
    <row r="2737" spans="12:12" x14ac:dyDescent="0.25">
      <c r="L2737">
        <v>89</v>
      </c>
    </row>
    <row r="2738" spans="12:12" x14ac:dyDescent="0.25">
      <c r="L2738">
        <v>89</v>
      </c>
    </row>
    <row r="2739" spans="12:12" x14ac:dyDescent="0.25">
      <c r="L2739">
        <v>89</v>
      </c>
    </row>
    <row r="2740" spans="12:12" x14ac:dyDescent="0.25">
      <c r="L2740">
        <v>89</v>
      </c>
    </row>
    <row r="2741" spans="12:12" x14ac:dyDescent="0.25">
      <c r="L2741">
        <v>89</v>
      </c>
    </row>
    <row r="2742" spans="12:12" x14ac:dyDescent="0.25">
      <c r="L2742">
        <v>89</v>
      </c>
    </row>
    <row r="2743" spans="12:12" x14ac:dyDescent="0.25">
      <c r="L2743">
        <v>89</v>
      </c>
    </row>
    <row r="2744" spans="12:12" x14ac:dyDescent="0.25">
      <c r="L2744">
        <v>89</v>
      </c>
    </row>
    <row r="2745" spans="12:12" x14ac:dyDescent="0.25">
      <c r="L2745">
        <v>89</v>
      </c>
    </row>
    <row r="2746" spans="12:12" x14ac:dyDescent="0.25">
      <c r="L2746">
        <v>89</v>
      </c>
    </row>
    <row r="2747" spans="12:12" x14ac:dyDescent="0.25">
      <c r="L2747">
        <v>89</v>
      </c>
    </row>
    <row r="2748" spans="12:12" x14ac:dyDescent="0.25">
      <c r="L2748">
        <v>89</v>
      </c>
    </row>
    <row r="2749" spans="12:12" x14ac:dyDescent="0.25">
      <c r="L2749">
        <v>36.299999999999997</v>
      </c>
    </row>
    <row r="2750" spans="12:12" x14ac:dyDescent="0.25">
      <c r="L2750">
        <v>36.299999999999997</v>
      </c>
    </row>
    <row r="2751" spans="12:12" x14ac:dyDescent="0.25">
      <c r="L2751">
        <v>36.299999999999997</v>
      </c>
    </row>
    <row r="2752" spans="12:12" x14ac:dyDescent="0.25">
      <c r="L2752">
        <v>36.299999999999997</v>
      </c>
    </row>
    <row r="2753" spans="12:12" x14ac:dyDescent="0.25">
      <c r="L2753">
        <v>36.299999999999997</v>
      </c>
    </row>
    <row r="2754" spans="12:12" x14ac:dyDescent="0.25">
      <c r="L2754">
        <v>36.299999999999997</v>
      </c>
    </row>
    <row r="2755" spans="12:12" x14ac:dyDescent="0.25">
      <c r="L2755">
        <v>36.299999999999997</v>
      </c>
    </row>
    <row r="2756" spans="12:12" x14ac:dyDescent="0.25">
      <c r="L2756">
        <v>36.299999999999997</v>
      </c>
    </row>
    <row r="2757" spans="12:12" x14ac:dyDescent="0.25">
      <c r="L2757">
        <v>36.299999999999997</v>
      </c>
    </row>
    <row r="2758" spans="12:12" x14ac:dyDescent="0.25">
      <c r="L2758">
        <v>36.299999999999997</v>
      </c>
    </row>
    <row r="2759" spans="12:12" x14ac:dyDescent="0.25">
      <c r="L2759">
        <v>36.299999999999997</v>
      </c>
    </row>
    <row r="2760" spans="12:12" x14ac:dyDescent="0.25">
      <c r="L2760">
        <v>36.299999999999997</v>
      </c>
    </row>
    <row r="2761" spans="12:12" x14ac:dyDescent="0.25">
      <c r="L2761">
        <v>36.299999999999997</v>
      </c>
    </row>
    <row r="2762" spans="12:12" x14ac:dyDescent="0.25">
      <c r="L2762">
        <v>36.299999999999997</v>
      </c>
    </row>
    <row r="2763" spans="12:12" x14ac:dyDescent="0.25">
      <c r="L2763">
        <v>36.299999999999997</v>
      </c>
    </row>
    <row r="2764" spans="12:12" x14ac:dyDescent="0.25">
      <c r="L2764">
        <v>36.299999999999997</v>
      </c>
    </row>
    <row r="2765" spans="12:12" x14ac:dyDescent="0.25">
      <c r="L2765">
        <v>36.299999999999997</v>
      </c>
    </row>
    <row r="2766" spans="12:12" x14ac:dyDescent="0.25">
      <c r="L2766">
        <v>36.299999999999997</v>
      </c>
    </row>
    <row r="2767" spans="12:12" x14ac:dyDescent="0.25">
      <c r="L2767">
        <v>36.299999999999997</v>
      </c>
    </row>
    <row r="2768" spans="12:12" x14ac:dyDescent="0.25">
      <c r="L2768">
        <v>36.299999999999997</v>
      </c>
    </row>
    <row r="2769" spans="12:12" x14ac:dyDescent="0.25">
      <c r="L2769">
        <v>36.299999999999997</v>
      </c>
    </row>
    <row r="2770" spans="12:12" x14ac:dyDescent="0.25">
      <c r="L2770">
        <v>36.299999999999997</v>
      </c>
    </row>
    <row r="2771" spans="12:12" x14ac:dyDescent="0.25">
      <c r="L2771">
        <v>36.299999999999997</v>
      </c>
    </row>
    <row r="2772" spans="12:12" x14ac:dyDescent="0.25">
      <c r="L2772">
        <v>36.299999999999997</v>
      </c>
    </row>
    <row r="2773" spans="12:12" x14ac:dyDescent="0.25">
      <c r="L2773">
        <v>36.299999999999997</v>
      </c>
    </row>
    <row r="2774" spans="12:12" x14ac:dyDescent="0.25">
      <c r="L2774">
        <v>36.299999999999997</v>
      </c>
    </row>
    <row r="2775" spans="12:12" x14ac:dyDescent="0.25">
      <c r="L2775">
        <v>36.299999999999997</v>
      </c>
    </row>
    <row r="2776" spans="12:12" x14ac:dyDescent="0.25">
      <c r="L2776">
        <v>36.299999999999997</v>
      </c>
    </row>
    <row r="2777" spans="12:12" x14ac:dyDescent="0.25">
      <c r="L2777">
        <v>36.299999999999997</v>
      </c>
    </row>
    <row r="2778" spans="12:12" x14ac:dyDescent="0.25">
      <c r="L2778">
        <v>36.299999999999997</v>
      </c>
    </row>
    <row r="2779" spans="12:12" x14ac:dyDescent="0.25">
      <c r="L2779">
        <v>36.299999999999997</v>
      </c>
    </row>
    <row r="2780" spans="12:12" x14ac:dyDescent="0.25">
      <c r="L2780">
        <v>36.299999999999997</v>
      </c>
    </row>
    <row r="2781" spans="12:12" x14ac:dyDescent="0.25">
      <c r="L2781">
        <v>36.299999999999997</v>
      </c>
    </row>
    <row r="2782" spans="12:12" x14ac:dyDescent="0.25">
      <c r="L2782">
        <v>36.299999999999997</v>
      </c>
    </row>
    <row r="2783" spans="12:12" x14ac:dyDescent="0.25">
      <c r="L2783">
        <v>36.299999999999997</v>
      </c>
    </row>
    <row r="2784" spans="12:12" x14ac:dyDescent="0.25">
      <c r="L2784">
        <v>36.299999999999997</v>
      </c>
    </row>
    <row r="2785" spans="12:12" x14ac:dyDescent="0.25">
      <c r="L2785">
        <v>36.299999999999997</v>
      </c>
    </row>
    <row r="2786" spans="12:12" x14ac:dyDescent="0.25">
      <c r="L2786">
        <v>36.299999999999997</v>
      </c>
    </row>
    <row r="2787" spans="12:12" x14ac:dyDescent="0.25">
      <c r="L2787">
        <v>36.299999999999997</v>
      </c>
    </row>
    <row r="2788" spans="12:12" x14ac:dyDescent="0.25">
      <c r="L2788">
        <v>36.299999999999997</v>
      </c>
    </row>
    <row r="2789" spans="12:12" x14ac:dyDescent="0.25">
      <c r="L2789">
        <v>36.299999999999997</v>
      </c>
    </row>
    <row r="2790" spans="12:12" x14ac:dyDescent="0.25">
      <c r="L2790">
        <v>36.299999999999997</v>
      </c>
    </row>
    <row r="2791" spans="12:12" x14ac:dyDescent="0.25">
      <c r="L2791">
        <v>36.299999999999997</v>
      </c>
    </row>
    <row r="2792" spans="12:12" x14ac:dyDescent="0.25">
      <c r="L2792">
        <v>36.299999999999997</v>
      </c>
    </row>
    <row r="2793" spans="12:12" x14ac:dyDescent="0.25">
      <c r="L2793">
        <v>36.299999999999997</v>
      </c>
    </row>
    <row r="2794" spans="12:12" x14ac:dyDescent="0.25">
      <c r="L2794">
        <v>36.299999999999997</v>
      </c>
    </row>
    <row r="2795" spans="12:12" x14ac:dyDescent="0.25">
      <c r="L2795">
        <v>36.299999999999997</v>
      </c>
    </row>
    <row r="2796" spans="12:12" x14ac:dyDescent="0.25">
      <c r="L2796">
        <v>36.299999999999997</v>
      </c>
    </row>
    <row r="2797" spans="12:12" x14ac:dyDescent="0.25">
      <c r="L2797">
        <v>36.299999999999997</v>
      </c>
    </row>
    <row r="2798" spans="12:12" x14ac:dyDescent="0.25">
      <c r="L2798">
        <v>36.299999999999997</v>
      </c>
    </row>
    <row r="2799" spans="12:12" x14ac:dyDescent="0.25">
      <c r="L2799">
        <v>36.299999999999997</v>
      </c>
    </row>
    <row r="2800" spans="12:12" x14ac:dyDescent="0.25">
      <c r="L2800">
        <v>36.299999999999997</v>
      </c>
    </row>
    <row r="2801" spans="12:12" x14ac:dyDescent="0.25">
      <c r="L2801">
        <v>36.299999999999997</v>
      </c>
    </row>
    <row r="2802" spans="12:12" x14ac:dyDescent="0.25">
      <c r="L2802">
        <v>36.299999999999997</v>
      </c>
    </row>
    <row r="2803" spans="12:12" x14ac:dyDescent="0.25">
      <c r="L2803">
        <v>36.299999999999997</v>
      </c>
    </row>
    <row r="2804" spans="12:12" x14ac:dyDescent="0.25">
      <c r="L2804">
        <v>36.299999999999997</v>
      </c>
    </row>
    <row r="2805" spans="12:12" x14ac:dyDescent="0.25">
      <c r="L2805">
        <v>36.299999999999997</v>
      </c>
    </row>
    <row r="2806" spans="12:12" x14ac:dyDescent="0.25">
      <c r="L2806">
        <v>36.299999999999997</v>
      </c>
    </row>
    <row r="2807" spans="12:12" x14ac:dyDescent="0.25">
      <c r="L2807">
        <v>36.299999999999997</v>
      </c>
    </row>
    <row r="2808" spans="12:12" x14ac:dyDescent="0.25">
      <c r="L2808">
        <v>36.299999999999997</v>
      </c>
    </row>
    <row r="2809" spans="12:12" x14ac:dyDescent="0.25">
      <c r="L2809">
        <v>36.299999999999997</v>
      </c>
    </row>
    <row r="2810" spans="12:12" x14ac:dyDescent="0.25">
      <c r="L2810">
        <v>36.299999999999997</v>
      </c>
    </row>
    <row r="2811" spans="12:12" x14ac:dyDescent="0.25">
      <c r="L2811">
        <v>36.299999999999997</v>
      </c>
    </row>
    <row r="2812" spans="12:12" x14ac:dyDescent="0.25">
      <c r="L2812">
        <v>36.299999999999997</v>
      </c>
    </row>
    <row r="2813" spans="12:12" x14ac:dyDescent="0.25">
      <c r="L2813">
        <v>36.299999999999997</v>
      </c>
    </row>
    <row r="2814" spans="12:12" x14ac:dyDescent="0.25">
      <c r="L2814">
        <v>89</v>
      </c>
    </row>
    <row r="2815" spans="12:12" x14ac:dyDescent="0.25">
      <c r="L2815">
        <v>89</v>
      </c>
    </row>
    <row r="2816" spans="12:12" x14ac:dyDescent="0.25">
      <c r="L2816">
        <v>89</v>
      </c>
    </row>
    <row r="2817" spans="12:12" x14ac:dyDescent="0.25">
      <c r="L2817">
        <v>89</v>
      </c>
    </row>
    <row r="2818" spans="12:12" x14ac:dyDescent="0.25">
      <c r="L2818">
        <v>89</v>
      </c>
    </row>
    <row r="2819" spans="12:12" x14ac:dyDescent="0.25">
      <c r="L2819">
        <v>89</v>
      </c>
    </row>
    <row r="2820" spans="12:12" x14ac:dyDescent="0.25">
      <c r="L2820">
        <v>89</v>
      </c>
    </row>
    <row r="2821" spans="12:12" x14ac:dyDescent="0.25">
      <c r="L2821">
        <v>89</v>
      </c>
    </row>
    <row r="2822" spans="12:12" x14ac:dyDescent="0.25">
      <c r="L2822">
        <v>89</v>
      </c>
    </row>
    <row r="2823" spans="12:12" x14ac:dyDescent="0.25">
      <c r="L2823">
        <v>89</v>
      </c>
    </row>
    <row r="2824" spans="12:12" x14ac:dyDescent="0.25">
      <c r="L2824">
        <v>89</v>
      </c>
    </row>
    <row r="2825" spans="12:12" x14ac:dyDescent="0.25">
      <c r="L2825">
        <v>89</v>
      </c>
    </row>
    <row r="2826" spans="12:12" x14ac:dyDescent="0.25">
      <c r="L2826">
        <v>89</v>
      </c>
    </row>
    <row r="2827" spans="12:12" x14ac:dyDescent="0.25">
      <c r="L2827">
        <v>89</v>
      </c>
    </row>
    <row r="2828" spans="12:12" x14ac:dyDescent="0.25">
      <c r="L2828">
        <v>89</v>
      </c>
    </row>
    <row r="2829" spans="12:12" x14ac:dyDescent="0.25">
      <c r="L2829">
        <v>36.299999999999997</v>
      </c>
    </row>
    <row r="2830" spans="12:12" x14ac:dyDescent="0.25">
      <c r="L2830">
        <v>89</v>
      </c>
    </row>
    <row r="2831" spans="12:12" x14ac:dyDescent="0.25">
      <c r="L2831">
        <v>89</v>
      </c>
    </row>
    <row r="2832" spans="12:12" x14ac:dyDescent="0.25">
      <c r="L2832">
        <v>89</v>
      </c>
    </row>
    <row r="2833" spans="12:12" x14ac:dyDescent="0.25">
      <c r="L2833">
        <v>89</v>
      </c>
    </row>
    <row r="2834" spans="12:12" x14ac:dyDescent="0.25">
      <c r="L2834">
        <v>89</v>
      </c>
    </row>
    <row r="2835" spans="12:12" x14ac:dyDescent="0.25">
      <c r="L2835">
        <v>89</v>
      </c>
    </row>
    <row r="2836" spans="12:12" x14ac:dyDescent="0.25">
      <c r="L2836">
        <v>89</v>
      </c>
    </row>
    <row r="2837" spans="12:12" x14ac:dyDescent="0.25">
      <c r="L2837">
        <v>89</v>
      </c>
    </row>
    <row r="2838" spans="12:12" x14ac:dyDescent="0.25">
      <c r="L2838">
        <v>89</v>
      </c>
    </row>
    <row r="2839" spans="12:12" x14ac:dyDescent="0.25">
      <c r="L2839">
        <v>89</v>
      </c>
    </row>
    <row r="2840" spans="12:12" x14ac:dyDescent="0.25">
      <c r="L2840">
        <v>89</v>
      </c>
    </row>
    <row r="2841" spans="12:12" x14ac:dyDescent="0.25">
      <c r="L2841">
        <v>89</v>
      </c>
    </row>
    <row r="2842" spans="12:12" x14ac:dyDescent="0.25">
      <c r="L2842">
        <v>89</v>
      </c>
    </row>
    <row r="2843" spans="12:12" x14ac:dyDescent="0.25">
      <c r="L2843">
        <v>36.299999999999997</v>
      </c>
    </row>
    <row r="2844" spans="12:12" x14ac:dyDescent="0.25">
      <c r="L2844">
        <v>36.299999999999997</v>
      </c>
    </row>
    <row r="2845" spans="12:12" x14ac:dyDescent="0.25">
      <c r="L2845">
        <v>36.299999999999997</v>
      </c>
    </row>
    <row r="2846" spans="12:12" x14ac:dyDescent="0.25">
      <c r="L2846">
        <v>89</v>
      </c>
    </row>
    <row r="2847" spans="12:12" x14ac:dyDescent="0.25">
      <c r="L2847">
        <v>89</v>
      </c>
    </row>
    <row r="2848" spans="12:12" x14ac:dyDescent="0.25">
      <c r="L2848">
        <v>89</v>
      </c>
    </row>
    <row r="2849" spans="12:12" x14ac:dyDescent="0.25">
      <c r="L2849">
        <v>89</v>
      </c>
    </row>
    <row r="2850" spans="12:12" x14ac:dyDescent="0.25">
      <c r="L2850">
        <v>89</v>
      </c>
    </row>
    <row r="2851" spans="12:12" x14ac:dyDescent="0.25">
      <c r="L2851">
        <v>89</v>
      </c>
    </row>
    <row r="2852" spans="12:12" x14ac:dyDescent="0.25">
      <c r="L2852">
        <v>89</v>
      </c>
    </row>
    <row r="2853" spans="12:12" x14ac:dyDescent="0.25">
      <c r="L2853">
        <v>89</v>
      </c>
    </row>
    <row r="2854" spans="12:12" x14ac:dyDescent="0.25">
      <c r="L2854">
        <v>89</v>
      </c>
    </row>
    <row r="2855" spans="12:12" x14ac:dyDescent="0.25">
      <c r="L2855">
        <v>89</v>
      </c>
    </row>
    <row r="2856" spans="12:12" x14ac:dyDescent="0.25">
      <c r="L2856">
        <v>89</v>
      </c>
    </row>
    <row r="2857" spans="12:12" x14ac:dyDescent="0.25">
      <c r="L2857">
        <v>89</v>
      </c>
    </row>
    <row r="2858" spans="12:12" x14ac:dyDescent="0.25">
      <c r="L2858">
        <v>89</v>
      </c>
    </row>
    <row r="2859" spans="12:12" x14ac:dyDescent="0.25">
      <c r="L2859">
        <v>89</v>
      </c>
    </row>
    <row r="2860" spans="12:12" x14ac:dyDescent="0.25">
      <c r="L2860">
        <v>89</v>
      </c>
    </row>
    <row r="2861" spans="12:12" x14ac:dyDescent="0.25">
      <c r="L2861">
        <v>36.299999999999997</v>
      </c>
    </row>
    <row r="2862" spans="12:12" x14ac:dyDescent="0.25">
      <c r="L2862">
        <v>36.299999999999997</v>
      </c>
    </row>
    <row r="2863" spans="12:12" x14ac:dyDescent="0.25">
      <c r="L2863">
        <v>36.299999999999997</v>
      </c>
    </row>
    <row r="2864" spans="12:12" x14ac:dyDescent="0.25">
      <c r="L2864">
        <v>36.299999999999997</v>
      </c>
    </row>
    <row r="2865" spans="12:12" x14ac:dyDescent="0.25">
      <c r="L2865">
        <v>36.299999999999997</v>
      </c>
    </row>
    <row r="2866" spans="12:12" x14ac:dyDescent="0.25">
      <c r="L2866">
        <v>36.299999999999997</v>
      </c>
    </row>
    <row r="2867" spans="12:12" x14ac:dyDescent="0.25">
      <c r="L2867">
        <v>36.299999999999997</v>
      </c>
    </row>
    <row r="2868" spans="12:12" x14ac:dyDescent="0.25">
      <c r="L2868">
        <v>36.299999999999997</v>
      </c>
    </row>
    <row r="2869" spans="12:12" x14ac:dyDescent="0.25">
      <c r="L2869">
        <v>36.299999999999997</v>
      </c>
    </row>
    <row r="2870" spans="12:12" x14ac:dyDescent="0.25">
      <c r="L2870">
        <v>36.299999999999997</v>
      </c>
    </row>
    <row r="2871" spans="12:12" x14ac:dyDescent="0.25">
      <c r="L2871">
        <v>36.299999999999997</v>
      </c>
    </row>
    <row r="2872" spans="12:12" x14ac:dyDescent="0.25">
      <c r="L2872">
        <v>36.299999999999997</v>
      </c>
    </row>
    <row r="2873" spans="12:12" x14ac:dyDescent="0.25">
      <c r="L2873">
        <v>36.299999999999997</v>
      </c>
    </row>
    <row r="2874" spans="12:12" x14ac:dyDescent="0.25">
      <c r="L2874">
        <v>36.299999999999997</v>
      </c>
    </row>
    <row r="2875" spans="12:12" x14ac:dyDescent="0.25">
      <c r="L2875">
        <v>36.299999999999997</v>
      </c>
    </row>
    <row r="2876" spans="12:12" x14ac:dyDescent="0.25">
      <c r="L2876">
        <v>36.299999999999997</v>
      </c>
    </row>
    <row r="2877" spans="12:12" x14ac:dyDescent="0.25">
      <c r="L2877">
        <v>36.299999999999997</v>
      </c>
    </row>
    <row r="2878" spans="12:12" x14ac:dyDescent="0.25">
      <c r="L2878">
        <v>36.299999999999997</v>
      </c>
    </row>
    <row r="2879" spans="12:12" x14ac:dyDescent="0.25">
      <c r="L2879">
        <v>36.299999999999997</v>
      </c>
    </row>
    <row r="2880" spans="12:12" x14ac:dyDescent="0.25">
      <c r="L2880">
        <v>36.299999999999997</v>
      </c>
    </row>
    <row r="2881" spans="12:12" x14ac:dyDescent="0.25">
      <c r="L2881">
        <v>36.299999999999997</v>
      </c>
    </row>
    <row r="2882" spans="12:12" x14ac:dyDescent="0.25">
      <c r="L2882">
        <v>36.299999999999997</v>
      </c>
    </row>
    <row r="2883" spans="12:12" x14ac:dyDescent="0.25">
      <c r="L2883">
        <v>36.299999999999997</v>
      </c>
    </row>
    <row r="2884" spans="12:12" x14ac:dyDescent="0.25">
      <c r="L2884">
        <v>36.299999999999997</v>
      </c>
    </row>
    <row r="2885" spans="12:12" x14ac:dyDescent="0.25">
      <c r="L2885">
        <v>36.299999999999997</v>
      </c>
    </row>
    <row r="2886" spans="12:12" x14ac:dyDescent="0.25">
      <c r="L2886">
        <v>36.299999999999997</v>
      </c>
    </row>
    <row r="2887" spans="12:12" x14ac:dyDescent="0.25">
      <c r="L2887">
        <v>36.299999999999997</v>
      </c>
    </row>
    <row r="2888" spans="12:12" x14ac:dyDescent="0.25">
      <c r="L2888">
        <v>36.299999999999997</v>
      </c>
    </row>
    <row r="2889" spans="12:12" x14ac:dyDescent="0.25">
      <c r="L2889">
        <v>36.299999999999997</v>
      </c>
    </row>
    <row r="2890" spans="12:12" x14ac:dyDescent="0.25">
      <c r="L2890">
        <v>36.299999999999997</v>
      </c>
    </row>
    <row r="2891" spans="12:12" x14ac:dyDescent="0.25">
      <c r="L2891">
        <v>36.299999999999997</v>
      </c>
    </row>
    <row r="2892" spans="12:12" x14ac:dyDescent="0.25">
      <c r="L2892">
        <v>36.299999999999997</v>
      </c>
    </row>
    <row r="2893" spans="12:12" x14ac:dyDescent="0.25">
      <c r="L2893">
        <v>36.299999999999997</v>
      </c>
    </row>
    <row r="2894" spans="12:12" x14ac:dyDescent="0.25">
      <c r="L2894">
        <v>36.299999999999997</v>
      </c>
    </row>
    <row r="2895" spans="12:12" x14ac:dyDescent="0.25">
      <c r="L2895">
        <v>36.299999999999997</v>
      </c>
    </row>
    <row r="2896" spans="12:12" x14ac:dyDescent="0.25">
      <c r="L2896">
        <v>36.299999999999997</v>
      </c>
    </row>
    <row r="2897" spans="12:12" x14ac:dyDescent="0.25">
      <c r="L2897">
        <v>36.299999999999997</v>
      </c>
    </row>
    <row r="2898" spans="12:12" x14ac:dyDescent="0.25">
      <c r="L2898">
        <v>36.299999999999997</v>
      </c>
    </row>
    <row r="2899" spans="12:12" x14ac:dyDescent="0.25">
      <c r="L2899">
        <v>36.299999999999997</v>
      </c>
    </row>
    <row r="2900" spans="12:12" x14ac:dyDescent="0.25">
      <c r="L2900">
        <v>36.299999999999997</v>
      </c>
    </row>
    <row r="2901" spans="12:12" x14ac:dyDescent="0.25">
      <c r="L2901">
        <v>36.299999999999997</v>
      </c>
    </row>
    <row r="2902" spans="12:12" x14ac:dyDescent="0.25">
      <c r="L2902">
        <v>36.299999999999997</v>
      </c>
    </row>
    <row r="2903" spans="12:12" x14ac:dyDescent="0.25">
      <c r="L2903">
        <v>36.299999999999997</v>
      </c>
    </row>
    <row r="2904" spans="12:12" x14ac:dyDescent="0.25">
      <c r="L2904">
        <v>36.299999999999997</v>
      </c>
    </row>
    <row r="2905" spans="12:12" x14ac:dyDescent="0.25">
      <c r="L2905">
        <v>36.299999999999997</v>
      </c>
    </row>
    <row r="2906" spans="12:12" x14ac:dyDescent="0.25">
      <c r="L2906">
        <v>36.299999999999997</v>
      </c>
    </row>
    <row r="2907" spans="12:12" x14ac:dyDescent="0.25">
      <c r="L2907">
        <v>36.299999999999997</v>
      </c>
    </row>
    <row r="2908" spans="12:12" x14ac:dyDescent="0.25">
      <c r="L2908">
        <v>36.299999999999997</v>
      </c>
    </row>
    <row r="2909" spans="12:12" x14ac:dyDescent="0.25">
      <c r="L2909">
        <v>36.299999999999997</v>
      </c>
    </row>
    <row r="2910" spans="12:12" x14ac:dyDescent="0.25">
      <c r="L2910">
        <v>89</v>
      </c>
    </row>
    <row r="2911" spans="12:12" x14ac:dyDescent="0.25">
      <c r="L2911">
        <v>89</v>
      </c>
    </row>
    <row r="2912" spans="12:12" x14ac:dyDescent="0.25">
      <c r="L2912">
        <v>89</v>
      </c>
    </row>
    <row r="2913" spans="12:12" x14ac:dyDescent="0.25">
      <c r="L2913">
        <v>89</v>
      </c>
    </row>
    <row r="2914" spans="12:12" x14ac:dyDescent="0.25">
      <c r="L2914">
        <v>89</v>
      </c>
    </row>
    <row r="2915" spans="12:12" x14ac:dyDescent="0.25">
      <c r="L2915">
        <v>89</v>
      </c>
    </row>
    <row r="2916" spans="12:12" x14ac:dyDescent="0.25">
      <c r="L2916">
        <v>89</v>
      </c>
    </row>
    <row r="2917" spans="12:12" x14ac:dyDescent="0.25">
      <c r="L2917">
        <v>89</v>
      </c>
    </row>
    <row r="2918" spans="12:12" x14ac:dyDescent="0.25">
      <c r="L2918">
        <v>89</v>
      </c>
    </row>
    <row r="2919" spans="12:12" x14ac:dyDescent="0.25">
      <c r="L2919">
        <v>89</v>
      </c>
    </row>
    <row r="2920" spans="12:12" x14ac:dyDescent="0.25">
      <c r="L2920">
        <v>36.299999999999997</v>
      </c>
    </row>
    <row r="2921" spans="12:12" x14ac:dyDescent="0.25">
      <c r="L2921">
        <v>36.299999999999997</v>
      </c>
    </row>
    <row r="2922" spans="12:12" x14ac:dyDescent="0.25">
      <c r="L2922">
        <v>36.299999999999997</v>
      </c>
    </row>
    <row r="2923" spans="12:12" x14ac:dyDescent="0.25">
      <c r="L2923">
        <v>36.299999999999997</v>
      </c>
    </row>
    <row r="2924" spans="12:12" x14ac:dyDescent="0.25">
      <c r="L2924">
        <v>36.299999999999997</v>
      </c>
    </row>
    <row r="2925" spans="12:12" x14ac:dyDescent="0.25">
      <c r="L2925">
        <v>36.299999999999997</v>
      </c>
    </row>
    <row r="2926" spans="12:12" x14ac:dyDescent="0.25">
      <c r="L2926">
        <v>89</v>
      </c>
    </row>
    <row r="2927" spans="12:12" x14ac:dyDescent="0.25">
      <c r="L2927">
        <v>89</v>
      </c>
    </row>
    <row r="2928" spans="12:12" x14ac:dyDescent="0.25">
      <c r="L2928">
        <v>89</v>
      </c>
    </row>
    <row r="2929" spans="12:12" x14ac:dyDescent="0.25">
      <c r="L2929">
        <v>89</v>
      </c>
    </row>
    <row r="2930" spans="12:12" x14ac:dyDescent="0.25">
      <c r="L2930">
        <v>89</v>
      </c>
    </row>
    <row r="2931" spans="12:12" x14ac:dyDescent="0.25">
      <c r="L2931">
        <v>89</v>
      </c>
    </row>
    <row r="2932" spans="12:12" x14ac:dyDescent="0.25">
      <c r="L2932">
        <v>89</v>
      </c>
    </row>
    <row r="2933" spans="12:12" x14ac:dyDescent="0.25">
      <c r="L2933">
        <v>89</v>
      </c>
    </row>
    <row r="2934" spans="12:12" x14ac:dyDescent="0.25">
      <c r="L2934">
        <v>89</v>
      </c>
    </row>
    <row r="2935" spans="12:12" x14ac:dyDescent="0.25">
      <c r="L2935">
        <v>89</v>
      </c>
    </row>
    <row r="2936" spans="12:12" x14ac:dyDescent="0.25">
      <c r="L2936">
        <v>89</v>
      </c>
    </row>
    <row r="2937" spans="12:12" x14ac:dyDescent="0.25">
      <c r="L2937">
        <v>89</v>
      </c>
    </row>
    <row r="2938" spans="12:12" x14ac:dyDescent="0.25">
      <c r="L2938">
        <v>89</v>
      </c>
    </row>
    <row r="2939" spans="12:12" x14ac:dyDescent="0.25">
      <c r="L2939">
        <v>89</v>
      </c>
    </row>
    <row r="2940" spans="12:12" x14ac:dyDescent="0.25">
      <c r="L2940">
        <v>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11</vt:i4>
      </vt:variant>
    </vt:vector>
  </HeadingPairs>
  <TitlesOfParts>
    <vt:vector size="17" baseType="lpstr">
      <vt:lpstr>LAMBDA_functions</vt:lpstr>
      <vt:lpstr>Life Expectancy Data</vt:lpstr>
      <vt:lpstr>MLR_Scalar_Test</vt:lpstr>
      <vt:lpstr>MLR_Vector_Outputs_Test</vt:lpstr>
      <vt:lpstr>Regression</vt:lpstr>
      <vt:lpstr>MLR_Observation_Test</vt:lpstr>
      <vt:lpstr>Regression!Allow_Intercept</vt:lpstr>
      <vt:lpstr>MLR_Observation_Test!fil</vt:lpstr>
      <vt:lpstr>MLR_Scalar_Test!fil</vt:lpstr>
      <vt:lpstr>MLR_Vector_Outputs_Test!fil</vt:lpstr>
      <vt:lpstr>Regression!fil</vt:lpstr>
      <vt:lpstr>Regression!pred_input</vt:lpstr>
      <vt:lpstr>Regression!x_s</vt:lpstr>
      <vt:lpstr>MLR_Observation_Test!y</vt:lpstr>
      <vt:lpstr>MLR_Scalar_Test!y</vt:lpstr>
      <vt:lpstr>MLR_Vector_Outputs_Test!y</vt:lpstr>
      <vt:lpstr>Regression!y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2026-05-11T01:50:36Z</dcterms:created>
  <dcterms:modified xsi:type="dcterms:W3CDTF">2026-05-25T19:02:59Z</dcterms:modified>
</cp:coreProperties>
</file>